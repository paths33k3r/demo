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483C7DC-B5CB-446A-87B3-B10FADC5997B}" xr6:coauthVersionLast="47" xr6:coauthVersionMax="47" xr10:uidLastSave="{00000000-0000-0000-0000-000000000000}"/>
  <bookViews>
    <workbookView xWindow="-120" yWindow="-120" windowWidth="29040" windowHeight="15720" firstSheet="1" activeTab="3" xr2:uid="{22E195A4-8719-458E-9F23-276030FF71A6}"/>
  </bookViews>
  <sheets>
    <sheet name="5.4 Glyphosate Spraying" sheetId="1" r:id="rId1"/>
    <sheet name="5.5 Ally Spraying" sheetId="2" r:id="rId2"/>
    <sheet name="GLY + ALLY 20225" sheetId="7" r:id="rId3"/>
    <sheet name="GLY + ALLY 20225 (2)" sheetId="8" r:id="rId4"/>
    <sheet name="5.6 Embark Spraying" sheetId="3" r:id="rId5"/>
    <sheet name="5.7 Blazer Spraying" sheetId="4" r:id="rId6"/>
    <sheet name="sample for Spark" sheetId="5" r:id="rId7"/>
  </sheets>
  <definedNames>
    <definedName name="_xlnm._FilterDatabase" localSheetId="2" hidden="1">'GLY + ALLY 20225'!$A$1:$AK$154</definedName>
    <definedName name="_xlnm._FilterDatabase" localSheetId="3" hidden="1">'GLY + ALLY 20225 (2)'!$A$1:$Y$301</definedName>
    <definedName name="_xlnm.Print_Titles" localSheetId="2">'GLY + ALLY 20225'!$1:$5</definedName>
    <definedName name="_xlnm.Print_Titles" localSheetId="3">'GLY + ALLY 20225 (2)'!$1:$5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9" i="8" l="1"/>
  <c r="S269" i="8"/>
  <c r="T266" i="8"/>
  <c r="S266" i="8"/>
  <c r="T263" i="8"/>
  <c r="S263" i="8"/>
  <c r="T260" i="8"/>
  <c r="S260" i="8"/>
  <c r="T257" i="8"/>
  <c r="S257" i="8"/>
  <c r="T254" i="8"/>
  <c r="S254" i="8"/>
  <c r="T251" i="8"/>
  <c r="S251" i="8"/>
  <c r="T248" i="8"/>
  <c r="S248" i="8"/>
  <c r="S245" i="8"/>
  <c r="T245" i="8"/>
  <c r="T282" i="8"/>
  <c r="S282" i="8"/>
  <c r="T279" i="8"/>
  <c r="S279" i="8"/>
  <c r="Q144" i="8"/>
  <c r="R144" i="8"/>
  <c r="Q145" i="8"/>
  <c r="R145" i="8"/>
  <c r="R285" i="8"/>
  <c r="Q285" i="8"/>
  <c r="P285" i="8"/>
  <c r="O285" i="8"/>
  <c r="N285" i="8"/>
  <c r="M285" i="8"/>
  <c r="L285" i="8"/>
  <c r="K285" i="8"/>
  <c r="J285" i="8"/>
  <c r="I285" i="8"/>
  <c r="H285" i="8"/>
  <c r="G285" i="8"/>
  <c r="R284" i="8"/>
  <c r="Q284" i="8"/>
  <c r="P284" i="8"/>
  <c r="O284" i="8"/>
  <c r="N284" i="8"/>
  <c r="M284" i="8"/>
  <c r="L284" i="8"/>
  <c r="K284" i="8"/>
  <c r="J284" i="8"/>
  <c r="I284" i="8"/>
  <c r="H284" i="8"/>
  <c r="G284" i="8"/>
  <c r="E284" i="8"/>
  <c r="D284" i="8"/>
  <c r="T283" i="8" a="1"/>
  <c r="T283" i="8" s="1"/>
  <c r="S283" i="8" a="1"/>
  <c r="S283" i="8" s="1"/>
  <c r="T281" i="8" a="1"/>
  <c r="T281" i="8" s="1"/>
  <c r="S281" i="8" a="1"/>
  <c r="S281" i="8" s="1"/>
  <c r="T280" i="8" a="1"/>
  <c r="T280" i="8" s="1"/>
  <c r="S280" i="8" a="1"/>
  <c r="S280" i="8" s="1"/>
  <c r="T278" i="8" a="1"/>
  <c r="T278" i="8" s="1"/>
  <c r="S278" i="8" a="1"/>
  <c r="S278" i="8" s="1"/>
  <c r="T244" i="8" a="1"/>
  <c r="T244" i="8" s="1"/>
  <c r="S244" i="8" a="1"/>
  <c r="S244" i="8" s="1"/>
  <c r="R272" i="8"/>
  <c r="Q272" i="8"/>
  <c r="P272" i="8"/>
  <c r="O272" i="8"/>
  <c r="N272" i="8"/>
  <c r="M272" i="8"/>
  <c r="L272" i="8"/>
  <c r="K272" i="8"/>
  <c r="J272" i="8"/>
  <c r="I272" i="8"/>
  <c r="H272" i="8"/>
  <c r="G272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E271" i="8"/>
  <c r="D271" i="8"/>
  <c r="T270" i="8" a="1"/>
  <c r="T270" i="8" s="1"/>
  <c r="S270" i="8" a="1"/>
  <c r="S270" i="8" s="1"/>
  <c r="T268" i="8" a="1"/>
  <c r="T268" i="8" s="1"/>
  <c r="S268" i="8" a="1"/>
  <c r="S268" i="8" s="1"/>
  <c r="T267" i="8" a="1"/>
  <c r="T267" i="8" s="1"/>
  <c r="S267" i="8" a="1"/>
  <c r="S267" i="8" s="1"/>
  <c r="T265" i="8" a="1"/>
  <c r="T265" i="8" s="1"/>
  <c r="S265" i="8" a="1"/>
  <c r="S265" i="8" s="1"/>
  <c r="T264" i="8" a="1"/>
  <c r="T264" i="8" s="1"/>
  <c r="S264" i="8" a="1"/>
  <c r="S264" i="8" s="1"/>
  <c r="T262" i="8" a="1"/>
  <c r="T262" i="8" s="1"/>
  <c r="S262" i="8" a="1"/>
  <c r="S262" i="8" s="1"/>
  <c r="T261" i="8" a="1"/>
  <c r="T261" i="8" s="1"/>
  <c r="S261" i="8" a="1"/>
  <c r="S261" i="8" s="1"/>
  <c r="T259" i="8" a="1"/>
  <c r="T259" i="8" s="1"/>
  <c r="S259" i="8" a="1"/>
  <c r="S259" i="8" s="1"/>
  <c r="T258" i="8" a="1"/>
  <c r="T258" i="8" s="1"/>
  <c r="S258" i="8" a="1"/>
  <c r="S258" i="8" s="1"/>
  <c r="T256" i="8" a="1"/>
  <c r="T256" i="8" s="1"/>
  <c r="S256" i="8" a="1"/>
  <c r="S256" i="8" s="1"/>
  <c r="T255" i="8" a="1"/>
  <c r="T255" i="8" s="1"/>
  <c r="S255" i="8" a="1"/>
  <c r="S255" i="8" s="1"/>
  <c r="T253" i="8" a="1"/>
  <c r="T253" i="8" s="1"/>
  <c r="S253" i="8" a="1"/>
  <c r="S253" i="8" s="1"/>
  <c r="T252" i="8" a="1"/>
  <c r="T252" i="8" s="1"/>
  <c r="S252" i="8" a="1"/>
  <c r="S252" i="8" s="1"/>
  <c r="T250" i="8" a="1"/>
  <c r="T250" i="8" s="1"/>
  <c r="S250" i="8" a="1"/>
  <c r="S250" i="8" s="1"/>
  <c r="T249" i="8" a="1"/>
  <c r="T249" i="8" s="1"/>
  <c r="S249" i="8" a="1"/>
  <c r="S249" i="8" s="1"/>
  <c r="T247" i="8" a="1"/>
  <c r="T247" i="8" s="1"/>
  <c r="S247" i="8" a="1"/>
  <c r="S247" i="8" s="1"/>
  <c r="T246" i="8" a="1"/>
  <c r="T246" i="8" s="1"/>
  <c r="S246" i="8" a="1"/>
  <c r="S246" i="8" s="1"/>
  <c r="T235" i="8"/>
  <c r="S235" i="8"/>
  <c r="T232" i="8"/>
  <c r="S232" i="8"/>
  <c r="T229" i="8"/>
  <c r="S229" i="8"/>
  <c r="T226" i="8"/>
  <c r="S226" i="8"/>
  <c r="T223" i="8"/>
  <c r="S195" i="8"/>
  <c r="S223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E237" i="8"/>
  <c r="D237" i="8"/>
  <c r="T236" i="8" a="1"/>
  <c r="T236" i="8" s="1"/>
  <c r="S236" i="8" a="1"/>
  <c r="S236" i="8" s="1"/>
  <c r="T234" i="8" a="1"/>
  <c r="T234" i="8" s="1"/>
  <c r="S234" i="8" a="1"/>
  <c r="S234" i="8" s="1"/>
  <c r="T233" i="8" a="1"/>
  <c r="T233" i="8" s="1"/>
  <c r="S233" i="8" a="1"/>
  <c r="S233" i="8" s="1"/>
  <c r="T231" i="8" a="1"/>
  <c r="T231" i="8" s="1"/>
  <c r="S231" i="8" a="1"/>
  <c r="S231" i="8" s="1"/>
  <c r="T230" i="8" a="1"/>
  <c r="T230" i="8" s="1"/>
  <c r="S230" i="8" a="1"/>
  <c r="S230" i="8" s="1"/>
  <c r="T228" i="8" a="1"/>
  <c r="T228" i="8" s="1"/>
  <c r="S228" i="8" a="1"/>
  <c r="S228" i="8" s="1"/>
  <c r="T227" i="8" a="1"/>
  <c r="T227" i="8" s="1"/>
  <c r="S227" i="8" a="1"/>
  <c r="S227" i="8" s="1"/>
  <c r="T225" i="8" a="1"/>
  <c r="T225" i="8" s="1"/>
  <c r="S225" i="8" a="1"/>
  <c r="S225" i="8" s="1"/>
  <c r="T224" i="8" a="1"/>
  <c r="T224" i="8" s="1"/>
  <c r="S224" i="8" a="1"/>
  <c r="S224" i="8" s="1"/>
  <c r="T222" i="8" a="1"/>
  <c r="T222" i="8" s="1"/>
  <c r="S222" i="8" a="1"/>
  <c r="S222" i="8" s="1"/>
  <c r="S201" i="8"/>
  <c r="T213" i="8"/>
  <c r="S213" i="8"/>
  <c r="T210" i="8"/>
  <c r="S210" i="8"/>
  <c r="T207" i="8"/>
  <c r="S207" i="8"/>
  <c r="T204" i="8"/>
  <c r="S204" i="8"/>
  <c r="T201" i="8"/>
  <c r="T198" i="8"/>
  <c r="S198" i="8"/>
  <c r="T195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E215" i="8"/>
  <c r="D215" i="8"/>
  <c r="T214" i="8" a="1"/>
  <c r="T214" i="8" s="1"/>
  <c r="S214" i="8" a="1"/>
  <c r="S214" i="8" s="1"/>
  <c r="T212" i="8" a="1"/>
  <c r="T212" i="8" s="1"/>
  <c r="S212" i="8" a="1"/>
  <c r="S212" i="8" s="1"/>
  <c r="T211" i="8" a="1"/>
  <c r="T211" i="8" s="1"/>
  <c r="S211" i="8" a="1"/>
  <c r="S211" i="8" s="1"/>
  <c r="T209" i="8" a="1"/>
  <c r="T209" i="8" s="1"/>
  <c r="S209" i="8" a="1"/>
  <c r="S209" i="8" s="1"/>
  <c r="T208" i="8" a="1"/>
  <c r="T208" i="8" s="1"/>
  <c r="S208" i="8" a="1"/>
  <c r="S208" i="8" s="1"/>
  <c r="T206" i="8" a="1"/>
  <c r="T206" i="8" s="1"/>
  <c r="S206" i="8" a="1"/>
  <c r="S206" i="8" s="1"/>
  <c r="T205" i="8" a="1"/>
  <c r="T205" i="8" s="1"/>
  <c r="S205" i="8" a="1"/>
  <c r="S205" i="8" s="1"/>
  <c r="T203" i="8" a="1"/>
  <c r="T203" i="8" s="1"/>
  <c r="S203" i="8" a="1"/>
  <c r="S203" i="8" s="1"/>
  <c r="T202" i="8" a="1"/>
  <c r="T202" i="8" s="1"/>
  <c r="S202" i="8" a="1"/>
  <c r="S202" i="8" s="1"/>
  <c r="T200" i="8" a="1"/>
  <c r="T200" i="8" s="1"/>
  <c r="S200" i="8" a="1"/>
  <c r="S200" i="8" s="1"/>
  <c r="T199" i="8" a="1"/>
  <c r="T199" i="8" s="1"/>
  <c r="S199" i="8" a="1"/>
  <c r="S199" i="8" s="1"/>
  <c r="T197" i="8" a="1"/>
  <c r="T197" i="8" s="1"/>
  <c r="S197" i="8" a="1"/>
  <c r="S197" i="8" s="1"/>
  <c r="T196" i="8" a="1"/>
  <c r="T196" i="8" s="1"/>
  <c r="S196" i="8" a="1"/>
  <c r="S196" i="8" s="1"/>
  <c r="T194" i="8" a="1"/>
  <c r="T194" i="8" s="1"/>
  <c r="S194" i="8" a="1"/>
  <c r="S194" i="8" s="1"/>
  <c r="S185" i="8"/>
  <c r="T185" i="8"/>
  <c r="T182" i="8"/>
  <c r="S182" i="8"/>
  <c r="T179" i="8"/>
  <c r="S179" i="8"/>
  <c r="T176" i="8"/>
  <c r="S176" i="8"/>
  <c r="T173" i="8"/>
  <c r="S173" i="8"/>
  <c r="T170" i="8"/>
  <c r="S170" i="8"/>
  <c r="T167" i="8"/>
  <c r="S167" i="8"/>
  <c r="T164" i="8"/>
  <c r="S164" i="8"/>
  <c r="T161" i="8"/>
  <c r="S161" i="8"/>
  <c r="T158" i="8"/>
  <c r="S158" i="8"/>
  <c r="T155" i="8"/>
  <c r="S155" i="8"/>
  <c r="T152" i="8"/>
  <c r="S152" i="8"/>
  <c r="R188" i="8"/>
  <c r="Q188" i="8"/>
  <c r="P188" i="8"/>
  <c r="O188" i="8"/>
  <c r="N188" i="8"/>
  <c r="M188" i="8"/>
  <c r="L188" i="8"/>
  <c r="K188" i="8"/>
  <c r="J188" i="8"/>
  <c r="I188" i="8"/>
  <c r="H188" i="8"/>
  <c r="G188" i="8"/>
  <c r="R187" i="8"/>
  <c r="Q187" i="8"/>
  <c r="P187" i="8"/>
  <c r="O187" i="8"/>
  <c r="N187" i="8"/>
  <c r="N297" i="8" s="1"/>
  <c r="M187" i="8"/>
  <c r="L187" i="8"/>
  <c r="K187" i="8"/>
  <c r="J187" i="8"/>
  <c r="I187" i="8"/>
  <c r="H187" i="8"/>
  <c r="G187" i="8"/>
  <c r="E187" i="8"/>
  <c r="D187" i="8"/>
  <c r="T186" i="8" a="1"/>
  <c r="T186" i="8" s="1"/>
  <c r="S186" i="8" a="1"/>
  <c r="S186" i="8" s="1"/>
  <c r="T184" i="8" a="1"/>
  <c r="T184" i="8" s="1"/>
  <c r="S184" i="8" a="1"/>
  <c r="S184" i="8" s="1"/>
  <c r="T183" i="8" a="1"/>
  <c r="T183" i="8" s="1"/>
  <c r="S183" i="8" a="1"/>
  <c r="S183" i="8" s="1"/>
  <c r="T181" i="8" a="1"/>
  <c r="T181" i="8" s="1"/>
  <c r="S181" i="8" a="1"/>
  <c r="S181" i="8" s="1"/>
  <c r="T180" i="8" a="1"/>
  <c r="T180" i="8" s="1"/>
  <c r="S180" i="8" a="1"/>
  <c r="S180" i="8" s="1"/>
  <c r="T178" i="8" a="1"/>
  <c r="T178" i="8" s="1"/>
  <c r="S178" i="8" a="1"/>
  <c r="S178" i="8" s="1"/>
  <c r="T177" i="8" a="1"/>
  <c r="T177" i="8" s="1"/>
  <c r="S177" i="8" a="1"/>
  <c r="S177" i="8" s="1"/>
  <c r="T175" i="8" a="1"/>
  <c r="T175" i="8" s="1"/>
  <c r="S175" i="8" a="1"/>
  <c r="S175" i="8" s="1"/>
  <c r="T174" i="8" a="1"/>
  <c r="T174" i="8" s="1"/>
  <c r="S174" i="8" a="1"/>
  <c r="S174" i="8" s="1"/>
  <c r="T172" i="8" a="1"/>
  <c r="T172" i="8" s="1"/>
  <c r="S172" i="8" a="1"/>
  <c r="S172" i="8" s="1"/>
  <c r="T171" i="8" a="1"/>
  <c r="T171" i="8" s="1"/>
  <c r="S171" i="8" a="1"/>
  <c r="S171" i="8" s="1"/>
  <c r="T169" i="8" a="1"/>
  <c r="T169" i="8" s="1"/>
  <c r="S169" i="8" a="1"/>
  <c r="S169" i="8" s="1"/>
  <c r="T168" i="8" a="1"/>
  <c r="T168" i="8" s="1"/>
  <c r="S168" i="8" a="1"/>
  <c r="S168" i="8" s="1"/>
  <c r="T166" i="8" a="1"/>
  <c r="T166" i="8" s="1"/>
  <c r="S166" i="8" a="1"/>
  <c r="S166" i="8" s="1"/>
  <c r="T165" i="8" a="1"/>
  <c r="T165" i="8" s="1"/>
  <c r="S165" i="8" a="1"/>
  <c r="S165" i="8" s="1"/>
  <c r="T163" i="8" a="1"/>
  <c r="T163" i="8" s="1"/>
  <c r="S163" i="8" a="1"/>
  <c r="S163" i="8" s="1"/>
  <c r="T162" i="8" a="1"/>
  <c r="T162" i="8" s="1"/>
  <c r="S162" i="8" a="1"/>
  <c r="S162" i="8" s="1"/>
  <c r="T160" i="8" a="1"/>
  <c r="T160" i="8" s="1"/>
  <c r="S160" i="8" a="1"/>
  <c r="S160" i="8" s="1"/>
  <c r="T159" i="8" a="1"/>
  <c r="T159" i="8" s="1"/>
  <c r="S159" i="8" a="1"/>
  <c r="S159" i="8" s="1"/>
  <c r="T157" i="8" a="1"/>
  <c r="T157" i="8" s="1"/>
  <c r="S157" i="8" a="1"/>
  <c r="S157" i="8" s="1"/>
  <c r="T156" i="8" a="1"/>
  <c r="T156" i="8" s="1"/>
  <c r="S156" i="8" a="1"/>
  <c r="S156" i="8" s="1"/>
  <c r="T154" i="8" a="1"/>
  <c r="T154" i="8" s="1"/>
  <c r="S154" i="8" a="1"/>
  <c r="S154" i="8" s="1"/>
  <c r="T153" i="8" a="1"/>
  <c r="T153" i="8" s="1"/>
  <c r="S153" i="8" a="1"/>
  <c r="S153" i="8" s="1"/>
  <c r="T151" i="8" a="1"/>
  <c r="T151" i="8" s="1"/>
  <c r="S151" i="8" a="1"/>
  <c r="S151" i="8" s="1"/>
  <c r="P145" i="8"/>
  <c r="O145" i="8"/>
  <c r="N145" i="8"/>
  <c r="M145" i="8"/>
  <c r="L145" i="8"/>
  <c r="K145" i="8"/>
  <c r="J145" i="8"/>
  <c r="I145" i="8"/>
  <c r="H145" i="8"/>
  <c r="G145" i="8"/>
  <c r="P144" i="8"/>
  <c r="O144" i="8"/>
  <c r="N144" i="8"/>
  <c r="M144" i="8"/>
  <c r="L144" i="8"/>
  <c r="K144" i="8"/>
  <c r="J144" i="8"/>
  <c r="I144" i="8"/>
  <c r="H144" i="8"/>
  <c r="G144" i="8"/>
  <c r="E144" i="8"/>
  <c r="D144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E131" i="8"/>
  <c r="D131" i="8"/>
  <c r="R98" i="8"/>
  <c r="Q98" i="8"/>
  <c r="P98" i="8"/>
  <c r="O98" i="8"/>
  <c r="N98" i="8"/>
  <c r="M98" i="8"/>
  <c r="L98" i="8"/>
  <c r="K98" i="8"/>
  <c r="J98" i="8"/>
  <c r="I98" i="8"/>
  <c r="H98" i="8"/>
  <c r="G98" i="8"/>
  <c r="R97" i="8"/>
  <c r="Q97" i="8"/>
  <c r="P97" i="8"/>
  <c r="O97" i="8"/>
  <c r="N97" i="8"/>
  <c r="M97" i="8"/>
  <c r="L97" i="8"/>
  <c r="K97" i="8"/>
  <c r="J97" i="8"/>
  <c r="I97" i="8"/>
  <c r="H97" i="8"/>
  <c r="G97" i="8"/>
  <c r="E97" i="8"/>
  <c r="D97" i="8"/>
  <c r="R76" i="8"/>
  <c r="Q76" i="8"/>
  <c r="P76" i="8"/>
  <c r="O76" i="8"/>
  <c r="N76" i="8"/>
  <c r="M76" i="8"/>
  <c r="L76" i="8"/>
  <c r="K76" i="8"/>
  <c r="J76" i="8"/>
  <c r="I76" i="8"/>
  <c r="H76" i="8"/>
  <c r="G76" i="8"/>
  <c r="R75" i="8"/>
  <c r="Q75" i="8"/>
  <c r="P75" i="8"/>
  <c r="O75" i="8"/>
  <c r="N75" i="8"/>
  <c r="M75" i="8"/>
  <c r="L75" i="8"/>
  <c r="K75" i="8"/>
  <c r="J75" i="8"/>
  <c r="I75" i="8"/>
  <c r="H75" i="8"/>
  <c r="G75" i="8"/>
  <c r="E75" i="8"/>
  <c r="D75" i="8"/>
  <c r="R48" i="8"/>
  <c r="Q48" i="8"/>
  <c r="P48" i="8"/>
  <c r="O48" i="8"/>
  <c r="N48" i="8"/>
  <c r="M48" i="8"/>
  <c r="L48" i="8"/>
  <c r="K48" i="8"/>
  <c r="J48" i="8"/>
  <c r="I48" i="8"/>
  <c r="H48" i="8"/>
  <c r="G48" i="8"/>
  <c r="R47" i="8"/>
  <c r="Q47" i="8"/>
  <c r="P47" i="8"/>
  <c r="O47" i="8"/>
  <c r="N47" i="8"/>
  <c r="M47" i="8"/>
  <c r="L47" i="8"/>
  <c r="K47" i="8"/>
  <c r="J47" i="8"/>
  <c r="I47" i="8"/>
  <c r="H47" i="8"/>
  <c r="G47" i="8"/>
  <c r="E47" i="8"/>
  <c r="D47" i="8"/>
  <c r="AG146" i="7"/>
  <c r="AF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G146" i="7"/>
  <c r="G147" i="7"/>
  <c r="G143" i="7"/>
  <c r="AG143" i="7"/>
  <c r="AF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4" i="7"/>
  <c r="J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I130" i="7"/>
  <c r="H130" i="7"/>
  <c r="G130" i="7"/>
  <c r="G96" i="7"/>
  <c r="I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H96" i="7"/>
  <c r="G74" i="7"/>
  <c r="G75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7" i="7"/>
  <c r="AG12" i="7" a="1"/>
  <c r="AG12" i="7" s="1"/>
  <c r="AF12" i="7" a="1"/>
  <c r="AF12" i="7" s="1"/>
  <c r="AG140" i="7" a="1"/>
  <c r="AG140" i="7" s="1"/>
  <c r="AF140" i="7" a="1"/>
  <c r="AF140" i="7" s="1"/>
  <c r="AG139" i="7" a="1"/>
  <c r="AG139" i="7" s="1"/>
  <c r="AF139" i="7" a="1"/>
  <c r="AF139" i="7" s="1"/>
  <c r="AG137" i="7" a="1"/>
  <c r="AG137" i="7" s="1"/>
  <c r="AF137" i="7" a="1"/>
  <c r="AF137" i="7" s="1"/>
  <c r="AG106" i="7" a="1"/>
  <c r="AG106" i="7" s="1"/>
  <c r="AF106" i="7" a="1"/>
  <c r="AF106" i="7" s="1"/>
  <c r="AG105" i="7" a="1"/>
  <c r="AG105" i="7" s="1"/>
  <c r="AF105" i="7" a="1"/>
  <c r="AF105" i="7" s="1"/>
  <c r="AG103" i="7" a="1"/>
  <c r="AG103" i="7" s="1"/>
  <c r="AF103" i="7" a="1"/>
  <c r="AF103" i="7" s="1"/>
  <c r="AG84" i="7" a="1"/>
  <c r="AG84" i="7" s="1"/>
  <c r="AF84" i="7" a="1"/>
  <c r="AF84" i="7" s="1"/>
  <c r="AG83" i="7" a="1"/>
  <c r="AG83" i="7" s="1"/>
  <c r="AF83" i="7" a="1"/>
  <c r="AF83" i="7" s="1"/>
  <c r="AG81" i="7" a="1"/>
  <c r="AG81" i="7" s="1"/>
  <c r="AF81" i="7" a="1"/>
  <c r="AF81" i="7" s="1"/>
  <c r="AG56" i="7" a="1"/>
  <c r="AG56" i="7" s="1"/>
  <c r="AF56" i="7" a="1"/>
  <c r="AF56" i="7" s="1"/>
  <c r="AG55" i="7" a="1"/>
  <c r="AG55" i="7" s="1"/>
  <c r="AF55" i="7" a="1"/>
  <c r="AF55" i="7" s="1"/>
  <c r="AG53" i="7" a="1"/>
  <c r="AG53" i="7" s="1"/>
  <c r="AF53" i="7" a="1"/>
  <c r="AF53" i="7" s="1"/>
  <c r="AG13" i="7" a="1"/>
  <c r="AG13" i="7" s="1"/>
  <c r="AF13" i="7" a="1"/>
  <c r="AF13" i="7" s="1"/>
  <c r="AG142" i="7" a="1"/>
  <c r="AG142" i="7" s="1"/>
  <c r="AF142" i="7" a="1"/>
  <c r="AF142" i="7" s="1"/>
  <c r="AG141" i="7"/>
  <c r="AF141" i="7"/>
  <c r="AG138" i="7"/>
  <c r="AF138" i="7"/>
  <c r="AG129" i="7" a="1"/>
  <c r="AG129" i="7" s="1"/>
  <c r="AF129" i="7" a="1"/>
  <c r="AF129" i="7" s="1"/>
  <c r="AG128" i="7"/>
  <c r="AF128" i="7"/>
  <c r="AG126" i="7" a="1"/>
  <c r="AG126" i="7" s="1"/>
  <c r="AF126" i="7" a="1"/>
  <c r="AF126" i="7" s="1"/>
  <c r="AG125" i="7"/>
  <c r="AF125" i="7"/>
  <c r="AG123" i="7" a="1"/>
  <c r="AG123" i="7" s="1"/>
  <c r="AF123" i="7" a="1"/>
  <c r="AF123" i="7" s="1"/>
  <c r="AG122" i="7"/>
  <c r="AF122" i="7"/>
  <c r="AG120" i="7" a="1"/>
  <c r="AG120" i="7" s="1"/>
  <c r="AF120" i="7" a="1"/>
  <c r="AF120" i="7" s="1"/>
  <c r="AG119" i="7"/>
  <c r="AF119" i="7"/>
  <c r="AG117" i="7" a="1"/>
  <c r="AG117" i="7" s="1"/>
  <c r="AF117" i="7" a="1"/>
  <c r="AF117" i="7" s="1"/>
  <c r="AG116" i="7"/>
  <c r="AF116" i="7"/>
  <c r="AG114" i="7" a="1"/>
  <c r="AG114" i="7" s="1"/>
  <c r="AF114" i="7" a="1"/>
  <c r="AF114" i="7" s="1"/>
  <c r="AG113" i="7"/>
  <c r="AF113" i="7"/>
  <c r="AG111" i="7" a="1"/>
  <c r="AG111" i="7" s="1"/>
  <c r="AF111" i="7" a="1"/>
  <c r="AF111" i="7" s="1"/>
  <c r="AG110" i="7"/>
  <c r="AF110" i="7"/>
  <c r="AG108" i="7" a="1"/>
  <c r="AG108" i="7" s="1"/>
  <c r="AF108" i="7" a="1"/>
  <c r="AF108" i="7" s="1"/>
  <c r="AG107" i="7"/>
  <c r="AF107" i="7"/>
  <c r="AG104" i="7"/>
  <c r="AF104" i="7"/>
  <c r="AG95" i="7" a="1"/>
  <c r="AG95" i="7" s="1"/>
  <c r="AF95" i="7" a="1"/>
  <c r="AF95" i="7" s="1"/>
  <c r="AG94" i="7"/>
  <c r="AF94" i="7"/>
  <c r="AG92" i="7" a="1"/>
  <c r="AG92" i="7" s="1"/>
  <c r="AF92" i="7" a="1"/>
  <c r="AF92" i="7" s="1"/>
  <c r="AG91" i="7"/>
  <c r="AF91" i="7"/>
  <c r="AG89" i="7" a="1"/>
  <c r="AG89" i="7" s="1"/>
  <c r="AF89" i="7" a="1"/>
  <c r="AF89" i="7" s="1"/>
  <c r="AG88" i="7"/>
  <c r="AF88" i="7"/>
  <c r="AG86" i="7" a="1"/>
  <c r="AG86" i="7" s="1"/>
  <c r="AF86" i="7" a="1"/>
  <c r="AF86" i="7" s="1"/>
  <c r="AG85" i="7"/>
  <c r="AF85" i="7"/>
  <c r="AG82" i="7"/>
  <c r="AF82" i="7"/>
  <c r="AF96" i="7" s="1"/>
  <c r="AG73" i="7" a="1"/>
  <c r="AG73" i="7" s="1"/>
  <c r="AF73" i="7" a="1"/>
  <c r="AF73" i="7" s="1"/>
  <c r="AG72" i="7"/>
  <c r="AF72" i="7"/>
  <c r="AG70" i="7" a="1"/>
  <c r="AG70" i="7" s="1"/>
  <c r="AF70" i="7" a="1"/>
  <c r="AF70" i="7" s="1"/>
  <c r="AG69" i="7"/>
  <c r="AF69" i="7"/>
  <c r="AG67" i="7" a="1"/>
  <c r="AG67" i="7" s="1"/>
  <c r="AF67" i="7" a="1"/>
  <c r="AF67" i="7" s="1"/>
  <c r="AG66" i="7"/>
  <c r="AF66" i="7"/>
  <c r="AG64" i="7" a="1"/>
  <c r="AG64" i="7" s="1"/>
  <c r="AF64" i="7" a="1"/>
  <c r="AF64" i="7" s="1"/>
  <c r="AG63" i="7"/>
  <c r="AF63" i="7"/>
  <c r="AG61" i="7" a="1"/>
  <c r="AG61" i="7" s="1"/>
  <c r="AF61" i="7" a="1"/>
  <c r="AF61" i="7" s="1"/>
  <c r="AG60" i="7"/>
  <c r="AF60" i="7"/>
  <c r="AG58" i="7" a="1"/>
  <c r="AG58" i="7" s="1"/>
  <c r="AF58" i="7" a="1"/>
  <c r="AF58" i="7" s="1"/>
  <c r="AG57" i="7"/>
  <c r="AF57" i="7"/>
  <c r="AG54" i="7"/>
  <c r="AF54" i="7"/>
  <c r="AG45" i="7" a="1"/>
  <c r="AG45" i="7" s="1"/>
  <c r="AF45" i="7" a="1"/>
  <c r="AF45" i="7" s="1"/>
  <c r="AG44" i="7"/>
  <c r="AF44" i="7"/>
  <c r="AG42" i="7" a="1"/>
  <c r="AG42" i="7" s="1"/>
  <c r="AF42" i="7" a="1"/>
  <c r="AF42" i="7" s="1"/>
  <c r="AG41" i="7"/>
  <c r="AF41" i="7"/>
  <c r="AG39" i="7" a="1"/>
  <c r="AG39" i="7" s="1"/>
  <c r="AF39" i="7" a="1"/>
  <c r="AF39" i="7" s="1"/>
  <c r="AG38" i="7"/>
  <c r="AF38" i="7"/>
  <c r="AG36" i="7" a="1"/>
  <c r="AG36" i="7" s="1"/>
  <c r="AF36" i="7" a="1"/>
  <c r="AF36" i="7" s="1"/>
  <c r="AG35" i="7"/>
  <c r="AF35" i="7"/>
  <c r="AG33" i="7" a="1"/>
  <c r="AG33" i="7" s="1"/>
  <c r="AF33" i="7" a="1"/>
  <c r="AF33" i="7" s="1"/>
  <c r="AG32" i="7"/>
  <c r="AF32" i="7"/>
  <c r="AG30" i="7" a="1"/>
  <c r="AG30" i="7" s="1"/>
  <c r="AF30" i="7" a="1"/>
  <c r="AF30" i="7" s="1"/>
  <c r="AG29" i="7"/>
  <c r="AF29" i="7"/>
  <c r="AG27" i="7" a="1"/>
  <c r="AG27" i="7" s="1"/>
  <c r="AF27" i="7" a="1"/>
  <c r="AF27" i="7" s="1"/>
  <c r="AG26" i="7"/>
  <c r="AF26" i="7"/>
  <c r="AG24" i="7" a="1"/>
  <c r="AG24" i="7" s="1"/>
  <c r="AF24" i="7" a="1"/>
  <c r="AF24" i="7" s="1"/>
  <c r="AG23" i="7"/>
  <c r="AF23" i="7"/>
  <c r="AG21" i="7" a="1"/>
  <c r="AG21" i="7" s="1"/>
  <c r="AF21" i="7" a="1"/>
  <c r="AF21" i="7" s="1"/>
  <c r="AG20" i="7"/>
  <c r="AF20" i="7"/>
  <c r="AG18" i="7" a="1"/>
  <c r="AG18" i="7" s="1"/>
  <c r="AF18" i="7" a="1"/>
  <c r="AF18" i="7" s="1"/>
  <c r="AG17" i="7"/>
  <c r="AF17" i="7"/>
  <c r="AG15" i="7" a="1"/>
  <c r="AG15" i="7" s="1"/>
  <c r="AF15" i="7" a="1"/>
  <c r="AF15" i="7" s="1"/>
  <c r="AG14" i="7"/>
  <c r="AF14" i="7"/>
  <c r="AF10" i="7" a="1"/>
  <c r="AF10" i="7" s="1"/>
  <c r="AG11" i="7"/>
  <c r="AF11" i="7"/>
  <c r="AG127" i="7" a="1"/>
  <c r="AG127" i="7" s="1"/>
  <c r="AF127" i="7" a="1"/>
  <c r="AF127" i="7" s="1"/>
  <c r="AG124" i="7" a="1"/>
  <c r="AG124" i="7" s="1"/>
  <c r="AF124" i="7" a="1"/>
  <c r="AF124" i="7" s="1"/>
  <c r="AG121" i="7" a="1"/>
  <c r="AG121" i="7" s="1"/>
  <c r="AF121" i="7" a="1"/>
  <c r="AF121" i="7" s="1"/>
  <c r="AG118" i="7" a="1"/>
  <c r="AG118" i="7" s="1"/>
  <c r="AF118" i="7" a="1"/>
  <c r="AF118" i="7" s="1"/>
  <c r="AG115" i="7" a="1"/>
  <c r="AG115" i="7" s="1"/>
  <c r="AF115" i="7" a="1"/>
  <c r="AF115" i="7" s="1"/>
  <c r="AG112" i="7" a="1"/>
  <c r="AG112" i="7" s="1"/>
  <c r="AF112" i="7" a="1"/>
  <c r="AF112" i="7" s="1"/>
  <c r="AG109" i="7" a="1"/>
  <c r="AG109" i="7" s="1"/>
  <c r="AF109" i="7" a="1"/>
  <c r="AF109" i="7" s="1"/>
  <c r="AG93" i="7" a="1"/>
  <c r="AG93" i="7" s="1"/>
  <c r="AF93" i="7" a="1"/>
  <c r="AF93" i="7" s="1"/>
  <c r="AG90" i="7" a="1"/>
  <c r="AG90" i="7" s="1"/>
  <c r="AF90" i="7" a="1"/>
  <c r="AF90" i="7" s="1"/>
  <c r="AG87" i="7" a="1"/>
  <c r="AG87" i="7" s="1"/>
  <c r="AF87" i="7" a="1"/>
  <c r="AF87" i="7" s="1"/>
  <c r="AG71" i="7" a="1"/>
  <c r="AG71" i="7" s="1"/>
  <c r="AF71" i="7" a="1"/>
  <c r="AF71" i="7" s="1"/>
  <c r="AG68" i="7" a="1"/>
  <c r="AG68" i="7" s="1"/>
  <c r="AF68" i="7" a="1"/>
  <c r="AF68" i="7" s="1"/>
  <c r="AG65" i="7" a="1"/>
  <c r="AG65" i="7" s="1"/>
  <c r="AF65" i="7" a="1"/>
  <c r="AF65" i="7" s="1"/>
  <c r="AG62" i="7" a="1"/>
  <c r="AG62" i="7" s="1"/>
  <c r="AF62" i="7" a="1"/>
  <c r="AF62" i="7" s="1"/>
  <c r="AG59" i="7" a="1"/>
  <c r="AG59" i="7" s="1"/>
  <c r="AF59" i="7" a="1"/>
  <c r="AF59" i="7" s="1"/>
  <c r="AG43" i="7" a="1"/>
  <c r="AG43" i="7" s="1"/>
  <c r="AF43" i="7" a="1"/>
  <c r="AF43" i="7" s="1"/>
  <c r="AG40" i="7" a="1"/>
  <c r="AG40" i="7" s="1"/>
  <c r="AF40" i="7" a="1"/>
  <c r="AF40" i="7" s="1"/>
  <c r="AG37" i="7" a="1"/>
  <c r="AG37" i="7" s="1"/>
  <c r="AF37" i="7" a="1"/>
  <c r="AF37" i="7" s="1"/>
  <c r="AG34" i="7" a="1"/>
  <c r="AG34" i="7" s="1"/>
  <c r="AF34" i="7" a="1"/>
  <c r="AF34" i="7" s="1"/>
  <c r="AG31" i="7" a="1"/>
  <c r="AG31" i="7" s="1"/>
  <c r="AF31" i="7" a="1"/>
  <c r="AF31" i="7" s="1"/>
  <c r="AG28" i="7" a="1"/>
  <c r="AG28" i="7" s="1"/>
  <c r="AF28" i="7" a="1"/>
  <c r="AF28" i="7" s="1"/>
  <c r="AG25" i="7" a="1"/>
  <c r="AG25" i="7" s="1"/>
  <c r="AF25" i="7" a="1"/>
  <c r="AF25" i="7" s="1"/>
  <c r="AG22" i="7" a="1"/>
  <c r="AG22" i="7" s="1"/>
  <c r="AF22" i="7" a="1"/>
  <c r="AF22" i="7" s="1"/>
  <c r="AG19" i="7" a="1"/>
  <c r="AG19" i="7" s="1"/>
  <c r="AF19" i="7" a="1"/>
  <c r="AF19" i="7" s="1"/>
  <c r="AG16" i="7" a="1"/>
  <c r="AG16" i="7" s="1"/>
  <c r="AF16" i="7" a="1"/>
  <c r="AF16" i="7" s="1"/>
  <c r="AG10" i="7" a="1"/>
  <c r="AG10" i="7" s="1"/>
  <c r="AC47" i="7"/>
  <c r="AD47" i="7"/>
  <c r="AC75" i="7"/>
  <c r="AD75" i="7"/>
  <c r="AC97" i="7"/>
  <c r="AD97" i="7"/>
  <c r="AC131" i="7"/>
  <c r="AD131" i="7"/>
  <c r="AC144" i="7"/>
  <c r="AD144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AB144" i="7"/>
  <c r="AB131" i="7"/>
  <c r="AB97" i="7"/>
  <c r="AB47" i="7"/>
  <c r="Z144" i="7"/>
  <c r="Z131" i="7"/>
  <c r="Z97" i="7"/>
  <c r="Z47" i="7"/>
  <c r="X144" i="7"/>
  <c r="X131" i="7"/>
  <c r="X97" i="7"/>
  <c r="X47" i="7"/>
  <c r="V144" i="7"/>
  <c r="V131" i="7"/>
  <c r="V97" i="7"/>
  <c r="V47" i="7"/>
  <c r="T144" i="7"/>
  <c r="T131" i="7"/>
  <c r="T97" i="7"/>
  <c r="T47" i="7"/>
  <c r="R144" i="7"/>
  <c r="R131" i="7"/>
  <c r="R97" i="7"/>
  <c r="R47" i="7"/>
  <c r="P144" i="7"/>
  <c r="P131" i="7"/>
  <c r="P97" i="7"/>
  <c r="P47" i="7"/>
  <c r="N144" i="7"/>
  <c r="N131" i="7"/>
  <c r="N97" i="7"/>
  <c r="N47" i="7"/>
  <c r="L144" i="7"/>
  <c r="L131" i="7"/>
  <c r="L97" i="7"/>
  <c r="L47" i="7"/>
  <c r="J144" i="7"/>
  <c r="J131" i="7"/>
  <c r="J97" i="7"/>
  <c r="J47" i="7"/>
  <c r="H144" i="7"/>
  <c r="H131" i="7"/>
  <c r="H97" i="7"/>
  <c r="H47" i="7"/>
  <c r="AA144" i="7"/>
  <c r="Y144" i="7"/>
  <c r="W144" i="7"/>
  <c r="U144" i="7"/>
  <c r="S144" i="7"/>
  <c r="Q144" i="7"/>
  <c r="O144" i="7"/>
  <c r="M144" i="7"/>
  <c r="K144" i="7"/>
  <c r="I144" i="7"/>
  <c r="E143" i="7"/>
  <c r="D143" i="7"/>
  <c r="AA131" i="7"/>
  <c r="Y131" i="7"/>
  <c r="W131" i="7"/>
  <c r="U131" i="7"/>
  <c r="S131" i="7"/>
  <c r="Q131" i="7"/>
  <c r="O131" i="7"/>
  <c r="M131" i="7"/>
  <c r="K131" i="7"/>
  <c r="I131" i="7"/>
  <c r="G131" i="7"/>
  <c r="E130" i="7"/>
  <c r="D130" i="7"/>
  <c r="AA97" i="7"/>
  <c r="Y97" i="7"/>
  <c r="W97" i="7"/>
  <c r="U97" i="7"/>
  <c r="S97" i="7"/>
  <c r="Q97" i="7"/>
  <c r="O97" i="7"/>
  <c r="M97" i="7"/>
  <c r="K97" i="7"/>
  <c r="I97" i="7"/>
  <c r="G97" i="7"/>
  <c r="E96" i="7"/>
  <c r="D96" i="7"/>
  <c r="E74" i="7"/>
  <c r="D74" i="7"/>
  <c r="AA47" i="7"/>
  <c r="Y47" i="7"/>
  <c r="W47" i="7"/>
  <c r="U47" i="7"/>
  <c r="S47" i="7"/>
  <c r="Q47" i="7"/>
  <c r="O47" i="7"/>
  <c r="M47" i="7"/>
  <c r="K47" i="7"/>
  <c r="I47" i="7"/>
  <c r="E46" i="7"/>
  <c r="D46" i="7"/>
  <c r="P206" i="4"/>
  <c r="O206" i="4"/>
  <c r="N206" i="4"/>
  <c r="M206" i="4"/>
  <c r="L206" i="4"/>
  <c r="K206" i="4"/>
  <c r="J206" i="4"/>
  <c r="I206" i="4"/>
  <c r="H206" i="4"/>
  <c r="G206" i="4"/>
  <c r="F206" i="4"/>
  <c r="E206" i="4"/>
  <c r="C206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C185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C136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C103" i="4"/>
  <c r="P61" i="4"/>
  <c r="P207" i="4" s="1"/>
  <c r="O61" i="4"/>
  <c r="O207" i="4" s="1"/>
  <c r="N61" i="4"/>
  <c r="N207" i="4" s="1"/>
  <c r="M61" i="4"/>
  <c r="M207" i="4" s="1"/>
  <c r="L61" i="4"/>
  <c r="L207" i="4" s="1"/>
  <c r="K61" i="4"/>
  <c r="K207" i="4" s="1"/>
  <c r="J61" i="4"/>
  <c r="J207" i="4" s="1"/>
  <c r="I61" i="4"/>
  <c r="I207" i="4" s="1"/>
  <c r="H61" i="4"/>
  <c r="H207" i="4" s="1"/>
  <c r="G61" i="4"/>
  <c r="G207" i="4" s="1"/>
  <c r="F61" i="4"/>
  <c r="F207" i="4" s="1"/>
  <c r="E61" i="4"/>
  <c r="E207" i="4" s="1"/>
  <c r="C61" i="4"/>
  <c r="P206" i="3"/>
  <c r="O206" i="3"/>
  <c r="N206" i="3"/>
  <c r="M206" i="3"/>
  <c r="L206" i="3"/>
  <c r="K206" i="3"/>
  <c r="J206" i="3"/>
  <c r="I206" i="3"/>
  <c r="H206" i="3"/>
  <c r="G206" i="3"/>
  <c r="F206" i="3"/>
  <c r="E206" i="3"/>
  <c r="C206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C185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C136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C103" i="3"/>
  <c r="P61" i="3"/>
  <c r="P207" i="3" s="1"/>
  <c r="O61" i="3"/>
  <c r="O207" i="3" s="1"/>
  <c r="N61" i="3"/>
  <c r="N207" i="3" s="1"/>
  <c r="M61" i="3"/>
  <c r="M207" i="3" s="1"/>
  <c r="L61" i="3"/>
  <c r="L207" i="3" s="1"/>
  <c r="K61" i="3"/>
  <c r="K207" i="3" s="1"/>
  <c r="J61" i="3"/>
  <c r="J207" i="3" s="1"/>
  <c r="I61" i="3"/>
  <c r="I207" i="3" s="1"/>
  <c r="H61" i="3"/>
  <c r="H207" i="3" s="1"/>
  <c r="G61" i="3"/>
  <c r="G207" i="3" s="1"/>
  <c r="F61" i="3"/>
  <c r="F207" i="3" s="1"/>
  <c r="E61" i="3"/>
  <c r="E207" i="3" s="1"/>
  <c r="C61" i="3"/>
  <c r="L207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D206" i="2"/>
  <c r="C206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D185" i="2"/>
  <c r="C185" i="2"/>
  <c r="Q136" i="2"/>
  <c r="P136" i="2"/>
  <c r="P207" i="2" s="1"/>
  <c r="O136" i="2"/>
  <c r="O207" i="2" s="1"/>
  <c r="N136" i="2"/>
  <c r="N207" i="2" s="1"/>
  <c r="M136" i="2"/>
  <c r="M207" i="2" s="1"/>
  <c r="L136" i="2"/>
  <c r="K136" i="2"/>
  <c r="J136" i="2"/>
  <c r="I136" i="2"/>
  <c r="H136" i="2"/>
  <c r="H207" i="2" s="1"/>
  <c r="G136" i="2"/>
  <c r="G207" i="2" s="1"/>
  <c r="F136" i="2"/>
  <c r="D136" i="2"/>
  <c r="C136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103" i="2"/>
  <c r="D207" i="2" s="1"/>
  <c r="C103" i="2"/>
  <c r="C207" i="2" s="1"/>
  <c r="Q61" i="2"/>
  <c r="Q207" i="2" s="1"/>
  <c r="P61" i="2"/>
  <c r="O61" i="2"/>
  <c r="N61" i="2"/>
  <c r="M61" i="2"/>
  <c r="L61" i="2"/>
  <c r="K61" i="2"/>
  <c r="K207" i="2" s="1"/>
  <c r="J61" i="2"/>
  <c r="J207" i="2" s="1"/>
  <c r="I61" i="2"/>
  <c r="I207" i="2" s="1"/>
  <c r="H61" i="2"/>
  <c r="G61" i="2"/>
  <c r="F61" i="2"/>
  <c r="D61" i="2"/>
  <c r="C61" i="2"/>
  <c r="Q206" i="1"/>
  <c r="P206" i="1"/>
  <c r="O206" i="1"/>
  <c r="N206" i="1"/>
  <c r="M206" i="1"/>
  <c r="L206" i="1"/>
  <c r="K206" i="1"/>
  <c r="J206" i="1"/>
  <c r="I206" i="1"/>
  <c r="H206" i="1"/>
  <c r="G206" i="1"/>
  <c r="F206" i="1"/>
  <c r="D206" i="1"/>
  <c r="C206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D185" i="1"/>
  <c r="C185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D136" i="1"/>
  <c r="C136" i="1"/>
  <c r="Q103" i="1"/>
  <c r="P103" i="1"/>
  <c r="O103" i="1"/>
  <c r="N103" i="1"/>
  <c r="M103" i="1"/>
  <c r="M207" i="1" s="1"/>
  <c r="L103" i="1"/>
  <c r="L207" i="1" s="1"/>
  <c r="K103" i="1"/>
  <c r="K207" i="1" s="1"/>
  <c r="J103" i="1"/>
  <c r="J207" i="1" s="1"/>
  <c r="I103" i="1"/>
  <c r="H103" i="1"/>
  <c r="G103" i="1"/>
  <c r="F103" i="1"/>
  <c r="D103" i="1"/>
  <c r="D207" i="1" s="1"/>
  <c r="C103" i="1"/>
  <c r="C207" i="1" s="1"/>
  <c r="Q61" i="1"/>
  <c r="Q207" i="1" s="1"/>
  <c r="P61" i="1"/>
  <c r="P207" i="1" s="1"/>
  <c r="O61" i="1"/>
  <c r="O207" i="1" s="1"/>
  <c r="N61" i="1"/>
  <c r="N207" i="1" s="1"/>
  <c r="M61" i="1"/>
  <c r="L61" i="1"/>
  <c r="K61" i="1"/>
  <c r="J61" i="1"/>
  <c r="I61" i="1"/>
  <c r="I207" i="1" s="1"/>
  <c r="H61" i="1"/>
  <c r="H207" i="1" s="1"/>
  <c r="G61" i="1"/>
  <c r="G207" i="1" s="1"/>
  <c r="F61" i="1"/>
  <c r="F207" i="1" s="1"/>
  <c r="D61" i="1"/>
  <c r="C61" i="1"/>
  <c r="L297" i="8" l="1"/>
  <c r="E286" i="8"/>
  <c r="H297" i="8"/>
  <c r="I297" i="8"/>
  <c r="J297" i="8"/>
  <c r="R297" i="8"/>
  <c r="N298" i="8"/>
  <c r="Q297" i="8"/>
  <c r="K297" i="8"/>
  <c r="G298" i="8"/>
  <c r="O298" i="8"/>
  <c r="D286" i="8"/>
  <c r="M298" i="8"/>
  <c r="S271" i="8"/>
  <c r="P297" i="8"/>
  <c r="L298" i="8"/>
  <c r="P298" i="8"/>
  <c r="I298" i="8"/>
  <c r="H298" i="8"/>
  <c r="J298" i="8"/>
  <c r="R298" i="8"/>
  <c r="M297" i="8"/>
  <c r="Q298" i="8"/>
  <c r="G297" i="8"/>
  <c r="O297" i="8"/>
  <c r="K298" i="8"/>
  <c r="G292" i="8"/>
  <c r="I292" i="8"/>
  <c r="Q292" i="8"/>
  <c r="M293" i="8"/>
  <c r="L292" i="8"/>
  <c r="O292" i="8"/>
  <c r="N292" i="8"/>
  <c r="L293" i="8"/>
  <c r="G293" i="8"/>
  <c r="O293" i="8"/>
  <c r="N293" i="8"/>
  <c r="P292" i="8"/>
  <c r="P293" i="8"/>
  <c r="I293" i="8"/>
  <c r="Q293" i="8"/>
  <c r="K293" i="8"/>
  <c r="M292" i="8"/>
  <c r="R293" i="8"/>
  <c r="J292" i="8"/>
  <c r="R292" i="8"/>
  <c r="J293" i="8"/>
  <c r="K292" i="8"/>
  <c r="T284" i="8"/>
  <c r="S284" i="8"/>
  <c r="S285" i="8"/>
  <c r="T285" i="8"/>
  <c r="T271" i="8"/>
  <c r="S272" i="8"/>
  <c r="T272" i="8"/>
  <c r="S237" i="8"/>
  <c r="T237" i="8"/>
  <c r="S238" i="8"/>
  <c r="T238" i="8"/>
  <c r="T215" i="8"/>
  <c r="S216" i="8"/>
  <c r="S215" i="8"/>
  <c r="T216" i="8"/>
  <c r="S187" i="8"/>
  <c r="T187" i="8"/>
  <c r="S188" i="8"/>
  <c r="T188" i="8"/>
  <c r="AG96" i="7"/>
  <c r="AG130" i="7"/>
  <c r="AF130" i="7"/>
  <c r="AG74" i="7"/>
  <c r="AF74" i="7"/>
  <c r="AF46" i="7"/>
  <c r="AG46" i="7"/>
  <c r="AF144" i="7"/>
  <c r="AG144" i="7"/>
  <c r="AG131" i="7"/>
  <c r="AF131" i="7"/>
  <c r="AG97" i="7"/>
  <c r="AF97" i="7"/>
  <c r="AF75" i="7"/>
  <c r="AG75" i="7"/>
  <c r="AF47" i="7"/>
  <c r="AG47" i="7"/>
  <c r="AC147" i="7"/>
  <c r="AD147" i="7"/>
  <c r="D146" i="7"/>
  <c r="AB147" i="7"/>
  <c r="Z147" i="7"/>
  <c r="X147" i="7"/>
  <c r="V147" i="7"/>
  <c r="T147" i="7"/>
  <c r="R147" i="7"/>
  <c r="P147" i="7"/>
  <c r="N147" i="7"/>
  <c r="L147" i="7"/>
  <c r="J147" i="7"/>
  <c r="Y147" i="7"/>
  <c r="K147" i="7"/>
  <c r="AA147" i="7"/>
  <c r="I147" i="7"/>
  <c r="O147" i="7"/>
  <c r="W147" i="7"/>
  <c r="M147" i="7"/>
  <c r="Q147" i="7"/>
  <c r="S147" i="7"/>
  <c r="E146" i="7"/>
  <c r="U147" i="7"/>
  <c r="T298" i="8" l="1"/>
  <c r="S298" i="8"/>
  <c r="T297" i="8"/>
  <c r="S297" i="8"/>
  <c r="AF147" i="7"/>
  <c r="AG14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<sst xmlns="http://schemas.openxmlformats.org/spreadsheetml/2006/main" count="2036" uniqueCount="81">
  <si>
    <t>POLIMA FOREST BINTULU SDN. BHD.  (Company No. 749886-W)</t>
  </si>
  <si>
    <t>ESTATE MONTHLY REPORT</t>
  </si>
  <si>
    <t>LADANG BATANG KAYAN</t>
  </si>
  <si>
    <t>GLYPHOSATE SPRAYING SELECT</t>
  </si>
  <si>
    <t>5.4 Glyphosate Spraying</t>
  </si>
  <si>
    <t>5.4.1 Oil Palm - OP 2010</t>
  </si>
  <si>
    <t>OCTOBER 2025</t>
  </si>
  <si>
    <t>Block No</t>
  </si>
  <si>
    <t>Year</t>
  </si>
  <si>
    <t>Ha
Previous</t>
  </si>
  <si>
    <t>Ha
Present</t>
  </si>
  <si>
    <t>Particular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</si>
  <si>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</si>
  <si>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</si>
  <si>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</si>
  <si>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</si>
  <si>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</si>
  <si>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</si>
  <si>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</si>
  <si>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</si>
  <si>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</si>
  <si>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</si>
  <si>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</si>
  <si>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</si>
  <si>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Round</t>
  </si>
  <si>
    <t>Date</t>
  </si>
  <si>
    <t>No.Litre</t>
  </si>
  <si>
    <t>Ha</t>
  </si>
  <si>
    <t>HA</t>
  </si>
  <si>
    <t xml:space="preserve">Total </t>
  </si>
  <si>
    <t>Total (Ha)</t>
  </si>
  <si>
    <t>5.4.2 Oil Palm - OP 2011</t>
  </si>
  <si>
    <t>No. Litre</t>
  </si>
  <si>
    <t>5.4.3 Oil Palm - OP 2012</t>
  </si>
  <si>
    <t>5.4.4 Oil Palm - OP 2015</t>
  </si>
  <si>
    <t>26A</t>
  </si>
  <si>
    <t>26B</t>
  </si>
  <si>
    <t>5.4.5 Oil Palm - OP 2016</t>
  </si>
  <si>
    <t>Grand Total</t>
  </si>
  <si>
    <t>ALLY SPRAYING SELECT</t>
  </si>
  <si>
    <t>5.5 Ally Spraying</t>
  </si>
  <si>
    <t>5.5.1 Oil Palm - OP 2010</t>
  </si>
  <si>
    <t>GM</t>
  </si>
  <si>
    <t>5.5.2 Oil Palm - OP 2011</t>
  </si>
  <si>
    <t>5.5.3 Oil Palm - OP 2012</t>
  </si>
  <si>
    <t>5.5.4 Oil Palm - OP 2015</t>
  </si>
  <si>
    <t>5.5.5 Oil Palm - OP 2016</t>
  </si>
  <si>
    <t>EMBARK 32.1EC SPRAYING SELECT</t>
  </si>
  <si>
    <t>5.6 Embark Spraying</t>
  </si>
  <si>
    <t>5.6.1 Oil Palm - OP 2010</t>
  </si>
  <si>
    <t>JANUARY 2025</t>
  </si>
  <si>
    <t>5.6.2 Oil Palm - OP 2011</t>
  </si>
  <si>
    <t>No. Bag</t>
  </si>
  <si>
    <t>5.6.3 Oil Palm - OP 2012</t>
  </si>
  <si>
    <t>5.6.4 Oil Palm - OP 2015</t>
  </si>
  <si>
    <t>5.6.5 Oil Palm - OP 2016</t>
  </si>
  <si>
    <t>BLAZER 250 SPRAYING SELECT</t>
  </si>
  <si>
    <t>5.7 Blazer Spraying</t>
  </si>
  <si>
    <t>5.7.1 Oil Palm - OP 2010</t>
  </si>
  <si>
    <t>5.7.2 Oil Palm - OP 2011</t>
  </si>
  <si>
    <t>5.7.3 Oil Palm - OP 2012</t>
  </si>
  <si>
    <t>5.7.4 Oil Palm - OP 2015</t>
  </si>
  <si>
    <t>5.7.5 Oil Palm - OP 2016</t>
  </si>
  <si>
    <t>GLY</t>
  </si>
  <si>
    <t>ALY</t>
  </si>
  <si>
    <t>No.Litre / GM</t>
  </si>
  <si>
    <t>TOTAL</t>
  </si>
  <si>
    <t>Phase</t>
  </si>
  <si>
    <t>OP2010</t>
  </si>
  <si>
    <t>OP2011</t>
  </si>
  <si>
    <t>OP2012</t>
  </si>
  <si>
    <t>OP2015</t>
  </si>
  <si>
    <t>OP2016</t>
  </si>
  <si>
    <t>GLYPHOSATE AND ALLY SPRAYING SELECT</t>
  </si>
  <si>
    <t>GRANDTOTAL</t>
  </si>
  <si>
    <t>ALY 
(GM)</t>
  </si>
  <si>
    <t>GLY
 (LITRE)</t>
  </si>
  <si>
    <t>GLYPHOSATE &amp; ALLY SPRAYING SELECT</t>
  </si>
  <si>
    <t>JAN TO JUN</t>
  </si>
  <si>
    <t>JUL TO DEC</t>
  </si>
  <si>
    <t>Ha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</si>
</sst>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12"/>
      <name val="Times New Roman"/>
      <family val="1"/>
    </font>
    <font>
      <sz val="12"/>
      <name val="Aptos Display"/>
      <family val="2"/>
    </font>
    <font>
      <b/>
      <sz val="12"/>
      <name val="Aptos Display"/>
      <family val="2"/>
    </font>
    <font>
      <i/>
      <sz val="12"/>
      <name val="Aptos Display"/>
      <family val="2"/>
    </font>
    <font>
      <b/>
      <i/>
      <sz val="12"/>
      <name val="Aptos Display"/>
      <family val="2"/>
    </font>
    <font>
      <b/>
      <i/>
      <sz val="12"/>
      <color theme="1"/>
      <name val="Aptos Display"/>
      <family val="2"/>
    </font>
    <font>
      <i/>
      <sz val="12"/>
      <color theme="1"/>
      <name val="Aptos Display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5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1" applyFont="1">
      <alignment vertical="center"/>
    </xf>
    <xf numFmtId="2" fontId="4" fillId="0" borderId="0" xfId="1" applyNumberFormat="1" applyFont="1">
      <alignment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7" fontId="5" fillId="0" borderId="0" xfId="1" quotePrefix="1" applyNumberFormat="1" applyFont="1">
      <alignment vertical="center"/>
    </xf>
    <xf numFmtId="17" fontId="5" fillId="0" borderId="0" xfId="1" quotePrefix="1" applyNumberFormat="1" applyFont="1" applyAlignment="1">
      <alignment horizontal="right" vertical="center"/>
    </xf>
    <xf numFmtId="2" fontId="2" fillId="0" borderId="0" xfId="0" applyNumberFormat="1" applyFont="1"/>
    <xf numFmtId="2" fontId="4" fillId="0" borderId="3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4" fillId="0" borderId="9" xfId="1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2" fontId="4" fillId="0" borderId="14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" fontId="2" fillId="0" borderId="25" xfId="0" applyNumberFormat="1" applyFont="1" applyBorder="1" applyAlignment="1">
      <alignment horizontal="center" vertical="center"/>
    </xf>
    <xf numFmtId="4" fontId="2" fillId="0" borderId="17" xfId="0" applyNumberFormat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" fontId="4" fillId="0" borderId="26" xfId="1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4" fontId="4" fillId="0" borderId="22" xfId="1" applyNumberFormat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2" fontId="4" fillId="0" borderId="22" xfId="1" applyNumberFormat="1" applyFont="1" applyBorder="1" applyAlignment="1">
      <alignment horizontal="center" vertical="center"/>
    </xf>
    <xf numFmtId="2" fontId="2" fillId="0" borderId="18" xfId="0" applyNumberFormat="1" applyFont="1" applyBorder="1" applyAlignment="1">
      <alignment horizontal="center" vertical="center"/>
    </xf>
    <xf numFmtId="2" fontId="4" fillId="0" borderId="26" xfId="1" applyNumberFormat="1" applyFont="1" applyBorder="1" applyAlignment="1">
      <alignment horizontal="center" vertical="center"/>
    </xf>
    <xf numFmtId="2" fontId="6" fillId="0" borderId="29" xfId="1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2" fontId="1" fillId="0" borderId="3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32" xfId="0" applyNumberFormat="1" applyFont="1" applyBorder="1" applyAlignment="1">
      <alignment horizontal="center" vertical="center"/>
    </xf>
    <xf numFmtId="17" fontId="5" fillId="0" borderId="0" xfId="1" quotePrefix="1" applyNumberFormat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/>
    <xf numFmtId="0" fontId="5" fillId="0" borderId="21" xfId="1" applyFont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4" fontId="2" fillId="0" borderId="19" xfId="0" applyNumberFormat="1" applyFont="1" applyBorder="1" applyAlignment="1">
      <alignment horizontal="center" vertical="center"/>
    </xf>
    <xf numFmtId="4" fontId="2" fillId="0" borderId="11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4" fontId="4" fillId="0" borderId="24" xfId="1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" fontId="1" fillId="0" borderId="33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2" fontId="5" fillId="0" borderId="0" xfId="1" quotePrefix="1" applyNumberFormat="1" applyFont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2" fontId="2" fillId="0" borderId="25" xfId="0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4" fillId="0" borderId="24" xfId="1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4" fontId="6" fillId="0" borderId="29" xfId="1" applyNumberFormat="1" applyFont="1" applyBorder="1">
      <alignment vertical="center"/>
    </xf>
    <xf numFmtId="0" fontId="5" fillId="0" borderId="32" xfId="1" applyFont="1" applyBorder="1">
      <alignment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0" fontId="5" fillId="0" borderId="0" xfId="1" quotePrefix="1" applyFont="1" applyAlignment="1">
      <alignment horizontal="right" vertical="center"/>
    </xf>
    <xf numFmtId="0" fontId="5" fillId="0" borderId="8" xfId="1" applyFont="1" applyBorder="1" applyAlignment="1">
      <alignment horizontal="center" vertical="center" wrapText="1"/>
    </xf>
    <xf numFmtId="4" fontId="2" fillId="0" borderId="18" xfId="0" applyNumberFormat="1" applyFont="1" applyBorder="1" applyAlignment="1">
      <alignment horizontal="center" vertical="center"/>
    </xf>
    <xf numFmtId="4" fontId="4" fillId="0" borderId="34" xfId="1" applyNumberFormat="1" applyFont="1" applyBorder="1" applyAlignment="1">
      <alignment horizontal="center" vertical="center"/>
    </xf>
    <xf numFmtId="2" fontId="1" fillId="0" borderId="29" xfId="0" applyNumberFormat="1" applyFont="1" applyBorder="1" applyAlignment="1">
      <alignment horizontal="center" vertical="center"/>
    </xf>
    <xf numFmtId="2" fontId="1" fillId="0" borderId="35" xfId="0" applyNumberFormat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2" fontId="4" fillId="0" borderId="34" xfId="1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4" fontId="2" fillId="0" borderId="16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 wrapText="1"/>
    </xf>
    <xf numFmtId="0" fontId="5" fillId="0" borderId="34" xfId="1" applyFont="1" applyBorder="1" applyAlignment="1">
      <alignment horizontal="center" vertical="center"/>
    </xf>
    <xf numFmtId="2" fontId="5" fillId="0" borderId="32" xfId="1" applyNumberFormat="1" applyFont="1" applyBorder="1" applyAlignment="1">
      <alignment horizontal="center" vertical="center" wrapText="1"/>
    </xf>
    <xf numFmtId="2" fontId="5" fillId="0" borderId="29" xfId="1" applyNumberFormat="1" applyFont="1" applyBorder="1" applyAlignment="1">
      <alignment horizontal="center" vertical="center" wrapText="1"/>
    </xf>
    <xf numFmtId="0" fontId="5" fillId="0" borderId="30" xfId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5" fillId="0" borderId="32" xfId="1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" fontId="2" fillId="0" borderId="0" xfId="0" applyNumberFormat="1" applyFont="1"/>
    <xf numFmtId="4" fontId="5" fillId="0" borderId="45" xfId="1" applyNumberFormat="1" applyFont="1" applyBorder="1" applyAlignment="1">
      <alignment horizontal="center" vertical="center"/>
    </xf>
    <xf numFmtId="4" fontId="5" fillId="0" borderId="46" xfId="1" applyNumberFormat="1" applyFont="1" applyBorder="1" applyAlignment="1">
      <alignment horizontal="center" vertical="center"/>
    </xf>
    <xf numFmtId="4" fontId="2" fillId="0" borderId="43" xfId="0" applyNumberFormat="1" applyFont="1" applyBorder="1" applyAlignment="1">
      <alignment horizontal="center" vertical="center"/>
    </xf>
    <xf numFmtId="4" fontId="4" fillId="0" borderId="0" xfId="1" applyNumberFormat="1" applyFont="1">
      <alignment vertical="center"/>
    </xf>
    <xf numFmtId="0" fontId="1" fillId="0" borderId="29" xfId="0" applyFont="1" applyBorder="1" applyAlignment="1">
      <alignment horizontal="center" vertical="center" shrinkToFit="1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36" xfId="0" applyFont="1" applyBorder="1"/>
    <xf numFmtId="0" fontId="6" fillId="0" borderId="37" xfId="1" applyFont="1" applyBorder="1">
      <alignment vertical="center"/>
    </xf>
    <xf numFmtId="0" fontId="2" fillId="0" borderId="38" xfId="0" applyFont="1" applyBorder="1"/>
    <xf numFmtId="0" fontId="7" fillId="0" borderId="36" xfId="1" applyFont="1" applyBorder="1">
      <alignment vertical="center"/>
    </xf>
    <xf numFmtId="0" fontId="7" fillId="0" borderId="38" xfId="1" applyFont="1" applyBorder="1">
      <alignment vertical="center"/>
    </xf>
    <xf numFmtId="0" fontId="8" fillId="0" borderId="29" xfId="0" applyFont="1" applyBorder="1" applyAlignment="1">
      <alignment horizontal="center" vertical="center" shrinkToFit="1"/>
    </xf>
    <xf numFmtId="4" fontId="8" fillId="0" borderId="30" xfId="0" applyNumberFormat="1" applyFont="1" applyBorder="1" applyAlignment="1">
      <alignment horizontal="center" vertical="center"/>
    </xf>
    <xf numFmtId="4" fontId="8" fillId="0" borderId="32" xfId="0" applyNumberFormat="1" applyFont="1" applyBorder="1" applyAlignment="1">
      <alignment horizontal="center" vertical="center"/>
    </xf>
    <xf numFmtId="4" fontId="9" fillId="0" borderId="37" xfId="0" applyNumberFormat="1" applyFont="1" applyBorder="1"/>
    <xf numFmtId="0" fontId="9" fillId="0" borderId="0" xfId="0" applyFont="1"/>
    <xf numFmtId="0" fontId="8" fillId="0" borderId="29" xfId="0" applyFont="1" applyBorder="1" applyAlignment="1">
      <alignment horizontal="center" vertical="center"/>
    </xf>
    <xf numFmtId="4" fontId="8" fillId="0" borderId="16" xfId="0" applyNumberFormat="1" applyFont="1" applyBorder="1" applyAlignment="1">
      <alignment horizontal="center" vertical="center"/>
    </xf>
    <xf numFmtId="4" fontId="9" fillId="0" borderId="38" xfId="0" applyNumberFormat="1" applyFont="1" applyBorder="1"/>
    <xf numFmtId="2" fontId="1" fillId="0" borderId="10" xfId="0" applyNumberFormat="1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0" fontId="5" fillId="0" borderId="0" xfId="1" applyFont="1">
      <alignment vertical="center"/>
    </xf>
    <xf numFmtId="0" fontId="1" fillId="0" borderId="0" xfId="0" applyFont="1"/>
    <xf numFmtId="2" fontId="1" fillId="0" borderId="0" xfId="0" applyNumberFormat="1" applyFont="1"/>
    <xf numFmtId="4" fontId="9" fillId="0" borderId="30" xfId="0" applyNumberFormat="1" applyFont="1" applyBorder="1" applyAlignment="1">
      <alignment horizontal="center" vertical="center"/>
    </xf>
    <xf numFmtId="4" fontId="9" fillId="0" borderId="32" xfId="0" applyNumberFormat="1" applyFont="1" applyBorder="1" applyAlignment="1">
      <alignment horizontal="center" vertical="center"/>
    </xf>
    <xf numFmtId="4" fontId="9" fillId="0" borderId="16" xfId="0" applyNumberFormat="1" applyFont="1" applyBorder="1" applyAlignment="1">
      <alignment horizontal="center" vertical="center"/>
    </xf>
    <xf numFmtId="2" fontId="5" fillId="0" borderId="0" xfId="1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0" xfId="1" applyFont="1">
      <alignment vertical="center"/>
    </xf>
    <xf numFmtId="4" fontId="7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 vertical="center" wrapText="1"/>
    </xf>
    <xf numFmtId="2" fontId="5" fillId="0" borderId="8" xfId="1" applyNumberFormat="1" applyFont="1" applyBorder="1" applyAlignment="1">
      <alignment horizontal="center" vertical="center" wrapText="1"/>
    </xf>
    <xf numFmtId="2" fontId="5" fillId="0" borderId="13" xfId="1" applyNumberFormat="1" applyFont="1" applyBorder="1" applyAlignment="1">
      <alignment horizontal="center" vertical="center" wrapText="1"/>
    </xf>
    <xf numFmtId="2" fontId="5" fillId="0" borderId="3" xfId="1" applyNumberFormat="1" applyFont="1" applyBorder="1" applyAlignment="1">
      <alignment horizontal="center" vertical="center" wrapText="1"/>
    </xf>
    <xf numFmtId="2" fontId="5" fillId="0" borderId="9" xfId="1" applyNumberFormat="1" applyFont="1" applyBorder="1" applyAlignment="1">
      <alignment horizontal="center" vertical="center" wrapText="1"/>
    </xf>
    <xf numFmtId="2" fontId="5" fillId="0" borderId="14" xfId="1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2" fontId="4" fillId="0" borderId="3" xfId="1" applyNumberFormat="1" applyFont="1" applyBorder="1" applyAlignment="1">
      <alignment horizontal="center" vertical="center"/>
    </xf>
    <xf numFmtId="2" fontId="4" fillId="0" borderId="9" xfId="1" applyNumberFormat="1" applyFont="1" applyBorder="1" applyAlignment="1">
      <alignment horizontal="center" vertical="center"/>
    </xf>
    <xf numFmtId="2" fontId="4" fillId="0" borderId="14" xfId="1" applyNumberFormat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6" fillId="0" borderId="29" xfId="1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27" xfId="1" applyFont="1" applyBorder="1" applyAlignment="1">
      <alignment horizontal="right" vertical="center"/>
    </xf>
    <xf numFmtId="0" fontId="6" fillId="0" borderId="36" xfId="1" applyFont="1" applyBorder="1" applyAlignment="1">
      <alignment horizontal="right" vertical="center"/>
    </xf>
    <xf numFmtId="0" fontId="6" fillId="0" borderId="15" xfId="1" applyFont="1" applyBorder="1" applyAlignment="1">
      <alignment horizontal="right" vertical="center"/>
    </xf>
    <xf numFmtId="0" fontId="6" fillId="0" borderId="38" xfId="1" applyFont="1" applyBorder="1" applyAlignment="1">
      <alignment horizontal="right" vertical="center"/>
    </xf>
    <xf numFmtId="2" fontId="5" fillId="0" borderId="39" xfId="1" applyNumberFormat="1" applyFont="1" applyBorder="1" applyAlignment="1">
      <alignment horizontal="center" vertical="center" wrapText="1"/>
    </xf>
    <xf numFmtId="2" fontId="5" fillId="0" borderId="40" xfId="1" applyNumberFormat="1" applyFont="1" applyBorder="1" applyAlignment="1">
      <alignment horizontal="center" vertical="center" wrapText="1"/>
    </xf>
    <xf numFmtId="0" fontId="6" fillId="0" borderId="41" xfId="1" applyFont="1" applyBorder="1" applyAlignment="1">
      <alignment horizontal="right" vertical="center"/>
    </xf>
    <xf numFmtId="0" fontId="6" fillId="0" borderId="42" xfId="1" applyFont="1" applyBorder="1" applyAlignment="1">
      <alignment horizontal="right" vertical="center"/>
    </xf>
    <xf numFmtId="0" fontId="5" fillId="0" borderId="27" xfId="1" applyFont="1" applyBorder="1" applyAlignment="1">
      <alignment horizontal="center" vertical="center"/>
    </xf>
    <xf numFmtId="0" fontId="5" fillId="0" borderId="4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4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4" fontId="7" fillId="0" borderId="3" xfId="1" applyNumberFormat="1" applyFont="1" applyBorder="1" applyAlignment="1">
      <alignment horizontal="center" vertical="center"/>
    </xf>
    <xf numFmtId="4" fontId="7" fillId="0" borderId="14" xfId="1" applyNumberFormat="1" applyFont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2" fontId="6" fillId="0" borderId="14" xfId="1" applyNumberFormat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4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7" fillId="0" borderId="0" xfId="1" applyNumberFormat="1" applyFont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4" fontId="4" fillId="0" borderId="3" xfId="1" applyNumberFormat="1" applyFont="1" applyBorder="1" applyAlignment="1">
      <alignment horizontal="center" vertical="center"/>
    </xf>
    <xf numFmtId="4" fontId="4" fillId="0" borderId="9" xfId="1" applyNumberFormat="1" applyFont="1" applyBorder="1" applyAlignment="1">
      <alignment horizontal="center" vertical="center"/>
    </xf>
    <xf numFmtId="4" fontId="4" fillId="0" borderId="14" xfId="1" applyNumberFormat="1" applyFont="1" applyBorder="1" applyAlignment="1">
      <alignment horizontal="center" vertical="center"/>
    </xf>
    <xf numFmtId="0" fontId="5" fillId="0" borderId="35" xfId="1" applyFont="1" applyBorder="1" applyAlignment="1">
      <alignment horizontal="right" vertical="center"/>
    </xf>
    <xf numFmtId="0" fontId="5" fillId="0" borderId="32" xfId="1" applyFont="1" applyBorder="1" applyAlignment="1">
      <alignment horizontal="right" vertical="center"/>
    </xf>
    <xf numFmtId="2" fontId="5" fillId="0" borderId="35" xfId="1" applyNumberFormat="1" applyFont="1" applyBorder="1" applyAlignment="1">
      <alignment horizontal="right" vertical="center"/>
    </xf>
    <xf numFmtId="2" fontId="5" fillId="0" borderId="32" xfId="1" applyNumberFormat="1" applyFont="1" applyBorder="1" applyAlignment="1">
      <alignment horizontal="right" vertical="center"/>
    </xf>
    <xf numFmtId="2" fontId="5" fillId="0" borderId="37" xfId="1" applyNumberFormat="1" applyFont="1" applyBorder="1" applyAlignment="1">
      <alignment horizontal="right" vertical="center"/>
    </xf>
    <xf numFmtId="164" fontId="4" fillId="0" borderId="3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2">
    <cellStyle name="Normal" xfId="0" builtinId="0"/>
    <cellStyle name="Normal 10 2" xfId="1" xr:uid="{B270A60C-3832-47D9-99C7-DC2BCCED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C4A7-27B6-4CC5-960B-E57712FA3D81}">
  <sheetPr>
    <tabColor rgb="FFFFFF00"/>
    <pageSetUpPr fitToPage="1"/>
  </sheetPr>
  <dimension ref="A1:AD207"/>
  <sheetViews>
    <sheetView showGridLines="0" view="pageBreakPreview" zoomScale="111" zoomScaleNormal="100" zoomScaleSheetLayoutView="111" workbookViewId="0">
      <selection sqref="A1:A1048576"/>
    </sheetView>
  </sheetViews>
  <sheetFormatPr defaultRowHeight="15.75" x14ac:dyDescent="0.25"/>
  <cols>
    <col min="1" max="1" width="9.28515625" style="5" bestFit="1" customWidth="1"/>
    <col min="2" max="2" width="9.28515625" style="5" hidden="1" customWidth="1"/>
    <col min="3" max="3" width="10.28515625" style="12" customWidth="1"/>
    <col min="4" max="4" width="10.140625" style="12" bestFit="1" customWidth="1"/>
    <col min="5" max="5" width="13" style="5" customWidth="1"/>
    <col min="6" max="6" width="9.5703125" style="4" bestFit="1" customWidth="1"/>
    <col min="7" max="7" width="9.85546875" style="4" bestFit="1" customWidth="1"/>
    <col min="8" max="8" width="10" style="4" bestFit="1" customWidth="1"/>
    <col min="9" max="10" width="10.140625" style="4" bestFit="1" customWidth="1"/>
    <col min="11" max="13" width="10" style="4" bestFit="1" customWidth="1"/>
    <col min="14" max="14" width="9.5703125" style="4" bestFit="1" customWidth="1"/>
    <col min="15" max="15" width="9.85546875" style="4" bestFit="1" customWidth="1"/>
    <col min="16" max="17" width="9.5703125" style="4" bestFit="1" customWidth="1"/>
    <col min="18" max="16384" width="9.140625" style="5"/>
  </cols>
  <sheetData>
    <row r="1" spans="1:17" ht="18.75" customHeight="1" x14ac:dyDescent="0.25">
      <c r="A1" s="1" t="s">
        <v>0</v>
      </c>
      <c r="B1" s="2"/>
      <c r="C1" s="3"/>
      <c r="D1" s="3"/>
      <c r="E1" s="2"/>
    </row>
    <row r="2" spans="1:17" s="6" customFormat="1" x14ac:dyDescent="0.25">
      <c r="C2" s="7"/>
      <c r="D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6" customFormat="1" x14ac:dyDescent="0.25">
      <c r="A3" s="156" t="s">
        <v>1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s="6" customFormat="1" x14ac:dyDescent="0.25">
      <c r="A4" s="156" t="s">
        <v>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6" customFormat="1" x14ac:dyDescent="0.25">
      <c r="A5" s="156" t="s">
        <v>3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6" customFormat="1" x14ac:dyDescent="0.25">
      <c r="C6" s="7"/>
      <c r="D6" s="7"/>
    </row>
    <row r="7" spans="1:17" s="6" customFormat="1" x14ac:dyDescent="0.25">
      <c r="A7" s="6" t="s">
        <v>4</v>
      </c>
      <c r="C7" s="7"/>
      <c r="D7" s="7"/>
    </row>
    <row r="8" spans="1:17" s="6" customFormat="1" x14ac:dyDescent="0.25">
      <c r="A8" s="6" t="s">
        <v>5</v>
      </c>
      <c r="C8" s="7"/>
      <c r="D8" s="7"/>
      <c r="N8" s="10"/>
      <c r="Q8" s="11" t="s">
        <v>6</v>
      </c>
    </row>
    <row r="9" spans="1:17" ht="6.75" customHeight="1" thickBot="1" x14ac:dyDescent="0.3"/>
    <row r="10" spans="1:17" x14ac:dyDescent="0.25">
      <c r="A10" s="157" t="s">
        <v>7</v>
      </c>
      <c r="B10" s="160" t="s">
        <v>8</v>
      </c>
      <c r="C10" s="163" t="s">
        <v>9</v>
      </c>
      <c r="D10" s="166" t="s">
        <v>10</v>
      </c>
      <c r="E10" s="169" t="s">
        <v>11</v>
      </c>
      <c r="F10" s="172" t="s">
        <v>12</v>
      </c>
      <c r="G10" s="175" t="s">
        <v>13</v>
      </c>
      <c r="H10" s="175" t="s">
        <v>14</v>
      </c>
      <c r="I10" s="175" t="s">
        <v>15</v>
      </c>
      <c r="J10" s="175" t="s">
        <v>16</v>
      </c>
      <c r="K10" s="175" t="s">
        <v>17</v>
      </c>
      <c r="L10" s="175" t="s">
        <v>18</v>
      </c>
      <c r="M10" s="175" t="s">
        <v>19</v>
      </c>
      <c r="N10" s="175" t="s">
        <v>20</v>
      </c>
      <c r="O10" s="175" t="s">
        <v>21</v>
      </c>
      <c r="P10" s="175" t="s">
        <v>22</v>
      </c>
      <c r="Q10" s="178" t="s">
        <v>23</v>
      </c>
    </row>
    <row r="11" spans="1:17" x14ac:dyDescent="0.25">
      <c r="A11" s="158"/>
      <c r="B11" s="161"/>
      <c r="C11" s="164"/>
      <c r="D11" s="167"/>
      <c r="E11" s="170"/>
      <c r="F11" s="173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61"/>
    </row>
    <row r="12" spans="1:17" ht="16.5" thickBot="1" x14ac:dyDescent="0.3">
      <c r="A12" s="159"/>
      <c r="B12" s="162"/>
      <c r="C12" s="165"/>
      <c r="D12" s="168"/>
      <c r="E12" s="171"/>
      <c r="F12" s="174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9"/>
    </row>
    <row r="13" spans="1:17" x14ac:dyDescent="0.25">
      <c r="A13" s="180">
        <v>1</v>
      </c>
      <c r="B13" s="183">
        <v>2010</v>
      </c>
      <c r="C13" s="186">
        <v>53.2</v>
      </c>
      <c r="D13" s="186">
        <v>53.09</v>
      </c>
      <c r="E13" s="14" t="s">
        <v>24</v>
      </c>
      <c r="F13" s="15"/>
      <c r="G13" s="16">
        <v>1</v>
      </c>
      <c r="H13" s="16"/>
      <c r="I13" s="16"/>
      <c r="J13" s="16">
        <v>2</v>
      </c>
      <c r="K13" s="16"/>
      <c r="L13" s="16"/>
      <c r="M13" s="16">
        <v>3</v>
      </c>
      <c r="N13" s="16"/>
      <c r="O13" s="17"/>
      <c r="P13" s="18"/>
      <c r="Q13" s="19"/>
    </row>
    <row r="14" spans="1:17" ht="15.75" hidden="1" customHeight="1" x14ac:dyDescent="0.25">
      <c r="A14" s="181"/>
      <c r="B14" s="184"/>
      <c r="C14" s="187"/>
      <c r="D14" s="187"/>
      <c r="E14" s="21" t="s">
        <v>25</v>
      </c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 x14ac:dyDescent="0.25">
      <c r="A15" s="181"/>
      <c r="B15" s="184"/>
      <c r="C15" s="187"/>
      <c r="D15" s="187"/>
      <c r="E15" s="21" t="s">
        <v>26</v>
      </c>
      <c r="F15" s="22"/>
      <c r="G15" s="23">
        <v>40</v>
      </c>
      <c r="H15" s="25"/>
      <c r="I15" s="23"/>
      <c r="J15" s="23">
        <v>40</v>
      </c>
      <c r="K15" s="23"/>
      <c r="L15" s="23"/>
      <c r="M15" s="23">
        <v>40</v>
      </c>
      <c r="N15" s="23"/>
      <c r="O15" s="23"/>
      <c r="P15" s="23"/>
      <c r="Q15" s="24"/>
    </row>
    <row r="16" spans="1:17" ht="16.5" thickBot="1" x14ac:dyDescent="0.3">
      <c r="A16" s="182"/>
      <c r="B16" s="185"/>
      <c r="C16" s="188"/>
      <c r="D16" s="188"/>
      <c r="E16" s="27" t="s">
        <v>27</v>
      </c>
      <c r="F16" s="28"/>
      <c r="G16" s="29">
        <v>53.2</v>
      </c>
      <c r="H16" s="30"/>
      <c r="I16" s="31"/>
      <c r="J16" s="29">
        <v>53.2</v>
      </c>
      <c r="K16" s="32"/>
      <c r="L16" s="31"/>
      <c r="M16" s="29">
        <v>53.2</v>
      </c>
      <c r="N16" s="32"/>
      <c r="O16" s="32"/>
      <c r="P16" s="33"/>
      <c r="Q16" s="34"/>
    </row>
    <row r="17" spans="1:21" x14ac:dyDescent="0.25">
      <c r="A17" s="189">
        <v>2</v>
      </c>
      <c r="B17" s="183">
        <v>2010</v>
      </c>
      <c r="C17" s="186">
        <v>60.4</v>
      </c>
      <c r="D17" s="186">
        <v>60.27</v>
      </c>
      <c r="E17" s="14" t="s">
        <v>24</v>
      </c>
      <c r="F17" s="17"/>
      <c r="G17" s="17"/>
      <c r="H17" s="17"/>
      <c r="I17" s="17">
        <v>1</v>
      </c>
      <c r="J17" s="18"/>
      <c r="K17" s="17"/>
      <c r="L17" s="17">
        <v>2</v>
      </c>
      <c r="M17" s="17"/>
      <c r="N17" s="17"/>
      <c r="O17" s="17">
        <v>3</v>
      </c>
      <c r="P17" s="17"/>
      <c r="Q17" s="35"/>
    </row>
    <row r="18" spans="1:21" ht="15.75" hidden="1" customHeight="1" x14ac:dyDescent="0.25">
      <c r="A18" s="190"/>
      <c r="B18" s="184"/>
      <c r="C18" s="187"/>
      <c r="D18" s="187"/>
      <c r="E18" s="21" t="s">
        <v>25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S18" s="8"/>
      <c r="T18" s="8"/>
      <c r="U18" s="8"/>
    </row>
    <row r="19" spans="1:21" x14ac:dyDescent="0.25">
      <c r="A19" s="190"/>
      <c r="B19" s="184"/>
      <c r="C19" s="187"/>
      <c r="D19" s="187"/>
      <c r="E19" s="21" t="s">
        <v>26</v>
      </c>
      <c r="F19" s="23"/>
      <c r="G19" s="23"/>
      <c r="H19" s="23"/>
      <c r="I19" s="23">
        <v>80</v>
      </c>
      <c r="J19" s="23"/>
      <c r="K19" s="23"/>
      <c r="L19" s="23">
        <v>80</v>
      </c>
      <c r="M19" s="23"/>
      <c r="N19" s="23"/>
      <c r="O19" s="23">
        <v>80</v>
      </c>
      <c r="P19" s="23"/>
      <c r="Q19" s="24"/>
      <c r="S19" s="8"/>
      <c r="T19" s="8"/>
      <c r="U19" s="8"/>
    </row>
    <row r="20" spans="1:21" ht="16.5" thickBot="1" x14ac:dyDescent="0.3">
      <c r="A20" s="191"/>
      <c r="B20" s="185"/>
      <c r="C20" s="188"/>
      <c r="D20" s="188"/>
      <c r="E20" s="27" t="s">
        <v>27</v>
      </c>
      <c r="F20" s="32"/>
      <c r="G20" s="31"/>
      <c r="H20" s="36"/>
      <c r="I20" s="29">
        <v>60.4</v>
      </c>
      <c r="J20" s="33"/>
      <c r="K20" s="31"/>
      <c r="L20" s="29">
        <v>60.4</v>
      </c>
      <c r="M20" s="32"/>
      <c r="N20" s="29"/>
      <c r="O20" s="29">
        <v>60.27</v>
      </c>
      <c r="P20" s="31"/>
      <c r="Q20" s="37"/>
      <c r="S20" s="8"/>
      <c r="T20" s="8"/>
      <c r="U20" s="8"/>
    </row>
    <row r="21" spans="1:21" x14ac:dyDescent="0.25">
      <c r="A21" s="189">
        <v>3</v>
      </c>
      <c r="B21" s="183">
        <v>2010</v>
      </c>
      <c r="C21" s="186">
        <v>69.2</v>
      </c>
      <c r="D21" s="186">
        <v>69.040000000000006</v>
      </c>
      <c r="E21" s="14" t="s">
        <v>24</v>
      </c>
      <c r="F21" s="38"/>
      <c r="G21" s="17"/>
      <c r="H21" s="17">
        <v>1</v>
      </c>
      <c r="I21" s="17"/>
      <c r="J21" s="17"/>
      <c r="K21" s="17">
        <v>2</v>
      </c>
      <c r="L21" s="17"/>
      <c r="M21" s="17"/>
      <c r="N21" s="17">
        <v>3</v>
      </c>
      <c r="O21" s="18"/>
      <c r="P21" s="17"/>
      <c r="Q21" s="35"/>
      <c r="S21" s="8"/>
      <c r="T21" s="8"/>
      <c r="U21" s="8"/>
    </row>
    <row r="22" spans="1:21" ht="15.75" hidden="1" customHeight="1" x14ac:dyDescent="0.25">
      <c r="A22" s="190"/>
      <c r="B22" s="184"/>
      <c r="C22" s="187"/>
      <c r="D22" s="187"/>
      <c r="E22" s="21" t="s">
        <v>25</v>
      </c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S22" s="8"/>
      <c r="T22" s="8"/>
      <c r="U22" s="8"/>
    </row>
    <row r="23" spans="1:21" x14ac:dyDescent="0.25">
      <c r="A23" s="190"/>
      <c r="B23" s="184"/>
      <c r="C23" s="187"/>
      <c r="D23" s="187"/>
      <c r="E23" s="21" t="s">
        <v>26</v>
      </c>
      <c r="F23" s="22"/>
      <c r="G23" s="23"/>
      <c r="H23" s="23">
        <v>60</v>
      </c>
      <c r="I23" s="23"/>
      <c r="J23" s="23"/>
      <c r="K23" s="23">
        <v>60</v>
      </c>
      <c r="L23" s="23"/>
      <c r="M23" s="23"/>
      <c r="N23" s="23">
        <v>60</v>
      </c>
      <c r="O23" s="23"/>
      <c r="P23" s="23"/>
      <c r="Q23" s="24"/>
      <c r="S23" s="8"/>
      <c r="T23" s="8"/>
      <c r="U23" s="8"/>
    </row>
    <row r="24" spans="1:21" ht="16.5" thickBot="1" x14ac:dyDescent="0.3">
      <c r="A24" s="191"/>
      <c r="B24" s="185"/>
      <c r="C24" s="188"/>
      <c r="D24" s="188"/>
      <c r="E24" s="27" t="s">
        <v>27</v>
      </c>
      <c r="F24" s="39"/>
      <c r="G24" s="29"/>
      <c r="H24" s="40">
        <v>69.2</v>
      </c>
      <c r="I24" s="32"/>
      <c r="J24" s="31"/>
      <c r="K24" s="29">
        <v>69.2</v>
      </c>
      <c r="L24" s="32"/>
      <c r="M24" s="29"/>
      <c r="N24" s="31">
        <v>69.2</v>
      </c>
      <c r="O24" s="33"/>
      <c r="P24" s="32"/>
      <c r="Q24" s="37"/>
      <c r="S24" s="8"/>
      <c r="T24" s="8"/>
      <c r="U24" s="8"/>
    </row>
    <row r="25" spans="1:21" x14ac:dyDescent="0.25">
      <c r="A25" s="189">
        <v>4</v>
      </c>
      <c r="B25" s="183">
        <v>2010</v>
      </c>
      <c r="C25" s="186">
        <v>70.599999999999994</v>
      </c>
      <c r="D25" s="186">
        <v>70.510000000000005</v>
      </c>
      <c r="E25" s="14" t="s">
        <v>24</v>
      </c>
      <c r="F25" s="38"/>
      <c r="G25" s="17"/>
      <c r="H25" s="17">
        <v>1</v>
      </c>
      <c r="I25" s="18"/>
      <c r="J25" s="17"/>
      <c r="K25" s="17">
        <v>2</v>
      </c>
      <c r="L25" s="17"/>
      <c r="M25" s="17"/>
      <c r="N25" s="17">
        <v>3</v>
      </c>
      <c r="O25" s="17"/>
      <c r="P25" s="17"/>
      <c r="Q25" s="19"/>
      <c r="S25" s="8"/>
      <c r="T25" s="8"/>
      <c r="U25" s="8"/>
    </row>
    <row r="26" spans="1:21" ht="15.75" hidden="1" customHeight="1" x14ac:dyDescent="0.25">
      <c r="A26" s="190"/>
      <c r="B26" s="184"/>
      <c r="C26" s="187"/>
      <c r="D26" s="187"/>
      <c r="E26" s="21" t="s">
        <v>25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S26" s="8"/>
      <c r="T26" s="8"/>
      <c r="U26" s="8"/>
    </row>
    <row r="27" spans="1:21" x14ac:dyDescent="0.25">
      <c r="A27" s="190"/>
      <c r="B27" s="184"/>
      <c r="C27" s="187"/>
      <c r="D27" s="187"/>
      <c r="E27" s="21" t="s">
        <v>26</v>
      </c>
      <c r="F27" s="22"/>
      <c r="G27" s="23"/>
      <c r="H27" s="23">
        <v>60</v>
      </c>
      <c r="I27" s="23"/>
      <c r="J27" s="23"/>
      <c r="K27" s="23">
        <v>60</v>
      </c>
      <c r="L27" s="23"/>
      <c r="M27" s="23"/>
      <c r="N27" s="23">
        <v>60</v>
      </c>
      <c r="O27" s="23"/>
      <c r="P27" s="23"/>
      <c r="Q27" s="24"/>
      <c r="S27" s="8"/>
      <c r="T27" s="8"/>
      <c r="U27" s="8"/>
    </row>
    <row r="28" spans="1:21" ht="16.5" thickBot="1" x14ac:dyDescent="0.3">
      <c r="A28" s="191"/>
      <c r="B28" s="185"/>
      <c r="C28" s="188"/>
      <c r="D28" s="188"/>
      <c r="E28" s="27" t="s">
        <v>27</v>
      </c>
      <c r="F28" s="39"/>
      <c r="G28" s="29"/>
      <c r="H28" s="29">
        <v>70.599999999999994</v>
      </c>
      <c r="I28" s="41"/>
      <c r="J28" s="31"/>
      <c r="K28" s="29">
        <v>70.599999999999994</v>
      </c>
      <c r="L28" s="32"/>
      <c r="M28" s="29"/>
      <c r="N28" s="42">
        <v>70.599999999999994</v>
      </c>
      <c r="O28" s="32"/>
      <c r="P28" s="32"/>
      <c r="Q28" s="34"/>
      <c r="S28" s="8"/>
      <c r="T28" s="8"/>
      <c r="U28" s="8"/>
    </row>
    <row r="29" spans="1:21" x14ac:dyDescent="0.25">
      <c r="A29" s="189">
        <v>5</v>
      </c>
      <c r="B29" s="183">
        <v>2010</v>
      </c>
      <c r="C29" s="186">
        <v>50.4</v>
      </c>
      <c r="D29" s="186">
        <v>50.4</v>
      </c>
      <c r="E29" s="14" t="s">
        <v>24</v>
      </c>
      <c r="F29" s="38"/>
      <c r="G29" s="17">
        <v>1</v>
      </c>
      <c r="H29" s="18"/>
      <c r="I29" s="17"/>
      <c r="J29" s="17"/>
      <c r="K29" s="17">
        <v>2</v>
      </c>
      <c r="L29" s="17"/>
      <c r="M29" s="17">
        <v>3</v>
      </c>
      <c r="N29" s="17"/>
      <c r="O29" s="17"/>
      <c r="P29" s="17"/>
      <c r="Q29" s="35"/>
      <c r="S29" s="8"/>
      <c r="T29" s="8"/>
      <c r="U29" s="8"/>
    </row>
    <row r="30" spans="1:21" ht="15.75" hidden="1" customHeight="1" x14ac:dyDescent="0.25">
      <c r="A30" s="190"/>
      <c r="B30" s="184"/>
      <c r="C30" s="187"/>
      <c r="D30" s="187"/>
      <c r="E30" s="21" t="s">
        <v>25</v>
      </c>
      <c r="F30" s="2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S30" s="8"/>
      <c r="T30" s="8"/>
      <c r="U30" s="8"/>
    </row>
    <row r="31" spans="1:21" x14ac:dyDescent="0.25">
      <c r="A31" s="190"/>
      <c r="B31" s="184"/>
      <c r="C31" s="187"/>
      <c r="D31" s="187"/>
      <c r="E31" s="21" t="s">
        <v>26</v>
      </c>
      <c r="F31" s="22"/>
      <c r="G31" s="23">
        <v>40</v>
      </c>
      <c r="H31" s="23"/>
      <c r="I31" s="23"/>
      <c r="J31" s="23"/>
      <c r="K31" s="23">
        <v>40</v>
      </c>
      <c r="L31" s="23"/>
      <c r="M31" s="23">
        <v>40</v>
      </c>
      <c r="N31" s="23"/>
      <c r="O31" s="23"/>
      <c r="P31" s="23"/>
      <c r="Q31" s="24"/>
      <c r="S31" s="8"/>
      <c r="T31" s="8"/>
      <c r="U31" s="8"/>
    </row>
    <row r="32" spans="1:21" ht="16.5" thickBot="1" x14ac:dyDescent="0.3">
      <c r="A32" s="191"/>
      <c r="B32" s="185"/>
      <c r="C32" s="188"/>
      <c r="D32" s="188"/>
      <c r="E32" s="27" t="s">
        <v>27</v>
      </c>
      <c r="F32" s="28"/>
      <c r="G32" s="29">
        <v>50.4</v>
      </c>
      <c r="H32" s="33"/>
      <c r="I32" s="42"/>
      <c r="J32" s="32"/>
      <c r="K32" s="29">
        <v>50.4</v>
      </c>
      <c r="L32" s="31"/>
      <c r="M32" s="29">
        <v>50.4</v>
      </c>
      <c r="N32" s="40"/>
      <c r="O32" s="32"/>
      <c r="P32" s="32"/>
      <c r="Q32" s="37"/>
      <c r="S32" s="8"/>
      <c r="T32" s="8"/>
      <c r="U32" s="8"/>
    </row>
    <row r="33" spans="1:17" x14ac:dyDescent="0.25">
      <c r="A33" s="189">
        <v>6</v>
      </c>
      <c r="B33" s="183">
        <v>2010</v>
      </c>
      <c r="C33" s="186">
        <v>58.6</v>
      </c>
      <c r="D33" s="186">
        <v>58.6</v>
      </c>
      <c r="E33" s="14" t="s">
        <v>24</v>
      </c>
      <c r="F33" s="38"/>
      <c r="G33" s="17"/>
      <c r="H33" s="17"/>
      <c r="I33" s="18"/>
      <c r="J33" s="17">
        <v>1</v>
      </c>
      <c r="K33" s="17"/>
      <c r="L33" s="17">
        <v>2</v>
      </c>
      <c r="M33" s="17"/>
      <c r="N33" s="17"/>
      <c r="O33" s="17">
        <v>3</v>
      </c>
      <c r="P33" s="17"/>
      <c r="Q33" s="35"/>
    </row>
    <row r="34" spans="1:17" ht="15.75" hidden="1" customHeight="1" x14ac:dyDescent="0.25">
      <c r="A34" s="190"/>
      <c r="B34" s="184"/>
      <c r="C34" s="187"/>
      <c r="D34" s="187"/>
      <c r="E34" s="21" t="s">
        <v>25</v>
      </c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</row>
    <row r="35" spans="1:17" x14ac:dyDescent="0.25">
      <c r="A35" s="190"/>
      <c r="B35" s="184"/>
      <c r="C35" s="187"/>
      <c r="D35" s="187"/>
      <c r="E35" s="21" t="s">
        <v>26</v>
      </c>
      <c r="F35" s="22"/>
      <c r="G35" s="23"/>
      <c r="H35" s="23"/>
      <c r="I35" s="23"/>
      <c r="J35" s="23">
        <v>40</v>
      </c>
      <c r="K35" s="23"/>
      <c r="L35" s="23">
        <v>60</v>
      </c>
      <c r="M35" s="23"/>
      <c r="N35" s="23"/>
      <c r="O35" s="23">
        <v>40</v>
      </c>
      <c r="P35" s="23"/>
      <c r="Q35" s="24"/>
    </row>
    <row r="36" spans="1:17" ht="16.5" thickBot="1" x14ac:dyDescent="0.3">
      <c r="A36" s="191"/>
      <c r="B36" s="185"/>
      <c r="C36" s="188"/>
      <c r="D36" s="188"/>
      <c r="E36" s="27" t="s">
        <v>27</v>
      </c>
      <c r="F36" s="39"/>
      <c r="G36" s="32"/>
      <c r="H36" s="29"/>
      <c r="I36" s="41"/>
      <c r="J36" s="31">
        <v>58.6</v>
      </c>
      <c r="K36" s="29"/>
      <c r="L36" s="29">
        <v>58.6</v>
      </c>
      <c r="M36" s="31"/>
      <c r="N36" s="40"/>
      <c r="O36" s="29">
        <v>58.6</v>
      </c>
      <c r="P36" s="32"/>
      <c r="Q36" s="37"/>
    </row>
    <row r="37" spans="1:17" x14ac:dyDescent="0.25">
      <c r="A37" s="189">
        <v>7</v>
      </c>
      <c r="B37" s="183">
        <v>2010</v>
      </c>
      <c r="C37" s="186">
        <v>23.6</v>
      </c>
      <c r="D37" s="186">
        <v>23.6</v>
      </c>
      <c r="E37" s="14" t="s">
        <v>24</v>
      </c>
      <c r="F37" s="38"/>
      <c r="G37" s="17">
        <v>1</v>
      </c>
      <c r="H37" s="18"/>
      <c r="I37" s="17"/>
      <c r="J37" s="17">
        <v>2</v>
      </c>
      <c r="K37" s="17"/>
      <c r="L37" s="17"/>
      <c r="M37" s="17">
        <v>3</v>
      </c>
      <c r="N37" s="17"/>
      <c r="O37" s="17"/>
      <c r="P37" s="17"/>
      <c r="Q37" s="35"/>
    </row>
    <row r="38" spans="1:17" ht="15.75" hidden="1" customHeight="1" x14ac:dyDescent="0.25">
      <c r="A38" s="190"/>
      <c r="B38" s="184"/>
      <c r="C38" s="187"/>
      <c r="D38" s="187"/>
      <c r="E38" s="21" t="s">
        <v>25</v>
      </c>
      <c r="F38" s="22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</row>
    <row r="39" spans="1:17" x14ac:dyDescent="0.25">
      <c r="A39" s="190"/>
      <c r="B39" s="184"/>
      <c r="C39" s="187"/>
      <c r="D39" s="187"/>
      <c r="E39" s="21" t="s">
        <v>26</v>
      </c>
      <c r="F39" s="22"/>
      <c r="G39" s="23">
        <v>20</v>
      </c>
      <c r="H39" s="23"/>
      <c r="I39" s="23"/>
      <c r="J39" s="23">
        <v>20</v>
      </c>
      <c r="K39" s="23"/>
      <c r="L39" s="23"/>
      <c r="M39" s="23">
        <v>20</v>
      </c>
      <c r="N39" s="23"/>
      <c r="O39" s="23"/>
      <c r="P39" s="23"/>
      <c r="Q39" s="24"/>
    </row>
    <row r="40" spans="1:17" ht="16.5" thickBot="1" x14ac:dyDescent="0.3">
      <c r="A40" s="191"/>
      <c r="B40" s="185"/>
      <c r="C40" s="188"/>
      <c r="D40" s="188"/>
      <c r="E40" s="27" t="s">
        <v>27</v>
      </c>
      <c r="F40" s="28"/>
      <c r="G40" s="29">
        <v>23.6</v>
      </c>
      <c r="H40" s="33"/>
      <c r="I40" s="36"/>
      <c r="J40" s="29">
        <v>23.6</v>
      </c>
      <c r="K40" s="31"/>
      <c r="L40" s="31"/>
      <c r="M40" s="29">
        <v>23.6</v>
      </c>
      <c r="N40" s="32"/>
      <c r="O40" s="36"/>
      <c r="P40" s="32"/>
      <c r="Q40" s="37"/>
    </row>
    <row r="41" spans="1:17" x14ac:dyDescent="0.25">
      <c r="A41" s="189">
        <v>8</v>
      </c>
      <c r="B41" s="183">
        <v>2010</v>
      </c>
      <c r="C41" s="186">
        <v>61.6</v>
      </c>
      <c r="D41" s="186">
        <v>61.6</v>
      </c>
      <c r="E41" s="14" t="s">
        <v>24</v>
      </c>
      <c r="F41" s="38"/>
      <c r="G41" s="17"/>
      <c r="H41" s="17"/>
      <c r="I41" s="17">
        <v>1</v>
      </c>
      <c r="J41" s="17"/>
      <c r="K41" s="17"/>
      <c r="L41" s="17">
        <v>2</v>
      </c>
      <c r="M41" s="17"/>
      <c r="N41" s="17"/>
      <c r="O41" s="17">
        <v>3</v>
      </c>
      <c r="P41" s="17"/>
      <c r="Q41" s="35"/>
    </row>
    <row r="42" spans="1:17" ht="15.75" hidden="1" customHeight="1" x14ac:dyDescent="0.25">
      <c r="A42" s="190"/>
      <c r="B42" s="184"/>
      <c r="C42" s="187"/>
      <c r="D42" s="187"/>
      <c r="E42" s="21" t="s">
        <v>25</v>
      </c>
      <c r="F42" s="22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</row>
    <row r="43" spans="1:17" x14ac:dyDescent="0.25">
      <c r="A43" s="190"/>
      <c r="B43" s="184"/>
      <c r="C43" s="187"/>
      <c r="D43" s="187"/>
      <c r="E43" s="21" t="s">
        <v>26</v>
      </c>
      <c r="F43" s="22"/>
      <c r="G43" s="23"/>
      <c r="H43" s="23"/>
      <c r="I43" s="23">
        <v>40</v>
      </c>
      <c r="J43" s="23"/>
      <c r="K43" s="23"/>
      <c r="L43" s="23">
        <v>40</v>
      </c>
      <c r="M43" s="23"/>
      <c r="N43" s="23"/>
      <c r="O43" s="23">
        <v>40</v>
      </c>
      <c r="P43" s="23"/>
      <c r="Q43" s="24"/>
    </row>
    <row r="44" spans="1:17" ht="16.5" thickBot="1" x14ac:dyDescent="0.3">
      <c r="A44" s="191"/>
      <c r="B44" s="185"/>
      <c r="C44" s="188"/>
      <c r="D44" s="188"/>
      <c r="E44" s="27" t="s">
        <v>28</v>
      </c>
      <c r="F44" s="39"/>
      <c r="G44" s="29"/>
      <c r="H44" s="31"/>
      <c r="I44" s="29">
        <v>61.6</v>
      </c>
      <c r="J44" s="32"/>
      <c r="K44" s="31"/>
      <c r="L44" s="29">
        <v>61.6</v>
      </c>
      <c r="M44" s="29"/>
      <c r="N44" s="29"/>
      <c r="O44" s="29">
        <v>61.6</v>
      </c>
      <c r="P44" s="32"/>
      <c r="Q44" s="43"/>
    </row>
    <row r="45" spans="1:17" x14ac:dyDescent="0.25">
      <c r="A45" s="189">
        <v>9</v>
      </c>
      <c r="B45" s="183">
        <v>2010</v>
      </c>
      <c r="C45" s="186">
        <v>38.299999999999997</v>
      </c>
      <c r="D45" s="186">
        <v>38.299999999999997</v>
      </c>
      <c r="E45" s="14" t="s">
        <v>24</v>
      </c>
      <c r="F45" s="38"/>
      <c r="G45" s="17"/>
      <c r="H45" s="17"/>
      <c r="I45" s="17">
        <v>1</v>
      </c>
      <c r="J45" s="17"/>
      <c r="K45" s="17"/>
      <c r="L45" s="17">
        <v>2</v>
      </c>
      <c r="M45" s="17"/>
      <c r="N45" s="17"/>
      <c r="O45" s="17">
        <v>3</v>
      </c>
      <c r="P45" s="17"/>
      <c r="Q45" s="35"/>
    </row>
    <row r="46" spans="1:17" ht="15.75" hidden="1" customHeight="1" x14ac:dyDescent="0.25">
      <c r="A46" s="190"/>
      <c r="B46" s="184"/>
      <c r="C46" s="187"/>
      <c r="D46" s="187"/>
      <c r="E46" s="21" t="s">
        <v>25</v>
      </c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</row>
    <row r="47" spans="1:17" x14ac:dyDescent="0.25">
      <c r="A47" s="190"/>
      <c r="B47" s="184"/>
      <c r="C47" s="187"/>
      <c r="D47" s="187"/>
      <c r="E47" s="21" t="s">
        <v>26</v>
      </c>
      <c r="F47" s="22"/>
      <c r="G47" s="23"/>
      <c r="H47" s="23"/>
      <c r="I47" s="23">
        <v>40</v>
      </c>
      <c r="J47" s="23"/>
      <c r="K47" s="23"/>
      <c r="L47" s="23">
        <v>40</v>
      </c>
      <c r="M47" s="23"/>
      <c r="N47" s="23"/>
      <c r="O47" s="23">
        <v>40</v>
      </c>
      <c r="P47" s="23"/>
      <c r="Q47" s="24"/>
    </row>
    <row r="48" spans="1:17" ht="16.5" thickBot="1" x14ac:dyDescent="0.3">
      <c r="A48" s="191"/>
      <c r="B48" s="185"/>
      <c r="C48" s="188"/>
      <c r="D48" s="188"/>
      <c r="E48" s="27" t="s">
        <v>27</v>
      </c>
      <c r="F48" s="39"/>
      <c r="G48" s="29"/>
      <c r="H48" s="31"/>
      <c r="I48" s="40">
        <v>38.299999999999997</v>
      </c>
      <c r="J48" s="31"/>
      <c r="K48" s="29"/>
      <c r="L48" s="29">
        <v>38.299999999999997</v>
      </c>
      <c r="M48" s="29"/>
      <c r="N48" s="29"/>
      <c r="O48" s="40">
        <v>38.299999999999997</v>
      </c>
      <c r="P48" s="31"/>
      <c r="Q48" s="37"/>
    </row>
    <row r="49" spans="1:17" x14ac:dyDescent="0.25">
      <c r="A49" s="189">
        <v>11</v>
      </c>
      <c r="B49" s="183">
        <v>2010</v>
      </c>
      <c r="C49" s="186">
        <v>44.5</v>
      </c>
      <c r="D49" s="186">
        <v>44.5</v>
      </c>
      <c r="E49" s="14" t="s">
        <v>24</v>
      </c>
      <c r="F49" s="38"/>
      <c r="G49" s="17"/>
      <c r="H49" s="17"/>
      <c r="I49" s="17">
        <v>1</v>
      </c>
      <c r="J49" s="17"/>
      <c r="K49" s="17"/>
      <c r="L49" s="17">
        <v>2</v>
      </c>
      <c r="M49" s="17"/>
      <c r="N49" s="17"/>
      <c r="O49" s="17">
        <v>3</v>
      </c>
      <c r="P49" s="17"/>
      <c r="Q49" s="35"/>
    </row>
    <row r="50" spans="1:17" ht="15.75" hidden="1" customHeight="1" x14ac:dyDescent="0.25">
      <c r="A50" s="190"/>
      <c r="B50" s="184"/>
      <c r="C50" s="187"/>
      <c r="D50" s="187"/>
      <c r="E50" s="21" t="s">
        <v>25</v>
      </c>
      <c r="F50" s="22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</row>
    <row r="51" spans="1:17" x14ac:dyDescent="0.25">
      <c r="A51" s="190"/>
      <c r="B51" s="184"/>
      <c r="C51" s="187"/>
      <c r="D51" s="187"/>
      <c r="E51" s="21" t="s">
        <v>26</v>
      </c>
      <c r="F51" s="22"/>
      <c r="G51" s="23"/>
      <c r="H51" s="23"/>
      <c r="I51" s="23">
        <v>40</v>
      </c>
      <c r="J51" s="23"/>
      <c r="K51" s="23"/>
      <c r="L51" s="23">
        <v>40</v>
      </c>
      <c r="M51" s="23"/>
      <c r="N51" s="23"/>
      <c r="O51" s="23">
        <v>40</v>
      </c>
      <c r="P51" s="23"/>
      <c r="Q51" s="24"/>
    </row>
    <row r="52" spans="1:17" ht="16.5" thickBot="1" x14ac:dyDescent="0.3">
      <c r="A52" s="191"/>
      <c r="B52" s="185"/>
      <c r="C52" s="188"/>
      <c r="D52" s="188"/>
      <c r="E52" s="27" t="s">
        <v>27</v>
      </c>
      <c r="F52" s="39"/>
      <c r="G52" s="29"/>
      <c r="H52" s="32"/>
      <c r="I52" s="42">
        <v>44.5</v>
      </c>
      <c r="J52" s="31"/>
      <c r="K52" s="29"/>
      <c r="L52" s="29">
        <v>44.5</v>
      </c>
      <c r="M52" s="32"/>
      <c r="N52" s="29"/>
      <c r="O52" s="40">
        <v>44.5</v>
      </c>
      <c r="P52" s="32"/>
      <c r="Q52" s="43"/>
    </row>
    <row r="53" spans="1:17" x14ac:dyDescent="0.25">
      <c r="A53" s="189">
        <v>12</v>
      </c>
      <c r="B53" s="183">
        <v>2010</v>
      </c>
      <c r="C53" s="186">
        <v>71</v>
      </c>
      <c r="D53" s="186">
        <v>71</v>
      </c>
      <c r="E53" s="14" t="s">
        <v>24</v>
      </c>
      <c r="F53" s="38"/>
      <c r="G53" s="17">
        <v>1</v>
      </c>
      <c r="H53" s="17"/>
      <c r="I53" s="17"/>
      <c r="J53" s="17"/>
      <c r="K53" s="17">
        <v>2</v>
      </c>
      <c r="L53" s="17"/>
      <c r="M53" s="17">
        <v>3</v>
      </c>
      <c r="N53" s="17"/>
      <c r="O53" s="17"/>
      <c r="P53" s="17"/>
      <c r="Q53" s="35"/>
    </row>
    <row r="54" spans="1:17" ht="15.75" hidden="1" customHeight="1" x14ac:dyDescent="0.25">
      <c r="A54" s="190"/>
      <c r="B54" s="184"/>
      <c r="C54" s="187"/>
      <c r="D54" s="187"/>
      <c r="E54" s="21" t="s">
        <v>25</v>
      </c>
      <c r="F54" s="22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4"/>
    </row>
    <row r="55" spans="1:17" x14ac:dyDescent="0.25">
      <c r="A55" s="190"/>
      <c r="B55" s="184"/>
      <c r="C55" s="187"/>
      <c r="D55" s="187"/>
      <c r="E55" s="21" t="s">
        <v>26</v>
      </c>
      <c r="F55" s="22"/>
      <c r="G55" s="23">
        <v>60</v>
      </c>
      <c r="H55" s="23"/>
      <c r="I55" s="23"/>
      <c r="J55" s="23"/>
      <c r="K55" s="23">
        <v>60</v>
      </c>
      <c r="L55" s="23"/>
      <c r="M55" s="23">
        <v>60</v>
      </c>
      <c r="N55" s="23"/>
      <c r="O55" s="23"/>
      <c r="P55" s="23"/>
      <c r="Q55" s="24"/>
    </row>
    <row r="56" spans="1:17" ht="16.5" thickBot="1" x14ac:dyDescent="0.3">
      <c r="A56" s="191"/>
      <c r="B56" s="185"/>
      <c r="C56" s="188"/>
      <c r="D56" s="188"/>
      <c r="E56" s="27" t="s">
        <v>27</v>
      </c>
      <c r="F56" s="28"/>
      <c r="G56" s="31">
        <v>71</v>
      </c>
      <c r="H56" s="32"/>
      <c r="I56" s="31"/>
      <c r="J56" s="40"/>
      <c r="K56" s="31">
        <v>71</v>
      </c>
      <c r="L56" s="32"/>
      <c r="M56" s="29">
        <v>71</v>
      </c>
      <c r="N56" s="32"/>
      <c r="O56" s="29"/>
      <c r="P56" s="32"/>
      <c r="Q56" s="37"/>
    </row>
    <row r="57" spans="1:17" x14ac:dyDescent="0.25">
      <c r="A57" s="189">
        <v>23</v>
      </c>
      <c r="B57" s="183">
        <v>2010</v>
      </c>
      <c r="C57" s="186">
        <v>14.6</v>
      </c>
      <c r="D57" s="186">
        <v>14.6</v>
      </c>
      <c r="E57" s="14" t="s">
        <v>24</v>
      </c>
      <c r="F57" s="38"/>
      <c r="G57" s="17">
        <v>1</v>
      </c>
      <c r="H57" s="17"/>
      <c r="I57" s="17"/>
      <c r="J57" s="17"/>
      <c r="K57" s="17">
        <v>2</v>
      </c>
      <c r="L57" s="17"/>
      <c r="M57" s="17">
        <v>3</v>
      </c>
      <c r="N57" s="17"/>
      <c r="O57" s="17"/>
      <c r="P57" s="17"/>
      <c r="Q57" s="35"/>
    </row>
    <row r="58" spans="1:17" ht="15.75" hidden="1" customHeight="1" x14ac:dyDescent="0.25">
      <c r="A58" s="190"/>
      <c r="B58" s="184"/>
      <c r="C58" s="187"/>
      <c r="D58" s="187"/>
      <c r="E58" s="21" t="s">
        <v>25</v>
      </c>
      <c r="F58" s="22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4"/>
    </row>
    <row r="59" spans="1:17" x14ac:dyDescent="0.25">
      <c r="A59" s="190"/>
      <c r="B59" s="184"/>
      <c r="C59" s="187"/>
      <c r="D59" s="187"/>
      <c r="E59" s="21" t="s">
        <v>26</v>
      </c>
      <c r="F59" s="22"/>
      <c r="G59" s="23">
        <v>20</v>
      </c>
      <c r="H59" s="23"/>
      <c r="I59" s="23"/>
      <c r="J59" s="23"/>
      <c r="K59" s="23">
        <v>20</v>
      </c>
      <c r="L59" s="23"/>
      <c r="M59" s="23">
        <v>20</v>
      </c>
      <c r="N59" s="23"/>
      <c r="O59" s="23"/>
      <c r="P59" s="23"/>
      <c r="Q59" s="24"/>
    </row>
    <row r="60" spans="1:17" ht="16.5" thickBot="1" x14ac:dyDescent="0.3">
      <c r="A60" s="191"/>
      <c r="B60" s="185"/>
      <c r="C60" s="188"/>
      <c r="D60" s="188"/>
      <c r="E60" s="27" t="s">
        <v>27</v>
      </c>
      <c r="F60" s="39"/>
      <c r="G60" s="29">
        <v>14.6</v>
      </c>
      <c r="H60" s="32"/>
      <c r="I60" s="44"/>
      <c r="J60" s="32"/>
      <c r="K60" s="29">
        <v>14.6</v>
      </c>
      <c r="L60" s="31"/>
      <c r="M60" s="29">
        <v>14.6</v>
      </c>
      <c r="N60" s="32"/>
      <c r="O60" s="29"/>
      <c r="P60" s="32"/>
      <c r="Q60" s="37"/>
    </row>
    <row r="61" spans="1:17" ht="16.5" thickBot="1" x14ac:dyDescent="0.3">
      <c r="A61" s="192" t="s">
        <v>29</v>
      </c>
      <c r="B61" s="192"/>
      <c r="C61" s="45">
        <f>SUM(C13:C60)</f>
        <v>616.00000000000011</v>
      </c>
      <c r="D61" s="45">
        <f>SUM(D13:D60)</f>
        <v>615.5100000000001</v>
      </c>
      <c r="E61" s="46" t="s">
        <v>30</v>
      </c>
      <c r="F61" s="47">
        <f t="shared" ref="F61:Q61" si="0">F16+F20+F24+F28+F32+F36+F40+F44+F48+F52+F56+F60</f>
        <v>0</v>
      </c>
      <c r="G61" s="48">
        <f>G16+G20+G24+G28+G32+G36+G40+G44+G48+G52+G56+G60</f>
        <v>212.79999999999998</v>
      </c>
      <c r="H61" s="48">
        <f t="shared" si="0"/>
        <v>139.80000000000001</v>
      </c>
      <c r="I61" s="48">
        <f>I16+I20+I24+I28+I32+I36+I40+I44+I48+I52+I56+I60</f>
        <v>204.8</v>
      </c>
      <c r="J61" s="48">
        <f>J16+J20+J24+J28+J32+J36+J40+J44+J48+J52+J56+J60</f>
        <v>135.4</v>
      </c>
      <c r="K61" s="48">
        <f t="shared" si="0"/>
        <v>275.80000000000007</v>
      </c>
      <c r="L61" s="48">
        <f t="shared" si="0"/>
        <v>263.39999999999998</v>
      </c>
      <c r="M61" s="48">
        <f>M16+M20+M24+M28+M32+M36+M40+M44+M48+M52+M56+M60</f>
        <v>212.79999999999998</v>
      </c>
      <c r="N61" s="48">
        <f>N16+N20+N24+N28+N32+N36+N40+N44+N48+N52+N56+N60</f>
        <v>139.80000000000001</v>
      </c>
      <c r="O61" s="48">
        <f>O16+O20+O24+O28+O32+O36+O40+O44+O48+O52+O56+O60</f>
        <v>263.27</v>
      </c>
      <c r="P61" s="48">
        <f t="shared" si="0"/>
        <v>0</v>
      </c>
      <c r="Q61" s="49">
        <f t="shared" si="0"/>
        <v>0</v>
      </c>
    </row>
    <row r="63" spans="1:17" ht="18.75" customHeight="1" x14ac:dyDescent="0.25">
      <c r="A63" s="1" t="s">
        <v>0</v>
      </c>
      <c r="B63" s="2"/>
      <c r="C63" s="3"/>
      <c r="D63" s="3"/>
      <c r="E63" s="2"/>
    </row>
    <row r="64" spans="1:17" s="6" customFormat="1" x14ac:dyDescent="0.25">
      <c r="C64" s="7"/>
      <c r="D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30" s="6" customFormat="1" x14ac:dyDescent="0.25">
      <c r="A65" s="156" t="s">
        <v>1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</row>
    <row r="66" spans="1:30" s="6" customFormat="1" x14ac:dyDescent="0.25">
      <c r="A66" s="156" t="s">
        <v>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</row>
    <row r="67" spans="1:30" s="6" customFormat="1" x14ac:dyDescent="0.25">
      <c r="A67" s="156" t="s">
        <v>3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</row>
    <row r="69" spans="1:30" s="6" customFormat="1" x14ac:dyDescent="0.25">
      <c r="A69" s="6" t="s">
        <v>31</v>
      </c>
      <c r="C69" s="7"/>
      <c r="D69" s="7"/>
      <c r="F69" s="8"/>
      <c r="G69" s="8"/>
      <c r="H69" s="8"/>
      <c r="I69" s="8"/>
      <c r="J69" s="8"/>
      <c r="K69" s="8"/>
      <c r="L69" s="8"/>
      <c r="M69" s="8"/>
      <c r="N69" s="50"/>
      <c r="O69" s="8"/>
      <c r="Q69" s="11" t="s">
        <v>6</v>
      </c>
      <c r="R69" s="51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 ht="8.25" customHeight="1" thickBot="1" x14ac:dyDescent="0.3"/>
    <row r="71" spans="1:30" x14ac:dyDescent="0.25">
      <c r="A71" s="157" t="s">
        <v>7</v>
      </c>
      <c r="B71" s="160" t="s">
        <v>8</v>
      </c>
      <c r="C71" s="163" t="s">
        <v>9</v>
      </c>
      <c r="D71" s="166" t="s">
        <v>10</v>
      </c>
      <c r="E71" s="169" t="s">
        <v>11</v>
      </c>
      <c r="F71" s="172" t="s">
        <v>12</v>
      </c>
      <c r="G71" s="175" t="s">
        <v>13</v>
      </c>
      <c r="H71" s="175" t="s">
        <v>14</v>
      </c>
      <c r="I71" s="175" t="s">
        <v>15</v>
      </c>
      <c r="J71" s="175" t="s">
        <v>16</v>
      </c>
      <c r="K71" s="175" t="s">
        <v>17</v>
      </c>
      <c r="L71" s="175" t="s">
        <v>18</v>
      </c>
      <c r="M71" s="175" t="s">
        <v>19</v>
      </c>
      <c r="N71" s="175" t="s">
        <v>20</v>
      </c>
      <c r="O71" s="175" t="s">
        <v>21</v>
      </c>
      <c r="P71" s="175" t="s">
        <v>22</v>
      </c>
      <c r="Q71" s="178" t="s">
        <v>23</v>
      </c>
    </row>
    <row r="72" spans="1:30" x14ac:dyDescent="0.25">
      <c r="A72" s="158"/>
      <c r="B72" s="161"/>
      <c r="C72" s="164"/>
      <c r="D72" s="167"/>
      <c r="E72" s="193"/>
      <c r="F72" s="173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61"/>
    </row>
    <row r="73" spans="1:30" ht="16.5" thickBot="1" x14ac:dyDescent="0.3">
      <c r="A73" s="159"/>
      <c r="B73" s="162"/>
      <c r="C73" s="165"/>
      <c r="D73" s="168"/>
      <c r="E73" s="194"/>
      <c r="F73" s="174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9"/>
    </row>
    <row r="74" spans="1:30" x14ac:dyDescent="0.25">
      <c r="A74" s="180">
        <v>10</v>
      </c>
      <c r="B74" s="183">
        <v>2011</v>
      </c>
      <c r="C74" s="186">
        <v>19.100000000000001</v>
      </c>
      <c r="D74" s="186">
        <v>19.100000000000001</v>
      </c>
      <c r="E74" s="14" t="s">
        <v>24</v>
      </c>
      <c r="F74" s="38"/>
      <c r="G74" s="17"/>
      <c r="H74" s="17"/>
      <c r="I74" s="17"/>
      <c r="J74" s="17">
        <v>1</v>
      </c>
      <c r="K74" s="17"/>
      <c r="L74" s="17">
        <v>2</v>
      </c>
      <c r="M74" s="17"/>
      <c r="N74" s="17"/>
      <c r="O74" s="17">
        <v>3</v>
      </c>
      <c r="P74" s="17"/>
      <c r="Q74" s="35"/>
    </row>
    <row r="75" spans="1:30" ht="15.75" hidden="1" customHeight="1" x14ac:dyDescent="0.25">
      <c r="A75" s="181"/>
      <c r="B75" s="184"/>
      <c r="C75" s="187"/>
      <c r="D75" s="187"/>
      <c r="E75" s="21" t="s">
        <v>25</v>
      </c>
      <c r="F75" s="22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4"/>
    </row>
    <row r="76" spans="1:30" x14ac:dyDescent="0.25">
      <c r="A76" s="181"/>
      <c r="B76" s="184"/>
      <c r="C76" s="187"/>
      <c r="D76" s="187"/>
      <c r="E76" s="21" t="s">
        <v>26</v>
      </c>
      <c r="F76" s="22"/>
      <c r="G76" s="23"/>
      <c r="H76" s="23"/>
      <c r="I76" s="23"/>
      <c r="J76" s="25">
        <v>20</v>
      </c>
      <c r="K76" s="23"/>
      <c r="L76" s="23">
        <v>20</v>
      </c>
      <c r="M76" s="23"/>
      <c r="N76" s="23"/>
      <c r="O76" s="25">
        <v>20</v>
      </c>
      <c r="P76" s="23"/>
      <c r="Q76" s="24"/>
    </row>
    <row r="77" spans="1:30" ht="16.5" thickBot="1" x14ac:dyDescent="0.3">
      <c r="A77" s="182"/>
      <c r="B77" s="185"/>
      <c r="C77" s="188"/>
      <c r="D77" s="188"/>
      <c r="E77" s="27" t="s">
        <v>27</v>
      </c>
      <c r="F77" s="39"/>
      <c r="G77" s="29"/>
      <c r="H77" s="31"/>
      <c r="I77" s="32"/>
      <c r="J77" s="44">
        <v>19.100000000000001</v>
      </c>
      <c r="K77" s="29"/>
      <c r="L77" s="29">
        <v>19.100000000000001</v>
      </c>
      <c r="M77" s="29"/>
      <c r="N77" s="29"/>
      <c r="O77" s="36">
        <v>19.100000000000001</v>
      </c>
      <c r="P77" s="32"/>
      <c r="Q77" s="43"/>
    </row>
    <row r="78" spans="1:30" x14ac:dyDescent="0.25">
      <c r="A78" s="189">
        <v>13</v>
      </c>
      <c r="B78" s="183">
        <v>2011</v>
      </c>
      <c r="C78" s="186">
        <v>60.8</v>
      </c>
      <c r="D78" s="186">
        <v>60.8</v>
      </c>
      <c r="E78" s="14" t="s">
        <v>24</v>
      </c>
      <c r="F78" s="38"/>
      <c r="G78" s="17">
        <v>1</v>
      </c>
      <c r="H78" s="17"/>
      <c r="I78" s="17"/>
      <c r="J78" s="17">
        <v>2</v>
      </c>
      <c r="K78" s="18"/>
      <c r="L78" s="17"/>
      <c r="M78" s="17">
        <v>3</v>
      </c>
      <c r="N78" s="17"/>
      <c r="O78" s="17"/>
      <c r="P78" s="17"/>
      <c r="Q78" s="35"/>
    </row>
    <row r="79" spans="1:30" ht="15.75" hidden="1" customHeight="1" x14ac:dyDescent="0.25">
      <c r="A79" s="190"/>
      <c r="B79" s="184"/>
      <c r="C79" s="187"/>
      <c r="D79" s="187"/>
      <c r="E79" s="21" t="s">
        <v>25</v>
      </c>
      <c r="F79" s="22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4"/>
    </row>
    <row r="80" spans="1:30" x14ac:dyDescent="0.25">
      <c r="A80" s="190"/>
      <c r="B80" s="184"/>
      <c r="C80" s="187"/>
      <c r="D80" s="187"/>
      <c r="E80" s="21" t="s">
        <v>26</v>
      </c>
      <c r="F80" s="22"/>
      <c r="G80" s="23">
        <v>40</v>
      </c>
      <c r="H80" s="23"/>
      <c r="I80" s="23"/>
      <c r="J80" s="23">
        <v>40</v>
      </c>
      <c r="K80" s="23"/>
      <c r="L80" s="23"/>
      <c r="M80" s="23">
        <v>40</v>
      </c>
      <c r="N80" s="23"/>
      <c r="O80" s="23"/>
      <c r="P80" s="23"/>
      <c r="Q80" s="24"/>
    </row>
    <row r="81" spans="1:22" ht="16.5" thickBot="1" x14ac:dyDescent="0.3">
      <c r="A81" s="191"/>
      <c r="B81" s="185"/>
      <c r="C81" s="188"/>
      <c r="D81" s="188"/>
      <c r="E81" s="27" t="s">
        <v>27</v>
      </c>
      <c r="F81" s="28"/>
      <c r="G81" s="31">
        <v>60.8</v>
      </c>
      <c r="H81" s="32"/>
      <c r="I81" s="31"/>
      <c r="J81" s="40">
        <v>60.8</v>
      </c>
      <c r="K81" s="33"/>
      <c r="L81" s="29"/>
      <c r="M81" s="29">
        <v>60.8</v>
      </c>
      <c r="N81" s="32"/>
      <c r="O81" s="29"/>
      <c r="P81" s="32"/>
      <c r="Q81" s="37"/>
    </row>
    <row r="82" spans="1:22" x14ac:dyDescent="0.25">
      <c r="A82" s="189">
        <v>14</v>
      </c>
      <c r="B82" s="183">
        <v>2011</v>
      </c>
      <c r="C82" s="186">
        <v>41.6</v>
      </c>
      <c r="D82" s="186">
        <v>41.6</v>
      </c>
      <c r="E82" s="14" t="s">
        <v>24</v>
      </c>
      <c r="F82" s="38"/>
      <c r="G82" s="17"/>
      <c r="H82" s="17"/>
      <c r="I82" s="17">
        <v>1</v>
      </c>
      <c r="J82" s="17"/>
      <c r="K82" s="17"/>
      <c r="L82" s="17">
        <v>2</v>
      </c>
      <c r="M82" s="17"/>
      <c r="N82" s="17"/>
      <c r="O82" s="17">
        <v>3</v>
      </c>
      <c r="P82" s="17"/>
      <c r="Q82" s="35"/>
    </row>
    <row r="83" spans="1:22" ht="15.75" hidden="1" customHeight="1" x14ac:dyDescent="0.25">
      <c r="A83" s="190"/>
      <c r="B83" s="184"/>
      <c r="C83" s="187"/>
      <c r="D83" s="187"/>
      <c r="E83" s="21" t="s">
        <v>25</v>
      </c>
      <c r="F83" s="22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4"/>
    </row>
    <row r="84" spans="1:22" x14ac:dyDescent="0.25">
      <c r="A84" s="190"/>
      <c r="B84" s="184"/>
      <c r="C84" s="187"/>
      <c r="D84" s="187"/>
      <c r="E84" s="21" t="s">
        <v>26</v>
      </c>
      <c r="F84" s="22"/>
      <c r="G84" s="23"/>
      <c r="H84" s="23"/>
      <c r="I84" s="23">
        <v>40</v>
      </c>
      <c r="J84" s="23"/>
      <c r="K84" s="23"/>
      <c r="L84" s="23">
        <v>40</v>
      </c>
      <c r="M84" s="23"/>
      <c r="N84" s="23"/>
      <c r="O84" s="23">
        <v>40</v>
      </c>
      <c r="P84" s="23"/>
      <c r="Q84" s="24"/>
    </row>
    <row r="85" spans="1:22" ht="16.5" thickBot="1" x14ac:dyDescent="0.3">
      <c r="A85" s="191"/>
      <c r="B85" s="185"/>
      <c r="C85" s="188"/>
      <c r="D85" s="188"/>
      <c r="E85" s="27" t="s">
        <v>27</v>
      </c>
      <c r="F85" s="39"/>
      <c r="G85" s="32"/>
      <c r="H85" s="29"/>
      <c r="I85" s="29">
        <v>41.6</v>
      </c>
      <c r="J85" s="42"/>
      <c r="K85" s="29"/>
      <c r="L85" s="29">
        <v>41.6</v>
      </c>
      <c r="M85" s="31"/>
      <c r="N85" s="29"/>
      <c r="O85" s="29">
        <v>41.6</v>
      </c>
      <c r="P85" s="32"/>
      <c r="Q85" s="37"/>
    </row>
    <row r="86" spans="1:22" x14ac:dyDescent="0.25">
      <c r="A86" s="189">
        <v>15</v>
      </c>
      <c r="B86" s="183">
        <v>2011</v>
      </c>
      <c r="C86" s="186">
        <v>49.3</v>
      </c>
      <c r="D86" s="186">
        <v>49.17</v>
      </c>
      <c r="E86" s="14" t="s">
        <v>24</v>
      </c>
      <c r="F86" s="38"/>
      <c r="G86" s="17"/>
      <c r="H86" s="17"/>
      <c r="I86" s="17">
        <v>1</v>
      </c>
      <c r="J86" s="17"/>
      <c r="K86" s="17"/>
      <c r="L86" s="17">
        <v>2</v>
      </c>
      <c r="M86" s="18"/>
      <c r="N86" s="17"/>
      <c r="O86" s="17">
        <v>3</v>
      </c>
      <c r="P86" s="17"/>
      <c r="Q86" s="35"/>
    </row>
    <row r="87" spans="1:22" ht="15.75" hidden="1" customHeight="1" x14ac:dyDescent="0.25">
      <c r="A87" s="190"/>
      <c r="B87" s="184"/>
      <c r="C87" s="187"/>
      <c r="D87" s="187"/>
      <c r="E87" s="21" t="s">
        <v>25</v>
      </c>
      <c r="F87" s="22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4"/>
    </row>
    <row r="88" spans="1:22" x14ac:dyDescent="0.25">
      <c r="A88" s="190"/>
      <c r="B88" s="184"/>
      <c r="C88" s="187"/>
      <c r="D88" s="187"/>
      <c r="E88" s="21" t="s">
        <v>32</v>
      </c>
      <c r="F88" s="22"/>
      <c r="G88" s="23"/>
      <c r="H88" s="23"/>
      <c r="I88" s="23">
        <v>60</v>
      </c>
      <c r="J88" s="23"/>
      <c r="K88" s="23"/>
      <c r="L88" s="23">
        <v>80</v>
      </c>
      <c r="M88" s="23"/>
      <c r="N88" s="23"/>
      <c r="O88" s="23">
        <v>60</v>
      </c>
      <c r="P88" s="23"/>
      <c r="Q88" s="24"/>
    </row>
    <row r="89" spans="1:22" ht="16.5" thickBot="1" x14ac:dyDescent="0.3">
      <c r="A89" s="191"/>
      <c r="B89" s="185"/>
      <c r="C89" s="188"/>
      <c r="D89" s="188"/>
      <c r="E89" s="27" t="s">
        <v>27</v>
      </c>
      <c r="F89" s="39"/>
      <c r="G89" s="29"/>
      <c r="H89" s="31"/>
      <c r="I89" s="29">
        <v>49.3</v>
      </c>
      <c r="J89" s="32"/>
      <c r="K89" s="31"/>
      <c r="L89" s="36">
        <v>49.3</v>
      </c>
      <c r="M89" s="33"/>
      <c r="N89" s="29"/>
      <c r="O89" s="32">
        <v>49.17</v>
      </c>
      <c r="P89" s="31"/>
      <c r="Q89" s="37"/>
      <c r="T89" s="8"/>
      <c r="U89" s="8"/>
      <c r="V89" s="8"/>
    </row>
    <row r="90" spans="1:22" x14ac:dyDescent="0.25">
      <c r="A90" s="189">
        <v>16</v>
      </c>
      <c r="B90" s="183">
        <v>2011</v>
      </c>
      <c r="C90" s="186">
        <v>53.2</v>
      </c>
      <c r="D90" s="186">
        <v>52.61</v>
      </c>
      <c r="E90" s="14" t="s">
        <v>24</v>
      </c>
      <c r="F90" s="38"/>
      <c r="G90" s="17"/>
      <c r="H90" s="17">
        <v>1</v>
      </c>
      <c r="I90" s="18"/>
      <c r="J90" s="17"/>
      <c r="K90" s="17">
        <v>2</v>
      </c>
      <c r="L90" s="18"/>
      <c r="M90" s="17"/>
      <c r="N90" s="17">
        <v>3</v>
      </c>
      <c r="O90" s="17"/>
      <c r="P90" s="17"/>
      <c r="Q90" s="19"/>
      <c r="T90" s="8"/>
      <c r="U90" s="8"/>
      <c r="V90" s="8"/>
    </row>
    <row r="91" spans="1:22" ht="15.75" hidden="1" customHeight="1" x14ac:dyDescent="0.25">
      <c r="A91" s="190"/>
      <c r="B91" s="184"/>
      <c r="C91" s="187"/>
      <c r="D91" s="187"/>
      <c r="E91" s="21" t="s">
        <v>25</v>
      </c>
      <c r="F91" s="22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4"/>
      <c r="T91" s="8"/>
      <c r="U91" s="8"/>
      <c r="V91" s="8"/>
    </row>
    <row r="92" spans="1:22" x14ac:dyDescent="0.25">
      <c r="A92" s="190"/>
      <c r="B92" s="184"/>
      <c r="C92" s="187"/>
      <c r="D92" s="187"/>
      <c r="E92" s="21" t="s">
        <v>26</v>
      </c>
      <c r="F92" s="22"/>
      <c r="G92" s="23"/>
      <c r="H92" s="23">
        <v>40</v>
      </c>
      <c r="I92" s="23"/>
      <c r="J92" s="23"/>
      <c r="K92" s="23">
        <v>40</v>
      </c>
      <c r="L92" s="23"/>
      <c r="M92" s="23"/>
      <c r="N92" s="23">
        <v>40</v>
      </c>
      <c r="O92" s="23"/>
      <c r="P92" s="23"/>
      <c r="Q92" s="24"/>
      <c r="T92" s="8"/>
      <c r="U92" s="8"/>
      <c r="V92" s="8"/>
    </row>
    <row r="93" spans="1:22" ht="16.5" thickBot="1" x14ac:dyDescent="0.3">
      <c r="A93" s="191"/>
      <c r="B93" s="185"/>
      <c r="C93" s="188"/>
      <c r="D93" s="188"/>
      <c r="E93" s="27" t="s">
        <v>27</v>
      </c>
      <c r="F93" s="53"/>
      <c r="G93" s="29"/>
      <c r="H93" s="29">
        <v>53.2</v>
      </c>
      <c r="I93" s="33"/>
      <c r="J93" s="29"/>
      <c r="K93" s="29">
        <v>53.2</v>
      </c>
      <c r="L93" s="41"/>
      <c r="M93" s="31"/>
      <c r="N93" s="29">
        <v>53.2</v>
      </c>
      <c r="O93" s="32"/>
      <c r="P93" s="32"/>
      <c r="Q93" s="54"/>
      <c r="T93" s="8"/>
      <c r="U93" s="8"/>
      <c r="V93" s="8"/>
    </row>
    <row r="94" spans="1:22" x14ac:dyDescent="0.25">
      <c r="A94" s="189">
        <v>17</v>
      </c>
      <c r="B94" s="183">
        <v>2011</v>
      </c>
      <c r="C94" s="186">
        <v>45.7</v>
      </c>
      <c r="D94" s="186">
        <v>45.58</v>
      </c>
      <c r="E94" s="14" t="s">
        <v>24</v>
      </c>
      <c r="F94" s="38"/>
      <c r="G94" s="17">
        <v>1</v>
      </c>
      <c r="H94" s="17"/>
      <c r="I94" s="17"/>
      <c r="J94" s="17">
        <v>2</v>
      </c>
      <c r="K94" s="17"/>
      <c r="L94" s="17"/>
      <c r="M94" s="17">
        <v>3</v>
      </c>
      <c r="N94" s="17"/>
      <c r="O94" s="17"/>
      <c r="P94" s="17"/>
      <c r="Q94" s="35"/>
      <c r="T94" s="6"/>
      <c r="U94" s="6"/>
      <c r="V94" s="6"/>
    </row>
    <row r="95" spans="1:22" ht="15.75" hidden="1" customHeight="1" x14ac:dyDescent="0.25">
      <c r="A95" s="190"/>
      <c r="B95" s="184"/>
      <c r="C95" s="187"/>
      <c r="D95" s="187"/>
      <c r="E95" s="21" t="s">
        <v>25</v>
      </c>
      <c r="F95" s="22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4"/>
      <c r="T95" s="6"/>
      <c r="U95" s="6"/>
      <c r="V95" s="6"/>
    </row>
    <row r="96" spans="1:22" x14ac:dyDescent="0.25">
      <c r="A96" s="190"/>
      <c r="B96" s="184"/>
      <c r="C96" s="187"/>
      <c r="D96" s="187"/>
      <c r="E96" s="21" t="s">
        <v>26</v>
      </c>
      <c r="F96" s="22"/>
      <c r="G96" s="23">
        <v>40</v>
      </c>
      <c r="H96" s="23"/>
      <c r="I96" s="23"/>
      <c r="J96" s="23">
        <v>40</v>
      </c>
      <c r="K96" s="23"/>
      <c r="L96" s="23"/>
      <c r="M96" s="23">
        <v>40</v>
      </c>
      <c r="N96" s="23"/>
      <c r="O96" s="23"/>
      <c r="P96" s="23"/>
      <c r="Q96" s="24"/>
      <c r="T96" s="8"/>
      <c r="U96" s="8"/>
      <c r="V96" s="8"/>
    </row>
    <row r="97" spans="1:30" ht="16.5" thickBot="1" x14ac:dyDescent="0.3">
      <c r="A97" s="190"/>
      <c r="B97" s="184"/>
      <c r="C97" s="187"/>
      <c r="D97" s="187"/>
      <c r="E97" s="21" t="s">
        <v>27</v>
      </c>
      <c r="F97" s="55"/>
      <c r="G97" s="56">
        <v>45.7</v>
      </c>
      <c r="H97" s="16"/>
      <c r="I97" s="56"/>
      <c r="J97" s="57">
        <v>45.7</v>
      </c>
      <c r="K97" s="58"/>
      <c r="L97" s="59"/>
      <c r="M97" s="56">
        <v>45.7</v>
      </c>
      <c r="N97" s="16"/>
      <c r="O97" s="56"/>
      <c r="P97" s="16"/>
      <c r="Q97" s="60"/>
      <c r="T97" s="8"/>
      <c r="U97" s="8"/>
      <c r="V97" s="8"/>
    </row>
    <row r="98" spans="1:30" ht="16.5" hidden="1" thickBot="1" x14ac:dyDescent="0.3">
      <c r="A98" s="191"/>
      <c r="B98" s="185"/>
      <c r="C98" s="188"/>
      <c r="D98" s="26"/>
      <c r="E98" s="61"/>
      <c r="F98" s="62"/>
      <c r="G98" s="63"/>
      <c r="H98" s="63"/>
      <c r="I98" s="64"/>
      <c r="J98" s="63"/>
      <c r="K98" s="30"/>
      <c r="L98" s="41"/>
      <c r="M98" s="64"/>
      <c r="N98" s="63"/>
      <c r="O98" s="63"/>
      <c r="P98" s="63"/>
      <c r="Q98" s="65"/>
    </row>
    <row r="99" spans="1:30" x14ac:dyDescent="0.25">
      <c r="A99" s="189">
        <v>18</v>
      </c>
      <c r="B99" s="183">
        <v>2011</v>
      </c>
      <c r="C99" s="186">
        <v>40.799999999999997</v>
      </c>
      <c r="D99" s="186">
        <v>40.799999999999997</v>
      </c>
      <c r="E99" s="14" t="s">
        <v>24</v>
      </c>
      <c r="F99" s="38"/>
      <c r="G99" s="17"/>
      <c r="H99" s="17">
        <v>1</v>
      </c>
      <c r="I99" s="17"/>
      <c r="J99" s="17"/>
      <c r="K99" s="17">
        <v>2</v>
      </c>
      <c r="L99" s="17"/>
      <c r="M99" s="17"/>
      <c r="N99" s="17">
        <v>3</v>
      </c>
      <c r="O99" s="17"/>
      <c r="P99" s="17"/>
      <c r="Q99" s="35"/>
    </row>
    <row r="100" spans="1:30" ht="15.75" hidden="1" customHeight="1" x14ac:dyDescent="0.25">
      <c r="A100" s="190"/>
      <c r="B100" s="184"/>
      <c r="C100" s="187"/>
      <c r="D100" s="187"/>
      <c r="E100" s="21" t="s">
        <v>25</v>
      </c>
      <c r="F100" s="22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4"/>
    </row>
    <row r="101" spans="1:30" x14ac:dyDescent="0.25">
      <c r="A101" s="190"/>
      <c r="B101" s="184"/>
      <c r="C101" s="187"/>
      <c r="D101" s="187"/>
      <c r="E101" s="21" t="s">
        <v>26</v>
      </c>
      <c r="F101" s="22"/>
      <c r="G101" s="23"/>
      <c r="H101" s="23">
        <v>40</v>
      </c>
      <c r="I101" s="23"/>
      <c r="J101" s="23"/>
      <c r="K101" s="23">
        <v>40</v>
      </c>
      <c r="L101" s="23"/>
      <c r="M101" s="23"/>
      <c r="N101" s="23">
        <v>40</v>
      </c>
      <c r="O101" s="23"/>
      <c r="P101" s="23"/>
      <c r="Q101" s="24"/>
    </row>
    <row r="102" spans="1:30" ht="16.5" thickBot="1" x14ac:dyDescent="0.3">
      <c r="A102" s="191"/>
      <c r="B102" s="185"/>
      <c r="C102" s="188"/>
      <c r="D102" s="188"/>
      <c r="E102" s="27" t="s">
        <v>27</v>
      </c>
      <c r="F102" s="39"/>
      <c r="G102" s="29"/>
      <c r="H102" s="29">
        <v>40.799999999999997</v>
      </c>
      <c r="I102" s="31"/>
      <c r="J102" s="36"/>
      <c r="K102" s="29">
        <v>40.799999999999997</v>
      </c>
      <c r="L102" s="29"/>
      <c r="M102" s="29"/>
      <c r="N102" s="29">
        <v>40.799999999999997</v>
      </c>
      <c r="O102" s="29"/>
      <c r="P102" s="32"/>
      <c r="Q102" s="37"/>
    </row>
    <row r="103" spans="1:30" ht="16.5" thickBot="1" x14ac:dyDescent="0.3">
      <c r="A103" s="192" t="s">
        <v>29</v>
      </c>
      <c r="B103" s="192"/>
      <c r="C103" s="45">
        <f>SUM(C74:C102)</f>
        <v>310.5</v>
      </c>
      <c r="D103" s="45">
        <f>SUM(D74:D102)</f>
        <v>309.66000000000003</v>
      </c>
      <c r="E103" s="46" t="s">
        <v>30</v>
      </c>
      <c r="F103" s="47">
        <f>F77+F81+F85+F89+F93+F97+F102</f>
        <v>0</v>
      </c>
      <c r="G103" s="66">
        <f>G77+G81+G85+G89+G93+G97+G102</f>
        <v>106.5</v>
      </c>
      <c r="H103" s="66">
        <f>H77+H81+H85+H89+H93+H97+H102</f>
        <v>94</v>
      </c>
      <c r="I103" s="66">
        <f>I77+I81+I85+I89+I93+I97+I102</f>
        <v>90.9</v>
      </c>
      <c r="J103" s="66">
        <f>SUM(J77,J81,J85,J89,J93,J97,J102)</f>
        <v>125.60000000000001</v>
      </c>
      <c r="K103" s="66">
        <f>K77+K81+K85+K89+K93+K97+K102</f>
        <v>94</v>
      </c>
      <c r="L103" s="66">
        <f>L77+L81+L85+L89+L93+L97+L98+L102</f>
        <v>110</v>
      </c>
      <c r="M103" s="66">
        <f>M77+M81+M85+M89+M93+M97+M102</f>
        <v>106.5</v>
      </c>
      <c r="N103" s="66">
        <f>N77+N81+N85+N89+N93+N97+N102</f>
        <v>94</v>
      </c>
      <c r="O103" s="66">
        <f>O77+O81+O85+O89+O93+O97+O102</f>
        <v>109.87</v>
      </c>
      <c r="P103" s="66">
        <f>P77+P81+P85+P89+P93+P98+P102</f>
        <v>0</v>
      </c>
      <c r="Q103" s="67">
        <f>Q77+Q81+Q85+Q89+Q93+Q98+Q102</f>
        <v>0</v>
      </c>
    </row>
    <row r="105" spans="1:30" ht="18.75" customHeight="1" x14ac:dyDescent="0.25">
      <c r="A105" s="1" t="s">
        <v>0</v>
      </c>
      <c r="B105" s="2"/>
      <c r="C105" s="3"/>
      <c r="D105" s="3"/>
      <c r="E105" s="2"/>
    </row>
    <row r="106" spans="1:30" s="6" customFormat="1" x14ac:dyDescent="0.25">
      <c r="C106" s="7"/>
      <c r="D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30" s="6" customFormat="1" x14ac:dyDescent="0.25">
      <c r="A107" s="156" t="s">
        <v>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</row>
    <row r="108" spans="1:30" s="6" customFormat="1" x14ac:dyDescent="0.25">
      <c r="A108" s="156" t="s">
        <v>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</row>
    <row r="109" spans="1:30" s="6" customFormat="1" x14ac:dyDescent="0.25">
      <c r="A109" s="156" t="s">
        <v>3</v>
      </c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</row>
    <row r="111" spans="1:30" s="6" customFormat="1" ht="18" customHeight="1" x14ac:dyDescent="0.25">
      <c r="A111" s="6" t="s">
        <v>33</v>
      </c>
      <c r="C111" s="7"/>
      <c r="D111" s="7"/>
      <c r="F111" s="8"/>
      <c r="G111" s="8"/>
      <c r="H111" s="8"/>
      <c r="I111" s="8"/>
      <c r="J111" s="8"/>
      <c r="K111" s="8"/>
      <c r="L111" s="8"/>
      <c r="M111" s="8"/>
      <c r="N111" s="50"/>
      <c r="O111" s="8"/>
      <c r="Q111" s="11" t="s">
        <v>6</v>
      </c>
      <c r="R111" s="51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 ht="8.25" customHeight="1" thickBot="1" x14ac:dyDescent="0.3"/>
    <row r="113" spans="1:21" x14ac:dyDescent="0.25">
      <c r="A113" s="157" t="s">
        <v>7</v>
      </c>
      <c r="B113" s="160" t="s">
        <v>8</v>
      </c>
      <c r="C113" s="163" t="s">
        <v>9</v>
      </c>
      <c r="D113" s="166" t="s">
        <v>10</v>
      </c>
      <c r="E113" s="169" t="s">
        <v>11</v>
      </c>
      <c r="F113" s="172" t="s">
        <v>12</v>
      </c>
      <c r="G113" s="175" t="s">
        <v>13</v>
      </c>
      <c r="H113" s="175" t="s">
        <v>14</v>
      </c>
      <c r="I113" s="175" t="s">
        <v>15</v>
      </c>
      <c r="J113" s="175" t="s">
        <v>16</v>
      </c>
      <c r="K113" s="175" t="s">
        <v>17</v>
      </c>
      <c r="L113" s="175" t="s">
        <v>18</v>
      </c>
      <c r="M113" s="175" t="s">
        <v>19</v>
      </c>
      <c r="N113" s="175" t="s">
        <v>20</v>
      </c>
      <c r="O113" s="175" t="s">
        <v>21</v>
      </c>
      <c r="P113" s="175" t="s">
        <v>22</v>
      </c>
      <c r="Q113" s="178" t="s">
        <v>23</v>
      </c>
    </row>
    <row r="114" spans="1:21" x14ac:dyDescent="0.25">
      <c r="A114" s="158"/>
      <c r="B114" s="161"/>
      <c r="C114" s="164"/>
      <c r="D114" s="167"/>
      <c r="E114" s="193"/>
      <c r="F114" s="173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61"/>
    </row>
    <row r="115" spans="1:21" ht="16.5" thickBot="1" x14ac:dyDescent="0.3">
      <c r="A115" s="159"/>
      <c r="B115" s="162"/>
      <c r="C115" s="165"/>
      <c r="D115" s="168"/>
      <c r="E115" s="194"/>
      <c r="F115" s="174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9"/>
    </row>
    <row r="116" spans="1:21" x14ac:dyDescent="0.25">
      <c r="A116" s="180">
        <v>19</v>
      </c>
      <c r="B116" s="183">
        <v>2012</v>
      </c>
      <c r="C116" s="186">
        <v>50.6</v>
      </c>
      <c r="D116" s="186">
        <v>50.6</v>
      </c>
      <c r="E116" s="14" t="s">
        <v>24</v>
      </c>
      <c r="F116" s="38"/>
      <c r="G116" s="17">
        <v>1</v>
      </c>
      <c r="H116" s="17"/>
      <c r="I116" s="17"/>
      <c r="J116" s="17"/>
      <c r="K116" s="17">
        <v>2</v>
      </c>
      <c r="L116" s="18"/>
      <c r="M116" s="17">
        <v>3</v>
      </c>
      <c r="N116" s="17"/>
      <c r="O116" s="17"/>
      <c r="P116" s="17"/>
      <c r="Q116" s="35"/>
    </row>
    <row r="117" spans="1:21" ht="15.75" hidden="1" customHeight="1" x14ac:dyDescent="0.25">
      <c r="A117" s="181"/>
      <c r="B117" s="184"/>
      <c r="C117" s="187"/>
      <c r="D117" s="187"/>
      <c r="E117" s="21" t="s">
        <v>25</v>
      </c>
      <c r="F117" s="22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4"/>
    </row>
    <row r="118" spans="1:21" x14ac:dyDescent="0.25">
      <c r="A118" s="181"/>
      <c r="B118" s="184"/>
      <c r="C118" s="187"/>
      <c r="D118" s="187"/>
      <c r="E118" s="21" t="s">
        <v>26</v>
      </c>
      <c r="F118" s="22"/>
      <c r="G118" s="23">
        <v>60</v>
      </c>
      <c r="H118" s="23"/>
      <c r="I118" s="23"/>
      <c r="J118" s="23"/>
      <c r="K118" s="23">
        <v>60</v>
      </c>
      <c r="L118" s="23"/>
      <c r="M118" s="25">
        <v>60</v>
      </c>
      <c r="N118" s="23"/>
      <c r="O118" s="23"/>
      <c r="P118" s="23"/>
      <c r="Q118" s="24"/>
    </row>
    <row r="119" spans="1:21" ht="16.5" thickBot="1" x14ac:dyDescent="0.3">
      <c r="A119" s="182"/>
      <c r="B119" s="185"/>
      <c r="C119" s="188"/>
      <c r="D119" s="188"/>
      <c r="E119" s="27" t="s">
        <v>27</v>
      </c>
      <c r="F119" s="39"/>
      <c r="G119" s="29">
        <v>50.6</v>
      </c>
      <c r="H119" s="32"/>
      <c r="I119" s="32"/>
      <c r="J119" s="31"/>
      <c r="K119" s="29">
        <v>50.6</v>
      </c>
      <c r="L119" s="33"/>
      <c r="M119" s="36">
        <v>50.6</v>
      </c>
      <c r="N119" s="32"/>
      <c r="O119" s="32"/>
      <c r="P119" s="32"/>
      <c r="Q119" s="37"/>
    </row>
    <row r="120" spans="1:21" x14ac:dyDescent="0.25">
      <c r="A120" s="189">
        <v>20</v>
      </c>
      <c r="B120" s="183">
        <v>2012</v>
      </c>
      <c r="C120" s="186">
        <v>62.1</v>
      </c>
      <c r="D120" s="186">
        <v>61.98</v>
      </c>
      <c r="E120" s="14" t="s">
        <v>24</v>
      </c>
      <c r="F120" s="38"/>
      <c r="G120" s="17">
        <v>1</v>
      </c>
      <c r="H120" s="17"/>
      <c r="I120" s="17"/>
      <c r="J120" s="17">
        <v>2</v>
      </c>
      <c r="K120" s="17"/>
      <c r="L120" s="17"/>
      <c r="M120" s="17">
        <v>3</v>
      </c>
      <c r="N120" s="17"/>
      <c r="O120" s="17"/>
      <c r="P120" s="17"/>
      <c r="Q120" s="35"/>
    </row>
    <row r="121" spans="1:21" ht="15.75" hidden="1" customHeight="1" x14ac:dyDescent="0.25">
      <c r="A121" s="190"/>
      <c r="B121" s="184"/>
      <c r="C121" s="187"/>
      <c r="D121" s="187"/>
      <c r="E121" s="21" t="s">
        <v>25</v>
      </c>
      <c r="F121" s="22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S121" s="8"/>
      <c r="T121" s="8"/>
      <c r="U121" s="8"/>
    </row>
    <row r="122" spans="1:21" x14ac:dyDescent="0.25">
      <c r="A122" s="190"/>
      <c r="B122" s="184"/>
      <c r="C122" s="187"/>
      <c r="D122" s="187"/>
      <c r="E122" s="21" t="s">
        <v>26</v>
      </c>
      <c r="F122" s="22"/>
      <c r="G122" s="23">
        <v>40</v>
      </c>
      <c r="H122" s="23"/>
      <c r="I122" s="23"/>
      <c r="J122" s="23">
        <v>40</v>
      </c>
      <c r="K122" s="23"/>
      <c r="L122" s="23"/>
      <c r="M122" s="23">
        <v>40</v>
      </c>
      <c r="N122" s="23"/>
      <c r="O122" s="23"/>
      <c r="P122" s="23"/>
      <c r="Q122" s="24"/>
      <c r="S122" s="8"/>
      <c r="T122" s="8"/>
      <c r="U122" s="8"/>
    </row>
    <row r="123" spans="1:21" ht="16.5" thickBot="1" x14ac:dyDescent="0.3">
      <c r="A123" s="191"/>
      <c r="B123" s="185"/>
      <c r="C123" s="188"/>
      <c r="D123" s="188"/>
      <c r="E123" s="27" t="s">
        <v>27</v>
      </c>
      <c r="F123" s="28"/>
      <c r="G123" s="29">
        <v>62.1</v>
      </c>
      <c r="H123" s="32"/>
      <c r="I123" s="29"/>
      <c r="J123" s="31">
        <v>62.1</v>
      </c>
      <c r="K123" s="32"/>
      <c r="L123" s="29"/>
      <c r="M123" s="29">
        <v>62.1</v>
      </c>
      <c r="N123" s="32"/>
      <c r="O123" s="32"/>
      <c r="P123" s="32"/>
      <c r="Q123" s="37"/>
      <c r="S123" s="8"/>
      <c r="T123" s="8"/>
      <c r="U123" s="8"/>
    </row>
    <row r="124" spans="1:21" x14ac:dyDescent="0.25">
      <c r="A124" s="189">
        <v>21</v>
      </c>
      <c r="B124" s="183">
        <v>2012</v>
      </c>
      <c r="C124" s="186">
        <v>72.2</v>
      </c>
      <c r="D124" s="186">
        <v>71.59</v>
      </c>
      <c r="E124" s="14" t="s">
        <v>24</v>
      </c>
      <c r="F124" s="38"/>
      <c r="G124" s="17"/>
      <c r="H124" s="17">
        <v>1</v>
      </c>
      <c r="I124" s="17"/>
      <c r="J124" s="17"/>
      <c r="K124" s="17">
        <v>2</v>
      </c>
      <c r="L124" s="18"/>
      <c r="M124" s="17"/>
      <c r="N124" s="17">
        <v>3</v>
      </c>
      <c r="O124" s="17"/>
      <c r="P124" s="17"/>
      <c r="Q124" s="35"/>
      <c r="S124" s="8"/>
      <c r="T124" s="8"/>
      <c r="U124" s="8"/>
    </row>
    <row r="125" spans="1:21" ht="15.75" hidden="1" customHeight="1" x14ac:dyDescent="0.25">
      <c r="A125" s="190"/>
      <c r="B125" s="184"/>
      <c r="C125" s="187"/>
      <c r="D125" s="187"/>
      <c r="E125" s="21" t="s">
        <v>25</v>
      </c>
      <c r="F125" s="22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S125" s="8"/>
      <c r="T125" s="8"/>
      <c r="U125" s="8"/>
    </row>
    <row r="126" spans="1:21" x14ac:dyDescent="0.25">
      <c r="A126" s="190"/>
      <c r="B126" s="184"/>
      <c r="C126" s="187"/>
      <c r="D126" s="187"/>
      <c r="E126" s="21" t="s">
        <v>26</v>
      </c>
      <c r="F126" s="22"/>
      <c r="G126" s="23"/>
      <c r="H126" s="23">
        <v>80</v>
      </c>
      <c r="I126" s="23"/>
      <c r="J126" s="23"/>
      <c r="K126" s="23">
        <v>80</v>
      </c>
      <c r="L126" s="23"/>
      <c r="M126" s="23"/>
      <c r="N126" s="23">
        <v>80</v>
      </c>
      <c r="O126" s="23"/>
      <c r="P126" s="23"/>
      <c r="Q126" s="24"/>
      <c r="S126" s="8"/>
      <c r="T126" s="8"/>
      <c r="U126" s="8"/>
    </row>
    <row r="127" spans="1:21" ht="16.5" thickBot="1" x14ac:dyDescent="0.3">
      <c r="A127" s="191"/>
      <c r="B127" s="185"/>
      <c r="C127" s="188"/>
      <c r="D127" s="188"/>
      <c r="E127" s="27" t="s">
        <v>27</v>
      </c>
      <c r="F127" s="39"/>
      <c r="G127" s="31"/>
      <c r="H127" s="29">
        <v>72.2</v>
      </c>
      <c r="I127" s="31"/>
      <c r="J127" s="29"/>
      <c r="K127" s="40">
        <v>72.2</v>
      </c>
      <c r="L127" s="33"/>
      <c r="M127" s="29"/>
      <c r="N127" s="40">
        <v>72.2</v>
      </c>
      <c r="O127" s="31"/>
      <c r="P127" s="32"/>
      <c r="Q127" s="37"/>
    </row>
    <row r="128" spans="1:21" x14ac:dyDescent="0.25">
      <c r="A128" s="189">
        <v>22</v>
      </c>
      <c r="B128" s="183">
        <v>2012</v>
      </c>
      <c r="C128" s="186">
        <v>52.3</v>
      </c>
      <c r="D128" s="186">
        <v>52.08</v>
      </c>
      <c r="E128" s="14" t="s">
        <v>24</v>
      </c>
      <c r="F128" s="38"/>
      <c r="G128" s="17"/>
      <c r="H128" s="17">
        <v>1</v>
      </c>
      <c r="I128" s="17"/>
      <c r="J128" s="17"/>
      <c r="K128" s="68">
        <v>2</v>
      </c>
      <c r="L128" s="17"/>
      <c r="M128" s="17"/>
      <c r="N128" s="17">
        <v>3</v>
      </c>
      <c r="O128" s="17"/>
      <c r="P128" s="17"/>
      <c r="Q128" s="35"/>
    </row>
    <row r="129" spans="1:17" ht="15.75" hidden="1" customHeight="1" x14ac:dyDescent="0.25">
      <c r="A129" s="190"/>
      <c r="B129" s="184"/>
      <c r="C129" s="187"/>
      <c r="D129" s="187"/>
      <c r="E129" s="21" t="s">
        <v>25</v>
      </c>
      <c r="F129" s="22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4"/>
    </row>
    <row r="130" spans="1:17" x14ac:dyDescent="0.25">
      <c r="A130" s="190"/>
      <c r="B130" s="184"/>
      <c r="C130" s="187"/>
      <c r="D130" s="187"/>
      <c r="E130" s="21" t="s">
        <v>26</v>
      </c>
      <c r="F130" s="22"/>
      <c r="G130" s="23"/>
      <c r="H130" s="23">
        <v>40</v>
      </c>
      <c r="I130" s="23"/>
      <c r="J130" s="23"/>
      <c r="K130" s="23">
        <v>40</v>
      </c>
      <c r="L130" s="23"/>
      <c r="M130" s="23"/>
      <c r="N130" s="23">
        <v>40</v>
      </c>
      <c r="O130" s="23"/>
      <c r="P130" s="23"/>
      <c r="Q130" s="24"/>
    </row>
    <row r="131" spans="1:17" ht="16.5" thickBot="1" x14ac:dyDescent="0.3">
      <c r="A131" s="191"/>
      <c r="B131" s="185"/>
      <c r="C131" s="188"/>
      <c r="D131" s="188"/>
      <c r="E131" s="27" t="s">
        <v>27</v>
      </c>
      <c r="F131" s="39"/>
      <c r="G131" s="31"/>
      <c r="H131" s="29">
        <v>52.3</v>
      </c>
      <c r="I131" s="32"/>
      <c r="J131" s="29"/>
      <c r="K131" s="31">
        <v>52.3</v>
      </c>
      <c r="L131" s="32"/>
      <c r="M131" s="29"/>
      <c r="N131" s="40">
        <v>52.3</v>
      </c>
      <c r="O131" s="31"/>
      <c r="P131" s="32"/>
      <c r="Q131" s="37"/>
    </row>
    <row r="132" spans="1:17" x14ac:dyDescent="0.25">
      <c r="A132" s="189">
        <v>24</v>
      </c>
      <c r="B132" s="183">
        <v>2012</v>
      </c>
      <c r="C132" s="186">
        <v>44.7</v>
      </c>
      <c r="D132" s="186">
        <v>44.67</v>
      </c>
      <c r="E132" s="14" t="s">
        <v>24</v>
      </c>
      <c r="F132" s="38"/>
      <c r="G132" s="17"/>
      <c r="H132" s="17"/>
      <c r="I132" s="17"/>
      <c r="J132" s="17">
        <v>1</v>
      </c>
      <c r="K132" s="17"/>
      <c r="L132" s="17">
        <v>2</v>
      </c>
      <c r="M132" s="17"/>
      <c r="N132" s="17"/>
      <c r="O132" s="17">
        <v>3</v>
      </c>
      <c r="P132" s="17"/>
      <c r="Q132" s="35"/>
    </row>
    <row r="133" spans="1:17" ht="15.75" hidden="1" customHeight="1" x14ac:dyDescent="0.25">
      <c r="A133" s="190"/>
      <c r="B133" s="184"/>
      <c r="C133" s="187"/>
      <c r="D133" s="187"/>
      <c r="E133" s="21" t="s">
        <v>25</v>
      </c>
      <c r="F133" s="22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4"/>
    </row>
    <row r="134" spans="1:17" x14ac:dyDescent="0.25">
      <c r="A134" s="190"/>
      <c r="B134" s="184"/>
      <c r="C134" s="187"/>
      <c r="D134" s="187"/>
      <c r="E134" s="21" t="s">
        <v>26</v>
      </c>
      <c r="F134" s="22"/>
      <c r="G134" s="23"/>
      <c r="H134" s="23"/>
      <c r="I134" s="23"/>
      <c r="J134" s="23">
        <v>40</v>
      </c>
      <c r="K134" s="23"/>
      <c r="L134" s="23">
        <v>40</v>
      </c>
      <c r="M134" s="23"/>
      <c r="N134" s="23"/>
      <c r="O134" s="23">
        <v>40</v>
      </c>
      <c r="P134" s="23"/>
      <c r="Q134" s="24"/>
    </row>
    <row r="135" spans="1:17" ht="16.5" thickBot="1" x14ac:dyDescent="0.3">
      <c r="A135" s="191"/>
      <c r="B135" s="185"/>
      <c r="C135" s="188"/>
      <c r="D135" s="188"/>
      <c r="E135" s="27" t="s">
        <v>27</v>
      </c>
      <c r="F135" s="15"/>
      <c r="G135" s="16"/>
      <c r="H135" s="56"/>
      <c r="I135" s="57"/>
      <c r="J135" s="57">
        <v>44.7</v>
      </c>
      <c r="K135" s="56"/>
      <c r="L135" s="56">
        <v>44.7</v>
      </c>
      <c r="M135" s="56"/>
      <c r="N135" s="59"/>
      <c r="O135" s="56">
        <v>44.67</v>
      </c>
      <c r="P135" s="16"/>
      <c r="Q135" s="60"/>
    </row>
    <row r="136" spans="1:17" ht="16.5" thickBot="1" x14ac:dyDescent="0.3">
      <c r="A136" s="192" t="s">
        <v>29</v>
      </c>
      <c r="B136" s="192"/>
      <c r="C136" s="45">
        <f>SUM(C116:C135)</f>
        <v>281.89999999999998</v>
      </c>
      <c r="D136" s="45">
        <f>SUM(D116:D135)</f>
        <v>280.92</v>
      </c>
      <c r="E136" s="69" t="s">
        <v>30</v>
      </c>
      <c r="F136" s="47">
        <f>F119+F123+F127+F131+F135</f>
        <v>0</v>
      </c>
      <c r="G136" s="48">
        <f t="shared" ref="G136:Q136" si="1">G119+G123+G127+G131+G135</f>
        <v>112.7</v>
      </c>
      <c r="H136" s="48">
        <f t="shared" si="1"/>
        <v>124.5</v>
      </c>
      <c r="I136" s="48">
        <f t="shared" si="1"/>
        <v>0</v>
      </c>
      <c r="J136" s="48">
        <f>J119+J123+J127+J131+J135</f>
        <v>106.80000000000001</v>
      </c>
      <c r="K136" s="48">
        <f t="shared" si="1"/>
        <v>175.10000000000002</v>
      </c>
      <c r="L136" s="48">
        <f t="shared" si="1"/>
        <v>44.7</v>
      </c>
      <c r="M136" s="48">
        <f>M119+M123+M127+M131+M135</f>
        <v>112.7</v>
      </c>
      <c r="N136" s="48">
        <f>N119+N123+N127+N131+N135</f>
        <v>124.5</v>
      </c>
      <c r="O136" s="48">
        <f>O119+O123+O127+O131+O135</f>
        <v>44.67</v>
      </c>
      <c r="P136" s="48">
        <f t="shared" si="1"/>
        <v>0</v>
      </c>
      <c r="Q136" s="67">
        <f t="shared" si="1"/>
        <v>0</v>
      </c>
    </row>
    <row r="138" spans="1:17" ht="18.75" customHeight="1" x14ac:dyDescent="0.25">
      <c r="A138" s="1" t="s">
        <v>0</v>
      </c>
      <c r="B138" s="2"/>
      <c r="C138" s="3"/>
      <c r="D138" s="3"/>
      <c r="E138" s="2"/>
    </row>
    <row r="139" spans="1:17" s="6" customFormat="1" x14ac:dyDescent="0.25">
      <c r="C139" s="7"/>
      <c r="D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17" s="6" customFormat="1" x14ac:dyDescent="0.25">
      <c r="A140" s="156" t="s">
        <v>1</v>
      </c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</row>
    <row r="141" spans="1:17" s="6" customFormat="1" x14ac:dyDescent="0.25">
      <c r="A141" s="156" t="s">
        <v>2</v>
      </c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</row>
    <row r="142" spans="1:17" s="6" customFormat="1" x14ac:dyDescent="0.25">
      <c r="A142" s="156" t="s">
        <v>3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</row>
    <row r="144" spans="1:17" s="6" customFormat="1" x14ac:dyDescent="0.25">
      <c r="A144" s="6" t="s">
        <v>34</v>
      </c>
      <c r="B144" s="8"/>
      <c r="C144" s="70"/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2"/>
      <c r="O144" s="71"/>
      <c r="Q144" s="11" t="s">
        <v>6</v>
      </c>
    </row>
    <row r="145" spans="1:17" s="6" customFormat="1" ht="7.5" customHeight="1" thickBot="1" x14ac:dyDescent="0.3">
      <c r="B145" s="8"/>
      <c r="C145" s="70"/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2"/>
      <c r="O145" s="71"/>
      <c r="P145" s="10"/>
      <c r="Q145" s="8"/>
    </row>
    <row r="146" spans="1:17" s="6" customFormat="1" x14ac:dyDescent="0.25">
      <c r="A146" s="157" t="s">
        <v>7</v>
      </c>
      <c r="B146" s="160" t="s">
        <v>8</v>
      </c>
      <c r="C146" s="163" t="s">
        <v>9</v>
      </c>
      <c r="D146" s="166" t="s">
        <v>10</v>
      </c>
      <c r="E146" s="169" t="s">
        <v>11</v>
      </c>
      <c r="F146" s="172" t="s">
        <v>12</v>
      </c>
      <c r="G146" s="175" t="s">
        <v>13</v>
      </c>
      <c r="H146" s="175" t="s">
        <v>14</v>
      </c>
      <c r="I146" s="175" t="s">
        <v>15</v>
      </c>
      <c r="J146" s="175" t="s">
        <v>16</v>
      </c>
      <c r="K146" s="175" t="s">
        <v>17</v>
      </c>
      <c r="L146" s="175" t="s">
        <v>18</v>
      </c>
      <c r="M146" s="175" t="s">
        <v>19</v>
      </c>
      <c r="N146" s="175" t="s">
        <v>20</v>
      </c>
      <c r="O146" s="175" t="s">
        <v>21</v>
      </c>
      <c r="P146" s="175" t="s">
        <v>22</v>
      </c>
      <c r="Q146" s="178" t="s">
        <v>23</v>
      </c>
    </row>
    <row r="147" spans="1:17" s="6" customFormat="1" x14ac:dyDescent="0.25">
      <c r="A147" s="158"/>
      <c r="B147" s="161"/>
      <c r="C147" s="164"/>
      <c r="D147" s="167"/>
      <c r="E147" s="193"/>
      <c r="F147" s="173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61"/>
    </row>
    <row r="148" spans="1:17" s="6" customFormat="1" ht="16.5" thickBot="1" x14ac:dyDescent="0.3">
      <c r="A148" s="159"/>
      <c r="B148" s="162"/>
      <c r="C148" s="165"/>
      <c r="D148" s="168"/>
      <c r="E148" s="194"/>
      <c r="F148" s="174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9"/>
    </row>
    <row r="149" spans="1:17" s="6" customFormat="1" x14ac:dyDescent="0.25">
      <c r="A149" s="180">
        <v>25</v>
      </c>
      <c r="B149" s="183">
        <v>2015</v>
      </c>
      <c r="C149" s="186">
        <v>38.22</v>
      </c>
      <c r="D149" s="186">
        <v>38.229999999999997</v>
      </c>
      <c r="E149" s="14" t="s">
        <v>24</v>
      </c>
      <c r="F149" s="38"/>
      <c r="G149" s="17"/>
      <c r="H149" s="17">
        <v>1</v>
      </c>
      <c r="I149" s="17"/>
      <c r="J149" s="17"/>
      <c r="K149" s="17"/>
      <c r="L149" s="18"/>
      <c r="M149" s="17">
        <v>2</v>
      </c>
      <c r="N149" s="17"/>
      <c r="O149" s="17"/>
      <c r="P149" s="17"/>
      <c r="Q149" s="35"/>
    </row>
    <row r="150" spans="1:17" s="6" customFormat="1" ht="15.75" hidden="1" customHeight="1" x14ac:dyDescent="0.25">
      <c r="A150" s="181"/>
      <c r="B150" s="184"/>
      <c r="C150" s="187"/>
      <c r="D150" s="187"/>
      <c r="E150" s="21" t="s">
        <v>25</v>
      </c>
      <c r="F150" s="22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4"/>
    </row>
    <row r="151" spans="1:17" s="6" customFormat="1" x14ac:dyDescent="0.25">
      <c r="A151" s="181"/>
      <c r="B151" s="184"/>
      <c r="C151" s="187"/>
      <c r="D151" s="187"/>
      <c r="E151" s="21" t="s">
        <v>26</v>
      </c>
      <c r="F151" s="22"/>
      <c r="G151" s="23"/>
      <c r="H151" s="23">
        <v>40</v>
      </c>
      <c r="I151" s="23"/>
      <c r="J151" s="23"/>
      <c r="K151" s="23"/>
      <c r="L151" s="23"/>
      <c r="M151" s="25">
        <v>40</v>
      </c>
      <c r="N151" s="23"/>
      <c r="O151" s="23"/>
      <c r="P151" s="23"/>
      <c r="Q151" s="24"/>
    </row>
    <row r="152" spans="1:17" s="6" customFormat="1" ht="16.5" thickBot="1" x14ac:dyDescent="0.3">
      <c r="A152" s="182"/>
      <c r="B152" s="185"/>
      <c r="C152" s="188"/>
      <c r="D152" s="188"/>
      <c r="E152" s="27" t="s">
        <v>27</v>
      </c>
      <c r="F152" s="39"/>
      <c r="G152" s="32"/>
      <c r="H152" s="32">
        <v>38.22</v>
      </c>
      <c r="I152" s="32"/>
      <c r="J152" s="32"/>
      <c r="K152" s="32"/>
      <c r="L152" s="33"/>
      <c r="M152" s="73">
        <v>38.22</v>
      </c>
      <c r="N152" s="32"/>
      <c r="O152" s="32"/>
      <c r="P152" s="32"/>
      <c r="Q152" s="37"/>
    </row>
    <row r="153" spans="1:17" s="6" customFormat="1" x14ac:dyDescent="0.25">
      <c r="A153" s="189" t="s">
        <v>35</v>
      </c>
      <c r="B153" s="183">
        <v>2015</v>
      </c>
      <c r="C153" s="186">
        <v>22.72</v>
      </c>
      <c r="D153" s="186">
        <v>22.72</v>
      </c>
      <c r="E153" s="14" t="s">
        <v>24</v>
      </c>
      <c r="F153" s="38"/>
      <c r="G153" s="17"/>
      <c r="H153" s="17">
        <v>1</v>
      </c>
      <c r="I153" s="17"/>
      <c r="J153" s="17"/>
      <c r="K153" s="17">
        <v>2</v>
      </c>
      <c r="L153" s="18"/>
      <c r="M153" s="17"/>
      <c r="N153" s="17">
        <v>3</v>
      </c>
      <c r="O153" s="17"/>
      <c r="P153" s="17"/>
      <c r="Q153" s="35"/>
    </row>
    <row r="154" spans="1:17" s="6" customFormat="1" ht="15.75" hidden="1" customHeight="1" x14ac:dyDescent="0.25">
      <c r="A154" s="190"/>
      <c r="B154" s="184"/>
      <c r="C154" s="187"/>
      <c r="D154" s="187"/>
      <c r="E154" s="21" t="s">
        <v>25</v>
      </c>
      <c r="F154" s="22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4"/>
    </row>
    <row r="155" spans="1:17" s="6" customFormat="1" x14ac:dyDescent="0.25">
      <c r="A155" s="190"/>
      <c r="B155" s="184"/>
      <c r="C155" s="187"/>
      <c r="D155" s="187"/>
      <c r="E155" s="21" t="s">
        <v>26</v>
      </c>
      <c r="F155" s="22"/>
      <c r="G155" s="23"/>
      <c r="H155" s="23">
        <v>20</v>
      </c>
      <c r="I155" s="23"/>
      <c r="J155" s="23"/>
      <c r="K155" s="23">
        <v>20</v>
      </c>
      <c r="L155" s="23"/>
      <c r="M155" s="23"/>
      <c r="N155" s="23">
        <v>20</v>
      </c>
      <c r="O155" s="23"/>
      <c r="P155" s="23"/>
      <c r="Q155" s="24"/>
    </row>
    <row r="156" spans="1:17" s="6" customFormat="1" ht="16.5" thickBot="1" x14ac:dyDescent="0.3">
      <c r="A156" s="191"/>
      <c r="B156" s="185"/>
      <c r="C156" s="188"/>
      <c r="D156" s="188"/>
      <c r="E156" s="27" t="s">
        <v>27</v>
      </c>
      <c r="F156" s="39"/>
      <c r="G156" s="32"/>
      <c r="H156" s="32">
        <v>22.72</v>
      </c>
      <c r="I156" s="32"/>
      <c r="J156" s="32"/>
      <c r="K156" s="32">
        <v>22.72</v>
      </c>
      <c r="L156" s="33"/>
      <c r="M156" s="32"/>
      <c r="N156" s="32">
        <v>22.72</v>
      </c>
      <c r="O156" s="29"/>
      <c r="P156" s="32"/>
      <c r="Q156" s="37"/>
    </row>
    <row r="157" spans="1:17" s="6" customFormat="1" ht="16.5" hidden="1" thickBot="1" x14ac:dyDescent="0.3">
      <c r="A157" s="189" t="s">
        <v>36</v>
      </c>
      <c r="B157" s="183">
        <v>2015</v>
      </c>
      <c r="C157" s="186">
        <v>0</v>
      </c>
      <c r="D157" s="13"/>
      <c r="E157" s="14" t="s">
        <v>24</v>
      </c>
      <c r="F157" s="38"/>
      <c r="G157" s="17"/>
      <c r="H157" s="17"/>
      <c r="I157" s="17"/>
      <c r="J157" s="17"/>
      <c r="K157" s="17"/>
      <c r="L157" s="18"/>
      <c r="M157" s="17"/>
      <c r="N157" s="18"/>
      <c r="O157" s="17"/>
      <c r="P157" s="17"/>
      <c r="Q157" s="35"/>
    </row>
    <row r="158" spans="1:17" s="6" customFormat="1" ht="16.5" hidden="1" thickBot="1" x14ac:dyDescent="0.3">
      <c r="A158" s="190"/>
      <c r="B158" s="184"/>
      <c r="C158" s="187"/>
      <c r="D158" s="20"/>
      <c r="E158" s="21" t="s">
        <v>25</v>
      </c>
      <c r="F158" s="22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4"/>
    </row>
    <row r="159" spans="1:17" s="6" customFormat="1" ht="16.5" hidden="1" thickBot="1" x14ac:dyDescent="0.3">
      <c r="A159" s="190"/>
      <c r="B159" s="184"/>
      <c r="C159" s="187"/>
      <c r="D159" s="20"/>
      <c r="E159" s="21" t="s">
        <v>26</v>
      </c>
      <c r="F159" s="22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4"/>
    </row>
    <row r="160" spans="1:17" s="6" customFormat="1" ht="16.5" hidden="1" thickBot="1" x14ac:dyDescent="0.3">
      <c r="A160" s="191"/>
      <c r="B160" s="185"/>
      <c r="C160" s="188"/>
      <c r="D160" s="26"/>
      <c r="E160" s="27" t="s">
        <v>27</v>
      </c>
      <c r="F160" s="39"/>
      <c r="G160" s="32"/>
      <c r="H160" s="32"/>
      <c r="I160" s="32"/>
      <c r="J160" s="32"/>
      <c r="K160" s="41"/>
      <c r="L160" s="33"/>
      <c r="M160" s="32"/>
      <c r="N160" s="41"/>
      <c r="O160" s="32"/>
      <c r="P160" s="32"/>
      <c r="Q160" s="37"/>
    </row>
    <row r="161" spans="1:17" s="6" customFormat="1" x14ac:dyDescent="0.25">
      <c r="A161" s="189">
        <v>27</v>
      </c>
      <c r="B161" s="183">
        <v>2015</v>
      </c>
      <c r="C161" s="186">
        <v>18.64</v>
      </c>
      <c r="D161" s="186">
        <v>14.3</v>
      </c>
      <c r="E161" s="14" t="s">
        <v>24</v>
      </c>
      <c r="F161" s="38"/>
      <c r="G161" s="17">
        <v>1</v>
      </c>
      <c r="H161" s="17"/>
      <c r="I161" s="17"/>
      <c r="J161" s="17">
        <v>2</v>
      </c>
      <c r="K161" s="18"/>
      <c r="L161" s="17"/>
      <c r="M161" s="17">
        <v>3</v>
      </c>
      <c r="N161" s="18"/>
      <c r="O161" s="17"/>
      <c r="P161" s="17"/>
      <c r="Q161" s="35"/>
    </row>
    <row r="162" spans="1:17" s="6" customFormat="1" ht="15.75" hidden="1" customHeight="1" x14ac:dyDescent="0.25">
      <c r="A162" s="190"/>
      <c r="B162" s="184"/>
      <c r="C162" s="187"/>
      <c r="D162" s="187"/>
      <c r="E162" s="21" t="s">
        <v>25</v>
      </c>
      <c r="F162" s="22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4"/>
    </row>
    <row r="163" spans="1:17" s="6" customFormat="1" x14ac:dyDescent="0.25">
      <c r="A163" s="190"/>
      <c r="B163" s="184"/>
      <c r="C163" s="187"/>
      <c r="D163" s="187"/>
      <c r="E163" s="21" t="s">
        <v>26</v>
      </c>
      <c r="F163" s="22"/>
      <c r="G163" s="23">
        <v>20</v>
      </c>
      <c r="H163" s="23"/>
      <c r="I163" s="23"/>
      <c r="J163" s="23">
        <v>20</v>
      </c>
      <c r="K163" s="23"/>
      <c r="L163" s="23"/>
      <c r="M163" s="23">
        <v>40</v>
      </c>
      <c r="N163" s="23"/>
      <c r="O163" s="23"/>
      <c r="P163" s="23"/>
      <c r="Q163" s="24"/>
    </row>
    <row r="164" spans="1:17" s="6" customFormat="1" ht="16.5" thickBot="1" x14ac:dyDescent="0.3">
      <c r="A164" s="191"/>
      <c r="B164" s="185"/>
      <c r="C164" s="188"/>
      <c r="D164" s="188"/>
      <c r="E164" s="27" t="s">
        <v>27</v>
      </c>
      <c r="F164" s="39"/>
      <c r="G164" s="32">
        <v>18.64</v>
      </c>
      <c r="H164" s="32"/>
      <c r="I164" s="31"/>
      <c r="J164" s="32">
        <v>18.64</v>
      </c>
      <c r="K164" s="33"/>
      <c r="L164" s="32"/>
      <c r="M164" s="32">
        <v>18.64</v>
      </c>
      <c r="N164" s="41"/>
      <c r="O164" s="32"/>
      <c r="P164" s="32"/>
      <c r="Q164" s="37"/>
    </row>
    <row r="165" spans="1:17" s="6" customFormat="1" x14ac:dyDescent="0.25">
      <c r="A165" s="189">
        <v>28</v>
      </c>
      <c r="B165" s="183">
        <v>2015</v>
      </c>
      <c r="C165" s="186">
        <v>25.5</v>
      </c>
      <c r="D165" s="186">
        <v>21.94</v>
      </c>
      <c r="E165" s="14" t="s">
        <v>24</v>
      </c>
      <c r="F165" s="38"/>
      <c r="G165" s="17"/>
      <c r="H165" s="17"/>
      <c r="I165" s="17">
        <v>1</v>
      </c>
      <c r="J165" s="17"/>
      <c r="K165" s="17">
        <v>2</v>
      </c>
      <c r="L165" s="17"/>
      <c r="M165" s="17"/>
      <c r="N165" s="17">
        <v>3</v>
      </c>
      <c r="O165" s="17"/>
      <c r="P165" s="17"/>
      <c r="Q165" s="35"/>
    </row>
    <row r="166" spans="1:17" s="6" customFormat="1" ht="15.75" hidden="1" customHeight="1" x14ac:dyDescent="0.25">
      <c r="A166" s="190"/>
      <c r="B166" s="184"/>
      <c r="C166" s="187"/>
      <c r="D166" s="187"/>
      <c r="E166" s="21" t="s">
        <v>25</v>
      </c>
      <c r="F166" s="22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4"/>
    </row>
    <row r="167" spans="1:17" s="6" customFormat="1" x14ac:dyDescent="0.25">
      <c r="A167" s="190"/>
      <c r="B167" s="184"/>
      <c r="C167" s="187"/>
      <c r="D167" s="187"/>
      <c r="E167" s="21" t="s">
        <v>26</v>
      </c>
      <c r="F167" s="22"/>
      <c r="G167" s="23"/>
      <c r="H167" s="23"/>
      <c r="I167" s="23">
        <v>20</v>
      </c>
      <c r="J167" s="23"/>
      <c r="K167" s="23">
        <v>20</v>
      </c>
      <c r="L167" s="23"/>
      <c r="M167" s="23"/>
      <c r="N167" s="23">
        <v>20</v>
      </c>
      <c r="O167" s="23"/>
      <c r="P167" s="23"/>
      <c r="Q167" s="24"/>
    </row>
    <row r="168" spans="1:17" s="6" customFormat="1" ht="16.5" thickBot="1" x14ac:dyDescent="0.3">
      <c r="A168" s="191"/>
      <c r="B168" s="185"/>
      <c r="C168" s="188"/>
      <c r="D168" s="188"/>
      <c r="E168" s="27" t="s">
        <v>27</v>
      </c>
      <c r="F168" s="74"/>
      <c r="G168" s="56"/>
      <c r="H168" s="56"/>
      <c r="I168" s="56">
        <v>25.5</v>
      </c>
      <c r="J168" s="56"/>
      <c r="K168" s="56">
        <v>25.5</v>
      </c>
      <c r="L168" s="16"/>
      <c r="M168" s="56"/>
      <c r="N168" s="59">
        <v>25.5</v>
      </c>
      <c r="O168" s="16"/>
      <c r="P168" s="16"/>
      <c r="Q168" s="60"/>
    </row>
    <row r="169" spans="1:17" s="6" customFormat="1" x14ac:dyDescent="0.25">
      <c r="A169" s="180">
        <v>29</v>
      </c>
      <c r="B169" s="183">
        <v>2015</v>
      </c>
      <c r="C169" s="186">
        <v>11.38</v>
      </c>
      <c r="D169" s="186">
        <v>19.260000000000002</v>
      </c>
      <c r="E169" s="14" t="s">
        <v>24</v>
      </c>
      <c r="F169" s="38"/>
      <c r="G169" s="17"/>
      <c r="H169" s="17"/>
      <c r="I169" s="17"/>
      <c r="J169" s="17">
        <v>1</v>
      </c>
      <c r="K169" s="17"/>
      <c r="L169" s="17">
        <v>2</v>
      </c>
      <c r="M169" s="17"/>
      <c r="N169" s="17"/>
      <c r="O169" s="17">
        <v>3</v>
      </c>
      <c r="P169" s="17"/>
      <c r="Q169" s="35"/>
    </row>
    <row r="170" spans="1:17" s="6" customFormat="1" ht="15.75" hidden="1" customHeight="1" x14ac:dyDescent="0.25">
      <c r="A170" s="181"/>
      <c r="B170" s="184"/>
      <c r="C170" s="187"/>
      <c r="D170" s="187"/>
      <c r="E170" s="21" t="s">
        <v>25</v>
      </c>
      <c r="F170" s="22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4"/>
    </row>
    <row r="171" spans="1:17" s="6" customFormat="1" x14ac:dyDescent="0.25">
      <c r="A171" s="181"/>
      <c r="B171" s="184"/>
      <c r="C171" s="187"/>
      <c r="D171" s="187"/>
      <c r="E171" s="21" t="s">
        <v>26</v>
      </c>
      <c r="F171" s="22"/>
      <c r="G171" s="23"/>
      <c r="H171" s="23"/>
      <c r="I171" s="23"/>
      <c r="J171" s="23">
        <v>20</v>
      </c>
      <c r="K171" s="23"/>
      <c r="L171" s="23">
        <v>20</v>
      </c>
      <c r="M171" s="25"/>
      <c r="N171" s="23"/>
      <c r="O171" s="23">
        <v>20</v>
      </c>
      <c r="P171" s="23"/>
      <c r="Q171" s="24"/>
    </row>
    <row r="172" spans="1:17" s="6" customFormat="1" ht="16.5" thickBot="1" x14ac:dyDescent="0.3">
      <c r="A172" s="182"/>
      <c r="B172" s="185"/>
      <c r="C172" s="188"/>
      <c r="D172" s="188"/>
      <c r="E172" s="27" t="s">
        <v>27</v>
      </c>
      <c r="F172" s="39"/>
      <c r="G172" s="32"/>
      <c r="H172" s="32"/>
      <c r="I172" s="32"/>
      <c r="J172" s="32">
        <v>11.38</v>
      </c>
      <c r="K172" s="32"/>
      <c r="L172" s="32">
        <v>11.38</v>
      </c>
      <c r="M172" s="73"/>
      <c r="N172" s="32"/>
      <c r="O172" s="32">
        <v>19.260000000000002</v>
      </c>
      <c r="P172" s="32"/>
      <c r="Q172" s="37"/>
    </row>
    <row r="173" spans="1:17" s="6" customFormat="1" x14ac:dyDescent="0.25">
      <c r="A173" s="189">
        <v>30</v>
      </c>
      <c r="B173" s="183">
        <v>2015</v>
      </c>
      <c r="C173" s="186">
        <v>24.35</v>
      </c>
      <c r="D173" s="186">
        <v>24.3</v>
      </c>
      <c r="E173" s="14" t="s">
        <v>24</v>
      </c>
      <c r="F173" s="38"/>
      <c r="G173" s="17"/>
      <c r="H173" s="17"/>
      <c r="I173" s="17"/>
      <c r="J173" s="17">
        <v>1</v>
      </c>
      <c r="K173" s="17"/>
      <c r="L173" s="17">
        <v>2</v>
      </c>
      <c r="M173" s="17"/>
      <c r="N173" s="17"/>
      <c r="O173" s="17">
        <v>3</v>
      </c>
      <c r="P173" s="17"/>
      <c r="Q173" s="35"/>
    </row>
    <row r="174" spans="1:17" s="6" customFormat="1" ht="15.75" hidden="1" customHeight="1" x14ac:dyDescent="0.25">
      <c r="A174" s="190"/>
      <c r="B174" s="184"/>
      <c r="C174" s="187"/>
      <c r="D174" s="187"/>
      <c r="E174" s="21" t="s">
        <v>25</v>
      </c>
      <c r="F174" s="22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4"/>
    </row>
    <row r="175" spans="1:17" s="6" customFormat="1" x14ac:dyDescent="0.25">
      <c r="A175" s="190"/>
      <c r="B175" s="184"/>
      <c r="C175" s="187"/>
      <c r="D175" s="187"/>
      <c r="E175" s="21" t="s">
        <v>26</v>
      </c>
      <c r="F175" s="22"/>
      <c r="G175" s="23"/>
      <c r="H175" s="23"/>
      <c r="I175" s="23"/>
      <c r="J175" s="23">
        <v>40</v>
      </c>
      <c r="K175" s="23"/>
      <c r="L175" s="23">
        <v>40</v>
      </c>
      <c r="M175" s="23"/>
      <c r="N175" s="23"/>
      <c r="O175" s="23">
        <v>20</v>
      </c>
      <c r="P175" s="23"/>
      <c r="Q175" s="24"/>
    </row>
    <row r="176" spans="1:17" s="6" customFormat="1" ht="16.5" thickBot="1" x14ac:dyDescent="0.3">
      <c r="A176" s="191"/>
      <c r="B176" s="185"/>
      <c r="C176" s="188"/>
      <c r="D176" s="188"/>
      <c r="E176" s="27" t="s">
        <v>27</v>
      </c>
      <c r="F176" s="39"/>
      <c r="G176" s="32"/>
      <c r="H176" s="32"/>
      <c r="I176" s="32"/>
      <c r="J176" s="32">
        <v>24.35</v>
      </c>
      <c r="K176" s="32"/>
      <c r="L176" s="32">
        <v>24.35</v>
      </c>
      <c r="M176" s="32"/>
      <c r="N176" s="32"/>
      <c r="O176" s="29">
        <v>24.3</v>
      </c>
      <c r="P176" s="32"/>
      <c r="Q176" s="37"/>
    </row>
    <row r="177" spans="1:17" s="6" customFormat="1" x14ac:dyDescent="0.25">
      <c r="A177" s="189">
        <v>31</v>
      </c>
      <c r="B177" s="183">
        <v>2015</v>
      </c>
      <c r="C177" s="186">
        <v>34.08</v>
      </c>
      <c r="D177" s="186">
        <v>34.020000000000003</v>
      </c>
      <c r="E177" s="14" t="s">
        <v>24</v>
      </c>
      <c r="F177" s="38"/>
      <c r="G177" s="17"/>
      <c r="H177" s="17"/>
      <c r="I177" s="17">
        <v>1</v>
      </c>
      <c r="J177" s="17"/>
      <c r="K177" s="17"/>
      <c r="L177" s="17">
        <v>2</v>
      </c>
      <c r="M177" s="17"/>
      <c r="N177" s="17"/>
      <c r="O177" s="17">
        <v>3</v>
      </c>
      <c r="P177" s="17"/>
      <c r="Q177" s="35"/>
    </row>
    <row r="178" spans="1:17" s="6" customFormat="1" ht="15.75" hidden="1" customHeight="1" x14ac:dyDescent="0.25">
      <c r="A178" s="190"/>
      <c r="B178" s="184"/>
      <c r="C178" s="187"/>
      <c r="D178" s="187"/>
      <c r="E178" s="21" t="s">
        <v>25</v>
      </c>
      <c r="F178" s="22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4"/>
    </row>
    <row r="179" spans="1:17" s="6" customFormat="1" x14ac:dyDescent="0.25">
      <c r="A179" s="190"/>
      <c r="B179" s="184"/>
      <c r="C179" s="187"/>
      <c r="D179" s="187"/>
      <c r="E179" s="21" t="s">
        <v>26</v>
      </c>
      <c r="F179" s="22"/>
      <c r="G179" s="23"/>
      <c r="H179" s="23"/>
      <c r="I179" s="23">
        <v>40</v>
      </c>
      <c r="J179" s="23"/>
      <c r="K179" s="23"/>
      <c r="L179" s="23">
        <v>40</v>
      </c>
      <c r="M179" s="23"/>
      <c r="N179" s="23"/>
      <c r="O179" s="23">
        <v>40</v>
      </c>
      <c r="P179" s="23"/>
      <c r="Q179" s="24"/>
    </row>
    <row r="180" spans="1:17" s="6" customFormat="1" ht="16.5" thickBot="1" x14ac:dyDescent="0.3">
      <c r="A180" s="191"/>
      <c r="B180" s="185"/>
      <c r="C180" s="188"/>
      <c r="D180" s="188"/>
      <c r="E180" s="27" t="s">
        <v>27</v>
      </c>
      <c r="F180" s="39"/>
      <c r="G180" s="32"/>
      <c r="H180" s="32"/>
      <c r="I180" s="32">
        <v>34.08</v>
      </c>
      <c r="J180" s="32"/>
      <c r="K180" s="75"/>
      <c r="L180" s="32">
        <v>34.08</v>
      </c>
      <c r="M180" s="32"/>
      <c r="N180" s="75"/>
      <c r="O180" s="32">
        <v>34.020000000000003</v>
      </c>
      <c r="P180" s="32"/>
      <c r="Q180" s="37"/>
    </row>
    <row r="181" spans="1:17" s="6" customFormat="1" ht="16.5" hidden="1" thickBot="1" x14ac:dyDescent="0.3">
      <c r="A181" s="189">
        <v>32</v>
      </c>
      <c r="B181" s="183">
        <v>2015</v>
      </c>
      <c r="C181" s="186">
        <v>0</v>
      </c>
      <c r="D181" s="186"/>
      <c r="E181" s="14" t="s">
        <v>24</v>
      </c>
      <c r="F181" s="38"/>
      <c r="G181" s="17"/>
      <c r="H181" s="17"/>
      <c r="I181" s="17"/>
      <c r="J181" s="17"/>
      <c r="K181" s="18"/>
      <c r="L181" s="17"/>
      <c r="M181" s="17"/>
      <c r="N181" s="18"/>
      <c r="O181" s="17"/>
      <c r="P181" s="17"/>
      <c r="Q181" s="35"/>
    </row>
    <row r="182" spans="1:17" s="6" customFormat="1" ht="15.75" hidden="1" customHeight="1" x14ac:dyDescent="0.25">
      <c r="A182" s="190"/>
      <c r="B182" s="184"/>
      <c r="C182" s="187"/>
      <c r="D182" s="187"/>
      <c r="E182" s="21" t="s">
        <v>25</v>
      </c>
      <c r="F182" s="22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4"/>
    </row>
    <row r="183" spans="1:17" s="6" customFormat="1" ht="16.5" hidden="1" thickBot="1" x14ac:dyDescent="0.3">
      <c r="A183" s="190"/>
      <c r="B183" s="184"/>
      <c r="C183" s="187"/>
      <c r="D183" s="187"/>
      <c r="E183" s="21" t="s">
        <v>26</v>
      </c>
      <c r="F183" s="22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4"/>
    </row>
    <row r="184" spans="1:17" s="6" customFormat="1" ht="16.5" hidden="1" thickBot="1" x14ac:dyDescent="0.3">
      <c r="A184" s="191"/>
      <c r="B184" s="185"/>
      <c r="C184" s="188"/>
      <c r="D184" s="188"/>
      <c r="E184" s="27" t="s">
        <v>27</v>
      </c>
      <c r="F184" s="15"/>
      <c r="G184" s="16"/>
      <c r="H184" s="16"/>
      <c r="I184" s="16"/>
      <c r="J184" s="16"/>
      <c r="K184" s="76"/>
      <c r="L184" s="16"/>
      <c r="M184" s="16"/>
      <c r="N184" s="77"/>
      <c r="O184" s="16"/>
      <c r="P184" s="16"/>
      <c r="Q184" s="60"/>
    </row>
    <row r="185" spans="1:17" ht="16.5" thickBot="1" x14ac:dyDescent="0.3">
      <c r="A185" s="192" t="s">
        <v>29</v>
      </c>
      <c r="B185" s="192"/>
      <c r="C185" s="45">
        <f>SUM(C149:C184)</f>
        <v>174.89</v>
      </c>
      <c r="D185" s="45">
        <f>SUM(D149:D180)</f>
        <v>174.77</v>
      </c>
      <c r="E185" s="69" t="s">
        <v>30</v>
      </c>
      <c r="F185" s="47">
        <f>F152+F156+F160+F164+F168+F172+F176+F180+F184</f>
        <v>0</v>
      </c>
      <c r="G185" s="48">
        <f t="shared" ref="G185:Q185" si="2">G152+G156+G160+G164+G168+G172+G176+G180+G184</f>
        <v>18.64</v>
      </c>
      <c r="H185" s="48">
        <f t="shared" si="2"/>
        <v>60.94</v>
      </c>
      <c r="I185" s="48">
        <f t="shared" si="2"/>
        <v>59.58</v>
      </c>
      <c r="J185" s="48">
        <f>J152+J156+J160+J164+J168+J172+J176+J180+J184</f>
        <v>54.370000000000005</v>
      </c>
      <c r="K185" s="48">
        <f t="shared" si="2"/>
        <v>48.22</v>
      </c>
      <c r="L185" s="48">
        <f t="shared" si="2"/>
        <v>69.81</v>
      </c>
      <c r="M185" s="48">
        <f>M152+M156+M160+M164+M168+M172+M176+M180+M184</f>
        <v>56.86</v>
      </c>
      <c r="N185" s="48">
        <f>N152+N156+N160+N164+N168+N172+N176+N180+N184</f>
        <v>48.22</v>
      </c>
      <c r="O185" s="48">
        <f>O152+O156+O160+O164+O168+O172+O176+O180+O184</f>
        <v>77.580000000000013</v>
      </c>
      <c r="P185" s="48">
        <f t="shared" si="2"/>
        <v>0</v>
      </c>
      <c r="Q185" s="67">
        <f t="shared" si="2"/>
        <v>0</v>
      </c>
    </row>
    <row r="186" spans="1:17" x14ac:dyDescent="0.25">
      <c r="A186" s="8"/>
      <c r="B186" s="8"/>
      <c r="C186" s="70"/>
      <c r="D186" s="70"/>
      <c r="E186" s="4"/>
      <c r="I186" s="78"/>
      <c r="M186" s="78"/>
      <c r="N186" s="9"/>
    </row>
    <row r="187" spans="1:17" x14ac:dyDescent="0.25">
      <c r="A187" s="1" t="s">
        <v>0</v>
      </c>
      <c r="B187" s="2"/>
      <c r="C187" s="3"/>
      <c r="D187" s="3"/>
      <c r="E187" s="2"/>
    </row>
    <row r="188" spans="1:17" x14ac:dyDescent="0.25">
      <c r="A188" s="6"/>
      <c r="B188" s="6"/>
      <c r="C188" s="7"/>
      <c r="D188" s="7"/>
      <c r="E188" s="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x14ac:dyDescent="0.25">
      <c r="A189" s="156" t="s">
        <v>1</v>
      </c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</row>
    <row r="190" spans="1:17" x14ac:dyDescent="0.25">
      <c r="A190" s="156" t="s">
        <v>2</v>
      </c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</row>
    <row r="191" spans="1:17" x14ac:dyDescent="0.25">
      <c r="A191" s="156" t="s">
        <v>3</v>
      </c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</row>
    <row r="193" spans="1:21" x14ac:dyDescent="0.25">
      <c r="A193" s="6" t="s">
        <v>37</v>
      </c>
      <c r="B193" s="8"/>
      <c r="C193" s="70"/>
      <c r="D193" s="70"/>
      <c r="E193" s="71"/>
      <c r="F193" s="71"/>
      <c r="G193" s="71"/>
      <c r="H193" s="71"/>
      <c r="I193" s="71"/>
      <c r="J193" s="71"/>
      <c r="K193" s="71"/>
      <c r="L193" s="71"/>
      <c r="M193" s="71"/>
      <c r="N193" s="72"/>
      <c r="O193" s="71"/>
      <c r="Q193" s="11" t="s">
        <v>6</v>
      </c>
    </row>
    <row r="194" spans="1:21" ht="10.5" customHeight="1" thickBot="1" x14ac:dyDescent="0.3">
      <c r="A194" s="8"/>
      <c r="B194" s="8"/>
      <c r="C194" s="70"/>
      <c r="D194" s="70"/>
      <c r="E194" s="4"/>
      <c r="I194" s="78"/>
      <c r="M194" s="78"/>
      <c r="N194" s="9"/>
    </row>
    <row r="195" spans="1:21" x14ac:dyDescent="0.25">
      <c r="A195" s="157" t="s">
        <v>7</v>
      </c>
      <c r="B195" s="160" t="s">
        <v>8</v>
      </c>
      <c r="C195" s="163" t="s">
        <v>9</v>
      </c>
      <c r="D195" s="166" t="s">
        <v>10</v>
      </c>
      <c r="E195" s="169" t="s">
        <v>11</v>
      </c>
      <c r="F195" s="172" t="s">
        <v>12</v>
      </c>
      <c r="G195" s="175" t="s">
        <v>13</v>
      </c>
      <c r="H195" s="175" t="s">
        <v>14</v>
      </c>
      <c r="I195" s="175" t="s">
        <v>15</v>
      </c>
      <c r="J195" s="175" t="s">
        <v>16</v>
      </c>
      <c r="K195" s="175" t="s">
        <v>17</v>
      </c>
      <c r="L195" s="175" t="s">
        <v>18</v>
      </c>
      <c r="M195" s="175" t="s">
        <v>19</v>
      </c>
      <c r="N195" s="175" t="s">
        <v>20</v>
      </c>
      <c r="O195" s="175" t="s">
        <v>21</v>
      </c>
      <c r="P195" s="175" t="s">
        <v>22</v>
      </c>
      <c r="Q195" s="178" t="s">
        <v>23</v>
      </c>
    </row>
    <row r="196" spans="1:21" x14ac:dyDescent="0.25">
      <c r="A196" s="158"/>
      <c r="B196" s="161"/>
      <c r="C196" s="164"/>
      <c r="D196" s="167"/>
      <c r="E196" s="193"/>
      <c r="F196" s="173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61"/>
    </row>
    <row r="197" spans="1:21" ht="16.5" thickBot="1" x14ac:dyDescent="0.3">
      <c r="A197" s="159"/>
      <c r="B197" s="162"/>
      <c r="C197" s="165"/>
      <c r="D197" s="168"/>
      <c r="E197" s="194"/>
      <c r="F197" s="174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9"/>
    </row>
    <row r="198" spans="1:21" x14ac:dyDescent="0.25">
      <c r="A198" s="180">
        <v>33</v>
      </c>
      <c r="B198" s="183">
        <v>2016</v>
      </c>
      <c r="C198" s="186">
        <v>28.72</v>
      </c>
      <c r="D198" s="186">
        <v>28.42</v>
      </c>
      <c r="E198" s="14" t="s">
        <v>24</v>
      </c>
      <c r="F198" s="38"/>
      <c r="G198" s="17"/>
      <c r="H198" s="17"/>
      <c r="I198" s="17">
        <v>1</v>
      </c>
      <c r="J198" s="17"/>
      <c r="K198" s="17">
        <v>2</v>
      </c>
      <c r="L198" s="17"/>
      <c r="M198" s="17"/>
      <c r="N198" s="17">
        <v>3</v>
      </c>
      <c r="O198" s="17"/>
      <c r="P198" s="17"/>
      <c r="Q198" s="35"/>
    </row>
    <row r="199" spans="1:21" ht="15.75" hidden="1" customHeight="1" x14ac:dyDescent="0.25">
      <c r="A199" s="181"/>
      <c r="B199" s="184"/>
      <c r="C199" s="187"/>
      <c r="D199" s="187"/>
      <c r="E199" s="21" t="s">
        <v>25</v>
      </c>
      <c r="F199" s="22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4"/>
    </row>
    <row r="200" spans="1:21" x14ac:dyDescent="0.25">
      <c r="A200" s="181"/>
      <c r="B200" s="184"/>
      <c r="C200" s="187"/>
      <c r="D200" s="187"/>
      <c r="E200" s="21" t="s">
        <v>26</v>
      </c>
      <c r="F200" s="22"/>
      <c r="G200" s="23"/>
      <c r="H200" s="23"/>
      <c r="I200" s="23">
        <v>20</v>
      </c>
      <c r="J200" s="23"/>
      <c r="K200" s="23">
        <v>20</v>
      </c>
      <c r="L200" s="23"/>
      <c r="M200" s="23"/>
      <c r="N200" s="23">
        <v>20</v>
      </c>
      <c r="O200" s="23"/>
      <c r="P200" s="23"/>
      <c r="Q200" s="24"/>
      <c r="S200" s="8"/>
      <c r="T200" s="8"/>
      <c r="U200" s="8"/>
    </row>
    <row r="201" spans="1:21" ht="16.5" thickBot="1" x14ac:dyDescent="0.3">
      <c r="A201" s="182"/>
      <c r="B201" s="185"/>
      <c r="C201" s="188"/>
      <c r="D201" s="188"/>
      <c r="E201" s="27" t="s">
        <v>27</v>
      </c>
      <c r="F201" s="39"/>
      <c r="G201" s="32"/>
      <c r="H201" s="31"/>
      <c r="I201" s="32">
        <v>28.72</v>
      </c>
      <c r="J201" s="32"/>
      <c r="K201" s="32">
        <v>28.72</v>
      </c>
      <c r="L201" s="32"/>
      <c r="M201" s="73"/>
      <c r="N201" s="32">
        <v>28.72</v>
      </c>
      <c r="O201" s="32"/>
      <c r="P201" s="32"/>
      <c r="Q201" s="37"/>
      <c r="S201" s="8"/>
      <c r="T201" s="8"/>
      <c r="U201" s="8"/>
    </row>
    <row r="202" spans="1:21" x14ac:dyDescent="0.25">
      <c r="A202" s="189">
        <v>39</v>
      </c>
      <c r="B202" s="183">
        <v>2016</v>
      </c>
      <c r="C202" s="186">
        <v>4.5</v>
      </c>
      <c r="D202" s="186">
        <v>4.5</v>
      </c>
      <c r="E202" s="14" t="s">
        <v>24</v>
      </c>
      <c r="F202" s="38"/>
      <c r="G202" s="17"/>
      <c r="H202" s="17"/>
      <c r="I202" s="17">
        <v>1</v>
      </c>
      <c r="J202" s="17"/>
      <c r="K202" s="17">
        <v>2</v>
      </c>
      <c r="L202" s="17"/>
      <c r="M202" s="17"/>
      <c r="N202" s="17">
        <v>3</v>
      </c>
      <c r="O202" s="17"/>
      <c r="P202" s="17"/>
      <c r="Q202" s="35"/>
      <c r="S202" s="8"/>
      <c r="T202" s="8"/>
      <c r="U202" s="8"/>
    </row>
    <row r="203" spans="1:21" ht="15" hidden="1" customHeight="1" x14ac:dyDescent="0.25">
      <c r="A203" s="190"/>
      <c r="B203" s="184"/>
      <c r="C203" s="187"/>
      <c r="D203" s="187"/>
      <c r="E203" s="21" t="s">
        <v>25</v>
      </c>
      <c r="F203" s="22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4"/>
    </row>
    <row r="204" spans="1:21" x14ac:dyDescent="0.25">
      <c r="A204" s="190"/>
      <c r="B204" s="184"/>
      <c r="C204" s="187"/>
      <c r="D204" s="187"/>
      <c r="E204" s="21" t="s">
        <v>26</v>
      </c>
      <c r="F204" s="22"/>
      <c r="G204" s="23"/>
      <c r="H204" s="23"/>
      <c r="I204" s="23">
        <v>7</v>
      </c>
      <c r="J204" s="23"/>
      <c r="K204" s="25">
        <v>7</v>
      </c>
      <c r="L204" s="23"/>
      <c r="M204" s="25"/>
      <c r="N204" s="23">
        <v>6</v>
      </c>
      <c r="O204" s="23"/>
      <c r="P204" s="23"/>
      <c r="Q204" s="24"/>
    </row>
    <row r="205" spans="1:21" ht="16.5" thickBot="1" x14ac:dyDescent="0.3">
      <c r="A205" s="191"/>
      <c r="B205" s="185"/>
      <c r="C205" s="188"/>
      <c r="D205" s="188"/>
      <c r="E205" s="27" t="s">
        <v>27</v>
      </c>
      <c r="F205" s="15"/>
      <c r="G205" s="16"/>
      <c r="H205" s="56"/>
      <c r="I205" s="56">
        <v>4.5</v>
      </c>
      <c r="J205" s="56"/>
      <c r="K205" s="79">
        <v>4.5</v>
      </c>
      <c r="L205" s="16"/>
      <c r="M205" s="59"/>
      <c r="N205" s="56">
        <v>4.5</v>
      </c>
      <c r="O205" s="56"/>
      <c r="P205" s="16"/>
      <c r="Q205" s="60"/>
    </row>
    <row r="206" spans="1:21" ht="16.5" thickBot="1" x14ac:dyDescent="0.3">
      <c r="A206" s="195" t="s">
        <v>29</v>
      </c>
      <c r="B206" s="196"/>
      <c r="C206" s="45">
        <f>SUM(C198:C205)</f>
        <v>33.22</v>
      </c>
      <c r="D206" s="45">
        <f>SUM(D198:D205)</f>
        <v>32.92</v>
      </c>
      <c r="E206" s="80" t="s">
        <v>30</v>
      </c>
      <c r="F206" s="47">
        <f>F201+F205</f>
        <v>0</v>
      </c>
      <c r="G206" s="48">
        <f t="shared" ref="G206:Q206" si="3">G201+G205</f>
        <v>0</v>
      </c>
      <c r="H206" s="48">
        <f t="shared" si="3"/>
        <v>0</v>
      </c>
      <c r="I206" s="48">
        <f t="shared" si="3"/>
        <v>33.22</v>
      </c>
      <c r="J206" s="48">
        <f t="shared" si="3"/>
        <v>0</v>
      </c>
      <c r="K206" s="48">
        <f t="shared" si="3"/>
        <v>33.22</v>
      </c>
      <c r="L206" s="48">
        <f t="shared" si="3"/>
        <v>0</v>
      </c>
      <c r="M206" s="48">
        <f t="shared" si="3"/>
        <v>0</v>
      </c>
      <c r="N206" s="48">
        <f t="shared" si="3"/>
        <v>33.22</v>
      </c>
      <c r="O206" s="48">
        <f t="shared" si="3"/>
        <v>0</v>
      </c>
      <c r="P206" s="48">
        <f t="shared" si="3"/>
        <v>0</v>
      </c>
      <c r="Q206" s="67">
        <f t="shared" si="3"/>
        <v>0</v>
      </c>
    </row>
    <row r="207" spans="1:21" ht="16.5" thickBot="1" x14ac:dyDescent="0.3">
      <c r="A207" s="197"/>
      <c r="B207" s="198"/>
      <c r="C207" s="81">
        <f>SUM(C61,C103,C136,C185,C206)</f>
        <v>1416.51</v>
      </c>
      <c r="D207" s="81">
        <f>SUM(D61,D103,D136,D185,D206)</f>
        <v>1413.7800000000002</v>
      </c>
      <c r="E207" s="82" t="s">
        <v>38</v>
      </c>
      <c r="F207" s="83">
        <f>SUM(F61,F103,F136,F185,F206)</f>
        <v>0</v>
      </c>
      <c r="G207" s="84">
        <f>SUM(G61,G103,G136,G185,G206)</f>
        <v>450.63999999999993</v>
      </c>
      <c r="H207" s="84">
        <f>SUM(H61,H103,H136,H185,H206)</f>
        <v>419.24</v>
      </c>
      <c r="I207" s="84">
        <f t="shared" ref="I207:Q207" si="4">SUM(I61,I103,I136,I185,I206)</f>
        <v>388.5</v>
      </c>
      <c r="J207" s="84">
        <f>SUM(J61,J103,J136,J185,J206)</f>
        <v>422.17</v>
      </c>
      <c r="K207" s="84">
        <f t="shared" si="4"/>
        <v>626.34000000000015</v>
      </c>
      <c r="L207" s="84">
        <f>SUM(L61,L103,L136,L185,L206)</f>
        <v>487.90999999999997</v>
      </c>
      <c r="M207" s="84">
        <f>SUM(M61,M103,M136,M185,M206)</f>
        <v>488.85999999999996</v>
      </c>
      <c r="N207" s="84">
        <f>SUM(N61,N103,N136,N185,N206)</f>
        <v>439.74</v>
      </c>
      <c r="O207" s="84">
        <f t="shared" si="4"/>
        <v>495.39</v>
      </c>
      <c r="P207" s="84">
        <f t="shared" si="4"/>
        <v>0</v>
      </c>
      <c r="Q207" s="84">
        <f t="shared" si="4"/>
        <v>0</v>
      </c>
    </row>
  </sheetData>
  <mergeCells count="244">
    <mergeCell ref="A202:A205"/>
    <mergeCell ref="B202:B205"/>
    <mergeCell ref="C202:C205"/>
    <mergeCell ref="D202:D205"/>
    <mergeCell ref="A206:B207"/>
    <mergeCell ref="M195:M197"/>
    <mergeCell ref="N195:N197"/>
    <mergeCell ref="O195:O197"/>
    <mergeCell ref="P195:P197"/>
    <mergeCell ref="A198:A201"/>
    <mergeCell ref="B198:B201"/>
    <mergeCell ref="C198:C201"/>
    <mergeCell ref="D198:D201"/>
    <mergeCell ref="G195:G197"/>
    <mergeCell ref="H195:H197"/>
    <mergeCell ref="I195:I197"/>
    <mergeCell ref="J195:J197"/>
    <mergeCell ref="K195:K197"/>
    <mergeCell ref="A185:B185"/>
    <mergeCell ref="A189:Q189"/>
    <mergeCell ref="A190:Q190"/>
    <mergeCell ref="A191:Q191"/>
    <mergeCell ref="A195:A197"/>
    <mergeCell ref="B195:B197"/>
    <mergeCell ref="C195:C197"/>
    <mergeCell ref="D195:D197"/>
    <mergeCell ref="E195:E197"/>
    <mergeCell ref="F195:F197"/>
    <mergeCell ref="Q195:Q197"/>
    <mergeCell ref="L195:L197"/>
    <mergeCell ref="A177:A180"/>
    <mergeCell ref="B177:B180"/>
    <mergeCell ref="C177:C180"/>
    <mergeCell ref="D177:D180"/>
    <mergeCell ref="A181:A184"/>
    <mergeCell ref="B181:B184"/>
    <mergeCell ref="C181:C184"/>
    <mergeCell ref="D181:D184"/>
    <mergeCell ref="A169:A172"/>
    <mergeCell ref="B169:B172"/>
    <mergeCell ref="C169:C172"/>
    <mergeCell ref="D169:D172"/>
    <mergeCell ref="A173:A176"/>
    <mergeCell ref="B173:B176"/>
    <mergeCell ref="C173:C176"/>
    <mergeCell ref="D173:D176"/>
    <mergeCell ref="A161:A164"/>
    <mergeCell ref="B161:B164"/>
    <mergeCell ref="C161:C164"/>
    <mergeCell ref="D161:D164"/>
    <mergeCell ref="A165:A168"/>
    <mergeCell ref="B165:B168"/>
    <mergeCell ref="C165:C168"/>
    <mergeCell ref="D165:D168"/>
    <mergeCell ref="A153:A156"/>
    <mergeCell ref="B153:B156"/>
    <mergeCell ref="C153:C156"/>
    <mergeCell ref="D153:D156"/>
    <mergeCell ref="A157:A160"/>
    <mergeCell ref="B157:B160"/>
    <mergeCell ref="C157:C160"/>
    <mergeCell ref="A149:A152"/>
    <mergeCell ref="B149:B152"/>
    <mergeCell ref="C149:C152"/>
    <mergeCell ref="D149:D152"/>
    <mergeCell ref="G146:G148"/>
    <mergeCell ref="H146:H148"/>
    <mergeCell ref="I146:I148"/>
    <mergeCell ref="J146:J148"/>
    <mergeCell ref="K146:K148"/>
    <mergeCell ref="A136:B136"/>
    <mergeCell ref="A140:Q140"/>
    <mergeCell ref="A141:Q141"/>
    <mergeCell ref="A142:Q142"/>
    <mergeCell ref="A146:A148"/>
    <mergeCell ref="B146:B148"/>
    <mergeCell ref="C146:C148"/>
    <mergeCell ref="D146:D148"/>
    <mergeCell ref="E146:E148"/>
    <mergeCell ref="F146:F148"/>
    <mergeCell ref="M146:M148"/>
    <mergeCell ref="N146:N148"/>
    <mergeCell ref="O146:O148"/>
    <mergeCell ref="P146:P148"/>
    <mergeCell ref="Q146:Q148"/>
    <mergeCell ref="L146:L148"/>
    <mergeCell ref="A128:A131"/>
    <mergeCell ref="B128:B131"/>
    <mergeCell ref="C128:C131"/>
    <mergeCell ref="D128:D131"/>
    <mergeCell ref="A132:A135"/>
    <mergeCell ref="B132:B135"/>
    <mergeCell ref="C132:C135"/>
    <mergeCell ref="D132:D135"/>
    <mergeCell ref="A120:A123"/>
    <mergeCell ref="B120:B123"/>
    <mergeCell ref="C120:C123"/>
    <mergeCell ref="D120:D123"/>
    <mergeCell ref="A124:A127"/>
    <mergeCell ref="B124:B127"/>
    <mergeCell ref="C124:C127"/>
    <mergeCell ref="D124:D127"/>
    <mergeCell ref="A116:A119"/>
    <mergeCell ref="B116:B119"/>
    <mergeCell ref="C116:C119"/>
    <mergeCell ref="D116:D119"/>
    <mergeCell ref="G113:G115"/>
    <mergeCell ref="H113:H115"/>
    <mergeCell ref="I113:I115"/>
    <mergeCell ref="J113:J115"/>
    <mergeCell ref="K113:K115"/>
    <mergeCell ref="A103:B103"/>
    <mergeCell ref="A107:Q107"/>
    <mergeCell ref="A108:Q108"/>
    <mergeCell ref="A109:Q109"/>
    <mergeCell ref="A113:A115"/>
    <mergeCell ref="B113:B115"/>
    <mergeCell ref="C113:C115"/>
    <mergeCell ref="D113:D115"/>
    <mergeCell ref="E113:E115"/>
    <mergeCell ref="F113:F115"/>
    <mergeCell ref="M113:M115"/>
    <mergeCell ref="N113:N115"/>
    <mergeCell ref="O113:O115"/>
    <mergeCell ref="P113:P115"/>
    <mergeCell ref="Q113:Q115"/>
    <mergeCell ref="L113:L115"/>
    <mergeCell ref="A94:A98"/>
    <mergeCell ref="B94:B98"/>
    <mergeCell ref="C94:C98"/>
    <mergeCell ref="D94:D97"/>
    <mergeCell ref="A99:A102"/>
    <mergeCell ref="B99:B102"/>
    <mergeCell ref="C99:C102"/>
    <mergeCell ref="D99:D102"/>
    <mergeCell ref="A86:A89"/>
    <mergeCell ref="B86:B89"/>
    <mergeCell ref="C86:C89"/>
    <mergeCell ref="D86:D89"/>
    <mergeCell ref="A90:A93"/>
    <mergeCell ref="B90:B93"/>
    <mergeCell ref="C90:C93"/>
    <mergeCell ref="D90:D93"/>
    <mergeCell ref="A78:A81"/>
    <mergeCell ref="B78:B81"/>
    <mergeCell ref="C78:C81"/>
    <mergeCell ref="D78:D81"/>
    <mergeCell ref="A82:A85"/>
    <mergeCell ref="B82:B85"/>
    <mergeCell ref="C82:C85"/>
    <mergeCell ref="D82:D85"/>
    <mergeCell ref="O71:O73"/>
    <mergeCell ref="A74:A77"/>
    <mergeCell ref="B74:B77"/>
    <mergeCell ref="C74:C77"/>
    <mergeCell ref="D74:D77"/>
    <mergeCell ref="I71:I73"/>
    <mergeCell ref="J71:J73"/>
    <mergeCell ref="K71:K73"/>
    <mergeCell ref="L71:L73"/>
    <mergeCell ref="M71:M73"/>
    <mergeCell ref="A66:Q66"/>
    <mergeCell ref="A67:Q67"/>
    <mergeCell ref="A71:A73"/>
    <mergeCell ref="B71:B73"/>
    <mergeCell ref="C71:C73"/>
    <mergeCell ref="D71:D73"/>
    <mergeCell ref="E71:E73"/>
    <mergeCell ref="F71:F73"/>
    <mergeCell ref="G71:G73"/>
    <mergeCell ref="H71:H73"/>
    <mergeCell ref="P71:P73"/>
    <mergeCell ref="Q71:Q73"/>
    <mergeCell ref="N71:N73"/>
    <mergeCell ref="A57:A60"/>
    <mergeCell ref="B57:B60"/>
    <mergeCell ref="C57:C60"/>
    <mergeCell ref="D57:D60"/>
    <mergeCell ref="A61:B61"/>
    <mergeCell ref="A65:Q65"/>
    <mergeCell ref="A49:A52"/>
    <mergeCell ref="B49:B52"/>
    <mergeCell ref="C49:C52"/>
    <mergeCell ref="D49:D52"/>
    <mergeCell ref="A53:A56"/>
    <mergeCell ref="B53:B56"/>
    <mergeCell ref="C53:C56"/>
    <mergeCell ref="D53:D56"/>
    <mergeCell ref="A41:A44"/>
    <mergeCell ref="B41:B44"/>
    <mergeCell ref="C41:C44"/>
    <mergeCell ref="D41:D44"/>
    <mergeCell ref="A45:A48"/>
    <mergeCell ref="B45:B48"/>
    <mergeCell ref="C45:C48"/>
    <mergeCell ref="D45:D48"/>
    <mergeCell ref="A33:A36"/>
    <mergeCell ref="B33:B36"/>
    <mergeCell ref="C33:C36"/>
    <mergeCell ref="D33:D36"/>
    <mergeCell ref="A37:A40"/>
    <mergeCell ref="B37:B40"/>
    <mergeCell ref="C37:C40"/>
    <mergeCell ref="D37:D40"/>
    <mergeCell ref="A25:A28"/>
    <mergeCell ref="B25:B28"/>
    <mergeCell ref="C25:C28"/>
    <mergeCell ref="D25:D28"/>
    <mergeCell ref="A29:A32"/>
    <mergeCell ref="B29:B32"/>
    <mergeCell ref="C29:C32"/>
    <mergeCell ref="D29:D32"/>
    <mergeCell ref="A17:A20"/>
    <mergeCell ref="B17:B20"/>
    <mergeCell ref="C17:C20"/>
    <mergeCell ref="D17:D20"/>
    <mergeCell ref="A21:A24"/>
    <mergeCell ref="B21:B24"/>
    <mergeCell ref="C21:C24"/>
    <mergeCell ref="D21:D24"/>
    <mergeCell ref="A13:A16"/>
    <mergeCell ref="B13:B16"/>
    <mergeCell ref="C13:C16"/>
    <mergeCell ref="D13:D16"/>
    <mergeCell ref="H10:H12"/>
    <mergeCell ref="I10:I12"/>
    <mergeCell ref="J10:J12"/>
    <mergeCell ref="K10:K12"/>
    <mergeCell ref="L10:L12"/>
    <mergeCell ref="A3:Q3"/>
    <mergeCell ref="A4:Q4"/>
    <mergeCell ref="A5:Q5"/>
    <mergeCell ref="A10:A12"/>
    <mergeCell ref="B10:B12"/>
    <mergeCell ref="C10:C12"/>
    <mergeCell ref="D10:D12"/>
    <mergeCell ref="E10:E12"/>
    <mergeCell ref="F10:F12"/>
    <mergeCell ref="G10:G12"/>
    <mergeCell ref="N10:N12"/>
    <mergeCell ref="O10:O12"/>
    <mergeCell ref="P10:P12"/>
    <mergeCell ref="Q10:Q12"/>
    <mergeCell ref="M10:M12"/>
  </mergeCells>
  <pageMargins left="0.15748031496062992" right="0.15748031496062992" top="0.6692913385826772" bottom="0.38" header="0.15748031496062992" footer="0.15748031496062992"/>
  <pageSetup paperSize="9" scale="89" firstPageNumber="46" fitToHeight="0" orientation="landscape" useFirstPageNumber="1" r:id="rId1"/>
  <headerFooter>
    <oddFooter>&amp;LData Source : Manuring and Field Maintenance - Camp Side&amp;CPage &amp;P</oddFooter>
  </headerFooter>
  <rowBreaks count="5" manualBreakCount="5">
    <brk id="44" max="16383" man="1"/>
    <brk id="61" max="16383" man="1"/>
    <brk id="103" max="16383" man="1"/>
    <brk id="136" max="16383" man="1"/>
    <brk id="18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0BF5-33A4-45B5-80F5-A7B89B3A1D47}">
  <sheetPr>
    <tabColor rgb="FFFFFF00"/>
    <pageSetUpPr fitToPage="1"/>
  </sheetPr>
  <dimension ref="A1:AD207"/>
  <sheetViews>
    <sheetView showGridLines="0" view="pageBreakPreview" zoomScale="117" zoomScaleNormal="118" zoomScaleSheetLayoutView="117" workbookViewId="0">
      <selection sqref="A1:A1048576"/>
    </sheetView>
  </sheetViews>
  <sheetFormatPr defaultRowHeight="15.75" x14ac:dyDescent="0.25"/>
  <cols>
    <col min="1" max="1" width="9.140625" style="5"/>
    <col min="2" max="2" width="0" style="5" hidden="1" customWidth="1"/>
    <col min="3" max="4" width="10.42578125" style="12" bestFit="1" customWidth="1"/>
    <col min="5" max="5" width="13" style="5" customWidth="1"/>
    <col min="6" max="7" width="9.42578125" style="4" bestFit="1" customWidth="1"/>
    <col min="8" max="8" width="9.85546875" style="4" bestFit="1" customWidth="1"/>
    <col min="9" max="10" width="10" style="4" bestFit="1" customWidth="1"/>
    <col min="11" max="15" width="9.85546875" style="4" bestFit="1" customWidth="1"/>
    <col min="16" max="17" width="9.42578125" style="4" bestFit="1" customWidth="1"/>
    <col min="18" max="16384" width="9.140625" style="5"/>
  </cols>
  <sheetData>
    <row r="1" spans="1:17" ht="18.75" customHeight="1" x14ac:dyDescent="0.25">
      <c r="A1" s="1" t="s">
        <v>0</v>
      </c>
      <c r="B1" s="2"/>
      <c r="C1" s="3"/>
      <c r="D1" s="3"/>
      <c r="E1" s="2"/>
    </row>
    <row r="2" spans="1:17" s="6" customFormat="1" x14ac:dyDescent="0.25">
      <c r="C2" s="7"/>
      <c r="D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6" customFormat="1" x14ac:dyDescent="0.25">
      <c r="A3" s="156" t="s">
        <v>1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  <row r="4" spans="1:17" s="6" customFormat="1" x14ac:dyDescent="0.25">
      <c r="A4" s="156" t="s">
        <v>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</row>
    <row r="5" spans="1:17" s="6" customFormat="1" x14ac:dyDescent="0.25">
      <c r="A5" s="156" t="s">
        <v>39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</row>
    <row r="6" spans="1:17" s="6" customFormat="1" x14ac:dyDescent="0.25">
      <c r="C6" s="7"/>
      <c r="D6" s="7"/>
    </row>
    <row r="7" spans="1:17" s="6" customFormat="1" x14ac:dyDescent="0.25">
      <c r="A7" s="6" t="s">
        <v>40</v>
      </c>
      <c r="C7" s="7"/>
      <c r="D7" s="7"/>
    </row>
    <row r="8" spans="1:17" s="6" customFormat="1" x14ac:dyDescent="0.25">
      <c r="A8" s="6" t="s">
        <v>41</v>
      </c>
      <c r="C8" s="7"/>
      <c r="D8" s="7"/>
      <c r="N8" s="10"/>
      <c r="Q8" s="11" t="s">
        <v>6</v>
      </c>
    </row>
    <row r="9" spans="1:17" ht="6.75" customHeight="1" thickBot="1" x14ac:dyDescent="0.3"/>
    <row r="10" spans="1:17" x14ac:dyDescent="0.25">
      <c r="A10" s="157" t="s">
        <v>7</v>
      </c>
      <c r="B10" s="160" t="s">
        <v>8</v>
      </c>
      <c r="C10" s="199" t="s">
        <v>9</v>
      </c>
      <c r="D10" s="166" t="s">
        <v>10</v>
      </c>
      <c r="E10" s="169" t="s">
        <v>11</v>
      </c>
      <c r="F10" s="172" t="s">
        <v>12</v>
      </c>
      <c r="G10" s="175" t="s">
        <v>13</v>
      </c>
      <c r="H10" s="175" t="s">
        <v>14</v>
      </c>
      <c r="I10" s="175" t="s">
        <v>15</v>
      </c>
      <c r="J10" s="175" t="s">
        <v>16</v>
      </c>
      <c r="K10" s="175" t="s">
        <v>17</v>
      </c>
      <c r="L10" s="175" t="s">
        <v>18</v>
      </c>
      <c r="M10" s="175" t="s">
        <v>19</v>
      </c>
      <c r="N10" s="175" t="s">
        <v>20</v>
      </c>
      <c r="O10" s="175" t="s">
        <v>21</v>
      </c>
      <c r="P10" s="175" t="s">
        <v>22</v>
      </c>
      <c r="Q10" s="178" t="s">
        <v>23</v>
      </c>
    </row>
    <row r="11" spans="1:17" x14ac:dyDescent="0.25">
      <c r="A11" s="158"/>
      <c r="B11" s="161"/>
      <c r="C11" s="167"/>
      <c r="D11" s="167"/>
      <c r="E11" s="170"/>
      <c r="F11" s="173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61"/>
    </row>
    <row r="12" spans="1:17" ht="16.5" thickBot="1" x14ac:dyDescent="0.3">
      <c r="A12" s="159"/>
      <c r="B12" s="162"/>
      <c r="C12" s="200"/>
      <c r="D12" s="168"/>
      <c r="E12" s="171"/>
      <c r="F12" s="174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9"/>
    </row>
    <row r="13" spans="1:17" x14ac:dyDescent="0.25">
      <c r="A13" s="180">
        <v>1</v>
      </c>
      <c r="B13" s="183">
        <v>2010</v>
      </c>
      <c r="C13" s="186">
        <v>53.2</v>
      </c>
      <c r="D13" s="186">
        <v>53.09</v>
      </c>
      <c r="E13" s="14" t="s">
        <v>24</v>
      </c>
      <c r="F13" s="15"/>
      <c r="G13" s="16">
        <v>1</v>
      </c>
      <c r="H13" s="16"/>
      <c r="I13" s="16"/>
      <c r="J13" s="16">
        <v>2</v>
      </c>
      <c r="K13" s="16"/>
      <c r="L13" s="16"/>
      <c r="M13" s="16">
        <v>3</v>
      </c>
      <c r="N13" s="16"/>
      <c r="O13" s="17"/>
      <c r="P13" s="18"/>
      <c r="Q13" s="19"/>
    </row>
    <row r="14" spans="1:17" ht="15.75" hidden="1" customHeight="1" x14ac:dyDescent="0.25">
      <c r="A14" s="181"/>
      <c r="B14" s="184"/>
      <c r="C14" s="187"/>
      <c r="D14" s="187"/>
      <c r="E14" s="21" t="s">
        <v>25</v>
      </c>
      <c r="F14" s="22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 x14ac:dyDescent="0.25">
      <c r="A15" s="181"/>
      <c r="B15" s="184"/>
      <c r="C15" s="187"/>
      <c r="D15" s="187"/>
      <c r="E15" s="21" t="s">
        <v>42</v>
      </c>
      <c r="F15" s="22"/>
      <c r="G15" s="23">
        <v>2000</v>
      </c>
      <c r="H15" s="25"/>
      <c r="I15" s="23"/>
      <c r="J15" s="23">
        <v>2000</v>
      </c>
      <c r="K15" s="23"/>
      <c r="L15" s="23"/>
      <c r="M15" s="23">
        <v>2000</v>
      </c>
      <c r="N15" s="23"/>
      <c r="O15" s="23"/>
      <c r="P15" s="23"/>
      <c r="Q15" s="24"/>
    </row>
    <row r="16" spans="1:17" ht="16.5" thickBot="1" x14ac:dyDescent="0.3">
      <c r="A16" s="182"/>
      <c r="B16" s="185"/>
      <c r="C16" s="188"/>
      <c r="D16" s="188"/>
      <c r="E16" s="27" t="s">
        <v>27</v>
      </c>
      <c r="F16" s="39"/>
      <c r="G16" s="29">
        <v>53.2</v>
      </c>
      <c r="H16" s="30"/>
      <c r="I16" s="31"/>
      <c r="J16" s="29">
        <v>53.2</v>
      </c>
      <c r="K16" s="32"/>
      <c r="L16" s="31"/>
      <c r="M16" s="29">
        <v>53.2</v>
      </c>
      <c r="N16" s="32"/>
      <c r="O16" s="32"/>
      <c r="P16" s="33"/>
      <c r="Q16" s="34"/>
    </row>
    <row r="17" spans="1:21" x14ac:dyDescent="0.25">
      <c r="A17" s="189">
        <v>2</v>
      </c>
      <c r="B17" s="183">
        <v>2010</v>
      </c>
      <c r="C17" s="186">
        <v>60.4</v>
      </c>
      <c r="D17" s="186">
        <v>60.27</v>
      </c>
      <c r="E17" s="14" t="s">
        <v>24</v>
      </c>
      <c r="F17" s="17"/>
      <c r="G17" s="17"/>
      <c r="H17" s="17"/>
      <c r="I17" s="17">
        <v>1</v>
      </c>
      <c r="J17" s="18"/>
      <c r="K17" s="17"/>
      <c r="L17" s="17">
        <v>2</v>
      </c>
      <c r="M17" s="17"/>
      <c r="N17" s="17"/>
      <c r="O17" s="17">
        <v>3</v>
      </c>
      <c r="P17" s="17"/>
      <c r="Q17" s="35"/>
    </row>
    <row r="18" spans="1:21" ht="15.75" hidden="1" customHeight="1" x14ac:dyDescent="0.25">
      <c r="A18" s="190"/>
      <c r="B18" s="184"/>
      <c r="C18" s="187"/>
      <c r="D18" s="187"/>
      <c r="E18" s="21" t="s">
        <v>25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S18" s="8"/>
      <c r="T18" s="8"/>
      <c r="U18" s="8"/>
    </row>
    <row r="19" spans="1:21" x14ac:dyDescent="0.25">
      <c r="A19" s="190"/>
      <c r="B19" s="184"/>
      <c r="C19" s="187"/>
      <c r="D19" s="187"/>
      <c r="E19" s="21" t="s">
        <v>42</v>
      </c>
      <c r="F19" s="23"/>
      <c r="G19" s="23"/>
      <c r="H19" s="23"/>
      <c r="I19" s="23">
        <v>4000</v>
      </c>
      <c r="J19" s="23"/>
      <c r="K19" s="23"/>
      <c r="L19" s="23">
        <v>4000</v>
      </c>
      <c r="M19" s="23"/>
      <c r="N19" s="23"/>
      <c r="O19" s="23">
        <v>4000</v>
      </c>
      <c r="P19" s="23"/>
      <c r="Q19" s="24"/>
      <c r="S19" s="8"/>
      <c r="T19" s="8"/>
      <c r="U19" s="8"/>
    </row>
    <row r="20" spans="1:21" ht="16.5" thickBot="1" x14ac:dyDescent="0.3">
      <c r="A20" s="191"/>
      <c r="B20" s="185"/>
      <c r="C20" s="188"/>
      <c r="D20" s="188"/>
      <c r="E20" s="27" t="s">
        <v>27</v>
      </c>
      <c r="F20" s="32"/>
      <c r="G20" s="31"/>
      <c r="H20" s="30"/>
      <c r="I20" s="29">
        <v>60.4</v>
      </c>
      <c r="J20" s="33"/>
      <c r="K20" s="31"/>
      <c r="L20" s="29">
        <v>60.4</v>
      </c>
      <c r="M20" s="32"/>
      <c r="N20" s="29"/>
      <c r="O20" s="29">
        <v>60.27</v>
      </c>
      <c r="P20" s="31"/>
      <c r="Q20" s="37"/>
      <c r="S20" s="8"/>
      <c r="T20" s="8"/>
      <c r="U20" s="8"/>
    </row>
    <row r="21" spans="1:21" x14ac:dyDescent="0.25">
      <c r="A21" s="189">
        <v>3</v>
      </c>
      <c r="B21" s="183">
        <v>2010</v>
      </c>
      <c r="C21" s="186">
        <v>69.2</v>
      </c>
      <c r="D21" s="186">
        <v>69.040000000000006</v>
      </c>
      <c r="E21" s="14" t="s">
        <v>24</v>
      </c>
      <c r="F21" s="38"/>
      <c r="G21" s="17"/>
      <c r="H21" s="17">
        <v>1</v>
      </c>
      <c r="I21" s="17"/>
      <c r="J21" s="17"/>
      <c r="K21" s="17">
        <v>2</v>
      </c>
      <c r="L21" s="17"/>
      <c r="M21" s="17"/>
      <c r="N21" s="17">
        <v>3</v>
      </c>
      <c r="O21" s="18"/>
      <c r="P21" s="17"/>
      <c r="Q21" s="35"/>
      <c r="S21" s="8"/>
      <c r="T21" s="8"/>
      <c r="U21" s="8"/>
    </row>
    <row r="22" spans="1:21" ht="15.75" hidden="1" customHeight="1" x14ac:dyDescent="0.25">
      <c r="A22" s="190"/>
      <c r="B22" s="184"/>
      <c r="C22" s="187"/>
      <c r="D22" s="187"/>
      <c r="E22" s="21" t="s">
        <v>25</v>
      </c>
      <c r="F22" s="22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S22" s="8"/>
      <c r="T22" s="8"/>
      <c r="U22" s="8"/>
    </row>
    <row r="23" spans="1:21" x14ac:dyDescent="0.25">
      <c r="A23" s="190"/>
      <c r="B23" s="184"/>
      <c r="C23" s="187"/>
      <c r="D23" s="187"/>
      <c r="E23" s="21" t="s">
        <v>42</v>
      </c>
      <c r="F23" s="22"/>
      <c r="G23" s="23"/>
      <c r="H23" s="23">
        <v>3000</v>
      </c>
      <c r="I23" s="23"/>
      <c r="J23" s="23"/>
      <c r="K23" s="23">
        <v>3000</v>
      </c>
      <c r="L23" s="23"/>
      <c r="M23" s="23"/>
      <c r="N23" s="23">
        <v>3000</v>
      </c>
      <c r="O23" s="23"/>
      <c r="P23" s="23"/>
      <c r="Q23" s="24"/>
      <c r="S23" s="8"/>
      <c r="T23" s="8"/>
      <c r="U23" s="8"/>
    </row>
    <row r="24" spans="1:21" ht="16.5" thickBot="1" x14ac:dyDescent="0.3">
      <c r="A24" s="191"/>
      <c r="B24" s="185"/>
      <c r="C24" s="188"/>
      <c r="D24" s="188"/>
      <c r="E24" s="27" t="s">
        <v>27</v>
      </c>
      <c r="F24" s="39"/>
      <c r="G24" s="32"/>
      <c r="H24" s="40">
        <v>69.2</v>
      </c>
      <c r="I24" s="32"/>
      <c r="J24" s="29"/>
      <c r="K24" s="29">
        <v>69.2</v>
      </c>
      <c r="L24" s="32"/>
      <c r="M24" s="29"/>
      <c r="N24" s="31">
        <v>69.2</v>
      </c>
      <c r="O24" s="33"/>
      <c r="P24" s="29"/>
      <c r="Q24" s="37"/>
      <c r="S24" s="8"/>
      <c r="T24" s="8"/>
      <c r="U24" s="8"/>
    </row>
    <row r="25" spans="1:21" x14ac:dyDescent="0.25">
      <c r="A25" s="189">
        <v>4</v>
      </c>
      <c r="B25" s="183">
        <v>2010</v>
      </c>
      <c r="C25" s="186">
        <v>70.599999999999994</v>
      </c>
      <c r="D25" s="186">
        <v>70.510000000000005</v>
      </c>
      <c r="E25" s="14" t="s">
        <v>24</v>
      </c>
      <c r="F25" s="38"/>
      <c r="G25" s="17"/>
      <c r="H25" s="17">
        <v>1</v>
      </c>
      <c r="I25" s="18"/>
      <c r="J25" s="17"/>
      <c r="K25" s="17">
        <v>2</v>
      </c>
      <c r="L25" s="17"/>
      <c r="M25" s="17"/>
      <c r="N25" s="17">
        <v>3</v>
      </c>
      <c r="O25" s="17"/>
      <c r="P25" s="17"/>
      <c r="Q25" s="19"/>
      <c r="S25" s="8"/>
      <c r="T25" s="8"/>
      <c r="U25" s="8"/>
    </row>
    <row r="26" spans="1:21" ht="15.75" hidden="1" customHeight="1" x14ac:dyDescent="0.25">
      <c r="A26" s="190"/>
      <c r="B26" s="184"/>
      <c r="C26" s="187"/>
      <c r="D26" s="187"/>
      <c r="E26" s="21" t="s">
        <v>25</v>
      </c>
      <c r="F26" s="22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S26" s="8"/>
      <c r="T26" s="8"/>
      <c r="U26" s="8"/>
    </row>
    <row r="27" spans="1:21" x14ac:dyDescent="0.25">
      <c r="A27" s="190"/>
      <c r="B27" s="184"/>
      <c r="C27" s="187"/>
      <c r="D27" s="187"/>
      <c r="E27" s="21" t="s">
        <v>42</v>
      </c>
      <c r="F27" s="22"/>
      <c r="G27" s="23"/>
      <c r="H27" s="23">
        <v>3000</v>
      </c>
      <c r="I27" s="23"/>
      <c r="J27" s="23"/>
      <c r="K27" s="23">
        <v>3000</v>
      </c>
      <c r="L27" s="23"/>
      <c r="M27" s="23"/>
      <c r="N27" s="23">
        <v>3000</v>
      </c>
      <c r="O27" s="23"/>
      <c r="P27" s="23"/>
      <c r="Q27" s="24"/>
      <c r="S27" s="8"/>
      <c r="T27" s="8"/>
      <c r="U27" s="8"/>
    </row>
    <row r="28" spans="1:21" ht="16.5" thickBot="1" x14ac:dyDescent="0.3">
      <c r="A28" s="191"/>
      <c r="B28" s="185"/>
      <c r="C28" s="188"/>
      <c r="D28" s="188"/>
      <c r="E28" s="27" t="s">
        <v>27</v>
      </c>
      <c r="F28" s="39"/>
      <c r="G28" s="32"/>
      <c r="H28" s="29">
        <v>70.599999999999994</v>
      </c>
      <c r="I28" s="41"/>
      <c r="J28" s="29"/>
      <c r="K28" s="29">
        <v>70.599999999999994</v>
      </c>
      <c r="L28" s="32"/>
      <c r="M28" s="29"/>
      <c r="N28" s="42">
        <v>70.599999999999994</v>
      </c>
      <c r="O28" s="32"/>
      <c r="P28" s="32"/>
      <c r="Q28" s="34"/>
      <c r="S28" s="8"/>
      <c r="T28" s="8"/>
      <c r="U28" s="8"/>
    </row>
    <row r="29" spans="1:21" x14ac:dyDescent="0.25">
      <c r="A29" s="189">
        <v>5</v>
      </c>
      <c r="B29" s="183">
        <v>2010</v>
      </c>
      <c r="C29" s="186">
        <v>50.4</v>
      </c>
      <c r="D29" s="186">
        <v>50.4</v>
      </c>
      <c r="E29" s="14" t="s">
        <v>24</v>
      </c>
      <c r="F29" s="38"/>
      <c r="G29" s="17">
        <v>1</v>
      </c>
      <c r="H29" s="18"/>
      <c r="I29" s="17"/>
      <c r="J29" s="17"/>
      <c r="K29" s="17">
        <v>2</v>
      </c>
      <c r="L29" s="17"/>
      <c r="M29" s="17">
        <v>3</v>
      </c>
      <c r="N29" s="17"/>
      <c r="O29" s="17"/>
      <c r="P29" s="17"/>
      <c r="Q29" s="35"/>
      <c r="S29" s="8"/>
      <c r="T29" s="8"/>
      <c r="U29" s="8"/>
    </row>
    <row r="30" spans="1:21" ht="15.75" hidden="1" customHeight="1" x14ac:dyDescent="0.25">
      <c r="A30" s="190"/>
      <c r="B30" s="184"/>
      <c r="C30" s="187"/>
      <c r="D30" s="187"/>
      <c r="E30" s="21" t="s">
        <v>25</v>
      </c>
      <c r="F30" s="22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S30" s="8"/>
      <c r="T30" s="8"/>
      <c r="U30" s="8"/>
    </row>
    <row r="31" spans="1:21" x14ac:dyDescent="0.25">
      <c r="A31" s="190"/>
      <c r="B31" s="184"/>
      <c r="C31" s="187"/>
      <c r="D31" s="187"/>
      <c r="E31" s="21" t="s">
        <v>42</v>
      </c>
      <c r="F31" s="22"/>
      <c r="G31" s="23">
        <v>2000</v>
      </c>
      <c r="H31" s="23"/>
      <c r="I31" s="23"/>
      <c r="J31" s="23"/>
      <c r="K31" s="23">
        <v>2000</v>
      </c>
      <c r="L31" s="23"/>
      <c r="M31" s="23">
        <v>2000</v>
      </c>
      <c r="N31" s="23"/>
      <c r="O31" s="23"/>
      <c r="P31" s="23"/>
      <c r="Q31" s="24"/>
      <c r="S31" s="8"/>
      <c r="T31" s="8"/>
      <c r="U31" s="8"/>
    </row>
    <row r="32" spans="1:21" ht="16.5" thickBot="1" x14ac:dyDescent="0.3">
      <c r="A32" s="191"/>
      <c r="B32" s="185"/>
      <c r="C32" s="188"/>
      <c r="D32" s="188"/>
      <c r="E32" s="27" t="s">
        <v>27</v>
      </c>
      <c r="F32" s="39"/>
      <c r="G32" s="29">
        <v>50.4</v>
      </c>
      <c r="H32" s="33"/>
      <c r="I32" s="42"/>
      <c r="J32" s="32"/>
      <c r="K32" s="29">
        <v>50.4</v>
      </c>
      <c r="L32" s="31"/>
      <c r="M32" s="29">
        <v>50.4</v>
      </c>
      <c r="N32" s="40"/>
      <c r="O32" s="32"/>
      <c r="P32" s="32"/>
      <c r="Q32" s="37"/>
      <c r="S32" s="8"/>
      <c r="T32" s="8"/>
      <c r="U32" s="8"/>
    </row>
    <row r="33" spans="1:17" x14ac:dyDescent="0.25">
      <c r="A33" s="189">
        <v>6</v>
      </c>
      <c r="B33" s="183">
        <v>2010</v>
      </c>
      <c r="C33" s="186">
        <v>58.6</v>
      </c>
      <c r="D33" s="186">
        <v>58.6</v>
      </c>
      <c r="E33" s="14" t="s">
        <v>24</v>
      </c>
      <c r="F33" s="38"/>
      <c r="G33" s="17"/>
      <c r="H33" s="17"/>
      <c r="I33" s="18"/>
      <c r="J33" s="17">
        <v>1</v>
      </c>
      <c r="K33" s="17"/>
      <c r="L33" s="17">
        <v>2</v>
      </c>
      <c r="M33" s="17"/>
      <c r="N33" s="17"/>
      <c r="O33" s="17">
        <v>3</v>
      </c>
      <c r="P33" s="17"/>
      <c r="Q33" s="35"/>
    </row>
    <row r="34" spans="1:17" ht="15.75" hidden="1" customHeight="1" x14ac:dyDescent="0.25">
      <c r="A34" s="190"/>
      <c r="B34" s="184"/>
      <c r="C34" s="187"/>
      <c r="D34" s="187"/>
      <c r="E34" s="21" t="s">
        <v>25</v>
      </c>
      <c r="F34" s="22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</row>
    <row r="35" spans="1:17" x14ac:dyDescent="0.25">
      <c r="A35" s="190"/>
      <c r="B35" s="184"/>
      <c r="C35" s="187"/>
      <c r="D35" s="187"/>
      <c r="E35" s="21" t="s">
        <v>42</v>
      </c>
      <c r="F35" s="22"/>
      <c r="G35" s="23"/>
      <c r="H35" s="23"/>
      <c r="I35" s="23"/>
      <c r="J35" s="23">
        <v>2000</v>
      </c>
      <c r="K35" s="23"/>
      <c r="L35" s="23">
        <v>3000</v>
      </c>
      <c r="M35" s="23"/>
      <c r="N35" s="23"/>
      <c r="O35" s="23">
        <v>2000</v>
      </c>
      <c r="P35" s="23"/>
      <c r="Q35" s="24"/>
    </row>
    <row r="36" spans="1:17" ht="16.5" thickBot="1" x14ac:dyDescent="0.3">
      <c r="A36" s="191"/>
      <c r="B36" s="185"/>
      <c r="C36" s="188"/>
      <c r="D36" s="188"/>
      <c r="E36" s="27" t="s">
        <v>27</v>
      </c>
      <c r="F36" s="39"/>
      <c r="G36" s="32"/>
      <c r="H36" s="32"/>
      <c r="I36" s="41"/>
      <c r="J36" s="29">
        <v>58.6</v>
      </c>
      <c r="K36" s="29"/>
      <c r="L36" s="29">
        <v>58.6</v>
      </c>
      <c r="M36" s="31"/>
      <c r="N36" s="40"/>
      <c r="O36" s="29">
        <v>58.6</v>
      </c>
      <c r="P36" s="32"/>
      <c r="Q36" s="37"/>
    </row>
    <row r="37" spans="1:17" x14ac:dyDescent="0.25">
      <c r="A37" s="189">
        <v>7</v>
      </c>
      <c r="B37" s="183">
        <v>2010</v>
      </c>
      <c r="C37" s="186">
        <v>23.6</v>
      </c>
      <c r="D37" s="186">
        <v>23.6</v>
      </c>
      <c r="E37" s="14" t="s">
        <v>24</v>
      </c>
      <c r="F37" s="38"/>
      <c r="G37" s="17">
        <v>1</v>
      </c>
      <c r="H37" s="18"/>
      <c r="I37" s="17"/>
      <c r="J37" s="85">
        <v>2</v>
      </c>
      <c r="K37" s="17"/>
      <c r="L37" s="17"/>
      <c r="M37" s="17">
        <v>3</v>
      </c>
      <c r="N37" s="17"/>
      <c r="O37" s="17"/>
      <c r="P37" s="17"/>
      <c r="Q37" s="35"/>
    </row>
    <row r="38" spans="1:17" ht="15.75" hidden="1" customHeight="1" x14ac:dyDescent="0.25">
      <c r="A38" s="190"/>
      <c r="B38" s="184"/>
      <c r="C38" s="187"/>
      <c r="D38" s="187"/>
      <c r="E38" s="21" t="s">
        <v>25</v>
      </c>
      <c r="F38" s="22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</row>
    <row r="39" spans="1:17" x14ac:dyDescent="0.25">
      <c r="A39" s="190"/>
      <c r="B39" s="184"/>
      <c r="C39" s="187"/>
      <c r="D39" s="187"/>
      <c r="E39" s="21" t="s">
        <v>42</v>
      </c>
      <c r="F39" s="22"/>
      <c r="G39" s="23">
        <v>1000</v>
      </c>
      <c r="H39" s="23"/>
      <c r="I39" s="23"/>
      <c r="J39" s="23">
        <v>1000</v>
      </c>
      <c r="K39" s="23"/>
      <c r="L39" s="23"/>
      <c r="M39" s="23">
        <v>1000</v>
      </c>
      <c r="N39" s="23"/>
      <c r="O39" s="23"/>
      <c r="P39" s="23"/>
      <c r="Q39" s="24"/>
    </row>
    <row r="40" spans="1:17" ht="16.5" thickBot="1" x14ac:dyDescent="0.3">
      <c r="A40" s="191"/>
      <c r="B40" s="185"/>
      <c r="C40" s="188"/>
      <c r="D40" s="188"/>
      <c r="E40" s="27" t="s">
        <v>27</v>
      </c>
      <c r="F40" s="39"/>
      <c r="G40" s="29">
        <v>23.6</v>
      </c>
      <c r="H40" s="33"/>
      <c r="I40" s="30"/>
      <c r="J40" s="29">
        <v>23.6</v>
      </c>
      <c r="K40" s="31"/>
      <c r="L40" s="31"/>
      <c r="M40" s="29">
        <v>23.6</v>
      </c>
      <c r="N40" s="32"/>
      <c r="O40" s="36"/>
      <c r="P40" s="32"/>
      <c r="Q40" s="37"/>
    </row>
    <row r="41" spans="1:17" x14ac:dyDescent="0.25">
      <c r="A41" s="189">
        <v>8</v>
      </c>
      <c r="B41" s="183">
        <v>2010</v>
      </c>
      <c r="C41" s="186">
        <v>61.6</v>
      </c>
      <c r="D41" s="186">
        <v>61.6</v>
      </c>
      <c r="E41" s="14" t="s">
        <v>24</v>
      </c>
      <c r="F41" s="38"/>
      <c r="G41" s="17"/>
      <c r="H41" s="17"/>
      <c r="I41" s="17">
        <v>1</v>
      </c>
      <c r="J41" s="17"/>
      <c r="K41" s="17"/>
      <c r="L41" s="17">
        <v>2</v>
      </c>
      <c r="M41" s="17"/>
      <c r="N41" s="17"/>
      <c r="O41" s="17">
        <v>3</v>
      </c>
      <c r="P41" s="17"/>
      <c r="Q41" s="35"/>
    </row>
    <row r="42" spans="1:17" ht="15.75" hidden="1" customHeight="1" x14ac:dyDescent="0.25">
      <c r="A42" s="190"/>
      <c r="B42" s="184"/>
      <c r="C42" s="187"/>
      <c r="D42" s="187"/>
      <c r="E42" s="21" t="s">
        <v>25</v>
      </c>
      <c r="F42" s="22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</row>
    <row r="43" spans="1:17" x14ac:dyDescent="0.25">
      <c r="A43" s="190"/>
      <c r="B43" s="184"/>
      <c r="C43" s="187"/>
      <c r="D43" s="187"/>
      <c r="E43" s="21" t="s">
        <v>42</v>
      </c>
      <c r="F43" s="22"/>
      <c r="G43" s="23"/>
      <c r="H43" s="23"/>
      <c r="I43" s="23">
        <v>2000</v>
      </c>
      <c r="J43" s="23"/>
      <c r="K43" s="23"/>
      <c r="L43" s="23">
        <v>2000</v>
      </c>
      <c r="M43" s="23"/>
      <c r="N43" s="23"/>
      <c r="O43" s="23">
        <v>2000</v>
      </c>
      <c r="P43" s="23"/>
      <c r="Q43" s="24"/>
    </row>
    <row r="44" spans="1:17" ht="16.5" thickBot="1" x14ac:dyDescent="0.3">
      <c r="A44" s="191"/>
      <c r="B44" s="185"/>
      <c r="C44" s="188"/>
      <c r="D44" s="188"/>
      <c r="E44" s="27" t="s">
        <v>28</v>
      </c>
      <c r="F44" s="39"/>
      <c r="G44" s="32"/>
      <c r="H44" s="31"/>
      <c r="I44" s="29">
        <v>61.6</v>
      </c>
      <c r="J44" s="32"/>
      <c r="K44" s="31"/>
      <c r="L44" s="29">
        <v>61.6</v>
      </c>
      <c r="M44" s="29"/>
      <c r="N44" s="29"/>
      <c r="O44" s="29">
        <v>61.6</v>
      </c>
      <c r="P44" s="29"/>
      <c r="Q44" s="43"/>
    </row>
    <row r="45" spans="1:17" x14ac:dyDescent="0.25">
      <c r="A45" s="189">
        <v>9</v>
      </c>
      <c r="B45" s="183">
        <v>2010</v>
      </c>
      <c r="C45" s="186">
        <v>38.299999999999997</v>
      </c>
      <c r="D45" s="186">
        <v>38.299999999999997</v>
      </c>
      <c r="E45" s="14" t="s">
        <v>24</v>
      </c>
      <c r="F45" s="38"/>
      <c r="G45" s="17"/>
      <c r="H45" s="17"/>
      <c r="I45" s="17">
        <v>1</v>
      </c>
      <c r="J45" s="17"/>
      <c r="K45" s="17"/>
      <c r="L45" s="17">
        <v>2</v>
      </c>
      <c r="M45" s="17"/>
      <c r="N45" s="17"/>
      <c r="O45" s="17">
        <v>3</v>
      </c>
      <c r="P45" s="17"/>
      <c r="Q45" s="35"/>
    </row>
    <row r="46" spans="1:17" ht="15.75" hidden="1" customHeight="1" x14ac:dyDescent="0.25">
      <c r="A46" s="190"/>
      <c r="B46" s="184"/>
      <c r="C46" s="187"/>
      <c r="D46" s="187"/>
      <c r="E46" s="21" t="s">
        <v>25</v>
      </c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</row>
    <row r="47" spans="1:17" x14ac:dyDescent="0.25">
      <c r="A47" s="190"/>
      <c r="B47" s="184"/>
      <c r="C47" s="187"/>
      <c r="D47" s="187"/>
      <c r="E47" s="21" t="s">
        <v>42</v>
      </c>
      <c r="F47" s="22"/>
      <c r="G47" s="23"/>
      <c r="H47" s="23"/>
      <c r="I47" s="23">
        <v>2000</v>
      </c>
      <c r="J47" s="23"/>
      <c r="K47" s="23"/>
      <c r="L47" s="23">
        <v>2000</v>
      </c>
      <c r="M47" s="23"/>
      <c r="N47" s="23"/>
      <c r="O47" s="23">
        <v>2000</v>
      </c>
      <c r="P47" s="23"/>
      <c r="Q47" s="24"/>
    </row>
    <row r="48" spans="1:17" ht="16.5" thickBot="1" x14ac:dyDescent="0.3">
      <c r="A48" s="191"/>
      <c r="B48" s="185"/>
      <c r="C48" s="188"/>
      <c r="D48" s="188"/>
      <c r="E48" s="27" t="s">
        <v>27</v>
      </c>
      <c r="F48" s="39"/>
      <c r="G48" s="32"/>
      <c r="H48" s="31"/>
      <c r="I48" s="40">
        <v>38.299999999999997</v>
      </c>
      <c r="J48" s="29"/>
      <c r="K48" s="29"/>
      <c r="L48" s="29">
        <v>38.299999999999997</v>
      </c>
      <c r="M48" s="29"/>
      <c r="N48" s="29"/>
      <c r="O48" s="40">
        <v>38.299999999999997</v>
      </c>
      <c r="P48" s="31"/>
      <c r="Q48" s="37"/>
    </row>
    <row r="49" spans="1:17" x14ac:dyDescent="0.25">
      <c r="A49" s="189">
        <v>11</v>
      </c>
      <c r="B49" s="183">
        <v>2010</v>
      </c>
      <c r="C49" s="186">
        <v>44.5</v>
      </c>
      <c r="D49" s="186">
        <v>44.5</v>
      </c>
      <c r="E49" s="14" t="s">
        <v>24</v>
      </c>
      <c r="F49" s="38"/>
      <c r="G49" s="17"/>
      <c r="H49" s="17"/>
      <c r="I49" s="17">
        <v>1</v>
      </c>
      <c r="J49" s="17"/>
      <c r="K49" s="17"/>
      <c r="L49" s="17">
        <v>2</v>
      </c>
      <c r="M49" s="17"/>
      <c r="N49" s="17"/>
      <c r="O49" s="17">
        <v>3</v>
      </c>
      <c r="P49" s="17"/>
      <c r="Q49" s="35"/>
    </row>
    <row r="50" spans="1:17" ht="15.75" hidden="1" customHeight="1" x14ac:dyDescent="0.25">
      <c r="A50" s="190"/>
      <c r="B50" s="184"/>
      <c r="C50" s="187"/>
      <c r="D50" s="187"/>
      <c r="E50" s="21" t="s">
        <v>25</v>
      </c>
      <c r="F50" s="22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</row>
    <row r="51" spans="1:17" x14ac:dyDescent="0.25">
      <c r="A51" s="190"/>
      <c r="B51" s="184"/>
      <c r="C51" s="187"/>
      <c r="D51" s="187"/>
      <c r="E51" s="21" t="s">
        <v>42</v>
      </c>
      <c r="F51" s="22"/>
      <c r="G51" s="23"/>
      <c r="H51" s="23"/>
      <c r="I51" s="23">
        <v>2000</v>
      </c>
      <c r="J51" s="23"/>
      <c r="K51" s="23"/>
      <c r="L51" s="23">
        <v>2000</v>
      </c>
      <c r="M51" s="23"/>
      <c r="N51" s="23"/>
      <c r="O51" s="23">
        <v>2000</v>
      </c>
      <c r="P51" s="23"/>
      <c r="Q51" s="24"/>
    </row>
    <row r="52" spans="1:17" ht="16.5" thickBot="1" x14ac:dyDescent="0.3">
      <c r="A52" s="191"/>
      <c r="B52" s="185"/>
      <c r="C52" s="188"/>
      <c r="D52" s="188"/>
      <c r="E52" s="27" t="s">
        <v>27</v>
      </c>
      <c r="F52" s="39"/>
      <c r="G52" s="32"/>
      <c r="H52" s="32"/>
      <c r="I52" s="42">
        <v>44.5</v>
      </c>
      <c r="J52" s="29"/>
      <c r="K52" s="29"/>
      <c r="L52" s="29">
        <v>44.5</v>
      </c>
      <c r="M52" s="32"/>
      <c r="N52" s="29"/>
      <c r="O52" s="40">
        <v>44.5</v>
      </c>
      <c r="P52" s="32"/>
      <c r="Q52" s="43"/>
    </row>
    <row r="53" spans="1:17" x14ac:dyDescent="0.25">
      <c r="A53" s="189">
        <v>12</v>
      </c>
      <c r="B53" s="183">
        <v>2010</v>
      </c>
      <c r="C53" s="186">
        <v>71</v>
      </c>
      <c r="D53" s="186">
        <v>71</v>
      </c>
      <c r="E53" s="14" t="s">
        <v>24</v>
      </c>
      <c r="F53" s="38"/>
      <c r="G53" s="17">
        <v>1</v>
      </c>
      <c r="H53" s="17"/>
      <c r="I53" s="17"/>
      <c r="J53" s="17"/>
      <c r="K53" s="17">
        <v>2</v>
      </c>
      <c r="L53" s="17"/>
      <c r="M53" s="17">
        <v>3</v>
      </c>
      <c r="N53" s="17"/>
      <c r="O53" s="17"/>
      <c r="P53" s="17"/>
      <c r="Q53" s="35"/>
    </row>
    <row r="54" spans="1:17" ht="15.75" hidden="1" customHeight="1" x14ac:dyDescent="0.25">
      <c r="A54" s="190"/>
      <c r="B54" s="184"/>
      <c r="C54" s="187"/>
      <c r="D54" s="187"/>
      <c r="E54" s="21" t="s">
        <v>25</v>
      </c>
      <c r="F54" s="22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4"/>
    </row>
    <row r="55" spans="1:17" x14ac:dyDescent="0.25">
      <c r="A55" s="190"/>
      <c r="B55" s="184"/>
      <c r="C55" s="187"/>
      <c r="D55" s="187"/>
      <c r="E55" s="21" t="s">
        <v>42</v>
      </c>
      <c r="F55" s="22"/>
      <c r="G55" s="23">
        <v>3000</v>
      </c>
      <c r="H55" s="23"/>
      <c r="I55" s="23"/>
      <c r="J55" s="23"/>
      <c r="K55" s="23">
        <v>3000</v>
      </c>
      <c r="L55" s="23"/>
      <c r="M55" s="23">
        <v>3000</v>
      </c>
      <c r="N55" s="23"/>
      <c r="O55" s="23"/>
      <c r="P55" s="23"/>
      <c r="Q55" s="24"/>
    </row>
    <row r="56" spans="1:17" ht="16.5" thickBot="1" x14ac:dyDescent="0.3">
      <c r="A56" s="191"/>
      <c r="B56" s="185"/>
      <c r="C56" s="188"/>
      <c r="D56" s="188"/>
      <c r="E56" s="27" t="s">
        <v>27</v>
      </c>
      <c r="F56" s="39"/>
      <c r="G56" s="31">
        <v>71</v>
      </c>
      <c r="H56" s="32"/>
      <c r="I56" s="31"/>
      <c r="J56" s="40"/>
      <c r="K56" s="31">
        <v>71</v>
      </c>
      <c r="L56" s="32"/>
      <c r="M56" s="29">
        <v>71</v>
      </c>
      <c r="N56" s="32"/>
      <c r="O56" s="29"/>
      <c r="P56" s="32"/>
      <c r="Q56" s="37"/>
    </row>
    <row r="57" spans="1:17" x14ac:dyDescent="0.25">
      <c r="A57" s="189">
        <v>23</v>
      </c>
      <c r="B57" s="183">
        <v>2010</v>
      </c>
      <c r="C57" s="186">
        <v>14.6</v>
      </c>
      <c r="D57" s="186">
        <v>14.6</v>
      </c>
      <c r="E57" s="14" t="s">
        <v>24</v>
      </c>
      <c r="F57" s="38"/>
      <c r="G57" s="17">
        <v>1</v>
      </c>
      <c r="H57" s="17"/>
      <c r="I57" s="17"/>
      <c r="J57" s="17"/>
      <c r="K57" s="17">
        <v>2</v>
      </c>
      <c r="L57" s="17"/>
      <c r="M57" s="17">
        <v>3</v>
      </c>
      <c r="N57" s="17"/>
      <c r="O57" s="17"/>
      <c r="P57" s="17"/>
      <c r="Q57" s="35"/>
    </row>
    <row r="58" spans="1:17" ht="15.75" hidden="1" customHeight="1" x14ac:dyDescent="0.25">
      <c r="A58" s="190"/>
      <c r="B58" s="184"/>
      <c r="C58" s="187"/>
      <c r="D58" s="187"/>
      <c r="E58" s="21" t="s">
        <v>25</v>
      </c>
      <c r="F58" s="22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4"/>
    </row>
    <row r="59" spans="1:17" x14ac:dyDescent="0.25">
      <c r="A59" s="190"/>
      <c r="B59" s="184"/>
      <c r="C59" s="187"/>
      <c r="D59" s="187"/>
      <c r="E59" s="21" t="s">
        <v>42</v>
      </c>
      <c r="F59" s="22"/>
      <c r="G59" s="23">
        <v>1000</v>
      </c>
      <c r="H59" s="23"/>
      <c r="I59" s="23"/>
      <c r="J59" s="23"/>
      <c r="K59" s="23">
        <v>1000</v>
      </c>
      <c r="L59" s="23"/>
      <c r="M59" s="23">
        <v>1000</v>
      </c>
      <c r="N59" s="23"/>
      <c r="O59" s="23"/>
      <c r="P59" s="23"/>
      <c r="Q59" s="24"/>
    </row>
    <row r="60" spans="1:17" ht="16.5" thickBot="1" x14ac:dyDescent="0.3">
      <c r="A60" s="191"/>
      <c r="B60" s="185"/>
      <c r="C60" s="188"/>
      <c r="D60" s="188"/>
      <c r="E60" s="27" t="s">
        <v>27</v>
      </c>
      <c r="F60" s="39"/>
      <c r="G60" s="29">
        <v>14.6</v>
      </c>
      <c r="H60" s="32"/>
      <c r="I60" s="44"/>
      <c r="J60" s="32"/>
      <c r="K60" s="29">
        <v>14.6</v>
      </c>
      <c r="L60" s="31"/>
      <c r="M60" s="29">
        <v>14.6</v>
      </c>
      <c r="N60" s="32"/>
      <c r="O60" s="29"/>
      <c r="P60" s="32"/>
      <c r="Q60" s="37"/>
    </row>
    <row r="61" spans="1:17" ht="16.5" thickBot="1" x14ac:dyDescent="0.3">
      <c r="A61" s="192" t="s">
        <v>29</v>
      </c>
      <c r="B61" s="192"/>
      <c r="C61" s="45">
        <f>SUM(C13:C60)</f>
        <v>616.00000000000011</v>
      </c>
      <c r="D61" s="45">
        <f>SUM(D13:D60)</f>
        <v>615.5100000000001</v>
      </c>
      <c r="E61" s="46" t="s">
        <v>30</v>
      </c>
      <c r="F61" s="47">
        <f t="shared" ref="F61:Q61" si="0">F16+F20+F24+F28+F32+F36+F40+F44+F48+F52+F56+F60</f>
        <v>0</v>
      </c>
      <c r="G61" s="48">
        <f t="shared" si="0"/>
        <v>212.79999999999998</v>
      </c>
      <c r="H61" s="48">
        <f t="shared" si="0"/>
        <v>139.80000000000001</v>
      </c>
      <c r="I61" s="48">
        <f t="shared" si="0"/>
        <v>204.8</v>
      </c>
      <c r="J61" s="48">
        <f t="shared" si="0"/>
        <v>135.4</v>
      </c>
      <c r="K61" s="48">
        <f t="shared" si="0"/>
        <v>275.80000000000007</v>
      </c>
      <c r="L61" s="48">
        <f t="shared" si="0"/>
        <v>263.39999999999998</v>
      </c>
      <c r="M61" s="48">
        <f>M16+M20+M24+M28+M32+M36+M40+M44+M48+M52+M56+M60</f>
        <v>212.79999999999998</v>
      </c>
      <c r="N61" s="48">
        <f t="shared" si="0"/>
        <v>139.80000000000001</v>
      </c>
      <c r="O61" s="48">
        <f t="shared" si="0"/>
        <v>263.27</v>
      </c>
      <c r="P61" s="48">
        <f t="shared" si="0"/>
        <v>0</v>
      </c>
      <c r="Q61" s="49">
        <f t="shared" si="0"/>
        <v>0</v>
      </c>
    </row>
    <row r="63" spans="1:17" ht="18.75" customHeight="1" x14ac:dyDescent="0.25">
      <c r="A63" s="1" t="s">
        <v>0</v>
      </c>
      <c r="B63" s="2"/>
      <c r="C63" s="3"/>
      <c r="D63" s="3"/>
      <c r="E63" s="2"/>
    </row>
    <row r="64" spans="1:17" s="6" customFormat="1" x14ac:dyDescent="0.25">
      <c r="C64" s="7"/>
      <c r="D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30" s="6" customFormat="1" x14ac:dyDescent="0.25">
      <c r="A65" s="156" t="s">
        <v>1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  <c r="Q65" s="156"/>
    </row>
    <row r="66" spans="1:30" s="6" customFormat="1" x14ac:dyDescent="0.25">
      <c r="A66" s="156" t="s">
        <v>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  <c r="Q66" s="156"/>
    </row>
    <row r="67" spans="1:30" s="6" customFormat="1" x14ac:dyDescent="0.25">
      <c r="A67" s="156" t="s">
        <v>39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6"/>
    </row>
    <row r="69" spans="1:30" s="6" customFormat="1" x14ac:dyDescent="0.25">
      <c r="A69" s="6" t="s">
        <v>43</v>
      </c>
      <c r="C69" s="7"/>
      <c r="D69" s="7"/>
      <c r="F69" s="8"/>
      <c r="G69" s="8"/>
      <c r="H69" s="8"/>
      <c r="I69" s="8"/>
      <c r="J69" s="8"/>
      <c r="K69" s="8"/>
      <c r="L69" s="8"/>
      <c r="M69" s="8"/>
      <c r="N69" s="50"/>
      <c r="O69" s="8"/>
      <c r="Q69" s="11" t="s">
        <v>6</v>
      </c>
      <c r="R69" s="51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 ht="8.25" customHeight="1" thickBot="1" x14ac:dyDescent="0.3"/>
    <row r="71" spans="1:30" x14ac:dyDescent="0.25">
      <c r="A71" s="157" t="s">
        <v>7</v>
      </c>
      <c r="B71" s="160" t="s">
        <v>8</v>
      </c>
      <c r="C71" s="199" t="s">
        <v>9</v>
      </c>
      <c r="D71" s="166" t="s">
        <v>10</v>
      </c>
      <c r="E71" s="169" t="s">
        <v>11</v>
      </c>
      <c r="F71" s="172" t="s">
        <v>12</v>
      </c>
      <c r="G71" s="175" t="s">
        <v>13</v>
      </c>
      <c r="H71" s="175" t="s">
        <v>14</v>
      </c>
      <c r="I71" s="175" t="s">
        <v>15</v>
      </c>
      <c r="J71" s="175" t="s">
        <v>16</v>
      </c>
      <c r="K71" s="175" t="s">
        <v>17</v>
      </c>
      <c r="L71" s="175" t="s">
        <v>18</v>
      </c>
      <c r="M71" s="175" t="s">
        <v>19</v>
      </c>
      <c r="N71" s="175" t="s">
        <v>20</v>
      </c>
      <c r="O71" s="175" t="s">
        <v>21</v>
      </c>
      <c r="P71" s="175" t="s">
        <v>22</v>
      </c>
      <c r="Q71" s="178" t="s">
        <v>23</v>
      </c>
    </row>
    <row r="72" spans="1:30" x14ac:dyDescent="0.25">
      <c r="A72" s="158"/>
      <c r="B72" s="161"/>
      <c r="C72" s="167"/>
      <c r="D72" s="167"/>
      <c r="E72" s="193"/>
      <c r="F72" s="173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61"/>
    </row>
    <row r="73" spans="1:30" ht="16.5" thickBot="1" x14ac:dyDescent="0.3">
      <c r="A73" s="159"/>
      <c r="B73" s="162"/>
      <c r="C73" s="200"/>
      <c r="D73" s="168"/>
      <c r="E73" s="194"/>
      <c r="F73" s="174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9"/>
    </row>
    <row r="74" spans="1:30" x14ac:dyDescent="0.25">
      <c r="A74" s="180">
        <v>10</v>
      </c>
      <c r="B74" s="183">
        <v>2011</v>
      </c>
      <c r="C74" s="186">
        <v>19.100000000000001</v>
      </c>
      <c r="D74" s="186">
        <v>19.100000000000001</v>
      </c>
      <c r="E74" s="14" t="s">
        <v>24</v>
      </c>
      <c r="F74" s="38"/>
      <c r="G74" s="17"/>
      <c r="H74" s="17"/>
      <c r="I74" s="17"/>
      <c r="J74" s="17">
        <v>1</v>
      </c>
      <c r="K74" s="17"/>
      <c r="L74" s="17">
        <v>2</v>
      </c>
      <c r="M74" s="17"/>
      <c r="N74" s="17"/>
      <c r="O74" s="17">
        <v>3</v>
      </c>
      <c r="P74" s="17"/>
      <c r="Q74" s="35"/>
    </row>
    <row r="75" spans="1:30" ht="15.75" hidden="1" customHeight="1" x14ac:dyDescent="0.25">
      <c r="A75" s="181"/>
      <c r="B75" s="184"/>
      <c r="C75" s="187"/>
      <c r="D75" s="187"/>
      <c r="E75" s="21" t="s">
        <v>25</v>
      </c>
      <c r="F75" s="22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4"/>
    </row>
    <row r="76" spans="1:30" x14ac:dyDescent="0.25">
      <c r="A76" s="181"/>
      <c r="B76" s="184"/>
      <c r="C76" s="187"/>
      <c r="D76" s="187"/>
      <c r="E76" s="21" t="s">
        <v>42</v>
      </c>
      <c r="F76" s="22"/>
      <c r="G76" s="23"/>
      <c r="H76" s="23"/>
      <c r="I76" s="23"/>
      <c r="J76" s="25">
        <v>1000</v>
      </c>
      <c r="K76" s="23"/>
      <c r="L76" s="23">
        <v>1000</v>
      </c>
      <c r="M76" s="23"/>
      <c r="N76" s="23"/>
      <c r="O76" s="25">
        <v>1000</v>
      </c>
      <c r="P76" s="23"/>
      <c r="Q76" s="24"/>
    </row>
    <row r="77" spans="1:30" ht="16.5" thickBot="1" x14ac:dyDescent="0.3">
      <c r="A77" s="182"/>
      <c r="B77" s="185"/>
      <c r="C77" s="188"/>
      <c r="D77" s="188"/>
      <c r="E77" s="27" t="s">
        <v>27</v>
      </c>
      <c r="F77" s="39"/>
      <c r="G77" s="32"/>
      <c r="H77" s="31"/>
      <c r="I77" s="32"/>
      <c r="J77" s="36">
        <v>19.100000000000001</v>
      </c>
      <c r="K77" s="29"/>
      <c r="L77" s="29">
        <v>19.100000000000001</v>
      </c>
      <c r="M77" s="29"/>
      <c r="N77" s="29"/>
      <c r="O77" s="36">
        <v>19.100000000000001</v>
      </c>
      <c r="P77" s="32"/>
      <c r="Q77" s="43"/>
    </row>
    <row r="78" spans="1:30" x14ac:dyDescent="0.25">
      <c r="A78" s="189">
        <v>13</v>
      </c>
      <c r="B78" s="183">
        <v>2011</v>
      </c>
      <c r="C78" s="186">
        <v>60.8</v>
      </c>
      <c r="D78" s="186">
        <v>60.8</v>
      </c>
      <c r="E78" s="14" t="s">
        <v>24</v>
      </c>
      <c r="F78" s="38"/>
      <c r="G78" s="17">
        <v>1</v>
      </c>
      <c r="H78" s="17"/>
      <c r="I78" s="17"/>
      <c r="J78" s="17">
        <v>2</v>
      </c>
      <c r="K78" s="18"/>
      <c r="L78" s="17"/>
      <c r="M78" s="17">
        <v>3</v>
      </c>
      <c r="N78" s="17"/>
      <c r="O78" s="17"/>
      <c r="P78" s="17"/>
      <c r="Q78" s="35"/>
    </row>
    <row r="79" spans="1:30" ht="15.75" hidden="1" customHeight="1" x14ac:dyDescent="0.25">
      <c r="A79" s="190"/>
      <c r="B79" s="184"/>
      <c r="C79" s="187"/>
      <c r="D79" s="187"/>
      <c r="E79" s="21" t="s">
        <v>25</v>
      </c>
      <c r="F79" s="22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4"/>
    </row>
    <row r="80" spans="1:30" x14ac:dyDescent="0.25">
      <c r="A80" s="190"/>
      <c r="B80" s="184"/>
      <c r="C80" s="187"/>
      <c r="D80" s="187"/>
      <c r="E80" s="21" t="s">
        <v>42</v>
      </c>
      <c r="F80" s="22"/>
      <c r="G80" s="23">
        <v>2000</v>
      </c>
      <c r="H80" s="23"/>
      <c r="I80" s="23"/>
      <c r="J80" s="23">
        <v>2000</v>
      </c>
      <c r="K80" s="23"/>
      <c r="L80" s="23"/>
      <c r="M80" s="23">
        <v>2000</v>
      </c>
      <c r="N80" s="23"/>
      <c r="O80" s="23"/>
      <c r="P80" s="23"/>
      <c r="Q80" s="24"/>
    </row>
    <row r="81" spans="1:22" ht="16.5" thickBot="1" x14ac:dyDescent="0.3">
      <c r="A81" s="191"/>
      <c r="B81" s="185"/>
      <c r="C81" s="188"/>
      <c r="D81" s="188"/>
      <c r="E81" s="27" t="s">
        <v>27</v>
      </c>
      <c r="F81" s="39"/>
      <c r="G81" s="31">
        <v>60.8</v>
      </c>
      <c r="H81" s="32"/>
      <c r="I81" s="31"/>
      <c r="J81" s="40">
        <v>60.8</v>
      </c>
      <c r="K81" s="33"/>
      <c r="L81" s="29"/>
      <c r="M81" s="29">
        <v>60.8</v>
      </c>
      <c r="N81" s="32"/>
      <c r="O81" s="29"/>
      <c r="P81" s="32"/>
      <c r="Q81" s="37"/>
    </row>
    <row r="82" spans="1:22" x14ac:dyDescent="0.25">
      <c r="A82" s="189">
        <v>14</v>
      </c>
      <c r="B82" s="183">
        <v>2011</v>
      </c>
      <c r="C82" s="186">
        <v>41.6</v>
      </c>
      <c r="D82" s="186">
        <v>41.6</v>
      </c>
      <c r="E82" s="14" t="s">
        <v>24</v>
      </c>
      <c r="F82" s="38"/>
      <c r="G82" s="17"/>
      <c r="H82" s="18"/>
      <c r="I82" s="17">
        <v>1</v>
      </c>
      <c r="J82" s="17"/>
      <c r="K82" s="17"/>
      <c r="L82" s="17">
        <v>2</v>
      </c>
      <c r="M82" s="17"/>
      <c r="N82" s="17"/>
      <c r="O82" s="17">
        <v>3</v>
      </c>
      <c r="P82" s="17"/>
      <c r="Q82" s="35"/>
    </row>
    <row r="83" spans="1:22" ht="15.75" hidden="1" customHeight="1" x14ac:dyDescent="0.25">
      <c r="A83" s="190"/>
      <c r="B83" s="184"/>
      <c r="C83" s="187"/>
      <c r="D83" s="187"/>
      <c r="E83" s="21" t="s">
        <v>25</v>
      </c>
      <c r="F83" s="22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4"/>
    </row>
    <row r="84" spans="1:22" x14ac:dyDescent="0.25">
      <c r="A84" s="190"/>
      <c r="B84" s="184"/>
      <c r="C84" s="187"/>
      <c r="D84" s="187"/>
      <c r="E84" s="21" t="s">
        <v>42</v>
      </c>
      <c r="F84" s="22"/>
      <c r="G84" s="23"/>
      <c r="H84" s="23"/>
      <c r="I84" s="23">
        <v>2000</v>
      </c>
      <c r="J84" s="23"/>
      <c r="K84" s="23"/>
      <c r="L84" s="23">
        <v>2000</v>
      </c>
      <c r="M84" s="23"/>
      <c r="N84" s="23"/>
      <c r="O84" s="23">
        <v>2000</v>
      </c>
      <c r="P84" s="23"/>
      <c r="Q84" s="24"/>
    </row>
    <row r="85" spans="1:22" ht="16.5" thickBot="1" x14ac:dyDescent="0.3">
      <c r="A85" s="191"/>
      <c r="B85" s="185"/>
      <c r="C85" s="188"/>
      <c r="D85" s="188"/>
      <c r="E85" s="27" t="s">
        <v>27</v>
      </c>
      <c r="F85" s="39"/>
      <c r="G85" s="32"/>
      <c r="H85" s="33"/>
      <c r="I85" s="29">
        <v>41.6</v>
      </c>
      <c r="J85" s="40"/>
      <c r="K85" s="29"/>
      <c r="L85" s="29">
        <v>41.6</v>
      </c>
      <c r="M85" s="31"/>
      <c r="N85" s="29"/>
      <c r="O85" s="29">
        <v>41.6</v>
      </c>
      <c r="P85" s="32"/>
      <c r="Q85" s="37"/>
    </row>
    <row r="86" spans="1:22" x14ac:dyDescent="0.25">
      <c r="A86" s="189">
        <v>15</v>
      </c>
      <c r="B86" s="183">
        <v>2011</v>
      </c>
      <c r="C86" s="186">
        <v>49.3</v>
      </c>
      <c r="D86" s="186">
        <v>49.17</v>
      </c>
      <c r="E86" s="14" t="s">
        <v>24</v>
      </c>
      <c r="F86" s="38"/>
      <c r="G86" s="17"/>
      <c r="H86" s="17"/>
      <c r="I86" s="17">
        <v>1</v>
      </c>
      <c r="J86" s="17"/>
      <c r="K86" s="17"/>
      <c r="L86" s="17">
        <v>2</v>
      </c>
      <c r="M86" s="18"/>
      <c r="N86" s="17"/>
      <c r="O86" s="17">
        <v>3</v>
      </c>
      <c r="P86" s="17"/>
      <c r="Q86" s="35"/>
    </row>
    <row r="87" spans="1:22" ht="15.75" hidden="1" customHeight="1" x14ac:dyDescent="0.25">
      <c r="A87" s="190"/>
      <c r="B87" s="184"/>
      <c r="C87" s="187"/>
      <c r="D87" s="187"/>
      <c r="E87" s="21" t="s">
        <v>25</v>
      </c>
      <c r="F87" s="22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4"/>
    </row>
    <row r="88" spans="1:22" x14ac:dyDescent="0.25">
      <c r="A88" s="190"/>
      <c r="B88" s="184"/>
      <c r="C88" s="187"/>
      <c r="D88" s="187"/>
      <c r="E88" s="21" t="s">
        <v>42</v>
      </c>
      <c r="F88" s="22"/>
      <c r="G88" s="23"/>
      <c r="H88" s="23"/>
      <c r="I88" s="23">
        <v>3000</v>
      </c>
      <c r="J88" s="23"/>
      <c r="K88" s="23"/>
      <c r="L88" s="23">
        <v>4000</v>
      </c>
      <c r="M88" s="23"/>
      <c r="N88" s="23"/>
      <c r="O88" s="23">
        <v>3000</v>
      </c>
      <c r="P88" s="23"/>
      <c r="Q88" s="24"/>
    </row>
    <row r="89" spans="1:22" ht="16.5" thickBot="1" x14ac:dyDescent="0.3">
      <c r="A89" s="191"/>
      <c r="B89" s="185"/>
      <c r="C89" s="188"/>
      <c r="D89" s="188"/>
      <c r="E89" s="27" t="s">
        <v>27</v>
      </c>
      <c r="F89" s="39"/>
      <c r="G89" s="32"/>
      <c r="H89" s="31"/>
      <c r="I89" s="29">
        <v>49.3</v>
      </c>
      <c r="J89" s="32"/>
      <c r="K89" s="31"/>
      <c r="L89" s="36">
        <v>49.3</v>
      </c>
      <c r="M89" s="33"/>
      <c r="N89" s="29"/>
      <c r="O89" s="32">
        <v>49.17</v>
      </c>
      <c r="P89" s="31"/>
      <c r="Q89" s="37"/>
      <c r="T89" s="8"/>
      <c r="U89" s="8"/>
      <c r="V89" s="8"/>
    </row>
    <row r="90" spans="1:22" x14ac:dyDescent="0.25">
      <c r="A90" s="189">
        <v>16</v>
      </c>
      <c r="B90" s="183">
        <v>2011</v>
      </c>
      <c r="C90" s="186">
        <v>53.2</v>
      </c>
      <c r="D90" s="186">
        <v>52.61</v>
      </c>
      <c r="E90" s="14" t="s">
        <v>24</v>
      </c>
      <c r="F90" s="38"/>
      <c r="G90" s="17"/>
      <c r="H90" s="17">
        <v>1</v>
      </c>
      <c r="I90" s="18"/>
      <c r="J90" s="17"/>
      <c r="K90" s="17">
        <v>2</v>
      </c>
      <c r="L90" s="18"/>
      <c r="M90" s="17"/>
      <c r="N90" s="17">
        <v>3</v>
      </c>
      <c r="O90" s="17"/>
      <c r="P90" s="17"/>
      <c r="Q90" s="19"/>
      <c r="T90" s="8"/>
      <c r="U90" s="8"/>
      <c r="V90" s="8"/>
    </row>
    <row r="91" spans="1:22" ht="15.75" hidden="1" customHeight="1" x14ac:dyDescent="0.25">
      <c r="A91" s="190"/>
      <c r="B91" s="184"/>
      <c r="C91" s="187"/>
      <c r="D91" s="187"/>
      <c r="E91" s="21" t="s">
        <v>25</v>
      </c>
      <c r="F91" s="22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4"/>
      <c r="T91" s="8"/>
      <c r="U91" s="8"/>
      <c r="V91" s="8"/>
    </row>
    <row r="92" spans="1:22" x14ac:dyDescent="0.25">
      <c r="A92" s="190"/>
      <c r="B92" s="184"/>
      <c r="C92" s="187"/>
      <c r="D92" s="187"/>
      <c r="E92" s="21" t="s">
        <v>42</v>
      </c>
      <c r="F92" s="22"/>
      <c r="G92" s="23"/>
      <c r="H92" s="23">
        <v>2000</v>
      </c>
      <c r="I92" s="23"/>
      <c r="J92" s="23"/>
      <c r="K92" s="23">
        <v>2000</v>
      </c>
      <c r="L92" s="23"/>
      <c r="M92" s="23"/>
      <c r="N92" s="86">
        <v>2000</v>
      </c>
      <c r="O92" s="23"/>
      <c r="P92" s="23"/>
      <c r="Q92" s="24"/>
      <c r="T92" s="8"/>
      <c r="U92" s="8"/>
      <c r="V92" s="8"/>
    </row>
    <row r="93" spans="1:22" ht="16.5" thickBot="1" x14ac:dyDescent="0.3">
      <c r="A93" s="191"/>
      <c r="B93" s="185"/>
      <c r="C93" s="188"/>
      <c r="D93" s="188"/>
      <c r="E93" s="27" t="s">
        <v>27</v>
      </c>
      <c r="F93" s="53"/>
      <c r="G93" s="32"/>
      <c r="H93" s="29">
        <v>53.2</v>
      </c>
      <c r="I93" s="33"/>
      <c r="J93" s="29"/>
      <c r="K93" s="29">
        <v>53.2</v>
      </c>
      <c r="L93" s="41"/>
      <c r="M93" s="31"/>
      <c r="N93" s="29">
        <v>53.2</v>
      </c>
      <c r="O93" s="32"/>
      <c r="P93" s="32"/>
      <c r="Q93" s="54"/>
      <c r="T93" s="8"/>
      <c r="U93" s="8"/>
      <c r="V93" s="8"/>
    </row>
    <row r="94" spans="1:22" x14ac:dyDescent="0.25">
      <c r="A94" s="189">
        <v>17</v>
      </c>
      <c r="B94" s="183">
        <v>2011</v>
      </c>
      <c r="C94" s="186">
        <v>45.7</v>
      </c>
      <c r="D94" s="186">
        <v>45.58</v>
      </c>
      <c r="E94" s="14" t="s">
        <v>24</v>
      </c>
      <c r="F94" s="38"/>
      <c r="G94" s="17">
        <v>1</v>
      </c>
      <c r="H94" s="17"/>
      <c r="I94" s="18"/>
      <c r="J94" s="17">
        <v>2</v>
      </c>
      <c r="K94" s="17"/>
      <c r="L94" s="17"/>
      <c r="M94" s="17">
        <v>3</v>
      </c>
      <c r="N94" s="17"/>
      <c r="O94" s="17"/>
      <c r="P94" s="17"/>
      <c r="Q94" s="35"/>
      <c r="T94" s="6"/>
      <c r="U94" s="6"/>
      <c r="V94" s="6"/>
    </row>
    <row r="95" spans="1:22" ht="15.75" hidden="1" customHeight="1" x14ac:dyDescent="0.25">
      <c r="A95" s="190"/>
      <c r="B95" s="184"/>
      <c r="C95" s="187"/>
      <c r="D95" s="187"/>
      <c r="E95" s="21" t="s">
        <v>25</v>
      </c>
      <c r="F95" s="22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4"/>
      <c r="T95" s="6"/>
      <c r="U95" s="6"/>
      <c r="V95" s="6"/>
    </row>
    <row r="96" spans="1:22" x14ac:dyDescent="0.25">
      <c r="A96" s="190"/>
      <c r="B96" s="184"/>
      <c r="C96" s="187"/>
      <c r="D96" s="187"/>
      <c r="E96" s="21" t="s">
        <v>42</v>
      </c>
      <c r="F96" s="22"/>
      <c r="G96" s="23">
        <v>2000</v>
      </c>
      <c r="H96" s="23"/>
      <c r="I96" s="23"/>
      <c r="J96" s="23">
        <v>2000</v>
      </c>
      <c r="K96" s="23"/>
      <c r="L96" s="23"/>
      <c r="M96" s="23">
        <v>2000</v>
      </c>
      <c r="N96" s="23"/>
      <c r="O96" s="23"/>
      <c r="P96" s="23"/>
      <c r="Q96" s="24"/>
      <c r="T96" s="8"/>
      <c r="U96" s="8"/>
      <c r="V96" s="8"/>
    </row>
    <row r="97" spans="1:30" ht="16.5" thickBot="1" x14ac:dyDescent="0.3">
      <c r="A97" s="190"/>
      <c r="B97" s="184"/>
      <c r="C97" s="187"/>
      <c r="D97" s="187"/>
      <c r="E97" s="21" t="s">
        <v>27</v>
      </c>
      <c r="F97" s="15"/>
      <c r="G97" s="56">
        <v>45.7</v>
      </c>
      <c r="H97" s="16"/>
      <c r="I97" s="16"/>
      <c r="J97" s="57">
        <v>45.7</v>
      </c>
      <c r="K97" s="58"/>
      <c r="L97" s="59"/>
      <c r="M97" s="56">
        <v>45.7</v>
      </c>
      <c r="N97" s="16"/>
      <c r="O97" s="56"/>
      <c r="P97" s="16"/>
      <c r="Q97" s="60"/>
      <c r="T97" s="8"/>
      <c r="U97" s="8"/>
      <c r="V97" s="8"/>
    </row>
    <row r="98" spans="1:30" ht="16.5" hidden="1" thickBot="1" x14ac:dyDescent="0.3">
      <c r="A98" s="191"/>
      <c r="B98" s="185"/>
      <c r="C98" s="188"/>
      <c r="D98" s="26"/>
      <c r="E98" s="61"/>
      <c r="F98" s="62"/>
      <c r="G98" s="63"/>
      <c r="H98" s="63"/>
      <c r="I98" s="64"/>
      <c r="J98" s="63"/>
      <c r="K98" s="30"/>
      <c r="L98" s="41"/>
      <c r="M98" s="64"/>
      <c r="N98" s="63"/>
      <c r="O98" s="63"/>
      <c r="P98" s="63"/>
      <c r="Q98" s="65"/>
    </row>
    <row r="99" spans="1:30" x14ac:dyDescent="0.25">
      <c r="A99" s="189">
        <v>18</v>
      </c>
      <c r="B99" s="183">
        <v>2011</v>
      </c>
      <c r="C99" s="186">
        <v>40.799999999999997</v>
      </c>
      <c r="D99" s="186">
        <v>40.799999999999997</v>
      </c>
      <c r="E99" s="14" t="s">
        <v>24</v>
      </c>
      <c r="F99" s="38"/>
      <c r="G99" s="17"/>
      <c r="H99" s="17">
        <v>1</v>
      </c>
      <c r="I99" s="17"/>
      <c r="J99" s="17"/>
      <c r="K99" s="17">
        <v>2</v>
      </c>
      <c r="L99" s="17"/>
      <c r="M99" s="17"/>
      <c r="N99" s="17">
        <v>3</v>
      </c>
      <c r="O99" s="17"/>
      <c r="P99" s="17"/>
      <c r="Q99" s="35"/>
    </row>
    <row r="100" spans="1:30" ht="15.75" hidden="1" customHeight="1" x14ac:dyDescent="0.25">
      <c r="A100" s="190"/>
      <c r="B100" s="184"/>
      <c r="C100" s="187"/>
      <c r="D100" s="187"/>
      <c r="E100" s="21" t="s">
        <v>25</v>
      </c>
      <c r="F100" s="22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4"/>
    </row>
    <row r="101" spans="1:30" x14ac:dyDescent="0.25">
      <c r="A101" s="190"/>
      <c r="B101" s="184"/>
      <c r="C101" s="187"/>
      <c r="D101" s="187"/>
      <c r="E101" s="21" t="s">
        <v>42</v>
      </c>
      <c r="F101" s="22"/>
      <c r="G101" s="23"/>
      <c r="H101" s="23">
        <v>2000</v>
      </c>
      <c r="I101" s="23"/>
      <c r="J101" s="23"/>
      <c r="K101" s="23">
        <v>2000</v>
      </c>
      <c r="L101" s="23"/>
      <c r="M101" s="23"/>
      <c r="N101" s="23">
        <v>2000</v>
      </c>
      <c r="O101" s="23"/>
      <c r="P101" s="23"/>
      <c r="Q101" s="24"/>
    </row>
    <row r="102" spans="1:30" ht="16.5" thickBot="1" x14ac:dyDescent="0.3">
      <c r="A102" s="191"/>
      <c r="B102" s="185"/>
      <c r="C102" s="188"/>
      <c r="D102" s="188"/>
      <c r="E102" s="27" t="s">
        <v>27</v>
      </c>
      <c r="F102" s="39"/>
      <c r="G102" s="32"/>
      <c r="H102" s="29">
        <v>40.799999999999997</v>
      </c>
      <c r="I102" s="31"/>
      <c r="J102" s="87"/>
      <c r="K102" s="29">
        <v>40.799999999999997</v>
      </c>
      <c r="L102" s="29"/>
      <c r="M102" s="29"/>
      <c r="N102" s="29">
        <v>40.799999999999997</v>
      </c>
      <c r="O102" s="29"/>
      <c r="P102" s="32"/>
      <c r="Q102" s="37"/>
    </row>
    <row r="103" spans="1:30" ht="16.5" thickBot="1" x14ac:dyDescent="0.3">
      <c r="A103" s="192" t="s">
        <v>29</v>
      </c>
      <c r="B103" s="192"/>
      <c r="C103" s="45">
        <f>SUM(C74:C102)</f>
        <v>310.5</v>
      </c>
      <c r="D103" s="45">
        <f>SUM(D74:D102)</f>
        <v>309.66000000000003</v>
      </c>
      <c r="E103" s="46" t="s">
        <v>30</v>
      </c>
      <c r="F103" s="47">
        <f>F77+F81+F85+F89+F93+F98+F102</f>
        <v>0</v>
      </c>
      <c r="G103" s="66">
        <f>G77+G81+G85+G89+G93+G97+G102</f>
        <v>106.5</v>
      </c>
      <c r="H103" s="66">
        <f>H77+H81+H85+H89+H93+H98+H102</f>
        <v>94</v>
      </c>
      <c r="I103" s="66">
        <f>I77+I81+I85+I89+I93+I98+I102</f>
        <v>90.9</v>
      </c>
      <c r="J103" s="66">
        <f>J77+J81+J85+J89+J93+J97+J102</f>
        <v>125.60000000000001</v>
      </c>
      <c r="K103" s="66">
        <f>K77+K81+K85+K89+K93+K97+K102</f>
        <v>94</v>
      </c>
      <c r="L103" s="66">
        <f>L77+L81+L85+L89+L93+L97+L98+L102</f>
        <v>110</v>
      </c>
      <c r="M103" s="66">
        <f>M77+M81+M85+M89+M93+M102+M97</f>
        <v>106.5</v>
      </c>
      <c r="N103" s="66">
        <f>N77+N81+N85+N89+N93+N98+N102</f>
        <v>94</v>
      </c>
      <c r="O103" s="66">
        <f>O77+O81+O85+O89+O93+O97+O102</f>
        <v>109.87</v>
      </c>
      <c r="P103" s="66">
        <f>P77+P81+P85+P89+P93+P98+P102</f>
        <v>0</v>
      </c>
      <c r="Q103" s="67">
        <f>Q77+Q81+Q85+Q89+Q93+Q98+Q102</f>
        <v>0</v>
      </c>
    </row>
    <row r="105" spans="1:30" ht="18.75" customHeight="1" x14ac:dyDescent="0.25">
      <c r="A105" s="1" t="s">
        <v>0</v>
      </c>
      <c r="B105" s="2"/>
      <c r="C105" s="3"/>
      <c r="D105" s="3"/>
      <c r="E105" s="2"/>
    </row>
    <row r="106" spans="1:30" s="6" customFormat="1" x14ac:dyDescent="0.25">
      <c r="C106" s="7"/>
      <c r="D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30" s="6" customFormat="1" x14ac:dyDescent="0.25">
      <c r="A107" s="156" t="s">
        <v>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  <c r="Q107" s="156"/>
    </row>
    <row r="108" spans="1:30" s="6" customFormat="1" x14ac:dyDescent="0.25">
      <c r="A108" s="156" t="s">
        <v>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  <c r="Q108" s="156"/>
    </row>
    <row r="109" spans="1:30" s="6" customFormat="1" x14ac:dyDescent="0.25">
      <c r="A109" s="156" t="s">
        <v>39</v>
      </c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</row>
    <row r="111" spans="1:30" s="6" customFormat="1" ht="18" customHeight="1" x14ac:dyDescent="0.25">
      <c r="A111" s="6" t="s">
        <v>44</v>
      </c>
      <c r="C111" s="7"/>
      <c r="D111" s="7"/>
      <c r="F111" s="8"/>
      <c r="G111" s="8"/>
      <c r="H111" s="8"/>
      <c r="I111" s="8"/>
      <c r="J111" s="8"/>
      <c r="K111" s="8"/>
      <c r="L111" s="8"/>
      <c r="M111" s="8"/>
      <c r="N111" s="50"/>
      <c r="O111" s="8"/>
      <c r="Q111" s="11" t="s">
        <v>6</v>
      </c>
      <c r="R111" s="51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 ht="8.25" customHeight="1" thickBot="1" x14ac:dyDescent="0.3"/>
    <row r="113" spans="1:21" x14ac:dyDescent="0.25">
      <c r="A113" s="157" t="s">
        <v>7</v>
      </c>
      <c r="B113" s="160" t="s">
        <v>8</v>
      </c>
      <c r="C113" s="199" t="s">
        <v>9</v>
      </c>
      <c r="D113" s="166" t="s">
        <v>10</v>
      </c>
      <c r="E113" s="169" t="s">
        <v>11</v>
      </c>
      <c r="F113" s="172" t="s">
        <v>12</v>
      </c>
      <c r="G113" s="175" t="s">
        <v>13</v>
      </c>
      <c r="H113" s="175" t="s">
        <v>14</v>
      </c>
      <c r="I113" s="175" t="s">
        <v>15</v>
      </c>
      <c r="J113" s="175" t="s">
        <v>16</v>
      </c>
      <c r="K113" s="175" t="s">
        <v>17</v>
      </c>
      <c r="L113" s="175" t="s">
        <v>18</v>
      </c>
      <c r="M113" s="175" t="s">
        <v>19</v>
      </c>
      <c r="N113" s="175" t="s">
        <v>20</v>
      </c>
      <c r="O113" s="175" t="s">
        <v>21</v>
      </c>
      <c r="P113" s="175" t="s">
        <v>22</v>
      </c>
      <c r="Q113" s="178" t="s">
        <v>23</v>
      </c>
    </row>
    <row r="114" spans="1:21" x14ac:dyDescent="0.25">
      <c r="A114" s="158"/>
      <c r="B114" s="161"/>
      <c r="C114" s="167"/>
      <c r="D114" s="167"/>
      <c r="E114" s="193"/>
      <c r="F114" s="173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61"/>
    </row>
    <row r="115" spans="1:21" ht="16.5" thickBot="1" x14ac:dyDescent="0.3">
      <c r="A115" s="159"/>
      <c r="B115" s="162"/>
      <c r="C115" s="200"/>
      <c r="D115" s="168"/>
      <c r="E115" s="194"/>
      <c r="F115" s="174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9"/>
    </row>
    <row r="116" spans="1:21" x14ac:dyDescent="0.25">
      <c r="A116" s="180">
        <v>19</v>
      </c>
      <c r="B116" s="183">
        <v>2012</v>
      </c>
      <c r="C116" s="186">
        <v>50.6</v>
      </c>
      <c r="D116" s="186">
        <v>50.6</v>
      </c>
      <c r="E116" s="14" t="s">
        <v>24</v>
      </c>
      <c r="F116" s="38"/>
      <c r="G116" s="17">
        <v>1</v>
      </c>
      <c r="H116" s="17"/>
      <c r="I116" s="17"/>
      <c r="J116" s="17"/>
      <c r="K116" s="17">
        <v>2</v>
      </c>
      <c r="L116" s="18"/>
      <c r="M116" s="17">
        <v>3</v>
      </c>
      <c r="N116" s="17"/>
      <c r="O116" s="17"/>
      <c r="P116" s="17"/>
      <c r="Q116" s="35"/>
    </row>
    <row r="117" spans="1:21" ht="15.75" hidden="1" customHeight="1" x14ac:dyDescent="0.25">
      <c r="A117" s="181"/>
      <c r="B117" s="184"/>
      <c r="C117" s="187"/>
      <c r="D117" s="187"/>
      <c r="E117" s="21" t="s">
        <v>25</v>
      </c>
      <c r="F117" s="22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4"/>
    </row>
    <row r="118" spans="1:21" x14ac:dyDescent="0.25">
      <c r="A118" s="181"/>
      <c r="B118" s="184"/>
      <c r="C118" s="187"/>
      <c r="D118" s="187"/>
      <c r="E118" s="21" t="s">
        <v>42</v>
      </c>
      <c r="F118" s="22"/>
      <c r="G118" s="23">
        <v>3000</v>
      </c>
      <c r="H118" s="23"/>
      <c r="I118" s="23"/>
      <c r="J118" s="23"/>
      <c r="K118" s="23">
        <v>3000</v>
      </c>
      <c r="L118" s="23"/>
      <c r="M118" s="25">
        <v>3000</v>
      </c>
      <c r="N118" s="23"/>
      <c r="O118" s="23"/>
      <c r="P118" s="23"/>
      <c r="Q118" s="24"/>
    </row>
    <row r="119" spans="1:21" ht="16.5" thickBot="1" x14ac:dyDescent="0.3">
      <c r="A119" s="182"/>
      <c r="B119" s="185"/>
      <c r="C119" s="188"/>
      <c r="D119" s="188"/>
      <c r="E119" s="27" t="s">
        <v>27</v>
      </c>
      <c r="F119" s="39"/>
      <c r="G119" s="29">
        <v>50.6</v>
      </c>
      <c r="H119" s="32"/>
      <c r="I119" s="32"/>
      <c r="J119" s="31"/>
      <c r="K119" s="29">
        <v>50.6</v>
      </c>
      <c r="L119" s="33"/>
      <c r="M119" s="36">
        <v>50.6</v>
      </c>
      <c r="N119" s="32"/>
      <c r="O119" s="32"/>
      <c r="P119" s="32"/>
      <c r="Q119" s="37"/>
    </row>
    <row r="120" spans="1:21" x14ac:dyDescent="0.25">
      <c r="A120" s="189">
        <v>20</v>
      </c>
      <c r="B120" s="183">
        <v>2012</v>
      </c>
      <c r="C120" s="186">
        <v>62.1</v>
      </c>
      <c r="D120" s="186">
        <v>61.98</v>
      </c>
      <c r="E120" s="14" t="s">
        <v>24</v>
      </c>
      <c r="F120" s="38"/>
      <c r="G120" s="17">
        <v>1</v>
      </c>
      <c r="H120" s="17"/>
      <c r="I120" s="17"/>
      <c r="J120" s="17">
        <v>2</v>
      </c>
      <c r="K120" s="17"/>
      <c r="L120" s="17"/>
      <c r="M120" s="17">
        <v>3</v>
      </c>
      <c r="N120" s="17"/>
      <c r="O120" s="17"/>
      <c r="P120" s="17"/>
      <c r="Q120" s="35"/>
    </row>
    <row r="121" spans="1:21" ht="15.75" hidden="1" customHeight="1" x14ac:dyDescent="0.25">
      <c r="A121" s="190"/>
      <c r="B121" s="184"/>
      <c r="C121" s="187"/>
      <c r="D121" s="187"/>
      <c r="E121" s="21" t="s">
        <v>25</v>
      </c>
      <c r="F121" s="22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S121" s="8"/>
      <c r="T121" s="8"/>
      <c r="U121" s="8"/>
    </row>
    <row r="122" spans="1:21" x14ac:dyDescent="0.25">
      <c r="A122" s="190"/>
      <c r="B122" s="184"/>
      <c r="C122" s="187"/>
      <c r="D122" s="187"/>
      <c r="E122" s="21" t="s">
        <v>42</v>
      </c>
      <c r="F122" s="22"/>
      <c r="G122" s="23">
        <v>2000</v>
      </c>
      <c r="H122" s="23"/>
      <c r="I122" s="23"/>
      <c r="J122" s="23">
        <v>2000</v>
      </c>
      <c r="K122" s="23"/>
      <c r="L122" s="23"/>
      <c r="M122" s="23">
        <v>2000</v>
      </c>
      <c r="N122" s="23"/>
      <c r="O122" s="23"/>
      <c r="P122" s="23"/>
      <c r="Q122" s="24"/>
      <c r="S122" s="8"/>
      <c r="T122" s="8"/>
      <c r="U122" s="8"/>
    </row>
    <row r="123" spans="1:21" ht="16.5" thickBot="1" x14ac:dyDescent="0.3">
      <c r="A123" s="191"/>
      <c r="B123" s="185"/>
      <c r="C123" s="188"/>
      <c r="D123" s="188"/>
      <c r="E123" s="27" t="s">
        <v>27</v>
      </c>
      <c r="F123" s="39"/>
      <c r="G123" s="29">
        <v>62.1</v>
      </c>
      <c r="H123" s="32"/>
      <c r="I123" s="32"/>
      <c r="J123" s="31">
        <v>62.1</v>
      </c>
      <c r="K123" s="32"/>
      <c r="L123" s="29"/>
      <c r="M123" s="29">
        <v>62.1</v>
      </c>
      <c r="N123" s="32"/>
      <c r="O123" s="32"/>
      <c r="P123" s="32"/>
      <c r="Q123" s="37"/>
      <c r="S123" s="8"/>
      <c r="T123" s="8"/>
      <c r="U123" s="8"/>
    </row>
    <row r="124" spans="1:21" x14ac:dyDescent="0.25">
      <c r="A124" s="189">
        <v>21</v>
      </c>
      <c r="B124" s="183">
        <v>2012</v>
      </c>
      <c r="C124" s="186">
        <v>72.2</v>
      </c>
      <c r="D124" s="186">
        <v>71.59</v>
      </c>
      <c r="E124" s="14" t="s">
        <v>24</v>
      </c>
      <c r="F124" s="38"/>
      <c r="G124" s="17"/>
      <c r="H124" s="17">
        <v>1</v>
      </c>
      <c r="I124" s="17"/>
      <c r="J124" s="17"/>
      <c r="K124" s="17">
        <v>2</v>
      </c>
      <c r="L124" s="18"/>
      <c r="M124" s="17"/>
      <c r="N124" s="17">
        <v>3</v>
      </c>
      <c r="O124" s="17"/>
      <c r="P124" s="17"/>
      <c r="Q124" s="35"/>
      <c r="S124" s="8"/>
      <c r="T124" s="8"/>
      <c r="U124" s="8"/>
    </row>
    <row r="125" spans="1:21" ht="15.75" hidden="1" customHeight="1" x14ac:dyDescent="0.25">
      <c r="A125" s="190"/>
      <c r="B125" s="184"/>
      <c r="C125" s="187"/>
      <c r="D125" s="187"/>
      <c r="E125" s="21" t="s">
        <v>25</v>
      </c>
      <c r="F125" s="22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S125" s="8"/>
      <c r="T125" s="8"/>
      <c r="U125" s="8"/>
    </row>
    <row r="126" spans="1:21" x14ac:dyDescent="0.25">
      <c r="A126" s="190"/>
      <c r="B126" s="184"/>
      <c r="C126" s="187"/>
      <c r="D126" s="187"/>
      <c r="E126" s="21" t="s">
        <v>42</v>
      </c>
      <c r="F126" s="22"/>
      <c r="G126" s="23"/>
      <c r="H126" s="23">
        <v>4000</v>
      </c>
      <c r="I126" s="23"/>
      <c r="J126" s="23"/>
      <c r="K126" s="23">
        <v>4000</v>
      </c>
      <c r="L126" s="23"/>
      <c r="M126" s="23"/>
      <c r="N126" s="23">
        <v>4000</v>
      </c>
      <c r="O126" s="23"/>
      <c r="P126" s="23"/>
      <c r="Q126" s="24"/>
      <c r="S126" s="8"/>
      <c r="T126" s="8"/>
      <c r="U126" s="8"/>
    </row>
    <row r="127" spans="1:21" ht="16.5" thickBot="1" x14ac:dyDescent="0.3">
      <c r="A127" s="191"/>
      <c r="B127" s="185"/>
      <c r="C127" s="188"/>
      <c r="D127" s="188"/>
      <c r="E127" s="27" t="s">
        <v>27</v>
      </c>
      <c r="F127" s="39"/>
      <c r="G127" s="31"/>
      <c r="H127" s="29">
        <v>72.2</v>
      </c>
      <c r="I127" s="31"/>
      <c r="J127" s="31"/>
      <c r="K127" s="40">
        <v>72.2</v>
      </c>
      <c r="L127" s="33"/>
      <c r="M127" s="29"/>
      <c r="N127" s="40">
        <v>72.2</v>
      </c>
      <c r="O127" s="31"/>
      <c r="P127" s="29"/>
      <c r="Q127" s="37"/>
    </row>
    <row r="128" spans="1:21" x14ac:dyDescent="0.25">
      <c r="A128" s="189">
        <v>22</v>
      </c>
      <c r="B128" s="183">
        <v>2012</v>
      </c>
      <c r="C128" s="186">
        <v>52.3</v>
      </c>
      <c r="D128" s="186">
        <v>52.08</v>
      </c>
      <c r="E128" s="14" t="s">
        <v>24</v>
      </c>
      <c r="F128" s="38"/>
      <c r="G128" s="17"/>
      <c r="H128" s="17">
        <v>1</v>
      </c>
      <c r="I128" s="17"/>
      <c r="J128" s="17"/>
      <c r="K128" s="17">
        <v>2</v>
      </c>
      <c r="L128" s="17"/>
      <c r="M128" s="17"/>
      <c r="N128" s="17">
        <v>3</v>
      </c>
      <c r="O128" s="17"/>
      <c r="P128" s="17"/>
      <c r="Q128" s="35"/>
    </row>
    <row r="129" spans="1:17" ht="15.75" hidden="1" customHeight="1" x14ac:dyDescent="0.25">
      <c r="A129" s="190"/>
      <c r="B129" s="184"/>
      <c r="C129" s="187"/>
      <c r="D129" s="187"/>
      <c r="E129" s="21" t="s">
        <v>25</v>
      </c>
      <c r="F129" s="22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4"/>
    </row>
    <row r="130" spans="1:17" x14ac:dyDescent="0.25">
      <c r="A130" s="190"/>
      <c r="B130" s="184"/>
      <c r="C130" s="187"/>
      <c r="D130" s="187"/>
      <c r="E130" s="21" t="s">
        <v>42</v>
      </c>
      <c r="F130" s="22"/>
      <c r="G130" s="23"/>
      <c r="H130" s="23">
        <v>2000</v>
      </c>
      <c r="I130" s="23"/>
      <c r="J130" s="23"/>
      <c r="K130" s="23">
        <v>2000</v>
      </c>
      <c r="L130" s="23"/>
      <c r="M130" s="23"/>
      <c r="N130" s="23">
        <v>2000</v>
      </c>
      <c r="O130" s="23"/>
      <c r="P130" s="23"/>
      <c r="Q130" s="24"/>
    </row>
    <row r="131" spans="1:17" ht="16.5" thickBot="1" x14ac:dyDescent="0.3">
      <c r="A131" s="191"/>
      <c r="B131" s="185"/>
      <c r="C131" s="188"/>
      <c r="D131" s="188"/>
      <c r="E131" s="27" t="s">
        <v>27</v>
      </c>
      <c r="F131" s="39"/>
      <c r="G131" s="31"/>
      <c r="H131" s="29">
        <v>52.3</v>
      </c>
      <c r="I131" s="32"/>
      <c r="J131" s="29"/>
      <c r="K131" s="29">
        <v>52.3</v>
      </c>
      <c r="L131" s="32"/>
      <c r="M131" s="29"/>
      <c r="N131" s="40">
        <v>52.3</v>
      </c>
      <c r="O131" s="31"/>
      <c r="P131" s="32"/>
      <c r="Q131" s="37"/>
    </row>
    <row r="132" spans="1:17" x14ac:dyDescent="0.25">
      <c r="A132" s="189">
        <v>24</v>
      </c>
      <c r="B132" s="183">
        <v>2012</v>
      </c>
      <c r="C132" s="186">
        <v>44.7</v>
      </c>
      <c r="D132" s="186">
        <v>44.67</v>
      </c>
      <c r="E132" s="14" t="s">
        <v>24</v>
      </c>
      <c r="F132" s="38"/>
      <c r="G132" s="17"/>
      <c r="H132" s="17"/>
      <c r="I132" s="17"/>
      <c r="J132" s="17">
        <v>1</v>
      </c>
      <c r="K132" s="17"/>
      <c r="L132" s="17">
        <v>2</v>
      </c>
      <c r="M132" s="17"/>
      <c r="N132" s="17"/>
      <c r="O132" s="17">
        <v>3</v>
      </c>
      <c r="P132" s="17"/>
      <c r="Q132" s="35"/>
    </row>
    <row r="133" spans="1:17" ht="15.75" hidden="1" customHeight="1" x14ac:dyDescent="0.25">
      <c r="A133" s="190"/>
      <c r="B133" s="184"/>
      <c r="C133" s="187"/>
      <c r="D133" s="187"/>
      <c r="E133" s="21" t="s">
        <v>25</v>
      </c>
      <c r="F133" s="22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4"/>
    </row>
    <row r="134" spans="1:17" x14ac:dyDescent="0.25">
      <c r="A134" s="190"/>
      <c r="B134" s="184"/>
      <c r="C134" s="187"/>
      <c r="D134" s="187"/>
      <c r="E134" s="21" t="s">
        <v>42</v>
      </c>
      <c r="F134" s="22"/>
      <c r="G134" s="23"/>
      <c r="H134" s="23"/>
      <c r="I134" s="23"/>
      <c r="J134" s="23">
        <v>2000</v>
      </c>
      <c r="K134" s="23"/>
      <c r="L134" s="23">
        <v>2000</v>
      </c>
      <c r="M134" s="23"/>
      <c r="N134" s="23"/>
      <c r="O134" s="23">
        <v>2000</v>
      </c>
      <c r="P134" s="23"/>
      <c r="Q134" s="24"/>
    </row>
    <row r="135" spans="1:17" ht="16.5" thickBot="1" x14ac:dyDescent="0.3">
      <c r="A135" s="191"/>
      <c r="B135" s="185"/>
      <c r="C135" s="188"/>
      <c r="D135" s="188"/>
      <c r="E135" s="27" t="s">
        <v>27</v>
      </c>
      <c r="F135" s="15"/>
      <c r="G135" s="16"/>
      <c r="H135" s="16"/>
      <c r="I135" s="57"/>
      <c r="J135" s="57">
        <v>44.7</v>
      </c>
      <c r="K135" s="56"/>
      <c r="L135" s="56">
        <v>44.7</v>
      </c>
      <c r="M135" s="56"/>
      <c r="N135" s="59"/>
      <c r="O135" s="56">
        <v>44.67</v>
      </c>
      <c r="P135" s="16"/>
      <c r="Q135" s="60"/>
    </row>
    <row r="136" spans="1:17" ht="16.5" thickBot="1" x14ac:dyDescent="0.3">
      <c r="A136" s="192" t="s">
        <v>29</v>
      </c>
      <c r="B136" s="192"/>
      <c r="C136" s="45">
        <f>SUM(C116:C135)</f>
        <v>281.89999999999998</v>
      </c>
      <c r="D136" s="45">
        <f>SUM(D116:D135)</f>
        <v>280.92</v>
      </c>
      <c r="E136" s="69" t="s">
        <v>30</v>
      </c>
      <c r="F136" s="47">
        <f>F119+F123+F127+F131+F135</f>
        <v>0</v>
      </c>
      <c r="G136" s="48">
        <f>G119+G123+G127+G131+G135</f>
        <v>112.7</v>
      </c>
      <c r="H136" s="48">
        <f t="shared" ref="H136:Q136" si="1">H119+H123+H127+H131+H135</f>
        <v>124.5</v>
      </c>
      <c r="I136" s="48">
        <f t="shared" si="1"/>
        <v>0</v>
      </c>
      <c r="J136" s="48">
        <f>J119+J123+J127+J131+J135</f>
        <v>106.80000000000001</v>
      </c>
      <c r="K136" s="48">
        <f>K119+K123+K127+K131+K135</f>
        <v>175.10000000000002</v>
      </c>
      <c r="L136" s="48">
        <f t="shared" si="1"/>
        <v>44.7</v>
      </c>
      <c r="M136" s="48">
        <f>M119+M123+M127+M131+M135</f>
        <v>112.7</v>
      </c>
      <c r="N136" s="48">
        <f t="shared" si="1"/>
        <v>124.5</v>
      </c>
      <c r="O136" s="48">
        <f t="shared" si="1"/>
        <v>44.67</v>
      </c>
      <c r="P136" s="48">
        <f t="shared" si="1"/>
        <v>0</v>
      </c>
      <c r="Q136" s="67">
        <f t="shared" si="1"/>
        <v>0</v>
      </c>
    </row>
    <row r="138" spans="1:17" ht="18.75" customHeight="1" x14ac:dyDescent="0.25">
      <c r="A138" s="1" t="s">
        <v>0</v>
      </c>
      <c r="B138" s="2"/>
      <c r="C138" s="3"/>
      <c r="D138" s="3"/>
      <c r="E138" s="2"/>
    </row>
    <row r="139" spans="1:17" s="6" customFormat="1" x14ac:dyDescent="0.25">
      <c r="C139" s="7"/>
      <c r="D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17" s="6" customFormat="1" x14ac:dyDescent="0.25">
      <c r="A140" s="156" t="s">
        <v>1</v>
      </c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  <c r="Q140" s="156"/>
    </row>
    <row r="141" spans="1:17" s="6" customFormat="1" x14ac:dyDescent="0.25">
      <c r="A141" s="156" t="s">
        <v>2</v>
      </c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  <c r="Q141" s="156"/>
    </row>
    <row r="142" spans="1:17" s="6" customFormat="1" x14ac:dyDescent="0.25">
      <c r="A142" s="156" t="s">
        <v>39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  <c r="Q142" s="156"/>
    </row>
    <row r="144" spans="1:17" s="6" customFormat="1" x14ac:dyDescent="0.25">
      <c r="A144" s="6" t="s">
        <v>45</v>
      </c>
      <c r="B144" s="8"/>
      <c r="C144" s="70"/>
      <c r="D144" s="70"/>
      <c r="E144" s="71"/>
      <c r="F144" s="71"/>
      <c r="G144" s="71"/>
      <c r="H144" s="71"/>
      <c r="I144" s="71"/>
      <c r="J144" s="71"/>
      <c r="K144" s="71"/>
      <c r="L144" s="71"/>
      <c r="M144" s="71"/>
      <c r="N144" s="72"/>
      <c r="O144" s="71"/>
      <c r="Q144" s="11" t="s">
        <v>6</v>
      </c>
    </row>
    <row r="145" spans="1:17" s="6" customFormat="1" ht="7.5" customHeight="1" thickBot="1" x14ac:dyDescent="0.3">
      <c r="B145" s="8"/>
      <c r="C145" s="70"/>
      <c r="D145" s="70"/>
      <c r="E145" s="71"/>
      <c r="F145" s="71"/>
      <c r="G145" s="71"/>
      <c r="H145" s="71"/>
      <c r="I145" s="71"/>
      <c r="J145" s="71"/>
      <c r="K145" s="71"/>
      <c r="L145" s="71"/>
      <c r="M145" s="71"/>
      <c r="N145" s="72"/>
      <c r="O145" s="71"/>
      <c r="P145" s="10"/>
      <c r="Q145" s="8"/>
    </row>
    <row r="146" spans="1:17" s="6" customFormat="1" x14ac:dyDescent="0.25">
      <c r="A146" s="157" t="s">
        <v>7</v>
      </c>
      <c r="B146" s="160" t="s">
        <v>8</v>
      </c>
      <c r="C146" s="199" t="s">
        <v>9</v>
      </c>
      <c r="D146" s="166" t="s">
        <v>10</v>
      </c>
      <c r="E146" s="169" t="s">
        <v>11</v>
      </c>
      <c r="F146" s="172" t="s">
        <v>12</v>
      </c>
      <c r="G146" s="175" t="s">
        <v>13</v>
      </c>
      <c r="H146" s="175" t="s">
        <v>14</v>
      </c>
      <c r="I146" s="175" t="s">
        <v>15</v>
      </c>
      <c r="J146" s="175" t="s">
        <v>16</v>
      </c>
      <c r="K146" s="175" t="s">
        <v>17</v>
      </c>
      <c r="L146" s="175" t="s">
        <v>18</v>
      </c>
      <c r="M146" s="175" t="s">
        <v>19</v>
      </c>
      <c r="N146" s="175" t="s">
        <v>20</v>
      </c>
      <c r="O146" s="175" t="s">
        <v>21</v>
      </c>
      <c r="P146" s="175" t="s">
        <v>22</v>
      </c>
      <c r="Q146" s="178" t="s">
        <v>23</v>
      </c>
    </row>
    <row r="147" spans="1:17" s="6" customFormat="1" x14ac:dyDescent="0.25">
      <c r="A147" s="158"/>
      <c r="B147" s="161"/>
      <c r="C147" s="167"/>
      <c r="D147" s="167"/>
      <c r="E147" s="193"/>
      <c r="F147" s="173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61"/>
    </row>
    <row r="148" spans="1:17" s="6" customFormat="1" ht="16.5" thickBot="1" x14ac:dyDescent="0.3">
      <c r="A148" s="159"/>
      <c r="B148" s="162"/>
      <c r="C148" s="200"/>
      <c r="D148" s="168"/>
      <c r="E148" s="194"/>
      <c r="F148" s="174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9"/>
    </row>
    <row r="149" spans="1:17" s="6" customFormat="1" x14ac:dyDescent="0.25">
      <c r="A149" s="180">
        <v>25</v>
      </c>
      <c r="B149" s="183">
        <v>2015</v>
      </c>
      <c r="C149" s="186">
        <v>38.22</v>
      </c>
      <c r="D149" s="186">
        <v>38.229999999999997</v>
      </c>
      <c r="E149" s="14" t="s">
        <v>24</v>
      </c>
      <c r="F149" s="38"/>
      <c r="G149" s="17"/>
      <c r="H149" s="17">
        <v>1</v>
      </c>
      <c r="I149" s="17"/>
      <c r="J149" s="17"/>
      <c r="K149" s="17"/>
      <c r="L149" s="18"/>
      <c r="M149" s="17">
        <v>2</v>
      </c>
      <c r="N149" s="17"/>
      <c r="O149" s="17"/>
      <c r="P149" s="17"/>
      <c r="Q149" s="35"/>
    </row>
    <row r="150" spans="1:17" s="6" customFormat="1" ht="15.75" hidden="1" customHeight="1" x14ac:dyDescent="0.25">
      <c r="A150" s="181"/>
      <c r="B150" s="184"/>
      <c r="C150" s="187"/>
      <c r="D150" s="187"/>
      <c r="E150" s="21" t="s">
        <v>25</v>
      </c>
      <c r="F150" s="22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4"/>
    </row>
    <row r="151" spans="1:17" s="6" customFormat="1" x14ac:dyDescent="0.25">
      <c r="A151" s="181"/>
      <c r="B151" s="184"/>
      <c r="C151" s="187"/>
      <c r="D151" s="187"/>
      <c r="E151" s="21" t="s">
        <v>42</v>
      </c>
      <c r="F151" s="22"/>
      <c r="G151" s="23"/>
      <c r="H151" s="23">
        <v>2000</v>
      </c>
      <c r="I151" s="23"/>
      <c r="J151" s="23"/>
      <c r="K151" s="23"/>
      <c r="L151" s="23"/>
      <c r="M151" s="25">
        <v>2000</v>
      </c>
      <c r="N151" s="23"/>
      <c r="O151" s="23"/>
      <c r="P151" s="23"/>
      <c r="Q151" s="24"/>
    </row>
    <row r="152" spans="1:17" s="6" customFormat="1" ht="16.5" thickBot="1" x14ac:dyDescent="0.3">
      <c r="A152" s="182"/>
      <c r="B152" s="185"/>
      <c r="C152" s="188"/>
      <c r="D152" s="188"/>
      <c r="E152" s="27" t="s">
        <v>27</v>
      </c>
      <c r="F152" s="39"/>
      <c r="G152" s="32"/>
      <c r="H152" s="32">
        <v>38.22</v>
      </c>
      <c r="I152" s="32"/>
      <c r="J152" s="32"/>
      <c r="K152" s="32"/>
      <c r="L152" s="33"/>
      <c r="M152" s="73">
        <v>38.22</v>
      </c>
      <c r="N152" s="32"/>
      <c r="O152" s="32"/>
      <c r="P152" s="32"/>
      <c r="Q152" s="37"/>
    </row>
    <row r="153" spans="1:17" s="6" customFormat="1" x14ac:dyDescent="0.25">
      <c r="A153" s="189" t="s">
        <v>35</v>
      </c>
      <c r="B153" s="183">
        <v>2015</v>
      </c>
      <c r="C153" s="186">
        <v>22.72</v>
      </c>
      <c r="D153" s="186">
        <v>22.72</v>
      </c>
      <c r="E153" s="14" t="s">
        <v>24</v>
      </c>
      <c r="F153" s="38"/>
      <c r="G153" s="17"/>
      <c r="H153" s="17">
        <v>1</v>
      </c>
      <c r="I153" s="17"/>
      <c r="J153" s="17"/>
      <c r="K153" s="17">
        <v>2</v>
      </c>
      <c r="L153" s="18"/>
      <c r="M153" s="17"/>
      <c r="N153" s="17">
        <v>3</v>
      </c>
      <c r="O153" s="17"/>
      <c r="P153" s="17"/>
      <c r="Q153" s="35"/>
    </row>
    <row r="154" spans="1:17" s="6" customFormat="1" ht="15.75" hidden="1" customHeight="1" x14ac:dyDescent="0.25">
      <c r="A154" s="190"/>
      <c r="B154" s="184"/>
      <c r="C154" s="187"/>
      <c r="D154" s="187"/>
      <c r="E154" s="21" t="s">
        <v>25</v>
      </c>
      <c r="F154" s="22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4"/>
    </row>
    <row r="155" spans="1:17" s="6" customFormat="1" x14ac:dyDescent="0.25">
      <c r="A155" s="190"/>
      <c r="B155" s="184"/>
      <c r="C155" s="187"/>
      <c r="D155" s="187"/>
      <c r="E155" s="21" t="s">
        <v>42</v>
      </c>
      <c r="F155" s="22"/>
      <c r="G155" s="23"/>
      <c r="H155" s="23">
        <v>1000</v>
      </c>
      <c r="I155" s="23"/>
      <c r="J155" s="23"/>
      <c r="K155" s="23">
        <v>1000</v>
      </c>
      <c r="L155" s="23"/>
      <c r="M155" s="23"/>
      <c r="N155" s="23">
        <v>1000</v>
      </c>
      <c r="O155" s="23"/>
      <c r="P155" s="23"/>
      <c r="Q155" s="24"/>
    </row>
    <row r="156" spans="1:17" s="6" customFormat="1" ht="16.5" thickBot="1" x14ac:dyDescent="0.3">
      <c r="A156" s="191"/>
      <c r="B156" s="185"/>
      <c r="C156" s="188"/>
      <c r="D156" s="188"/>
      <c r="E156" s="27" t="s">
        <v>27</v>
      </c>
      <c r="F156" s="39"/>
      <c r="G156" s="32"/>
      <c r="H156" s="32">
        <v>22.72</v>
      </c>
      <c r="I156" s="32"/>
      <c r="J156" s="32"/>
      <c r="K156" s="32">
        <v>22.72</v>
      </c>
      <c r="L156" s="33"/>
      <c r="M156" s="32"/>
      <c r="N156" s="32">
        <v>22.72</v>
      </c>
      <c r="O156" s="31"/>
      <c r="P156" s="32"/>
      <c r="Q156" s="37"/>
    </row>
    <row r="157" spans="1:17" s="6" customFormat="1" ht="16.5" hidden="1" thickBot="1" x14ac:dyDescent="0.3">
      <c r="A157" s="189" t="s">
        <v>36</v>
      </c>
      <c r="B157" s="183">
        <v>2015</v>
      </c>
      <c r="C157" s="186">
        <v>0</v>
      </c>
      <c r="D157" s="13"/>
      <c r="E157" s="14" t="s">
        <v>24</v>
      </c>
      <c r="F157" s="38"/>
      <c r="G157" s="17"/>
      <c r="H157" s="17"/>
      <c r="I157" s="17"/>
      <c r="J157" s="17"/>
      <c r="K157" s="17"/>
      <c r="L157" s="18"/>
      <c r="M157" s="17"/>
      <c r="N157" s="18"/>
      <c r="O157" s="17"/>
      <c r="P157" s="17"/>
      <c r="Q157" s="35"/>
    </row>
    <row r="158" spans="1:17" s="6" customFormat="1" ht="16.5" hidden="1" thickBot="1" x14ac:dyDescent="0.3">
      <c r="A158" s="190"/>
      <c r="B158" s="184"/>
      <c r="C158" s="187"/>
      <c r="D158" s="20"/>
      <c r="E158" s="21" t="s">
        <v>25</v>
      </c>
      <c r="F158" s="22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4"/>
    </row>
    <row r="159" spans="1:17" s="6" customFormat="1" ht="16.5" hidden="1" thickBot="1" x14ac:dyDescent="0.3">
      <c r="A159" s="190"/>
      <c r="B159" s="184"/>
      <c r="C159" s="187"/>
      <c r="D159" s="20"/>
      <c r="E159" s="21" t="s">
        <v>26</v>
      </c>
      <c r="F159" s="22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4"/>
    </row>
    <row r="160" spans="1:17" s="6" customFormat="1" ht="16.5" hidden="1" thickBot="1" x14ac:dyDescent="0.3">
      <c r="A160" s="191"/>
      <c r="B160" s="185"/>
      <c r="C160" s="188"/>
      <c r="D160" s="26"/>
      <c r="E160" s="27" t="s">
        <v>27</v>
      </c>
      <c r="F160" s="39"/>
      <c r="G160" s="32"/>
      <c r="H160" s="32"/>
      <c r="I160" s="32"/>
      <c r="J160" s="32"/>
      <c r="K160" s="41"/>
      <c r="L160" s="33"/>
      <c r="M160" s="32"/>
      <c r="N160" s="41"/>
      <c r="O160" s="32"/>
      <c r="P160" s="32"/>
      <c r="Q160" s="37"/>
    </row>
    <row r="161" spans="1:17" s="6" customFormat="1" x14ac:dyDescent="0.25">
      <c r="A161" s="189">
        <v>27</v>
      </c>
      <c r="B161" s="183">
        <v>2015</v>
      </c>
      <c r="C161" s="186">
        <v>18.64</v>
      </c>
      <c r="D161" s="186">
        <v>14.3</v>
      </c>
      <c r="E161" s="14" t="s">
        <v>24</v>
      </c>
      <c r="F161" s="38"/>
      <c r="G161" s="17">
        <v>1</v>
      </c>
      <c r="H161" s="17"/>
      <c r="I161" s="17"/>
      <c r="J161" s="17">
        <v>2</v>
      </c>
      <c r="K161" s="18"/>
      <c r="L161" s="17"/>
      <c r="M161" s="17">
        <v>3</v>
      </c>
      <c r="N161" s="18"/>
      <c r="O161" s="17"/>
      <c r="P161" s="17"/>
      <c r="Q161" s="35"/>
    </row>
    <row r="162" spans="1:17" s="6" customFormat="1" ht="15.75" hidden="1" customHeight="1" x14ac:dyDescent="0.25">
      <c r="A162" s="190"/>
      <c r="B162" s="184"/>
      <c r="C162" s="187"/>
      <c r="D162" s="187"/>
      <c r="E162" s="21" t="s">
        <v>25</v>
      </c>
      <c r="F162" s="22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4"/>
    </row>
    <row r="163" spans="1:17" s="6" customFormat="1" x14ac:dyDescent="0.25">
      <c r="A163" s="190"/>
      <c r="B163" s="184"/>
      <c r="C163" s="187"/>
      <c r="D163" s="187"/>
      <c r="E163" s="21" t="s">
        <v>42</v>
      </c>
      <c r="F163" s="22"/>
      <c r="G163" s="23">
        <v>1000</v>
      </c>
      <c r="H163" s="23"/>
      <c r="I163" s="23"/>
      <c r="J163" s="23">
        <v>1000</v>
      </c>
      <c r="K163" s="23"/>
      <c r="L163" s="23"/>
      <c r="M163" s="23">
        <v>2000</v>
      </c>
      <c r="N163" s="23"/>
      <c r="O163" s="23"/>
      <c r="P163" s="23"/>
      <c r="Q163" s="24"/>
    </row>
    <row r="164" spans="1:17" s="6" customFormat="1" ht="16.5" thickBot="1" x14ac:dyDescent="0.3">
      <c r="A164" s="191"/>
      <c r="B164" s="185"/>
      <c r="C164" s="188"/>
      <c r="D164" s="188"/>
      <c r="E164" s="27" t="s">
        <v>27</v>
      </c>
      <c r="F164" s="39"/>
      <c r="G164" s="32">
        <v>18.64</v>
      </c>
      <c r="H164" s="32"/>
      <c r="I164" s="31"/>
      <c r="J164" s="32">
        <v>18.64</v>
      </c>
      <c r="K164" s="33"/>
      <c r="L164" s="32"/>
      <c r="M164" s="32">
        <v>18.64</v>
      </c>
      <c r="N164" s="41"/>
      <c r="O164" s="32"/>
      <c r="P164" s="32"/>
      <c r="Q164" s="37"/>
    </row>
    <row r="165" spans="1:17" s="6" customFormat="1" x14ac:dyDescent="0.25">
      <c r="A165" s="189">
        <v>28</v>
      </c>
      <c r="B165" s="183">
        <v>2015</v>
      </c>
      <c r="C165" s="186">
        <v>25.5</v>
      </c>
      <c r="D165" s="186">
        <v>21.94</v>
      </c>
      <c r="E165" s="14" t="s">
        <v>24</v>
      </c>
      <c r="F165" s="38"/>
      <c r="G165" s="17"/>
      <c r="H165" s="17"/>
      <c r="I165" s="17">
        <v>1</v>
      </c>
      <c r="J165" s="17"/>
      <c r="K165" s="17">
        <v>2</v>
      </c>
      <c r="L165" s="17"/>
      <c r="M165" s="17"/>
      <c r="N165" s="17">
        <v>3</v>
      </c>
      <c r="O165" s="17"/>
      <c r="P165" s="17"/>
      <c r="Q165" s="35"/>
    </row>
    <row r="166" spans="1:17" s="6" customFormat="1" ht="15.75" hidden="1" customHeight="1" x14ac:dyDescent="0.25">
      <c r="A166" s="190"/>
      <c r="B166" s="184"/>
      <c r="C166" s="187"/>
      <c r="D166" s="187"/>
      <c r="E166" s="21" t="s">
        <v>25</v>
      </c>
      <c r="F166" s="22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4"/>
    </row>
    <row r="167" spans="1:17" s="6" customFormat="1" x14ac:dyDescent="0.25">
      <c r="A167" s="190"/>
      <c r="B167" s="184"/>
      <c r="C167" s="187"/>
      <c r="D167" s="187"/>
      <c r="E167" s="21" t="s">
        <v>42</v>
      </c>
      <c r="F167" s="22"/>
      <c r="G167" s="23"/>
      <c r="H167" s="23"/>
      <c r="I167" s="23">
        <v>1000</v>
      </c>
      <c r="J167" s="23"/>
      <c r="K167" s="23">
        <v>1000</v>
      </c>
      <c r="L167" s="23"/>
      <c r="M167" s="23"/>
      <c r="N167" s="23">
        <v>1000</v>
      </c>
      <c r="O167" s="23"/>
      <c r="P167" s="23"/>
      <c r="Q167" s="24"/>
    </row>
    <row r="168" spans="1:17" s="6" customFormat="1" ht="16.5" thickBot="1" x14ac:dyDescent="0.3">
      <c r="A168" s="191"/>
      <c r="B168" s="185"/>
      <c r="C168" s="188"/>
      <c r="D168" s="188"/>
      <c r="E168" s="27" t="s">
        <v>27</v>
      </c>
      <c r="F168" s="74"/>
      <c r="G168" s="16"/>
      <c r="H168" s="16"/>
      <c r="I168" s="56">
        <v>25.5</v>
      </c>
      <c r="J168" s="56"/>
      <c r="K168" s="56">
        <v>25.5</v>
      </c>
      <c r="L168" s="16"/>
      <c r="M168" s="56"/>
      <c r="N168" s="79">
        <v>25.5</v>
      </c>
      <c r="O168" s="16"/>
      <c r="P168" s="16"/>
      <c r="Q168" s="60"/>
    </row>
    <row r="169" spans="1:17" s="6" customFormat="1" x14ac:dyDescent="0.25">
      <c r="A169" s="180">
        <v>29</v>
      </c>
      <c r="B169" s="183">
        <v>2015</v>
      </c>
      <c r="C169" s="186">
        <v>11.38</v>
      </c>
      <c r="D169" s="186">
        <v>19.260000000000002</v>
      </c>
      <c r="E169" s="14" t="s">
        <v>24</v>
      </c>
      <c r="F169" s="38"/>
      <c r="G169" s="17"/>
      <c r="H169" s="17"/>
      <c r="I169" s="17"/>
      <c r="J169" s="17">
        <v>1</v>
      </c>
      <c r="K169" s="17"/>
      <c r="L169" s="17">
        <v>2</v>
      </c>
      <c r="M169" s="17"/>
      <c r="N169" s="17"/>
      <c r="O169" s="17">
        <v>3</v>
      </c>
      <c r="P169" s="17"/>
      <c r="Q169" s="35"/>
    </row>
    <row r="170" spans="1:17" s="6" customFormat="1" ht="15.75" hidden="1" customHeight="1" x14ac:dyDescent="0.25">
      <c r="A170" s="181"/>
      <c r="B170" s="184"/>
      <c r="C170" s="187"/>
      <c r="D170" s="187"/>
      <c r="E170" s="21" t="s">
        <v>25</v>
      </c>
      <c r="F170" s="22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4"/>
    </row>
    <row r="171" spans="1:17" s="6" customFormat="1" x14ac:dyDescent="0.25">
      <c r="A171" s="181"/>
      <c r="B171" s="184"/>
      <c r="C171" s="187"/>
      <c r="D171" s="187"/>
      <c r="E171" s="21" t="s">
        <v>42</v>
      </c>
      <c r="F171" s="22"/>
      <c r="G171" s="23"/>
      <c r="H171" s="23"/>
      <c r="I171" s="23"/>
      <c r="J171" s="23">
        <v>1000</v>
      </c>
      <c r="K171" s="23"/>
      <c r="L171" s="23">
        <v>1000</v>
      </c>
      <c r="M171" s="25"/>
      <c r="N171" s="23"/>
      <c r="O171" s="23">
        <v>1000</v>
      </c>
      <c r="P171" s="23"/>
      <c r="Q171" s="24"/>
    </row>
    <row r="172" spans="1:17" s="6" customFormat="1" ht="16.5" thickBot="1" x14ac:dyDescent="0.3">
      <c r="A172" s="182"/>
      <c r="B172" s="185"/>
      <c r="C172" s="188"/>
      <c r="D172" s="188"/>
      <c r="E172" s="27" t="s">
        <v>27</v>
      </c>
      <c r="F172" s="39"/>
      <c r="G172" s="32"/>
      <c r="H172" s="32"/>
      <c r="I172" s="32"/>
      <c r="J172" s="32">
        <v>11.38</v>
      </c>
      <c r="K172" s="32"/>
      <c r="L172" s="32">
        <v>11.38</v>
      </c>
      <c r="M172" s="73"/>
      <c r="N172" s="32"/>
      <c r="O172" s="32">
        <v>19.260000000000002</v>
      </c>
      <c r="P172" s="32"/>
      <c r="Q172" s="37"/>
    </row>
    <row r="173" spans="1:17" s="6" customFormat="1" x14ac:dyDescent="0.25">
      <c r="A173" s="189">
        <v>30</v>
      </c>
      <c r="B173" s="183">
        <v>2015</v>
      </c>
      <c r="C173" s="186">
        <v>24.35</v>
      </c>
      <c r="D173" s="186">
        <v>24.3</v>
      </c>
      <c r="E173" s="14" t="s">
        <v>24</v>
      </c>
      <c r="F173" s="38"/>
      <c r="G173" s="17"/>
      <c r="H173" s="18"/>
      <c r="I173" s="17"/>
      <c r="J173" s="17">
        <v>1</v>
      </c>
      <c r="K173" s="17"/>
      <c r="L173" s="17">
        <v>2</v>
      </c>
      <c r="M173" s="17"/>
      <c r="N173" s="17"/>
      <c r="O173" s="17">
        <v>3</v>
      </c>
      <c r="P173" s="17"/>
      <c r="Q173" s="35"/>
    </row>
    <row r="174" spans="1:17" s="6" customFormat="1" ht="15.75" hidden="1" customHeight="1" x14ac:dyDescent="0.25">
      <c r="A174" s="190"/>
      <c r="B174" s="184"/>
      <c r="C174" s="187"/>
      <c r="D174" s="187"/>
      <c r="E174" s="21" t="s">
        <v>25</v>
      </c>
      <c r="F174" s="22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4"/>
    </row>
    <row r="175" spans="1:17" s="6" customFormat="1" x14ac:dyDescent="0.25">
      <c r="A175" s="190"/>
      <c r="B175" s="184"/>
      <c r="C175" s="187"/>
      <c r="D175" s="187"/>
      <c r="E175" s="21" t="s">
        <v>42</v>
      </c>
      <c r="F175" s="22"/>
      <c r="G175" s="23"/>
      <c r="H175" s="23"/>
      <c r="I175" s="23"/>
      <c r="J175" s="23">
        <v>2000</v>
      </c>
      <c r="K175" s="23"/>
      <c r="L175" s="23">
        <v>2000</v>
      </c>
      <c r="M175" s="23"/>
      <c r="N175" s="23"/>
      <c r="O175" s="23">
        <v>1000</v>
      </c>
      <c r="P175" s="23"/>
      <c r="Q175" s="24"/>
    </row>
    <row r="176" spans="1:17" s="6" customFormat="1" ht="16.5" thickBot="1" x14ac:dyDescent="0.3">
      <c r="A176" s="191"/>
      <c r="B176" s="185"/>
      <c r="C176" s="188"/>
      <c r="D176" s="188"/>
      <c r="E176" s="27" t="s">
        <v>27</v>
      </c>
      <c r="F176" s="39"/>
      <c r="G176" s="32"/>
      <c r="H176" s="33"/>
      <c r="I176" s="32"/>
      <c r="J176" s="32">
        <v>24.35</v>
      </c>
      <c r="K176" s="32"/>
      <c r="L176" s="32">
        <v>24.35</v>
      </c>
      <c r="M176" s="32"/>
      <c r="N176" s="32"/>
      <c r="O176" s="29">
        <v>24.3</v>
      </c>
      <c r="P176" s="32"/>
      <c r="Q176" s="37"/>
    </row>
    <row r="177" spans="1:17" s="6" customFormat="1" x14ac:dyDescent="0.25">
      <c r="A177" s="189">
        <v>31</v>
      </c>
      <c r="B177" s="183">
        <v>2015</v>
      </c>
      <c r="C177" s="186">
        <v>34.08</v>
      </c>
      <c r="D177" s="186">
        <v>34.020000000000003</v>
      </c>
      <c r="E177" s="14" t="s">
        <v>24</v>
      </c>
      <c r="F177" s="38"/>
      <c r="G177" s="17"/>
      <c r="H177" s="17"/>
      <c r="I177" s="17">
        <v>1</v>
      </c>
      <c r="J177" s="17"/>
      <c r="K177" s="17"/>
      <c r="L177" s="17">
        <v>2</v>
      </c>
      <c r="M177" s="17"/>
      <c r="N177" s="17"/>
      <c r="O177" s="17">
        <v>3</v>
      </c>
      <c r="P177" s="17"/>
      <c r="Q177" s="35"/>
    </row>
    <row r="178" spans="1:17" s="6" customFormat="1" ht="15.75" hidden="1" customHeight="1" x14ac:dyDescent="0.25">
      <c r="A178" s="190"/>
      <c r="B178" s="184"/>
      <c r="C178" s="187"/>
      <c r="D178" s="187"/>
      <c r="E178" s="21" t="s">
        <v>25</v>
      </c>
      <c r="F178" s="22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4"/>
    </row>
    <row r="179" spans="1:17" s="6" customFormat="1" x14ac:dyDescent="0.25">
      <c r="A179" s="190"/>
      <c r="B179" s="184"/>
      <c r="C179" s="187"/>
      <c r="D179" s="187"/>
      <c r="E179" s="21" t="s">
        <v>42</v>
      </c>
      <c r="F179" s="22"/>
      <c r="G179" s="23"/>
      <c r="H179" s="23"/>
      <c r="I179" s="23">
        <v>2000</v>
      </c>
      <c r="J179" s="23"/>
      <c r="K179" s="23"/>
      <c r="L179" s="23">
        <v>2000</v>
      </c>
      <c r="M179" s="23"/>
      <c r="N179" s="23"/>
      <c r="O179" s="23">
        <v>2000</v>
      </c>
      <c r="P179" s="23"/>
      <c r="Q179" s="24"/>
    </row>
    <row r="180" spans="1:17" s="6" customFormat="1" ht="16.5" thickBot="1" x14ac:dyDescent="0.3">
      <c r="A180" s="191"/>
      <c r="B180" s="185"/>
      <c r="C180" s="188"/>
      <c r="D180" s="188"/>
      <c r="E180" s="27" t="s">
        <v>27</v>
      </c>
      <c r="F180" s="39"/>
      <c r="G180" s="32"/>
      <c r="H180" s="32"/>
      <c r="I180" s="32">
        <v>34.08</v>
      </c>
      <c r="J180" s="32"/>
      <c r="K180" s="75"/>
      <c r="L180" s="32">
        <v>34.08</v>
      </c>
      <c r="M180" s="32"/>
      <c r="N180" s="75"/>
      <c r="O180" s="32">
        <v>34.020000000000003</v>
      </c>
      <c r="P180" s="32"/>
      <c r="Q180" s="37"/>
    </row>
    <row r="181" spans="1:17" s="6" customFormat="1" ht="16.5" hidden="1" thickBot="1" x14ac:dyDescent="0.3">
      <c r="A181" s="189">
        <v>32</v>
      </c>
      <c r="B181" s="183">
        <v>2015</v>
      </c>
      <c r="C181" s="186">
        <v>0</v>
      </c>
      <c r="D181" s="186"/>
      <c r="E181" s="14" t="s">
        <v>24</v>
      </c>
      <c r="F181" s="38"/>
      <c r="G181" s="17"/>
      <c r="H181" s="17"/>
      <c r="I181" s="17"/>
      <c r="J181" s="17"/>
      <c r="K181" s="18"/>
      <c r="L181" s="17"/>
      <c r="M181" s="17"/>
      <c r="N181" s="18"/>
      <c r="O181" s="17"/>
      <c r="P181" s="17"/>
      <c r="Q181" s="35"/>
    </row>
    <row r="182" spans="1:17" s="6" customFormat="1" ht="15.75" hidden="1" customHeight="1" x14ac:dyDescent="0.25">
      <c r="A182" s="190"/>
      <c r="B182" s="184"/>
      <c r="C182" s="187"/>
      <c r="D182" s="187"/>
      <c r="E182" s="21" t="s">
        <v>25</v>
      </c>
      <c r="F182" s="22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4"/>
    </row>
    <row r="183" spans="1:17" s="6" customFormat="1" ht="16.5" hidden="1" thickBot="1" x14ac:dyDescent="0.3">
      <c r="A183" s="190"/>
      <c r="B183" s="184"/>
      <c r="C183" s="187"/>
      <c r="D183" s="187"/>
      <c r="E183" s="21" t="s">
        <v>42</v>
      </c>
      <c r="F183" s="22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4"/>
    </row>
    <row r="184" spans="1:17" s="6" customFormat="1" ht="16.5" hidden="1" thickBot="1" x14ac:dyDescent="0.3">
      <c r="A184" s="191"/>
      <c r="B184" s="185"/>
      <c r="C184" s="188"/>
      <c r="D184" s="188"/>
      <c r="E184" s="27" t="s">
        <v>27</v>
      </c>
      <c r="F184" s="15"/>
      <c r="G184" s="16"/>
      <c r="H184" s="16"/>
      <c r="I184" s="16"/>
      <c r="J184" s="16"/>
      <c r="K184" s="76"/>
      <c r="L184" s="16"/>
      <c r="M184" s="16"/>
      <c r="N184" s="77"/>
      <c r="O184" s="16"/>
      <c r="P184" s="16"/>
      <c r="Q184" s="60"/>
    </row>
    <row r="185" spans="1:17" ht="16.5" thickBot="1" x14ac:dyDescent="0.3">
      <c r="A185" s="192" t="s">
        <v>29</v>
      </c>
      <c r="B185" s="192"/>
      <c r="C185" s="45">
        <f>SUM(C149:C184)</f>
        <v>174.89</v>
      </c>
      <c r="D185" s="45">
        <f>SUM(D149:D180)</f>
        <v>174.77</v>
      </c>
      <c r="E185" s="69" t="s">
        <v>30</v>
      </c>
      <c r="F185" s="47">
        <f>F152+F156+F160+F164+F168+F172+F176+F180+F184</f>
        <v>0</v>
      </c>
      <c r="G185" s="48">
        <f>G152+G156+G160+G164+G168+G172+G176+G180+G184</f>
        <v>18.64</v>
      </c>
      <c r="H185" s="48">
        <f t="shared" ref="H185:Q185" si="2">H152+H156+H160+H164+H168+H172+H176+H180+H184</f>
        <v>60.94</v>
      </c>
      <c r="I185" s="48">
        <f>I152+I156+I160+I164+I168+I172+I176+I180+I184</f>
        <v>59.58</v>
      </c>
      <c r="J185" s="48">
        <f>J152+J156+J160+J164+J168+J172+J176+J180+J184</f>
        <v>54.370000000000005</v>
      </c>
      <c r="K185" s="48">
        <f>K152+K156+K160+K164+K168+K172+K176+K180+K184</f>
        <v>48.22</v>
      </c>
      <c r="L185" s="48">
        <f t="shared" si="2"/>
        <v>69.81</v>
      </c>
      <c r="M185" s="48">
        <f>M152+M156+M160+M164+M168+M172+M176+M180+M184</f>
        <v>56.86</v>
      </c>
      <c r="N185" s="48">
        <f t="shared" si="2"/>
        <v>48.22</v>
      </c>
      <c r="O185" s="48">
        <f t="shared" si="2"/>
        <v>77.580000000000013</v>
      </c>
      <c r="P185" s="48">
        <f t="shared" si="2"/>
        <v>0</v>
      </c>
      <c r="Q185" s="67">
        <f t="shared" si="2"/>
        <v>0</v>
      </c>
    </row>
    <row r="186" spans="1:17" x14ac:dyDescent="0.25">
      <c r="A186" s="8"/>
      <c r="B186" s="8"/>
      <c r="C186" s="70"/>
      <c r="D186" s="70"/>
      <c r="E186" s="4"/>
      <c r="I186" s="78"/>
      <c r="M186" s="78"/>
      <c r="N186" s="9"/>
    </row>
    <row r="187" spans="1:17" x14ac:dyDescent="0.25">
      <c r="A187" s="1" t="s">
        <v>0</v>
      </c>
      <c r="B187" s="2"/>
      <c r="C187" s="3"/>
      <c r="D187" s="3"/>
      <c r="E187" s="2"/>
    </row>
    <row r="188" spans="1:17" x14ac:dyDescent="0.25">
      <c r="A188" s="6"/>
      <c r="B188" s="6"/>
      <c r="C188" s="7"/>
      <c r="D188" s="7"/>
      <c r="E188" s="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x14ac:dyDescent="0.25">
      <c r="A189" s="156" t="s">
        <v>1</v>
      </c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</row>
    <row r="190" spans="1:17" x14ac:dyDescent="0.25">
      <c r="A190" s="156" t="s">
        <v>2</v>
      </c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</row>
    <row r="191" spans="1:17" x14ac:dyDescent="0.25">
      <c r="A191" s="156" t="s">
        <v>39</v>
      </c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</row>
    <row r="193" spans="1:21" x14ac:dyDescent="0.25">
      <c r="A193" s="6" t="s">
        <v>46</v>
      </c>
      <c r="B193" s="8"/>
      <c r="C193" s="70"/>
      <c r="D193" s="70"/>
      <c r="E193" s="71"/>
      <c r="F193" s="71"/>
      <c r="G193" s="71"/>
      <c r="H193" s="71"/>
      <c r="I193" s="71"/>
      <c r="J193" s="71"/>
      <c r="K193" s="71"/>
      <c r="L193" s="71"/>
      <c r="M193" s="71"/>
      <c r="N193" s="72"/>
      <c r="O193" s="71"/>
      <c r="Q193" s="11" t="s">
        <v>6</v>
      </c>
    </row>
    <row r="194" spans="1:21" ht="10.5" customHeight="1" thickBot="1" x14ac:dyDescent="0.3">
      <c r="A194" s="8"/>
      <c r="B194" s="8"/>
      <c r="C194" s="70"/>
      <c r="D194" s="70"/>
      <c r="E194" s="4"/>
      <c r="I194" s="78"/>
      <c r="M194" s="78"/>
      <c r="N194" s="9"/>
    </row>
    <row r="195" spans="1:21" x14ac:dyDescent="0.25">
      <c r="A195" s="157" t="s">
        <v>7</v>
      </c>
      <c r="B195" s="160" t="s">
        <v>8</v>
      </c>
      <c r="C195" s="199" t="s">
        <v>9</v>
      </c>
      <c r="D195" s="166" t="s">
        <v>10</v>
      </c>
      <c r="E195" s="169" t="s">
        <v>11</v>
      </c>
      <c r="F195" s="172" t="s">
        <v>12</v>
      </c>
      <c r="G195" s="175" t="s">
        <v>13</v>
      </c>
      <c r="H195" s="175" t="s">
        <v>14</v>
      </c>
      <c r="I195" s="175" t="s">
        <v>15</v>
      </c>
      <c r="J195" s="175" t="s">
        <v>16</v>
      </c>
      <c r="K195" s="175" t="s">
        <v>17</v>
      </c>
      <c r="L195" s="175" t="s">
        <v>18</v>
      </c>
      <c r="M195" s="175" t="s">
        <v>19</v>
      </c>
      <c r="N195" s="175" t="s">
        <v>20</v>
      </c>
      <c r="O195" s="175" t="s">
        <v>21</v>
      </c>
      <c r="P195" s="175" t="s">
        <v>22</v>
      </c>
      <c r="Q195" s="178" t="s">
        <v>23</v>
      </c>
    </row>
    <row r="196" spans="1:21" x14ac:dyDescent="0.25">
      <c r="A196" s="158"/>
      <c r="B196" s="161"/>
      <c r="C196" s="167"/>
      <c r="D196" s="167"/>
      <c r="E196" s="193"/>
      <c r="F196" s="173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61"/>
    </row>
    <row r="197" spans="1:21" ht="16.5" thickBot="1" x14ac:dyDescent="0.3">
      <c r="A197" s="159"/>
      <c r="B197" s="162"/>
      <c r="C197" s="200"/>
      <c r="D197" s="168"/>
      <c r="E197" s="194"/>
      <c r="F197" s="174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9"/>
    </row>
    <row r="198" spans="1:21" x14ac:dyDescent="0.25">
      <c r="A198" s="180">
        <v>33</v>
      </c>
      <c r="B198" s="183">
        <v>2016</v>
      </c>
      <c r="C198" s="186">
        <v>28.72</v>
      </c>
      <c r="D198" s="186">
        <v>28.42</v>
      </c>
      <c r="E198" s="14" t="s">
        <v>24</v>
      </c>
      <c r="F198" s="38"/>
      <c r="G198" s="17"/>
      <c r="H198" s="17"/>
      <c r="I198" s="17">
        <v>1</v>
      </c>
      <c r="J198" s="17"/>
      <c r="K198" s="17">
        <v>2</v>
      </c>
      <c r="L198" s="17"/>
      <c r="M198" s="17"/>
      <c r="N198" s="17">
        <v>3</v>
      </c>
      <c r="O198" s="17"/>
      <c r="P198" s="17"/>
      <c r="Q198" s="35"/>
    </row>
    <row r="199" spans="1:21" ht="15.75" hidden="1" customHeight="1" x14ac:dyDescent="0.25">
      <c r="A199" s="181"/>
      <c r="B199" s="184"/>
      <c r="C199" s="187"/>
      <c r="D199" s="187"/>
      <c r="E199" s="21" t="s">
        <v>25</v>
      </c>
      <c r="F199" s="22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4"/>
    </row>
    <row r="200" spans="1:21" x14ac:dyDescent="0.25">
      <c r="A200" s="181"/>
      <c r="B200" s="184"/>
      <c r="C200" s="187"/>
      <c r="D200" s="187"/>
      <c r="E200" s="21" t="s">
        <v>42</v>
      </c>
      <c r="F200" s="22"/>
      <c r="G200" s="23"/>
      <c r="H200" s="23"/>
      <c r="I200" s="23">
        <v>1000</v>
      </c>
      <c r="J200" s="23"/>
      <c r="K200" s="23">
        <v>1000</v>
      </c>
      <c r="L200" s="23"/>
      <c r="M200" s="23"/>
      <c r="N200" s="23">
        <v>1000</v>
      </c>
      <c r="O200" s="23"/>
      <c r="P200" s="23"/>
      <c r="Q200" s="24"/>
      <c r="S200" s="8"/>
      <c r="T200" s="8"/>
      <c r="U200" s="8"/>
    </row>
    <row r="201" spans="1:21" ht="16.5" thickBot="1" x14ac:dyDescent="0.3">
      <c r="A201" s="182"/>
      <c r="B201" s="185"/>
      <c r="C201" s="188"/>
      <c r="D201" s="188"/>
      <c r="E201" s="27" t="s">
        <v>27</v>
      </c>
      <c r="F201" s="39"/>
      <c r="G201" s="32"/>
      <c r="H201" s="31"/>
      <c r="I201" s="32">
        <v>28.72</v>
      </c>
      <c r="J201" s="32"/>
      <c r="K201" s="32">
        <v>28.72</v>
      </c>
      <c r="L201" s="32"/>
      <c r="M201" s="73"/>
      <c r="N201" s="31">
        <v>28.72</v>
      </c>
      <c r="O201" s="32"/>
      <c r="P201" s="32"/>
      <c r="Q201" s="37"/>
      <c r="S201" s="8"/>
      <c r="T201" s="8"/>
      <c r="U201" s="8"/>
    </row>
    <row r="202" spans="1:21" x14ac:dyDescent="0.25">
      <c r="A202" s="189">
        <v>39</v>
      </c>
      <c r="B202" s="183">
        <v>2016</v>
      </c>
      <c r="C202" s="186">
        <v>4.5</v>
      </c>
      <c r="D202" s="186">
        <v>4.5</v>
      </c>
      <c r="E202" s="14" t="s">
        <v>24</v>
      </c>
      <c r="F202" s="38"/>
      <c r="G202" s="17"/>
      <c r="H202" s="17"/>
      <c r="I202" s="17">
        <v>1</v>
      </c>
      <c r="J202" s="17"/>
      <c r="K202" s="17">
        <v>2</v>
      </c>
      <c r="L202" s="17"/>
      <c r="M202" s="18"/>
      <c r="N202" s="17">
        <v>3</v>
      </c>
      <c r="O202" s="17"/>
      <c r="P202" s="17"/>
      <c r="Q202" s="35"/>
      <c r="S202" s="8"/>
      <c r="T202" s="8"/>
      <c r="U202" s="8"/>
    </row>
    <row r="203" spans="1:21" ht="15" hidden="1" customHeight="1" x14ac:dyDescent="0.25">
      <c r="A203" s="190"/>
      <c r="B203" s="184"/>
      <c r="C203" s="187"/>
      <c r="D203" s="187"/>
      <c r="E203" s="21" t="s">
        <v>25</v>
      </c>
      <c r="F203" s="22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4"/>
    </row>
    <row r="204" spans="1:21" x14ac:dyDescent="0.25">
      <c r="A204" s="190"/>
      <c r="B204" s="184"/>
      <c r="C204" s="187"/>
      <c r="D204" s="187"/>
      <c r="E204" s="21" t="s">
        <v>42</v>
      </c>
      <c r="F204" s="22"/>
      <c r="G204" s="23"/>
      <c r="H204" s="23"/>
      <c r="I204" s="23">
        <v>333</v>
      </c>
      <c r="J204" s="23"/>
      <c r="K204" s="25">
        <v>333</v>
      </c>
      <c r="L204" s="23"/>
      <c r="M204" s="25"/>
      <c r="N204" s="23">
        <v>334</v>
      </c>
      <c r="O204" s="23"/>
      <c r="P204" s="23"/>
      <c r="Q204" s="24"/>
    </row>
    <row r="205" spans="1:21" ht="16.5" thickBot="1" x14ac:dyDescent="0.3">
      <c r="A205" s="191"/>
      <c r="B205" s="185"/>
      <c r="C205" s="188"/>
      <c r="D205" s="188"/>
      <c r="E205" s="27" t="s">
        <v>27</v>
      </c>
      <c r="F205" s="15"/>
      <c r="G205" s="16"/>
      <c r="H205" s="16"/>
      <c r="I205" s="56">
        <v>4.5</v>
      </c>
      <c r="J205" s="16"/>
      <c r="K205" s="59">
        <v>4.5</v>
      </c>
      <c r="L205" s="16"/>
      <c r="M205" s="77"/>
      <c r="N205" s="56">
        <v>4.5</v>
      </c>
      <c r="O205" s="56"/>
      <c r="P205" s="16"/>
      <c r="Q205" s="60"/>
    </row>
    <row r="206" spans="1:21" ht="16.5" thickBot="1" x14ac:dyDescent="0.3">
      <c r="A206" s="195" t="s">
        <v>29</v>
      </c>
      <c r="B206" s="201"/>
      <c r="C206" s="45">
        <f>SUM(C198:C205)</f>
        <v>33.22</v>
      </c>
      <c r="D206" s="45">
        <f>SUM(D198:D205)</f>
        <v>32.92</v>
      </c>
      <c r="E206" s="69" t="s">
        <v>30</v>
      </c>
      <c r="F206" s="47">
        <f>F201+F205</f>
        <v>0</v>
      </c>
      <c r="G206" s="48">
        <f t="shared" ref="G206:Q206" si="3">G201+G205</f>
        <v>0</v>
      </c>
      <c r="H206" s="48">
        <f t="shared" si="3"/>
        <v>0</v>
      </c>
      <c r="I206" s="48">
        <f t="shared" si="3"/>
        <v>33.22</v>
      </c>
      <c r="J206" s="48">
        <f t="shared" si="3"/>
        <v>0</v>
      </c>
      <c r="K206" s="48">
        <f t="shared" si="3"/>
        <v>33.22</v>
      </c>
      <c r="L206" s="48">
        <f t="shared" si="3"/>
        <v>0</v>
      </c>
      <c r="M206" s="48">
        <f t="shared" si="3"/>
        <v>0</v>
      </c>
      <c r="N206" s="48">
        <f t="shared" si="3"/>
        <v>33.22</v>
      </c>
      <c r="O206" s="48">
        <f t="shared" si="3"/>
        <v>0</v>
      </c>
      <c r="P206" s="48">
        <f t="shared" si="3"/>
        <v>0</v>
      </c>
      <c r="Q206" s="67">
        <f t="shared" si="3"/>
        <v>0</v>
      </c>
    </row>
    <row r="207" spans="1:21" ht="16.5" thickBot="1" x14ac:dyDescent="0.3">
      <c r="A207" s="197"/>
      <c r="B207" s="202"/>
      <c r="C207" s="81">
        <f>SUM(C61,C103,C136,C185,C206)</f>
        <v>1416.51</v>
      </c>
      <c r="D207" s="81">
        <f>SUM(D61,D103,D136,D185,D206)</f>
        <v>1413.7800000000002</v>
      </c>
      <c r="E207" s="82" t="s">
        <v>38</v>
      </c>
      <c r="F207" s="47">
        <v>0</v>
      </c>
      <c r="G207" s="84">
        <f>SUM(G61,G103,G136,G206,G185)</f>
        <v>450.63999999999993</v>
      </c>
      <c r="H207" s="84">
        <f>SUM(H61,H103,H136,H206,H185)</f>
        <v>419.24</v>
      </c>
      <c r="I207" s="84">
        <f>SUM(I61,I103,I136,I185,I206)</f>
        <v>388.5</v>
      </c>
      <c r="J207" s="84">
        <f t="shared" ref="J207:O207" si="4">SUM(J61,J103,J136,J206,J185)</f>
        <v>422.17</v>
      </c>
      <c r="K207" s="84">
        <f t="shared" si="4"/>
        <v>626.34000000000015</v>
      </c>
      <c r="L207" s="84">
        <f t="shared" si="4"/>
        <v>487.90999999999997</v>
      </c>
      <c r="M207" s="84">
        <f t="shared" si="4"/>
        <v>488.85999999999996</v>
      </c>
      <c r="N207" s="84">
        <f t="shared" si="4"/>
        <v>439.74</v>
      </c>
      <c r="O207" s="84">
        <f t="shared" si="4"/>
        <v>495.39</v>
      </c>
      <c r="P207" s="84">
        <f>SUM(P61,P103,P136,P206)</f>
        <v>0</v>
      </c>
      <c r="Q207" s="88">
        <f>SUM(Q61,Q103,Q136,Q206,Q185)</f>
        <v>0</v>
      </c>
    </row>
  </sheetData>
  <mergeCells count="244">
    <mergeCell ref="A202:A205"/>
    <mergeCell ref="B202:B205"/>
    <mergeCell ref="C202:C205"/>
    <mergeCell ref="D202:D205"/>
    <mergeCell ref="A206:B207"/>
    <mergeCell ref="M195:M197"/>
    <mergeCell ref="N195:N197"/>
    <mergeCell ref="O195:O197"/>
    <mergeCell ref="P195:P197"/>
    <mergeCell ref="A198:A201"/>
    <mergeCell ref="B198:B201"/>
    <mergeCell ref="C198:C201"/>
    <mergeCell ref="D198:D201"/>
    <mergeCell ref="G195:G197"/>
    <mergeCell ref="H195:H197"/>
    <mergeCell ref="I195:I197"/>
    <mergeCell ref="J195:J197"/>
    <mergeCell ref="K195:K197"/>
    <mergeCell ref="A185:B185"/>
    <mergeCell ref="A189:Q189"/>
    <mergeCell ref="A190:Q190"/>
    <mergeCell ref="A191:Q191"/>
    <mergeCell ref="A195:A197"/>
    <mergeCell ref="B195:B197"/>
    <mergeCell ref="C195:C197"/>
    <mergeCell ref="D195:D197"/>
    <mergeCell ref="E195:E197"/>
    <mergeCell ref="F195:F197"/>
    <mergeCell ref="Q195:Q197"/>
    <mergeCell ref="L195:L197"/>
    <mergeCell ref="A177:A180"/>
    <mergeCell ref="B177:B180"/>
    <mergeCell ref="C177:C180"/>
    <mergeCell ref="D177:D180"/>
    <mergeCell ref="A181:A184"/>
    <mergeCell ref="B181:B184"/>
    <mergeCell ref="C181:C184"/>
    <mergeCell ref="D181:D184"/>
    <mergeCell ref="A169:A172"/>
    <mergeCell ref="B169:B172"/>
    <mergeCell ref="C169:C172"/>
    <mergeCell ref="D169:D172"/>
    <mergeCell ref="A173:A176"/>
    <mergeCell ref="B173:B176"/>
    <mergeCell ref="C173:C176"/>
    <mergeCell ref="D173:D176"/>
    <mergeCell ref="A161:A164"/>
    <mergeCell ref="B161:B164"/>
    <mergeCell ref="C161:C164"/>
    <mergeCell ref="D161:D164"/>
    <mergeCell ref="A165:A168"/>
    <mergeCell ref="B165:B168"/>
    <mergeCell ref="C165:C168"/>
    <mergeCell ref="D165:D168"/>
    <mergeCell ref="A153:A156"/>
    <mergeCell ref="B153:B156"/>
    <mergeCell ref="C153:C156"/>
    <mergeCell ref="D153:D156"/>
    <mergeCell ref="A157:A160"/>
    <mergeCell ref="B157:B160"/>
    <mergeCell ref="C157:C160"/>
    <mergeCell ref="A149:A152"/>
    <mergeCell ref="B149:B152"/>
    <mergeCell ref="C149:C152"/>
    <mergeCell ref="D149:D152"/>
    <mergeCell ref="G146:G148"/>
    <mergeCell ref="H146:H148"/>
    <mergeCell ref="I146:I148"/>
    <mergeCell ref="J146:J148"/>
    <mergeCell ref="K146:K148"/>
    <mergeCell ref="A136:B136"/>
    <mergeCell ref="A140:Q140"/>
    <mergeCell ref="A141:Q141"/>
    <mergeCell ref="A142:Q142"/>
    <mergeCell ref="A146:A148"/>
    <mergeCell ref="B146:B148"/>
    <mergeCell ref="C146:C148"/>
    <mergeCell ref="D146:D148"/>
    <mergeCell ref="E146:E148"/>
    <mergeCell ref="F146:F148"/>
    <mergeCell ref="M146:M148"/>
    <mergeCell ref="N146:N148"/>
    <mergeCell ref="O146:O148"/>
    <mergeCell ref="P146:P148"/>
    <mergeCell ref="Q146:Q148"/>
    <mergeCell ref="L146:L148"/>
    <mergeCell ref="A128:A131"/>
    <mergeCell ref="B128:B131"/>
    <mergeCell ref="C128:C131"/>
    <mergeCell ref="D128:D131"/>
    <mergeCell ref="A132:A135"/>
    <mergeCell ref="B132:B135"/>
    <mergeCell ref="C132:C135"/>
    <mergeCell ref="D132:D135"/>
    <mergeCell ref="A120:A123"/>
    <mergeCell ref="B120:B123"/>
    <mergeCell ref="C120:C123"/>
    <mergeCell ref="D120:D123"/>
    <mergeCell ref="A124:A127"/>
    <mergeCell ref="B124:B127"/>
    <mergeCell ref="C124:C127"/>
    <mergeCell ref="D124:D127"/>
    <mergeCell ref="A116:A119"/>
    <mergeCell ref="B116:B119"/>
    <mergeCell ref="C116:C119"/>
    <mergeCell ref="D116:D119"/>
    <mergeCell ref="G113:G115"/>
    <mergeCell ref="H113:H115"/>
    <mergeCell ref="I113:I115"/>
    <mergeCell ref="J113:J115"/>
    <mergeCell ref="K113:K115"/>
    <mergeCell ref="A103:B103"/>
    <mergeCell ref="A107:Q107"/>
    <mergeCell ref="A108:Q108"/>
    <mergeCell ref="A109:Q109"/>
    <mergeCell ref="A113:A115"/>
    <mergeCell ref="B113:B115"/>
    <mergeCell ref="C113:C115"/>
    <mergeCell ref="D113:D115"/>
    <mergeCell ref="E113:E115"/>
    <mergeCell ref="F113:F115"/>
    <mergeCell ref="M113:M115"/>
    <mergeCell ref="N113:N115"/>
    <mergeCell ref="O113:O115"/>
    <mergeCell ref="P113:P115"/>
    <mergeCell ref="Q113:Q115"/>
    <mergeCell ref="L113:L115"/>
    <mergeCell ref="A94:A98"/>
    <mergeCell ref="B94:B98"/>
    <mergeCell ref="C94:C98"/>
    <mergeCell ref="D94:D97"/>
    <mergeCell ref="A99:A102"/>
    <mergeCell ref="B99:B102"/>
    <mergeCell ref="C99:C102"/>
    <mergeCell ref="D99:D102"/>
    <mergeCell ref="A86:A89"/>
    <mergeCell ref="B86:B89"/>
    <mergeCell ref="C86:C89"/>
    <mergeCell ref="D86:D89"/>
    <mergeCell ref="A90:A93"/>
    <mergeCell ref="B90:B93"/>
    <mergeCell ref="C90:C93"/>
    <mergeCell ref="D90:D93"/>
    <mergeCell ref="A78:A81"/>
    <mergeCell ref="B78:B81"/>
    <mergeCell ref="C78:C81"/>
    <mergeCell ref="D78:D81"/>
    <mergeCell ref="A82:A85"/>
    <mergeCell ref="B82:B85"/>
    <mergeCell ref="C82:C85"/>
    <mergeCell ref="D82:D85"/>
    <mergeCell ref="O71:O73"/>
    <mergeCell ref="A74:A77"/>
    <mergeCell ref="B74:B77"/>
    <mergeCell ref="C74:C77"/>
    <mergeCell ref="D74:D77"/>
    <mergeCell ref="I71:I73"/>
    <mergeCell ref="J71:J73"/>
    <mergeCell ref="K71:K73"/>
    <mergeCell ref="L71:L73"/>
    <mergeCell ref="M71:M73"/>
    <mergeCell ref="A66:Q66"/>
    <mergeCell ref="A67:Q67"/>
    <mergeCell ref="A71:A73"/>
    <mergeCell ref="B71:B73"/>
    <mergeCell ref="C71:C73"/>
    <mergeCell ref="D71:D73"/>
    <mergeCell ref="E71:E73"/>
    <mergeCell ref="F71:F73"/>
    <mergeCell ref="G71:G73"/>
    <mergeCell ref="H71:H73"/>
    <mergeCell ref="P71:P73"/>
    <mergeCell ref="Q71:Q73"/>
    <mergeCell ref="N71:N73"/>
    <mergeCell ref="A57:A60"/>
    <mergeCell ref="B57:B60"/>
    <mergeCell ref="C57:C60"/>
    <mergeCell ref="D57:D60"/>
    <mergeCell ref="A61:B61"/>
    <mergeCell ref="A65:Q65"/>
    <mergeCell ref="A49:A52"/>
    <mergeCell ref="B49:B52"/>
    <mergeCell ref="C49:C52"/>
    <mergeCell ref="D49:D52"/>
    <mergeCell ref="A53:A56"/>
    <mergeCell ref="B53:B56"/>
    <mergeCell ref="C53:C56"/>
    <mergeCell ref="D53:D56"/>
    <mergeCell ref="A41:A44"/>
    <mergeCell ref="B41:B44"/>
    <mergeCell ref="C41:C44"/>
    <mergeCell ref="D41:D44"/>
    <mergeCell ref="A45:A48"/>
    <mergeCell ref="B45:B48"/>
    <mergeCell ref="C45:C48"/>
    <mergeCell ref="D45:D48"/>
    <mergeCell ref="A33:A36"/>
    <mergeCell ref="B33:B36"/>
    <mergeCell ref="C33:C36"/>
    <mergeCell ref="D33:D36"/>
    <mergeCell ref="A37:A40"/>
    <mergeCell ref="B37:B40"/>
    <mergeCell ref="C37:C40"/>
    <mergeCell ref="D37:D40"/>
    <mergeCell ref="A25:A28"/>
    <mergeCell ref="B25:B28"/>
    <mergeCell ref="C25:C28"/>
    <mergeCell ref="D25:D28"/>
    <mergeCell ref="A29:A32"/>
    <mergeCell ref="B29:B32"/>
    <mergeCell ref="C29:C32"/>
    <mergeCell ref="D29:D32"/>
    <mergeCell ref="A17:A20"/>
    <mergeCell ref="B17:B20"/>
    <mergeCell ref="C17:C20"/>
    <mergeCell ref="D17:D20"/>
    <mergeCell ref="A21:A24"/>
    <mergeCell ref="B21:B24"/>
    <mergeCell ref="C21:C24"/>
    <mergeCell ref="D21:D24"/>
    <mergeCell ref="A13:A16"/>
    <mergeCell ref="B13:B16"/>
    <mergeCell ref="C13:C16"/>
    <mergeCell ref="D13:D16"/>
    <mergeCell ref="H10:H12"/>
    <mergeCell ref="I10:I12"/>
    <mergeCell ref="J10:J12"/>
    <mergeCell ref="K10:K12"/>
    <mergeCell ref="L10:L12"/>
    <mergeCell ref="A3:Q3"/>
    <mergeCell ref="A4:Q4"/>
    <mergeCell ref="A5:Q5"/>
    <mergeCell ref="A10:A12"/>
    <mergeCell ref="B10:B12"/>
    <mergeCell ref="C10:C12"/>
    <mergeCell ref="D10:D12"/>
    <mergeCell ref="E10:E12"/>
    <mergeCell ref="F10:F12"/>
    <mergeCell ref="G10:G12"/>
    <mergeCell ref="N10:N12"/>
    <mergeCell ref="O10:O12"/>
    <mergeCell ref="P10:P12"/>
    <mergeCell ref="Q10:Q12"/>
    <mergeCell ref="M10:M12"/>
  </mergeCells>
  <pageMargins left="0.15748031496062992" right="0.15748031496062992" top="0.59055118110236227" bottom="0.43" header="0.15748031496062992" footer="0.15748031496062992"/>
  <pageSetup paperSize="9" scale="90" firstPageNumber="52" fitToHeight="0" orientation="landscape" useFirstPageNumber="1" r:id="rId1"/>
  <headerFooter>
    <oddFooter>&amp;LData Source : Manuring and Field Maintenance - Camp Side&amp;CPage &amp;P</oddFooter>
  </headerFooter>
  <rowBreaks count="5" manualBreakCount="5">
    <brk id="44" max="16383" man="1"/>
    <brk id="61" max="16383" man="1"/>
    <brk id="103" max="16383" man="1"/>
    <brk id="136" max="16383" man="1"/>
    <brk id="18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22C8C-9521-434F-AA94-297C9003E91C}">
  <sheetPr>
    <tabColor rgb="FFFFFF00"/>
    <pageSetUpPr fitToPage="1"/>
  </sheetPr>
  <dimension ref="A1:AK153"/>
  <sheetViews>
    <sheetView showGridLines="0" view="pageBreakPreview" topLeftCell="S134" zoomScale="111" zoomScaleNormal="100" zoomScaleSheetLayoutView="111" workbookViewId="0">
      <selection activeCell="O21" sqref="O21"/>
    </sheetView>
  </sheetViews>
  <sheetFormatPr defaultRowHeight="15.75" x14ac:dyDescent="0.25"/>
  <cols>
    <col min="1" max="1" width="9.140625" style="5"/>
    <col min="2" max="2" width="9.28515625" style="5" bestFit="1" customWidth="1"/>
    <col min="3" max="3" width="9.28515625" style="5" hidden="1" customWidth="1"/>
    <col min="4" max="4" width="10.28515625" style="12" customWidth="1"/>
    <col min="5" max="5" width="11" style="12" bestFit="1" customWidth="1"/>
    <col min="6" max="6" width="13" style="5" customWidth="1"/>
    <col min="7" max="30" width="11.5703125" style="4" customWidth="1"/>
    <col min="31" max="31" width="0.5703125" style="5" customWidth="1"/>
    <col min="32" max="33" width="13" style="4" customWidth="1"/>
    <col min="34" max="16384" width="9.140625" style="5"/>
  </cols>
  <sheetData>
    <row r="1" spans="1:36" ht="18.75" customHeight="1" x14ac:dyDescent="0.25">
      <c r="A1" s="1" t="s">
        <v>0</v>
      </c>
      <c r="C1" s="2"/>
      <c r="D1" s="3"/>
      <c r="E1" s="3"/>
      <c r="F1" s="2"/>
    </row>
    <row r="2" spans="1:36" s="6" customFormat="1" x14ac:dyDescent="0.25">
      <c r="D2" s="7"/>
      <c r="E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F2" s="8"/>
      <c r="AG2" s="8"/>
    </row>
    <row r="3" spans="1:36" s="6" customFormat="1" x14ac:dyDescent="0.25">
      <c r="B3" s="156" t="s">
        <v>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9"/>
      <c r="AG3" s="9"/>
    </row>
    <row r="4" spans="1:36" s="6" customFormat="1" x14ac:dyDescent="0.25">
      <c r="B4" s="156" t="s">
        <v>2</v>
      </c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9"/>
      <c r="AG4" s="9"/>
    </row>
    <row r="5" spans="1:36" s="6" customFormat="1" ht="16.5" thickBot="1" x14ac:dyDescent="0.3">
      <c r="B5" s="156" t="s">
        <v>73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9"/>
      <c r="AG5" s="9"/>
    </row>
    <row r="6" spans="1:36" ht="15.75" customHeight="1" x14ac:dyDescent="0.25">
      <c r="A6" s="209" t="s">
        <v>67</v>
      </c>
      <c r="B6" s="209" t="s">
        <v>7</v>
      </c>
      <c r="C6" s="160" t="s">
        <v>8</v>
      </c>
      <c r="D6" s="166" t="s">
        <v>9</v>
      </c>
      <c r="E6" s="166" t="s">
        <v>10</v>
      </c>
      <c r="F6" s="169" t="s">
        <v>11</v>
      </c>
      <c r="G6" s="203" t="s">
        <v>12</v>
      </c>
      <c r="H6" s="204"/>
      <c r="I6" s="203" t="s">
        <v>13</v>
      </c>
      <c r="J6" s="204"/>
      <c r="K6" s="203" t="s">
        <v>14</v>
      </c>
      <c r="L6" s="211"/>
      <c r="M6" s="203" t="s">
        <v>15</v>
      </c>
      <c r="N6" s="204"/>
      <c r="O6" s="203" t="s">
        <v>16</v>
      </c>
      <c r="P6" s="204"/>
      <c r="Q6" s="203" t="s">
        <v>17</v>
      </c>
      <c r="R6" s="204"/>
      <c r="S6" s="203" t="s">
        <v>18</v>
      </c>
      <c r="T6" s="204"/>
      <c r="U6" s="203" t="s">
        <v>19</v>
      </c>
      <c r="V6" s="204"/>
      <c r="W6" s="203" t="s">
        <v>20</v>
      </c>
      <c r="X6" s="204"/>
      <c r="Y6" s="203" t="s">
        <v>21</v>
      </c>
      <c r="Z6" s="204"/>
      <c r="AA6" s="211" t="s">
        <v>22</v>
      </c>
      <c r="AB6" s="211"/>
      <c r="AC6" s="203" t="s">
        <v>23</v>
      </c>
      <c r="AD6" s="204"/>
      <c r="AF6" s="203" t="s">
        <v>66</v>
      </c>
      <c r="AG6" s="204"/>
    </row>
    <row r="7" spans="1:36" ht="15.75" customHeight="1" x14ac:dyDescent="0.25">
      <c r="A7" s="158"/>
      <c r="B7" s="158"/>
      <c r="C7" s="161"/>
      <c r="D7" s="167"/>
      <c r="E7" s="167"/>
      <c r="F7" s="193"/>
      <c r="G7" s="205"/>
      <c r="H7" s="206"/>
      <c r="I7" s="205"/>
      <c r="J7" s="206"/>
      <c r="K7" s="205"/>
      <c r="L7" s="156"/>
      <c r="M7" s="205"/>
      <c r="N7" s="206"/>
      <c r="O7" s="205"/>
      <c r="P7" s="206"/>
      <c r="Q7" s="205"/>
      <c r="R7" s="206"/>
      <c r="S7" s="205"/>
      <c r="T7" s="206"/>
      <c r="U7" s="205"/>
      <c r="V7" s="206"/>
      <c r="W7" s="205"/>
      <c r="X7" s="206"/>
      <c r="Y7" s="205"/>
      <c r="Z7" s="206"/>
      <c r="AA7" s="156"/>
      <c r="AB7" s="156"/>
      <c r="AC7" s="205"/>
      <c r="AD7" s="206"/>
      <c r="AF7" s="205"/>
      <c r="AG7" s="206"/>
    </row>
    <row r="8" spans="1:36" ht="16.5" thickBot="1" x14ac:dyDescent="0.3">
      <c r="A8" s="158"/>
      <c r="B8" s="158"/>
      <c r="C8" s="162"/>
      <c r="D8" s="167"/>
      <c r="E8" s="167"/>
      <c r="F8" s="193"/>
      <c r="G8" s="207"/>
      <c r="H8" s="208"/>
      <c r="I8" s="207"/>
      <c r="J8" s="208"/>
      <c r="K8" s="207"/>
      <c r="L8" s="212"/>
      <c r="M8" s="207"/>
      <c r="N8" s="208"/>
      <c r="O8" s="207"/>
      <c r="P8" s="208"/>
      <c r="Q8" s="207"/>
      <c r="R8" s="208"/>
      <c r="S8" s="207"/>
      <c r="T8" s="208"/>
      <c r="U8" s="207"/>
      <c r="V8" s="208"/>
      <c r="W8" s="207"/>
      <c r="X8" s="208"/>
      <c r="Y8" s="207"/>
      <c r="Z8" s="208"/>
      <c r="AA8" s="212"/>
      <c r="AB8" s="212"/>
      <c r="AC8" s="207"/>
      <c r="AD8" s="208"/>
      <c r="AF8" s="207"/>
      <c r="AG8" s="208"/>
    </row>
    <row r="9" spans="1:36" s="119" customFormat="1" ht="32.25" thickBot="1" x14ac:dyDescent="0.3">
      <c r="A9" s="210"/>
      <c r="B9" s="210"/>
      <c r="C9" s="90"/>
      <c r="D9" s="168"/>
      <c r="E9" s="168"/>
      <c r="F9" s="194"/>
      <c r="G9" s="106" t="s">
        <v>76</v>
      </c>
      <c r="H9" s="118" t="s">
        <v>75</v>
      </c>
      <c r="I9" s="106" t="s">
        <v>76</v>
      </c>
      <c r="J9" s="118" t="s">
        <v>75</v>
      </c>
      <c r="K9" s="106" t="s">
        <v>76</v>
      </c>
      <c r="L9" s="118" t="s">
        <v>75</v>
      </c>
      <c r="M9" s="106" t="s">
        <v>76</v>
      </c>
      <c r="N9" s="118" t="s">
        <v>75</v>
      </c>
      <c r="O9" s="106" t="s">
        <v>76</v>
      </c>
      <c r="P9" s="118" t="s">
        <v>75</v>
      </c>
      <c r="Q9" s="106" t="s">
        <v>76</v>
      </c>
      <c r="R9" s="118" t="s">
        <v>75</v>
      </c>
      <c r="S9" s="106" t="s">
        <v>76</v>
      </c>
      <c r="T9" s="118" t="s">
        <v>75</v>
      </c>
      <c r="U9" s="106" t="s">
        <v>76</v>
      </c>
      <c r="V9" s="118" t="s">
        <v>75</v>
      </c>
      <c r="W9" s="106" t="s">
        <v>76</v>
      </c>
      <c r="X9" s="118" t="s">
        <v>75</v>
      </c>
      <c r="Y9" s="106" t="s">
        <v>76</v>
      </c>
      <c r="Z9" s="118" t="s">
        <v>75</v>
      </c>
      <c r="AA9" s="106" t="s">
        <v>76</v>
      </c>
      <c r="AB9" s="118" t="s">
        <v>75</v>
      </c>
      <c r="AC9" s="106" t="s">
        <v>76</v>
      </c>
      <c r="AD9" s="118" t="s">
        <v>75</v>
      </c>
      <c r="AF9" s="106" t="s">
        <v>76</v>
      </c>
      <c r="AG9" s="118" t="s">
        <v>75</v>
      </c>
    </row>
    <row r="10" spans="1:36" x14ac:dyDescent="0.25">
      <c r="A10" s="213" t="s">
        <v>68</v>
      </c>
      <c r="B10" s="180">
        <v>1</v>
      </c>
      <c r="C10" s="183">
        <v>2010</v>
      </c>
      <c r="D10" s="186">
        <v>53.2</v>
      </c>
      <c r="E10" s="186">
        <v>53.09</v>
      </c>
      <c r="F10" s="14" t="s">
        <v>24</v>
      </c>
      <c r="G10" s="115"/>
      <c r="H10" s="116"/>
      <c r="I10" s="115">
        <v>1</v>
      </c>
      <c r="J10" s="117">
        <v>1</v>
      </c>
      <c r="K10" s="115"/>
      <c r="L10" s="116"/>
      <c r="M10" s="115"/>
      <c r="N10" s="116"/>
      <c r="O10" s="115">
        <v>2</v>
      </c>
      <c r="P10" s="116">
        <v>2</v>
      </c>
      <c r="Q10" s="115"/>
      <c r="R10" s="116"/>
      <c r="S10" s="115"/>
      <c r="T10" s="116"/>
      <c r="U10" s="115">
        <v>3</v>
      </c>
      <c r="V10" s="116">
        <v>3</v>
      </c>
      <c r="W10" s="115"/>
      <c r="X10" s="116"/>
      <c r="Y10" s="115"/>
      <c r="Z10" s="116"/>
      <c r="AA10" s="115"/>
      <c r="AB10" s="116"/>
      <c r="AC10" s="115"/>
      <c r="AD10" s="116"/>
      <c r="AF10" s="115" cm="1">
        <f t="array" ref="AF10">MAX(IF(MOD(COLUMN(G10:AD10)-COLUMN(C5),2)=0, G10:AD10))</f>
        <v>3</v>
      </c>
      <c r="AG10" s="116" cm="1">
        <f t="array" ref="AG10">MAX(IF(MOD(COLUMN(G10:AD10)-COLUMN(C5),2)=1, G10:AD10))</f>
        <v>3</v>
      </c>
    </row>
    <row r="11" spans="1:36" x14ac:dyDescent="0.25">
      <c r="A11" s="214"/>
      <c r="B11" s="181"/>
      <c r="C11" s="184"/>
      <c r="D11" s="187"/>
      <c r="E11" s="187"/>
      <c r="F11" s="21" t="s">
        <v>65</v>
      </c>
      <c r="G11" s="101"/>
      <c r="H11" s="102"/>
      <c r="I11" s="101">
        <v>40</v>
      </c>
      <c r="J11" s="24">
        <v>2000</v>
      </c>
      <c r="K11" s="101"/>
      <c r="L11" s="102"/>
      <c r="M11" s="101"/>
      <c r="N11" s="102"/>
      <c r="O11" s="101">
        <v>40</v>
      </c>
      <c r="P11" s="102">
        <v>2000</v>
      </c>
      <c r="Q11" s="101"/>
      <c r="R11" s="102"/>
      <c r="S11" s="101"/>
      <c r="T11" s="102"/>
      <c r="U11" s="101">
        <v>40</v>
      </c>
      <c r="V11" s="102">
        <v>2000</v>
      </c>
      <c r="W11" s="101"/>
      <c r="X11" s="102"/>
      <c r="Y11" s="101"/>
      <c r="Z11" s="102"/>
      <c r="AA11" s="101"/>
      <c r="AB11" s="102"/>
      <c r="AC11" s="101"/>
      <c r="AD11" s="102"/>
      <c r="AF11" s="101">
        <f>G11+I11+K11+M11+O11+Q11+S11+U11++W11+Y11+AA11+AC11</f>
        <v>120</v>
      </c>
      <c r="AG11" s="102">
        <f>H11+J11+L11+N11+P11+R11+T11+V11++X11+Z11+AB11+AD11</f>
        <v>6000</v>
      </c>
    </row>
    <row r="12" spans="1:36" ht="16.5" thickBot="1" x14ac:dyDescent="0.3">
      <c r="A12" s="214"/>
      <c r="B12" s="182"/>
      <c r="C12" s="185"/>
      <c r="D12" s="188"/>
      <c r="E12" s="188"/>
      <c r="F12" s="27" t="s">
        <v>27</v>
      </c>
      <c r="G12" s="103"/>
      <c r="H12" s="104"/>
      <c r="I12" s="103">
        <v>53.2</v>
      </c>
      <c r="J12" s="91">
        <v>53.2</v>
      </c>
      <c r="K12" s="103"/>
      <c r="L12" s="104"/>
      <c r="M12" s="103"/>
      <c r="N12" s="104"/>
      <c r="O12" s="103">
        <v>53.2</v>
      </c>
      <c r="P12" s="104">
        <v>53.2</v>
      </c>
      <c r="Q12" s="103"/>
      <c r="R12" s="104"/>
      <c r="S12" s="103"/>
      <c r="T12" s="104"/>
      <c r="U12" s="103">
        <v>53.2</v>
      </c>
      <c r="V12" s="104">
        <v>53.2</v>
      </c>
      <c r="W12" s="103"/>
      <c r="X12" s="104"/>
      <c r="Y12" s="103"/>
      <c r="Z12" s="104"/>
      <c r="AA12" s="103"/>
      <c r="AB12" s="104"/>
      <c r="AC12" s="103"/>
      <c r="AD12" s="104"/>
      <c r="AE12" s="120"/>
      <c r="AF12" s="103" cm="1">
        <f t="array" ref="AF12">MAX(IF(MOD(COLUMN(G12:AD12)-COLUMN(C5),2)=0, G12:AD12))</f>
        <v>53.2</v>
      </c>
      <c r="AG12" s="104" cm="1">
        <f t="array" ref="AG12">MAX(IF(MOD(COLUMN(G12:AD12)-COLUMN(C5),2)=1, G12:AD12))</f>
        <v>53.2</v>
      </c>
    </row>
    <row r="13" spans="1:36" x14ac:dyDescent="0.25">
      <c r="A13" s="214"/>
      <c r="B13" s="189">
        <v>2</v>
      </c>
      <c r="C13" s="183">
        <v>2010</v>
      </c>
      <c r="D13" s="186">
        <v>60.4</v>
      </c>
      <c r="E13" s="186">
        <v>60.27</v>
      </c>
      <c r="F13" s="14" t="s">
        <v>24</v>
      </c>
      <c r="G13" s="112"/>
      <c r="H13" s="35"/>
      <c r="I13" s="112"/>
      <c r="J13" s="35"/>
      <c r="K13" s="112"/>
      <c r="L13" s="35"/>
      <c r="M13" s="112">
        <v>1</v>
      </c>
      <c r="N13" s="35">
        <v>1</v>
      </c>
      <c r="O13" s="112"/>
      <c r="P13" s="35"/>
      <c r="Q13" s="112"/>
      <c r="R13" s="35"/>
      <c r="S13" s="112">
        <v>2</v>
      </c>
      <c r="T13" s="35">
        <v>2</v>
      </c>
      <c r="U13" s="112"/>
      <c r="V13" s="35"/>
      <c r="W13" s="112"/>
      <c r="X13" s="35"/>
      <c r="Y13" s="112">
        <v>3</v>
      </c>
      <c r="Z13" s="35">
        <v>3</v>
      </c>
      <c r="AA13" s="112"/>
      <c r="AB13" s="35"/>
      <c r="AC13" s="112"/>
      <c r="AD13" s="35"/>
      <c r="AF13" s="115" cm="1">
        <f t="array" ref="AF13">MAX(IF(MOD(COLUMN(G13:AD13)-COLUMN(C8),2)=0, G13:AD13))</f>
        <v>3</v>
      </c>
      <c r="AG13" s="116" cm="1">
        <f t="array" ref="AG13">MAX(IF(MOD(COLUMN(G13:AD13)-COLUMN(C8),2)=1, G13:AD13))</f>
        <v>3</v>
      </c>
    </row>
    <row r="14" spans="1:36" x14ac:dyDescent="0.25">
      <c r="A14" s="214"/>
      <c r="B14" s="190"/>
      <c r="C14" s="184"/>
      <c r="D14" s="187"/>
      <c r="E14" s="187"/>
      <c r="F14" s="21" t="s">
        <v>65</v>
      </c>
      <c r="G14" s="101"/>
      <c r="H14" s="24"/>
      <c r="I14" s="101"/>
      <c r="J14" s="24"/>
      <c r="K14" s="101"/>
      <c r="L14" s="24"/>
      <c r="M14" s="101">
        <v>80</v>
      </c>
      <c r="N14" s="24">
        <v>4000</v>
      </c>
      <c r="O14" s="101"/>
      <c r="P14" s="24"/>
      <c r="Q14" s="101"/>
      <c r="R14" s="24"/>
      <c r="S14" s="101">
        <v>80</v>
      </c>
      <c r="T14" s="24">
        <v>4000</v>
      </c>
      <c r="U14" s="101"/>
      <c r="V14" s="24"/>
      <c r="W14" s="101"/>
      <c r="X14" s="24"/>
      <c r="Y14" s="101">
        <v>80</v>
      </c>
      <c r="Z14" s="24">
        <v>4000</v>
      </c>
      <c r="AA14" s="101"/>
      <c r="AB14" s="24"/>
      <c r="AC14" s="101"/>
      <c r="AD14" s="24"/>
      <c r="AF14" s="101">
        <f>G14+I14+K14+M14+O14+Q14+S14+U14++W14+Y14+AA14+AC14</f>
        <v>240</v>
      </c>
      <c r="AG14" s="102">
        <f>H14+J14+L14+N14+P14+R14+T14+V14++X14+Z14+AB14+AD14</f>
        <v>12000</v>
      </c>
      <c r="AH14" s="8"/>
      <c r="AI14" s="8"/>
      <c r="AJ14" s="8"/>
    </row>
    <row r="15" spans="1:36" ht="16.5" thickBot="1" x14ac:dyDescent="0.3">
      <c r="A15" s="214"/>
      <c r="B15" s="191"/>
      <c r="C15" s="185"/>
      <c r="D15" s="188"/>
      <c r="E15" s="188"/>
      <c r="F15" s="27" t="s">
        <v>27</v>
      </c>
      <c r="G15" s="103"/>
      <c r="H15" s="91"/>
      <c r="I15" s="103"/>
      <c r="J15" s="91"/>
      <c r="K15" s="103"/>
      <c r="L15" s="91"/>
      <c r="M15" s="103">
        <v>60.4</v>
      </c>
      <c r="N15" s="91">
        <v>60.4</v>
      </c>
      <c r="O15" s="103"/>
      <c r="P15" s="91"/>
      <c r="Q15" s="103"/>
      <c r="R15" s="91"/>
      <c r="S15" s="103">
        <v>60.4</v>
      </c>
      <c r="T15" s="91">
        <v>60.4</v>
      </c>
      <c r="U15" s="103"/>
      <c r="V15" s="91"/>
      <c r="W15" s="103"/>
      <c r="X15" s="91"/>
      <c r="Y15" s="103">
        <v>60.27</v>
      </c>
      <c r="Z15" s="91">
        <v>60.27</v>
      </c>
      <c r="AA15" s="103"/>
      <c r="AB15" s="91"/>
      <c r="AC15" s="103"/>
      <c r="AD15" s="91"/>
      <c r="AE15" s="120"/>
      <c r="AF15" s="103" cm="1">
        <f t="array" ref="AF15">MAX(IF(MOD(COLUMN(G15:AD15)-COLUMN(C8),2)=0, G15:AD15))</f>
        <v>60.4</v>
      </c>
      <c r="AG15" s="104" cm="1">
        <f t="array" ref="AG15">MAX(IF(MOD(COLUMN(G15:AD15)-COLUMN(C8),2)=1, G15:AD15))</f>
        <v>60.4</v>
      </c>
      <c r="AH15" s="8"/>
      <c r="AI15" s="8"/>
      <c r="AJ15" s="8"/>
    </row>
    <row r="16" spans="1:36" x14ac:dyDescent="0.25">
      <c r="A16" s="214"/>
      <c r="B16" s="189">
        <v>3</v>
      </c>
      <c r="C16" s="183">
        <v>2010</v>
      </c>
      <c r="D16" s="186">
        <v>69.2</v>
      </c>
      <c r="E16" s="186">
        <v>69.040000000000006</v>
      </c>
      <c r="F16" s="14" t="s">
        <v>24</v>
      </c>
      <c r="G16" s="112"/>
      <c r="H16" s="111"/>
      <c r="I16" s="112"/>
      <c r="J16" s="35"/>
      <c r="K16" s="112">
        <v>1</v>
      </c>
      <c r="L16" s="111">
        <v>1</v>
      </c>
      <c r="M16" s="112"/>
      <c r="N16" s="111"/>
      <c r="O16" s="112"/>
      <c r="P16" s="111"/>
      <c r="Q16" s="112">
        <v>2</v>
      </c>
      <c r="R16" s="111">
        <v>2</v>
      </c>
      <c r="S16" s="112"/>
      <c r="T16" s="111"/>
      <c r="U16" s="112"/>
      <c r="V16" s="111"/>
      <c r="W16" s="112">
        <v>3</v>
      </c>
      <c r="X16" s="111">
        <v>3</v>
      </c>
      <c r="Y16" s="112"/>
      <c r="Z16" s="111"/>
      <c r="AA16" s="112"/>
      <c r="AB16" s="111"/>
      <c r="AC16" s="112"/>
      <c r="AD16" s="111"/>
      <c r="AF16" s="112" cm="1">
        <f t="array" ref="AF16">MAX(IF(MOD(COLUMN(G16:AD16)-COLUMN(C9),2)=0, G16:AD16))</f>
        <v>3</v>
      </c>
      <c r="AG16" s="111" cm="1">
        <f t="array" ref="AG16">MAX(IF(MOD(COLUMN(G16:AD16)-COLUMN(C9),2)=1, G16:AD16))</f>
        <v>3</v>
      </c>
      <c r="AH16" s="8"/>
      <c r="AI16" s="8"/>
      <c r="AJ16" s="8"/>
    </row>
    <row r="17" spans="1:36" x14ac:dyDescent="0.25">
      <c r="A17" s="214"/>
      <c r="B17" s="190"/>
      <c r="C17" s="184"/>
      <c r="D17" s="187"/>
      <c r="E17" s="187"/>
      <c r="F17" s="21" t="s">
        <v>65</v>
      </c>
      <c r="G17" s="101"/>
      <c r="H17" s="102"/>
      <c r="I17" s="101"/>
      <c r="J17" s="24"/>
      <c r="K17" s="101">
        <v>60</v>
      </c>
      <c r="L17" s="102">
        <v>3000</v>
      </c>
      <c r="M17" s="101"/>
      <c r="N17" s="102"/>
      <c r="O17" s="101"/>
      <c r="P17" s="102"/>
      <c r="Q17" s="101">
        <v>60</v>
      </c>
      <c r="R17" s="102">
        <v>3000</v>
      </c>
      <c r="S17" s="101"/>
      <c r="T17" s="102"/>
      <c r="U17" s="101"/>
      <c r="V17" s="102"/>
      <c r="W17" s="101">
        <v>60</v>
      </c>
      <c r="X17" s="102">
        <v>3000</v>
      </c>
      <c r="Y17" s="101"/>
      <c r="Z17" s="102"/>
      <c r="AA17" s="101"/>
      <c r="AB17" s="102"/>
      <c r="AC17" s="101"/>
      <c r="AD17" s="102"/>
      <c r="AF17" s="101">
        <f>G17+I17+K17+M17+O17+Q17+S17+U17++W17+Y17+AA17+AC17</f>
        <v>180</v>
      </c>
      <c r="AG17" s="102">
        <f>H17+J17+L17+N17+P17+R17+T17+V17++X17+Z17+AB17+AD17</f>
        <v>9000</v>
      </c>
      <c r="AH17" s="8"/>
      <c r="AI17" s="8"/>
      <c r="AJ17" s="8"/>
    </row>
    <row r="18" spans="1:36" ht="16.5" thickBot="1" x14ac:dyDescent="0.3">
      <c r="A18" s="214"/>
      <c r="B18" s="191"/>
      <c r="C18" s="185"/>
      <c r="D18" s="188"/>
      <c r="E18" s="188"/>
      <c r="F18" s="27" t="s">
        <v>27</v>
      </c>
      <c r="G18" s="103"/>
      <c r="H18" s="104"/>
      <c r="I18" s="103"/>
      <c r="J18" s="91"/>
      <c r="K18" s="103">
        <v>69.2</v>
      </c>
      <c r="L18" s="104">
        <v>69.2</v>
      </c>
      <c r="M18" s="103"/>
      <c r="N18" s="104"/>
      <c r="O18" s="103"/>
      <c r="P18" s="104"/>
      <c r="Q18" s="103">
        <v>69.2</v>
      </c>
      <c r="R18" s="104">
        <v>69.2</v>
      </c>
      <c r="S18" s="103"/>
      <c r="T18" s="104"/>
      <c r="U18" s="103"/>
      <c r="V18" s="104"/>
      <c r="W18" s="103">
        <v>69.2</v>
      </c>
      <c r="X18" s="104">
        <v>69.2</v>
      </c>
      <c r="Y18" s="103"/>
      <c r="Z18" s="104"/>
      <c r="AA18" s="103"/>
      <c r="AB18" s="104"/>
      <c r="AC18" s="103"/>
      <c r="AD18" s="104"/>
      <c r="AE18" s="120"/>
      <c r="AF18" s="103" cm="1">
        <f t="array" ref="AF18">MAX(IF(MOD(COLUMN(G18:AD18)-COLUMN(C11),2)=0, G18:AD18))</f>
        <v>69.2</v>
      </c>
      <c r="AG18" s="104" cm="1">
        <f t="array" ref="AG18">MAX(IF(MOD(COLUMN(G18:AD18)-COLUMN(C11),2)=1, G18:AD18))</f>
        <v>69.2</v>
      </c>
      <c r="AH18" s="8"/>
      <c r="AI18" s="8"/>
      <c r="AJ18" s="8"/>
    </row>
    <row r="19" spans="1:36" x14ac:dyDescent="0.25">
      <c r="A19" s="214"/>
      <c r="B19" s="189">
        <v>4</v>
      </c>
      <c r="C19" s="183">
        <v>2010</v>
      </c>
      <c r="D19" s="186">
        <v>70.599999999999994</v>
      </c>
      <c r="E19" s="186">
        <v>70.510000000000005</v>
      </c>
      <c r="F19" s="14" t="s">
        <v>24</v>
      </c>
      <c r="G19" s="112"/>
      <c r="H19" s="111"/>
      <c r="I19" s="112"/>
      <c r="J19" s="35"/>
      <c r="K19" s="112">
        <v>1</v>
      </c>
      <c r="L19" s="111">
        <v>1</v>
      </c>
      <c r="M19" s="112"/>
      <c r="N19" s="111"/>
      <c r="O19" s="112"/>
      <c r="P19" s="111"/>
      <c r="Q19" s="112">
        <v>2</v>
      </c>
      <c r="R19" s="111">
        <v>2</v>
      </c>
      <c r="S19" s="112"/>
      <c r="T19" s="111"/>
      <c r="U19" s="112"/>
      <c r="V19" s="111"/>
      <c r="W19" s="112">
        <v>3</v>
      </c>
      <c r="X19" s="111">
        <v>3</v>
      </c>
      <c r="Y19" s="112"/>
      <c r="Z19" s="111"/>
      <c r="AA19" s="112"/>
      <c r="AB19" s="111"/>
      <c r="AC19" s="112"/>
      <c r="AD19" s="111"/>
      <c r="AF19" s="112" cm="1">
        <f t="array" ref="AF19">MAX(IF(MOD(COLUMN(G19:AD19)-COLUMN(C12),2)=0, G19:AD19))</f>
        <v>3</v>
      </c>
      <c r="AG19" s="111" cm="1">
        <f t="array" ref="AG19">MAX(IF(MOD(COLUMN(G19:AD19)-COLUMN(C12),2)=1, G19:AD19))</f>
        <v>3</v>
      </c>
      <c r="AH19" s="8"/>
      <c r="AI19" s="8"/>
      <c r="AJ19" s="8"/>
    </row>
    <row r="20" spans="1:36" x14ac:dyDescent="0.25">
      <c r="A20" s="214"/>
      <c r="B20" s="190"/>
      <c r="C20" s="184"/>
      <c r="D20" s="187"/>
      <c r="E20" s="187"/>
      <c r="F20" s="21" t="s">
        <v>65</v>
      </c>
      <c r="G20" s="101"/>
      <c r="H20" s="102"/>
      <c r="I20" s="101"/>
      <c r="J20" s="24"/>
      <c r="K20" s="101">
        <v>60</v>
      </c>
      <c r="L20" s="102">
        <v>3000</v>
      </c>
      <c r="M20" s="101"/>
      <c r="N20" s="102"/>
      <c r="O20" s="101"/>
      <c r="P20" s="102"/>
      <c r="Q20" s="101">
        <v>60</v>
      </c>
      <c r="R20" s="102">
        <v>3000</v>
      </c>
      <c r="S20" s="101"/>
      <c r="T20" s="102"/>
      <c r="U20" s="101"/>
      <c r="V20" s="102"/>
      <c r="W20" s="101">
        <v>60</v>
      </c>
      <c r="X20" s="102">
        <v>3000</v>
      </c>
      <c r="Y20" s="101"/>
      <c r="Z20" s="102"/>
      <c r="AA20" s="101"/>
      <c r="AB20" s="102"/>
      <c r="AC20" s="101"/>
      <c r="AD20" s="102"/>
      <c r="AF20" s="101">
        <f>G20+I20+K20+M20+O20+Q20+S20+U20++W20+Y20+AA20+AC20</f>
        <v>180</v>
      </c>
      <c r="AG20" s="102">
        <f>H20+J20+L20+N20+P20+R20+T20+V20++X20+Z20+AB20+AD20</f>
        <v>9000</v>
      </c>
      <c r="AH20" s="8"/>
      <c r="AI20" s="8"/>
      <c r="AJ20" s="8"/>
    </row>
    <row r="21" spans="1:36" ht="16.5" thickBot="1" x14ac:dyDescent="0.3">
      <c r="A21" s="214"/>
      <c r="B21" s="191"/>
      <c r="C21" s="185"/>
      <c r="D21" s="188"/>
      <c r="E21" s="188"/>
      <c r="F21" s="27" t="s">
        <v>27</v>
      </c>
      <c r="G21" s="103"/>
      <c r="H21" s="104"/>
      <c r="I21" s="103"/>
      <c r="J21" s="91"/>
      <c r="K21" s="103">
        <v>70.599999999999994</v>
      </c>
      <c r="L21" s="104">
        <v>70.599999999999994</v>
      </c>
      <c r="M21" s="103"/>
      <c r="N21" s="104"/>
      <c r="O21" s="103"/>
      <c r="P21" s="104"/>
      <c r="Q21" s="103">
        <v>70.599999999999994</v>
      </c>
      <c r="R21" s="104">
        <v>70.599999999999994</v>
      </c>
      <c r="S21" s="103"/>
      <c r="T21" s="104"/>
      <c r="U21" s="103"/>
      <c r="V21" s="104"/>
      <c r="W21" s="103">
        <v>70.599999999999994</v>
      </c>
      <c r="X21" s="104">
        <v>70.599999999999994</v>
      </c>
      <c r="Y21" s="103"/>
      <c r="Z21" s="104"/>
      <c r="AA21" s="103"/>
      <c r="AB21" s="104"/>
      <c r="AC21" s="103"/>
      <c r="AD21" s="104"/>
      <c r="AE21" s="120"/>
      <c r="AF21" s="103" cm="1">
        <f t="array" ref="AF21">MAX(IF(MOD(COLUMN(G21:AD21)-COLUMN(C14),2)=0, G21:AD21))</f>
        <v>70.599999999999994</v>
      </c>
      <c r="AG21" s="104" cm="1">
        <f t="array" ref="AG21">MAX(IF(MOD(COLUMN(G21:AD21)-COLUMN(C14),2)=1, G21:AD21))</f>
        <v>70.599999999999994</v>
      </c>
      <c r="AH21" s="8"/>
      <c r="AI21" s="8"/>
      <c r="AJ21" s="8"/>
    </row>
    <row r="22" spans="1:36" x14ac:dyDescent="0.25">
      <c r="A22" s="214"/>
      <c r="B22" s="189">
        <v>5</v>
      </c>
      <c r="C22" s="183">
        <v>2010</v>
      </c>
      <c r="D22" s="186">
        <v>50.4</v>
      </c>
      <c r="E22" s="186">
        <v>50.4</v>
      </c>
      <c r="F22" s="14" t="s">
        <v>24</v>
      </c>
      <c r="G22" s="112"/>
      <c r="H22" s="111"/>
      <c r="I22" s="112">
        <v>1</v>
      </c>
      <c r="J22" s="35">
        <v>1</v>
      </c>
      <c r="K22" s="112"/>
      <c r="L22" s="111"/>
      <c r="M22" s="112"/>
      <c r="N22" s="111"/>
      <c r="O22" s="112"/>
      <c r="P22" s="111"/>
      <c r="Q22" s="112">
        <v>2</v>
      </c>
      <c r="R22" s="111">
        <v>2</v>
      </c>
      <c r="S22" s="112"/>
      <c r="T22" s="111"/>
      <c r="U22" s="112">
        <v>3</v>
      </c>
      <c r="V22" s="111">
        <v>3</v>
      </c>
      <c r="W22" s="112"/>
      <c r="X22" s="111"/>
      <c r="Y22" s="112"/>
      <c r="Z22" s="111"/>
      <c r="AA22" s="112"/>
      <c r="AB22" s="111"/>
      <c r="AC22" s="112"/>
      <c r="AD22" s="111"/>
      <c r="AF22" s="112" cm="1">
        <f t="array" ref="AF22">MAX(IF(MOD(COLUMN(G22:AD22)-COLUMN(C15),2)=0, G22:AD22))</f>
        <v>3</v>
      </c>
      <c r="AG22" s="111" cm="1">
        <f t="array" ref="AG22">MAX(IF(MOD(COLUMN(G22:AD22)-COLUMN(C15),2)=1, G22:AD22))</f>
        <v>3</v>
      </c>
      <c r="AH22" s="8"/>
      <c r="AI22" s="8"/>
      <c r="AJ22" s="8"/>
    </row>
    <row r="23" spans="1:36" x14ac:dyDescent="0.25">
      <c r="A23" s="214"/>
      <c r="B23" s="190"/>
      <c r="C23" s="184"/>
      <c r="D23" s="187"/>
      <c r="E23" s="187"/>
      <c r="F23" s="21" t="s">
        <v>65</v>
      </c>
      <c r="G23" s="101"/>
      <c r="H23" s="102"/>
      <c r="I23" s="101">
        <v>40</v>
      </c>
      <c r="J23" s="24">
        <v>2000</v>
      </c>
      <c r="K23" s="101"/>
      <c r="L23" s="102"/>
      <c r="M23" s="101"/>
      <c r="N23" s="102"/>
      <c r="O23" s="101"/>
      <c r="P23" s="102"/>
      <c r="Q23" s="101">
        <v>40</v>
      </c>
      <c r="R23" s="102">
        <v>2000</v>
      </c>
      <c r="S23" s="101"/>
      <c r="T23" s="102"/>
      <c r="U23" s="101">
        <v>40</v>
      </c>
      <c r="V23" s="102">
        <v>2000</v>
      </c>
      <c r="W23" s="101"/>
      <c r="X23" s="102"/>
      <c r="Y23" s="101"/>
      <c r="Z23" s="102"/>
      <c r="AA23" s="101"/>
      <c r="AB23" s="102"/>
      <c r="AC23" s="101"/>
      <c r="AD23" s="102"/>
      <c r="AF23" s="101">
        <f>G23+I23+K23+M23+O23+Q23+S23+U23++W23+Y23+AA23+AC23</f>
        <v>120</v>
      </c>
      <c r="AG23" s="102">
        <f>H23+J23+L23+N23+P23+R23+T23+V23++X23+Z23+AB23+AD23</f>
        <v>6000</v>
      </c>
      <c r="AH23" s="8"/>
      <c r="AI23" s="8"/>
      <c r="AJ23" s="8"/>
    </row>
    <row r="24" spans="1:36" ht="16.5" thickBot="1" x14ac:dyDescent="0.3">
      <c r="A24" s="214"/>
      <c r="B24" s="191"/>
      <c r="C24" s="185"/>
      <c r="D24" s="188"/>
      <c r="E24" s="188"/>
      <c r="F24" s="27" t="s">
        <v>27</v>
      </c>
      <c r="G24" s="103"/>
      <c r="H24" s="104"/>
      <c r="I24" s="103">
        <v>50.4</v>
      </c>
      <c r="J24" s="91">
        <v>50.4</v>
      </c>
      <c r="K24" s="103"/>
      <c r="L24" s="104"/>
      <c r="M24" s="103"/>
      <c r="N24" s="104"/>
      <c r="O24" s="103"/>
      <c r="P24" s="104"/>
      <c r="Q24" s="103">
        <v>50.4</v>
      </c>
      <c r="R24" s="104">
        <v>50.4</v>
      </c>
      <c r="S24" s="103"/>
      <c r="T24" s="104"/>
      <c r="U24" s="103">
        <v>50.4</v>
      </c>
      <c r="V24" s="104">
        <v>50.4</v>
      </c>
      <c r="W24" s="103"/>
      <c r="X24" s="104"/>
      <c r="Y24" s="103"/>
      <c r="Z24" s="104"/>
      <c r="AA24" s="103"/>
      <c r="AB24" s="104"/>
      <c r="AC24" s="103"/>
      <c r="AD24" s="104"/>
      <c r="AE24" s="120"/>
      <c r="AF24" s="103" cm="1">
        <f t="array" ref="AF24">MAX(IF(MOD(COLUMN(G24:AD24)-COLUMN(C17),2)=0, G24:AD24))</f>
        <v>50.4</v>
      </c>
      <c r="AG24" s="104" cm="1">
        <f t="array" ref="AG24">MAX(IF(MOD(COLUMN(G24:AD24)-COLUMN(C17),2)=1, G24:AD24))</f>
        <v>50.4</v>
      </c>
      <c r="AH24" s="8"/>
      <c r="AI24" s="8"/>
      <c r="AJ24" s="8"/>
    </row>
    <row r="25" spans="1:36" x14ac:dyDescent="0.25">
      <c r="A25" s="214"/>
      <c r="B25" s="189">
        <v>6</v>
      </c>
      <c r="C25" s="183">
        <v>2010</v>
      </c>
      <c r="D25" s="186">
        <v>58.6</v>
      </c>
      <c r="E25" s="186">
        <v>58.6</v>
      </c>
      <c r="F25" s="14" t="s">
        <v>24</v>
      </c>
      <c r="G25" s="112"/>
      <c r="H25" s="111"/>
      <c r="I25" s="112"/>
      <c r="J25" s="35"/>
      <c r="K25" s="112"/>
      <c r="L25" s="111"/>
      <c r="M25" s="112"/>
      <c r="N25" s="111"/>
      <c r="O25" s="112">
        <v>1</v>
      </c>
      <c r="P25" s="111">
        <v>1</v>
      </c>
      <c r="Q25" s="112"/>
      <c r="R25" s="111"/>
      <c r="S25" s="112">
        <v>2</v>
      </c>
      <c r="T25" s="111">
        <v>2</v>
      </c>
      <c r="U25" s="112"/>
      <c r="V25" s="111"/>
      <c r="W25" s="112"/>
      <c r="X25" s="111"/>
      <c r="Y25" s="112">
        <v>3</v>
      </c>
      <c r="Z25" s="111">
        <v>3</v>
      </c>
      <c r="AA25" s="112"/>
      <c r="AB25" s="111"/>
      <c r="AC25" s="112"/>
      <c r="AD25" s="111"/>
      <c r="AF25" s="112" cm="1">
        <f t="array" ref="AF25">MAX(IF(MOD(COLUMN(G25:AD25)-COLUMN(C18),2)=0, G25:AD25))</f>
        <v>3</v>
      </c>
      <c r="AG25" s="111" cm="1">
        <f t="array" ref="AG25">MAX(IF(MOD(COLUMN(G25:AD25)-COLUMN(C18),2)=1, G25:AD25))</f>
        <v>3</v>
      </c>
    </row>
    <row r="26" spans="1:36" x14ac:dyDescent="0.25">
      <c r="A26" s="214"/>
      <c r="B26" s="190"/>
      <c r="C26" s="184"/>
      <c r="D26" s="187"/>
      <c r="E26" s="187"/>
      <c r="F26" s="21" t="s">
        <v>65</v>
      </c>
      <c r="G26" s="101"/>
      <c r="H26" s="102"/>
      <c r="I26" s="101"/>
      <c r="J26" s="24"/>
      <c r="K26" s="101"/>
      <c r="L26" s="102"/>
      <c r="M26" s="101"/>
      <c r="N26" s="102"/>
      <c r="O26" s="101">
        <v>40</v>
      </c>
      <c r="P26" s="102">
        <v>2000</v>
      </c>
      <c r="Q26" s="101"/>
      <c r="R26" s="102"/>
      <c r="S26" s="101">
        <v>60</v>
      </c>
      <c r="T26" s="102">
        <v>3000</v>
      </c>
      <c r="U26" s="101"/>
      <c r="V26" s="102"/>
      <c r="W26" s="101"/>
      <c r="X26" s="102"/>
      <c r="Y26" s="101">
        <v>40</v>
      </c>
      <c r="Z26" s="102">
        <v>2000</v>
      </c>
      <c r="AA26" s="101"/>
      <c r="AB26" s="102"/>
      <c r="AC26" s="101"/>
      <c r="AD26" s="102"/>
      <c r="AF26" s="101">
        <f>G26+I26+K26+M26+O26+Q26+S26+U26++W26+Y26+AA26+AC26</f>
        <v>140</v>
      </c>
      <c r="AG26" s="102">
        <f>H26+J26+L26+N26+P26+R26+T26+V26++X26+Z26+AB26+AD26</f>
        <v>7000</v>
      </c>
    </row>
    <row r="27" spans="1:36" ht="16.5" thickBot="1" x14ac:dyDescent="0.3">
      <c r="A27" s="214"/>
      <c r="B27" s="191"/>
      <c r="C27" s="185"/>
      <c r="D27" s="188"/>
      <c r="E27" s="188"/>
      <c r="F27" s="27" t="s">
        <v>27</v>
      </c>
      <c r="G27" s="103"/>
      <c r="H27" s="104"/>
      <c r="I27" s="103"/>
      <c r="J27" s="91"/>
      <c r="K27" s="103"/>
      <c r="L27" s="104"/>
      <c r="M27" s="103"/>
      <c r="N27" s="104"/>
      <c r="O27" s="103">
        <v>58.6</v>
      </c>
      <c r="P27" s="104">
        <v>58.6</v>
      </c>
      <c r="Q27" s="103"/>
      <c r="R27" s="104"/>
      <c r="S27" s="103">
        <v>58.6</v>
      </c>
      <c r="T27" s="104">
        <v>58.6</v>
      </c>
      <c r="U27" s="103"/>
      <c r="V27" s="104"/>
      <c r="W27" s="103"/>
      <c r="X27" s="104"/>
      <c r="Y27" s="103">
        <v>58.6</v>
      </c>
      <c r="Z27" s="104">
        <v>58.6</v>
      </c>
      <c r="AA27" s="103"/>
      <c r="AB27" s="104"/>
      <c r="AC27" s="103"/>
      <c r="AD27" s="104"/>
      <c r="AE27" s="120"/>
      <c r="AF27" s="103" cm="1">
        <f t="array" ref="AF27">MAX(IF(MOD(COLUMN(G27:AD27)-COLUMN(C20),2)=0, G27:AD27))</f>
        <v>58.6</v>
      </c>
      <c r="AG27" s="104" cm="1">
        <f t="array" ref="AG27">MAX(IF(MOD(COLUMN(G27:AD27)-COLUMN(C20),2)=1, G27:AD27))</f>
        <v>58.6</v>
      </c>
    </row>
    <row r="28" spans="1:36" x14ac:dyDescent="0.25">
      <c r="A28" s="214"/>
      <c r="B28" s="189">
        <v>7</v>
      </c>
      <c r="C28" s="183">
        <v>2010</v>
      </c>
      <c r="D28" s="186">
        <v>23.6</v>
      </c>
      <c r="E28" s="186">
        <v>23.6</v>
      </c>
      <c r="F28" s="14" t="s">
        <v>24</v>
      </c>
      <c r="G28" s="112"/>
      <c r="H28" s="111"/>
      <c r="I28" s="112">
        <v>1</v>
      </c>
      <c r="J28" s="35">
        <v>1</v>
      </c>
      <c r="K28" s="112"/>
      <c r="L28" s="111"/>
      <c r="M28" s="112"/>
      <c r="N28" s="111"/>
      <c r="O28" s="112">
        <v>2</v>
      </c>
      <c r="P28" s="111">
        <v>2</v>
      </c>
      <c r="Q28" s="112"/>
      <c r="R28" s="111"/>
      <c r="S28" s="112"/>
      <c r="T28" s="111"/>
      <c r="U28" s="112">
        <v>3</v>
      </c>
      <c r="V28" s="111">
        <v>3</v>
      </c>
      <c r="W28" s="112"/>
      <c r="X28" s="111"/>
      <c r="Y28" s="112"/>
      <c r="Z28" s="111"/>
      <c r="AA28" s="112"/>
      <c r="AB28" s="111"/>
      <c r="AC28" s="112"/>
      <c r="AD28" s="111"/>
      <c r="AF28" s="112" cm="1">
        <f t="array" ref="AF28">MAX(IF(MOD(COLUMN(G28:AD28)-COLUMN(C21),2)=0, G28:AD28))</f>
        <v>3</v>
      </c>
      <c r="AG28" s="111" cm="1">
        <f t="array" ref="AG28">MAX(IF(MOD(COLUMN(G28:AD28)-COLUMN(C21),2)=1, G28:AD28))</f>
        <v>3</v>
      </c>
    </row>
    <row r="29" spans="1:36" x14ac:dyDescent="0.25">
      <c r="A29" s="214"/>
      <c r="B29" s="190"/>
      <c r="C29" s="184"/>
      <c r="D29" s="187"/>
      <c r="E29" s="187"/>
      <c r="F29" s="21" t="s">
        <v>65</v>
      </c>
      <c r="G29" s="101"/>
      <c r="H29" s="102"/>
      <c r="I29" s="101">
        <v>20</v>
      </c>
      <c r="J29" s="24">
        <v>1000</v>
      </c>
      <c r="K29" s="101"/>
      <c r="L29" s="102"/>
      <c r="M29" s="101"/>
      <c r="N29" s="102"/>
      <c r="O29" s="101">
        <v>20</v>
      </c>
      <c r="P29" s="102">
        <v>1000</v>
      </c>
      <c r="Q29" s="101"/>
      <c r="R29" s="102"/>
      <c r="S29" s="101"/>
      <c r="T29" s="102"/>
      <c r="U29" s="101">
        <v>20</v>
      </c>
      <c r="V29" s="102">
        <v>1000</v>
      </c>
      <c r="W29" s="101"/>
      <c r="X29" s="102"/>
      <c r="Y29" s="101"/>
      <c r="Z29" s="102"/>
      <c r="AA29" s="101"/>
      <c r="AB29" s="102"/>
      <c r="AC29" s="101"/>
      <c r="AD29" s="102"/>
      <c r="AF29" s="101">
        <f>G29+I29+K29+M29+O29+Q29+S29+U29++W29+Y29+AA29+AC29</f>
        <v>60</v>
      </c>
      <c r="AG29" s="102">
        <f>H29+J29+L29+N29+P29+R29+T29+V29++X29+Z29+AB29+AD29</f>
        <v>3000</v>
      </c>
    </row>
    <row r="30" spans="1:36" ht="16.5" thickBot="1" x14ac:dyDescent="0.3">
      <c r="A30" s="214"/>
      <c r="B30" s="191"/>
      <c r="C30" s="185"/>
      <c r="D30" s="188"/>
      <c r="E30" s="188"/>
      <c r="F30" s="27" t="s">
        <v>27</v>
      </c>
      <c r="G30" s="103"/>
      <c r="H30" s="104"/>
      <c r="I30" s="103">
        <v>23.6</v>
      </c>
      <c r="J30" s="91">
        <v>23.6</v>
      </c>
      <c r="K30" s="103"/>
      <c r="L30" s="104"/>
      <c r="M30" s="103"/>
      <c r="N30" s="104"/>
      <c r="O30" s="103">
        <v>23.6</v>
      </c>
      <c r="P30" s="104">
        <v>23.6</v>
      </c>
      <c r="Q30" s="103"/>
      <c r="R30" s="104"/>
      <c r="S30" s="103"/>
      <c r="T30" s="104"/>
      <c r="U30" s="103">
        <v>23.6</v>
      </c>
      <c r="V30" s="104">
        <v>23.6</v>
      </c>
      <c r="W30" s="103"/>
      <c r="X30" s="104"/>
      <c r="Y30" s="103"/>
      <c r="Z30" s="104"/>
      <c r="AA30" s="103"/>
      <c r="AB30" s="104"/>
      <c r="AC30" s="103"/>
      <c r="AD30" s="104"/>
      <c r="AE30" s="120"/>
      <c r="AF30" s="103" cm="1">
        <f t="array" ref="AF30">MAX(IF(MOD(COLUMN(G30:AD30)-COLUMN(C23),2)=0, G30:AD30))</f>
        <v>23.6</v>
      </c>
      <c r="AG30" s="104" cm="1">
        <f t="array" ref="AG30">MAX(IF(MOD(COLUMN(G30:AD30)-COLUMN(C23),2)=1, G30:AD30))</f>
        <v>23.6</v>
      </c>
    </row>
    <row r="31" spans="1:36" x14ac:dyDescent="0.25">
      <c r="A31" s="214"/>
      <c r="B31" s="189">
        <v>8</v>
      </c>
      <c r="C31" s="183">
        <v>2010</v>
      </c>
      <c r="D31" s="186">
        <v>61.6</v>
      </c>
      <c r="E31" s="186">
        <v>61.6</v>
      </c>
      <c r="F31" s="14" t="s">
        <v>24</v>
      </c>
      <c r="G31" s="112"/>
      <c r="H31" s="111"/>
      <c r="I31" s="112"/>
      <c r="J31" s="35"/>
      <c r="K31" s="112"/>
      <c r="L31" s="111"/>
      <c r="M31" s="112">
        <v>1</v>
      </c>
      <c r="N31" s="111">
        <v>1</v>
      </c>
      <c r="O31" s="112"/>
      <c r="P31" s="111"/>
      <c r="Q31" s="112"/>
      <c r="R31" s="111"/>
      <c r="S31" s="112">
        <v>2</v>
      </c>
      <c r="T31" s="111">
        <v>2</v>
      </c>
      <c r="U31" s="112"/>
      <c r="V31" s="111"/>
      <c r="W31" s="112"/>
      <c r="X31" s="111"/>
      <c r="Y31" s="112">
        <v>3</v>
      </c>
      <c r="Z31" s="111">
        <v>3</v>
      </c>
      <c r="AA31" s="112"/>
      <c r="AB31" s="111"/>
      <c r="AC31" s="112"/>
      <c r="AD31" s="111"/>
      <c r="AF31" s="112" cm="1">
        <f t="array" ref="AF31">MAX(IF(MOD(COLUMN(G31:AD31)-COLUMN(C24),2)=0, G31:AD31))</f>
        <v>3</v>
      </c>
      <c r="AG31" s="111" cm="1">
        <f t="array" ref="AG31">MAX(IF(MOD(COLUMN(G31:AD31)-COLUMN(C24),2)=1, G31:AD31))</f>
        <v>3</v>
      </c>
    </row>
    <row r="32" spans="1:36" x14ac:dyDescent="0.25">
      <c r="A32" s="214"/>
      <c r="B32" s="190"/>
      <c r="C32" s="184"/>
      <c r="D32" s="187"/>
      <c r="E32" s="187"/>
      <c r="F32" s="21" t="s">
        <v>65</v>
      </c>
      <c r="G32" s="101"/>
      <c r="H32" s="102"/>
      <c r="I32" s="101"/>
      <c r="J32" s="24"/>
      <c r="K32" s="101"/>
      <c r="L32" s="102"/>
      <c r="M32" s="101">
        <v>40</v>
      </c>
      <c r="N32" s="102">
        <v>2000</v>
      </c>
      <c r="O32" s="101"/>
      <c r="P32" s="102"/>
      <c r="Q32" s="101"/>
      <c r="R32" s="102"/>
      <c r="S32" s="101">
        <v>40</v>
      </c>
      <c r="T32" s="102">
        <v>2000</v>
      </c>
      <c r="U32" s="101"/>
      <c r="V32" s="102"/>
      <c r="W32" s="101"/>
      <c r="X32" s="102"/>
      <c r="Y32" s="101">
        <v>40</v>
      </c>
      <c r="Z32" s="102">
        <v>2000</v>
      </c>
      <c r="AA32" s="101"/>
      <c r="AB32" s="102"/>
      <c r="AC32" s="101"/>
      <c r="AD32" s="102"/>
      <c r="AF32" s="101">
        <f>G32+I32+K32+M32+O32+Q32+S32+U32++W32+Y32+AA32+AC32</f>
        <v>120</v>
      </c>
      <c r="AG32" s="102">
        <f>H32+J32+L32+N32+P32+R32+T32+V32++X32+Z32+AB32+AD32</f>
        <v>6000</v>
      </c>
    </row>
    <row r="33" spans="1:33" ht="16.5" thickBot="1" x14ac:dyDescent="0.3">
      <c r="A33" s="214"/>
      <c r="B33" s="191"/>
      <c r="C33" s="185"/>
      <c r="D33" s="188"/>
      <c r="E33" s="188"/>
      <c r="F33" s="27" t="s">
        <v>28</v>
      </c>
      <c r="G33" s="103"/>
      <c r="H33" s="104"/>
      <c r="I33" s="103"/>
      <c r="J33" s="91"/>
      <c r="K33" s="103"/>
      <c r="L33" s="104"/>
      <c r="M33" s="103">
        <v>61.6</v>
      </c>
      <c r="N33" s="104">
        <v>61.6</v>
      </c>
      <c r="O33" s="103"/>
      <c r="P33" s="104"/>
      <c r="Q33" s="103"/>
      <c r="R33" s="104"/>
      <c r="S33" s="103">
        <v>61.6</v>
      </c>
      <c r="T33" s="104">
        <v>61.6</v>
      </c>
      <c r="U33" s="103"/>
      <c r="V33" s="104"/>
      <c r="W33" s="103"/>
      <c r="X33" s="104"/>
      <c r="Y33" s="103">
        <v>61.6</v>
      </c>
      <c r="Z33" s="104">
        <v>61.6</v>
      </c>
      <c r="AA33" s="103"/>
      <c r="AB33" s="104"/>
      <c r="AC33" s="103"/>
      <c r="AD33" s="104"/>
      <c r="AE33" s="120"/>
      <c r="AF33" s="103" cm="1">
        <f t="array" ref="AF33">MAX(IF(MOD(COLUMN(G33:AD33)-COLUMN(C26),2)=0, G33:AD33))</f>
        <v>61.6</v>
      </c>
      <c r="AG33" s="104" cm="1">
        <f t="array" ref="AG33">MAX(IF(MOD(COLUMN(G33:AD33)-COLUMN(C26),2)=1, G33:AD33))</f>
        <v>61.6</v>
      </c>
    </row>
    <row r="34" spans="1:33" x14ac:dyDescent="0.25">
      <c r="A34" s="214"/>
      <c r="B34" s="189">
        <v>9</v>
      </c>
      <c r="C34" s="183">
        <v>2010</v>
      </c>
      <c r="D34" s="186">
        <v>38.299999999999997</v>
      </c>
      <c r="E34" s="186">
        <v>38.299999999999997</v>
      </c>
      <c r="F34" s="14" t="s">
        <v>24</v>
      </c>
      <c r="G34" s="112"/>
      <c r="H34" s="111"/>
      <c r="I34" s="112"/>
      <c r="J34" s="35"/>
      <c r="K34" s="112"/>
      <c r="L34" s="111"/>
      <c r="M34" s="112">
        <v>1</v>
      </c>
      <c r="N34" s="111">
        <v>1</v>
      </c>
      <c r="O34" s="112"/>
      <c r="P34" s="111"/>
      <c r="Q34" s="112"/>
      <c r="R34" s="111"/>
      <c r="S34" s="112">
        <v>2</v>
      </c>
      <c r="T34" s="111">
        <v>2</v>
      </c>
      <c r="U34" s="112"/>
      <c r="V34" s="111"/>
      <c r="W34" s="112"/>
      <c r="X34" s="111"/>
      <c r="Y34" s="112">
        <v>3</v>
      </c>
      <c r="Z34" s="111">
        <v>3</v>
      </c>
      <c r="AA34" s="112"/>
      <c r="AB34" s="111"/>
      <c r="AC34" s="112"/>
      <c r="AD34" s="111"/>
      <c r="AF34" s="112" cm="1">
        <f t="array" ref="AF34">MAX(IF(MOD(COLUMN(G34:AD34)-COLUMN(C27),2)=0, G34:AD34))</f>
        <v>3</v>
      </c>
      <c r="AG34" s="111" cm="1">
        <f t="array" ref="AG34">MAX(IF(MOD(COLUMN(G34:AD34)-COLUMN(C27),2)=1, G34:AD34))</f>
        <v>3</v>
      </c>
    </row>
    <row r="35" spans="1:33" x14ac:dyDescent="0.25">
      <c r="A35" s="214"/>
      <c r="B35" s="190"/>
      <c r="C35" s="184"/>
      <c r="D35" s="187"/>
      <c r="E35" s="187"/>
      <c r="F35" s="21" t="s">
        <v>65</v>
      </c>
      <c r="G35" s="101"/>
      <c r="H35" s="102"/>
      <c r="I35" s="101"/>
      <c r="J35" s="24"/>
      <c r="K35" s="101"/>
      <c r="L35" s="102"/>
      <c r="M35" s="101">
        <v>40</v>
      </c>
      <c r="N35" s="102">
        <v>2000</v>
      </c>
      <c r="O35" s="101"/>
      <c r="P35" s="102"/>
      <c r="Q35" s="101"/>
      <c r="R35" s="102"/>
      <c r="S35" s="101">
        <v>40</v>
      </c>
      <c r="T35" s="102">
        <v>2000</v>
      </c>
      <c r="U35" s="101"/>
      <c r="V35" s="102"/>
      <c r="W35" s="101"/>
      <c r="X35" s="102"/>
      <c r="Y35" s="101">
        <v>40</v>
      </c>
      <c r="Z35" s="102">
        <v>2000</v>
      </c>
      <c r="AA35" s="101"/>
      <c r="AB35" s="102"/>
      <c r="AC35" s="101"/>
      <c r="AD35" s="102"/>
      <c r="AF35" s="101">
        <f>G35+I35+K35+M35+O35+Q35+S35+U35++W35+Y35+AA35+AC35</f>
        <v>120</v>
      </c>
      <c r="AG35" s="102">
        <f>H35+J35+L35+N35+P35+R35+T35+V35++X35+Z35+AB35+AD35</f>
        <v>6000</v>
      </c>
    </row>
    <row r="36" spans="1:33" ht="16.5" thickBot="1" x14ac:dyDescent="0.3">
      <c r="A36" s="214"/>
      <c r="B36" s="191"/>
      <c r="C36" s="185"/>
      <c r="D36" s="188"/>
      <c r="E36" s="188"/>
      <c r="F36" s="27" t="s">
        <v>27</v>
      </c>
      <c r="G36" s="103"/>
      <c r="H36" s="104"/>
      <c r="I36" s="103"/>
      <c r="J36" s="91"/>
      <c r="K36" s="103"/>
      <c r="L36" s="104"/>
      <c r="M36" s="103">
        <v>38.299999999999997</v>
      </c>
      <c r="N36" s="104">
        <v>38.299999999999997</v>
      </c>
      <c r="O36" s="103"/>
      <c r="P36" s="104"/>
      <c r="Q36" s="103"/>
      <c r="R36" s="104"/>
      <c r="S36" s="103">
        <v>38.299999999999997</v>
      </c>
      <c r="T36" s="104">
        <v>38.299999999999997</v>
      </c>
      <c r="U36" s="103"/>
      <c r="V36" s="104"/>
      <c r="W36" s="103"/>
      <c r="X36" s="104"/>
      <c r="Y36" s="103">
        <v>38.299999999999997</v>
      </c>
      <c r="Z36" s="104">
        <v>38.299999999999997</v>
      </c>
      <c r="AA36" s="103"/>
      <c r="AB36" s="104"/>
      <c r="AC36" s="103"/>
      <c r="AD36" s="104"/>
      <c r="AE36" s="120"/>
      <c r="AF36" s="103" cm="1">
        <f t="array" ref="AF36">MAX(IF(MOD(COLUMN(G36:AD36)-COLUMN(C29),2)=0, G36:AD36))</f>
        <v>38.299999999999997</v>
      </c>
      <c r="AG36" s="104" cm="1">
        <f t="array" ref="AG36">MAX(IF(MOD(COLUMN(G36:AD36)-COLUMN(C29),2)=1, G36:AD36))</f>
        <v>38.299999999999997</v>
      </c>
    </row>
    <row r="37" spans="1:33" x14ac:dyDescent="0.25">
      <c r="A37" s="214"/>
      <c r="B37" s="189">
        <v>11</v>
      </c>
      <c r="C37" s="183">
        <v>2010</v>
      </c>
      <c r="D37" s="186">
        <v>44.5</v>
      </c>
      <c r="E37" s="186">
        <v>44.5</v>
      </c>
      <c r="F37" s="14" t="s">
        <v>24</v>
      </c>
      <c r="G37" s="112"/>
      <c r="H37" s="111"/>
      <c r="I37" s="112"/>
      <c r="J37" s="35"/>
      <c r="K37" s="112"/>
      <c r="L37" s="111"/>
      <c r="M37" s="112">
        <v>1</v>
      </c>
      <c r="N37" s="111">
        <v>1</v>
      </c>
      <c r="O37" s="112"/>
      <c r="P37" s="111"/>
      <c r="Q37" s="112"/>
      <c r="R37" s="111"/>
      <c r="S37" s="112">
        <v>2</v>
      </c>
      <c r="T37" s="111">
        <v>2</v>
      </c>
      <c r="U37" s="112"/>
      <c r="V37" s="111"/>
      <c r="W37" s="112"/>
      <c r="X37" s="111"/>
      <c r="Y37" s="112">
        <v>3</v>
      </c>
      <c r="Z37" s="111">
        <v>3</v>
      </c>
      <c r="AA37" s="112"/>
      <c r="AB37" s="111"/>
      <c r="AC37" s="112"/>
      <c r="AD37" s="111"/>
      <c r="AF37" s="112" cm="1">
        <f t="array" ref="AF37">MAX(IF(MOD(COLUMN(G37:AD37)-COLUMN(C30),2)=0, G37:AD37))</f>
        <v>3</v>
      </c>
      <c r="AG37" s="111" cm="1">
        <f t="array" ref="AG37">MAX(IF(MOD(COLUMN(G37:AD37)-COLUMN(C30),2)=1, G37:AD37))</f>
        <v>3</v>
      </c>
    </row>
    <row r="38" spans="1:33" x14ac:dyDescent="0.25">
      <c r="A38" s="214"/>
      <c r="B38" s="190"/>
      <c r="C38" s="184"/>
      <c r="D38" s="187"/>
      <c r="E38" s="187"/>
      <c r="F38" s="21" t="s">
        <v>65</v>
      </c>
      <c r="G38" s="101"/>
      <c r="H38" s="102"/>
      <c r="I38" s="101"/>
      <c r="J38" s="24"/>
      <c r="K38" s="101"/>
      <c r="L38" s="102"/>
      <c r="M38" s="101">
        <v>40</v>
      </c>
      <c r="N38" s="102">
        <v>2000</v>
      </c>
      <c r="O38" s="101"/>
      <c r="P38" s="102"/>
      <c r="Q38" s="101"/>
      <c r="R38" s="102"/>
      <c r="S38" s="101">
        <v>40</v>
      </c>
      <c r="T38" s="102">
        <v>2000</v>
      </c>
      <c r="U38" s="101"/>
      <c r="V38" s="102"/>
      <c r="W38" s="101"/>
      <c r="X38" s="102"/>
      <c r="Y38" s="101">
        <v>40</v>
      </c>
      <c r="Z38" s="102">
        <v>2000</v>
      </c>
      <c r="AA38" s="101"/>
      <c r="AB38" s="102"/>
      <c r="AC38" s="101"/>
      <c r="AD38" s="102"/>
      <c r="AF38" s="101">
        <f>G38+I38+K38+M38+O38+Q38+S38+U38++W38+Y38+AA38+AC38</f>
        <v>120</v>
      </c>
      <c r="AG38" s="102">
        <f>H38+J38+L38+N38+P38+R38+T38+V38++X38+Z38+AB38+AD38</f>
        <v>6000</v>
      </c>
    </row>
    <row r="39" spans="1:33" ht="16.5" thickBot="1" x14ac:dyDescent="0.3">
      <c r="A39" s="214"/>
      <c r="B39" s="191"/>
      <c r="C39" s="185"/>
      <c r="D39" s="188"/>
      <c r="E39" s="188"/>
      <c r="F39" s="27" t="s">
        <v>27</v>
      </c>
      <c r="G39" s="103"/>
      <c r="H39" s="104"/>
      <c r="I39" s="103"/>
      <c r="J39" s="91"/>
      <c r="K39" s="103"/>
      <c r="L39" s="104"/>
      <c r="M39" s="103">
        <v>44.5</v>
      </c>
      <c r="N39" s="104">
        <v>44.5</v>
      </c>
      <c r="O39" s="103"/>
      <c r="P39" s="104"/>
      <c r="Q39" s="103"/>
      <c r="R39" s="104"/>
      <c r="S39" s="103">
        <v>44.5</v>
      </c>
      <c r="T39" s="104">
        <v>44.5</v>
      </c>
      <c r="U39" s="103"/>
      <c r="V39" s="104"/>
      <c r="W39" s="103"/>
      <c r="X39" s="104"/>
      <c r="Y39" s="103">
        <v>44.5</v>
      </c>
      <c r="Z39" s="104">
        <v>44.5</v>
      </c>
      <c r="AA39" s="103"/>
      <c r="AB39" s="104"/>
      <c r="AC39" s="103"/>
      <c r="AD39" s="104"/>
      <c r="AE39" s="120"/>
      <c r="AF39" s="103" cm="1">
        <f t="array" ref="AF39">MAX(IF(MOD(COLUMN(G39:AD39)-COLUMN(C32),2)=0, G39:AD39))</f>
        <v>44.5</v>
      </c>
      <c r="AG39" s="104" cm="1">
        <f t="array" ref="AG39">MAX(IF(MOD(COLUMN(G39:AD39)-COLUMN(C32),2)=1, G39:AD39))</f>
        <v>44.5</v>
      </c>
    </row>
    <row r="40" spans="1:33" x14ac:dyDescent="0.25">
      <c r="A40" s="214"/>
      <c r="B40" s="189">
        <v>12</v>
      </c>
      <c r="C40" s="183">
        <v>2010</v>
      </c>
      <c r="D40" s="186">
        <v>71</v>
      </c>
      <c r="E40" s="186">
        <v>71</v>
      </c>
      <c r="F40" s="14" t="s">
        <v>24</v>
      </c>
      <c r="G40" s="112"/>
      <c r="H40" s="111"/>
      <c r="I40" s="112">
        <v>1</v>
      </c>
      <c r="J40" s="35">
        <v>1</v>
      </c>
      <c r="K40" s="112"/>
      <c r="L40" s="111"/>
      <c r="M40" s="112"/>
      <c r="N40" s="111"/>
      <c r="O40" s="112"/>
      <c r="P40" s="111"/>
      <c r="Q40" s="112">
        <v>2</v>
      </c>
      <c r="R40" s="111">
        <v>2</v>
      </c>
      <c r="S40" s="112"/>
      <c r="T40" s="111"/>
      <c r="U40" s="112">
        <v>3</v>
      </c>
      <c r="V40" s="111">
        <v>3</v>
      </c>
      <c r="W40" s="112"/>
      <c r="X40" s="111"/>
      <c r="Y40" s="112"/>
      <c r="Z40" s="111"/>
      <c r="AA40" s="112"/>
      <c r="AB40" s="111"/>
      <c r="AC40" s="112"/>
      <c r="AD40" s="111"/>
      <c r="AF40" s="112" cm="1">
        <f t="array" ref="AF40">MAX(IF(MOD(COLUMN(G40:AD40)-COLUMN(C33),2)=0, G40:AD40))</f>
        <v>3</v>
      </c>
      <c r="AG40" s="111" cm="1">
        <f t="array" ref="AG40">MAX(IF(MOD(COLUMN(G40:AD40)-COLUMN(C33),2)=1, G40:AD40))</f>
        <v>3</v>
      </c>
    </row>
    <row r="41" spans="1:33" x14ac:dyDescent="0.25">
      <c r="A41" s="214"/>
      <c r="B41" s="190"/>
      <c r="C41" s="184"/>
      <c r="D41" s="187"/>
      <c r="E41" s="187"/>
      <c r="F41" s="21" t="s">
        <v>65</v>
      </c>
      <c r="G41" s="101"/>
      <c r="H41" s="102"/>
      <c r="I41" s="101">
        <v>60</v>
      </c>
      <c r="J41" s="24">
        <v>3000</v>
      </c>
      <c r="K41" s="101"/>
      <c r="L41" s="102"/>
      <c r="M41" s="101"/>
      <c r="N41" s="102"/>
      <c r="O41" s="101"/>
      <c r="P41" s="102"/>
      <c r="Q41" s="101">
        <v>60</v>
      </c>
      <c r="R41" s="102">
        <v>3000</v>
      </c>
      <c r="S41" s="101"/>
      <c r="T41" s="102"/>
      <c r="U41" s="101">
        <v>60</v>
      </c>
      <c r="V41" s="102">
        <v>3000</v>
      </c>
      <c r="W41" s="101"/>
      <c r="X41" s="102"/>
      <c r="Y41" s="101"/>
      <c r="Z41" s="102"/>
      <c r="AA41" s="101"/>
      <c r="AB41" s="102"/>
      <c r="AC41" s="101"/>
      <c r="AD41" s="102"/>
      <c r="AF41" s="101">
        <f>G41+I41+K41+M41+O41+Q41+S41+U41++W41+Y41+AA41+AC41</f>
        <v>180</v>
      </c>
      <c r="AG41" s="102">
        <f>H41+J41+L41+N41+P41+R41+T41+V41++X41+Z41+AB41+AD41</f>
        <v>9000</v>
      </c>
    </row>
    <row r="42" spans="1:33" ht="16.5" thickBot="1" x14ac:dyDescent="0.3">
      <c r="A42" s="214"/>
      <c r="B42" s="191"/>
      <c r="C42" s="185"/>
      <c r="D42" s="188"/>
      <c r="E42" s="188"/>
      <c r="F42" s="27" t="s">
        <v>27</v>
      </c>
      <c r="G42" s="103"/>
      <c r="H42" s="104"/>
      <c r="I42" s="103">
        <v>71</v>
      </c>
      <c r="J42" s="91">
        <v>71</v>
      </c>
      <c r="K42" s="103"/>
      <c r="L42" s="104"/>
      <c r="M42" s="103"/>
      <c r="N42" s="104"/>
      <c r="O42" s="103"/>
      <c r="P42" s="104"/>
      <c r="Q42" s="103">
        <v>71</v>
      </c>
      <c r="R42" s="104">
        <v>71</v>
      </c>
      <c r="S42" s="103"/>
      <c r="T42" s="104"/>
      <c r="U42" s="103">
        <v>71</v>
      </c>
      <c r="V42" s="104">
        <v>71</v>
      </c>
      <c r="W42" s="103"/>
      <c r="X42" s="104"/>
      <c r="Y42" s="103"/>
      <c r="Z42" s="104"/>
      <c r="AA42" s="103"/>
      <c r="AB42" s="104"/>
      <c r="AC42" s="103"/>
      <c r="AD42" s="104"/>
      <c r="AE42" s="120"/>
      <c r="AF42" s="103" cm="1">
        <f t="array" ref="AF42">MAX(IF(MOD(COLUMN(G42:AD42)-COLUMN(C35),2)=0, G42:AD42))</f>
        <v>71</v>
      </c>
      <c r="AG42" s="104" cm="1">
        <f t="array" ref="AG42">MAX(IF(MOD(COLUMN(G42:AD42)-COLUMN(C35),2)=1, G42:AD42))</f>
        <v>71</v>
      </c>
    </row>
    <row r="43" spans="1:33" x14ac:dyDescent="0.25">
      <c r="A43" s="214"/>
      <c r="B43" s="189">
        <v>23</v>
      </c>
      <c r="C43" s="183">
        <v>2010</v>
      </c>
      <c r="D43" s="186">
        <v>14.6</v>
      </c>
      <c r="E43" s="186">
        <v>14.6</v>
      </c>
      <c r="F43" s="14" t="s">
        <v>24</v>
      </c>
      <c r="G43" s="112"/>
      <c r="H43" s="111"/>
      <c r="I43" s="112">
        <v>1</v>
      </c>
      <c r="J43" s="35">
        <v>1</v>
      </c>
      <c r="K43" s="112"/>
      <c r="L43" s="111"/>
      <c r="M43" s="112"/>
      <c r="N43" s="111"/>
      <c r="O43" s="112"/>
      <c r="P43" s="111"/>
      <c r="Q43" s="112">
        <v>2</v>
      </c>
      <c r="R43" s="111">
        <v>2</v>
      </c>
      <c r="S43" s="112"/>
      <c r="T43" s="111"/>
      <c r="U43" s="112">
        <v>3</v>
      </c>
      <c r="V43" s="111">
        <v>3</v>
      </c>
      <c r="W43" s="112"/>
      <c r="X43" s="111"/>
      <c r="Y43" s="112"/>
      <c r="Z43" s="111"/>
      <c r="AA43" s="112"/>
      <c r="AB43" s="111"/>
      <c r="AC43" s="112"/>
      <c r="AD43" s="111"/>
      <c r="AF43" s="112" cm="1">
        <f t="array" ref="AF43">MAX(IF(MOD(COLUMN(G43:AD43)-COLUMN(C36),2)=0, G43:AD43))</f>
        <v>3</v>
      </c>
      <c r="AG43" s="111" cm="1">
        <f t="array" ref="AG43">MAX(IF(MOD(COLUMN(G43:AD43)-COLUMN(C36),2)=1, G43:AD43))</f>
        <v>3</v>
      </c>
    </row>
    <row r="44" spans="1:33" x14ac:dyDescent="0.25">
      <c r="A44" s="214"/>
      <c r="B44" s="190"/>
      <c r="C44" s="184"/>
      <c r="D44" s="187"/>
      <c r="E44" s="187"/>
      <c r="F44" s="21" t="s">
        <v>65</v>
      </c>
      <c r="G44" s="101"/>
      <c r="H44" s="102"/>
      <c r="I44" s="101">
        <v>20</v>
      </c>
      <c r="J44" s="24">
        <v>1000</v>
      </c>
      <c r="K44" s="101"/>
      <c r="L44" s="102"/>
      <c r="M44" s="101"/>
      <c r="N44" s="102"/>
      <c r="O44" s="101"/>
      <c r="P44" s="102"/>
      <c r="Q44" s="101">
        <v>20</v>
      </c>
      <c r="R44" s="102">
        <v>1000</v>
      </c>
      <c r="S44" s="101"/>
      <c r="T44" s="102"/>
      <c r="U44" s="101">
        <v>20</v>
      </c>
      <c r="V44" s="102">
        <v>1000</v>
      </c>
      <c r="W44" s="101"/>
      <c r="X44" s="102"/>
      <c r="Y44" s="101"/>
      <c r="Z44" s="102"/>
      <c r="AA44" s="101"/>
      <c r="AB44" s="102"/>
      <c r="AC44" s="101"/>
      <c r="AD44" s="102"/>
      <c r="AF44" s="101">
        <f>G44+I44+K44+M44+O44+Q44+S44+U44++W44+Y44+AA44+AC44</f>
        <v>60</v>
      </c>
      <c r="AG44" s="102">
        <f>H44+J44+L44+N44+P44+R44+T44+V44++X44+Z44+AB44+AD44</f>
        <v>3000</v>
      </c>
    </row>
    <row r="45" spans="1:33" ht="16.5" thickBot="1" x14ac:dyDescent="0.3">
      <c r="A45" s="214"/>
      <c r="B45" s="191"/>
      <c r="C45" s="185"/>
      <c r="D45" s="188"/>
      <c r="E45" s="188"/>
      <c r="F45" s="27" t="s">
        <v>27</v>
      </c>
      <c r="G45" s="103"/>
      <c r="H45" s="104"/>
      <c r="I45" s="103">
        <v>14.6</v>
      </c>
      <c r="J45" s="91">
        <v>14.6</v>
      </c>
      <c r="K45" s="103"/>
      <c r="L45" s="104"/>
      <c r="M45" s="103"/>
      <c r="N45" s="104"/>
      <c r="O45" s="103"/>
      <c r="P45" s="104"/>
      <c r="Q45" s="103">
        <v>14.6</v>
      </c>
      <c r="R45" s="104">
        <v>14.6</v>
      </c>
      <c r="S45" s="103"/>
      <c r="T45" s="104"/>
      <c r="U45" s="103">
        <v>14.6</v>
      </c>
      <c r="V45" s="104">
        <v>14.6</v>
      </c>
      <c r="W45" s="103"/>
      <c r="X45" s="104"/>
      <c r="Y45" s="103"/>
      <c r="Z45" s="104"/>
      <c r="AA45" s="103"/>
      <c r="AB45" s="104"/>
      <c r="AC45" s="103"/>
      <c r="AD45" s="104"/>
      <c r="AE45" s="120"/>
      <c r="AF45" s="103" cm="1">
        <f t="array" ref="AF45">MAX(IF(MOD(COLUMN(G45:AD45)-COLUMN(C38),2)=0, G45:AD45))</f>
        <v>14.6</v>
      </c>
      <c r="AG45" s="104" cm="1">
        <f t="array" ref="AG45">MAX(IF(MOD(COLUMN(G45:AD45)-COLUMN(C38),2)=1, G45:AD45))</f>
        <v>14.6</v>
      </c>
    </row>
    <row r="46" spans="1:33" ht="16.5" thickBot="1" x14ac:dyDescent="0.3">
      <c r="A46" s="214"/>
      <c r="B46" s="227" t="s">
        <v>29</v>
      </c>
      <c r="C46" s="228"/>
      <c r="D46" s="225">
        <f>SUM(D10:D45)</f>
        <v>616.00000000000011</v>
      </c>
      <c r="E46" s="225">
        <f>SUM(E10:E45)</f>
        <v>615.5100000000001</v>
      </c>
      <c r="F46" s="125" t="s">
        <v>65</v>
      </c>
      <c r="G46" s="47">
        <f t="shared" ref="G46:AD46" si="0">G11+G14+G17+G20+G23+G26+G29+G32+G35+G38+G41+G44</f>
        <v>0</v>
      </c>
      <c r="H46" s="49">
        <f t="shared" si="0"/>
        <v>0</v>
      </c>
      <c r="I46" s="47">
        <f t="shared" si="0"/>
        <v>180</v>
      </c>
      <c r="J46" s="67">
        <f t="shared" si="0"/>
        <v>9000</v>
      </c>
      <c r="K46" s="47">
        <f t="shared" si="0"/>
        <v>120</v>
      </c>
      <c r="L46" s="67">
        <f t="shared" si="0"/>
        <v>6000</v>
      </c>
      <c r="M46" s="47">
        <f t="shared" si="0"/>
        <v>200</v>
      </c>
      <c r="N46" s="67">
        <f t="shared" si="0"/>
        <v>10000</v>
      </c>
      <c r="O46" s="47">
        <f t="shared" si="0"/>
        <v>100</v>
      </c>
      <c r="P46" s="67">
        <f t="shared" si="0"/>
        <v>5000</v>
      </c>
      <c r="Q46" s="47">
        <f t="shared" si="0"/>
        <v>240</v>
      </c>
      <c r="R46" s="67">
        <f t="shared" si="0"/>
        <v>12000</v>
      </c>
      <c r="S46" s="47">
        <f t="shared" si="0"/>
        <v>260</v>
      </c>
      <c r="T46" s="67">
        <f t="shared" si="0"/>
        <v>13000</v>
      </c>
      <c r="U46" s="47">
        <f t="shared" si="0"/>
        <v>180</v>
      </c>
      <c r="V46" s="67">
        <f t="shared" si="0"/>
        <v>9000</v>
      </c>
      <c r="W46" s="47">
        <f t="shared" si="0"/>
        <v>120</v>
      </c>
      <c r="X46" s="67">
        <f t="shared" si="0"/>
        <v>6000</v>
      </c>
      <c r="Y46" s="47">
        <f t="shared" si="0"/>
        <v>240</v>
      </c>
      <c r="Z46" s="67">
        <f t="shared" si="0"/>
        <v>12000</v>
      </c>
      <c r="AA46" s="47">
        <f t="shared" si="0"/>
        <v>0</v>
      </c>
      <c r="AB46" s="67">
        <f t="shared" si="0"/>
        <v>0</v>
      </c>
      <c r="AC46" s="47">
        <f t="shared" si="0"/>
        <v>0</v>
      </c>
      <c r="AD46" s="67">
        <f t="shared" si="0"/>
        <v>0</v>
      </c>
      <c r="AF46" s="47">
        <f>AF11+AF14+AF17+AF20+AF23+AF26+AF29+AF32+AF35+AF38+AF41+AF44</f>
        <v>1640</v>
      </c>
      <c r="AG46" s="67">
        <f>AG11+AG14+AG17+AG20+AG23+AG26+AG29+AG32+AG35+AG38+AG41+AG44</f>
        <v>82000</v>
      </c>
    </row>
    <row r="47" spans="1:33" ht="16.5" thickBot="1" x14ac:dyDescent="0.3">
      <c r="A47" s="215"/>
      <c r="B47" s="229"/>
      <c r="C47" s="230"/>
      <c r="D47" s="226"/>
      <c r="E47" s="226"/>
      <c r="F47" s="46" t="s">
        <v>27</v>
      </c>
      <c r="G47" s="47">
        <f t="shared" ref="G47:AD47" si="1">G12+G15+G18+G21+G24+G27+G30+G33+G36+G39+G42+G45</f>
        <v>0</v>
      </c>
      <c r="H47" s="49">
        <f t="shared" si="1"/>
        <v>0</v>
      </c>
      <c r="I47" s="47">
        <f t="shared" si="1"/>
        <v>212.79999999999998</v>
      </c>
      <c r="J47" s="67">
        <f t="shared" si="1"/>
        <v>212.79999999999998</v>
      </c>
      <c r="K47" s="47">
        <f t="shared" si="1"/>
        <v>139.80000000000001</v>
      </c>
      <c r="L47" s="67">
        <f t="shared" si="1"/>
        <v>139.80000000000001</v>
      </c>
      <c r="M47" s="47">
        <f t="shared" si="1"/>
        <v>204.8</v>
      </c>
      <c r="N47" s="67">
        <f t="shared" si="1"/>
        <v>204.8</v>
      </c>
      <c r="O47" s="47">
        <f t="shared" si="1"/>
        <v>135.4</v>
      </c>
      <c r="P47" s="67">
        <f t="shared" si="1"/>
        <v>135.4</v>
      </c>
      <c r="Q47" s="47">
        <f t="shared" si="1"/>
        <v>275.80000000000007</v>
      </c>
      <c r="R47" s="67">
        <f t="shared" si="1"/>
        <v>275.80000000000007</v>
      </c>
      <c r="S47" s="47">
        <f t="shared" si="1"/>
        <v>263.39999999999998</v>
      </c>
      <c r="T47" s="67">
        <f t="shared" si="1"/>
        <v>263.39999999999998</v>
      </c>
      <c r="U47" s="47">
        <f t="shared" si="1"/>
        <v>212.79999999999998</v>
      </c>
      <c r="V47" s="67">
        <f t="shared" si="1"/>
        <v>212.79999999999998</v>
      </c>
      <c r="W47" s="47">
        <f t="shared" si="1"/>
        <v>139.80000000000001</v>
      </c>
      <c r="X47" s="67">
        <f t="shared" si="1"/>
        <v>139.80000000000001</v>
      </c>
      <c r="Y47" s="47">
        <f t="shared" si="1"/>
        <v>263.27</v>
      </c>
      <c r="Z47" s="67">
        <f t="shared" si="1"/>
        <v>263.27</v>
      </c>
      <c r="AA47" s="47">
        <f t="shared" si="1"/>
        <v>0</v>
      </c>
      <c r="AB47" s="67">
        <f t="shared" si="1"/>
        <v>0</v>
      </c>
      <c r="AC47" s="47">
        <f t="shared" si="1"/>
        <v>0</v>
      </c>
      <c r="AD47" s="67">
        <f t="shared" si="1"/>
        <v>0</v>
      </c>
      <c r="AF47" s="47">
        <f>AF12+AF15+AF18+AF21+AF24+AF27+AF30+AF33+AF36+AF39+AF42+AF45</f>
        <v>616.00000000000011</v>
      </c>
      <c r="AG47" s="67">
        <f>AG12+AG15+AG18+AG21+AG24+AG27+AG30+AG33+AG36+AG39+AG42+AG45</f>
        <v>616.00000000000011</v>
      </c>
    </row>
    <row r="48" spans="1:33" ht="16.5" thickBot="1" x14ac:dyDescent="0.3"/>
    <row r="49" spans="1:37" ht="15.75" customHeight="1" x14ac:dyDescent="0.25">
      <c r="A49" s="209" t="s">
        <v>67</v>
      </c>
      <c r="B49" s="209" t="s">
        <v>7</v>
      </c>
      <c r="C49" s="160" t="s">
        <v>8</v>
      </c>
      <c r="D49" s="166" t="s">
        <v>9</v>
      </c>
      <c r="E49" s="166" t="s">
        <v>10</v>
      </c>
      <c r="F49" s="169" t="s">
        <v>11</v>
      </c>
      <c r="G49" s="203" t="s">
        <v>12</v>
      </c>
      <c r="H49" s="204"/>
      <c r="I49" s="203" t="s">
        <v>13</v>
      </c>
      <c r="J49" s="204"/>
      <c r="K49" s="203" t="s">
        <v>14</v>
      </c>
      <c r="L49" s="211"/>
      <c r="M49" s="203" t="s">
        <v>15</v>
      </c>
      <c r="N49" s="204"/>
      <c r="O49" s="203" t="s">
        <v>16</v>
      </c>
      <c r="P49" s="204"/>
      <c r="Q49" s="203" t="s">
        <v>17</v>
      </c>
      <c r="R49" s="204"/>
      <c r="S49" s="203" t="s">
        <v>18</v>
      </c>
      <c r="T49" s="204"/>
      <c r="U49" s="203" t="s">
        <v>19</v>
      </c>
      <c r="V49" s="204"/>
      <c r="W49" s="203" t="s">
        <v>20</v>
      </c>
      <c r="X49" s="204"/>
      <c r="Y49" s="203" t="s">
        <v>21</v>
      </c>
      <c r="Z49" s="204"/>
      <c r="AA49" s="211" t="s">
        <v>22</v>
      </c>
      <c r="AB49" s="211"/>
      <c r="AC49" s="203" t="s">
        <v>23</v>
      </c>
      <c r="AD49" s="204"/>
      <c r="AF49" s="203" t="s">
        <v>66</v>
      </c>
      <c r="AG49" s="204"/>
    </row>
    <row r="50" spans="1:37" ht="15.75" customHeight="1" x14ac:dyDescent="0.25">
      <c r="A50" s="158"/>
      <c r="B50" s="158"/>
      <c r="C50" s="161"/>
      <c r="D50" s="167"/>
      <c r="E50" s="167"/>
      <c r="F50" s="193"/>
      <c r="G50" s="205"/>
      <c r="H50" s="206"/>
      <c r="I50" s="205"/>
      <c r="J50" s="206"/>
      <c r="K50" s="205"/>
      <c r="L50" s="156"/>
      <c r="M50" s="205"/>
      <c r="N50" s="206"/>
      <c r="O50" s="205"/>
      <c r="P50" s="206"/>
      <c r="Q50" s="205"/>
      <c r="R50" s="206"/>
      <c r="S50" s="205"/>
      <c r="T50" s="206"/>
      <c r="U50" s="205"/>
      <c r="V50" s="206"/>
      <c r="W50" s="205"/>
      <c r="X50" s="206"/>
      <c r="Y50" s="205"/>
      <c r="Z50" s="206"/>
      <c r="AA50" s="156"/>
      <c r="AB50" s="156"/>
      <c r="AC50" s="205"/>
      <c r="AD50" s="206"/>
      <c r="AF50" s="205"/>
      <c r="AG50" s="206"/>
    </row>
    <row r="51" spans="1:37" ht="16.5" thickBot="1" x14ac:dyDescent="0.3">
      <c r="A51" s="158"/>
      <c r="B51" s="158"/>
      <c r="C51" s="162"/>
      <c r="D51" s="167"/>
      <c r="E51" s="167"/>
      <c r="F51" s="193"/>
      <c r="G51" s="207"/>
      <c r="H51" s="208"/>
      <c r="I51" s="207"/>
      <c r="J51" s="208"/>
      <c r="K51" s="207"/>
      <c r="L51" s="212"/>
      <c r="M51" s="207"/>
      <c r="N51" s="208"/>
      <c r="O51" s="207"/>
      <c r="P51" s="208"/>
      <c r="Q51" s="207"/>
      <c r="R51" s="208"/>
      <c r="S51" s="207"/>
      <c r="T51" s="208"/>
      <c r="U51" s="207"/>
      <c r="V51" s="208"/>
      <c r="W51" s="207"/>
      <c r="X51" s="208"/>
      <c r="Y51" s="207"/>
      <c r="Z51" s="208"/>
      <c r="AA51" s="212"/>
      <c r="AB51" s="212"/>
      <c r="AC51" s="207"/>
      <c r="AD51" s="208"/>
      <c r="AF51" s="207"/>
      <c r="AG51" s="208"/>
    </row>
    <row r="52" spans="1:37" s="119" customFormat="1" ht="32.25" thickBot="1" x14ac:dyDescent="0.3">
      <c r="A52" s="210"/>
      <c r="B52" s="210"/>
      <c r="C52" s="90"/>
      <c r="D52" s="168"/>
      <c r="E52" s="168"/>
      <c r="F52" s="194"/>
      <c r="G52" s="106" t="s">
        <v>76</v>
      </c>
      <c r="H52" s="118" t="s">
        <v>75</v>
      </c>
      <c r="I52" s="106" t="s">
        <v>76</v>
      </c>
      <c r="J52" s="118" t="s">
        <v>75</v>
      </c>
      <c r="K52" s="106" t="s">
        <v>76</v>
      </c>
      <c r="L52" s="118" t="s">
        <v>75</v>
      </c>
      <c r="M52" s="106" t="s">
        <v>76</v>
      </c>
      <c r="N52" s="118" t="s">
        <v>75</v>
      </c>
      <c r="O52" s="106" t="s">
        <v>76</v>
      </c>
      <c r="P52" s="118" t="s">
        <v>75</v>
      </c>
      <c r="Q52" s="106" t="s">
        <v>76</v>
      </c>
      <c r="R52" s="118" t="s">
        <v>75</v>
      </c>
      <c r="S52" s="106" t="s">
        <v>76</v>
      </c>
      <c r="T52" s="118" t="s">
        <v>75</v>
      </c>
      <c r="U52" s="106" t="s">
        <v>76</v>
      </c>
      <c r="V52" s="118" t="s">
        <v>75</v>
      </c>
      <c r="W52" s="106" t="s">
        <v>76</v>
      </c>
      <c r="X52" s="118" t="s">
        <v>75</v>
      </c>
      <c r="Y52" s="106" t="s">
        <v>76</v>
      </c>
      <c r="Z52" s="118" t="s">
        <v>75</v>
      </c>
      <c r="AA52" s="106" t="s">
        <v>76</v>
      </c>
      <c r="AB52" s="118" t="s">
        <v>75</v>
      </c>
      <c r="AC52" s="106" t="s">
        <v>76</v>
      </c>
      <c r="AD52" s="118" t="s">
        <v>75</v>
      </c>
      <c r="AF52" s="106" t="s">
        <v>76</v>
      </c>
      <c r="AG52" s="118" t="s">
        <v>75</v>
      </c>
    </row>
    <row r="53" spans="1:37" x14ac:dyDescent="0.25">
      <c r="A53" s="213" t="s">
        <v>69</v>
      </c>
      <c r="B53" s="180">
        <v>10</v>
      </c>
      <c r="C53" s="183">
        <v>2011</v>
      </c>
      <c r="D53" s="186">
        <v>19.100000000000001</v>
      </c>
      <c r="E53" s="186">
        <v>19.100000000000001</v>
      </c>
      <c r="F53" s="14" t="s">
        <v>24</v>
      </c>
      <c r="G53" s="112"/>
      <c r="H53" s="111"/>
      <c r="I53" s="112"/>
      <c r="J53" s="111"/>
      <c r="K53" s="112"/>
      <c r="L53" s="111"/>
      <c r="M53" s="112"/>
      <c r="N53" s="111"/>
      <c r="O53" s="112">
        <v>1</v>
      </c>
      <c r="P53" s="111">
        <v>1</v>
      </c>
      <c r="Q53" s="112"/>
      <c r="R53" s="111"/>
      <c r="S53" s="112">
        <v>2</v>
      </c>
      <c r="T53" s="111">
        <v>2</v>
      </c>
      <c r="U53" s="112"/>
      <c r="V53" s="111"/>
      <c r="W53" s="112"/>
      <c r="X53" s="111"/>
      <c r="Y53" s="112">
        <v>3</v>
      </c>
      <c r="Z53" s="111">
        <v>3</v>
      </c>
      <c r="AA53" s="112"/>
      <c r="AB53" s="111"/>
      <c r="AC53" s="112"/>
      <c r="AD53" s="111"/>
      <c r="AF53" s="112" cm="1">
        <f t="array" ref="AF53">MAX(IF(MOD(COLUMN(G53:AD53)-COLUMN(C48),2)=0, G53:AD53))</f>
        <v>3</v>
      </c>
      <c r="AG53" s="111" cm="1">
        <f t="array" ref="AG53">MAX(IF(MOD(COLUMN(G53:AD53)-COLUMN(C48),2)=1, G53:AD53))</f>
        <v>3</v>
      </c>
    </row>
    <row r="54" spans="1:37" x14ac:dyDescent="0.25">
      <c r="A54" s="214"/>
      <c r="B54" s="181"/>
      <c r="C54" s="184"/>
      <c r="D54" s="187"/>
      <c r="E54" s="187"/>
      <c r="F54" s="21" t="s">
        <v>65</v>
      </c>
      <c r="G54" s="101"/>
      <c r="H54" s="102"/>
      <c r="I54" s="101"/>
      <c r="J54" s="102"/>
      <c r="K54" s="101"/>
      <c r="L54" s="102"/>
      <c r="M54" s="101"/>
      <c r="N54" s="102"/>
      <c r="O54" s="101">
        <v>20</v>
      </c>
      <c r="P54" s="102">
        <v>1000</v>
      </c>
      <c r="Q54" s="101"/>
      <c r="R54" s="102"/>
      <c r="S54" s="101">
        <v>20</v>
      </c>
      <c r="T54" s="102">
        <v>1000</v>
      </c>
      <c r="U54" s="101"/>
      <c r="V54" s="102"/>
      <c r="W54" s="101"/>
      <c r="X54" s="102"/>
      <c r="Y54" s="101">
        <v>20</v>
      </c>
      <c r="Z54" s="102">
        <v>1000</v>
      </c>
      <c r="AA54" s="101"/>
      <c r="AB54" s="102"/>
      <c r="AC54" s="101"/>
      <c r="AD54" s="102"/>
      <c r="AF54" s="101">
        <f>G54+I54+K54+M54+O54+Q54+S54+U54++W54+Y54+AA54+AC54</f>
        <v>60</v>
      </c>
      <c r="AG54" s="102">
        <f>H54+J54+L54+N54+P54+R54+T54+V54++X54+Z54+AB54+AD54</f>
        <v>3000</v>
      </c>
    </row>
    <row r="55" spans="1:37" ht="16.5" thickBot="1" x14ac:dyDescent="0.3">
      <c r="A55" s="214"/>
      <c r="B55" s="182"/>
      <c r="C55" s="185"/>
      <c r="D55" s="188"/>
      <c r="E55" s="188"/>
      <c r="F55" s="27" t="s">
        <v>27</v>
      </c>
      <c r="G55" s="103"/>
      <c r="H55" s="104"/>
      <c r="I55" s="103"/>
      <c r="J55" s="104"/>
      <c r="K55" s="103"/>
      <c r="L55" s="104"/>
      <c r="M55" s="103"/>
      <c r="N55" s="104"/>
      <c r="O55" s="103">
        <v>19.100000000000001</v>
      </c>
      <c r="P55" s="104">
        <v>19.100000000000001</v>
      </c>
      <c r="Q55" s="103"/>
      <c r="R55" s="104"/>
      <c r="S55" s="103">
        <v>19.100000000000001</v>
      </c>
      <c r="T55" s="104">
        <v>19.100000000000001</v>
      </c>
      <c r="U55" s="103"/>
      <c r="V55" s="104"/>
      <c r="W55" s="103"/>
      <c r="X55" s="104"/>
      <c r="Y55" s="103">
        <v>19.100000000000001</v>
      </c>
      <c r="Z55" s="104">
        <v>19.100000000000001</v>
      </c>
      <c r="AA55" s="103"/>
      <c r="AB55" s="104"/>
      <c r="AC55" s="103"/>
      <c r="AD55" s="104"/>
      <c r="AE55" s="120"/>
      <c r="AF55" s="103" cm="1">
        <f t="array" ref="AF55">MAX(IF(MOD(COLUMN(G55:AD55)-COLUMN(C50),2)=0, G55:AD55))</f>
        <v>19.100000000000001</v>
      </c>
      <c r="AG55" s="104" cm="1">
        <f t="array" ref="AG55">MAX(IF(MOD(COLUMN(G55:AD55)-COLUMN(C50),2)=1, G55:AD55))</f>
        <v>19.100000000000001</v>
      </c>
    </row>
    <row r="56" spans="1:37" x14ac:dyDescent="0.25">
      <c r="A56" s="214"/>
      <c r="B56" s="189">
        <v>13</v>
      </c>
      <c r="C56" s="183">
        <v>2011</v>
      </c>
      <c r="D56" s="186">
        <v>60.8</v>
      </c>
      <c r="E56" s="186">
        <v>60.8</v>
      </c>
      <c r="F56" s="14" t="s">
        <v>24</v>
      </c>
      <c r="G56" s="112"/>
      <c r="H56" s="111"/>
      <c r="I56" s="112">
        <v>1</v>
      </c>
      <c r="J56" s="111">
        <v>1</v>
      </c>
      <c r="K56" s="112"/>
      <c r="L56" s="111"/>
      <c r="M56" s="112"/>
      <c r="N56" s="111"/>
      <c r="O56" s="112">
        <v>2</v>
      </c>
      <c r="P56" s="111">
        <v>2</v>
      </c>
      <c r="Q56" s="112"/>
      <c r="R56" s="111"/>
      <c r="S56" s="112"/>
      <c r="T56" s="111"/>
      <c r="U56" s="112">
        <v>3</v>
      </c>
      <c r="V56" s="111">
        <v>3</v>
      </c>
      <c r="W56" s="112"/>
      <c r="X56" s="111"/>
      <c r="Y56" s="112"/>
      <c r="Z56" s="111"/>
      <c r="AA56" s="112"/>
      <c r="AB56" s="111"/>
      <c r="AC56" s="112"/>
      <c r="AD56" s="111"/>
      <c r="AF56" s="112" cm="1">
        <f t="array" ref="AF56">MAX(IF(MOD(COLUMN(G56:AD56)-COLUMN(C51),2)=0, G56:AD56))</f>
        <v>3</v>
      </c>
      <c r="AG56" s="111" cm="1">
        <f t="array" ref="AG56">MAX(IF(MOD(COLUMN(G56:AD56)-COLUMN(C51),2)=1, G56:AD56))</f>
        <v>3</v>
      </c>
    </row>
    <row r="57" spans="1:37" x14ac:dyDescent="0.25">
      <c r="A57" s="214"/>
      <c r="B57" s="190"/>
      <c r="C57" s="184"/>
      <c r="D57" s="187"/>
      <c r="E57" s="187"/>
      <c r="F57" s="21" t="s">
        <v>65</v>
      </c>
      <c r="G57" s="101"/>
      <c r="H57" s="102"/>
      <c r="I57" s="101">
        <v>40</v>
      </c>
      <c r="J57" s="102">
        <v>2000</v>
      </c>
      <c r="K57" s="101"/>
      <c r="L57" s="102"/>
      <c r="M57" s="101"/>
      <c r="N57" s="102"/>
      <c r="O57" s="101">
        <v>40</v>
      </c>
      <c r="P57" s="102">
        <v>2000</v>
      </c>
      <c r="Q57" s="101"/>
      <c r="R57" s="102"/>
      <c r="S57" s="101"/>
      <c r="T57" s="102"/>
      <c r="U57" s="101">
        <v>40</v>
      </c>
      <c r="V57" s="102">
        <v>2000</v>
      </c>
      <c r="W57" s="101"/>
      <c r="X57" s="102"/>
      <c r="Y57" s="101"/>
      <c r="Z57" s="102"/>
      <c r="AA57" s="101"/>
      <c r="AB57" s="102"/>
      <c r="AC57" s="101"/>
      <c r="AD57" s="102"/>
      <c r="AF57" s="101">
        <f>G57+I57+K57+M57+O57+Q57+S57+U57++W57+Y57+AA57+AC57</f>
        <v>120</v>
      </c>
      <c r="AG57" s="102">
        <f>H57+J57+L57+N57+P57+R57+T57+V57++X57+Z57+AB57+AD57</f>
        <v>6000</v>
      </c>
    </row>
    <row r="58" spans="1:37" ht="16.5" thickBot="1" x14ac:dyDescent="0.3">
      <c r="A58" s="214"/>
      <c r="B58" s="191"/>
      <c r="C58" s="185"/>
      <c r="D58" s="188"/>
      <c r="E58" s="188"/>
      <c r="F58" s="27" t="s">
        <v>27</v>
      </c>
      <c r="G58" s="103"/>
      <c r="H58" s="104"/>
      <c r="I58" s="103">
        <v>60.8</v>
      </c>
      <c r="J58" s="104">
        <v>60.8</v>
      </c>
      <c r="K58" s="103"/>
      <c r="L58" s="104"/>
      <c r="M58" s="103"/>
      <c r="N58" s="104"/>
      <c r="O58" s="103">
        <v>60.8</v>
      </c>
      <c r="P58" s="104">
        <v>60.8</v>
      </c>
      <c r="Q58" s="103"/>
      <c r="R58" s="104"/>
      <c r="S58" s="103"/>
      <c r="T58" s="104"/>
      <c r="U58" s="103">
        <v>60.8</v>
      </c>
      <c r="V58" s="104">
        <v>60.8</v>
      </c>
      <c r="W58" s="103"/>
      <c r="X58" s="104"/>
      <c r="Y58" s="103"/>
      <c r="Z58" s="104"/>
      <c r="AA58" s="103"/>
      <c r="AB58" s="104"/>
      <c r="AC58" s="103"/>
      <c r="AD58" s="104"/>
      <c r="AE58" s="120"/>
      <c r="AF58" s="103" cm="1">
        <f t="array" ref="AF58">MAX(IF(MOD(COLUMN(G58:AD58)-COLUMN(C50),2)=0, G58:AD58))</f>
        <v>60.8</v>
      </c>
      <c r="AG58" s="104" cm="1">
        <f t="array" ref="AG58">MAX(IF(MOD(COLUMN(G58:AD58)-COLUMN(C50),2)=1, G58:AD58))</f>
        <v>60.8</v>
      </c>
    </row>
    <row r="59" spans="1:37" x14ac:dyDescent="0.25">
      <c r="A59" s="214"/>
      <c r="B59" s="189">
        <v>14</v>
      </c>
      <c r="C59" s="183">
        <v>2011</v>
      </c>
      <c r="D59" s="186">
        <v>41.6</v>
      </c>
      <c r="E59" s="186">
        <v>41.6</v>
      </c>
      <c r="F59" s="14" t="s">
        <v>24</v>
      </c>
      <c r="G59" s="112"/>
      <c r="H59" s="111"/>
      <c r="I59" s="112"/>
      <c r="J59" s="111"/>
      <c r="K59" s="112"/>
      <c r="L59" s="111"/>
      <c r="M59" s="112">
        <v>1</v>
      </c>
      <c r="N59" s="111">
        <v>1</v>
      </c>
      <c r="O59" s="112"/>
      <c r="P59" s="111"/>
      <c r="Q59" s="112"/>
      <c r="R59" s="111"/>
      <c r="S59" s="112">
        <v>2</v>
      </c>
      <c r="T59" s="111">
        <v>2</v>
      </c>
      <c r="U59" s="112"/>
      <c r="V59" s="111"/>
      <c r="W59" s="112"/>
      <c r="X59" s="111"/>
      <c r="Y59" s="112">
        <v>3</v>
      </c>
      <c r="Z59" s="111">
        <v>3</v>
      </c>
      <c r="AA59" s="112"/>
      <c r="AB59" s="111"/>
      <c r="AC59" s="112"/>
      <c r="AD59" s="111"/>
      <c r="AF59" s="112" cm="1">
        <f t="array" ref="AF59">MAX(IF(MOD(COLUMN(G59:AD59)-COLUMN(C52),2)=0, G59:AD59))</f>
        <v>3</v>
      </c>
      <c r="AG59" s="111" cm="1">
        <f t="array" ref="AG59">MAX(IF(MOD(COLUMN(G59:AD59)-COLUMN(C52),2)=1, G59:AD59))</f>
        <v>3</v>
      </c>
    </row>
    <row r="60" spans="1:37" x14ac:dyDescent="0.25">
      <c r="A60" s="214"/>
      <c r="B60" s="190"/>
      <c r="C60" s="184"/>
      <c r="D60" s="187"/>
      <c r="E60" s="187"/>
      <c r="F60" s="21" t="s">
        <v>65</v>
      </c>
      <c r="G60" s="101"/>
      <c r="H60" s="102"/>
      <c r="I60" s="101"/>
      <c r="J60" s="102"/>
      <c r="K60" s="101"/>
      <c r="L60" s="102"/>
      <c r="M60" s="101">
        <v>40</v>
      </c>
      <c r="N60" s="102">
        <v>2000</v>
      </c>
      <c r="O60" s="101"/>
      <c r="P60" s="102"/>
      <c r="Q60" s="101"/>
      <c r="R60" s="102"/>
      <c r="S60" s="101">
        <v>40</v>
      </c>
      <c r="T60" s="102">
        <v>2000</v>
      </c>
      <c r="U60" s="101"/>
      <c r="V60" s="102"/>
      <c r="W60" s="101"/>
      <c r="X60" s="102"/>
      <c r="Y60" s="101">
        <v>40</v>
      </c>
      <c r="Z60" s="102">
        <v>2000</v>
      </c>
      <c r="AA60" s="101"/>
      <c r="AB60" s="102"/>
      <c r="AC60" s="101"/>
      <c r="AD60" s="102"/>
      <c r="AF60" s="101">
        <f>G60+I60+K60+M60+O60+Q60+S60+U60++W60+Y60+AA60+AC60</f>
        <v>120</v>
      </c>
      <c r="AG60" s="102">
        <f>H60+J60+L60+N60+P60+R60+T60+V60++X60+Z60+AB60+AD60</f>
        <v>6000</v>
      </c>
    </row>
    <row r="61" spans="1:37" ht="16.5" thickBot="1" x14ac:dyDescent="0.3">
      <c r="A61" s="214"/>
      <c r="B61" s="191"/>
      <c r="C61" s="185"/>
      <c r="D61" s="188"/>
      <c r="E61" s="188"/>
      <c r="F61" s="27" t="s">
        <v>27</v>
      </c>
      <c r="G61" s="103"/>
      <c r="H61" s="104"/>
      <c r="I61" s="103"/>
      <c r="J61" s="104"/>
      <c r="K61" s="103"/>
      <c r="L61" s="104"/>
      <c r="M61" s="103">
        <v>41.6</v>
      </c>
      <c r="N61" s="104">
        <v>41.6</v>
      </c>
      <c r="O61" s="103"/>
      <c r="P61" s="104"/>
      <c r="Q61" s="103"/>
      <c r="R61" s="104"/>
      <c r="S61" s="103">
        <v>41.6</v>
      </c>
      <c r="T61" s="104">
        <v>41.6</v>
      </c>
      <c r="U61" s="103"/>
      <c r="V61" s="104"/>
      <c r="W61" s="103"/>
      <c r="X61" s="104"/>
      <c r="Y61" s="103">
        <v>41.6</v>
      </c>
      <c r="Z61" s="104">
        <v>41.6</v>
      </c>
      <c r="AA61" s="103"/>
      <c r="AB61" s="104"/>
      <c r="AC61" s="103"/>
      <c r="AD61" s="104"/>
      <c r="AE61" s="120"/>
      <c r="AF61" s="103" cm="1">
        <f t="array" ref="AF61">MAX(IF(MOD(COLUMN(G61:AD61)-COLUMN(C54),2)=0, G61:AD61))</f>
        <v>41.6</v>
      </c>
      <c r="AG61" s="104" cm="1">
        <f t="array" ref="AG61">MAX(IF(MOD(COLUMN(G61:AD61)-COLUMN(C54),2)=1, G61:AD61))</f>
        <v>41.6</v>
      </c>
    </row>
    <row r="62" spans="1:37" x14ac:dyDescent="0.25">
      <c r="A62" s="214"/>
      <c r="B62" s="189">
        <v>15</v>
      </c>
      <c r="C62" s="183">
        <v>2011</v>
      </c>
      <c r="D62" s="186">
        <v>49.3</v>
      </c>
      <c r="E62" s="186">
        <v>49.17</v>
      </c>
      <c r="F62" s="14" t="s">
        <v>24</v>
      </c>
      <c r="G62" s="112"/>
      <c r="H62" s="111"/>
      <c r="I62" s="112"/>
      <c r="J62" s="111"/>
      <c r="K62" s="112"/>
      <c r="L62" s="111"/>
      <c r="M62" s="112">
        <v>1</v>
      </c>
      <c r="N62" s="111">
        <v>1</v>
      </c>
      <c r="O62" s="112"/>
      <c r="P62" s="111"/>
      <c r="Q62" s="112"/>
      <c r="R62" s="111"/>
      <c r="S62" s="112">
        <v>2</v>
      </c>
      <c r="T62" s="111">
        <v>2</v>
      </c>
      <c r="U62" s="112"/>
      <c r="V62" s="111"/>
      <c r="W62" s="112"/>
      <c r="X62" s="111"/>
      <c r="Y62" s="112">
        <v>3</v>
      </c>
      <c r="Z62" s="111">
        <v>3</v>
      </c>
      <c r="AA62" s="112"/>
      <c r="AB62" s="111"/>
      <c r="AC62" s="112"/>
      <c r="AD62" s="111"/>
      <c r="AF62" s="112" cm="1">
        <f t="array" ref="AF62">MAX(IF(MOD(COLUMN(G62:AD62)-COLUMN(C55),2)=0, G62:AD62))</f>
        <v>3</v>
      </c>
      <c r="AG62" s="111" cm="1">
        <f t="array" ref="AG62">MAX(IF(MOD(COLUMN(G62:AD62)-COLUMN(C55),2)=1, G62:AD62))</f>
        <v>3</v>
      </c>
    </row>
    <row r="63" spans="1:37" x14ac:dyDescent="0.25">
      <c r="A63" s="214"/>
      <c r="B63" s="190"/>
      <c r="C63" s="184"/>
      <c r="D63" s="187"/>
      <c r="E63" s="187"/>
      <c r="F63" s="21" t="s">
        <v>65</v>
      </c>
      <c r="G63" s="101"/>
      <c r="H63" s="102"/>
      <c r="I63" s="101"/>
      <c r="J63" s="102"/>
      <c r="K63" s="101"/>
      <c r="L63" s="102"/>
      <c r="M63" s="101">
        <v>60</v>
      </c>
      <c r="N63" s="102">
        <v>3000</v>
      </c>
      <c r="O63" s="101"/>
      <c r="P63" s="102"/>
      <c r="Q63" s="101"/>
      <c r="R63" s="102"/>
      <c r="S63" s="101">
        <v>80</v>
      </c>
      <c r="T63" s="102">
        <v>4000</v>
      </c>
      <c r="U63" s="101"/>
      <c r="V63" s="102"/>
      <c r="W63" s="101"/>
      <c r="X63" s="102"/>
      <c r="Y63" s="101">
        <v>60</v>
      </c>
      <c r="Z63" s="102">
        <v>3000</v>
      </c>
      <c r="AA63" s="101"/>
      <c r="AB63" s="102"/>
      <c r="AC63" s="101"/>
      <c r="AD63" s="102"/>
      <c r="AF63" s="101">
        <f>G63+I63+K63+M63+O63+Q63+S63+U63++W63+Y63+AA63+AC63</f>
        <v>200</v>
      </c>
      <c r="AG63" s="102">
        <f>H63+J63+L63+N63+P63+R63+T63+V63++X63+Z63+AB63+AD63</f>
        <v>10000</v>
      </c>
    </row>
    <row r="64" spans="1:37" ht="16.5" thickBot="1" x14ac:dyDescent="0.3">
      <c r="A64" s="214"/>
      <c r="B64" s="191"/>
      <c r="C64" s="185"/>
      <c r="D64" s="188"/>
      <c r="E64" s="188"/>
      <c r="F64" s="27" t="s">
        <v>27</v>
      </c>
      <c r="G64" s="103"/>
      <c r="H64" s="104"/>
      <c r="I64" s="103"/>
      <c r="J64" s="104"/>
      <c r="K64" s="103"/>
      <c r="L64" s="104"/>
      <c r="M64" s="103">
        <v>49.3</v>
      </c>
      <c r="N64" s="104">
        <v>49.3</v>
      </c>
      <c r="O64" s="103"/>
      <c r="P64" s="104"/>
      <c r="Q64" s="103"/>
      <c r="R64" s="104"/>
      <c r="S64" s="103">
        <v>49.3</v>
      </c>
      <c r="T64" s="104">
        <v>49.3</v>
      </c>
      <c r="U64" s="103"/>
      <c r="V64" s="104"/>
      <c r="W64" s="103"/>
      <c r="X64" s="104"/>
      <c r="Y64" s="103">
        <v>49.17</v>
      </c>
      <c r="Z64" s="104">
        <v>49.17</v>
      </c>
      <c r="AA64" s="103"/>
      <c r="AB64" s="104"/>
      <c r="AC64" s="103"/>
      <c r="AD64" s="104"/>
      <c r="AE64" s="120"/>
      <c r="AF64" s="103" cm="1">
        <f t="array" ref="AF64">MAX(IF(MOD(COLUMN(G64:AD64)-COLUMN(C57),2)=0, G64:AD64))</f>
        <v>49.3</v>
      </c>
      <c r="AG64" s="104" cm="1">
        <f t="array" ref="AG64">MAX(IF(MOD(COLUMN(G64:AD64)-COLUMN(C57),2)=1, G64:AD64))</f>
        <v>49.3</v>
      </c>
      <c r="AI64" s="8"/>
      <c r="AJ64" s="8"/>
      <c r="AK64" s="8"/>
    </row>
    <row r="65" spans="1:37" x14ac:dyDescent="0.25">
      <c r="A65" s="214"/>
      <c r="B65" s="189">
        <v>16</v>
      </c>
      <c r="C65" s="183">
        <v>2011</v>
      </c>
      <c r="D65" s="186">
        <v>53.2</v>
      </c>
      <c r="E65" s="186">
        <v>52.61</v>
      </c>
      <c r="F65" s="14" t="s">
        <v>24</v>
      </c>
      <c r="G65" s="112"/>
      <c r="H65" s="111"/>
      <c r="I65" s="112"/>
      <c r="J65" s="111"/>
      <c r="K65" s="112">
        <v>1</v>
      </c>
      <c r="L65" s="111">
        <v>1</v>
      </c>
      <c r="M65" s="112"/>
      <c r="N65" s="111"/>
      <c r="O65" s="112"/>
      <c r="P65" s="111"/>
      <c r="Q65" s="112">
        <v>2</v>
      </c>
      <c r="R65" s="111">
        <v>2</v>
      </c>
      <c r="S65" s="112"/>
      <c r="T65" s="111"/>
      <c r="U65" s="112"/>
      <c r="V65" s="111"/>
      <c r="W65" s="112">
        <v>3</v>
      </c>
      <c r="X65" s="111">
        <v>3</v>
      </c>
      <c r="Y65" s="112"/>
      <c r="Z65" s="111"/>
      <c r="AA65" s="112"/>
      <c r="AB65" s="111"/>
      <c r="AC65" s="112"/>
      <c r="AD65" s="111"/>
      <c r="AF65" s="112" cm="1">
        <f t="array" ref="AF65">MAX(IF(MOD(COLUMN(G65:AD65)-COLUMN(C58),2)=0, G65:AD65))</f>
        <v>3</v>
      </c>
      <c r="AG65" s="111" cm="1">
        <f t="array" ref="AG65">MAX(IF(MOD(COLUMN(G65:AD65)-COLUMN(C58),2)=1, G65:AD65))</f>
        <v>3</v>
      </c>
      <c r="AI65" s="8"/>
      <c r="AJ65" s="8"/>
      <c r="AK65" s="8"/>
    </row>
    <row r="66" spans="1:37" x14ac:dyDescent="0.25">
      <c r="A66" s="214"/>
      <c r="B66" s="190"/>
      <c r="C66" s="184"/>
      <c r="D66" s="187"/>
      <c r="E66" s="187"/>
      <c r="F66" s="21" t="s">
        <v>65</v>
      </c>
      <c r="G66" s="101"/>
      <c r="H66" s="102"/>
      <c r="I66" s="101"/>
      <c r="J66" s="102"/>
      <c r="K66" s="101">
        <v>40</v>
      </c>
      <c r="L66" s="102">
        <v>2000</v>
      </c>
      <c r="M66" s="101"/>
      <c r="N66" s="102"/>
      <c r="O66" s="101"/>
      <c r="P66" s="102"/>
      <c r="Q66" s="101">
        <v>40</v>
      </c>
      <c r="R66" s="102">
        <v>2000</v>
      </c>
      <c r="S66" s="101"/>
      <c r="T66" s="102"/>
      <c r="U66" s="101"/>
      <c r="V66" s="102"/>
      <c r="W66" s="101">
        <v>40</v>
      </c>
      <c r="X66" s="102">
        <v>2000</v>
      </c>
      <c r="Y66" s="101"/>
      <c r="Z66" s="102"/>
      <c r="AA66" s="101"/>
      <c r="AB66" s="102"/>
      <c r="AC66" s="101"/>
      <c r="AD66" s="102"/>
      <c r="AF66" s="101">
        <f>G66+I66+K66+M66+O66+Q66+S66+U66++W66+Y66+AA66+AC66</f>
        <v>120</v>
      </c>
      <c r="AG66" s="102">
        <f>H66+J66+L66+N66+P66+R66+T66+V66++X66+Z66+AB66+AD66</f>
        <v>6000</v>
      </c>
      <c r="AI66" s="8"/>
      <c r="AJ66" s="8"/>
      <c r="AK66" s="8"/>
    </row>
    <row r="67" spans="1:37" ht="16.5" thickBot="1" x14ac:dyDescent="0.3">
      <c r="A67" s="214"/>
      <c r="B67" s="191"/>
      <c r="C67" s="185"/>
      <c r="D67" s="188"/>
      <c r="E67" s="188"/>
      <c r="F67" s="27" t="s">
        <v>27</v>
      </c>
      <c r="G67" s="121"/>
      <c r="H67" s="122"/>
      <c r="I67" s="121"/>
      <c r="J67" s="122"/>
      <c r="K67" s="121">
        <v>53.2</v>
      </c>
      <c r="L67" s="122">
        <v>53.2</v>
      </c>
      <c r="M67" s="121"/>
      <c r="N67" s="122"/>
      <c r="O67" s="121"/>
      <c r="P67" s="122"/>
      <c r="Q67" s="121">
        <v>53.2</v>
      </c>
      <c r="R67" s="122">
        <v>53.2</v>
      </c>
      <c r="S67" s="121"/>
      <c r="T67" s="122"/>
      <c r="U67" s="121"/>
      <c r="V67" s="122"/>
      <c r="W67" s="121">
        <v>53.2</v>
      </c>
      <c r="X67" s="122">
        <v>53.2</v>
      </c>
      <c r="Y67" s="121"/>
      <c r="Z67" s="122"/>
      <c r="AA67" s="121"/>
      <c r="AB67" s="122"/>
      <c r="AC67" s="121"/>
      <c r="AD67" s="122"/>
      <c r="AE67" s="120"/>
      <c r="AF67" s="103" cm="1">
        <f t="array" ref="AF67">MAX(IF(MOD(COLUMN(G67:AD67)-COLUMN(C60),2)=0, G67:AD67))</f>
        <v>53.2</v>
      </c>
      <c r="AG67" s="104" cm="1">
        <f t="array" ref="AG67">MAX(IF(MOD(COLUMN(G67:AD67)-COLUMN(C60),2)=1, G67:AD67))</f>
        <v>53.2</v>
      </c>
      <c r="AI67" s="8"/>
      <c r="AJ67" s="8"/>
      <c r="AK67" s="8"/>
    </row>
    <row r="68" spans="1:37" x14ac:dyDescent="0.25">
      <c r="A68" s="214"/>
      <c r="B68" s="189">
        <v>17</v>
      </c>
      <c r="C68" s="183">
        <v>2011</v>
      </c>
      <c r="D68" s="186">
        <v>45.7</v>
      </c>
      <c r="E68" s="186">
        <v>45.58</v>
      </c>
      <c r="F68" s="14" t="s">
        <v>24</v>
      </c>
      <c r="G68" s="112"/>
      <c r="H68" s="111"/>
      <c r="I68" s="112">
        <v>1</v>
      </c>
      <c r="J68" s="111">
        <v>1</v>
      </c>
      <c r="K68" s="112"/>
      <c r="L68" s="111"/>
      <c r="M68" s="112"/>
      <c r="N68" s="111"/>
      <c r="O68" s="112">
        <v>2</v>
      </c>
      <c r="P68" s="111">
        <v>2</v>
      </c>
      <c r="Q68" s="112"/>
      <c r="R68" s="111"/>
      <c r="S68" s="112"/>
      <c r="T68" s="111"/>
      <c r="U68" s="112">
        <v>3</v>
      </c>
      <c r="V68" s="111">
        <v>3</v>
      </c>
      <c r="W68" s="112"/>
      <c r="X68" s="111"/>
      <c r="Y68" s="112"/>
      <c r="Z68" s="111"/>
      <c r="AA68" s="112"/>
      <c r="AB68" s="111"/>
      <c r="AC68" s="112"/>
      <c r="AD68" s="111"/>
      <c r="AF68" s="112" cm="1">
        <f t="array" ref="AF68">MAX(IF(MOD(COLUMN(G68:AD68)-COLUMN(C61),2)=0, G68:AD68))</f>
        <v>3</v>
      </c>
      <c r="AG68" s="111" cm="1">
        <f t="array" ref="AG68">MAX(IF(MOD(COLUMN(G68:AD68)-COLUMN(C61),2)=1, G68:AD68))</f>
        <v>3</v>
      </c>
      <c r="AI68" s="6"/>
      <c r="AJ68" s="6"/>
      <c r="AK68" s="6"/>
    </row>
    <row r="69" spans="1:37" x14ac:dyDescent="0.25">
      <c r="A69" s="214"/>
      <c r="B69" s="190"/>
      <c r="C69" s="184"/>
      <c r="D69" s="187"/>
      <c r="E69" s="187"/>
      <c r="F69" s="21" t="s">
        <v>65</v>
      </c>
      <c r="G69" s="101"/>
      <c r="H69" s="102"/>
      <c r="I69" s="101">
        <v>40</v>
      </c>
      <c r="J69" s="102">
        <v>2000</v>
      </c>
      <c r="K69" s="101"/>
      <c r="L69" s="102"/>
      <c r="M69" s="101"/>
      <c r="N69" s="102"/>
      <c r="O69" s="101">
        <v>40</v>
      </c>
      <c r="P69" s="102">
        <v>2000</v>
      </c>
      <c r="Q69" s="101"/>
      <c r="R69" s="102"/>
      <c r="S69" s="101"/>
      <c r="T69" s="102"/>
      <c r="U69" s="101">
        <v>40</v>
      </c>
      <c r="V69" s="102">
        <v>2000</v>
      </c>
      <c r="W69" s="101"/>
      <c r="X69" s="102"/>
      <c r="Y69" s="101"/>
      <c r="Z69" s="102"/>
      <c r="AA69" s="101"/>
      <c r="AB69" s="102"/>
      <c r="AC69" s="101"/>
      <c r="AD69" s="102"/>
      <c r="AF69" s="101">
        <f>G69+I69+K69+M69+O69+Q69+S69+U69++W69+Y69+AA69+AC69</f>
        <v>120</v>
      </c>
      <c r="AG69" s="102">
        <f>H69+J69+L69+N69+P69+R69+T69+V69++X69+Z69+AB69+AD69</f>
        <v>6000</v>
      </c>
      <c r="AI69" s="8"/>
      <c r="AJ69" s="8"/>
      <c r="AK69" s="8"/>
    </row>
    <row r="70" spans="1:37" ht="16.5" thickBot="1" x14ac:dyDescent="0.3">
      <c r="A70" s="214"/>
      <c r="B70" s="190"/>
      <c r="C70" s="184"/>
      <c r="D70" s="187"/>
      <c r="E70" s="187"/>
      <c r="F70" s="21" t="s">
        <v>27</v>
      </c>
      <c r="G70" s="113"/>
      <c r="H70" s="123"/>
      <c r="I70" s="113">
        <v>45.7</v>
      </c>
      <c r="J70" s="123">
        <v>45.7</v>
      </c>
      <c r="K70" s="113"/>
      <c r="L70" s="123"/>
      <c r="M70" s="113"/>
      <c r="N70" s="123"/>
      <c r="O70" s="113">
        <v>45.7</v>
      </c>
      <c r="P70" s="123">
        <v>45.7</v>
      </c>
      <c r="Q70" s="113"/>
      <c r="R70" s="123"/>
      <c r="S70" s="113"/>
      <c r="T70" s="123"/>
      <c r="U70" s="113">
        <v>45.7</v>
      </c>
      <c r="V70" s="123">
        <v>45.7</v>
      </c>
      <c r="W70" s="113"/>
      <c r="X70" s="123"/>
      <c r="Y70" s="113"/>
      <c r="Z70" s="123"/>
      <c r="AA70" s="113"/>
      <c r="AB70" s="123"/>
      <c r="AC70" s="113"/>
      <c r="AD70" s="123"/>
      <c r="AE70" s="120"/>
      <c r="AF70" s="103" cm="1">
        <f t="array" ref="AF70">MAX(IF(MOD(COLUMN(G70:AD70)-COLUMN(C63),2)=0, G70:AD70))</f>
        <v>45.7</v>
      </c>
      <c r="AG70" s="104" cm="1">
        <f t="array" ref="AG70">MAX(IF(MOD(COLUMN(G70:AD70)-COLUMN(C63),2)=1, G70:AD70))</f>
        <v>45.7</v>
      </c>
      <c r="AI70" s="8"/>
      <c r="AJ70" s="8"/>
      <c r="AK70" s="8"/>
    </row>
    <row r="71" spans="1:37" x14ac:dyDescent="0.25">
      <c r="A71" s="214"/>
      <c r="B71" s="189">
        <v>18</v>
      </c>
      <c r="C71" s="183">
        <v>2011</v>
      </c>
      <c r="D71" s="186">
        <v>40.799999999999997</v>
      </c>
      <c r="E71" s="186">
        <v>40.799999999999997</v>
      </c>
      <c r="F71" s="14" t="s">
        <v>24</v>
      </c>
      <c r="G71" s="112"/>
      <c r="H71" s="111"/>
      <c r="I71" s="112"/>
      <c r="J71" s="111"/>
      <c r="K71" s="112">
        <v>1</v>
      </c>
      <c r="L71" s="111">
        <v>1</v>
      </c>
      <c r="M71" s="112"/>
      <c r="N71" s="111"/>
      <c r="O71" s="112"/>
      <c r="P71" s="111"/>
      <c r="Q71" s="112">
        <v>2</v>
      </c>
      <c r="R71" s="111">
        <v>2</v>
      </c>
      <c r="S71" s="112"/>
      <c r="T71" s="111"/>
      <c r="U71" s="112"/>
      <c r="V71" s="111"/>
      <c r="W71" s="112">
        <v>3</v>
      </c>
      <c r="X71" s="111">
        <v>3</v>
      </c>
      <c r="Y71" s="112"/>
      <c r="Z71" s="111"/>
      <c r="AA71" s="112"/>
      <c r="AB71" s="111"/>
      <c r="AC71" s="112"/>
      <c r="AD71" s="111"/>
      <c r="AF71" s="112" cm="1">
        <f t="array" ref="AF71">MAX(IF(MOD(COLUMN(G71:AD71)-COLUMN(C64),2)=0, G71:AD71))</f>
        <v>3</v>
      </c>
      <c r="AG71" s="111" cm="1">
        <f t="array" ref="AG71">MAX(IF(MOD(COLUMN(G71:AD71)-COLUMN(C64),2)=1, G71:AD71))</f>
        <v>3</v>
      </c>
    </row>
    <row r="72" spans="1:37" x14ac:dyDescent="0.25">
      <c r="A72" s="214"/>
      <c r="B72" s="190"/>
      <c r="C72" s="184"/>
      <c r="D72" s="187"/>
      <c r="E72" s="187"/>
      <c r="F72" s="21" t="s">
        <v>65</v>
      </c>
      <c r="G72" s="101"/>
      <c r="H72" s="102"/>
      <c r="I72" s="101"/>
      <c r="J72" s="102"/>
      <c r="K72" s="101">
        <v>40</v>
      </c>
      <c r="L72" s="102">
        <v>2000</v>
      </c>
      <c r="M72" s="101"/>
      <c r="N72" s="102"/>
      <c r="O72" s="101"/>
      <c r="P72" s="102"/>
      <c r="Q72" s="101">
        <v>40</v>
      </c>
      <c r="R72" s="102">
        <v>2000</v>
      </c>
      <c r="S72" s="101"/>
      <c r="T72" s="102"/>
      <c r="U72" s="101"/>
      <c r="V72" s="102"/>
      <c r="W72" s="101">
        <v>40</v>
      </c>
      <c r="X72" s="102">
        <v>2000</v>
      </c>
      <c r="Y72" s="101"/>
      <c r="Z72" s="102"/>
      <c r="AA72" s="101"/>
      <c r="AB72" s="102"/>
      <c r="AC72" s="101"/>
      <c r="AD72" s="102"/>
      <c r="AF72" s="101">
        <f>G72+I72+K72+M72+O72+Q72+S72+U72++W72+Y72+AA72+AC72</f>
        <v>120</v>
      </c>
      <c r="AG72" s="102">
        <f>H72+J72+L72+N72+P72+R72+T72+V72++X72+Z72+AB72+AD72</f>
        <v>6000</v>
      </c>
    </row>
    <row r="73" spans="1:37" ht="16.5" thickBot="1" x14ac:dyDescent="0.3">
      <c r="A73" s="214"/>
      <c r="B73" s="191"/>
      <c r="C73" s="185"/>
      <c r="D73" s="188"/>
      <c r="E73" s="188"/>
      <c r="F73" s="27" t="s">
        <v>27</v>
      </c>
      <c r="G73" s="103"/>
      <c r="H73" s="104"/>
      <c r="I73" s="103"/>
      <c r="J73" s="104"/>
      <c r="K73" s="103">
        <v>40.799999999999997</v>
      </c>
      <c r="L73" s="104">
        <v>40.799999999999997</v>
      </c>
      <c r="M73" s="103"/>
      <c r="N73" s="104"/>
      <c r="O73" s="103"/>
      <c r="P73" s="104"/>
      <c r="Q73" s="103">
        <v>40.799999999999997</v>
      </c>
      <c r="R73" s="104">
        <v>40.799999999999997</v>
      </c>
      <c r="S73" s="103"/>
      <c r="T73" s="104"/>
      <c r="U73" s="103"/>
      <c r="V73" s="104"/>
      <c r="W73" s="103">
        <v>40.799999999999997</v>
      </c>
      <c r="X73" s="104">
        <v>40.799999999999997</v>
      </c>
      <c r="Y73" s="103"/>
      <c r="Z73" s="104"/>
      <c r="AA73" s="103"/>
      <c r="AB73" s="104"/>
      <c r="AC73" s="103"/>
      <c r="AD73" s="104"/>
      <c r="AE73" s="120"/>
      <c r="AF73" s="103" cm="1">
        <f t="array" ref="AF73">MAX(IF(MOD(COLUMN(G73:AD73)-COLUMN(C66),2)=0, G73:AD73))</f>
        <v>40.799999999999997</v>
      </c>
      <c r="AG73" s="104" cm="1">
        <f t="array" ref="AG73">MAX(IF(MOD(COLUMN(G73:AD73)-COLUMN(C66),2)=1, G73:AD73))</f>
        <v>40.799999999999997</v>
      </c>
    </row>
    <row r="74" spans="1:37" ht="16.5" thickBot="1" x14ac:dyDescent="0.3">
      <c r="A74" s="214"/>
      <c r="B74" s="227" t="s">
        <v>29</v>
      </c>
      <c r="C74" s="228"/>
      <c r="D74" s="225">
        <f>SUM(D53:D73)</f>
        <v>310.5</v>
      </c>
      <c r="E74" s="225">
        <f>SUM(E53:E73)</f>
        <v>309.66000000000003</v>
      </c>
      <c r="F74" s="125" t="s">
        <v>65</v>
      </c>
      <c r="G74" s="47">
        <f t="shared" ref="G74:AD74" si="2">G54+G57+G60+G63+G66+G69+G72</f>
        <v>0</v>
      </c>
      <c r="H74" s="49">
        <f t="shared" si="2"/>
        <v>0</v>
      </c>
      <c r="I74" s="47">
        <f t="shared" si="2"/>
        <v>80</v>
      </c>
      <c r="J74" s="49">
        <f t="shared" si="2"/>
        <v>4000</v>
      </c>
      <c r="K74" s="47">
        <f t="shared" si="2"/>
        <v>80</v>
      </c>
      <c r="L74" s="49">
        <f t="shared" si="2"/>
        <v>4000</v>
      </c>
      <c r="M74" s="47">
        <f t="shared" si="2"/>
        <v>100</v>
      </c>
      <c r="N74" s="49">
        <f t="shared" si="2"/>
        <v>5000</v>
      </c>
      <c r="O74" s="47">
        <f t="shared" si="2"/>
        <v>100</v>
      </c>
      <c r="P74" s="49">
        <f t="shared" si="2"/>
        <v>5000</v>
      </c>
      <c r="Q74" s="47">
        <f t="shared" si="2"/>
        <v>80</v>
      </c>
      <c r="R74" s="49">
        <f t="shared" si="2"/>
        <v>4000</v>
      </c>
      <c r="S74" s="47">
        <f t="shared" si="2"/>
        <v>140</v>
      </c>
      <c r="T74" s="49">
        <f t="shared" si="2"/>
        <v>7000</v>
      </c>
      <c r="U74" s="47">
        <f t="shared" si="2"/>
        <v>80</v>
      </c>
      <c r="V74" s="49">
        <f t="shared" si="2"/>
        <v>4000</v>
      </c>
      <c r="W74" s="47">
        <f t="shared" si="2"/>
        <v>80</v>
      </c>
      <c r="X74" s="49">
        <f t="shared" si="2"/>
        <v>4000</v>
      </c>
      <c r="Y74" s="47">
        <f t="shared" si="2"/>
        <v>120</v>
      </c>
      <c r="Z74" s="49">
        <f t="shared" si="2"/>
        <v>6000</v>
      </c>
      <c r="AA74" s="47">
        <f t="shared" si="2"/>
        <v>0</v>
      </c>
      <c r="AB74" s="49">
        <f t="shared" si="2"/>
        <v>0</v>
      </c>
      <c r="AC74" s="47">
        <f t="shared" si="2"/>
        <v>0</v>
      </c>
      <c r="AD74" s="49">
        <f t="shared" si="2"/>
        <v>0</v>
      </c>
      <c r="AF74" s="47">
        <f>AF54+AF57+AF60+AF63+AF66+AF69+AF72</f>
        <v>860</v>
      </c>
      <c r="AG74" s="49">
        <f>AG54+AG57+AG60+AG63+AG66+AG69+AG72</f>
        <v>43000</v>
      </c>
    </row>
    <row r="75" spans="1:37" ht="16.5" thickBot="1" x14ac:dyDescent="0.3">
      <c r="A75" s="215"/>
      <c r="B75" s="229"/>
      <c r="C75" s="230"/>
      <c r="D75" s="226"/>
      <c r="E75" s="226"/>
      <c r="F75" s="46" t="s">
        <v>27</v>
      </c>
      <c r="G75" s="47">
        <f t="shared" ref="G75:AD75" si="3">G55+G58+G61+G64+G67+G70+G73</f>
        <v>0</v>
      </c>
      <c r="H75" s="49">
        <f t="shared" si="3"/>
        <v>0</v>
      </c>
      <c r="I75" s="47">
        <f t="shared" si="3"/>
        <v>106.5</v>
      </c>
      <c r="J75" s="49">
        <f t="shared" si="3"/>
        <v>106.5</v>
      </c>
      <c r="K75" s="47">
        <f t="shared" si="3"/>
        <v>94</v>
      </c>
      <c r="L75" s="49">
        <f t="shared" si="3"/>
        <v>94</v>
      </c>
      <c r="M75" s="47">
        <f t="shared" si="3"/>
        <v>90.9</v>
      </c>
      <c r="N75" s="49">
        <f t="shared" si="3"/>
        <v>90.9</v>
      </c>
      <c r="O75" s="47">
        <f t="shared" si="3"/>
        <v>125.60000000000001</v>
      </c>
      <c r="P75" s="49">
        <f t="shared" si="3"/>
        <v>125.60000000000001</v>
      </c>
      <c r="Q75" s="47">
        <f t="shared" si="3"/>
        <v>94</v>
      </c>
      <c r="R75" s="49">
        <f t="shared" si="3"/>
        <v>94</v>
      </c>
      <c r="S75" s="47">
        <f t="shared" si="3"/>
        <v>110</v>
      </c>
      <c r="T75" s="49">
        <f t="shared" si="3"/>
        <v>110</v>
      </c>
      <c r="U75" s="47">
        <f t="shared" si="3"/>
        <v>106.5</v>
      </c>
      <c r="V75" s="49">
        <f t="shared" si="3"/>
        <v>106.5</v>
      </c>
      <c r="W75" s="47">
        <f t="shared" si="3"/>
        <v>94</v>
      </c>
      <c r="X75" s="49">
        <f t="shared" si="3"/>
        <v>94</v>
      </c>
      <c r="Y75" s="47">
        <f t="shared" si="3"/>
        <v>109.87</v>
      </c>
      <c r="Z75" s="49">
        <f t="shared" si="3"/>
        <v>109.87</v>
      </c>
      <c r="AA75" s="47">
        <f t="shared" si="3"/>
        <v>0</v>
      </c>
      <c r="AB75" s="49">
        <f t="shared" si="3"/>
        <v>0</v>
      </c>
      <c r="AC75" s="47">
        <f t="shared" si="3"/>
        <v>0</v>
      </c>
      <c r="AD75" s="49">
        <f t="shared" si="3"/>
        <v>0</v>
      </c>
      <c r="AF75" s="47">
        <f>AF55+AF58+AF61+AF64+AF67+AF70+AF73</f>
        <v>310.5</v>
      </c>
      <c r="AG75" s="49">
        <f>AG55+AG58+AG61+AG64+AG67+AG70+AG73</f>
        <v>310.5</v>
      </c>
    </row>
    <row r="76" spans="1:37" ht="16.5" thickBot="1" x14ac:dyDescent="0.3"/>
    <row r="77" spans="1:37" ht="15.75" customHeight="1" x14ac:dyDescent="0.25">
      <c r="A77" s="209" t="s">
        <v>67</v>
      </c>
      <c r="B77" s="209" t="s">
        <v>7</v>
      </c>
      <c r="C77" s="160" t="s">
        <v>8</v>
      </c>
      <c r="D77" s="166" t="s">
        <v>9</v>
      </c>
      <c r="E77" s="166" t="s">
        <v>10</v>
      </c>
      <c r="F77" s="169" t="s">
        <v>11</v>
      </c>
      <c r="G77" s="203" t="s">
        <v>12</v>
      </c>
      <c r="H77" s="204"/>
      <c r="I77" s="203" t="s">
        <v>13</v>
      </c>
      <c r="J77" s="204"/>
      <c r="K77" s="203" t="s">
        <v>14</v>
      </c>
      <c r="L77" s="211"/>
      <c r="M77" s="203" t="s">
        <v>15</v>
      </c>
      <c r="N77" s="204"/>
      <c r="O77" s="203" t="s">
        <v>16</v>
      </c>
      <c r="P77" s="204"/>
      <c r="Q77" s="203" t="s">
        <v>17</v>
      </c>
      <c r="R77" s="204"/>
      <c r="S77" s="203" t="s">
        <v>18</v>
      </c>
      <c r="T77" s="204"/>
      <c r="U77" s="203" t="s">
        <v>19</v>
      </c>
      <c r="V77" s="204"/>
      <c r="W77" s="203" t="s">
        <v>20</v>
      </c>
      <c r="X77" s="204"/>
      <c r="Y77" s="203" t="s">
        <v>21</v>
      </c>
      <c r="Z77" s="204"/>
      <c r="AA77" s="211" t="s">
        <v>22</v>
      </c>
      <c r="AB77" s="211"/>
      <c r="AC77" s="203" t="s">
        <v>23</v>
      </c>
      <c r="AD77" s="204"/>
      <c r="AF77" s="203" t="s">
        <v>66</v>
      </c>
      <c r="AG77" s="204"/>
    </row>
    <row r="78" spans="1:37" ht="15.75" customHeight="1" x14ac:dyDescent="0.25">
      <c r="A78" s="158"/>
      <c r="B78" s="158"/>
      <c r="C78" s="161"/>
      <c r="D78" s="167"/>
      <c r="E78" s="167"/>
      <c r="F78" s="193"/>
      <c r="G78" s="205"/>
      <c r="H78" s="206"/>
      <c r="I78" s="205"/>
      <c r="J78" s="206"/>
      <c r="K78" s="205"/>
      <c r="L78" s="156"/>
      <c r="M78" s="205"/>
      <c r="N78" s="206"/>
      <c r="O78" s="205"/>
      <c r="P78" s="206"/>
      <c r="Q78" s="205"/>
      <c r="R78" s="206"/>
      <c r="S78" s="205"/>
      <c r="T78" s="206"/>
      <c r="U78" s="205"/>
      <c r="V78" s="206"/>
      <c r="W78" s="205"/>
      <c r="X78" s="206"/>
      <c r="Y78" s="205"/>
      <c r="Z78" s="206"/>
      <c r="AA78" s="156"/>
      <c r="AB78" s="156"/>
      <c r="AC78" s="205"/>
      <c r="AD78" s="206"/>
      <c r="AF78" s="205"/>
      <c r="AG78" s="206"/>
    </row>
    <row r="79" spans="1:37" ht="16.5" thickBot="1" x14ac:dyDescent="0.3">
      <c r="A79" s="158"/>
      <c r="B79" s="158"/>
      <c r="C79" s="162"/>
      <c r="D79" s="167"/>
      <c r="E79" s="167"/>
      <c r="F79" s="193"/>
      <c r="G79" s="207"/>
      <c r="H79" s="208"/>
      <c r="I79" s="207"/>
      <c r="J79" s="208"/>
      <c r="K79" s="207"/>
      <c r="L79" s="212"/>
      <c r="M79" s="207"/>
      <c r="N79" s="208"/>
      <c r="O79" s="207"/>
      <c r="P79" s="208"/>
      <c r="Q79" s="207"/>
      <c r="R79" s="208"/>
      <c r="S79" s="207"/>
      <c r="T79" s="208"/>
      <c r="U79" s="207"/>
      <c r="V79" s="208"/>
      <c r="W79" s="207"/>
      <c r="X79" s="208"/>
      <c r="Y79" s="207"/>
      <c r="Z79" s="208"/>
      <c r="AA79" s="212"/>
      <c r="AB79" s="212"/>
      <c r="AC79" s="207"/>
      <c r="AD79" s="208"/>
      <c r="AF79" s="207"/>
      <c r="AG79" s="208"/>
    </row>
    <row r="80" spans="1:37" s="119" customFormat="1" ht="32.25" thickBot="1" x14ac:dyDescent="0.3">
      <c r="A80" s="210"/>
      <c r="B80" s="210"/>
      <c r="C80" s="90"/>
      <c r="D80" s="168"/>
      <c r="E80" s="168"/>
      <c r="F80" s="194"/>
      <c r="G80" s="106" t="s">
        <v>76</v>
      </c>
      <c r="H80" s="118" t="s">
        <v>75</v>
      </c>
      <c r="I80" s="106" t="s">
        <v>76</v>
      </c>
      <c r="J80" s="118" t="s">
        <v>75</v>
      </c>
      <c r="K80" s="106" t="s">
        <v>76</v>
      </c>
      <c r="L80" s="118" t="s">
        <v>75</v>
      </c>
      <c r="M80" s="106" t="s">
        <v>76</v>
      </c>
      <c r="N80" s="118" t="s">
        <v>75</v>
      </c>
      <c r="O80" s="106" t="s">
        <v>76</v>
      </c>
      <c r="P80" s="118" t="s">
        <v>75</v>
      </c>
      <c r="Q80" s="106" t="s">
        <v>76</v>
      </c>
      <c r="R80" s="118" t="s">
        <v>75</v>
      </c>
      <c r="S80" s="106" t="s">
        <v>76</v>
      </c>
      <c r="T80" s="118" t="s">
        <v>75</v>
      </c>
      <c r="U80" s="106" t="s">
        <v>76</v>
      </c>
      <c r="V80" s="118" t="s">
        <v>75</v>
      </c>
      <c r="W80" s="106" t="s">
        <v>76</v>
      </c>
      <c r="X80" s="118" t="s">
        <v>75</v>
      </c>
      <c r="Y80" s="106" t="s">
        <v>76</v>
      </c>
      <c r="Z80" s="118" t="s">
        <v>75</v>
      </c>
      <c r="AA80" s="106" t="s">
        <v>76</v>
      </c>
      <c r="AB80" s="118" t="s">
        <v>75</v>
      </c>
      <c r="AC80" s="106" t="s">
        <v>76</v>
      </c>
      <c r="AD80" s="118" t="s">
        <v>75</v>
      </c>
      <c r="AF80" s="106" t="s">
        <v>76</v>
      </c>
      <c r="AG80" s="118" t="s">
        <v>75</v>
      </c>
    </row>
    <row r="81" spans="1:36" x14ac:dyDescent="0.25">
      <c r="A81" s="213" t="s">
        <v>70</v>
      </c>
      <c r="B81" s="180">
        <v>19</v>
      </c>
      <c r="C81" s="183">
        <v>2012</v>
      </c>
      <c r="D81" s="186">
        <v>50.6</v>
      </c>
      <c r="E81" s="186">
        <v>50.6</v>
      </c>
      <c r="F81" s="14" t="s">
        <v>24</v>
      </c>
      <c r="G81" s="112"/>
      <c r="H81" s="111"/>
      <c r="I81" s="112">
        <v>1</v>
      </c>
      <c r="J81" s="111">
        <v>1</v>
      </c>
      <c r="K81" s="112"/>
      <c r="L81" s="111"/>
      <c r="M81" s="112"/>
      <c r="N81" s="111"/>
      <c r="O81" s="112"/>
      <c r="P81" s="111"/>
      <c r="Q81" s="112">
        <v>2</v>
      </c>
      <c r="R81" s="111">
        <v>2</v>
      </c>
      <c r="S81" s="112"/>
      <c r="T81" s="111"/>
      <c r="U81" s="112">
        <v>3</v>
      </c>
      <c r="V81" s="111">
        <v>3</v>
      </c>
      <c r="W81" s="112"/>
      <c r="X81" s="111"/>
      <c r="Y81" s="112"/>
      <c r="Z81" s="111"/>
      <c r="AA81" s="112"/>
      <c r="AB81" s="111"/>
      <c r="AC81" s="112"/>
      <c r="AD81" s="111"/>
      <c r="AF81" s="112" cm="1">
        <f t="array" ref="AF81">MAX(IF(MOD(COLUMN(G81:AD81)-COLUMN(C76),2)=0, G81:AD81))</f>
        <v>3</v>
      </c>
      <c r="AG81" s="111" cm="1">
        <f t="array" ref="AG81">MAX(IF(MOD(COLUMN(G81:AD81)-COLUMN(C76),2)=1, G81:AD81))</f>
        <v>3</v>
      </c>
    </row>
    <row r="82" spans="1:36" x14ac:dyDescent="0.25">
      <c r="A82" s="214"/>
      <c r="B82" s="181"/>
      <c r="C82" s="184"/>
      <c r="D82" s="187"/>
      <c r="E82" s="187"/>
      <c r="F82" s="21" t="s">
        <v>65</v>
      </c>
      <c r="G82" s="101"/>
      <c r="H82" s="102"/>
      <c r="I82" s="101">
        <v>60</v>
      </c>
      <c r="J82" s="102">
        <v>3000</v>
      </c>
      <c r="K82" s="101"/>
      <c r="L82" s="102"/>
      <c r="M82" s="101"/>
      <c r="N82" s="102"/>
      <c r="O82" s="101"/>
      <c r="P82" s="102"/>
      <c r="Q82" s="101">
        <v>60</v>
      </c>
      <c r="R82" s="102">
        <v>3000</v>
      </c>
      <c r="S82" s="101"/>
      <c r="T82" s="102"/>
      <c r="U82" s="101">
        <v>60</v>
      </c>
      <c r="V82" s="102">
        <v>3000</v>
      </c>
      <c r="W82" s="101"/>
      <c r="X82" s="102"/>
      <c r="Y82" s="101"/>
      <c r="Z82" s="102"/>
      <c r="AA82" s="101"/>
      <c r="AB82" s="102"/>
      <c r="AC82" s="101"/>
      <c r="AD82" s="102"/>
      <c r="AF82" s="101">
        <f>G82+I82+K82+M82+O82+Q82+S82+U82++W82+Y82+AA82+AC82</f>
        <v>180</v>
      </c>
      <c r="AG82" s="102">
        <f>H82+J82+L82+N82+P82+R82+T82+V82++X82+Z82+AB82+AD82</f>
        <v>9000</v>
      </c>
    </row>
    <row r="83" spans="1:36" ht="16.5" thickBot="1" x14ac:dyDescent="0.3">
      <c r="A83" s="214"/>
      <c r="B83" s="182"/>
      <c r="C83" s="185"/>
      <c r="D83" s="188"/>
      <c r="E83" s="188"/>
      <c r="F83" s="27" t="s">
        <v>27</v>
      </c>
      <c r="G83" s="103"/>
      <c r="H83" s="104"/>
      <c r="I83" s="103">
        <v>50.6</v>
      </c>
      <c r="J83" s="104">
        <v>50.6</v>
      </c>
      <c r="K83" s="103"/>
      <c r="L83" s="104"/>
      <c r="M83" s="103"/>
      <c r="N83" s="104"/>
      <c r="O83" s="103"/>
      <c r="P83" s="104"/>
      <c r="Q83" s="103">
        <v>50.6</v>
      </c>
      <c r="R83" s="104">
        <v>50.6</v>
      </c>
      <c r="S83" s="103"/>
      <c r="T83" s="104"/>
      <c r="U83" s="103">
        <v>50.6</v>
      </c>
      <c r="V83" s="104">
        <v>50.6</v>
      </c>
      <c r="W83" s="103"/>
      <c r="X83" s="104"/>
      <c r="Y83" s="103"/>
      <c r="Z83" s="104"/>
      <c r="AA83" s="103"/>
      <c r="AB83" s="104"/>
      <c r="AC83" s="103"/>
      <c r="AD83" s="104"/>
      <c r="AE83" s="120"/>
      <c r="AF83" s="103" cm="1">
        <f t="array" ref="AF83">MAX(IF(MOD(COLUMN(G83:AD83)-COLUMN(C78),2)=0, G83:AD83))</f>
        <v>50.6</v>
      </c>
      <c r="AG83" s="104" cm="1">
        <f t="array" ref="AG83">MAX(IF(MOD(COLUMN(G83:AD83)-COLUMN(C78),2)=1, G83:AD83))</f>
        <v>50.6</v>
      </c>
    </row>
    <row r="84" spans="1:36" x14ac:dyDescent="0.25">
      <c r="A84" s="214"/>
      <c r="B84" s="189">
        <v>20</v>
      </c>
      <c r="C84" s="183">
        <v>2012</v>
      </c>
      <c r="D84" s="186">
        <v>62.1</v>
      </c>
      <c r="E84" s="186">
        <v>61.98</v>
      </c>
      <c r="F84" s="14" t="s">
        <v>24</v>
      </c>
      <c r="G84" s="112"/>
      <c r="H84" s="111"/>
      <c r="I84" s="112">
        <v>1</v>
      </c>
      <c r="J84" s="111">
        <v>1</v>
      </c>
      <c r="K84" s="112"/>
      <c r="L84" s="111"/>
      <c r="M84" s="112"/>
      <c r="N84" s="111"/>
      <c r="O84" s="112">
        <v>2</v>
      </c>
      <c r="P84" s="111">
        <v>2</v>
      </c>
      <c r="Q84" s="112"/>
      <c r="R84" s="111"/>
      <c r="S84" s="112"/>
      <c r="T84" s="111"/>
      <c r="U84" s="112">
        <v>3</v>
      </c>
      <c r="V84" s="111">
        <v>3</v>
      </c>
      <c r="W84" s="112"/>
      <c r="X84" s="111"/>
      <c r="Y84" s="112"/>
      <c r="Z84" s="111"/>
      <c r="AA84" s="112"/>
      <c r="AB84" s="111"/>
      <c r="AC84" s="112"/>
      <c r="AD84" s="111"/>
      <c r="AF84" s="112" cm="1">
        <f t="array" ref="AF84">MAX(IF(MOD(COLUMN(G84:AD84)-COLUMN(C79),2)=0, G84:AD84))</f>
        <v>3</v>
      </c>
      <c r="AG84" s="111" cm="1">
        <f t="array" ref="AG84">MAX(IF(MOD(COLUMN(G84:AD84)-COLUMN(C79),2)=1, G84:AD84))</f>
        <v>3</v>
      </c>
    </row>
    <row r="85" spans="1:36" x14ac:dyDescent="0.25">
      <c r="A85" s="214"/>
      <c r="B85" s="190"/>
      <c r="C85" s="184"/>
      <c r="D85" s="187"/>
      <c r="E85" s="187"/>
      <c r="F85" s="21" t="s">
        <v>65</v>
      </c>
      <c r="G85" s="101"/>
      <c r="H85" s="102"/>
      <c r="I85" s="101">
        <v>40</v>
      </c>
      <c r="J85" s="102">
        <v>2000</v>
      </c>
      <c r="K85" s="101"/>
      <c r="L85" s="102"/>
      <c r="M85" s="101"/>
      <c r="N85" s="102"/>
      <c r="O85" s="101">
        <v>40</v>
      </c>
      <c r="P85" s="102">
        <v>2000</v>
      </c>
      <c r="Q85" s="101"/>
      <c r="R85" s="102"/>
      <c r="S85" s="101"/>
      <c r="T85" s="102"/>
      <c r="U85" s="101">
        <v>40</v>
      </c>
      <c r="V85" s="102">
        <v>2000</v>
      </c>
      <c r="W85" s="101"/>
      <c r="X85" s="102"/>
      <c r="Y85" s="101"/>
      <c r="Z85" s="102"/>
      <c r="AA85" s="101"/>
      <c r="AB85" s="102"/>
      <c r="AC85" s="101"/>
      <c r="AD85" s="102"/>
      <c r="AF85" s="101">
        <f>G85+I85+K85+M85+O85+Q85+S85+U85++W85+Y85+AA85+AC85</f>
        <v>120</v>
      </c>
      <c r="AG85" s="102">
        <f>H85+J85+L85+N85+P85+R85+T85+V85++X85+Z85+AB85+AD85</f>
        <v>6000</v>
      </c>
      <c r="AH85" s="8"/>
      <c r="AI85" s="8"/>
      <c r="AJ85" s="8"/>
    </row>
    <row r="86" spans="1:36" ht="16.5" thickBot="1" x14ac:dyDescent="0.3">
      <c r="A86" s="214"/>
      <c r="B86" s="191"/>
      <c r="C86" s="185"/>
      <c r="D86" s="188"/>
      <c r="E86" s="188"/>
      <c r="F86" s="27" t="s">
        <v>27</v>
      </c>
      <c r="G86" s="103"/>
      <c r="H86" s="104"/>
      <c r="I86" s="103">
        <v>62.1</v>
      </c>
      <c r="J86" s="104">
        <v>62.1</v>
      </c>
      <c r="K86" s="103"/>
      <c r="L86" s="104"/>
      <c r="M86" s="103"/>
      <c r="N86" s="104"/>
      <c r="O86" s="103">
        <v>62.1</v>
      </c>
      <c r="P86" s="104">
        <v>62.1</v>
      </c>
      <c r="Q86" s="103"/>
      <c r="R86" s="104"/>
      <c r="S86" s="103"/>
      <c r="T86" s="104"/>
      <c r="U86" s="103">
        <v>62.1</v>
      </c>
      <c r="V86" s="104">
        <v>62.1</v>
      </c>
      <c r="W86" s="103"/>
      <c r="X86" s="104"/>
      <c r="Y86" s="103"/>
      <c r="Z86" s="104"/>
      <c r="AA86" s="103"/>
      <c r="AB86" s="104"/>
      <c r="AC86" s="103"/>
      <c r="AD86" s="104"/>
      <c r="AE86" s="120"/>
      <c r="AF86" s="103" cm="1">
        <f t="array" ref="AF86">MAX(IF(MOD(COLUMN(G86:AD86)-COLUMN(C78),2)=0, G86:AD86))</f>
        <v>62.1</v>
      </c>
      <c r="AG86" s="104" cm="1">
        <f t="array" ref="AG86">MAX(IF(MOD(COLUMN(G86:AD86)-COLUMN(C78),2)=1, G86:AD86))</f>
        <v>62.1</v>
      </c>
      <c r="AH86" s="8"/>
      <c r="AI86" s="8"/>
      <c r="AJ86" s="8"/>
    </row>
    <row r="87" spans="1:36" x14ac:dyDescent="0.25">
      <c r="A87" s="214"/>
      <c r="B87" s="189">
        <v>21</v>
      </c>
      <c r="C87" s="183">
        <v>2012</v>
      </c>
      <c r="D87" s="186">
        <v>72.2</v>
      </c>
      <c r="E87" s="186">
        <v>71.59</v>
      </c>
      <c r="F87" s="14" t="s">
        <v>24</v>
      </c>
      <c r="G87" s="112"/>
      <c r="H87" s="111"/>
      <c r="I87" s="112"/>
      <c r="J87" s="111"/>
      <c r="K87" s="112">
        <v>1</v>
      </c>
      <c r="L87" s="111">
        <v>1</v>
      </c>
      <c r="M87" s="112"/>
      <c r="N87" s="111"/>
      <c r="O87" s="112"/>
      <c r="P87" s="111"/>
      <c r="Q87" s="112">
        <v>2</v>
      </c>
      <c r="R87" s="111">
        <v>2</v>
      </c>
      <c r="S87" s="112"/>
      <c r="T87" s="111"/>
      <c r="U87" s="112"/>
      <c r="V87" s="111"/>
      <c r="W87" s="112">
        <v>3</v>
      </c>
      <c r="X87" s="111">
        <v>3</v>
      </c>
      <c r="Y87" s="112"/>
      <c r="Z87" s="111"/>
      <c r="AA87" s="112"/>
      <c r="AB87" s="111"/>
      <c r="AC87" s="112"/>
      <c r="AD87" s="111"/>
      <c r="AF87" s="112" cm="1">
        <f t="array" ref="AF87">MAX(IF(MOD(COLUMN(G87:AD87)-COLUMN(C80),2)=0, G87:AD87))</f>
        <v>3</v>
      </c>
      <c r="AG87" s="111" cm="1">
        <f t="array" ref="AG87">MAX(IF(MOD(COLUMN(G87:AD87)-COLUMN(C80),2)=1, G87:AD87))</f>
        <v>3</v>
      </c>
      <c r="AH87" s="8"/>
      <c r="AI87" s="8"/>
      <c r="AJ87" s="8"/>
    </row>
    <row r="88" spans="1:36" x14ac:dyDescent="0.25">
      <c r="A88" s="214"/>
      <c r="B88" s="190"/>
      <c r="C88" s="184"/>
      <c r="D88" s="187"/>
      <c r="E88" s="187"/>
      <c r="F88" s="21" t="s">
        <v>65</v>
      </c>
      <c r="G88" s="101"/>
      <c r="H88" s="102"/>
      <c r="I88" s="101"/>
      <c r="J88" s="102"/>
      <c r="K88" s="101">
        <v>80</v>
      </c>
      <c r="L88" s="102">
        <v>4000</v>
      </c>
      <c r="M88" s="101"/>
      <c r="N88" s="102"/>
      <c r="O88" s="101"/>
      <c r="P88" s="102"/>
      <c r="Q88" s="101">
        <v>80</v>
      </c>
      <c r="R88" s="102">
        <v>4000</v>
      </c>
      <c r="S88" s="101"/>
      <c r="T88" s="102"/>
      <c r="U88" s="101"/>
      <c r="V88" s="102"/>
      <c r="W88" s="101">
        <v>80</v>
      </c>
      <c r="X88" s="102">
        <v>4000</v>
      </c>
      <c r="Y88" s="101"/>
      <c r="Z88" s="102"/>
      <c r="AA88" s="101"/>
      <c r="AB88" s="102"/>
      <c r="AC88" s="101"/>
      <c r="AD88" s="102"/>
      <c r="AF88" s="101">
        <f>G88+I88+K88+M88+O88+Q88+S88+U88++W88+Y88+AA88+AC88</f>
        <v>240</v>
      </c>
      <c r="AG88" s="102">
        <f>H88+J88+L88+N88+P88+R88+T88+V88++X88+Z88+AB88+AD88</f>
        <v>12000</v>
      </c>
      <c r="AH88" s="8"/>
      <c r="AI88" s="8"/>
      <c r="AJ88" s="8"/>
    </row>
    <row r="89" spans="1:36" ht="16.5" thickBot="1" x14ac:dyDescent="0.3">
      <c r="A89" s="214"/>
      <c r="B89" s="191"/>
      <c r="C89" s="185"/>
      <c r="D89" s="188"/>
      <c r="E89" s="188"/>
      <c r="F89" s="27" t="s">
        <v>27</v>
      </c>
      <c r="G89" s="103"/>
      <c r="H89" s="104"/>
      <c r="I89" s="103"/>
      <c r="J89" s="104"/>
      <c r="K89" s="103">
        <v>72.2</v>
      </c>
      <c r="L89" s="104">
        <v>72.2</v>
      </c>
      <c r="M89" s="103"/>
      <c r="N89" s="104"/>
      <c r="O89" s="103"/>
      <c r="P89" s="104"/>
      <c r="Q89" s="103">
        <v>72.2</v>
      </c>
      <c r="R89" s="104">
        <v>72.2</v>
      </c>
      <c r="S89" s="103"/>
      <c r="T89" s="104"/>
      <c r="U89" s="103"/>
      <c r="V89" s="104"/>
      <c r="W89" s="103">
        <v>72.2</v>
      </c>
      <c r="X89" s="104">
        <v>72.2</v>
      </c>
      <c r="Y89" s="103"/>
      <c r="Z89" s="104"/>
      <c r="AA89" s="103"/>
      <c r="AB89" s="104"/>
      <c r="AC89" s="103"/>
      <c r="AD89" s="104"/>
      <c r="AE89" s="120"/>
      <c r="AF89" s="103" cm="1">
        <f t="array" ref="AF89">MAX(IF(MOD(COLUMN(G89:AD89)-COLUMN(C82),2)=0, G89:AD89))</f>
        <v>72.2</v>
      </c>
      <c r="AG89" s="104" cm="1">
        <f t="array" ref="AG89">MAX(IF(MOD(COLUMN(G89:AD89)-COLUMN(C82),2)=1, G89:AD89))</f>
        <v>72.2</v>
      </c>
    </row>
    <row r="90" spans="1:36" x14ac:dyDescent="0.25">
      <c r="A90" s="214"/>
      <c r="B90" s="189">
        <v>22</v>
      </c>
      <c r="C90" s="183">
        <v>2012</v>
      </c>
      <c r="D90" s="186">
        <v>52.3</v>
      </c>
      <c r="E90" s="186">
        <v>52.08</v>
      </c>
      <c r="F90" s="14" t="s">
        <v>24</v>
      </c>
      <c r="G90" s="112"/>
      <c r="H90" s="111"/>
      <c r="I90" s="112"/>
      <c r="J90" s="111"/>
      <c r="K90" s="112">
        <v>1</v>
      </c>
      <c r="L90" s="111">
        <v>1</v>
      </c>
      <c r="M90" s="112"/>
      <c r="N90" s="111"/>
      <c r="O90" s="112"/>
      <c r="P90" s="111"/>
      <c r="Q90" s="112">
        <v>2</v>
      </c>
      <c r="R90" s="111">
        <v>2</v>
      </c>
      <c r="S90" s="112"/>
      <c r="T90" s="111"/>
      <c r="U90" s="112"/>
      <c r="V90" s="111"/>
      <c r="W90" s="112">
        <v>3</v>
      </c>
      <c r="X90" s="111">
        <v>3</v>
      </c>
      <c r="Y90" s="112"/>
      <c r="Z90" s="111"/>
      <c r="AA90" s="112"/>
      <c r="AB90" s="111"/>
      <c r="AC90" s="112"/>
      <c r="AD90" s="111"/>
      <c r="AF90" s="112" cm="1">
        <f t="array" ref="AF90">MAX(IF(MOD(COLUMN(G90:AD90)-COLUMN(C83),2)=0, G90:AD90))</f>
        <v>3</v>
      </c>
      <c r="AG90" s="111" cm="1">
        <f t="array" ref="AG90">MAX(IF(MOD(COLUMN(G90:AD90)-COLUMN(C83),2)=1, G90:AD90))</f>
        <v>3</v>
      </c>
    </row>
    <row r="91" spans="1:36" x14ac:dyDescent="0.25">
      <c r="A91" s="214"/>
      <c r="B91" s="190"/>
      <c r="C91" s="184"/>
      <c r="D91" s="187"/>
      <c r="E91" s="187"/>
      <c r="F91" s="21" t="s">
        <v>65</v>
      </c>
      <c r="G91" s="101"/>
      <c r="H91" s="102"/>
      <c r="I91" s="101"/>
      <c r="J91" s="102"/>
      <c r="K91" s="101">
        <v>40</v>
      </c>
      <c r="L91" s="102">
        <v>2000</v>
      </c>
      <c r="M91" s="101"/>
      <c r="N91" s="102"/>
      <c r="O91" s="101"/>
      <c r="P91" s="102"/>
      <c r="Q91" s="101">
        <v>40</v>
      </c>
      <c r="R91" s="102">
        <v>2000</v>
      </c>
      <c r="S91" s="101"/>
      <c r="T91" s="102"/>
      <c r="U91" s="101"/>
      <c r="V91" s="102"/>
      <c r="W91" s="101">
        <v>40</v>
      </c>
      <c r="X91" s="102">
        <v>2000</v>
      </c>
      <c r="Y91" s="101"/>
      <c r="Z91" s="102"/>
      <c r="AA91" s="101"/>
      <c r="AB91" s="102"/>
      <c r="AC91" s="101"/>
      <c r="AD91" s="102"/>
      <c r="AF91" s="101">
        <f>G91+I91+K91+M91+O91+Q91+S91+U91++W91+Y91+AA91+AC91</f>
        <v>120</v>
      </c>
      <c r="AG91" s="102">
        <f>H91+J91+L91+N91+P91+R91+T91+V91++X91+Z91+AB91+AD91</f>
        <v>6000</v>
      </c>
    </row>
    <row r="92" spans="1:36" ht="16.5" thickBot="1" x14ac:dyDescent="0.3">
      <c r="A92" s="214"/>
      <c r="B92" s="191"/>
      <c r="C92" s="185"/>
      <c r="D92" s="188"/>
      <c r="E92" s="188"/>
      <c r="F92" s="27" t="s">
        <v>27</v>
      </c>
      <c r="G92" s="103"/>
      <c r="H92" s="104"/>
      <c r="I92" s="103"/>
      <c r="J92" s="104"/>
      <c r="K92" s="103">
        <v>52.3</v>
      </c>
      <c r="L92" s="104">
        <v>52.3</v>
      </c>
      <c r="M92" s="103"/>
      <c r="N92" s="104"/>
      <c r="O92" s="103"/>
      <c r="P92" s="104"/>
      <c r="Q92" s="103">
        <v>52.3</v>
      </c>
      <c r="R92" s="104">
        <v>52.3</v>
      </c>
      <c r="S92" s="103"/>
      <c r="T92" s="104"/>
      <c r="U92" s="103"/>
      <c r="V92" s="104"/>
      <c r="W92" s="103">
        <v>52.3</v>
      </c>
      <c r="X92" s="104">
        <v>52.3</v>
      </c>
      <c r="Y92" s="103"/>
      <c r="Z92" s="104"/>
      <c r="AA92" s="103"/>
      <c r="AB92" s="104"/>
      <c r="AC92" s="103"/>
      <c r="AD92" s="104"/>
      <c r="AE92" s="120"/>
      <c r="AF92" s="103" cm="1">
        <f t="array" ref="AF92">MAX(IF(MOD(COLUMN(G92:AD92)-COLUMN(C85),2)=0, G92:AD92))</f>
        <v>52.3</v>
      </c>
      <c r="AG92" s="104" cm="1">
        <f t="array" ref="AG92">MAX(IF(MOD(COLUMN(G92:AD92)-COLUMN(C85),2)=1, G92:AD92))</f>
        <v>52.3</v>
      </c>
    </row>
    <row r="93" spans="1:36" x14ac:dyDescent="0.25">
      <c r="A93" s="214"/>
      <c r="B93" s="189">
        <v>24</v>
      </c>
      <c r="C93" s="183">
        <v>2012</v>
      </c>
      <c r="D93" s="186">
        <v>44.7</v>
      </c>
      <c r="E93" s="186">
        <v>44.67</v>
      </c>
      <c r="F93" s="14" t="s">
        <v>24</v>
      </c>
      <c r="G93" s="112"/>
      <c r="H93" s="111"/>
      <c r="I93" s="112"/>
      <c r="J93" s="111"/>
      <c r="K93" s="112"/>
      <c r="L93" s="111"/>
      <c r="M93" s="112"/>
      <c r="N93" s="111"/>
      <c r="O93" s="112">
        <v>1</v>
      </c>
      <c r="P93" s="111">
        <v>1</v>
      </c>
      <c r="Q93" s="112"/>
      <c r="R93" s="111"/>
      <c r="S93" s="112">
        <v>2</v>
      </c>
      <c r="T93" s="111">
        <v>2</v>
      </c>
      <c r="U93" s="112"/>
      <c r="V93" s="111"/>
      <c r="W93" s="112"/>
      <c r="X93" s="111"/>
      <c r="Y93" s="112">
        <v>3</v>
      </c>
      <c r="Z93" s="111">
        <v>3</v>
      </c>
      <c r="AA93" s="112"/>
      <c r="AB93" s="111"/>
      <c r="AC93" s="112"/>
      <c r="AD93" s="111"/>
      <c r="AF93" s="112" cm="1">
        <f t="array" ref="AF93">MAX(IF(MOD(COLUMN(G93:AD93)-COLUMN(C86),2)=0, G93:AD93))</f>
        <v>3</v>
      </c>
      <c r="AG93" s="111" cm="1">
        <f t="array" ref="AG93">MAX(IF(MOD(COLUMN(G93:AD93)-COLUMN(C86),2)=1, G93:AD93))</f>
        <v>3</v>
      </c>
    </row>
    <row r="94" spans="1:36" x14ac:dyDescent="0.25">
      <c r="A94" s="214"/>
      <c r="B94" s="190"/>
      <c r="C94" s="184"/>
      <c r="D94" s="187"/>
      <c r="E94" s="187"/>
      <c r="F94" s="21" t="s">
        <v>65</v>
      </c>
      <c r="G94" s="101"/>
      <c r="H94" s="102"/>
      <c r="I94" s="101"/>
      <c r="J94" s="102"/>
      <c r="K94" s="101"/>
      <c r="L94" s="102"/>
      <c r="M94" s="101"/>
      <c r="N94" s="102"/>
      <c r="O94" s="101">
        <v>40</v>
      </c>
      <c r="P94" s="102">
        <v>2000</v>
      </c>
      <c r="Q94" s="101"/>
      <c r="R94" s="102"/>
      <c r="S94" s="101">
        <v>40</v>
      </c>
      <c r="T94" s="102">
        <v>2000</v>
      </c>
      <c r="U94" s="101"/>
      <c r="V94" s="102"/>
      <c r="W94" s="101"/>
      <c r="X94" s="102"/>
      <c r="Y94" s="101">
        <v>40</v>
      </c>
      <c r="Z94" s="102">
        <v>2000</v>
      </c>
      <c r="AA94" s="101"/>
      <c r="AB94" s="102"/>
      <c r="AC94" s="101"/>
      <c r="AD94" s="102"/>
      <c r="AF94" s="101">
        <f>G94+I94+K94+M94+O94+Q94+S94+U94++W94+Y94+AA94+AC94</f>
        <v>120</v>
      </c>
      <c r="AG94" s="102">
        <f>H94+J94+L94+N94+P94+R94+T94+V94++X94+Z94+AB94+AD94</f>
        <v>6000</v>
      </c>
    </row>
    <row r="95" spans="1:36" ht="16.5" thickBot="1" x14ac:dyDescent="0.3">
      <c r="A95" s="214"/>
      <c r="B95" s="191"/>
      <c r="C95" s="185"/>
      <c r="D95" s="188"/>
      <c r="E95" s="188"/>
      <c r="F95" s="27" t="s">
        <v>27</v>
      </c>
      <c r="G95" s="113"/>
      <c r="H95" s="123"/>
      <c r="I95" s="113"/>
      <c r="J95" s="123"/>
      <c r="K95" s="113"/>
      <c r="L95" s="123"/>
      <c r="M95" s="113"/>
      <c r="N95" s="123"/>
      <c r="O95" s="113">
        <v>44.7</v>
      </c>
      <c r="P95" s="123">
        <v>44.7</v>
      </c>
      <c r="Q95" s="113"/>
      <c r="R95" s="123"/>
      <c r="S95" s="113">
        <v>44.7</v>
      </c>
      <c r="T95" s="123">
        <v>44.7</v>
      </c>
      <c r="U95" s="113"/>
      <c r="V95" s="123"/>
      <c r="W95" s="113"/>
      <c r="X95" s="123"/>
      <c r="Y95" s="113">
        <v>44.67</v>
      </c>
      <c r="Z95" s="123">
        <v>44.67</v>
      </c>
      <c r="AA95" s="113"/>
      <c r="AB95" s="123"/>
      <c r="AC95" s="113"/>
      <c r="AD95" s="123"/>
      <c r="AE95" s="120"/>
      <c r="AF95" s="103" cm="1">
        <f t="array" ref="AF95">MAX(IF(MOD(COLUMN(G95:AD95)-COLUMN(C88),2)=0, G95:AD95))</f>
        <v>44.7</v>
      </c>
      <c r="AG95" s="104" cm="1">
        <f t="array" ref="AG95">MAX(IF(MOD(COLUMN(G95:AD95)-COLUMN(C88),2)=1, G95:AD95))</f>
        <v>44.7</v>
      </c>
    </row>
    <row r="96" spans="1:36" ht="16.5" thickBot="1" x14ac:dyDescent="0.3">
      <c r="A96" s="214"/>
      <c r="B96" s="227" t="s">
        <v>29</v>
      </c>
      <c r="C96" s="228"/>
      <c r="D96" s="225">
        <f>SUM(D81:D95)</f>
        <v>281.89999999999998</v>
      </c>
      <c r="E96" s="225">
        <f>SUM(E81:E95)</f>
        <v>280.92</v>
      </c>
      <c r="F96" s="125" t="s">
        <v>65</v>
      </c>
      <c r="G96" s="47">
        <f t="shared" ref="G96:AD96" si="4">G82+G85+G88+G91+G94</f>
        <v>0</v>
      </c>
      <c r="H96" s="49">
        <f t="shared" si="4"/>
        <v>0</v>
      </c>
      <c r="I96" s="47">
        <f t="shared" si="4"/>
        <v>100</v>
      </c>
      <c r="J96" s="49">
        <f t="shared" si="4"/>
        <v>5000</v>
      </c>
      <c r="K96" s="47">
        <f t="shared" si="4"/>
        <v>120</v>
      </c>
      <c r="L96" s="49">
        <f t="shared" si="4"/>
        <v>6000</v>
      </c>
      <c r="M96" s="47">
        <f t="shared" si="4"/>
        <v>0</v>
      </c>
      <c r="N96" s="49">
        <f t="shared" si="4"/>
        <v>0</v>
      </c>
      <c r="O96" s="47">
        <f t="shared" si="4"/>
        <v>80</v>
      </c>
      <c r="P96" s="49">
        <f t="shared" si="4"/>
        <v>4000</v>
      </c>
      <c r="Q96" s="47">
        <f t="shared" si="4"/>
        <v>180</v>
      </c>
      <c r="R96" s="49">
        <f t="shared" si="4"/>
        <v>9000</v>
      </c>
      <c r="S96" s="47">
        <f t="shared" si="4"/>
        <v>40</v>
      </c>
      <c r="T96" s="49">
        <f t="shared" si="4"/>
        <v>2000</v>
      </c>
      <c r="U96" s="47">
        <f t="shared" si="4"/>
        <v>100</v>
      </c>
      <c r="V96" s="49">
        <f t="shared" si="4"/>
        <v>5000</v>
      </c>
      <c r="W96" s="47">
        <f t="shared" si="4"/>
        <v>120</v>
      </c>
      <c r="X96" s="49">
        <f t="shared" si="4"/>
        <v>6000</v>
      </c>
      <c r="Y96" s="47">
        <f t="shared" si="4"/>
        <v>40</v>
      </c>
      <c r="Z96" s="49">
        <f t="shared" si="4"/>
        <v>2000</v>
      </c>
      <c r="AA96" s="47">
        <f t="shared" si="4"/>
        <v>0</v>
      </c>
      <c r="AB96" s="49">
        <f t="shared" si="4"/>
        <v>0</v>
      </c>
      <c r="AC96" s="47">
        <f t="shared" si="4"/>
        <v>0</v>
      </c>
      <c r="AD96" s="49">
        <f t="shared" si="4"/>
        <v>0</v>
      </c>
      <c r="AF96" s="47">
        <f>AF82+AF85+AF88+AF91+AF94</f>
        <v>780</v>
      </c>
      <c r="AG96" s="49">
        <f>AG82+AG85+AG88+AG91+AG94</f>
        <v>39000</v>
      </c>
    </row>
    <row r="97" spans="1:33" ht="16.5" thickBot="1" x14ac:dyDescent="0.3">
      <c r="A97" s="215"/>
      <c r="B97" s="229"/>
      <c r="C97" s="230"/>
      <c r="D97" s="226"/>
      <c r="E97" s="226"/>
      <c r="F97" s="46" t="s">
        <v>27</v>
      </c>
      <c r="G97" s="47">
        <f t="shared" ref="G97:AD97" si="5">G83+G86+G89+G92+G95</f>
        <v>0</v>
      </c>
      <c r="H97" s="49">
        <f t="shared" si="5"/>
        <v>0</v>
      </c>
      <c r="I97" s="47">
        <f t="shared" si="5"/>
        <v>112.7</v>
      </c>
      <c r="J97" s="49">
        <f t="shared" si="5"/>
        <v>112.7</v>
      </c>
      <c r="K97" s="47">
        <f t="shared" si="5"/>
        <v>124.5</v>
      </c>
      <c r="L97" s="49">
        <f t="shared" si="5"/>
        <v>124.5</v>
      </c>
      <c r="M97" s="47">
        <f t="shared" si="5"/>
        <v>0</v>
      </c>
      <c r="N97" s="49">
        <f t="shared" si="5"/>
        <v>0</v>
      </c>
      <c r="O97" s="47">
        <f t="shared" si="5"/>
        <v>106.80000000000001</v>
      </c>
      <c r="P97" s="49">
        <f t="shared" si="5"/>
        <v>106.80000000000001</v>
      </c>
      <c r="Q97" s="47">
        <f t="shared" si="5"/>
        <v>175.10000000000002</v>
      </c>
      <c r="R97" s="49">
        <f t="shared" si="5"/>
        <v>175.10000000000002</v>
      </c>
      <c r="S97" s="47">
        <f t="shared" si="5"/>
        <v>44.7</v>
      </c>
      <c r="T97" s="49">
        <f t="shared" si="5"/>
        <v>44.7</v>
      </c>
      <c r="U97" s="47">
        <f t="shared" si="5"/>
        <v>112.7</v>
      </c>
      <c r="V97" s="49">
        <f t="shared" si="5"/>
        <v>112.7</v>
      </c>
      <c r="W97" s="47">
        <f t="shared" si="5"/>
        <v>124.5</v>
      </c>
      <c r="X97" s="49">
        <f t="shared" si="5"/>
        <v>124.5</v>
      </c>
      <c r="Y97" s="47">
        <f t="shared" si="5"/>
        <v>44.67</v>
      </c>
      <c r="Z97" s="49">
        <f t="shared" si="5"/>
        <v>44.67</v>
      </c>
      <c r="AA97" s="47">
        <f t="shared" si="5"/>
        <v>0</v>
      </c>
      <c r="AB97" s="49">
        <f t="shared" si="5"/>
        <v>0</v>
      </c>
      <c r="AC97" s="47">
        <f t="shared" si="5"/>
        <v>0</v>
      </c>
      <c r="AD97" s="49">
        <f t="shared" si="5"/>
        <v>0</v>
      </c>
      <c r="AF97" s="47">
        <f>AF83+AF86+AF89+AF92+AF95</f>
        <v>281.89999999999998</v>
      </c>
      <c r="AG97" s="49">
        <f>AG83+AG86+AG89+AG92+AG95</f>
        <v>281.89999999999998</v>
      </c>
    </row>
    <row r="98" spans="1:33" ht="16.5" thickBot="1" x14ac:dyDescent="0.3"/>
    <row r="99" spans="1:33" ht="15.75" customHeight="1" x14ac:dyDescent="0.25">
      <c r="A99" s="209" t="s">
        <v>67</v>
      </c>
      <c r="B99" s="209" t="s">
        <v>7</v>
      </c>
      <c r="C99" s="160" t="s">
        <v>8</v>
      </c>
      <c r="D99" s="166" t="s">
        <v>9</v>
      </c>
      <c r="E99" s="166" t="s">
        <v>10</v>
      </c>
      <c r="F99" s="169" t="s">
        <v>11</v>
      </c>
      <c r="G99" s="203" t="s">
        <v>12</v>
      </c>
      <c r="H99" s="204"/>
      <c r="I99" s="203" t="s">
        <v>13</v>
      </c>
      <c r="J99" s="204"/>
      <c r="K99" s="203" t="s">
        <v>14</v>
      </c>
      <c r="L99" s="211"/>
      <c r="M99" s="203" t="s">
        <v>15</v>
      </c>
      <c r="N99" s="204"/>
      <c r="O99" s="203" t="s">
        <v>16</v>
      </c>
      <c r="P99" s="204"/>
      <c r="Q99" s="203" t="s">
        <v>17</v>
      </c>
      <c r="R99" s="204"/>
      <c r="S99" s="203" t="s">
        <v>18</v>
      </c>
      <c r="T99" s="204"/>
      <c r="U99" s="203" t="s">
        <v>19</v>
      </c>
      <c r="V99" s="204"/>
      <c r="W99" s="203" t="s">
        <v>20</v>
      </c>
      <c r="X99" s="204"/>
      <c r="Y99" s="203" t="s">
        <v>21</v>
      </c>
      <c r="Z99" s="204"/>
      <c r="AA99" s="211" t="s">
        <v>22</v>
      </c>
      <c r="AB99" s="211"/>
      <c r="AC99" s="203" t="s">
        <v>23</v>
      </c>
      <c r="AD99" s="204"/>
      <c r="AF99" s="203" t="s">
        <v>66</v>
      </c>
      <c r="AG99" s="204"/>
    </row>
    <row r="100" spans="1:33" ht="15.75" customHeight="1" x14ac:dyDescent="0.25">
      <c r="A100" s="158"/>
      <c r="B100" s="158"/>
      <c r="C100" s="161"/>
      <c r="D100" s="167"/>
      <c r="E100" s="167"/>
      <c r="F100" s="193"/>
      <c r="G100" s="205"/>
      <c r="H100" s="206"/>
      <c r="I100" s="205"/>
      <c r="J100" s="206"/>
      <c r="K100" s="205"/>
      <c r="L100" s="156"/>
      <c r="M100" s="205"/>
      <c r="N100" s="206"/>
      <c r="O100" s="205"/>
      <c r="P100" s="206"/>
      <c r="Q100" s="205"/>
      <c r="R100" s="206"/>
      <c r="S100" s="205"/>
      <c r="T100" s="206"/>
      <c r="U100" s="205"/>
      <c r="V100" s="206"/>
      <c r="W100" s="205"/>
      <c r="X100" s="206"/>
      <c r="Y100" s="205"/>
      <c r="Z100" s="206"/>
      <c r="AA100" s="156"/>
      <c r="AB100" s="156"/>
      <c r="AC100" s="205"/>
      <c r="AD100" s="206"/>
      <c r="AF100" s="205"/>
      <c r="AG100" s="206"/>
    </row>
    <row r="101" spans="1:33" ht="16.5" thickBot="1" x14ac:dyDescent="0.3">
      <c r="A101" s="158"/>
      <c r="B101" s="158"/>
      <c r="C101" s="162"/>
      <c r="D101" s="167"/>
      <c r="E101" s="167"/>
      <c r="F101" s="193"/>
      <c r="G101" s="207"/>
      <c r="H101" s="208"/>
      <c r="I101" s="207"/>
      <c r="J101" s="208"/>
      <c r="K101" s="207"/>
      <c r="L101" s="212"/>
      <c r="M101" s="207"/>
      <c r="N101" s="208"/>
      <c r="O101" s="207"/>
      <c r="P101" s="208"/>
      <c r="Q101" s="207"/>
      <c r="R101" s="208"/>
      <c r="S101" s="207"/>
      <c r="T101" s="208"/>
      <c r="U101" s="207"/>
      <c r="V101" s="208"/>
      <c r="W101" s="207"/>
      <c r="X101" s="208"/>
      <c r="Y101" s="207"/>
      <c r="Z101" s="208"/>
      <c r="AA101" s="212"/>
      <c r="AB101" s="212"/>
      <c r="AC101" s="207"/>
      <c r="AD101" s="208"/>
      <c r="AF101" s="207"/>
      <c r="AG101" s="208"/>
    </row>
    <row r="102" spans="1:33" s="119" customFormat="1" ht="32.25" thickBot="1" x14ac:dyDescent="0.3">
      <c r="A102" s="210"/>
      <c r="B102" s="210"/>
      <c r="C102" s="90"/>
      <c r="D102" s="168"/>
      <c r="E102" s="168"/>
      <c r="F102" s="194"/>
      <c r="G102" s="106" t="s">
        <v>76</v>
      </c>
      <c r="H102" s="118" t="s">
        <v>75</v>
      </c>
      <c r="I102" s="106" t="s">
        <v>76</v>
      </c>
      <c r="J102" s="118" t="s">
        <v>75</v>
      </c>
      <c r="K102" s="106" t="s">
        <v>76</v>
      </c>
      <c r="L102" s="118" t="s">
        <v>75</v>
      </c>
      <c r="M102" s="106" t="s">
        <v>76</v>
      </c>
      <c r="N102" s="118" t="s">
        <v>75</v>
      </c>
      <c r="O102" s="106" t="s">
        <v>76</v>
      </c>
      <c r="P102" s="118" t="s">
        <v>75</v>
      </c>
      <c r="Q102" s="106" t="s">
        <v>76</v>
      </c>
      <c r="R102" s="118" t="s">
        <v>75</v>
      </c>
      <c r="S102" s="106" t="s">
        <v>76</v>
      </c>
      <c r="T102" s="118" t="s">
        <v>75</v>
      </c>
      <c r="U102" s="106" t="s">
        <v>76</v>
      </c>
      <c r="V102" s="118" t="s">
        <v>75</v>
      </c>
      <c r="W102" s="106" t="s">
        <v>76</v>
      </c>
      <c r="X102" s="118" t="s">
        <v>75</v>
      </c>
      <c r="Y102" s="106" t="s">
        <v>76</v>
      </c>
      <c r="Z102" s="118" t="s">
        <v>75</v>
      </c>
      <c r="AA102" s="106" t="s">
        <v>76</v>
      </c>
      <c r="AB102" s="118" t="s">
        <v>75</v>
      </c>
      <c r="AC102" s="106" t="s">
        <v>76</v>
      </c>
      <c r="AD102" s="118" t="s">
        <v>75</v>
      </c>
      <c r="AF102" s="106" t="s">
        <v>76</v>
      </c>
      <c r="AG102" s="118" t="s">
        <v>75</v>
      </c>
    </row>
    <row r="103" spans="1:33" s="6" customFormat="1" x14ac:dyDescent="0.25">
      <c r="A103" s="220" t="s">
        <v>71</v>
      </c>
      <c r="B103" s="180">
        <v>25</v>
      </c>
      <c r="C103" s="183">
        <v>2015</v>
      </c>
      <c r="D103" s="186">
        <v>38.22</v>
      </c>
      <c r="E103" s="186">
        <v>38.229999999999997</v>
      </c>
      <c r="F103" s="14" t="s">
        <v>24</v>
      </c>
      <c r="G103" s="112"/>
      <c r="H103" s="111"/>
      <c r="I103" s="112"/>
      <c r="J103" s="111"/>
      <c r="K103" s="112">
        <v>1</v>
      </c>
      <c r="L103" s="111">
        <v>1</v>
      </c>
      <c r="M103" s="112"/>
      <c r="N103" s="111"/>
      <c r="O103" s="112"/>
      <c r="P103" s="111"/>
      <c r="Q103" s="112"/>
      <c r="R103" s="111"/>
      <c r="S103" s="112"/>
      <c r="T103" s="111"/>
      <c r="U103" s="112">
        <v>2</v>
      </c>
      <c r="V103" s="111">
        <v>2</v>
      </c>
      <c r="W103" s="112"/>
      <c r="X103" s="111"/>
      <c r="Y103" s="112"/>
      <c r="Z103" s="111"/>
      <c r="AA103" s="112"/>
      <c r="AB103" s="111"/>
      <c r="AC103" s="112"/>
      <c r="AD103" s="111"/>
      <c r="AF103" s="112" cm="1">
        <f t="array" ref="AF103">MAX(IF(MOD(COLUMN(G103:AD103)-COLUMN(C98),2)=0, G103:AD103))</f>
        <v>2</v>
      </c>
      <c r="AG103" s="111" cm="1">
        <f t="array" ref="AG103">MAX(IF(MOD(COLUMN(G103:AD103)-COLUMN(C98),2)=1, G103:AD103))</f>
        <v>2</v>
      </c>
    </row>
    <row r="104" spans="1:33" s="6" customFormat="1" x14ac:dyDescent="0.25">
      <c r="A104" s="221"/>
      <c r="B104" s="181"/>
      <c r="C104" s="184"/>
      <c r="D104" s="187"/>
      <c r="E104" s="187"/>
      <c r="F104" s="21" t="s">
        <v>65</v>
      </c>
      <c r="G104" s="101"/>
      <c r="H104" s="102"/>
      <c r="I104" s="101"/>
      <c r="J104" s="102"/>
      <c r="K104" s="101">
        <v>40</v>
      </c>
      <c r="L104" s="102">
        <v>2000</v>
      </c>
      <c r="M104" s="101"/>
      <c r="N104" s="102"/>
      <c r="O104" s="101"/>
      <c r="P104" s="102"/>
      <c r="Q104" s="101"/>
      <c r="R104" s="102"/>
      <c r="S104" s="101"/>
      <c r="T104" s="102"/>
      <c r="U104" s="101">
        <v>40</v>
      </c>
      <c r="V104" s="102">
        <v>2000</v>
      </c>
      <c r="W104" s="101"/>
      <c r="X104" s="102"/>
      <c r="Y104" s="101"/>
      <c r="Z104" s="102"/>
      <c r="AA104" s="101"/>
      <c r="AB104" s="102"/>
      <c r="AC104" s="101"/>
      <c r="AD104" s="102"/>
      <c r="AF104" s="101">
        <f>G104+I104+K104+M104+O104+Q104+S104+U104++W104+Y104+AA104+AC104</f>
        <v>80</v>
      </c>
      <c r="AG104" s="102">
        <f>H104+J104+L104+N104+P104+R104+T104+V104++X104+Z104+AB104+AD104</f>
        <v>4000</v>
      </c>
    </row>
    <row r="105" spans="1:33" s="6" customFormat="1" ht="16.5" thickBot="1" x14ac:dyDescent="0.3">
      <c r="A105" s="221"/>
      <c r="B105" s="182"/>
      <c r="C105" s="185"/>
      <c r="D105" s="188"/>
      <c r="E105" s="188"/>
      <c r="F105" s="27" t="s">
        <v>27</v>
      </c>
      <c r="G105" s="103"/>
      <c r="H105" s="104"/>
      <c r="I105" s="103"/>
      <c r="J105" s="104"/>
      <c r="K105" s="103">
        <v>38.22</v>
      </c>
      <c r="L105" s="104">
        <v>38.22</v>
      </c>
      <c r="M105" s="103"/>
      <c r="N105" s="104"/>
      <c r="O105" s="103"/>
      <c r="P105" s="104"/>
      <c r="Q105" s="103"/>
      <c r="R105" s="104"/>
      <c r="S105" s="103"/>
      <c r="T105" s="104"/>
      <c r="U105" s="103">
        <v>38.22</v>
      </c>
      <c r="V105" s="104">
        <v>38.22</v>
      </c>
      <c r="W105" s="103"/>
      <c r="X105" s="104"/>
      <c r="Y105" s="103"/>
      <c r="Z105" s="104"/>
      <c r="AA105" s="103"/>
      <c r="AB105" s="104"/>
      <c r="AC105" s="103"/>
      <c r="AD105" s="104"/>
      <c r="AE105" s="124"/>
      <c r="AF105" s="103" cm="1">
        <f t="array" ref="AF105">MAX(IF(MOD(COLUMN(G105:AD105)-COLUMN(C100),2)=0, G105:AD105))</f>
        <v>38.22</v>
      </c>
      <c r="AG105" s="104" cm="1">
        <f t="array" ref="AG105">MAX(IF(MOD(COLUMN(G105:AD105)-COLUMN(C100),2)=1, G105:AD105))</f>
        <v>38.22</v>
      </c>
    </row>
    <row r="106" spans="1:33" s="6" customFormat="1" x14ac:dyDescent="0.25">
      <c r="A106" s="221"/>
      <c r="B106" s="189" t="s">
        <v>35</v>
      </c>
      <c r="C106" s="183">
        <v>2015</v>
      </c>
      <c r="D106" s="186">
        <v>22.72</v>
      </c>
      <c r="E106" s="186">
        <v>22.72</v>
      </c>
      <c r="F106" s="14" t="s">
        <v>24</v>
      </c>
      <c r="G106" s="112"/>
      <c r="H106" s="111"/>
      <c r="I106" s="112"/>
      <c r="J106" s="111"/>
      <c r="K106" s="112">
        <v>1</v>
      </c>
      <c r="L106" s="111">
        <v>1</v>
      </c>
      <c r="M106" s="112"/>
      <c r="N106" s="111"/>
      <c r="O106" s="112"/>
      <c r="P106" s="111"/>
      <c r="Q106" s="112">
        <v>2</v>
      </c>
      <c r="R106" s="111">
        <v>2</v>
      </c>
      <c r="S106" s="112"/>
      <c r="T106" s="111"/>
      <c r="U106" s="112"/>
      <c r="V106" s="111"/>
      <c r="W106" s="112">
        <v>3</v>
      </c>
      <c r="X106" s="111">
        <v>3</v>
      </c>
      <c r="Y106" s="112"/>
      <c r="Z106" s="111"/>
      <c r="AA106" s="112"/>
      <c r="AB106" s="111"/>
      <c r="AC106" s="112"/>
      <c r="AD106" s="111"/>
      <c r="AF106" s="112" cm="1">
        <f t="array" ref="AF106">MAX(IF(MOD(COLUMN(G106:AD106)-COLUMN(C101),2)=0, G106:AD106))</f>
        <v>3</v>
      </c>
      <c r="AG106" s="111" cm="1">
        <f t="array" ref="AG106">MAX(IF(MOD(COLUMN(G106:AD106)-COLUMN(C101),2)=1, G106:AD106))</f>
        <v>3</v>
      </c>
    </row>
    <row r="107" spans="1:33" s="6" customFormat="1" x14ac:dyDescent="0.25">
      <c r="A107" s="221"/>
      <c r="B107" s="190"/>
      <c r="C107" s="184"/>
      <c r="D107" s="187"/>
      <c r="E107" s="187"/>
      <c r="F107" s="21" t="s">
        <v>65</v>
      </c>
      <c r="G107" s="101"/>
      <c r="H107" s="102"/>
      <c r="I107" s="101"/>
      <c r="J107" s="102"/>
      <c r="K107" s="101">
        <v>20</v>
      </c>
      <c r="L107" s="102">
        <v>1000</v>
      </c>
      <c r="M107" s="101"/>
      <c r="N107" s="102"/>
      <c r="O107" s="101"/>
      <c r="P107" s="102"/>
      <c r="Q107" s="101">
        <v>20</v>
      </c>
      <c r="R107" s="102">
        <v>1000</v>
      </c>
      <c r="S107" s="101"/>
      <c r="T107" s="102"/>
      <c r="U107" s="101"/>
      <c r="V107" s="102"/>
      <c r="W107" s="101">
        <v>20</v>
      </c>
      <c r="X107" s="102">
        <v>1000</v>
      </c>
      <c r="Y107" s="101"/>
      <c r="Z107" s="102"/>
      <c r="AA107" s="101"/>
      <c r="AB107" s="102"/>
      <c r="AC107" s="101"/>
      <c r="AD107" s="102"/>
      <c r="AF107" s="101">
        <f>G107+I107+K107+M107+O107+Q107+S107+U107++W107+Y107+AA107+AC107</f>
        <v>60</v>
      </c>
      <c r="AG107" s="102">
        <f>H107+J107+L107+N107+P107+R107+T107+V107++X107+Z107+AB107+AD107</f>
        <v>3000</v>
      </c>
    </row>
    <row r="108" spans="1:33" s="6" customFormat="1" ht="16.5" thickBot="1" x14ac:dyDescent="0.3">
      <c r="A108" s="221"/>
      <c r="B108" s="191"/>
      <c r="C108" s="185"/>
      <c r="D108" s="188"/>
      <c r="E108" s="188"/>
      <c r="F108" s="27" t="s">
        <v>27</v>
      </c>
      <c r="G108" s="103"/>
      <c r="H108" s="104"/>
      <c r="I108" s="103"/>
      <c r="J108" s="104"/>
      <c r="K108" s="103">
        <v>22.72</v>
      </c>
      <c r="L108" s="104">
        <v>22.72</v>
      </c>
      <c r="M108" s="103"/>
      <c r="N108" s="104"/>
      <c r="O108" s="103"/>
      <c r="P108" s="104"/>
      <c r="Q108" s="103">
        <v>22.72</v>
      </c>
      <c r="R108" s="104">
        <v>22.72</v>
      </c>
      <c r="S108" s="103"/>
      <c r="T108" s="104"/>
      <c r="U108" s="103"/>
      <c r="V108" s="104"/>
      <c r="W108" s="103">
        <v>22.72</v>
      </c>
      <c r="X108" s="104">
        <v>22.72</v>
      </c>
      <c r="Y108" s="103"/>
      <c r="Z108" s="104"/>
      <c r="AA108" s="103"/>
      <c r="AB108" s="104"/>
      <c r="AC108" s="103"/>
      <c r="AD108" s="104"/>
      <c r="AE108" s="124"/>
      <c r="AF108" s="103" cm="1">
        <f t="array" ref="AF108">MAX(IF(MOD(COLUMN(G108:AD108)-COLUMN(C100),2)=0, G108:AD108))</f>
        <v>22.72</v>
      </c>
      <c r="AG108" s="104" cm="1">
        <f t="array" ref="AG108">MAX(IF(MOD(COLUMN(G108:AD108)-COLUMN(C100),2)=1, G108:AD108))</f>
        <v>22.72</v>
      </c>
    </row>
    <row r="109" spans="1:33" s="6" customFormat="1" ht="16.5" customHeight="1" x14ac:dyDescent="0.25">
      <c r="A109" s="221"/>
      <c r="B109" s="189" t="s">
        <v>36</v>
      </c>
      <c r="C109" s="183">
        <v>2015</v>
      </c>
      <c r="D109" s="186">
        <v>0</v>
      </c>
      <c r="E109" s="13"/>
      <c r="F109" s="14" t="s">
        <v>24</v>
      </c>
      <c r="G109" s="112"/>
      <c r="H109" s="111"/>
      <c r="I109" s="112"/>
      <c r="J109" s="111"/>
      <c r="K109" s="112"/>
      <c r="L109" s="111"/>
      <c r="M109" s="112"/>
      <c r="N109" s="111"/>
      <c r="O109" s="112"/>
      <c r="P109" s="111"/>
      <c r="Q109" s="112"/>
      <c r="R109" s="111"/>
      <c r="S109" s="112"/>
      <c r="T109" s="111"/>
      <c r="U109" s="112"/>
      <c r="V109" s="111"/>
      <c r="W109" s="112"/>
      <c r="X109" s="111"/>
      <c r="Y109" s="112"/>
      <c r="Z109" s="111"/>
      <c r="AA109" s="112"/>
      <c r="AB109" s="111"/>
      <c r="AC109" s="112"/>
      <c r="AD109" s="111"/>
      <c r="AF109" s="112" cm="1">
        <f t="array" ref="AF109">MAX(IF(MOD(COLUMN(G109:AD109)-COLUMN(C102),2)=0, G109:AD109))</f>
        <v>0</v>
      </c>
      <c r="AG109" s="111" cm="1">
        <f t="array" ref="AG109">MAX(IF(MOD(COLUMN(G109:AD109)-COLUMN(C102),2)=1, G109:AD109))</f>
        <v>0</v>
      </c>
    </row>
    <row r="110" spans="1:33" s="6" customFormat="1" ht="16.5" customHeight="1" x14ac:dyDescent="0.25">
      <c r="A110" s="221"/>
      <c r="B110" s="190"/>
      <c r="C110" s="184"/>
      <c r="D110" s="187"/>
      <c r="E110" s="20"/>
      <c r="F110" s="21" t="s">
        <v>65</v>
      </c>
      <c r="G110" s="101"/>
      <c r="H110" s="102"/>
      <c r="I110" s="101"/>
      <c r="J110" s="102"/>
      <c r="K110" s="101"/>
      <c r="L110" s="102"/>
      <c r="M110" s="101"/>
      <c r="N110" s="102"/>
      <c r="O110" s="101"/>
      <c r="P110" s="102"/>
      <c r="Q110" s="101"/>
      <c r="R110" s="102"/>
      <c r="S110" s="101"/>
      <c r="T110" s="102"/>
      <c r="U110" s="101"/>
      <c r="V110" s="102"/>
      <c r="W110" s="101"/>
      <c r="X110" s="102"/>
      <c r="Y110" s="101"/>
      <c r="Z110" s="102"/>
      <c r="AA110" s="101"/>
      <c r="AB110" s="102"/>
      <c r="AC110" s="101"/>
      <c r="AD110" s="102"/>
      <c r="AF110" s="101">
        <f>G110+I110+K110+M110+O110+Q110+S110+U110++W110+Y110+AA110+AC110</f>
        <v>0</v>
      </c>
      <c r="AG110" s="102">
        <f>H110+J110+L110+N110+P110+R110+T110+V110++X110+Z110+AB110+AD110</f>
        <v>0</v>
      </c>
    </row>
    <row r="111" spans="1:33" s="6" customFormat="1" ht="16.5" customHeight="1" thickBot="1" x14ac:dyDescent="0.3">
      <c r="A111" s="221"/>
      <c r="B111" s="191"/>
      <c r="C111" s="185"/>
      <c r="D111" s="188"/>
      <c r="E111" s="26"/>
      <c r="F111" s="27" t="s">
        <v>27</v>
      </c>
      <c r="G111" s="103"/>
      <c r="H111" s="104"/>
      <c r="I111" s="103"/>
      <c r="J111" s="104"/>
      <c r="K111" s="103"/>
      <c r="L111" s="104"/>
      <c r="M111" s="103"/>
      <c r="N111" s="104"/>
      <c r="O111" s="103"/>
      <c r="P111" s="104"/>
      <c r="Q111" s="103"/>
      <c r="R111" s="104"/>
      <c r="S111" s="103"/>
      <c r="T111" s="104"/>
      <c r="U111" s="103"/>
      <c r="V111" s="104"/>
      <c r="W111" s="103"/>
      <c r="X111" s="104"/>
      <c r="Y111" s="103"/>
      <c r="Z111" s="104"/>
      <c r="AA111" s="103"/>
      <c r="AB111" s="104"/>
      <c r="AC111" s="103"/>
      <c r="AD111" s="104"/>
      <c r="AE111" s="124"/>
      <c r="AF111" s="103" cm="1">
        <f t="array" ref="AF111">MAX(IF(MOD(COLUMN(G111:AD111)-COLUMN(C104),2)=0, G111:AD111))</f>
        <v>0</v>
      </c>
      <c r="AG111" s="104" cm="1">
        <f t="array" ref="AG111">MAX(IF(MOD(COLUMN(G111:AD111)-COLUMN(C104),2)=1, G111:AD111))</f>
        <v>0</v>
      </c>
    </row>
    <row r="112" spans="1:33" s="6" customFormat="1" x14ac:dyDescent="0.25">
      <c r="A112" s="221"/>
      <c r="B112" s="189">
        <v>27</v>
      </c>
      <c r="C112" s="183">
        <v>2015</v>
      </c>
      <c r="D112" s="186">
        <v>18.64</v>
      </c>
      <c r="E112" s="186">
        <v>14.3</v>
      </c>
      <c r="F112" s="14" t="s">
        <v>24</v>
      </c>
      <c r="G112" s="112"/>
      <c r="H112" s="111"/>
      <c r="I112" s="112">
        <v>1</v>
      </c>
      <c r="J112" s="111">
        <v>1</v>
      </c>
      <c r="K112" s="112"/>
      <c r="L112" s="111"/>
      <c r="M112" s="112"/>
      <c r="N112" s="111"/>
      <c r="O112" s="112">
        <v>2</v>
      </c>
      <c r="P112" s="111">
        <v>2</v>
      </c>
      <c r="Q112" s="112"/>
      <c r="R112" s="111"/>
      <c r="S112" s="112"/>
      <c r="T112" s="111"/>
      <c r="U112" s="112">
        <v>3</v>
      </c>
      <c r="V112" s="111">
        <v>3</v>
      </c>
      <c r="W112" s="112"/>
      <c r="X112" s="111"/>
      <c r="Y112" s="112"/>
      <c r="Z112" s="111"/>
      <c r="AA112" s="112"/>
      <c r="AB112" s="111"/>
      <c r="AC112" s="112"/>
      <c r="AD112" s="111"/>
      <c r="AF112" s="112" cm="1">
        <f t="array" ref="AF112">MAX(IF(MOD(COLUMN(G112:AD112)-COLUMN(C105),2)=0, G112:AD112))</f>
        <v>3</v>
      </c>
      <c r="AG112" s="111" cm="1">
        <f t="array" ref="AG112">MAX(IF(MOD(COLUMN(G112:AD112)-COLUMN(C105),2)=1, G112:AD112))</f>
        <v>3</v>
      </c>
    </row>
    <row r="113" spans="1:33" s="6" customFormat="1" x14ac:dyDescent="0.25">
      <c r="A113" s="221"/>
      <c r="B113" s="190"/>
      <c r="C113" s="184"/>
      <c r="D113" s="187"/>
      <c r="E113" s="187"/>
      <c r="F113" s="21" t="s">
        <v>65</v>
      </c>
      <c r="G113" s="101"/>
      <c r="H113" s="102"/>
      <c r="I113" s="101">
        <v>20</v>
      </c>
      <c r="J113" s="102">
        <v>1000</v>
      </c>
      <c r="K113" s="101"/>
      <c r="L113" s="102"/>
      <c r="M113" s="101"/>
      <c r="N113" s="102"/>
      <c r="O113" s="101">
        <v>20</v>
      </c>
      <c r="P113" s="102">
        <v>1000</v>
      </c>
      <c r="Q113" s="101"/>
      <c r="R113" s="102"/>
      <c r="S113" s="101"/>
      <c r="T113" s="102"/>
      <c r="U113" s="101">
        <v>40</v>
      </c>
      <c r="V113" s="102">
        <v>2000</v>
      </c>
      <c r="W113" s="101"/>
      <c r="X113" s="102"/>
      <c r="Y113" s="101"/>
      <c r="Z113" s="102"/>
      <c r="AA113" s="101"/>
      <c r="AB113" s="102"/>
      <c r="AC113" s="101"/>
      <c r="AD113" s="102"/>
      <c r="AF113" s="101">
        <f>G113+I113+K113+M113+O113+Q113+S113+U113++W113+Y113+AA113+AC113</f>
        <v>80</v>
      </c>
      <c r="AG113" s="102">
        <f>H113+J113+L113+N113+P113+R113+T113+V113++X113+Z113+AB113+AD113</f>
        <v>4000</v>
      </c>
    </row>
    <row r="114" spans="1:33" s="6" customFormat="1" ht="16.5" thickBot="1" x14ac:dyDescent="0.3">
      <c r="A114" s="221"/>
      <c r="B114" s="191"/>
      <c r="C114" s="185"/>
      <c r="D114" s="188"/>
      <c r="E114" s="188"/>
      <c r="F114" s="27" t="s">
        <v>27</v>
      </c>
      <c r="G114" s="103"/>
      <c r="H114" s="104"/>
      <c r="I114" s="103">
        <v>18.64</v>
      </c>
      <c r="J114" s="104">
        <v>18.64</v>
      </c>
      <c r="K114" s="103"/>
      <c r="L114" s="104"/>
      <c r="M114" s="103"/>
      <c r="N114" s="104"/>
      <c r="O114" s="103">
        <v>18.64</v>
      </c>
      <c r="P114" s="104">
        <v>18.64</v>
      </c>
      <c r="Q114" s="103"/>
      <c r="R114" s="104"/>
      <c r="S114" s="103"/>
      <c r="T114" s="104"/>
      <c r="U114" s="103">
        <v>18.64</v>
      </c>
      <c r="V114" s="104">
        <v>18.64</v>
      </c>
      <c r="W114" s="103"/>
      <c r="X114" s="104"/>
      <c r="Y114" s="103"/>
      <c r="Z114" s="104"/>
      <c r="AA114" s="103"/>
      <c r="AB114" s="104"/>
      <c r="AC114" s="103"/>
      <c r="AD114" s="104"/>
      <c r="AE114" s="124"/>
      <c r="AF114" s="103" cm="1">
        <f t="array" ref="AF114">MAX(IF(MOD(COLUMN(G114:AD114)-COLUMN(C107),2)=0, G114:AD114))</f>
        <v>18.64</v>
      </c>
      <c r="AG114" s="104" cm="1">
        <f t="array" ref="AG114">MAX(IF(MOD(COLUMN(G114:AD114)-COLUMN(C107),2)=1, G114:AD114))</f>
        <v>18.64</v>
      </c>
    </row>
    <row r="115" spans="1:33" s="6" customFormat="1" x14ac:dyDescent="0.25">
      <c r="A115" s="221"/>
      <c r="B115" s="189">
        <v>28</v>
      </c>
      <c r="C115" s="183">
        <v>2015</v>
      </c>
      <c r="D115" s="186">
        <v>25.5</v>
      </c>
      <c r="E115" s="186">
        <v>21.94</v>
      </c>
      <c r="F115" s="14" t="s">
        <v>24</v>
      </c>
      <c r="G115" s="112"/>
      <c r="H115" s="111"/>
      <c r="I115" s="112"/>
      <c r="J115" s="111"/>
      <c r="K115" s="112"/>
      <c r="L115" s="111"/>
      <c r="M115" s="112">
        <v>1</v>
      </c>
      <c r="N115" s="111">
        <v>1</v>
      </c>
      <c r="O115" s="112"/>
      <c r="P115" s="111"/>
      <c r="Q115" s="112">
        <v>2</v>
      </c>
      <c r="R115" s="111">
        <v>2</v>
      </c>
      <c r="S115" s="112"/>
      <c r="T115" s="111"/>
      <c r="U115" s="112"/>
      <c r="V115" s="111"/>
      <c r="W115" s="112">
        <v>3</v>
      </c>
      <c r="X115" s="111">
        <v>3</v>
      </c>
      <c r="Y115" s="112"/>
      <c r="Z115" s="111"/>
      <c r="AA115" s="112"/>
      <c r="AB115" s="111"/>
      <c r="AC115" s="112"/>
      <c r="AD115" s="111"/>
      <c r="AF115" s="112" cm="1">
        <f t="array" ref="AF115">MAX(IF(MOD(COLUMN(G115:AD115)-COLUMN(C108),2)=0, G115:AD115))</f>
        <v>3</v>
      </c>
      <c r="AG115" s="111" cm="1">
        <f t="array" ref="AG115">MAX(IF(MOD(COLUMN(G115:AD115)-COLUMN(C108),2)=1, G115:AD115))</f>
        <v>3</v>
      </c>
    </row>
    <row r="116" spans="1:33" s="6" customFormat="1" x14ac:dyDescent="0.25">
      <c r="A116" s="221"/>
      <c r="B116" s="190"/>
      <c r="C116" s="184"/>
      <c r="D116" s="187"/>
      <c r="E116" s="187"/>
      <c r="F116" s="21" t="s">
        <v>65</v>
      </c>
      <c r="G116" s="101"/>
      <c r="H116" s="102"/>
      <c r="I116" s="101"/>
      <c r="J116" s="102"/>
      <c r="K116" s="101"/>
      <c r="L116" s="102"/>
      <c r="M116" s="101">
        <v>20</v>
      </c>
      <c r="N116" s="102">
        <v>1000</v>
      </c>
      <c r="O116" s="101"/>
      <c r="P116" s="102"/>
      <c r="Q116" s="101">
        <v>20</v>
      </c>
      <c r="R116" s="102">
        <v>1000</v>
      </c>
      <c r="S116" s="101"/>
      <c r="T116" s="102"/>
      <c r="U116" s="101"/>
      <c r="V116" s="102"/>
      <c r="W116" s="101">
        <v>20</v>
      </c>
      <c r="X116" s="102">
        <v>1000</v>
      </c>
      <c r="Y116" s="101"/>
      <c r="Z116" s="102"/>
      <c r="AA116" s="101"/>
      <c r="AB116" s="102"/>
      <c r="AC116" s="101"/>
      <c r="AD116" s="102"/>
      <c r="AF116" s="101">
        <f>G116+I116+K116+M116+O116+Q116+S116+U116++W116+Y116+AA116+AC116</f>
        <v>60</v>
      </c>
      <c r="AG116" s="102">
        <f>H116+J116+L116+N116+P116+R116+T116+V116++X116+Z116+AB116+AD116</f>
        <v>3000</v>
      </c>
    </row>
    <row r="117" spans="1:33" s="6" customFormat="1" ht="16.5" thickBot="1" x14ac:dyDescent="0.3">
      <c r="A117" s="221"/>
      <c r="B117" s="191"/>
      <c r="C117" s="185"/>
      <c r="D117" s="188"/>
      <c r="E117" s="188"/>
      <c r="F117" s="27" t="s">
        <v>27</v>
      </c>
      <c r="G117" s="103"/>
      <c r="H117" s="104"/>
      <c r="I117" s="103"/>
      <c r="J117" s="104"/>
      <c r="K117" s="103"/>
      <c r="L117" s="104"/>
      <c r="M117" s="103">
        <v>25.5</v>
      </c>
      <c r="N117" s="104">
        <v>25.5</v>
      </c>
      <c r="O117" s="103"/>
      <c r="P117" s="104"/>
      <c r="Q117" s="103">
        <v>25.5</v>
      </c>
      <c r="R117" s="104">
        <v>25.5</v>
      </c>
      <c r="S117" s="103"/>
      <c r="T117" s="104"/>
      <c r="U117" s="103"/>
      <c r="V117" s="104"/>
      <c r="W117" s="103">
        <v>25.5</v>
      </c>
      <c r="X117" s="104">
        <v>25.5</v>
      </c>
      <c r="Y117" s="103"/>
      <c r="Z117" s="104"/>
      <c r="AA117" s="103"/>
      <c r="AB117" s="104"/>
      <c r="AC117" s="103"/>
      <c r="AD117" s="104"/>
      <c r="AE117" s="124"/>
      <c r="AF117" s="103" cm="1">
        <f t="array" ref="AF117">MAX(IF(MOD(COLUMN(G117:AD117)-COLUMN(C110),2)=0, G117:AD117))</f>
        <v>25.5</v>
      </c>
      <c r="AG117" s="104" cm="1">
        <f t="array" ref="AG117">MAX(IF(MOD(COLUMN(G117:AD117)-COLUMN(C110),2)=1, G117:AD117))</f>
        <v>25.5</v>
      </c>
    </row>
    <row r="118" spans="1:33" s="6" customFormat="1" x14ac:dyDescent="0.25">
      <c r="A118" s="221"/>
      <c r="B118" s="180">
        <v>29</v>
      </c>
      <c r="C118" s="183">
        <v>2015</v>
      </c>
      <c r="D118" s="186">
        <v>11.38</v>
      </c>
      <c r="E118" s="186">
        <v>19.260000000000002</v>
      </c>
      <c r="F118" s="14" t="s">
        <v>24</v>
      </c>
      <c r="G118" s="112"/>
      <c r="H118" s="111"/>
      <c r="I118" s="112"/>
      <c r="J118" s="111"/>
      <c r="K118" s="112"/>
      <c r="L118" s="111"/>
      <c r="M118" s="112"/>
      <c r="N118" s="111"/>
      <c r="O118" s="112">
        <v>1</v>
      </c>
      <c r="P118" s="111">
        <v>1</v>
      </c>
      <c r="Q118" s="112"/>
      <c r="R118" s="111"/>
      <c r="S118" s="112">
        <v>2</v>
      </c>
      <c r="T118" s="111">
        <v>2</v>
      </c>
      <c r="U118" s="112"/>
      <c r="V118" s="111"/>
      <c r="W118" s="112"/>
      <c r="X118" s="111"/>
      <c r="Y118" s="112">
        <v>3</v>
      </c>
      <c r="Z118" s="111">
        <v>3</v>
      </c>
      <c r="AA118" s="112"/>
      <c r="AB118" s="111"/>
      <c r="AC118" s="112"/>
      <c r="AD118" s="111"/>
      <c r="AF118" s="112" cm="1">
        <f t="array" ref="AF118">MAX(IF(MOD(COLUMN(G118:AD118)-COLUMN(C111),2)=0, G118:AD118))</f>
        <v>3</v>
      </c>
      <c r="AG118" s="111" cm="1">
        <f t="array" ref="AG118">MAX(IF(MOD(COLUMN(G118:AD118)-COLUMN(C111),2)=1, G118:AD118))</f>
        <v>3</v>
      </c>
    </row>
    <row r="119" spans="1:33" s="6" customFormat="1" x14ac:dyDescent="0.25">
      <c r="A119" s="221"/>
      <c r="B119" s="181"/>
      <c r="C119" s="184"/>
      <c r="D119" s="187"/>
      <c r="E119" s="187"/>
      <c r="F119" s="21" t="s">
        <v>65</v>
      </c>
      <c r="G119" s="101"/>
      <c r="H119" s="102"/>
      <c r="I119" s="101"/>
      <c r="J119" s="102"/>
      <c r="K119" s="101"/>
      <c r="L119" s="102"/>
      <c r="M119" s="101"/>
      <c r="N119" s="102"/>
      <c r="O119" s="101">
        <v>20</v>
      </c>
      <c r="P119" s="102">
        <v>1000</v>
      </c>
      <c r="Q119" s="101"/>
      <c r="R119" s="102"/>
      <c r="S119" s="101">
        <v>20</v>
      </c>
      <c r="T119" s="102">
        <v>1000</v>
      </c>
      <c r="U119" s="101"/>
      <c r="V119" s="102"/>
      <c r="W119" s="101"/>
      <c r="X119" s="102"/>
      <c r="Y119" s="101">
        <v>20</v>
      </c>
      <c r="Z119" s="102">
        <v>1000</v>
      </c>
      <c r="AA119" s="101"/>
      <c r="AB119" s="102"/>
      <c r="AC119" s="101"/>
      <c r="AD119" s="102"/>
      <c r="AF119" s="101">
        <f>G119+I119+K119+M119+O119+Q119+S119+U119++W119+Y119+AA119+AC119</f>
        <v>60</v>
      </c>
      <c r="AG119" s="102">
        <f>H119+J119+L119+N119+P119+R119+T119+V119++X119+Z119+AB119+AD119</f>
        <v>3000</v>
      </c>
    </row>
    <row r="120" spans="1:33" s="6" customFormat="1" ht="16.5" thickBot="1" x14ac:dyDescent="0.3">
      <c r="A120" s="221"/>
      <c r="B120" s="182"/>
      <c r="C120" s="185"/>
      <c r="D120" s="188"/>
      <c r="E120" s="188"/>
      <c r="F120" s="27" t="s">
        <v>27</v>
      </c>
      <c r="G120" s="103"/>
      <c r="H120" s="104"/>
      <c r="I120" s="103"/>
      <c r="J120" s="104"/>
      <c r="K120" s="103"/>
      <c r="L120" s="104"/>
      <c r="M120" s="103"/>
      <c r="N120" s="104"/>
      <c r="O120" s="103">
        <v>11.38</v>
      </c>
      <c r="P120" s="104">
        <v>11.38</v>
      </c>
      <c r="Q120" s="103"/>
      <c r="R120" s="104"/>
      <c r="S120" s="103">
        <v>11.38</v>
      </c>
      <c r="T120" s="104">
        <v>11.38</v>
      </c>
      <c r="U120" s="103"/>
      <c r="V120" s="104"/>
      <c r="W120" s="103"/>
      <c r="X120" s="104"/>
      <c r="Y120" s="103">
        <v>19.260000000000002</v>
      </c>
      <c r="Z120" s="104">
        <v>19.260000000000002</v>
      </c>
      <c r="AA120" s="103"/>
      <c r="AB120" s="104"/>
      <c r="AC120" s="103"/>
      <c r="AD120" s="104"/>
      <c r="AE120" s="124"/>
      <c r="AF120" s="103" cm="1">
        <f t="array" ref="AF120">MAX(IF(MOD(COLUMN(G120:AD120)-COLUMN(C113),2)=0, G120:AD120))</f>
        <v>19.260000000000002</v>
      </c>
      <c r="AG120" s="104" cm="1">
        <f t="array" ref="AG120">MAX(IF(MOD(COLUMN(G120:AD120)-COLUMN(C113),2)=1, G120:AD120))</f>
        <v>19.260000000000002</v>
      </c>
    </row>
    <row r="121" spans="1:33" s="6" customFormat="1" x14ac:dyDescent="0.25">
      <c r="A121" s="221"/>
      <c r="B121" s="189">
        <v>30</v>
      </c>
      <c r="C121" s="183">
        <v>2015</v>
      </c>
      <c r="D121" s="186">
        <v>24.35</v>
      </c>
      <c r="E121" s="186">
        <v>24.3</v>
      </c>
      <c r="F121" s="14" t="s">
        <v>24</v>
      </c>
      <c r="G121" s="112"/>
      <c r="H121" s="111"/>
      <c r="I121" s="112"/>
      <c r="J121" s="111"/>
      <c r="K121" s="112"/>
      <c r="L121" s="111"/>
      <c r="M121" s="112"/>
      <c r="N121" s="111"/>
      <c r="O121" s="112">
        <v>1</v>
      </c>
      <c r="P121" s="111">
        <v>1</v>
      </c>
      <c r="Q121" s="112"/>
      <c r="R121" s="111"/>
      <c r="S121" s="112">
        <v>2</v>
      </c>
      <c r="T121" s="111">
        <v>2</v>
      </c>
      <c r="U121" s="112"/>
      <c r="V121" s="111"/>
      <c r="W121" s="112"/>
      <c r="X121" s="111"/>
      <c r="Y121" s="112">
        <v>3</v>
      </c>
      <c r="Z121" s="111">
        <v>3</v>
      </c>
      <c r="AA121" s="112"/>
      <c r="AB121" s="111"/>
      <c r="AC121" s="112"/>
      <c r="AD121" s="111"/>
      <c r="AF121" s="112" cm="1">
        <f t="array" ref="AF121">MAX(IF(MOD(COLUMN(G121:AD121)-COLUMN(C114),2)=0, G121:AD121))</f>
        <v>3</v>
      </c>
      <c r="AG121" s="111" cm="1">
        <f t="array" ref="AG121">MAX(IF(MOD(COLUMN(G121:AD121)-COLUMN(C114),2)=1, G121:AD121))</f>
        <v>3</v>
      </c>
    </row>
    <row r="122" spans="1:33" s="6" customFormat="1" x14ac:dyDescent="0.25">
      <c r="A122" s="221"/>
      <c r="B122" s="190"/>
      <c r="C122" s="184"/>
      <c r="D122" s="187"/>
      <c r="E122" s="187"/>
      <c r="F122" s="21" t="s">
        <v>65</v>
      </c>
      <c r="G122" s="101"/>
      <c r="H122" s="102"/>
      <c r="I122" s="101"/>
      <c r="J122" s="102"/>
      <c r="K122" s="101"/>
      <c r="L122" s="102"/>
      <c r="M122" s="101"/>
      <c r="N122" s="102"/>
      <c r="O122" s="101">
        <v>40</v>
      </c>
      <c r="P122" s="102">
        <v>2000</v>
      </c>
      <c r="Q122" s="101"/>
      <c r="R122" s="102"/>
      <c r="S122" s="101">
        <v>40</v>
      </c>
      <c r="T122" s="102">
        <v>2000</v>
      </c>
      <c r="U122" s="101"/>
      <c r="V122" s="102"/>
      <c r="W122" s="101"/>
      <c r="X122" s="102"/>
      <c r="Y122" s="101">
        <v>20</v>
      </c>
      <c r="Z122" s="102">
        <v>1000</v>
      </c>
      <c r="AA122" s="101"/>
      <c r="AB122" s="102"/>
      <c r="AC122" s="101"/>
      <c r="AD122" s="102"/>
      <c r="AF122" s="101">
        <f>G122+I122+K122+M122+O122+Q122+S122+U122++W122+Y122+AA122+AC122</f>
        <v>100</v>
      </c>
      <c r="AG122" s="102">
        <f>H122+J122+L122+N122+P122+R122+T122+V122++X122+Z122+AB122+AD122</f>
        <v>5000</v>
      </c>
    </row>
    <row r="123" spans="1:33" s="6" customFormat="1" ht="16.5" thickBot="1" x14ac:dyDescent="0.3">
      <c r="A123" s="221"/>
      <c r="B123" s="191"/>
      <c r="C123" s="185"/>
      <c r="D123" s="188"/>
      <c r="E123" s="188"/>
      <c r="F123" s="27" t="s">
        <v>27</v>
      </c>
      <c r="G123" s="103"/>
      <c r="H123" s="104"/>
      <c r="I123" s="103"/>
      <c r="J123" s="104"/>
      <c r="K123" s="103"/>
      <c r="L123" s="104"/>
      <c r="M123" s="103"/>
      <c r="N123" s="104"/>
      <c r="O123" s="103">
        <v>24.35</v>
      </c>
      <c r="P123" s="104">
        <v>24.35</v>
      </c>
      <c r="Q123" s="103"/>
      <c r="R123" s="104"/>
      <c r="S123" s="103">
        <v>24.35</v>
      </c>
      <c r="T123" s="104">
        <v>24.35</v>
      </c>
      <c r="U123" s="103"/>
      <c r="V123" s="104"/>
      <c r="W123" s="103"/>
      <c r="X123" s="104"/>
      <c r="Y123" s="103">
        <v>24.3</v>
      </c>
      <c r="Z123" s="104">
        <v>24.3</v>
      </c>
      <c r="AA123" s="103"/>
      <c r="AB123" s="104"/>
      <c r="AC123" s="103"/>
      <c r="AD123" s="104"/>
      <c r="AE123" s="124"/>
      <c r="AF123" s="103" cm="1">
        <f t="array" ref="AF123">MAX(IF(MOD(COLUMN(G123:AD123)-COLUMN(C116),2)=0, G123:AD123))</f>
        <v>24.35</v>
      </c>
      <c r="AG123" s="104" cm="1">
        <f t="array" ref="AG123">MAX(IF(MOD(COLUMN(G123:AD123)-COLUMN(C116),2)=1, G123:AD123))</f>
        <v>24.35</v>
      </c>
    </row>
    <row r="124" spans="1:33" s="6" customFormat="1" x14ac:dyDescent="0.25">
      <c r="A124" s="221"/>
      <c r="B124" s="189">
        <v>31</v>
      </c>
      <c r="C124" s="183">
        <v>2015</v>
      </c>
      <c r="D124" s="186">
        <v>34.08</v>
      </c>
      <c r="E124" s="186">
        <v>34.020000000000003</v>
      </c>
      <c r="F124" s="14" t="s">
        <v>24</v>
      </c>
      <c r="G124" s="112"/>
      <c r="H124" s="111"/>
      <c r="I124" s="112"/>
      <c r="J124" s="111"/>
      <c r="K124" s="112"/>
      <c r="L124" s="111"/>
      <c r="M124" s="112">
        <v>1</v>
      </c>
      <c r="N124" s="111">
        <v>1</v>
      </c>
      <c r="O124" s="112"/>
      <c r="P124" s="111"/>
      <c r="Q124" s="112"/>
      <c r="R124" s="111"/>
      <c r="S124" s="112">
        <v>2</v>
      </c>
      <c r="T124" s="111">
        <v>2</v>
      </c>
      <c r="U124" s="112"/>
      <c r="V124" s="111"/>
      <c r="W124" s="112"/>
      <c r="X124" s="111"/>
      <c r="Y124" s="112">
        <v>3</v>
      </c>
      <c r="Z124" s="111">
        <v>3</v>
      </c>
      <c r="AA124" s="112"/>
      <c r="AB124" s="111"/>
      <c r="AC124" s="112"/>
      <c r="AD124" s="111"/>
      <c r="AF124" s="112" cm="1">
        <f t="array" ref="AF124">MAX(IF(MOD(COLUMN(G124:AD124)-COLUMN(C117),2)=0, G124:AD124))</f>
        <v>3</v>
      </c>
      <c r="AG124" s="111" cm="1">
        <f t="array" ref="AG124">MAX(IF(MOD(COLUMN(G124:AD124)-COLUMN(C117),2)=1, G124:AD124))</f>
        <v>3</v>
      </c>
    </row>
    <row r="125" spans="1:33" s="6" customFormat="1" x14ac:dyDescent="0.25">
      <c r="A125" s="221"/>
      <c r="B125" s="190"/>
      <c r="C125" s="184"/>
      <c r="D125" s="187"/>
      <c r="E125" s="187"/>
      <c r="F125" s="21" t="s">
        <v>65</v>
      </c>
      <c r="G125" s="101"/>
      <c r="H125" s="102"/>
      <c r="I125" s="101"/>
      <c r="J125" s="102"/>
      <c r="K125" s="101"/>
      <c r="L125" s="102"/>
      <c r="M125" s="101">
        <v>40</v>
      </c>
      <c r="N125" s="102">
        <v>2000</v>
      </c>
      <c r="O125" s="101"/>
      <c r="P125" s="102"/>
      <c r="Q125" s="101"/>
      <c r="R125" s="102"/>
      <c r="S125" s="101">
        <v>40</v>
      </c>
      <c r="T125" s="102">
        <v>2000</v>
      </c>
      <c r="U125" s="101"/>
      <c r="V125" s="102"/>
      <c r="W125" s="101"/>
      <c r="X125" s="102"/>
      <c r="Y125" s="101">
        <v>40</v>
      </c>
      <c r="Z125" s="102">
        <v>2000</v>
      </c>
      <c r="AA125" s="101"/>
      <c r="AB125" s="102"/>
      <c r="AC125" s="101"/>
      <c r="AD125" s="102"/>
      <c r="AF125" s="101">
        <f>G125+I125+K125+M125+O125+Q125+S125+U125++W125+Y125+AA125+AC125</f>
        <v>120</v>
      </c>
      <c r="AG125" s="102">
        <f>H125+J125+L125+N125+P125+R125+T125+V125++X125+Z125+AB125+AD125</f>
        <v>6000</v>
      </c>
    </row>
    <row r="126" spans="1:33" s="6" customFormat="1" ht="16.5" thickBot="1" x14ac:dyDescent="0.3">
      <c r="A126" s="221"/>
      <c r="B126" s="191"/>
      <c r="C126" s="185"/>
      <c r="D126" s="188"/>
      <c r="E126" s="188"/>
      <c r="F126" s="27" t="s">
        <v>27</v>
      </c>
      <c r="G126" s="103"/>
      <c r="H126" s="104"/>
      <c r="I126" s="103"/>
      <c r="J126" s="104"/>
      <c r="K126" s="103"/>
      <c r="L126" s="104"/>
      <c r="M126" s="103">
        <v>34.08</v>
      </c>
      <c r="N126" s="104">
        <v>34.08</v>
      </c>
      <c r="O126" s="103"/>
      <c r="P126" s="104"/>
      <c r="Q126" s="103"/>
      <c r="R126" s="104"/>
      <c r="S126" s="103">
        <v>34.08</v>
      </c>
      <c r="T126" s="104">
        <v>34.08</v>
      </c>
      <c r="U126" s="103"/>
      <c r="V126" s="104"/>
      <c r="W126" s="103"/>
      <c r="X126" s="104"/>
      <c r="Y126" s="103">
        <v>34.020000000000003</v>
      </c>
      <c r="Z126" s="104">
        <v>34.020000000000003</v>
      </c>
      <c r="AA126" s="103"/>
      <c r="AB126" s="104"/>
      <c r="AC126" s="103"/>
      <c r="AD126" s="104"/>
      <c r="AE126" s="124"/>
      <c r="AF126" s="103" cm="1">
        <f t="array" ref="AF126">MAX(IF(MOD(COLUMN(G126:AD126)-COLUMN(C119),2)=0, G126:AD126))</f>
        <v>34.08</v>
      </c>
      <c r="AG126" s="104" cm="1">
        <f t="array" ref="AG126">MAX(IF(MOD(COLUMN(G126:AD126)-COLUMN(C119),2)=1, G126:AD126))</f>
        <v>34.08</v>
      </c>
    </row>
    <row r="127" spans="1:33" s="6" customFormat="1" ht="16.5" customHeight="1" x14ac:dyDescent="0.25">
      <c r="A127" s="221"/>
      <c r="B127" s="189">
        <v>32</v>
      </c>
      <c r="C127" s="183">
        <v>2015</v>
      </c>
      <c r="D127" s="186">
        <v>0</v>
      </c>
      <c r="E127" s="186"/>
      <c r="F127" s="14" t="s">
        <v>24</v>
      </c>
      <c r="G127" s="112"/>
      <c r="H127" s="111"/>
      <c r="I127" s="112"/>
      <c r="J127" s="111"/>
      <c r="K127" s="112"/>
      <c r="L127" s="111"/>
      <c r="M127" s="112"/>
      <c r="N127" s="111"/>
      <c r="O127" s="112"/>
      <c r="P127" s="111"/>
      <c r="Q127" s="112"/>
      <c r="R127" s="111"/>
      <c r="S127" s="112"/>
      <c r="T127" s="111"/>
      <c r="U127" s="112"/>
      <c r="V127" s="111"/>
      <c r="W127" s="112"/>
      <c r="X127" s="111"/>
      <c r="Y127" s="112"/>
      <c r="Z127" s="111"/>
      <c r="AA127" s="112"/>
      <c r="AB127" s="111"/>
      <c r="AC127" s="112"/>
      <c r="AD127" s="111"/>
      <c r="AF127" s="112" cm="1">
        <f t="array" ref="AF127">MAX(IF(MOD(COLUMN(G127:AD127)-COLUMN(C120),2)=0, G127:AD127))</f>
        <v>0</v>
      </c>
      <c r="AG127" s="111" cm="1">
        <f t="array" ref="AG127">MAX(IF(MOD(COLUMN(G127:AD127)-COLUMN(C120),2)=1, G127:AD127))</f>
        <v>0</v>
      </c>
    </row>
    <row r="128" spans="1:33" s="6" customFormat="1" ht="16.5" customHeight="1" x14ac:dyDescent="0.25">
      <c r="A128" s="221"/>
      <c r="B128" s="190"/>
      <c r="C128" s="184"/>
      <c r="D128" s="187"/>
      <c r="E128" s="187"/>
      <c r="F128" s="21" t="s">
        <v>65</v>
      </c>
      <c r="G128" s="101"/>
      <c r="H128" s="102"/>
      <c r="I128" s="101"/>
      <c r="J128" s="102"/>
      <c r="K128" s="101"/>
      <c r="L128" s="102"/>
      <c r="M128" s="101"/>
      <c r="N128" s="102"/>
      <c r="O128" s="101"/>
      <c r="P128" s="102"/>
      <c r="Q128" s="101"/>
      <c r="R128" s="102"/>
      <c r="S128" s="101"/>
      <c r="T128" s="102"/>
      <c r="U128" s="101"/>
      <c r="V128" s="102"/>
      <c r="W128" s="101"/>
      <c r="X128" s="102"/>
      <c r="Y128" s="101"/>
      <c r="Z128" s="102"/>
      <c r="AA128" s="101"/>
      <c r="AB128" s="102"/>
      <c r="AC128" s="101"/>
      <c r="AD128" s="102"/>
      <c r="AF128" s="101">
        <f>G128+I128+K128+M128+O128+Q128+S128+U128++W128+Y128+AA128+AC128</f>
        <v>0</v>
      </c>
      <c r="AG128" s="102">
        <f>H128+J128+L128+N128+P128+R128+T128+V128++X128+Z128+AB128+AD128</f>
        <v>0</v>
      </c>
    </row>
    <row r="129" spans="1:36" s="6" customFormat="1" ht="16.5" customHeight="1" thickBot="1" x14ac:dyDescent="0.3">
      <c r="A129" s="221"/>
      <c r="B129" s="191"/>
      <c r="C129" s="185"/>
      <c r="D129" s="188"/>
      <c r="E129" s="188"/>
      <c r="F129" s="27" t="s">
        <v>27</v>
      </c>
      <c r="G129" s="113"/>
      <c r="H129" s="123"/>
      <c r="I129" s="113"/>
      <c r="J129" s="123"/>
      <c r="K129" s="113"/>
      <c r="L129" s="123"/>
      <c r="M129" s="113"/>
      <c r="N129" s="123"/>
      <c r="O129" s="113"/>
      <c r="P129" s="123"/>
      <c r="Q129" s="113"/>
      <c r="R129" s="123"/>
      <c r="S129" s="113"/>
      <c r="T129" s="123"/>
      <c r="U129" s="113"/>
      <c r="V129" s="123"/>
      <c r="W129" s="113"/>
      <c r="X129" s="123"/>
      <c r="Y129" s="113"/>
      <c r="Z129" s="123"/>
      <c r="AA129" s="113"/>
      <c r="AB129" s="123"/>
      <c r="AC129" s="113"/>
      <c r="AD129" s="123"/>
      <c r="AE129" s="124"/>
      <c r="AF129" s="103" cm="1">
        <f t="array" ref="AF129">MAX(IF(MOD(COLUMN(G129:AD129)-COLUMN(C122),2)=0, G129:AD129))</f>
        <v>0</v>
      </c>
      <c r="AG129" s="104" cm="1">
        <f t="array" ref="AG129">MAX(IF(MOD(COLUMN(G129:AD129)-COLUMN(C122),2)=1, G129:AD129))</f>
        <v>0</v>
      </c>
    </row>
    <row r="130" spans="1:36" ht="16.5" thickBot="1" x14ac:dyDescent="0.3">
      <c r="A130" s="221"/>
      <c r="B130" s="227" t="s">
        <v>29</v>
      </c>
      <c r="C130" s="228"/>
      <c r="D130" s="225">
        <f>SUM(D103:D129)</f>
        <v>174.89</v>
      </c>
      <c r="E130" s="225">
        <f>SUM(E103:E126)</f>
        <v>174.77</v>
      </c>
      <c r="F130" s="125" t="s">
        <v>65</v>
      </c>
      <c r="G130" s="47">
        <f t="shared" ref="G130:AD130" si="6">G104+G107+G110+G113+G116+G119+G122+G125+G128</f>
        <v>0</v>
      </c>
      <c r="H130" s="49">
        <f t="shared" si="6"/>
        <v>0</v>
      </c>
      <c r="I130" s="47">
        <f t="shared" si="6"/>
        <v>20</v>
      </c>
      <c r="J130" s="49">
        <f t="shared" si="6"/>
        <v>1000</v>
      </c>
      <c r="K130" s="47">
        <f t="shared" si="6"/>
        <v>60</v>
      </c>
      <c r="L130" s="49">
        <f t="shared" si="6"/>
        <v>3000</v>
      </c>
      <c r="M130" s="47">
        <f t="shared" si="6"/>
        <v>60</v>
      </c>
      <c r="N130" s="49">
        <f t="shared" si="6"/>
        <v>3000</v>
      </c>
      <c r="O130" s="47">
        <f t="shared" si="6"/>
        <v>80</v>
      </c>
      <c r="P130" s="49">
        <f t="shared" si="6"/>
        <v>4000</v>
      </c>
      <c r="Q130" s="47">
        <f t="shared" si="6"/>
        <v>40</v>
      </c>
      <c r="R130" s="49">
        <f t="shared" si="6"/>
        <v>2000</v>
      </c>
      <c r="S130" s="47">
        <f t="shared" si="6"/>
        <v>100</v>
      </c>
      <c r="T130" s="49">
        <f t="shared" si="6"/>
        <v>5000</v>
      </c>
      <c r="U130" s="47">
        <f t="shared" si="6"/>
        <v>80</v>
      </c>
      <c r="V130" s="49">
        <f t="shared" si="6"/>
        <v>4000</v>
      </c>
      <c r="W130" s="47">
        <f t="shared" si="6"/>
        <v>40</v>
      </c>
      <c r="X130" s="49">
        <f t="shared" si="6"/>
        <v>2000</v>
      </c>
      <c r="Y130" s="47">
        <f t="shared" si="6"/>
        <v>80</v>
      </c>
      <c r="Z130" s="49">
        <f t="shared" si="6"/>
        <v>4000</v>
      </c>
      <c r="AA130" s="47">
        <f t="shared" si="6"/>
        <v>0</v>
      </c>
      <c r="AB130" s="49">
        <f t="shared" si="6"/>
        <v>0</v>
      </c>
      <c r="AC130" s="47">
        <f t="shared" si="6"/>
        <v>0</v>
      </c>
      <c r="AD130" s="49">
        <f t="shared" si="6"/>
        <v>0</v>
      </c>
      <c r="AF130" s="47">
        <f>AF104+AF107+AF110+AF113+AF116+AF119+AF122+AF125+AF128</f>
        <v>560</v>
      </c>
      <c r="AG130" s="49">
        <f>AG104+AG107+AG110+AG113+AG116+AG119+AG122+AG125+AG128</f>
        <v>28000</v>
      </c>
    </row>
    <row r="131" spans="1:36" ht="16.5" thickBot="1" x14ac:dyDescent="0.3">
      <c r="A131" s="222"/>
      <c r="B131" s="229"/>
      <c r="C131" s="230"/>
      <c r="D131" s="226"/>
      <c r="E131" s="226"/>
      <c r="F131" s="46" t="s">
        <v>27</v>
      </c>
      <c r="G131" s="47">
        <f t="shared" ref="G131:AD131" si="7">G105+G108+G111+G114+G117+G120+G123+G126+G129</f>
        <v>0</v>
      </c>
      <c r="H131" s="49">
        <f t="shared" si="7"/>
        <v>0</v>
      </c>
      <c r="I131" s="47">
        <f t="shared" si="7"/>
        <v>18.64</v>
      </c>
      <c r="J131" s="49">
        <f t="shared" si="7"/>
        <v>18.64</v>
      </c>
      <c r="K131" s="47">
        <f t="shared" si="7"/>
        <v>60.94</v>
      </c>
      <c r="L131" s="49">
        <f t="shared" si="7"/>
        <v>60.94</v>
      </c>
      <c r="M131" s="47">
        <f t="shared" si="7"/>
        <v>59.58</v>
      </c>
      <c r="N131" s="49">
        <f t="shared" si="7"/>
        <v>59.58</v>
      </c>
      <c r="O131" s="47">
        <f t="shared" si="7"/>
        <v>54.370000000000005</v>
      </c>
      <c r="P131" s="49">
        <f t="shared" si="7"/>
        <v>54.370000000000005</v>
      </c>
      <c r="Q131" s="47">
        <f t="shared" si="7"/>
        <v>48.22</v>
      </c>
      <c r="R131" s="49">
        <f t="shared" si="7"/>
        <v>48.22</v>
      </c>
      <c r="S131" s="47">
        <f t="shared" si="7"/>
        <v>69.81</v>
      </c>
      <c r="T131" s="49">
        <f t="shared" si="7"/>
        <v>69.81</v>
      </c>
      <c r="U131" s="47">
        <f t="shared" si="7"/>
        <v>56.86</v>
      </c>
      <c r="V131" s="49">
        <f t="shared" si="7"/>
        <v>56.86</v>
      </c>
      <c r="W131" s="47">
        <f t="shared" si="7"/>
        <v>48.22</v>
      </c>
      <c r="X131" s="49">
        <f t="shared" si="7"/>
        <v>48.22</v>
      </c>
      <c r="Y131" s="47">
        <f t="shared" si="7"/>
        <v>77.580000000000013</v>
      </c>
      <c r="Z131" s="49">
        <f t="shared" si="7"/>
        <v>77.580000000000013</v>
      </c>
      <c r="AA131" s="47">
        <f t="shared" si="7"/>
        <v>0</v>
      </c>
      <c r="AB131" s="49">
        <f t="shared" si="7"/>
        <v>0</v>
      </c>
      <c r="AC131" s="47">
        <f t="shared" si="7"/>
        <v>0</v>
      </c>
      <c r="AD131" s="49">
        <f t="shared" si="7"/>
        <v>0</v>
      </c>
      <c r="AF131" s="47">
        <f>AF105+AF108+AF111+AF114+AF117+AF120+AF123+AF126+AF129</f>
        <v>182.76999999999998</v>
      </c>
      <c r="AG131" s="49">
        <f>AG105+AG108+AG111+AG114+AG117+AG120+AG123+AG126+AG129</f>
        <v>182.76999999999998</v>
      </c>
    </row>
    <row r="132" spans="1:36" ht="16.5" thickBot="1" x14ac:dyDescent="0.3">
      <c r="B132" s="8"/>
      <c r="C132" s="8"/>
      <c r="D132" s="70"/>
      <c r="E132" s="70"/>
      <c r="F132" s="4"/>
      <c r="M132" s="78"/>
      <c r="N132" s="78"/>
      <c r="U132" s="78"/>
      <c r="V132" s="78"/>
      <c r="W132" s="9"/>
      <c r="X132" s="9"/>
    </row>
    <row r="133" spans="1:36" ht="15.75" customHeight="1" x14ac:dyDescent="0.25">
      <c r="A133" s="209" t="s">
        <v>67</v>
      </c>
      <c r="B133" s="209" t="s">
        <v>7</v>
      </c>
      <c r="C133" s="160" t="s">
        <v>8</v>
      </c>
      <c r="D133" s="166" t="s">
        <v>9</v>
      </c>
      <c r="E133" s="166" t="s">
        <v>10</v>
      </c>
      <c r="F133" s="169" t="s">
        <v>11</v>
      </c>
      <c r="G133" s="203" t="s">
        <v>12</v>
      </c>
      <c r="H133" s="204"/>
      <c r="I133" s="203" t="s">
        <v>13</v>
      </c>
      <c r="J133" s="204"/>
      <c r="K133" s="203" t="s">
        <v>14</v>
      </c>
      <c r="L133" s="211"/>
      <c r="M133" s="203" t="s">
        <v>15</v>
      </c>
      <c r="N133" s="204"/>
      <c r="O133" s="203" t="s">
        <v>16</v>
      </c>
      <c r="P133" s="204"/>
      <c r="Q133" s="203" t="s">
        <v>17</v>
      </c>
      <c r="R133" s="204"/>
      <c r="S133" s="203" t="s">
        <v>18</v>
      </c>
      <c r="T133" s="204"/>
      <c r="U133" s="203" t="s">
        <v>19</v>
      </c>
      <c r="V133" s="204"/>
      <c r="W133" s="203" t="s">
        <v>20</v>
      </c>
      <c r="X133" s="204"/>
      <c r="Y133" s="203" t="s">
        <v>21</v>
      </c>
      <c r="Z133" s="204"/>
      <c r="AA133" s="211" t="s">
        <v>22</v>
      </c>
      <c r="AB133" s="211"/>
      <c r="AC133" s="203" t="s">
        <v>23</v>
      </c>
      <c r="AD133" s="204"/>
      <c r="AE133" s="131"/>
      <c r="AF133" s="203" t="s">
        <v>66</v>
      </c>
      <c r="AG133" s="204"/>
    </row>
    <row r="134" spans="1:36" ht="15.75" customHeight="1" x14ac:dyDescent="0.25">
      <c r="A134" s="158"/>
      <c r="B134" s="158"/>
      <c r="C134" s="161"/>
      <c r="D134" s="167"/>
      <c r="E134" s="167"/>
      <c r="F134" s="193"/>
      <c r="G134" s="205"/>
      <c r="H134" s="206"/>
      <c r="I134" s="205"/>
      <c r="J134" s="206"/>
      <c r="K134" s="205"/>
      <c r="L134" s="156"/>
      <c r="M134" s="205"/>
      <c r="N134" s="206"/>
      <c r="O134" s="205"/>
      <c r="P134" s="206"/>
      <c r="Q134" s="205"/>
      <c r="R134" s="206"/>
      <c r="S134" s="205"/>
      <c r="T134" s="206"/>
      <c r="U134" s="205"/>
      <c r="V134" s="206"/>
      <c r="W134" s="205"/>
      <c r="X134" s="206"/>
      <c r="Y134" s="205"/>
      <c r="Z134" s="206"/>
      <c r="AA134" s="156"/>
      <c r="AB134" s="156"/>
      <c r="AC134" s="205"/>
      <c r="AD134" s="206"/>
      <c r="AF134" s="205"/>
      <c r="AG134" s="206"/>
    </row>
    <row r="135" spans="1:36" ht="16.5" thickBot="1" x14ac:dyDescent="0.3">
      <c r="A135" s="158"/>
      <c r="B135" s="158"/>
      <c r="C135" s="162"/>
      <c r="D135" s="167"/>
      <c r="E135" s="167"/>
      <c r="F135" s="193"/>
      <c r="G135" s="207"/>
      <c r="H135" s="208"/>
      <c r="I135" s="207"/>
      <c r="J135" s="208"/>
      <c r="K135" s="207"/>
      <c r="L135" s="212"/>
      <c r="M135" s="207"/>
      <c r="N135" s="208"/>
      <c r="O135" s="207"/>
      <c r="P135" s="208"/>
      <c r="Q135" s="207"/>
      <c r="R135" s="208"/>
      <c r="S135" s="207"/>
      <c r="T135" s="208"/>
      <c r="U135" s="207"/>
      <c r="V135" s="208"/>
      <c r="W135" s="207"/>
      <c r="X135" s="208"/>
      <c r="Y135" s="207"/>
      <c r="Z135" s="208"/>
      <c r="AA135" s="212"/>
      <c r="AB135" s="212"/>
      <c r="AC135" s="207"/>
      <c r="AD135" s="208"/>
      <c r="AF135" s="207"/>
      <c r="AG135" s="208"/>
    </row>
    <row r="136" spans="1:36" s="119" customFormat="1" ht="32.25" thickBot="1" x14ac:dyDescent="0.3">
      <c r="A136" s="210"/>
      <c r="B136" s="210"/>
      <c r="C136" s="90"/>
      <c r="D136" s="168"/>
      <c r="E136" s="168"/>
      <c r="F136" s="194"/>
      <c r="G136" s="106" t="s">
        <v>76</v>
      </c>
      <c r="H136" s="118" t="s">
        <v>75</v>
      </c>
      <c r="I136" s="106" t="s">
        <v>76</v>
      </c>
      <c r="J136" s="118" t="s">
        <v>75</v>
      </c>
      <c r="K136" s="106" t="s">
        <v>76</v>
      </c>
      <c r="L136" s="118" t="s">
        <v>75</v>
      </c>
      <c r="M136" s="106" t="s">
        <v>76</v>
      </c>
      <c r="N136" s="118" t="s">
        <v>75</v>
      </c>
      <c r="O136" s="106" t="s">
        <v>76</v>
      </c>
      <c r="P136" s="118" t="s">
        <v>75</v>
      </c>
      <c r="Q136" s="106" t="s">
        <v>76</v>
      </c>
      <c r="R136" s="118" t="s">
        <v>75</v>
      </c>
      <c r="S136" s="106" t="s">
        <v>76</v>
      </c>
      <c r="T136" s="118" t="s">
        <v>75</v>
      </c>
      <c r="U136" s="106" t="s">
        <v>76</v>
      </c>
      <c r="V136" s="118" t="s">
        <v>75</v>
      </c>
      <c r="W136" s="106" t="s">
        <v>76</v>
      </c>
      <c r="X136" s="118" t="s">
        <v>75</v>
      </c>
      <c r="Y136" s="106" t="s">
        <v>76</v>
      </c>
      <c r="Z136" s="118" t="s">
        <v>75</v>
      </c>
      <c r="AA136" s="106" t="s">
        <v>76</v>
      </c>
      <c r="AB136" s="118" t="s">
        <v>75</v>
      </c>
      <c r="AC136" s="106" t="s">
        <v>76</v>
      </c>
      <c r="AD136" s="118" t="s">
        <v>75</v>
      </c>
      <c r="AF136" s="106" t="s">
        <v>76</v>
      </c>
      <c r="AG136" s="118" t="s">
        <v>75</v>
      </c>
    </row>
    <row r="137" spans="1:36" x14ac:dyDescent="0.25">
      <c r="A137" s="213" t="s">
        <v>72</v>
      </c>
      <c r="B137" s="180">
        <v>33</v>
      </c>
      <c r="C137" s="183">
        <v>2016</v>
      </c>
      <c r="D137" s="186">
        <v>28.72</v>
      </c>
      <c r="E137" s="186">
        <v>28.42</v>
      </c>
      <c r="F137" s="14" t="s">
        <v>24</v>
      </c>
      <c r="G137" s="112"/>
      <c r="H137" s="111"/>
      <c r="I137" s="112"/>
      <c r="J137" s="111"/>
      <c r="K137" s="112"/>
      <c r="L137" s="111"/>
      <c r="M137" s="112">
        <v>1</v>
      </c>
      <c r="N137" s="111">
        <v>1</v>
      </c>
      <c r="O137" s="112"/>
      <c r="P137" s="111"/>
      <c r="Q137" s="112">
        <v>2</v>
      </c>
      <c r="R137" s="111">
        <v>2</v>
      </c>
      <c r="S137" s="112"/>
      <c r="T137" s="111"/>
      <c r="U137" s="112"/>
      <c r="V137" s="111"/>
      <c r="W137" s="112">
        <v>3</v>
      </c>
      <c r="X137" s="111">
        <v>3</v>
      </c>
      <c r="Y137" s="112"/>
      <c r="Z137" s="111"/>
      <c r="AA137" s="112"/>
      <c r="AB137" s="111"/>
      <c r="AC137" s="112"/>
      <c r="AD137" s="111"/>
      <c r="AF137" s="112" cm="1">
        <f t="array" ref="AF137">MAX(IF(MOD(COLUMN(G137:AD137)-COLUMN(C132),2)=0, G137:AD137))</f>
        <v>3</v>
      </c>
      <c r="AG137" s="111" cm="1">
        <f t="array" ref="AG137">MAX(IF(MOD(COLUMN(G137:AD137)-COLUMN(C132),2)=1, G137:AD137))</f>
        <v>3</v>
      </c>
    </row>
    <row r="138" spans="1:36" x14ac:dyDescent="0.25">
      <c r="A138" s="214"/>
      <c r="B138" s="181"/>
      <c r="C138" s="184"/>
      <c r="D138" s="187"/>
      <c r="E138" s="187"/>
      <c r="F138" s="21" t="s">
        <v>65</v>
      </c>
      <c r="G138" s="101"/>
      <c r="H138" s="102"/>
      <c r="I138" s="101"/>
      <c r="J138" s="102"/>
      <c r="K138" s="101"/>
      <c r="L138" s="102"/>
      <c r="M138" s="101">
        <v>20</v>
      </c>
      <c r="N138" s="102">
        <v>1000</v>
      </c>
      <c r="O138" s="101"/>
      <c r="P138" s="102"/>
      <c r="Q138" s="101">
        <v>20</v>
      </c>
      <c r="R138" s="102">
        <v>1000</v>
      </c>
      <c r="S138" s="101"/>
      <c r="T138" s="102"/>
      <c r="U138" s="101"/>
      <c r="V138" s="102"/>
      <c r="W138" s="101">
        <v>20</v>
      </c>
      <c r="X138" s="102">
        <v>1000</v>
      </c>
      <c r="Y138" s="101"/>
      <c r="Z138" s="102"/>
      <c r="AA138" s="101"/>
      <c r="AB138" s="102"/>
      <c r="AC138" s="101"/>
      <c r="AD138" s="102"/>
      <c r="AF138" s="101">
        <f>G138+I138+K138+M138+O138+Q138+S138+U138++W138+Y138+AA138+AC138</f>
        <v>60</v>
      </c>
      <c r="AG138" s="102">
        <f>H138+J138+L138+N138+P138+R138+T138+V138++X138+Z138+AB138+AD138</f>
        <v>3000</v>
      </c>
      <c r="AH138" s="8"/>
      <c r="AI138" s="8"/>
      <c r="AJ138" s="8"/>
    </row>
    <row r="139" spans="1:36" ht="16.5" thickBot="1" x14ac:dyDescent="0.3">
      <c r="A139" s="214"/>
      <c r="B139" s="182"/>
      <c r="C139" s="185"/>
      <c r="D139" s="188"/>
      <c r="E139" s="188"/>
      <c r="F139" s="27" t="s">
        <v>27</v>
      </c>
      <c r="G139" s="103"/>
      <c r="H139" s="104"/>
      <c r="I139" s="103"/>
      <c r="J139" s="104"/>
      <c r="K139" s="103"/>
      <c r="L139" s="104"/>
      <c r="M139" s="103">
        <v>28.72</v>
      </c>
      <c r="N139" s="104">
        <v>28.72</v>
      </c>
      <c r="O139" s="103"/>
      <c r="P139" s="104"/>
      <c r="Q139" s="103">
        <v>28.72</v>
      </c>
      <c r="R139" s="104">
        <v>28.72</v>
      </c>
      <c r="S139" s="103"/>
      <c r="T139" s="104"/>
      <c r="U139" s="103"/>
      <c r="V139" s="104"/>
      <c r="W139" s="103">
        <v>28.72</v>
      </c>
      <c r="X139" s="104">
        <v>28.72</v>
      </c>
      <c r="Y139" s="103"/>
      <c r="Z139" s="104"/>
      <c r="AA139" s="103"/>
      <c r="AB139" s="104"/>
      <c r="AC139" s="103"/>
      <c r="AD139" s="104"/>
      <c r="AE139" s="120"/>
      <c r="AF139" s="103" cm="1">
        <f t="array" ref="AF139">MAX(IF(MOD(COLUMN(G139:AD139)-COLUMN(C134),2)=0, G139:AD139))</f>
        <v>28.72</v>
      </c>
      <c r="AG139" s="104" cm="1">
        <f t="array" ref="AG139">MAX(IF(MOD(COLUMN(G139:AD139)-COLUMN(C134),2)=1, G139:AD139))</f>
        <v>28.72</v>
      </c>
      <c r="AH139" s="8"/>
      <c r="AI139" s="8"/>
      <c r="AJ139" s="8"/>
    </row>
    <row r="140" spans="1:36" x14ac:dyDescent="0.25">
      <c r="A140" s="214"/>
      <c r="B140" s="189">
        <v>39</v>
      </c>
      <c r="C140" s="183">
        <v>2016</v>
      </c>
      <c r="D140" s="186">
        <v>4.5</v>
      </c>
      <c r="E140" s="186">
        <v>4.5</v>
      </c>
      <c r="F140" s="14" t="s">
        <v>24</v>
      </c>
      <c r="G140" s="112"/>
      <c r="H140" s="111"/>
      <c r="I140" s="112"/>
      <c r="J140" s="111"/>
      <c r="K140" s="112"/>
      <c r="L140" s="111"/>
      <c r="M140" s="112">
        <v>1</v>
      </c>
      <c r="N140" s="111">
        <v>1</v>
      </c>
      <c r="O140" s="112"/>
      <c r="P140" s="111"/>
      <c r="Q140" s="112">
        <v>2</v>
      </c>
      <c r="R140" s="111">
        <v>2</v>
      </c>
      <c r="S140" s="112"/>
      <c r="T140" s="111"/>
      <c r="U140" s="112"/>
      <c r="V140" s="111"/>
      <c r="W140" s="112">
        <v>3</v>
      </c>
      <c r="X140" s="111">
        <v>3</v>
      </c>
      <c r="Y140" s="112"/>
      <c r="Z140" s="111"/>
      <c r="AA140" s="112"/>
      <c r="AB140" s="111"/>
      <c r="AC140" s="112"/>
      <c r="AD140" s="111"/>
      <c r="AF140" s="112" cm="1">
        <f t="array" ref="AF140">MAX(IF(MOD(COLUMN(G140:AD140)-COLUMN(C135),2)=0, G140:AD140))</f>
        <v>3</v>
      </c>
      <c r="AG140" s="111" cm="1">
        <f t="array" ref="AG140">MAX(IF(MOD(COLUMN(G140:AD140)-COLUMN(C135),2)=1, G140:AD140))</f>
        <v>3</v>
      </c>
      <c r="AH140" s="8"/>
      <c r="AI140" s="8"/>
      <c r="AJ140" s="8"/>
    </row>
    <row r="141" spans="1:36" x14ac:dyDescent="0.25">
      <c r="A141" s="214"/>
      <c r="B141" s="190"/>
      <c r="C141" s="184"/>
      <c r="D141" s="187"/>
      <c r="E141" s="187"/>
      <c r="F141" s="21" t="s">
        <v>65</v>
      </c>
      <c r="G141" s="101"/>
      <c r="H141" s="102"/>
      <c r="I141" s="101"/>
      <c r="J141" s="102"/>
      <c r="K141" s="101"/>
      <c r="L141" s="102"/>
      <c r="M141" s="101">
        <v>7</v>
      </c>
      <c r="N141" s="102">
        <v>333</v>
      </c>
      <c r="O141" s="101"/>
      <c r="P141" s="102"/>
      <c r="Q141" s="101">
        <v>7</v>
      </c>
      <c r="R141" s="102">
        <v>333</v>
      </c>
      <c r="S141" s="101"/>
      <c r="T141" s="102"/>
      <c r="U141" s="101"/>
      <c r="V141" s="102"/>
      <c r="W141" s="101">
        <v>6</v>
      </c>
      <c r="X141" s="102">
        <v>334</v>
      </c>
      <c r="Y141" s="101"/>
      <c r="Z141" s="102"/>
      <c r="AA141" s="101"/>
      <c r="AB141" s="102"/>
      <c r="AC141" s="101"/>
      <c r="AD141" s="102"/>
      <c r="AF141" s="101">
        <f>G141+I141+K141+M141+O141+Q141+S141+U141++W141+Y141+AA141+AC141</f>
        <v>20</v>
      </c>
      <c r="AG141" s="102">
        <f>H141+J141+L141+N141+P141+R141+T141+V141++X141+Z141+AB141+AD141</f>
        <v>1000</v>
      </c>
    </row>
    <row r="142" spans="1:36" ht="16.5" thickBot="1" x14ac:dyDescent="0.3">
      <c r="A142" s="214"/>
      <c r="B142" s="191"/>
      <c r="C142" s="185"/>
      <c r="D142" s="188"/>
      <c r="E142" s="188"/>
      <c r="F142" s="27" t="s">
        <v>27</v>
      </c>
      <c r="G142" s="113"/>
      <c r="H142" s="123"/>
      <c r="I142" s="113"/>
      <c r="J142" s="123"/>
      <c r="K142" s="113"/>
      <c r="L142" s="123"/>
      <c r="M142" s="113">
        <v>4.5</v>
      </c>
      <c r="N142" s="123">
        <v>4.5</v>
      </c>
      <c r="O142" s="113"/>
      <c r="P142" s="123"/>
      <c r="Q142" s="113">
        <v>4.5</v>
      </c>
      <c r="R142" s="123">
        <v>4.5</v>
      </c>
      <c r="S142" s="113"/>
      <c r="T142" s="123"/>
      <c r="U142" s="113"/>
      <c r="V142" s="123"/>
      <c r="W142" s="113">
        <v>4.5</v>
      </c>
      <c r="X142" s="123">
        <v>4.5</v>
      </c>
      <c r="Y142" s="113"/>
      <c r="Z142" s="123"/>
      <c r="AA142" s="113"/>
      <c r="AB142" s="123"/>
      <c r="AC142" s="113"/>
      <c r="AD142" s="123"/>
      <c r="AE142" s="120"/>
      <c r="AF142" s="103" cm="1">
        <f t="array" ref="AF142">MAX(IF(MOD(COLUMN(G142:AD142)-COLUMN(C134),2)=0, G142:AD142))</f>
        <v>4.5</v>
      </c>
      <c r="AG142" s="104" cm="1">
        <f t="array" ref="AG142">MAX(IF(MOD(COLUMN(G142:AD142)-COLUMN(C134),2)=1, G142:AD142))</f>
        <v>4.5</v>
      </c>
    </row>
    <row r="143" spans="1:36" ht="16.5" thickBot="1" x14ac:dyDescent="0.3">
      <c r="A143" s="214"/>
      <c r="B143" s="231" t="s">
        <v>29</v>
      </c>
      <c r="C143" s="8"/>
      <c r="D143" s="225">
        <f>SUM(D137:D142)</f>
        <v>33.22</v>
      </c>
      <c r="E143" s="225">
        <f>SUM(E137:E142)</f>
        <v>32.92</v>
      </c>
      <c r="F143" s="125" t="s">
        <v>65</v>
      </c>
      <c r="G143" s="47">
        <f t="shared" ref="G143:AD143" si="8">G138+G141</f>
        <v>0</v>
      </c>
      <c r="H143" s="49">
        <f t="shared" si="8"/>
        <v>0</v>
      </c>
      <c r="I143" s="47">
        <f t="shared" si="8"/>
        <v>0</v>
      </c>
      <c r="J143" s="49">
        <f t="shared" si="8"/>
        <v>0</v>
      </c>
      <c r="K143" s="47">
        <f t="shared" si="8"/>
        <v>0</v>
      </c>
      <c r="L143" s="49">
        <f t="shared" si="8"/>
        <v>0</v>
      </c>
      <c r="M143" s="47">
        <f t="shared" si="8"/>
        <v>27</v>
      </c>
      <c r="N143" s="49">
        <f t="shared" si="8"/>
        <v>1333</v>
      </c>
      <c r="O143" s="47">
        <f t="shared" si="8"/>
        <v>0</v>
      </c>
      <c r="P143" s="49">
        <f t="shared" si="8"/>
        <v>0</v>
      </c>
      <c r="Q143" s="47">
        <f t="shared" si="8"/>
        <v>27</v>
      </c>
      <c r="R143" s="49">
        <f t="shared" si="8"/>
        <v>1333</v>
      </c>
      <c r="S143" s="47">
        <f t="shared" si="8"/>
        <v>0</v>
      </c>
      <c r="T143" s="49">
        <f t="shared" si="8"/>
        <v>0</v>
      </c>
      <c r="U143" s="47">
        <f t="shared" si="8"/>
        <v>0</v>
      </c>
      <c r="V143" s="49">
        <f t="shared" si="8"/>
        <v>0</v>
      </c>
      <c r="W143" s="47">
        <f t="shared" si="8"/>
        <v>26</v>
      </c>
      <c r="X143" s="49">
        <f t="shared" si="8"/>
        <v>1334</v>
      </c>
      <c r="Y143" s="47">
        <f t="shared" si="8"/>
        <v>0</v>
      </c>
      <c r="Z143" s="49">
        <f t="shared" si="8"/>
        <v>0</v>
      </c>
      <c r="AA143" s="47">
        <f t="shared" si="8"/>
        <v>0</v>
      </c>
      <c r="AB143" s="49">
        <f t="shared" si="8"/>
        <v>0</v>
      </c>
      <c r="AC143" s="47">
        <f t="shared" si="8"/>
        <v>0</v>
      </c>
      <c r="AD143" s="49">
        <f t="shared" si="8"/>
        <v>0</v>
      </c>
      <c r="AE143" s="133"/>
      <c r="AF143" s="47">
        <f>AF138+AF141</f>
        <v>80</v>
      </c>
      <c r="AG143" s="49">
        <f>AG138+AG141</f>
        <v>4000</v>
      </c>
    </row>
    <row r="144" spans="1:36" ht="16.5" thickBot="1" x14ac:dyDescent="0.3">
      <c r="A144" s="215"/>
      <c r="B144" s="232"/>
      <c r="C144" s="132"/>
      <c r="D144" s="226"/>
      <c r="E144" s="226"/>
      <c r="F144" s="46" t="s">
        <v>27</v>
      </c>
      <c r="G144" s="47">
        <f t="shared" ref="G144:AD144" si="9">G139+G142</f>
        <v>0</v>
      </c>
      <c r="H144" s="49">
        <f t="shared" si="9"/>
        <v>0</v>
      </c>
      <c r="I144" s="47">
        <f t="shared" si="9"/>
        <v>0</v>
      </c>
      <c r="J144" s="49">
        <f t="shared" si="9"/>
        <v>0</v>
      </c>
      <c r="K144" s="47">
        <f t="shared" si="9"/>
        <v>0</v>
      </c>
      <c r="L144" s="49">
        <f t="shared" si="9"/>
        <v>0</v>
      </c>
      <c r="M144" s="47">
        <f t="shared" si="9"/>
        <v>33.22</v>
      </c>
      <c r="N144" s="49">
        <f t="shared" si="9"/>
        <v>33.22</v>
      </c>
      <c r="O144" s="47">
        <f t="shared" si="9"/>
        <v>0</v>
      </c>
      <c r="P144" s="49">
        <f t="shared" si="9"/>
        <v>0</v>
      </c>
      <c r="Q144" s="47">
        <f t="shared" si="9"/>
        <v>33.22</v>
      </c>
      <c r="R144" s="49">
        <f t="shared" si="9"/>
        <v>33.22</v>
      </c>
      <c r="S144" s="47">
        <f t="shared" si="9"/>
        <v>0</v>
      </c>
      <c r="T144" s="49">
        <f t="shared" si="9"/>
        <v>0</v>
      </c>
      <c r="U144" s="47">
        <f t="shared" si="9"/>
        <v>0</v>
      </c>
      <c r="V144" s="49">
        <f t="shared" si="9"/>
        <v>0</v>
      </c>
      <c r="W144" s="47">
        <f t="shared" si="9"/>
        <v>33.22</v>
      </c>
      <c r="X144" s="49">
        <f t="shared" si="9"/>
        <v>33.22</v>
      </c>
      <c r="Y144" s="47">
        <f t="shared" si="9"/>
        <v>0</v>
      </c>
      <c r="Z144" s="49">
        <f t="shared" si="9"/>
        <v>0</v>
      </c>
      <c r="AA144" s="47">
        <f t="shared" si="9"/>
        <v>0</v>
      </c>
      <c r="AB144" s="49">
        <f t="shared" si="9"/>
        <v>0</v>
      </c>
      <c r="AC144" s="47">
        <f t="shared" si="9"/>
        <v>0</v>
      </c>
      <c r="AD144" s="49">
        <f t="shared" si="9"/>
        <v>0</v>
      </c>
      <c r="AE144" s="133"/>
      <c r="AF144" s="47">
        <f>AF139+AF142</f>
        <v>33.22</v>
      </c>
      <c r="AG144" s="49">
        <f>AG139+AG142</f>
        <v>33.22</v>
      </c>
    </row>
    <row r="145" spans="1:33" ht="7.5" customHeight="1" thickBot="1" x14ac:dyDescent="0.3">
      <c r="A145" s="130"/>
      <c r="B145" s="127"/>
      <c r="C145" s="126"/>
      <c r="D145" s="128"/>
      <c r="E145" s="128"/>
      <c r="F145" s="78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F145" s="144"/>
      <c r="AG145" s="145"/>
    </row>
    <row r="146" spans="1:33" s="140" customFormat="1" ht="16.5" thickBot="1" x14ac:dyDescent="0.3">
      <c r="A146" s="216" t="s">
        <v>74</v>
      </c>
      <c r="B146" s="217"/>
      <c r="C146" s="134"/>
      <c r="D146" s="223">
        <f>SUM(D46,D74,D96,D130,D143)</f>
        <v>1416.51</v>
      </c>
      <c r="E146" s="223">
        <f>SUM(E46,E74,E96,E130,E143)</f>
        <v>1413.7800000000002</v>
      </c>
      <c r="F146" s="136" t="s">
        <v>65</v>
      </c>
      <c r="G146" s="137">
        <f>SUM(G46,G74,G96,G130,G143)</f>
        <v>0</v>
      </c>
      <c r="H146" s="138">
        <v>0</v>
      </c>
      <c r="I146" s="137">
        <f>SUM(I46,I74,I96,I130,I143)</f>
        <v>380</v>
      </c>
      <c r="J146" s="138">
        <f>SUM(J46,J74,J96,J143,J130)</f>
        <v>19000</v>
      </c>
      <c r="K146" s="137">
        <f>SUM(K46,K74,K96,K130,K143)</f>
        <v>380</v>
      </c>
      <c r="L146" s="138">
        <f>SUM(L46,L74,L96,L143,L130)</f>
        <v>19000</v>
      </c>
      <c r="M146" s="137">
        <f t="shared" ref="M146:O147" si="10">SUM(M46,M74,M96,M130,M143)</f>
        <v>387</v>
      </c>
      <c r="N146" s="138">
        <f t="shared" si="10"/>
        <v>19333</v>
      </c>
      <c r="O146" s="137">
        <f t="shared" si="10"/>
        <v>360</v>
      </c>
      <c r="P146" s="138">
        <f>SUM(P46,P74,P96,P143,P130)</f>
        <v>18000</v>
      </c>
      <c r="Q146" s="137">
        <f>SUM(Q46,Q74,Q96,Q130,Q143)</f>
        <v>567</v>
      </c>
      <c r="R146" s="138">
        <f>SUM(R46,R74,R96,R143,R130)</f>
        <v>28333</v>
      </c>
      <c r="S146" s="137">
        <f>SUM(S46,S74,S96,S130,S143)</f>
        <v>540</v>
      </c>
      <c r="T146" s="138">
        <f>SUM(T46,T74,T96,T143,T130)</f>
        <v>27000</v>
      </c>
      <c r="U146" s="137">
        <f>SUM(U46,U74,U96,U130,U143)</f>
        <v>440</v>
      </c>
      <c r="V146" s="138">
        <f>SUM(V46,V74,V96,V143,V130)</f>
        <v>22000</v>
      </c>
      <c r="W146" s="137">
        <f>SUM(W46,W74,W96,W130,W143)</f>
        <v>386</v>
      </c>
      <c r="X146" s="138">
        <f>SUM(X46,X74,X96,X143,X130)</f>
        <v>19334</v>
      </c>
      <c r="Y146" s="137">
        <f>SUM(Y46,Y74,Y96,Y130,Y143)</f>
        <v>480</v>
      </c>
      <c r="Z146" s="138">
        <f>SUM(Z46,Z74,Z96,Z143,Z130)</f>
        <v>24000</v>
      </c>
      <c r="AA146" s="137">
        <f>SUM(AA46,AA74,AA96,AA130,AA143)</f>
        <v>0</v>
      </c>
      <c r="AB146" s="138">
        <f>SUM(AB46,AB74,AB96,AB143)</f>
        <v>0</v>
      </c>
      <c r="AC146" s="137">
        <f>SUM(AC46,AC74,AC96,AC130,AC143)</f>
        <v>0</v>
      </c>
      <c r="AD146" s="138">
        <f>SUM(AD46,AD74,AD96,AD143,AD130)</f>
        <v>0</v>
      </c>
      <c r="AE146" s="139"/>
      <c r="AF146" s="137">
        <f>SUM(AF46,AF74,AF96,AF130,AF143)</f>
        <v>3920</v>
      </c>
      <c r="AG146" s="138">
        <f>SUM(AG46,AG74,AG96,AG143,AG130)</f>
        <v>196000</v>
      </c>
    </row>
    <row r="147" spans="1:33" s="140" customFormat="1" ht="16.5" thickBot="1" x14ac:dyDescent="0.3">
      <c r="A147" s="218"/>
      <c r="B147" s="219"/>
      <c r="C147" s="135"/>
      <c r="D147" s="224"/>
      <c r="E147" s="224"/>
      <c r="F147" s="141" t="s">
        <v>27</v>
      </c>
      <c r="G147" s="142">
        <f>SUM(G47,G75,G97,G131,G144)</f>
        <v>0</v>
      </c>
      <c r="H147" s="138">
        <v>0</v>
      </c>
      <c r="I147" s="142">
        <f>SUM(I47,I75,I97,I131,I144)</f>
        <v>450.63999999999993</v>
      </c>
      <c r="J147" s="138">
        <f>SUM(J47,J75,J97,J144,J131)</f>
        <v>450.63999999999993</v>
      </c>
      <c r="K147" s="142">
        <f>SUM(K47,K75,K97,K131,K144)</f>
        <v>419.24</v>
      </c>
      <c r="L147" s="138">
        <f>SUM(L47,L75,L97,L144,L131)</f>
        <v>419.24</v>
      </c>
      <c r="M147" s="142">
        <f t="shared" si="10"/>
        <v>388.5</v>
      </c>
      <c r="N147" s="138">
        <f t="shared" si="10"/>
        <v>388.5</v>
      </c>
      <c r="O147" s="142">
        <f t="shared" si="10"/>
        <v>422.17</v>
      </c>
      <c r="P147" s="138">
        <f>SUM(P47,P75,P97,P144,P131)</f>
        <v>422.17</v>
      </c>
      <c r="Q147" s="142">
        <f>SUM(Q47,Q75,Q97,Q131,Q144)</f>
        <v>626.34000000000015</v>
      </c>
      <c r="R147" s="138">
        <f>SUM(R47,R75,R97,R144,R131)</f>
        <v>626.34000000000015</v>
      </c>
      <c r="S147" s="142">
        <f>SUM(S47,S75,S97,S131,S144)</f>
        <v>487.90999999999997</v>
      </c>
      <c r="T147" s="138">
        <f>SUM(T47,T75,T97,T144,T131)</f>
        <v>487.90999999999997</v>
      </c>
      <c r="U147" s="142">
        <f>SUM(U47,U75,U97,U131,U144)</f>
        <v>488.85999999999996</v>
      </c>
      <c r="V147" s="138">
        <f>SUM(V47,V75,V97,V144,V131)</f>
        <v>488.85999999999996</v>
      </c>
      <c r="W147" s="142">
        <f>SUM(W47,W75,W97,W131,W144)</f>
        <v>439.74</v>
      </c>
      <c r="X147" s="138">
        <f>SUM(X47,X75,X97,X144,X131)</f>
        <v>439.74</v>
      </c>
      <c r="Y147" s="142">
        <f>SUM(Y47,Y75,Y97,Y131,Y144)</f>
        <v>495.39</v>
      </c>
      <c r="Z147" s="138">
        <f>SUM(Z47,Z75,Z97,Z144,Z131)</f>
        <v>495.39</v>
      </c>
      <c r="AA147" s="142">
        <f>SUM(AA47,AA75,AA97,AA131,AA144)</f>
        <v>0</v>
      </c>
      <c r="AB147" s="138">
        <f>SUM(AB47,AB75,AB97,AB144)</f>
        <v>0</v>
      </c>
      <c r="AC147" s="142">
        <f>SUM(AC47,AC75,AC97,AC131,AC144)</f>
        <v>0</v>
      </c>
      <c r="AD147" s="138">
        <f>SUM(AD47,AD75,AD97,AD144,AD131)</f>
        <v>0</v>
      </c>
      <c r="AE147" s="143"/>
      <c r="AF147" s="142">
        <f>SUM(AF47,AF75,AF97,AF131,AF144)</f>
        <v>1424.39</v>
      </c>
      <c r="AG147" s="138">
        <f>SUM(AG47,AG75,AG97,AG144,AG131)</f>
        <v>1424.39</v>
      </c>
    </row>
    <row r="150" spans="1:33" x14ac:dyDescent="0.25">
      <c r="G150" s="114"/>
    </row>
    <row r="151" spans="1:33" x14ac:dyDescent="0.25"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F151" s="5"/>
      <c r="AG151" s="5"/>
    </row>
    <row r="152" spans="1:33" x14ac:dyDescent="0.25"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F152" s="114"/>
      <c r="AG152" s="114"/>
    </row>
    <row r="153" spans="1:33" x14ac:dyDescent="0.25">
      <c r="G153" s="114"/>
    </row>
  </sheetData>
  <autoFilter ref="A1:AK154" xr:uid="{2D322C8C-9521-434F-AA94-297C9003E91C}"/>
  <mergeCells count="260">
    <mergeCell ref="E146:E147"/>
    <mergeCell ref="D146:D147"/>
    <mergeCell ref="E46:E47"/>
    <mergeCell ref="D46:D47"/>
    <mergeCell ref="B46:C47"/>
    <mergeCell ref="E74:E75"/>
    <mergeCell ref="D74:D75"/>
    <mergeCell ref="B74:C75"/>
    <mergeCell ref="E96:E97"/>
    <mergeCell ref="D96:D97"/>
    <mergeCell ref="B96:C97"/>
    <mergeCell ref="E130:E131"/>
    <mergeCell ref="D130:D131"/>
    <mergeCell ref="B130:C131"/>
    <mergeCell ref="B143:B144"/>
    <mergeCell ref="E143:E144"/>
    <mergeCell ref="D143:D144"/>
    <mergeCell ref="B49:B52"/>
    <mergeCell ref="D49:D52"/>
    <mergeCell ref="E49:E52"/>
    <mergeCell ref="B68:B70"/>
    <mergeCell ref="C68:C70"/>
    <mergeCell ref="D68:D70"/>
    <mergeCell ref="E68:E70"/>
    <mergeCell ref="A137:A144"/>
    <mergeCell ref="A146:B147"/>
    <mergeCell ref="AF99:AG101"/>
    <mergeCell ref="A103:A131"/>
    <mergeCell ref="A133:A136"/>
    <mergeCell ref="C133:C135"/>
    <mergeCell ref="G133:H135"/>
    <mergeCell ref="I133:J135"/>
    <mergeCell ref="K133:L135"/>
    <mergeCell ref="M133:N135"/>
    <mergeCell ref="O133:P135"/>
    <mergeCell ref="Q133:R135"/>
    <mergeCell ref="S133:T135"/>
    <mergeCell ref="U133:V135"/>
    <mergeCell ref="W133:X135"/>
    <mergeCell ref="Y133:Z135"/>
    <mergeCell ref="AA133:AB135"/>
    <mergeCell ref="AC133:AD135"/>
    <mergeCell ref="AF133:AG135"/>
    <mergeCell ref="B103:B105"/>
    <mergeCell ref="C103:C105"/>
    <mergeCell ref="D103:D105"/>
    <mergeCell ref="E103:E105"/>
    <mergeCell ref="S99:T101"/>
    <mergeCell ref="A81:A97"/>
    <mergeCell ref="A99:A102"/>
    <mergeCell ref="C99:C101"/>
    <mergeCell ref="G99:H101"/>
    <mergeCell ref="I99:J101"/>
    <mergeCell ref="K99:L101"/>
    <mergeCell ref="M99:N101"/>
    <mergeCell ref="O99:P101"/>
    <mergeCell ref="Q99:R101"/>
    <mergeCell ref="B81:B83"/>
    <mergeCell ref="C81:C83"/>
    <mergeCell ref="D81:D83"/>
    <mergeCell ref="E81:E83"/>
    <mergeCell ref="B99:B102"/>
    <mergeCell ref="D99:D102"/>
    <mergeCell ref="E99:E102"/>
    <mergeCell ref="F99:F102"/>
    <mergeCell ref="AF49:AG51"/>
    <mergeCell ref="A53:A75"/>
    <mergeCell ref="A77:A80"/>
    <mergeCell ref="C77:C79"/>
    <mergeCell ref="G77:H79"/>
    <mergeCell ref="I77:J79"/>
    <mergeCell ref="K77:L79"/>
    <mergeCell ref="M77:N79"/>
    <mergeCell ref="O77:P79"/>
    <mergeCell ref="Q77:R79"/>
    <mergeCell ref="S77:T79"/>
    <mergeCell ref="U77:V79"/>
    <mergeCell ref="W77:X79"/>
    <mergeCell ref="Y77:Z79"/>
    <mergeCell ref="AA77:AB79"/>
    <mergeCell ref="AC77:AD79"/>
    <mergeCell ref="AF77:AG79"/>
    <mergeCell ref="A49:A52"/>
    <mergeCell ref="C49:C51"/>
    <mergeCell ref="G49:H51"/>
    <mergeCell ref="I49:J51"/>
    <mergeCell ref="K49:L51"/>
    <mergeCell ref="M49:N51"/>
    <mergeCell ref="O49:P51"/>
    <mergeCell ref="B3:AC3"/>
    <mergeCell ref="B4:AC4"/>
    <mergeCell ref="B5:AC5"/>
    <mergeCell ref="C6:C8"/>
    <mergeCell ref="A6:A9"/>
    <mergeCell ref="A10:A47"/>
    <mergeCell ref="B13:B15"/>
    <mergeCell ref="C13:C15"/>
    <mergeCell ref="D13:D15"/>
    <mergeCell ref="E13:E15"/>
    <mergeCell ref="B16:B18"/>
    <mergeCell ref="C16:C18"/>
    <mergeCell ref="D16:D18"/>
    <mergeCell ref="E16:E18"/>
    <mergeCell ref="B10:B12"/>
    <mergeCell ref="C10:C12"/>
    <mergeCell ref="D10:D12"/>
    <mergeCell ref="E10:E12"/>
    <mergeCell ref="B25:B27"/>
    <mergeCell ref="C25:C27"/>
    <mergeCell ref="D25:D27"/>
    <mergeCell ref="E25:E27"/>
    <mergeCell ref="B19:B21"/>
    <mergeCell ref="C19:C21"/>
    <mergeCell ref="D19:D21"/>
    <mergeCell ref="E19:E21"/>
    <mergeCell ref="B22:B24"/>
    <mergeCell ref="C22:C24"/>
    <mergeCell ref="D22:D24"/>
    <mergeCell ref="E22:E24"/>
    <mergeCell ref="Q49:R51"/>
    <mergeCell ref="B31:B33"/>
    <mergeCell ref="C31:C33"/>
    <mergeCell ref="D31:D33"/>
    <mergeCell ref="E31:E33"/>
    <mergeCell ref="B34:B36"/>
    <mergeCell ref="C34:C36"/>
    <mergeCell ref="D34:D36"/>
    <mergeCell ref="E34:E36"/>
    <mergeCell ref="B28:B30"/>
    <mergeCell ref="C28:C30"/>
    <mergeCell ref="D28:D30"/>
    <mergeCell ref="E28:E30"/>
    <mergeCell ref="B43:B45"/>
    <mergeCell ref="C43:C45"/>
    <mergeCell ref="D43:D45"/>
    <mergeCell ref="E43:E45"/>
    <mergeCell ref="U49:V51"/>
    <mergeCell ref="W49:X51"/>
    <mergeCell ref="Y49:Z51"/>
    <mergeCell ref="AA49:AB51"/>
    <mergeCell ref="B37:B39"/>
    <mergeCell ref="C37:C39"/>
    <mergeCell ref="D37:D39"/>
    <mergeCell ref="E37:E39"/>
    <mergeCell ref="B40:B42"/>
    <mergeCell ref="C40:C42"/>
    <mergeCell ref="D40:D42"/>
    <mergeCell ref="E40:E42"/>
    <mergeCell ref="S49:T51"/>
    <mergeCell ref="AC49:AD51"/>
    <mergeCell ref="B56:B58"/>
    <mergeCell ref="C56:C58"/>
    <mergeCell ref="D56:D58"/>
    <mergeCell ref="E56:E58"/>
    <mergeCell ref="B59:B61"/>
    <mergeCell ref="C59:C61"/>
    <mergeCell ref="D59:D61"/>
    <mergeCell ref="E59:E61"/>
    <mergeCell ref="B53:B55"/>
    <mergeCell ref="C53:C55"/>
    <mergeCell ref="D53:D55"/>
    <mergeCell ref="E53:E55"/>
    <mergeCell ref="F49:F52"/>
    <mergeCell ref="B71:B73"/>
    <mergeCell ref="C71:C73"/>
    <mergeCell ref="D71:D73"/>
    <mergeCell ref="E71:E73"/>
    <mergeCell ref="B62:B64"/>
    <mergeCell ref="C62:C64"/>
    <mergeCell ref="D62:D64"/>
    <mergeCell ref="E62:E64"/>
    <mergeCell ref="B65:B67"/>
    <mergeCell ref="C65:C67"/>
    <mergeCell ref="D65:D67"/>
    <mergeCell ref="E65:E67"/>
    <mergeCell ref="B77:B80"/>
    <mergeCell ref="D77:D80"/>
    <mergeCell ref="E77:E80"/>
    <mergeCell ref="F77:F80"/>
    <mergeCell ref="B90:B92"/>
    <mergeCell ref="C90:C92"/>
    <mergeCell ref="D90:D92"/>
    <mergeCell ref="E90:E92"/>
    <mergeCell ref="B93:B95"/>
    <mergeCell ref="C93:C95"/>
    <mergeCell ref="D93:D95"/>
    <mergeCell ref="E93:E95"/>
    <mergeCell ref="B84:B86"/>
    <mergeCell ref="C84:C86"/>
    <mergeCell ref="D84:D86"/>
    <mergeCell ref="E84:E86"/>
    <mergeCell ref="B87:B89"/>
    <mergeCell ref="C87:C89"/>
    <mergeCell ref="D87:D89"/>
    <mergeCell ref="E87:E89"/>
    <mergeCell ref="U99:V101"/>
    <mergeCell ref="W99:X101"/>
    <mergeCell ref="Y99:Z101"/>
    <mergeCell ref="AA99:AB101"/>
    <mergeCell ref="AC99:AD101"/>
    <mergeCell ref="B112:B114"/>
    <mergeCell ref="C112:C114"/>
    <mergeCell ref="D112:D114"/>
    <mergeCell ref="E112:E114"/>
    <mergeCell ref="B115:B117"/>
    <mergeCell ref="C115:C117"/>
    <mergeCell ref="D115:D117"/>
    <mergeCell ref="E115:E117"/>
    <mergeCell ref="B106:B108"/>
    <mergeCell ref="C106:C108"/>
    <mergeCell ref="D106:D108"/>
    <mergeCell ref="E106:E108"/>
    <mergeCell ref="B109:B111"/>
    <mergeCell ref="C109:C111"/>
    <mergeCell ref="D109:D111"/>
    <mergeCell ref="B124:B126"/>
    <mergeCell ref="C124:C126"/>
    <mergeCell ref="D124:D126"/>
    <mergeCell ref="E124:E126"/>
    <mergeCell ref="B127:B129"/>
    <mergeCell ref="C127:C129"/>
    <mergeCell ref="D127:D129"/>
    <mergeCell ref="E127:E129"/>
    <mergeCell ref="B118:B120"/>
    <mergeCell ref="C118:C120"/>
    <mergeCell ref="D118:D120"/>
    <mergeCell ref="E118:E120"/>
    <mergeCell ref="B121:B123"/>
    <mergeCell ref="C121:C123"/>
    <mergeCell ref="D121:D123"/>
    <mergeCell ref="E121:E123"/>
    <mergeCell ref="B133:B136"/>
    <mergeCell ref="D133:D136"/>
    <mergeCell ref="E133:E136"/>
    <mergeCell ref="F133:F136"/>
    <mergeCell ref="B140:B142"/>
    <mergeCell ref="C140:C142"/>
    <mergeCell ref="D140:D142"/>
    <mergeCell ref="E140:E142"/>
    <mergeCell ref="B137:B139"/>
    <mergeCell ref="C137:C139"/>
    <mergeCell ref="D137:D139"/>
    <mergeCell ref="E137:E139"/>
    <mergeCell ref="AC6:AD8"/>
    <mergeCell ref="AF6:AG8"/>
    <mergeCell ref="B6:B9"/>
    <mergeCell ref="D6:D9"/>
    <mergeCell ref="E6:E9"/>
    <mergeCell ref="F6:F9"/>
    <mergeCell ref="M6:N8"/>
    <mergeCell ref="K6:L8"/>
    <mergeCell ref="I6:J8"/>
    <mergeCell ref="G6:H8"/>
    <mergeCell ref="AA6:AB8"/>
    <mergeCell ref="Y6:Z8"/>
    <mergeCell ref="W6:X8"/>
    <mergeCell ref="U6:V8"/>
    <mergeCell ref="S6:T8"/>
    <mergeCell ref="Q6:R8"/>
    <mergeCell ref="O6:P8"/>
  </mergeCells>
  <pageMargins left="0.15748031496062992" right="0.15748031496062992" top="0.6692913385826772" bottom="0.39370078740157483" header="0.15748031496062992" footer="0.15748031496062992"/>
  <pageSetup paperSize="9" scale="40" firstPageNumber="46" fitToHeight="0" orientation="landscape" useFirstPageNumber="1" r:id="rId1"/>
  <headerFooter>
    <oddFooter>&amp;LData Source : Manuring and Field Maintenance - Camp Side&amp;CPage &amp;P</oddFooter>
  </headerFooter>
  <rowBreaks count="4" manualBreakCount="4">
    <brk id="48" max="16383" man="1"/>
    <brk id="76" max="16383" man="1"/>
    <brk id="98" max="16383" man="1"/>
    <brk id="13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0EA1-6AB7-4505-8D85-6B12A7E69773}">
  <sheetPr>
    <tabColor rgb="FFFFFF00"/>
    <pageSetUpPr fitToPage="1"/>
  </sheetPr>
  <dimension ref="A1:AE300"/>
  <sheetViews>
    <sheetView showGridLines="0" tabSelected="1" view="pageBreakPreview" topLeftCell="A132" zoomScale="111" zoomScaleNormal="100" zoomScaleSheetLayoutView="111" workbookViewId="0">
      <selection activeCell="T140" sqref="T140"/>
    </sheetView>
  </sheetViews>
  <sheetFormatPr defaultRowHeight="15.75" x14ac:dyDescent="0.25"/>
  <cols>
    <col min="1" max="1" width="9.140625" style="5"/>
    <col min="2" max="2" width="9.28515625" style="5" bestFit="1" customWidth="1"/>
    <col min="3" max="3" width="9.28515625" style="5" hidden="1" customWidth="1"/>
    <col min="4" max="4" width="10.28515625" style="12" customWidth="1"/>
    <col min="5" max="5" width="11" style="12" bestFit="1" customWidth="1"/>
    <col min="6" max="6" width="13" style="5" customWidth="1"/>
    <col min="7" max="19" width="11.5703125" style="4" customWidth="1"/>
    <col min="20" max="20" width="13.5703125" style="4" bestFit="1" customWidth="1"/>
    <col min="21" max="21" width="11.5703125" style="4" customWidth="1"/>
    <col min="22" max="16384" width="9.140625" style="5"/>
  </cols>
  <sheetData>
    <row r="1" spans="1:21" ht="18.75" customHeight="1" x14ac:dyDescent="0.25">
      <c r="A1" s="1" t="s">
        <v>0</v>
      </c>
      <c r="C1" s="2"/>
      <c r="D1" s="3"/>
      <c r="E1" s="3"/>
      <c r="F1" s="2"/>
    </row>
    <row r="2" spans="1:21" s="6" customFormat="1" x14ac:dyDescent="0.25">
      <c r="D2" s="7"/>
      <c r="E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1" s="6" customFormat="1" x14ac:dyDescent="0.25">
      <c r="A3" s="156" t="s">
        <v>1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9"/>
      <c r="T3" s="9"/>
      <c r="U3" s="9"/>
    </row>
    <row r="4" spans="1:21" s="6" customFormat="1" x14ac:dyDescent="0.25">
      <c r="A4" s="156" t="s">
        <v>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9"/>
      <c r="T4" s="9"/>
      <c r="U4" s="9"/>
    </row>
    <row r="5" spans="1:21" s="6" customFormat="1" x14ac:dyDescent="0.25">
      <c r="A5" s="156" t="s">
        <v>77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9"/>
      <c r="T5" s="9"/>
      <c r="U5" s="9"/>
    </row>
    <row r="6" spans="1:21" s="6" customFormat="1" ht="16.5" thickBot="1" x14ac:dyDescent="0.3">
      <c r="A6" s="146" t="s">
        <v>78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ht="15.75" customHeight="1" x14ac:dyDescent="0.25">
      <c r="A7" s="209" t="s">
        <v>67</v>
      </c>
      <c r="B7" s="209" t="s">
        <v>7</v>
      </c>
      <c r="C7" s="160" t="s">
        <v>8</v>
      </c>
      <c r="D7" s="166" t="s">
        <v>9</v>
      </c>
      <c r="E7" s="166" t="s">
        <v>10</v>
      </c>
      <c r="F7" s="169" t="s">
        <v>11</v>
      </c>
      <c r="G7" s="203" t="s">
        <v>12</v>
      </c>
      <c r="H7" s="204"/>
      <c r="I7" s="203" t="s">
        <v>13</v>
      </c>
      <c r="J7" s="204"/>
      <c r="K7" s="203" t="s">
        <v>14</v>
      </c>
      <c r="L7" s="211"/>
      <c r="M7" s="203" t="s">
        <v>15</v>
      </c>
      <c r="N7" s="204"/>
      <c r="O7" s="203" t="s">
        <v>16</v>
      </c>
      <c r="P7" s="204"/>
      <c r="Q7" s="203" t="s">
        <v>17</v>
      </c>
      <c r="R7" s="204"/>
      <c r="S7" s="5"/>
      <c r="T7" s="5"/>
      <c r="U7" s="5"/>
    </row>
    <row r="8" spans="1:21" ht="15.75" customHeight="1" x14ac:dyDescent="0.25">
      <c r="A8" s="158"/>
      <c r="B8" s="158"/>
      <c r="C8" s="161"/>
      <c r="D8" s="167"/>
      <c r="E8" s="167"/>
      <c r="F8" s="193"/>
      <c r="G8" s="205"/>
      <c r="H8" s="206"/>
      <c r="I8" s="205"/>
      <c r="J8" s="206"/>
      <c r="K8" s="205"/>
      <c r="L8" s="156"/>
      <c r="M8" s="205"/>
      <c r="N8" s="206"/>
      <c r="O8" s="205"/>
      <c r="P8" s="206"/>
      <c r="Q8" s="205"/>
      <c r="R8" s="206"/>
      <c r="S8" s="5"/>
      <c r="T8" s="5"/>
      <c r="U8" s="5"/>
    </row>
    <row r="9" spans="1:21" ht="16.5" thickBot="1" x14ac:dyDescent="0.3">
      <c r="A9" s="158"/>
      <c r="B9" s="158"/>
      <c r="C9" s="162"/>
      <c r="D9" s="167"/>
      <c r="E9" s="167"/>
      <c r="F9" s="193"/>
      <c r="G9" s="207"/>
      <c r="H9" s="208"/>
      <c r="I9" s="207"/>
      <c r="J9" s="208"/>
      <c r="K9" s="207"/>
      <c r="L9" s="212"/>
      <c r="M9" s="207"/>
      <c r="N9" s="208"/>
      <c r="O9" s="207"/>
      <c r="P9" s="208"/>
      <c r="Q9" s="207"/>
      <c r="R9" s="208"/>
      <c r="S9" s="5"/>
      <c r="T9" s="5"/>
      <c r="U9" s="5"/>
    </row>
    <row r="10" spans="1:21" s="119" customFormat="1" ht="32.25" thickBot="1" x14ac:dyDescent="0.3">
      <c r="A10" s="210"/>
      <c r="B10" s="210"/>
      <c r="C10" s="90"/>
      <c r="D10" s="168"/>
      <c r="E10" s="168"/>
      <c r="F10" s="194"/>
      <c r="G10" s="106" t="s">
        <v>76</v>
      </c>
      <c r="H10" s="118" t="s">
        <v>75</v>
      </c>
      <c r="I10" s="106" t="s">
        <v>76</v>
      </c>
      <c r="J10" s="118" t="s">
        <v>75</v>
      </c>
      <c r="K10" s="106" t="s">
        <v>76</v>
      </c>
      <c r="L10" s="118" t="s">
        <v>75</v>
      </c>
      <c r="M10" s="106" t="s">
        <v>76</v>
      </c>
      <c r="N10" s="118" t="s">
        <v>75</v>
      </c>
      <c r="O10" s="106" t="s">
        <v>76</v>
      </c>
      <c r="P10" s="118" t="s">
        <v>75</v>
      </c>
      <c r="Q10" s="106" t="s">
        <v>76</v>
      </c>
      <c r="R10" s="118" t="s">
        <v>75</v>
      </c>
    </row>
    <row r="11" spans="1:21" x14ac:dyDescent="0.25">
      <c r="A11" s="213" t="s">
        <v>68</v>
      </c>
      <c r="B11" s="180">
        <v>1</v>
      </c>
      <c r="C11" s="183">
        <v>2010</v>
      </c>
      <c r="D11" s="186">
        <v>53.2</v>
      </c>
      <c r="E11" s="186">
        <v>53.09</v>
      </c>
      <c r="F11" s="14" t="s">
        <v>24</v>
      </c>
      <c r="G11" s="115"/>
      <c r="H11" s="116"/>
      <c r="I11" s="115">
        <v>1</v>
      </c>
      <c r="J11" s="117">
        <v>1</v>
      </c>
      <c r="K11" s="115"/>
      <c r="L11" s="116"/>
      <c r="M11" s="115"/>
      <c r="N11" s="116"/>
      <c r="O11" s="115">
        <v>2</v>
      </c>
      <c r="P11" s="116">
        <v>2</v>
      </c>
      <c r="Q11" s="115"/>
      <c r="R11" s="116"/>
      <c r="S11" s="5"/>
      <c r="T11" s="5"/>
      <c r="U11" s="5"/>
    </row>
    <row r="12" spans="1:21" x14ac:dyDescent="0.25">
      <c r="A12" s="214"/>
      <c r="B12" s="181"/>
      <c r="C12" s="184"/>
      <c r="D12" s="187"/>
      <c r="E12" s="187"/>
      <c r="F12" s="21" t="s">
        <v>65</v>
      </c>
      <c r="G12" s="101"/>
      <c r="H12" s="102"/>
      <c r="I12" s="101">
        <v>40</v>
      </c>
      <c r="J12" s="24">
        <v>2000</v>
      </c>
      <c r="K12" s="101"/>
      <c r="L12" s="102"/>
      <c r="M12" s="101"/>
      <c r="N12" s="102"/>
      <c r="O12" s="101">
        <v>40</v>
      </c>
      <c r="P12" s="102">
        <v>2000</v>
      </c>
      <c r="Q12" s="101"/>
      <c r="R12" s="102"/>
      <c r="S12" s="5"/>
      <c r="T12" s="5"/>
      <c r="U12" s="5"/>
    </row>
    <row r="13" spans="1:21" ht="16.5" thickBot="1" x14ac:dyDescent="0.3">
      <c r="A13" s="214"/>
      <c r="B13" s="182"/>
      <c r="C13" s="185"/>
      <c r="D13" s="188"/>
      <c r="E13" s="188"/>
      <c r="F13" s="27" t="s">
        <v>27</v>
      </c>
      <c r="G13" s="103"/>
      <c r="H13" s="104"/>
      <c r="I13" s="103">
        <v>53.2</v>
      </c>
      <c r="J13" s="91">
        <v>53.2</v>
      </c>
      <c r="K13" s="103"/>
      <c r="L13" s="104"/>
      <c r="M13" s="103"/>
      <c r="N13" s="104"/>
      <c r="O13" s="103">
        <v>53.2</v>
      </c>
      <c r="P13" s="104">
        <v>53.2</v>
      </c>
      <c r="Q13" s="103"/>
      <c r="R13" s="104"/>
      <c r="S13" s="5"/>
      <c r="T13" s="5"/>
      <c r="U13" s="5"/>
    </row>
    <row r="14" spans="1:21" x14ac:dyDescent="0.25">
      <c r="A14" s="214"/>
      <c r="B14" s="189">
        <v>2</v>
      </c>
      <c r="C14" s="183">
        <v>2010</v>
      </c>
      <c r="D14" s="186">
        <v>60.4</v>
      </c>
      <c r="E14" s="186">
        <v>60.27</v>
      </c>
      <c r="F14" s="14" t="s">
        <v>24</v>
      </c>
      <c r="G14" s="112"/>
      <c r="H14" s="35"/>
      <c r="I14" s="112"/>
      <c r="J14" s="35"/>
      <c r="K14" s="112"/>
      <c r="L14" s="35"/>
      <c r="M14" s="112">
        <v>1</v>
      </c>
      <c r="N14" s="35">
        <v>1</v>
      </c>
      <c r="O14" s="112"/>
      <c r="P14" s="35"/>
      <c r="Q14" s="112"/>
      <c r="R14" s="35"/>
      <c r="S14" s="5"/>
      <c r="T14" s="5"/>
      <c r="U14" s="5"/>
    </row>
    <row r="15" spans="1:21" x14ac:dyDescent="0.25">
      <c r="A15" s="214"/>
      <c r="B15" s="190"/>
      <c r="C15" s="184"/>
      <c r="D15" s="187"/>
      <c r="E15" s="187"/>
      <c r="F15" s="21" t="s">
        <v>65</v>
      </c>
      <c r="G15" s="101"/>
      <c r="H15" s="24"/>
      <c r="I15" s="101"/>
      <c r="J15" s="24"/>
      <c r="K15" s="101"/>
      <c r="L15" s="24"/>
      <c r="M15" s="101">
        <v>80</v>
      </c>
      <c r="N15" s="24">
        <v>4000</v>
      </c>
      <c r="O15" s="101"/>
      <c r="P15" s="24"/>
      <c r="Q15" s="101"/>
      <c r="R15" s="24"/>
      <c r="S15" s="8"/>
      <c r="T15" s="8"/>
      <c r="U15" s="5"/>
    </row>
    <row r="16" spans="1:21" ht="16.5" thickBot="1" x14ac:dyDescent="0.3">
      <c r="A16" s="214"/>
      <c r="B16" s="191"/>
      <c r="C16" s="185"/>
      <c r="D16" s="188"/>
      <c r="E16" s="188"/>
      <c r="F16" s="27" t="s">
        <v>27</v>
      </c>
      <c r="G16" s="103"/>
      <c r="H16" s="91"/>
      <c r="I16" s="103"/>
      <c r="J16" s="91"/>
      <c r="K16" s="103"/>
      <c r="L16" s="91"/>
      <c r="M16" s="103">
        <v>60.4</v>
      </c>
      <c r="N16" s="91">
        <v>60.4</v>
      </c>
      <c r="O16" s="103"/>
      <c r="P16" s="91"/>
      <c r="Q16" s="103"/>
      <c r="R16" s="91"/>
      <c r="S16" s="8"/>
      <c r="T16" s="8"/>
      <c r="U16" s="5"/>
    </row>
    <row r="17" spans="1:21" x14ac:dyDescent="0.25">
      <c r="A17" s="214"/>
      <c r="B17" s="189">
        <v>3</v>
      </c>
      <c r="C17" s="183">
        <v>2010</v>
      </c>
      <c r="D17" s="186">
        <v>69.2</v>
      </c>
      <c r="E17" s="186">
        <v>69.040000000000006</v>
      </c>
      <c r="F17" s="14" t="s">
        <v>24</v>
      </c>
      <c r="G17" s="112"/>
      <c r="H17" s="111"/>
      <c r="I17" s="112"/>
      <c r="J17" s="35"/>
      <c r="K17" s="112">
        <v>1</v>
      </c>
      <c r="L17" s="111">
        <v>1</v>
      </c>
      <c r="M17" s="112"/>
      <c r="N17" s="111"/>
      <c r="O17" s="112"/>
      <c r="P17" s="111"/>
      <c r="Q17" s="112">
        <v>2</v>
      </c>
      <c r="R17" s="111">
        <v>2</v>
      </c>
      <c r="S17" s="8"/>
      <c r="T17" s="8"/>
      <c r="U17" s="5"/>
    </row>
    <row r="18" spans="1:21" x14ac:dyDescent="0.25">
      <c r="A18" s="214"/>
      <c r="B18" s="190"/>
      <c r="C18" s="184"/>
      <c r="D18" s="187"/>
      <c r="E18" s="187"/>
      <c r="F18" s="21" t="s">
        <v>65</v>
      </c>
      <c r="G18" s="101"/>
      <c r="H18" s="102"/>
      <c r="I18" s="101"/>
      <c r="J18" s="24"/>
      <c r="K18" s="101">
        <v>60</v>
      </c>
      <c r="L18" s="102">
        <v>3000</v>
      </c>
      <c r="M18" s="101"/>
      <c r="N18" s="102"/>
      <c r="O18" s="101"/>
      <c r="P18" s="102"/>
      <c r="Q18" s="101">
        <v>60</v>
      </c>
      <c r="R18" s="102">
        <v>3000</v>
      </c>
      <c r="S18" s="8"/>
      <c r="T18" s="8"/>
      <c r="U18" s="5"/>
    </row>
    <row r="19" spans="1:21" ht="16.5" thickBot="1" x14ac:dyDescent="0.3">
      <c r="A19" s="214"/>
      <c r="B19" s="191"/>
      <c r="C19" s="185"/>
      <c r="D19" s="188"/>
      <c r="E19" s="188"/>
      <c r="F19" s="27" t="s">
        <v>27</v>
      </c>
      <c r="G19" s="103"/>
      <c r="H19" s="104"/>
      <c r="I19" s="103"/>
      <c r="J19" s="91"/>
      <c r="K19" s="103">
        <v>69.2</v>
      </c>
      <c r="L19" s="104">
        <v>69.2</v>
      </c>
      <c r="M19" s="103"/>
      <c r="N19" s="104"/>
      <c r="O19" s="103"/>
      <c r="P19" s="104"/>
      <c r="Q19" s="103">
        <v>69.2</v>
      </c>
      <c r="R19" s="104">
        <v>69.2</v>
      </c>
      <c r="S19" s="8"/>
      <c r="T19" s="8"/>
      <c r="U19" s="5"/>
    </row>
    <row r="20" spans="1:21" x14ac:dyDescent="0.25">
      <c r="A20" s="214"/>
      <c r="B20" s="189">
        <v>4</v>
      </c>
      <c r="C20" s="183">
        <v>2010</v>
      </c>
      <c r="D20" s="186">
        <v>70.599999999999994</v>
      </c>
      <c r="E20" s="186">
        <v>70.510000000000005</v>
      </c>
      <c r="F20" s="14" t="s">
        <v>24</v>
      </c>
      <c r="G20" s="112"/>
      <c r="H20" s="111"/>
      <c r="I20" s="112"/>
      <c r="J20" s="35"/>
      <c r="K20" s="112">
        <v>1</v>
      </c>
      <c r="L20" s="111">
        <v>1</v>
      </c>
      <c r="M20" s="112"/>
      <c r="N20" s="111"/>
      <c r="O20" s="112"/>
      <c r="P20" s="111"/>
      <c r="Q20" s="112">
        <v>2</v>
      </c>
      <c r="R20" s="111">
        <v>2</v>
      </c>
      <c r="S20" s="8"/>
      <c r="T20" s="8"/>
      <c r="U20" s="5"/>
    </row>
    <row r="21" spans="1:21" x14ac:dyDescent="0.25">
      <c r="A21" s="214"/>
      <c r="B21" s="190"/>
      <c r="C21" s="184"/>
      <c r="D21" s="187"/>
      <c r="E21" s="187"/>
      <c r="F21" s="21" t="s">
        <v>65</v>
      </c>
      <c r="G21" s="101"/>
      <c r="H21" s="102"/>
      <c r="I21" s="101"/>
      <c r="J21" s="24"/>
      <c r="K21" s="101">
        <v>60</v>
      </c>
      <c r="L21" s="102">
        <v>3000</v>
      </c>
      <c r="M21" s="101"/>
      <c r="N21" s="102"/>
      <c r="O21" s="101"/>
      <c r="P21" s="102"/>
      <c r="Q21" s="101">
        <v>60</v>
      </c>
      <c r="R21" s="102">
        <v>3000</v>
      </c>
      <c r="S21" s="8"/>
      <c r="T21" s="8"/>
      <c r="U21" s="5"/>
    </row>
    <row r="22" spans="1:21" ht="16.5" thickBot="1" x14ac:dyDescent="0.3">
      <c r="A22" s="214"/>
      <c r="B22" s="191"/>
      <c r="C22" s="185"/>
      <c r="D22" s="188"/>
      <c r="E22" s="188"/>
      <c r="F22" s="27" t="s">
        <v>27</v>
      </c>
      <c r="G22" s="103"/>
      <c r="H22" s="104"/>
      <c r="I22" s="103"/>
      <c r="J22" s="91"/>
      <c r="K22" s="103">
        <v>70.599999999999994</v>
      </c>
      <c r="L22" s="104">
        <v>70.599999999999994</v>
      </c>
      <c r="M22" s="103"/>
      <c r="N22" s="104"/>
      <c r="O22" s="103"/>
      <c r="P22" s="104"/>
      <c r="Q22" s="103">
        <v>70.599999999999994</v>
      </c>
      <c r="R22" s="104">
        <v>70.599999999999994</v>
      </c>
      <c r="S22" s="8"/>
      <c r="T22" s="8"/>
      <c r="U22" s="5"/>
    </row>
    <row r="23" spans="1:21" x14ac:dyDescent="0.25">
      <c r="A23" s="214"/>
      <c r="B23" s="189">
        <v>5</v>
      </c>
      <c r="C23" s="183">
        <v>2010</v>
      </c>
      <c r="D23" s="186">
        <v>50.4</v>
      </c>
      <c r="E23" s="186">
        <v>50.4</v>
      </c>
      <c r="F23" s="14" t="s">
        <v>24</v>
      </c>
      <c r="G23" s="112"/>
      <c r="H23" s="111"/>
      <c r="I23" s="112">
        <v>1</v>
      </c>
      <c r="J23" s="35">
        <v>1</v>
      </c>
      <c r="K23" s="112"/>
      <c r="L23" s="111"/>
      <c r="M23" s="112"/>
      <c r="N23" s="111"/>
      <c r="O23" s="112"/>
      <c r="P23" s="111"/>
      <c r="Q23" s="112">
        <v>2</v>
      </c>
      <c r="R23" s="111">
        <v>2</v>
      </c>
      <c r="S23" s="8"/>
      <c r="T23" s="8"/>
      <c r="U23" s="5"/>
    </row>
    <row r="24" spans="1:21" x14ac:dyDescent="0.25">
      <c r="A24" s="214"/>
      <c r="B24" s="190"/>
      <c r="C24" s="184"/>
      <c r="D24" s="187"/>
      <c r="E24" s="187"/>
      <c r="F24" s="21" t="s">
        <v>65</v>
      </c>
      <c r="G24" s="101"/>
      <c r="H24" s="102"/>
      <c r="I24" s="101">
        <v>40</v>
      </c>
      <c r="J24" s="24">
        <v>2000</v>
      </c>
      <c r="K24" s="101"/>
      <c r="L24" s="102"/>
      <c r="M24" s="101"/>
      <c r="N24" s="102"/>
      <c r="O24" s="101"/>
      <c r="P24" s="102"/>
      <c r="Q24" s="101">
        <v>40</v>
      </c>
      <c r="R24" s="102">
        <v>2000</v>
      </c>
      <c r="S24" s="8"/>
      <c r="T24" s="8"/>
      <c r="U24" s="5"/>
    </row>
    <row r="25" spans="1:21" ht="16.5" thickBot="1" x14ac:dyDescent="0.3">
      <c r="A25" s="214"/>
      <c r="B25" s="191"/>
      <c r="C25" s="185"/>
      <c r="D25" s="188"/>
      <c r="E25" s="188"/>
      <c r="F25" s="27" t="s">
        <v>27</v>
      </c>
      <c r="G25" s="103"/>
      <c r="H25" s="104"/>
      <c r="I25" s="103">
        <v>50.4</v>
      </c>
      <c r="J25" s="91">
        <v>50.4</v>
      </c>
      <c r="K25" s="103"/>
      <c r="L25" s="104"/>
      <c r="M25" s="103"/>
      <c r="N25" s="104"/>
      <c r="O25" s="103"/>
      <c r="P25" s="104"/>
      <c r="Q25" s="103">
        <v>50.4</v>
      </c>
      <c r="R25" s="104">
        <v>50.4</v>
      </c>
      <c r="S25" s="8"/>
      <c r="T25" s="8"/>
      <c r="U25" s="5"/>
    </row>
    <row r="26" spans="1:21" x14ac:dyDescent="0.25">
      <c r="A26" s="214"/>
      <c r="B26" s="189">
        <v>6</v>
      </c>
      <c r="C26" s="183">
        <v>2010</v>
      </c>
      <c r="D26" s="186">
        <v>58.6</v>
      </c>
      <c r="E26" s="186">
        <v>58.6</v>
      </c>
      <c r="F26" s="14" t="s">
        <v>24</v>
      </c>
      <c r="G26" s="112"/>
      <c r="H26" s="111"/>
      <c r="I26" s="112"/>
      <c r="J26" s="35"/>
      <c r="K26" s="112"/>
      <c r="L26" s="111"/>
      <c r="M26" s="112"/>
      <c r="N26" s="111"/>
      <c r="O26" s="112">
        <v>1</v>
      </c>
      <c r="P26" s="111">
        <v>1</v>
      </c>
      <c r="Q26" s="112"/>
      <c r="R26" s="111"/>
      <c r="S26" s="5"/>
      <c r="T26" s="5"/>
      <c r="U26" s="5"/>
    </row>
    <row r="27" spans="1:21" x14ac:dyDescent="0.25">
      <c r="A27" s="214"/>
      <c r="B27" s="190"/>
      <c r="C27" s="184"/>
      <c r="D27" s="187"/>
      <c r="E27" s="187"/>
      <c r="F27" s="21" t="s">
        <v>65</v>
      </c>
      <c r="G27" s="101"/>
      <c r="H27" s="102"/>
      <c r="I27" s="101"/>
      <c r="J27" s="24"/>
      <c r="K27" s="101"/>
      <c r="L27" s="102"/>
      <c r="M27" s="101"/>
      <c r="N27" s="102"/>
      <c r="O27" s="101">
        <v>40</v>
      </c>
      <c r="P27" s="102">
        <v>2000</v>
      </c>
      <c r="Q27" s="101"/>
      <c r="R27" s="102"/>
      <c r="S27" s="5"/>
      <c r="T27" s="5"/>
      <c r="U27" s="5"/>
    </row>
    <row r="28" spans="1:21" ht="16.5" thickBot="1" x14ac:dyDescent="0.3">
      <c r="A28" s="214"/>
      <c r="B28" s="191"/>
      <c r="C28" s="185"/>
      <c r="D28" s="188"/>
      <c r="E28" s="188"/>
      <c r="F28" s="27" t="s">
        <v>27</v>
      </c>
      <c r="G28" s="103"/>
      <c r="H28" s="104"/>
      <c r="I28" s="103"/>
      <c r="J28" s="91"/>
      <c r="K28" s="103"/>
      <c r="L28" s="104"/>
      <c r="M28" s="103"/>
      <c r="N28" s="104"/>
      <c r="O28" s="103">
        <v>58.6</v>
      </c>
      <c r="P28" s="104">
        <v>58.6</v>
      </c>
      <c r="Q28" s="103"/>
      <c r="R28" s="104"/>
      <c r="S28" s="5"/>
      <c r="T28" s="5"/>
      <c r="U28" s="5"/>
    </row>
    <row r="29" spans="1:21" x14ac:dyDescent="0.25">
      <c r="A29" s="214"/>
      <c r="B29" s="189">
        <v>7</v>
      </c>
      <c r="C29" s="183">
        <v>2010</v>
      </c>
      <c r="D29" s="186">
        <v>23.6</v>
      </c>
      <c r="E29" s="186">
        <v>23.6</v>
      </c>
      <c r="F29" s="14" t="s">
        <v>24</v>
      </c>
      <c r="G29" s="112"/>
      <c r="H29" s="111"/>
      <c r="I29" s="112">
        <v>1</v>
      </c>
      <c r="J29" s="35">
        <v>1</v>
      </c>
      <c r="K29" s="112"/>
      <c r="L29" s="111"/>
      <c r="M29" s="112"/>
      <c r="N29" s="111"/>
      <c r="O29" s="112">
        <v>2</v>
      </c>
      <c r="P29" s="111">
        <v>2</v>
      </c>
      <c r="Q29" s="112"/>
      <c r="R29" s="111"/>
      <c r="S29" s="5"/>
      <c r="T29" s="5"/>
      <c r="U29" s="5"/>
    </row>
    <row r="30" spans="1:21" x14ac:dyDescent="0.25">
      <c r="A30" s="214"/>
      <c r="B30" s="190"/>
      <c r="C30" s="184"/>
      <c r="D30" s="187"/>
      <c r="E30" s="187"/>
      <c r="F30" s="21" t="s">
        <v>65</v>
      </c>
      <c r="G30" s="101"/>
      <c r="H30" s="102"/>
      <c r="I30" s="101">
        <v>20</v>
      </c>
      <c r="J30" s="24">
        <v>1000</v>
      </c>
      <c r="K30" s="101"/>
      <c r="L30" s="102"/>
      <c r="M30" s="101"/>
      <c r="N30" s="102"/>
      <c r="O30" s="101">
        <v>20</v>
      </c>
      <c r="P30" s="102">
        <v>1000</v>
      </c>
      <c r="Q30" s="101"/>
      <c r="R30" s="102"/>
      <c r="S30" s="5"/>
      <c r="T30" s="5"/>
      <c r="U30" s="5"/>
    </row>
    <row r="31" spans="1:21" ht="16.5" thickBot="1" x14ac:dyDescent="0.3">
      <c r="A31" s="214"/>
      <c r="B31" s="191"/>
      <c r="C31" s="185"/>
      <c r="D31" s="188"/>
      <c r="E31" s="188"/>
      <c r="F31" s="27" t="s">
        <v>27</v>
      </c>
      <c r="G31" s="103"/>
      <c r="H31" s="104"/>
      <c r="I31" s="103">
        <v>23.6</v>
      </c>
      <c r="J31" s="91">
        <v>23.6</v>
      </c>
      <c r="K31" s="103"/>
      <c r="L31" s="104"/>
      <c r="M31" s="103"/>
      <c r="N31" s="104"/>
      <c r="O31" s="103">
        <v>23.6</v>
      </c>
      <c r="P31" s="104">
        <v>23.6</v>
      </c>
      <c r="Q31" s="103"/>
      <c r="R31" s="104"/>
      <c r="S31" s="5"/>
      <c r="T31" s="5"/>
      <c r="U31" s="5"/>
    </row>
    <row r="32" spans="1:21" x14ac:dyDescent="0.25">
      <c r="A32" s="214"/>
      <c r="B32" s="189">
        <v>8</v>
      </c>
      <c r="C32" s="183">
        <v>2010</v>
      </c>
      <c r="D32" s="186">
        <v>61.6</v>
      </c>
      <c r="E32" s="186">
        <v>61.6</v>
      </c>
      <c r="F32" s="14" t="s">
        <v>24</v>
      </c>
      <c r="G32" s="112"/>
      <c r="H32" s="111"/>
      <c r="I32" s="112"/>
      <c r="J32" s="35"/>
      <c r="K32" s="112"/>
      <c r="L32" s="111"/>
      <c r="M32" s="112">
        <v>1</v>
      </c>
      <c r="N32" s="111">
        <v>1</v>
      </c>
      <c r="O32" s="112"/>
      <c r="P32" s="111"/>
      <c r="Q32" s="112"/>
      <c r="R32" s="111"/>
      <c r="S32" s="5"/>
      <c r="T32" s="5"/>
      <c r="U32" s="5"/>
    </row>
    <row r="33" spans="1:21" x14ac:dyDescent="0.25">
      <c r="A33" s="214"/>
      <c r="B33" s="190"/>
      <c r="C33" s="184"/>
      <c r="D33" s="187"/>
      <c r="E33" s="187"/>
      <c r="F33" s="21" t="s">
        <v>65</v>
      </c>
      <c r="G33" s="101"/>
      <c r="H33" s="102"/>
      <c r="I33" s="101"/>
      <c r="J33" s="24"/>
      <c r="K33" s="101"/>
      <c r="L33" s="102"/>
      <c r="M33" s="101">
        <v>40</v>
      </c>
      <c r="N33" s="102">
        <v>2000</v>
      </c>
      <c r="O33" s="101"/>
      <c r="P33" s="102"/>
      <c r="Q33" s="101"/>
      <c r="R33" s="102"/>
      <c r="S33" s="5"/>
      <c r="T33" s="5"/>
      <c r="U33" s="5"/>
    </row>
    <row r="34" spans="1:21" ht="16.5" thickBot="1" x14ac:dyDescent="0.3">
      <c r="A34" s="214"/>
      <c r="B34" s="191"/>
      <c r="C34" s="185"/>
      <c r="D34" s="188"/>
      <c r="E34" s="188"/>
      <c r="F34" s="27" t="s">
        <v>28</v>
      </c>
      <c r="G34" s="103"/>
      <c r="H34" s="104"/>
      <c r="I34" s="103"/>
      <c r="J34" s="91"/>
      <c r="K34" s="103"/>
      <c r="L34" s="104"/>
      <c r="M34" s="103">
        <v>61.6</v>
      </c>
      <c r="N34" s="104">
        <v>61.6</v>
      </c>
      <c r="O34" s="103"/>
      <c r="P34" s="104"/>
      <c r="Q34" s="103"/>
      <c r="R34" s="104"/>
      <c r="S34" s="5"/>
      <c r="T34" s="5"/>
      <c r="U34" s="5"/>
    </row>
    <row r="35" spans="1:21" x14ac:dyDescent="0.25">
      <c r="A35" s="214"/>
      <c r="B35" s="189">
        <v>9</v>
      </c>
      <c r="C35" s="183">
        <v>2010</v>
      </c>
      <c r="D35" s="186">
        <v>38.299999999999997</v>
      </c>
      <c r="E35" s="186">
        <v>38.299999999999997</v>
      </c>
      <c r="F35" s="14" t="s">
        <v>24</v>
      </c>
      <c r="G35" s="112"/>
      <c r="H35" s="111"/>
      <c r="I35" s="112"/>
      <c r="J35" s="35"/>
      <c r="K35" s="112"/>
      <c r="L35" s="111"/>
      <c r="M35" s="112">
        <v>1</v>
      </c>
      <c r="N35" s="111">
        <v>1</v>
      </c>
      <c r="O35" s="112"/>
      <c r="P35" s="111"/>
      <c r="Q35" s="112"/>
      <c r="R35" s="111"/>
      <c r="S35" s="5"/>
      <c r="T35" s="5"/>
      <c r="U35" s="5"/>
    </row>
    <row r="36" spans="1:21" x14ac:dyDescent="0.25">
      <c r="A36" s="214"/>
      <c r="B36" s="190"/>
      <c r="C36" s="184"/>
      <c r="D36" s="187"/>
      <c r="E36" s="187"/>
      <c r="F36" s="21" t="s">
        <v>65</v>
      </c>
      <c r="G36" s="101"/>
      <c r="H36" s="102"/>
      <c r="I36" s="101"/>
      <c r="J36" s="24"/>
      <c r="K36" s="101"/>
      <c r="L36" s="102"/>
      <c r="M36" s="101">
        <v>40</v>
      </c>
      <c r="N36" s="102">
        <v>2000</v>
      </c>
      <c r="O36" s="101"/>
      <c r="P36" s="102"/>
      <c r="Q36" s="101"/>
      <c r="R36" s="102"/>
      <c r="S36" s="5"/>
      <c r="T36" s="5"/>
      <c r="U36" s="5"/>
    </row>
    <row r="37" spans="1:21" ht="16.5" thickBot="1" x14ac:dyDescent="0.3">
      <c r="A37" s="214"/>
      <c r="B37" s="191"/>
      <c r="C37" s="185"/>
      <c r="D37" s="188"/>
      <c r="E37" s="188"/>
      <c r="F37" s="27" t="s">
        <v>27</v>
      </c>
      <c r="G37" s="103"/>
      <c r="H37" s="104"/>
      <c r="I37" s="103"/>
      <c r="J37" s="91"/>
      <c r="K37" s="103"/>
      <c r="L37" s="104"/>
      <c r="M37" s="103">
        <v>38.299999999999997</v>
      </c>
      <c r="N37" s="104">
        <v>38.299999999999997</v>
      </c>
      <c r="O37" s="103"/>
      <c r="P37" s="104"/>
      <c r="Q37" s="103"/>
      <c r="R37" s="104"/>
      <c r="S37" s="5"/>
      <c r="T37" s="5"/>
      <c r="U37" s="5"/>
    </row>
    <row r="38" spans="1:21" x14ac:dyDescent="0.25">
      <c r="A38" s="214"/>
      <c r="B38" s="189">
        <v>11</v>
      </c>
      <c r="C38" s="183">
        <v>2010</v>
      </c>
      <c r="D38" s="186">
        <v>44.5</v>
      </c>
      <c r="E38" s="186">
        <v>44.5</v>
      </c>
      <c r="F38" s="14" t="s">
        <v>24</v>
      </c>
      <c r="G38" s="112"/>
      <c r="H38" s="111"/>
      <c r="I38" s="112"/>
      <c r="J38" s="35"/>
      <c r="K38" s="112"/>
      <c r="L38" s="111"/>
      <c r="M38" s="112">
        <v>1</v>
      </c>
      <c r="N38" s="111">
        <v>1</v>
      </c>
      <c r="O38" s="112"/>
      <c r="P38" s="111"/>
      <c r="Q38" s="112"/>
      <c r="R38" s="111"/>
      <c r="S38" s="5"/>
      <c r="T38" s="5"/>
      <c r="U38" s="5"/>
    </row>
    <row r="39" spans="1:21" x14ac:dyDescent="0.25">
      <c r="A39" s="214"/>
      <c r="B39" s="190"/>
      <c r="C39" s="184"/>
      <c r="D39" s="187"/>
      <c r="E39" s="187"/>
      <c r="F39" s="21" t="s">
        <v>65</v>
      </c>
      <c r="G39" s="101"/>
      <c r="H39" s="102"/>
      <c r="I39" s="101"/>
      <c r="J39" s="24"/>
      <c r="K39" s="101"/>
      <c r="L39" s="102"/>
      <c r="M39" s="101">
        <v>40</v>
      </c>
      <c r="N39" s="102">
        <v>2000</v>
      </c>
      <c r="O39" s="101"/>
      <c r="P39" s="102"/>
      <c r="Q39" s="101"/>
      <c r="R39" s="102"/>
      <c r="S39" s="5"/>
      <c r="T39" s="5"/>
      <c r="U39" s="5"/>
    </row>
    <row r="40" spans="1:21" ht="16.5" thickBot="1" x14ac:dyDescent="0.3">
      <c r="A40" s="214"/>
      <c r="B40" s="191"/>
      <c r="C40" s="185"/>
      <c r="D40" s="188"/>
      <c r="E40" s="188"/>
      <c r="F40" s="27" t="s">
        <v>27</v>
      </c>
      <c r="G40" s="103"/>
      <c r="H40" s="104"/>
      <c r="I40" s="103"/>
      <c r="J40" s="91"/>
      <c r="K40" s="103"/>
      <c r="L40" s="104"/>
      <c r="M40" s="103">
        <v>44.5</v>
      </c>
      <c r="N40" s="104">
        <v>44.5</v>
      </c>
      <c r="O40" s="103"/>
      <c r="P40" s="104"/>
      <c r="Q40" s="103"/>
      <c r="R40" s="104"/>
      <c r="S40" s="5"/>
      <c r="T40" s="5"/>
      <c r="U40" s="5"/>
    </row>
    <row r="41" spans="1:21" x14ac:dyDescent="0.25">
      <c r="A41" s="214"/>
      <c r="B41" s="189">
        <v>12</v>
      </c>
      <c r="C41" s="183">
        <v>2010</v>
      </c>
      <c r="D41" s="186">
        <v>71</v>
      </c>
      <c r="E41" s="186">
        <v>71</v>
      </c>
      <c r="F41" s="14" t="s">
        <v>24</v>
      </c>
      <c r="G41" s="112"/>
      <c r="H41" s="111"/>
      <c r="I41" s="112">
        <v>1</v>
      </c>
      <c r="J41" s="35">
        <v>1</v>
      </c>
      <c r="K41" s="112"/>
      <c r="L41" s="111"/>
      <c r="M41" s="112"/>
      <c r="N41" s="111"/>
      <c r="O41" s="112"/>
      <c r="P41" s="111"/>
      <c r="Q41" s="112">
        <v>2</v>
      </c>
      <c r="R41" s="111">
        <v>2</v>
      </c>
      <c r="S41" s="5"/>
      <c r="T41" s="5"/>
      <c r="U41" s="5"/>
    </row>
    <row r="42" spans="1:21" x14ac:dyDescent="0.25">
      <c r="A42" s="214"/>
      <c r="B42" s="190"/>
      <c r="C42" s="184"/>
      <c r="D42" s="187"/>
      <c r="E42" s="187"/>
      <c r="F42" s="21" t="s">
        <v>65</v>
      </c>
      <c r="G42" s="101"/>
      <c r="H42" s="102"/>
      <c r="I42" s="101">
        <v>60</v>
      </c>
      <c r="J42" s="24">
        <v>3000</v>
      </c>
      <c r="K42" s="101"/>
      <c r="L42" s="102"/>
      <c r="M42" s="101"/>
      <c r="N42" s="102"/>
      <c r="O42" s="101"/>
      <c r="P42" s="102"/>
      <c r="Q42" s="101">
        <v>60</v>
      </c>
      <c r="R42" s="102">
        <v>3000</v>
      </c>
      <c r="S42" s="5"/>
      <c r="T42" s="5"/>
      <c r="U42" s="5"/>
    </row>
    <row r="43" spans="1:21" ht="16.5" thickBot="1" x14ac:dyDescent="0.3">
      <c r="A43" s="214"/>
      <c r="B43" s="191"/>
      <c r="C43" s="185"/>
      <c r="D43" s="188"/>
      <c r="E43" s="188"/>
      <c r="F43" s="27" t="s">
        <v>27</v>
      </c>
      <c r="G43" s="103"/>
      <c r="H43" s="104"/>
      <c r="I43" s="103">
        <v>71</v>
      </c>
      <c r="J43" s="91">
        <v>71</v>
      </c>
      <c r="K43" s="103"/>
      <c r="L43" s="104"/>
      <c r="M43" s="103"/>
      <c r="N43" s="104"/>
      <c r="O43" s="103"/>
      <c r="P43" s="104"/>
      <c r="Q43" s="103">
        <v>71</v>
      </c>
      <c r="R43" s="104">
        <v>71</v>
      </c>
      <c r="S43" s="5"/>
      <c r="T43" s="5"/>
      <c r="U43" s="5"/>
    </row>
    <row r="44" spans="1:21" x14ac:dyDescent="0.25">
      <c r="A44" s="214"/>
      <c r="B44" s="189">
        <v>23</v>
      </c>
      <c r="C44" s="183">
        <v>2010</v>
      </c>
      <c r="D44" s="186">
        <v>14.6</v>
      </c>
      <c r="E44" s="186">
        <v>14.6</v>
      </c>
      <c r="F44" s="14" t="s">
        <v>24</v>
      </c>
      <c r="G44" s="112"/>
      <c r="H44" s="111"/>
      <c r="I44" s="112">
        <v>1</v>
      </c>
      <c r="J44" s="35">
        <v>1</v>
      </c>
      <c r="K44" s="112"/>
      <c r="L44" s="111"/>
      <c r="M44" s="112"/>
      <c r="N44" s="111"/>
      <c r="O44" s="112"/>
      <c r="P44" s="111"/>
      <c r="Q44" s="112">
        <v>2</v>
      </c>
      <c r="R44" s="111">
        <v>2</v>
      </c>
      <c r="S44" s="5"/>
      <c r="T44" s="5"/>
      <c r="U44" s="5"/>
    </row>
    <row r="45" spans="1:21" x14ac:dyDescent="0.25">
      <c r="A45" s="214"/>
      <c r="B45" s="190"/>
      <c r="C45" s="184"/>
      <c r="D45" s="187"/>
      <c r="E45" s="187"/>
      <c r="F45" s="21" t="s">
        <v>65</v>
      </c>
      <c r="G45" s="101"/>
      <c r="H45" s="102"/>
      <c r="I45" s="101">
        <v>20</v>
      </c>
      <c r="J45" s="24">
        <v>1000</v>
      </c>
      <c r="K45" s="101"/>
      <c r="L45" s="102"/>
      <c r="M45" s="101"/>
      <c r="N45" s="102"/>
      <c r="O45" s="101"/>
      <c r="P45" s="102"/>
      <c r="Q45" s="101">
        <v>20</v>
      </c>
      <c r="R45" s="102">
        <v>1000</v>
      </c>
      <c r="S45" s="5"/>
      <c r="T45" s="5"/>
      <c r="U45" s="5"/>
    </row>
    <row r="46" spans="1:21" ht="16.5" thickBot="1" x14ac:dyDescent="0.3">
      <c r="A46" s="214"/>
      <c r="B46" s="191"/>
      <c r="C46" s="185"/>
      <c r="D46" s="188"/>
      <c r="E46" s="188"/>
      <c r="F46" s="27" t="s">
        <v>27</v>
      </c>
      <c r="G46" s="103"/>
      <c r="H46" s="104"/>
      <c r="I46" s="103">
        <v>14.6</v>
      </c>
      <c r="J46" s="91">
        <v>14.6</v>
      </c>
      <c r="K46" s="103"/>
      <c r="L46" s="104"/>
      <c r="M46" s="103"/>
      <c r="N46" s="104"/>
      <c r="O46" s="103"/>
      <c r="P46" s="104"/>
      <c r="Q46" s="103">
        <v>14.6</v>
      </c>
      <c r="R46" s="104">
        <v>14.6</v>
      </c>
      <c r="S46" s="5"/>
      <c r="T46" s="5"/>
      <c r="U46" s="5"/>
    </row>
    <row r="47" spans="1:21" ht="16.5" thickBot="1" x14ac:dyDescent="0.3">
      <c r="A47" s="214"/>
      <c r="B47" s="227" t="s">
        <v>29</v>
      </c>
      <c r="C47" s="228"/>
      <c r="D47" s="225">
        <f>SUM(D11:D46)</f>
        <v>616.00000000000011</v>
      </c>
      <c r="E47" s="225">
        <f>SUM(E11:E46)</f>
        <v>615.5100000000001</v>
      </c>
      <c r="F47" s="125" t="s">
        <v>65</v>
      </c>
      <c r="G47" s="47">
        <f t="shared" ref="G47:R47" si="0">G12+G15+G18+G21+G24+G27+G30+G33+G36+G39+G42+G45</f>
        <v>0</v>
      </c>
      <c r="H47" s="49">
        <f t="shared" si="0"/>
        <v>0</v>
      </c>
      <c r="I47" s="47">
        <f t="shared" si="0"/>
        <v>180</v>
      </c>
      <c r="J47" s="67">
        <f t="shared" si="0"/>
        <v>9000</v>
      </c>
      <c r="K47" s="47">
        <f t="shared" si="0"/>
        <v>120</v>
      </c>
      <c r="L47" s="67">
        <f t="shared" si="0"/>
        <v>6000</v>
      </c>
      <c r="M47" s="47">
        <f t="shared" si="0"/>
        <v>200</v>
      </c>
      <c r="N47" s="67">
        <f t="shared" si="0"/>
        <v>10000</v>
      </c>
      <c r="O47" s="47">
        <f t="shared" si="0"/>
        <v>100</v>
      </c>
      <c r="P47" s="67">
        <f t="shared" si="0"/>
        <v>5000</v>
      </c>
      <c r="Q47" s="47">
        <f t="shared" si="0"/>
        <v>240</v>
      </c>
      <c r="R47" s="67">
        <f t="shared" si="0"/>
        <v>12000</v>
      </c>
      <c r="S47" s="5"/>
      <c r="T47" s="5"/>
      <c r="U47" s="5"/>
    </row>
    <row r="48" spans="1:21" ht="16.5" thickBot="1" x14ac:dyDescent="0.3">
      <c r="A48" s="215"/>
      <c r="B48" s="229"/>
      <c r="C48" s="230"/>
      <c r="D48" s="226"/>
      <c r="E48" s="226"/>
      <c r="F48" s="46" t="s">
        <v>27</v>
      </c>
      <c r="G48" s="47">
        <f t="shared" ref="G48:R48" si="1">G13+G16+G19+G22+G25+G28+G31+G34+G37+G40+G43+G46</f>
        <v>0</v>
      </c>
      <c r="H48" s="49">
        <f t="shared" si="1"/>
        <v>0</v>
      </c>
      <c r="I48" s="47">
        <f t="shared" si="1"/>
        <v>212.79999999999998</v>
      </c>
      <c r="J48" s="67">
        <f t="shared" si="1"/>
        <v>212.79999999999998</v>
      </c>
      <c r="K48" s="47">
        <f t="shared" si="1"/>
        <v>139.80000000000001</v>
      </c>
      <c r="L48" s="67">
        <f t="shared" si="1"/>
        <v>139.80000000000001</v>
      </c>
      <c r="M48" s="47">
        <f t="shared" si="1"/>
        <v>204.8</v>
      </c>
      <c r="N48" s="67">
        <f t="shared" si="1"/>
        <v>204.8</v>
      </c>
      <c r="O48" s="47">
        <f t="shared" si="1"/>
        <v>135.4</v>
      </c>
      <c r="P48" s="67">
        <f t="shared" si="1"/>
        <v>135.4</v>
      </c>
      <c r="Q48" s="47">
        <f t="shared" si="1"/>
        <v>275.80000000000007</v>
      </c>
      <c r="R48" s="67">
        <f t="shared" si="1"/>
        <v>275.80000000000007</v>
      </c>
      <c r="S48" s="5"/>
      <c r="T48" s="5"/>
      <c r="U48" s="5"/>
    </row>
    <row r="49" spans="1:21" ht="16.5" thickBot="1" x14ac:dyDescent="0.3">
      <c r="A49" s="146" t="s">
        <v>78</v>
      </c>
    </row>
    <row r="50" spans="1:21" ht="15.75" customHeight="1" x14ac:dyDescent="0.25">
      <c r="A50" s="209" t="s">
        <v>67</v>
      </c>
      <c r="B50" s="209" t="s">
        <v>7</v>
      </c>
      <c r="C50" s="160" t="s">
        <v>8</v>
      </c>
      <c r="D50" s="166" t="s">
        <v>9</v>
      </c>
      <c r="E50" s="166" t="s">
        <v>10</v>
      </c>
      <c r="F50" s="169" t="s">
        <v>11</v>
      </c>
      <c r="G50" s="203" t="s">
        <v>12</v>
      </c>
      <c r="H50" s="204"/>
      <c r="I50" s="203" t="s">
        <v>13</v>
      </c>
      <c r="J50" s="204"/>
      <c r="K50" s="203" t="s">
        <v>14</v>
      </c>
      <c r="L50" s="211"/>
      <c r="M50" s="203" t="s">
        <v>15</v>
      </c>
      <c r="N50" s="204"/>
      <c r="O50" s="203" t="s">
        <v>16</v>
      </c>
      <c r="P50" s="204"/>
      <c r="Q50" s="203" t="s">
        <v>17</v>
      </c>
      <c r="R50" s="204"/>
      <c r="S50" s="5"/>
      <c r="T50" s="5"/>
      <c r="U50" s="5"/>
    </row>
    <row r="51" spans="1:21" ht="15.75" customHeight="1" x14ac:dyDescent="0.25">
      <c r="A51" s="158"/>
      <c r="B51" s="158"/>
      <c r="C51" s="161"/>
      <c r="D51" s="167"/>
      <c r="E51" s="167"/>
      <c r="F51" s="193"/>
      <c r="G51" s="205"/>
      <c r="H51" s="206"/>
      <c r="I51" s="205"/>
      <c r="J51" s="206"/>
      <c r="K51" s="205"/>
      <c r="L51" s="156"/>
      <c r="M51" s="205"/>
      <c r="N51" s="206"/>
      <c r="O51" s="205"/>
      <c r="P51" s="206"/>
      <c r="Q51" s="205"/>
      <c r="R51" s="206"/>
      <c r="S51" s="5"/>
      <c r="T51" s="5"/>
      <c r="U51" s="5"/>
    </row>
    <row r="52" spans="1:21" ht="16.5" thickBot="1" x14ac:dyDescent="0.3">
      <c r="A52" s="158"/>
      <c r="B52" s="158"/>
      <c r="C52" s="162"/>
      <c r="D52" s="167"/>
      <c r="E52" s="167"/>
      <c r="F52" s="193"/>
      <c r="G52" s="207"/>
      <c r="H52" s="208"/>
      <c r="I52" s="207"/>
      <c r="J52" s="208"/>
      <c r="K52" s="207"/>
      <c r="L52" s="212"/>
      <c r="M52" s="207"/>
      <c r="N52" s="208"/>
      <c r="O52" s="207"/>
      <c r="P52" s="208"/>
      <c r="Q52" s="207"/>
      <c r="R52" s="208"/>
      <c r="S52" s="5"/>
      <c r="T52" s="5"/>
      <c r="U52" s="5"/>
    </row>
    <row r="53" spans="1:21" s="119" customFormat="1" ht="32.25" thickBot="1" x14ac:dyDescent="0.3">
      <c r="A53" s="210"/>
      <c r="B53" s="210"/>
      <c r="C53" s="90"/>
      <c r="D53" s="168"/>
      <c r="E53" s="168"/>
      <c r="F53" s="194"/>
      <c r="G53" s="106" t="s">
        <v>76</v>
      </c>
      <c r="H53" s="118" t="s">
        <v>75</v>
      </c>
      <c r="I53" s="106" t="s">
        <v>76</v>
      </c>
      <c r="J53" s="118" t="s">
        <v>75</v>
      </c>
      <c r="K53" s="106" t="s">
        <v>76</v>
      </c>
      <c r="L53" s="118" t="s">
        <v>75</v>
      </c>
      <c r="M53" s="106" t="s">
        <v>76</v>
      </c>
      <c r="N53" s="118" t="s">
        <v>75</v>
      </c>
      <c r="O53" s="106" t="s">
        <v>76</v>
      </c>
      <c r="P53" s="118" t="s">
        <v>75</v>
      </c>
      <c r="Q53" s="106" t="s">
        <v>76</v>
      </c>
      <c r="R53" s="118" t="s">
        <v>75</v>
      </c>
    </row>
    <row r="54" spans="1:21" x14ac:dyDescent="0.25">
      <c r="A54" s="213" t="s">
        <v>69</v>
      </c>
      <c r="B54" s="180">
        <v>10</v>
      </c>
      <c r="C54" s="183">
        <v>2011</v>
      </c>
      <c r="D54" s="186">
        <v>19.100000000000001</v>
      </c>
      <c r="E54" s="186">
        <v>19.100000000000001</v>
      </c>
      <c r="F54" s="14" t="s">
        <v>24</v>
      </c>
      <c r="G54" s="112"/>
      <c r="H54" s="111"/>
      <c r="I54" s="112"/>
      <c r="J54" s="111"/>
      <c r="K54" s="112"/>
      <c r="L54" s="111"/>
      <c r="M54" s="112"/>
      <c r="N54" s="111"/>
      <c r="O54" s="112">
        <v>1</v>
      </c>
      <c r="P54" s="111">
        <v>1</v>
      </c>
      <c r="Q54" s="112"/>
      <c r="R54" s="111"/>
      <c r="S54" s="5"/>
      <c r="T54" s="5"/>
      <c r="U54" s="5"/>
    </row>
    <row r="55" spans="1:21" x14ac:dyDescent="0.25">
      <c r="A55" s="214"/>
      <c r="B55" s="181"/>
      <c r="C55" s="184"/>
      <c r="D55" s="187"/>
      <c r="E55" s="187"/>
      <c r="F55" s="21" t="s">
        <v>65</v>
      </c>
      <c r="G55" s="101"/>
      <c r="H55" s="102"/>
      <c r="I55" s="101"/>
      <c r="J55" s="102"/>
      <c r="K55" s="101"/>
      <c r="L55" s="102"/>
      <c r="M55" s="101"/>
      <c r="N55" s="102"/>
      <c r="O55" s="101">
        <v>20</v>
      </c>
      <c r="P55" s="102">
        <v>1000</v>
      </c>
      <c r="Q55" s="101"/>
      <c r="R55" s="102"/>
      <c r="S55" s="5"/>
      <c r="T55" s="5"/>
      <c r="U55" s="5"/>
    </row>
    <row r="56" spans="1:21" ht="16.5" thickBot="1" x14ac:dyDescent="0.3">
      <c r="A56" s="214"/>
      <c r="B56" s="182"/>
      <c r="C56" s="185"/>
      <c r="D56" s="188"/>
      <c r="E56" s="188"/>
      <c r="F56" s="27" t="s">
        <v>27</v>
      </c>
      <c r="G56" s="103"/>
      <c r="H56" s="104"/>
      <c r="I56" s="103"/>
      <c r="J56" s="104"/>
      <c r="K56" s="103"/>
      <c r="L56" s="104"/>
      <c r="M56" s="103"/>
      <c r="N56" s="104"/>
      <c r="O56" s="103">
        <v>19.100000000000001</v>
      </c>
      <c r="P56" s="104">
        <v>19.100000000000001</v>
      </c>
      <c r="Q56" s="103"/>
      <c r="R56" s="104"/>
      <c r="S56" s="5"/>
      <c r="T56" s="5"/>
      <c r="U56" s="5"/>
    </row>
    <row r="57" spans="1:21" x14ac:dyDescent="0.25">
      <c r="A57" s="214"/>
      <c r="B57" s="189">
        <v>13</v>
      </c>
      <c r="C57" s="183">
        <v>2011</v>
      </c>
      <c r="D57" s="186">
        <v>60.8</v>
      </c>
      <c r="E57" s="186">
        <v>60.8</v>
      </c>
      <c r="F57" s="14" t="s">
        <v>24</v>
      </c>
      <c r="G57" s="112"/>
      <c r="H57" s="111"/>
      <c r="I57" s="112">
        <v>1</v>
      </c>
      <c r="J57" s="111">
        <v>1</v>
      </c>
      <c r="K57" s="112"/>
      <c r="L57" s="111"/>
      <c r="M57" s="112"/>
      <c r="N57" s="111"/>
      <c r="O57" s="112">
        <v>2</v>
      </c>
      <c r="P57" s="111">
        <v>2</v>
      </c>
      <c r="Q57" s="112"/>
      <c r="R57" s="111"/>
      <c r="S57" s="5"/>
      <c r="T57" s="5"/>
      <c r="U57" s="5"/>
    </row>
    <row r="58" spans="1:21" x14ac:dyDescent="0.25">
      <c r="A58" s="214"/>
      <c r="B58" s="190"/>
      <c r="C58" s="184"/>
      <c r="D58" s="187"/>
      <c r="E58" s="187"/>
      <c r="F58" s="21" t="s">
        <v>65</v>
      </c>
      <c r="G58" s="101"/>
      <c r="H58" s="102"/>
      <c r="I58" s="101">
        <v>40</v>
      </c>
      <c r="J58" s="102">
        <v>2000</v>
      </c>
      <c r="K58" s="101"/>
      <c r="L58" s="102"/>
      <c r="M58" s="101"/>
      <c r="N58" s="102"/>
      <c r="O58" s="101">
        <v>40</v>
      </c>
      <c r="P58" s="102">
        <v>2000</v>
      </c>
      <c r="Q58" s="101"/>
      <c r="R58" s="102"/>
      <c r="S58" s="5"/>
      <c r="T58" s="5"/>
      <c r="U58" s="5"/>
    </row>
    <row r="59" spans="1:21" ht="16.5" thickBot="1" x14ac:dyDescent="0.3">
      <c r="A59" s="214"/>
      <c r="B59" s="191"/>
      <c r="C59" s="185"/>
      <c r="D59" s="188"/>
      <c r="E59" s="188"/>
      <c r="F59" s="27" t="s">
        <v>27</v>
      </c>
      <c r="G59" s="103"/>
      <c r="H59" s="104"/>
      <c r="I59" s="103">
        <v>60.8</v>
      </c>
      <c r="J59" s="104">
        <v>60.8</v>
      </c>
      <c r="K59" s="103"/>
      <c r="L59" s="104"/>
      <c r="M59" s="103"/>
      <c r="N59" s="104"/>
      <c r="O59" s="103">
        <v>60.8</v>
      </c>
      <c r="P59" s="104">
        <v>60.8</v>
      </c>
      <c r="Q59" s="103"/>
      <c r="R59" s="104"/>
      <c r="S59" s="5"/>
      <c r="T59" s="5"/>
      <c r="U59" s="5"/>
    </row>
    <row r="60" spans="1:21" x14ac:dyDescent="0.25">
      <c r="A60" s="214"/>
      <c r="B60" s="189">
        <v>14</v>
      </c>
      <c r="C60" s="183">
        <v>2011</v>
      </c>
      <c r="D60" s="186">
        <v>41.6</v>
      </c>
      <c r="E60" s="186">
        <v>41.6</v>
      </c>
      <c r="F60" s="14" t="s">
        <v>24</v>
      </c>
      <c r="G60" s="112"/>
      <c r="H60" s="111"/>
      <c r="I60" s="112"/>
      <c r="J60" s="111"/>
      <c r="K60" s="112"/>
      <c r="L60" s="111"/>
      <c r="M60" s="112">
        <v>1</v>
      </c>
      <c r="N60" s="111">
        <v>1</v>
      </c>
      <c r="O60" s="112"/>
      <c r="P60" s="111"/>
      <c r="Q60" s="112"/>
      <c r="R60" s="111"/>
      <c r="S60" s="5"/>
      <c r="T60" s="5"/>
      <c r="U60" s="5"/>
    </row>
    <row r="61" spans="1:21" x14ac:dyDescent="0.25">
      <c r="A61" s="214"/>
      <c r="B61" s="190"/>
      <c r="C61" s="184"/>
      <c r="D61" s="187"/>
      <c r="E61" s="187"/>
      <c r="F61" s="21" t="s">
        <v>65</v>
      </c>
      <c r="G61" s="101"/>
      <c r="H61" s="102"/>
      <c r="I61" s="101"/>
      <c r="J61" s="102"/>
      <c r="K61" s="101"/>
      <c r="L61" s="102"/>
      <c r="M61" s="101">
        <v>40</v>
      </c>
      <c r="N61" s="102">
        <v>2000</v>
      </c>
      <c r="O61" s="101"/>
      <c r="P61" s="102"/>
      <c r="Q61" s="101"/>
      <c r="R61" s="102"/>
      <c r="S61" s="5"/>
      <c r="T61" s="5"/>
      <c r="U61" s="5"/>
    </row>
    <row r="62" spans="1:21" ht="16.5" thickBot="1" x14ac:dyDescent="0.3">
      <c r="A62" s="214"/>
      <c r="B62" s="191"/>
      <c r="C62" s="185"/>
      <c r="D62" s="188"/>
      <c r="E62" s="188"/>
      <c r="F62" s="27" t="s">
        <v>27</v>
      </c>
      <c r="G62" s="103"/>
      <c r="H62" s="104"/>
      <c r="I62" s="103"/>
      <c r="J62" s="104"/>
      <c r="K62" s="103"/>
      <c r="L62" s="104"/>
      <c r="M62" s="103">
        <v>41.6</v>
      </c>
      <c r="N62" s="104">
        <v>41.6</v>
      </c>
      <c r="O62" s="103"/>
      <c r="P62" s="104"/>
      <c r="Q62" s="103"/>
      <c r="R62" s="104"/>
      <c r="S62" s="5"/>
      <c r="T62" s="5"/>
      <c r="U62" s="5"/>
    </row>
    <row r="63" spans="1:21" x14ac:dyDescent="0.25">
      <c r="A63" s="214"/>
      <c r="B63" s="189">
        <v>15</v>
      </c>
      <c r="C63" s="183">
        <v>2011</v>
      </c>
      <c r="D63" s="186">
        <v>49.3</v>
      </c>
      <c r="E63" s="186">
        <v>49.17</v>
      </c>
      <c r="F63" s="14" t="s">
        <v>24</v>
      </c>
      <c r="G63" s="112"/>
      <c r="H63" s="111"/>
      <c r="I63" s="112"/>
      <c r="J63" s="111"/>
      <c r="K63" s="112"/>
      <c r="L63" s="111"/>
      <c r="M63" s="112">
        <v>1</v>
      </c>
      <c r="N63" s="111">
        <v>1</v>
      </c>
      <c r="O63" s="112"/>
      <c r="P63" s="111"/>
      <c r="Q63" s="112"/>
      <c r="R63" s="111"/>
      <c r="S63" s="5"/>
      <c r="T63" s="5"/>
      <c r="U63" s="5"/>
    </row>
    <row r="64" spans="1:21" x14ac:dyDescent="0.25">
      <c r="A64" s="214"/>
      <c r="B64" s="190"/>
      <c r="C64" s="184"/>
      <c r="D64" s="187"/>
      <c r="E64" s="187"/>
      <c r="F64" s="21" t="s">
        <v>65</v>
      </c>
      <c r="G64" s="101"/>
      <c r="H64" s="102"/>
      <c r="I64" s="101"/>
      <c r="J64" s="102"/>
      <c r="K64" s="101"/>
      <c r="L64" s="102"/>
      <c r="M64" s="101">
        <v>60</v>
      </c>
      <c r="N64" s="102">
        <v>3000</v>
      </c>
      <c r="O64" s="101"/>
      <c r="P64" s="102"/>
      <c r="Q64" s="101"/>
      <c r="R64" s="102"/>
      <c r="S64" s="5"/>
      <c r="T64" s="5"/>
      <c r="U64" s="5"/>
    </row>
    <row r="65" spans="1:21" ht="16.5" thickBot="1" x14ac:dyDescent="0.3">
      <c r="A65" s="214"/>
      <c r="B65" s="191"/>
      <c r="C65" s="185"/>
      <c r="D65" s="188"/>
      <c r="E65" s="188"/>
      <c r="F65" s="27" t="s">
        <v>27</v>
      </c>
      <c r="G65" s="103"/>
      <c r="H65" s="104"/>
      <c r="I65" s="103"/>
      <c r="J65" s="104"/>
      <c r="K65" s="103"/>
      <c r="L65" s="104"/>
      <c r="M65" s="103">
        <v>49.3</v>
      </c>
      <c r="N65" s="104">
        <v>49.3</v>
      </c>
      <c r="O65" s="103"/>
      <c r="P65" s="104"/>
      <c r="Q65" s="103"/>
      <c r="R65" s="104"/>
      <c r="S65" s="5"/>
      <c r="T65" s="8"/>
      <c r="U65" s="8"/>
    </row>
    <row r="66" spans="1:21" x14ac:dyDescent="0.25">
      <c r="A66" s="214"/>
      <c r="B66" s="189">
        <v>16</v>
      </c>
      <c r="C66" s="183">
        <v>2011</v>
      </c>
      <c r="D66" s="186">
        <v>53.2</v>
      </c>
      <c r="E66" s="186">
        <v>52.61</v>
      </c>
      <c r="F66" s="14" t="s">
        <v>24</v>
      </c>
      <c r="G66" s="112"/>
      <c r="H66" s="111"/>
      <c r="I66" s="112"/>
      <c r="J66" s="111"/>
      <c r="K66" s="112">
        <v>1</v>
      </c>
      <c r="L66" s="111">
        <v>1</v>
      </c>
      <c r="M66" s="112"/>
      <c r="N66" s="111"/>
      <c r="O66" s="112"/>
      <c r="P66" s="111"/>
      <c r="Q66" s="112">
        <v>2</v>
      </c>
      <c r="R66" s="111">
        <v>2</v>
      </c>
      <c r="S66" s="5"/>
      <c r="T66" s="8"/>
      <c r="U66" s="8"/>
    </row>
    <row r="67" spans="1:21" x14ac:dyDescent="0.25">
      <c r="A67" s="214"/>
      <c r="B67" s="190"/>
      <c r="C67" s="184"/>
      <c r="D67" s="187"/>
      <c r="E67" s="187"/>
      <c r="F67" s="21" t="s">
        <v>65</v>
      </c>
      <c r="G67" s="101"/>
      <c r="H67" s="102"/>
      <c r="I67" s="101"/>
      <c r="J67" s="102"/>
      <c r="K67" s="101">
        <v>40</v>
      </c>
      <c r="L67" s="102">
        <v>2000</v>
      </c>
      <c r="M67" s="101"/>
      <c r="N67" s="102"/>
      <c r="O67" s="101"/>
      <c r="P67" s="102"/>
      <c r="Q67" s="101">
        <v>40</v>
      </c>
      <c r="R67" s="102">
        <v>2000</v>
      </c>
      <c r="S67" s="5"/>
      <c r="T67" s="8"/>
      <c r="U67" s="8"/>
    </row>
    <row r="68" spans="1:21" ht="16.5" thickBot="1" x14ac:dyDescent="0.3">
      <c r="A68" s="214"/>
      <c r="B68" s="191"/>
      <c r="C68" s="185"/>
      <c r="D68" s="188"/>
      <c r="E68" s="188"/>
      <c r="F68" s="27" t="s">
        <v>27</v>
      </c>
      <c r="G68" s="121"/>
      <c r="H68" s="122"/>
      <c r="I68" s="121"/>
      <c r="J68" s="122"/>
      <c r="K68" s="121">
        <v>53.2</v>
      </c>
      <c r="L68" s="122">
        <v>53.2</v>
      </c>
      <c r="M68" s="121"/>
      <c r="N68" s="122"/>
      <c r="O68" s="121"/>
      <c r="P68" s="122"/>
      <c r="Q68" s="121">
        <v>53.2</v>
      </c>
      <c r="R68" s="122">
        <v>53.2</v>
      </c>
      <c r="S68" s="5"/>
      <c r="T68" s="8"/>
      <c r="U68" s="8"/>
    </row>
    <row r="69" spans="1:21" x14ac:dyDescent="0.25">
      <c r="A69" s="214"/>
      <c r="B69" s="189">
        <v>17</v>
      </c>
      <c r="C69" s="183">
        <v>2011</v>
      </c>
      <c r="D69" s="186">
        <v>45.7</v>
      </c>
      <c r="E69" s="186">
        <v>45.58</v>
      </c>
      <c r="F69" s="14" t="s">
        <v>24</v>
      </c>
      <c r="G69" s="112"/>
      <c r="H69" s="111"/>
      <c r="I69" s="112">
        <v>1</v>
      </c>
      <c r="J69" s="111">
        <v>1</v>
      </c>
      <c r="K69" s="112"/>
      <c r="L69" s="111"/>
      <c r="M69" s="112"/>
      <c r="N69" s="111"/>
      <c r="O69" s="112">
        <v>2</v>
      </c>
      <c r="P69" s="111">
        <v>2</v>
      </c>
      <c r="Q69" s="112"/>
      <c r="R69" s="111"/>
      <c r="S69" s="5"/>
      <c r="T69" s="6"/>
      <c r="U69" s="6"/>
    </row>
    <row r="70" spans="1:21" x14ac:dyDescent="0.25">
      <c r="A70" s="214"/>
      <c r="B70" s="190"/>
      <c r="C70" s="184"/>
      <c r="D70" s="187"/>
      <c r="E70" s="187"/>
      <c r="F70" s="21" t="s">
        <v>65</v>
      </c>
      <c r="G70" s="101"/>
      <c r="H70" s="102"/>
      <c r="I70" s="101">
        <v>40</v>
      </c>
      <c r="J70" s="102">
        <v>2000</v>
      </c>
      <c r="K70" s="101"/>
      <c r="L70" s="102"/>
      <c r="M70" s="101"/>
      <c r="N70" s="102"/>
      <c r="O70" s="101">
        <v>40</v>
      </c>
      <c r="P70" s="102">
        <v>2000</v>
      </c>
      <c r="Q70" s="101"/>
      <c r="R70" s="102"/>
      <c r="S70" s="5"/>
      <c r="T70" s="8"/>
      <c r="U70" s="8"/>
    </row>
    <row r="71" spans="1:21" ht="16.5" thickBot="1" x14ac:dyDescent="0.3">
      <c r="A71" s="214"/>
      <c r="B71" s="190"/>
      <c r="C71" s="184"/>
      <c r="D71" s="187"/>
      <c r="E71" s="187"/>
      <c r="F71" s="21" t="s">
        <v>27</v>
      </c>
      <c r="G71" s="113"/>
      <c r="H71" s="123"/>
      <c r="I71" s="113">
        <v>45.7</v>
      </c>
      <c r="J71" s="123">
        <v>45.7</v>
      </c>
      <c r="K71" s="113"/>
      <c r="L71" s="123"/>
      <c r="M71" s="113"/>
      <c r="N71" s="123"/>
      <c r="O71" s="113">
        <v>45.7</v>
      </c>
      <c r="P71" s="123">
        <v>45.7</v>
      </c>
      <c r="Q71" s="113"/>
      <c r="R71" s="123"/>
      <c r="S71" s="5"/>
      <c r="T71" s="8"/>
      <c r="U71" s="8"/>
    </row>
    <row r="72" spans="1:21" x14ac:dyDescent="0.25">
      <c r="A72" s="214"/>
      <c r="B72" s="189">
        <v>18</v>
      </c>
      <c r="C72" s="183">
        <v>2011</v>
      </c>
      <c r="D72" s="186">
        <v>40.799999999999997</v>
      </c>
      <c r="E72" s="186">
        <v>40.799999999999997</v>
      </c>
      <c r="F72" s="14" t="s">
        <v>24</v>
      </c>
      <c r="G72" s="112"/>
      <c r="H72" s="111"/>
      <c r="I72" s="112"/>
      <c r="J72" s="111"/>
      <c r="K72" s="112">
        <v>1</v>
      </c>
      <c r="L72" s="111">
        <v>1</v>
      </c>
      <c r="M72" s="112"/>
      <c r="N72" s="111"/>
      <c r="O72" s="112"/>
      <c r="P72" s="111"/>
      <c r="Q72" s="112">
        <v>2</v>
      </c>
      <c r="R72" s="111">
        <v>2</v>
      </c>
      <c r="S72" s="5"/>
      <c r="T72" s="5"/>
      <c r="U72" s="5"/>
    </row>
    <row r="73" spans="1:21" x14ac:dyDescent="0.25">
      <c r="A73" s="214"/>
      <c r="B73" s="190"/>
      <c r="C73" s="184"/>
      <c r="D73" s="187"/>
      <c r="E73" s="187"/>
      <c r="F73" s="21" t="s">
        <v>65</v>
      </c>
      <c r="G73" s="101"/>
      <c r="H73" s="102"/>
      <c r="I73" s="101"/>
      <c r="J73" s="102"/>
      <c r="K73" s="101">
        <v>40</v>
      </c>
      <c r="L73" s="102">
        <v>2000</v>
      </c>
      <c r="M73" s="101"/>
      <c r="N73" s="102"/>
      <c r="O73" s="101"/>
      <c r="P73" s="102"/>
      <c r="Q73" s="101">
        <v>40</v>
      </c>
      <c r="R73" s="102">
        <v>2000</v>
      </c>
      <c r="S73" s="5"/>
      <c r="T73" s="5"/>
      <c r="U73" s="5"/>
    </row>
    <row r="74" spans="1:21" ht="16.5" thickBot="1" x14ac:dyDescent="0.3">
      <c r="A74" s="214"/>
      <c r="B74" s="191"/>
      <c r="C74" s="185"/>
      <c r="D74" s="188"/>
      <c r="E74" s="188"/>
      <c r="F74" s="27" t="s">
        <v>27</v>
      </c>
      <c r="G74" s="103"/>
      <c r="H74" s="104"/>
      <c r="I74" s="103"/>
      <c r="J74" s="104"/>
      <c r="K74" s="103">
        <v>40.799999999999997</v>
      </c>
      <c r="L74" s="104">
        <v>40.799999999999997</v>
      </c>
      <c r="M74" s="103"/>
      <c r="N74" s="104"/>
      <c r="O74" s="103"/>
      <c r="P74" s="104"/>
      <c r="Q74" s="103">
        <v>40.799999999999997</v>
      </c>
      <c r="R74" s="104">
        <v>40.799999999999997</v>
      </c>
      <c r="S74" s="5"/>
      <c r="T74" s="5"/>
      <c r="U74" s="5"/>
    </row>
    <row r="75" spans="1:21" ht="16.5" thickBot="1" x14ac:dyDescent="0.3">
      <c r="A75" s="214"/>
      <c r="B75" s="227" t="s">
        <v>29</v>
      </c>
      <c r="C75" s="228"/>
      <c r="D75" s="225">
        <f>SUM(D54:D74)</f>
        <v>310.5</v>
      </c>
      <c r="E75" s="225">
        <f>SUM(E54:E74)</f>
        <v>309.66000000000003</v>
      </c>
      <c r="F75" s="125" t="s">
        <v>65</v>
      </c>
      <c r="G75" s="47">
        <f t="shared" ref="G75:R75" si="2">G55+G58+G61+G64+G67+G70+G73</f>
        <v>0</v>
      </c>
      <c r="H75" s="49">
        <f t="shared" si="2"/>
        <v>0</v>
      </c>
      <c r="I75" s="47">
        <f t="shared" si="2"/>
        <v>80</v>
      </c>
      <c r="J75" s="49">
        <f t="shared" si="2"/>
        <v>4000</v>
      </c>
      <c r="K75" s="47">
        <f t="shared" si="2"/>
        <v>80</v>
      </c>
      <c r="L75" s="49">
        <f t="shared" si="2"/>
        <v>4000</v>
      </c>
      <c r="M75" s="47">
        <f t="shared" si="2"/>
        <v>100</v>
      </c>
      <c r="N75" s="49">
        <f t="shared" si="2"/>
        <v>5000</v>
      </c>
      <c r="O75" s="47">
        <f t="shared" si="2"/>
        <v>100</v>
      </c>
      <c r="P75" s="49">
        <f t="shared" si="2"/>
        <v>5000</v>
      </c>
      <c r="Q75" s="47">
        <f t="shared" si="2"/>
        <v>80</v>
      </c>
      <c r="R75" s="49">
        <f t="shared" si="2"/>
        <v>4000</v>
      </c>
      <c r="S75" s="5"/>
      <c r="T75" s="5"/>
      <c r="U75" s="5"/>
    </row>
    <row r="76" spans="1:21" ht="16.5" thickBot="1" x14ac:dyDescent="0.3">
      <c r="A76" s="215"/>
      <c r="B76" s="229"/>
      <c r="C76" s="230"/>
      <c r="D76" s="226"/>
      <c r="E76" s="226"/>
      <c r="F76" s="46" t="s">
        <v>27</v>
      </c>
      <c r="G76" s="47">
        <f t="shared" ref="G76:R76" si="3">G56+G59+G62+G65+G68+G71+G74</f>
        <v>0</v>
      </c>
      <c r="H76" s="49">
        <f t="shared" si="3"/>
        <v>0</v>
      </c>
      <c r="I76" s="47">
        <f t="shared" si="3"/>
        <v>106.5</v>
      </c>
      <c r="J76" s="49">
        <f t="shared" si="3"/>
        <v>106.5</v>
      </c>
      <c r="K76" s="47">
        <f t="shared" si="3"/>
        <v>94</v>
      </c>
      <c r="L76" s="49">
        <f t="shared" si="3"/>
        <v>94</v>
      </c>
      <c r="M76" s="47">
        <f t="shared" si="3"/>
        <v>90.9</v>
      </c>
      <c r="N76" s="49">
        <f t="shared" si="3"/>
        <v>90.9</v>
      </c>
      <c r="O76" s="47">
        <f t="shared" si="3"/>
        <v>125.60000000000001</v>
      </c>
      <c r="P76" s="49">
        <f t="shared" si="3"/>
        <v>125.60000000000001</v>
      </c>
      <c r="Q76" s="47">
        <f t="shared" si="3"/>
        <v>94</v>
      </c>
      <c r="R76" s="49">
        <f t="shared" si="3"/>
        <v>94</v>
      </c>
      <c r="S76" s="5"/>
      <c r="T76" s="5"/>
      <c r="U76" s="5"/>
    </row>
    <row r="77" spans="1:21" ht="16.5" thickBot="1" x14ac:dyDescent="0.3">
      <c r="A77" s="146" t="s">
        <v>78</v>
      </c>
    </row>
    <row r="78" spans="1:21" ht="15.75" customHeight="1" x14ac:dyDescent="0.25">
      <c r="A78" s="209" t="s">
        <v>67</v>
      </c>
      <c r="B78" s="209" t="s">
        <v>7</v>
      </c>
      <c r="C78" s="160" t="s">
        <v>8</v>
      </c>
      <c r="D78" s="166" t="s">
        <v>9</v>
      </c>
      <c r="E78" s="166" t="s">
        <v>10</v>
      </c>
      <c r="F78" s="169" t="s">
        <v>11</v>
      </c>
      <c r="G78" s="203" t="s">
        <v>12</v>
      </c>
      <c r="H78" s="204"/>
      <c r="I78" s="203" t="s">
        <v>13</v>
      </c>
      <c r="J78" s="204"/>
      <c r="K78" s="203" t="s">
        <v>14</v>
      </c>
      <c r="L78" s="211"/>
      <c r="M78" s="203" t="s">
        <v>15</v>
      </c>
      <c r="N78" s="204"/>
      <c r="O78" s="203" t="s">
        <v>16</v>
      </c>
      <c r="P78" s="204"/>
      <c r="Q78" s="203" t="s">
        <v>17</v>
      </c>
      <c r="R78" s="204"/>
      <c r="S78" s="5"/>
      <c r="T78" s="5"/>
      <c r="U78" s="5"/>
    </row>
    <row r="79" spans="1:21" ht="15.75" customHeight="1" x14ac:dyDescent="0.25">
      <c r="A79" s="158"/>
      <c r="B79" s="158"/>
      <c r="C79" s="161"/>
      <c r="D79" s="167"/>
      <c r="E79" s="167"/>
      <c r="F79" s="193"/>
      <c r="G79" s="205"/>
      <c r="H79" s="206"/>
      <c r="I79" s="205"/>
      <c r="J79" s="206"/>
      <c r="K79" s="205"/>
      <c r="L79" s="156"/>
      <c r="M79" s="205"/>
      <c r="N79" s="206"/>
      <c r="O79" s="205"/>
      <c r="P79" s="206"/>
      <c r="Q79" s="205"/>
      <c r="R79" s="206"/>
      <c r="S79" s="5"/>
      <c r="T79" s="5"/>
      <c r="U79" s="5"/>
    </row>
    <row r="80" spans="1:21" ht="16.5" thickBot="1" x14ac:dyDescent="0.3">
      <c r="A80" s="158"/>
      <c r="B80" s="158"/>
      <c r="C80" s="162"/>
      <c r="D80" s="167"/>
      <c r="E80" s="167"/>
      <c r="F80" s="193"/>
      <c r="G80" s="207"/>
      <c r="H80" s="208"/>
      <c r="I80" s="207"/>
      <c r="J80" s="208"/>
      <c r="K80" s="207"/>
      <c r="L80" s="212"/>
      <c r="M80" s="207"/>
      <c r="N80" s="208"/>
      <c r="O80" s="207"/>
      <c r="P80" s="208"/>
      <c r="Q80" s="207"/>
      <c r="R80" s="208"/>
      <c r="S80" s="5"/>
      <c r="T80" s="5"/>
      <c r="U80" s="5"/>
    </row>
    <row r="81" spans="1:21" s="119" customFormat="1" ht="32.25" thickBot="1" x14ac:dyDescent="0.3">
      <c r="A81" s="210"/>
      <c r="B81" s="210"/>
      <c r="C81" s="90"/>
      <c r="D81" s="168"/>
      <c r="E81" s="168"/>
      <c r="F81" s="194"/>
      <c r="G81" s="106" t="s">
        <v>76</v>
      </c>
      <c r="H81" s="118" t="s">
        <v>75</v>
      </c>
      <c r="I81" s="106" t="s">
        <v>76</v>
      </c>
      <c r="J81" s="118" t="s">
        <v>75</v>
      </c>
      <c r="K81" s="106" t="s">
        <v>76</v>
      </c>
      <c r="L81" s="118" t="s">
        <v>75</v>
      </c>
      <c r="M81" s="106" t="s">
        <v>76</v>
      </c>
      <c r="N81" s="118" t="s">
        <v>75</v>
      </c>
      <c r="O81" s="106" t="s">
        <v>76</v>
      </c>
      <c r="P81" s="118" t="s">
        <v>75</v>
      </c>
      <c r="Q81" s="106" t="s">
        <v>76</v>
      </c>
      <c r="R81" s="118" t="s">
        <v>75</v>
      </c>
    </row>
    <row r="82" spans="1:21" x14ac:dyDescent="0.25">
      <c r="A82" s="213" t="s">
        <v>70</v>
      </c>
      <c r="B82" s="180">
        <v>19</v>
      </c>
      <c r="C82" s="183">
        <v>2012</v>
      </c>
      <c r="D82" s="186">
        <v>50.6</v>
      </c>
      <c r="E82" s="186">
        <v>50.6</v>
      </c>
      <c r="F82" s="14" t="s">
        <v>24</v>
      </c>
      <c r="G82" s="112"/>
      <c r="H82" s="111"/>
      <c r="I82" s="112">
        <v>1</v>
      </c>
      <c r="J82" s="111">
        <v>1</v>
      </c>
      <c r="K82" s="112"/>
      <c r="L82" s="111"/>
      <c r="M82" s="112"/>
      <c r="N82" s="111"/>
      <c r="O82" s="112"/>
      <c r="P82" s="111"/>
      <c r="Q82" s="112">
        <v>2</v>
      </c>
      <c r="R82" s="111">
        <v>2</v>
      </c>
      <c r="S82" s="5"/>
      <c r="T82" s="5"/>
      <c r="U82" s="5"/>
    </row>
    <row r="83" spans="1:21" x14ac:dyDescent="0.25">
      <c r="A83" s="214"/>
      <c r="B83" s="181"/>
      <c r="C83" s="184"/>
      <c r="D83" s="187"/>
      <c r="E83" s="187"/>
      <c r="F83" s="21" t="s">
        <v>65</v>
      </c>
      <c r="G83" s="101"/>
      <c r="H83" s="102"/>
      <c r="I83" s="101">
        <v>60</v>
      </c>
      <c r="J83" s="102">
        <v>3000</v>
      </c>
      <c r="K83" s="101"/>
      <c r="L83" s="102"/>
      <c r="M83" s="101"/>
      <c r="N83" s="102"/>
      <c r="O83" s="101"/>
      <c r="P83" s="102"/>
      <c r="Q83" s="101">
        <v>60</v>
      </c>
      <c r="R83" s="102">
        <v>3000</v>
      </c>
      <c r="S83" s="5"/>
      <c r="T83" s="5"/>
      <c r="U83" s="5"/>
    </row>
    <row r="84" spans="1:21" ht="16.5" thickBot="1" x14ac:dyDescent="0.3">
      <c r="A84" s="214"/>
      <c r="B84" s="182"/>
      <c r="C84" s="185"/>
      <c r="D84" s="188"/>
      <c r="E84" s="188"/>
      <c r="F84" s="27" t="s">
        <v>27</v>
      </c>
      <c r="G84" s="103"/>
      <c r="H84" s="104"/>
      <c r="I84" s="103">
        <v>50.6</v>
      </c>
      <c r="J84" s="104">
        <v>50.6</v>
      </c>
      <c r="K84" s="103"/>
      <c r="L84" s="104"/>
      <c r="M84" s="103"/>
      <c r="N84" s="104"/>
      <c r="O84" s="103"/>
      <c r="P84" s="104"/>
      <c r="Q84" s="103">
        <v>50.6</v>
      </c>
      <c r="R84" s="104">
        <v>50.6</v>
      </c>
      <c r="S84" s="5"/>
      <c r="T84" s="5"/>
      <c r="U84" s="5"/>
    </row>
    <row r="85" spans="1:21" x14ac:dyDescent="0.25">
      <c r="A85" s="214"/>
      <c r="B85" s="189">
        <v>20</v>
      </c>
      <c r="C85" s="183">
        <v>2012</v>
      </c>
      <c r="D85" s="186">
        <v>62.1</v>
      </c>
      <c r="E85" s="186">
        <v>61.98</v>
      </c>
      <c r="F85" s="14" t="s">
        <v>24</v>
      </c>
      <c r="G85" s="112"/>
      <c r="H85" s="111"/>
      <c r="I85" s="112">
        <v>1</v>
      </c>
      <c r="J85" s="111">
        <v>1</v>
      </c>
      <c r="K85" s="112"/>
      <c r="L85" s="111"/>
      <c r="M85" s="112"/>
      <c r="N85" s="111"/>
      <c r="O85" s="112">
        <v>2</v>
      </c>
      <c r="P85" s="111">
        <v>2</v>
      </c>
      <c r="Q85" s="112"/>
      <c r="R85" s="111"/>
      <c r="S85" s="5"/>
      <c r="T85" s="5"/>
      <c r="U85" s="5"/>
    </row>
    <row r="86" spans="1:21" x14ac:dyDescent="0.25">
      <c r="A86" s="214"/>
      <c r="B86" s="190"/>
      <c r="C86" s="184"/>
      <c r="D86" s="187"/>
      <c r="E86" s="187"/>
      <c r="F86" s="21" t="s">
        <v>65</v>
      </c>
      <c r="G86" s="101"/>
      <c r="H86" s="102"/>
      <c r="I86" s="101">
        <v>40</v>
      </c>
      <c r="J86" s="102">
        <v>2000</v>
      </c>
      <c r="K86" s="101"/>
      <c r="L86" s="102"/>
      <c r="M86" s="101"/>
      <c r="N86" s="102"/>
      <c r="O86" s="101">
        <v>40</v>
      </c>
      <c r="P86" s="102">
        <v>2000</v>
      </c>
      <c r="Q86" s="101"/>
      <c r="R86" s="102"/>
      <c r="S86" s="8"/>
      <c r="T86" s="5"/>
      <c r="U86" s="5"/>
    </row>
    <row r="87" spans="1:21" ht="16.5" thickBot="1" x14ac:dyDescent="0.3">
      <c r="A87" s="214"/>
      <c r="B87" s="191"/>
      <c r="C87" s="185"/>
      <c r="D87" s="188"/>
      <c r="E87" s="188"/>
      <c r="F87" s="27" t="s">
        <v>27</v>
      </c>
      <c r="G87" s="103"/>
      <c r="H87" s="104"/>
      <c r="I87" s="103">
        <v>62.1</v>
      </c>
      <c r="J87" s="104">
        <v>62.1</v>
      </c>
      <c r="K87" s="103"/>
      <c r="L87" s="104"/>
      <c r="M87" s="103"/>
      <c r="N87" s="104"/>
      <c r="O87" s="103">
        <v>62.1</v>
      </c>
      <c r="P87" s="104">
        <v>62.1</v>
      </c>
      <c r="Q87" s="103"/>
      <c r="R87" s="104"/>
      <c r="S87" s="8"/>
      <c r="T87" s="5"/>
      <c r="U87" s="5"/>
    </row>
    <row r="88" spans="1:21" x14ac:dyDescent="0.25">
      <c r="A88" s="214"/>
      <c r="B88" s="189">
        <v>21</v>
      </c>
      <c r="C88" s="183">
        <v>2012</v>
      </c>
      <c r="D88" s="186">
        <v>72.2</v>
      </c>
      <c r="E88" s="186">
        <v>71.59</v>
      </c>
      <c r="F88" s="14" t="s">
        <v>24</v>
      </c>
      <c r="G88" s="112"/>
      <c r="H88" s="111"/>
      <c r="I88" s="112"/>
      <c r="J88" s="111"/>
      <c r="K88" s="112">
        <v>1</v>
      </c>
      <c r="L88" s="111">
        <v>1</v>
      </c>
      <c r="M88" s="112"/>
      <c r="N88" s="111"/>
      <c r="O88" s="112"/>
      <c r="P88" s="111"/>
      <c r="Q88" s="112">
        <v>2</v>
      </c>
      <c r="R88" s="111">
        <v>2</v>
      </c>
      <c r="S88" s="8"/>
      <c r="T88" s="5"/>
      <c r="U88" s="5"/>
    </row>
    <row r="89" spans="1:21" x14ac:dyDescent="0.25">
      <c r="A89" s="214"/>
      <c r="B89" s="190"/>
      <c r="C89" s="184"/>
      <c r="D89" s="187"/>
      <c r="E89" s="187"/>
      <c r="F89" s="21" t="s">
        <v>65</v>
      </c>
      <c r="G89" s="101"/>
      <c r="H89" s="102"/>
      <c r="I89" s="101"/>
      <c r="J89" s="102"/>
      <c r="K89" s="101">
        <v>80</v>
      </c>
      <c r="L89" s="102">
        <v>4000</v>
      </c>
      <c r="M89" s="101"/>
      <c r="N89" s="102"/>
      <c r="O89" s="101"/>
      <c r="P89" s="102"/>
      <c r="Q89" s="101">
        <v>80</v>
      </c>
      <c r="R89" s="102">
        <v>4000</v>
      </c>
      <c r="S89" s="8"/>
      <c r="T89" s="5"/>
      <c r="U89" s="5"/>
    </row>
    <row r="90" spans="1:21" ht="16.5" thickBot="1" x14ac:dyDescent="0.3">
      <c r="A90" s="214"/>
      <c r="B90" s="191"/>
      <c r="C90" s="185"/>
      <c r="D90" s="188"/>
      <c r="E90" s="188"/>
      <c r="F90" s="27" t="s">
        <v>27</v>
      </c>
      <c r="G90" s="103"/>
      <c r="H90" s="104"/>
      <c r="I90" s="103"/>
      <c r="J90" s="104"/>
      <c r="K90" s="103">
        <v>72.2</v>
      </c>
      <c r="L90" s="104">
        <v>72.2</v>
      </c>
      <c r="M90" s="103"/>
      <c r="N90" s="104"/>
      <c r="O90" s="103"/>
      <c r="P90" s="104"/>
      <c r="Q90" s="103">
        <v>72.2</v>
      </c>
      <c r="R90" s="104">
        <v>72.2</v>
      </c>
      <c r="S90" s="5"/>
      <c r="T90" s="5"/>
      <c r="U90" s="5"/>
    </row>
    <row r="91" spans="1:21" x14ac:dyDescent="0.25">
      <c r="A91" s="214"/>
      <c r="B91" s="189">
        <v>22</v>
      </c>
      <c r="C91" s="183">
        <v>2012</v>
      </c>
      <c r="D91" s="186">
        <v>52.3</v>
      </c>
      <c r="E91" s="186">
        <v>52.08</v>
      </c>
      <c r="F91" s="14" t="s">
        <v>24</v>
      </c>
      <c r="G91" s="112"/>
      <c r="H91" s="111"/>
      <c r="I91" s="112"/>
      <c r="J91" s="111"/>
      <c r="K91" s="112">
        <v>1</v>
      </c>
      <c r="L91" s="111">
        <v>1</v>
      </c>
      <c r="M91" s="112"/>
      <c r="N91" s="111"/>
      <c r="O91" s="112"/>
      <c r="P91" s="111"/>
      <c r="Q91" s="112">
        <v>2</v>
      </c>
      <c r="R91" s="111">
        <v>2</v>
      </c>
      <c r="S91" s="5"/>
      <c r="T91" s="5"/>
      <c r="U91" s="5"/>
    </row>
    <row r="92" spans="1:21" x14ac:dyDescent="0.25">
      <c r="A92" s="214"/>
      <c r="B92" s="190"/>
      <c r="C92" s="184"/>
      <c r="D92" s="187"/>
      <c r="E92" s="187"/>
      <c r="F92" s="21" t="s">
        <v>65</v>
      </c>
      <c r="G92" s="101"/>
      <c r="H92" s="102"/>
      <c r="I92" s="101"/>
      <c r="J92" s="102"/>
      <c r="K92" s="101">
        <v>40</v>
      </c>
      <c r="L92" s="102">
        <v>2000</v>
      </c>
      <c r="M92" s="101"/>
      <c r="N92" s="102"/>
      <c r="O92" s="101"/>
      <c r="P92" s="102"/>
      <c r="Q92" s="101">
        <v>40</v>
      </c>
      <c r="R92" s="102">
        <v>2000</v>
      </c>
      <c r="S92" s="5"/>
      <c r="T92" s="5"/>
      <c r="U92" s="5"/>
    </row>
    <row r="93" spans="1:21" ht="16.5" thickBot="1" x14ac:dyDescent="0.3">
      <c r="A93" s="214"/>
      <c r="B93" s="191"/>
      <c r="C93" s="185"/>
      <c r="D93" s="188"/>
      <c r="E93" s="188"/>
      <c r="F93" s="27" t="s">
        <v>27</v>
      </c>
      <c r="G93" s="103"/>
      <c r="H93" s="104"/>
      <c r="I93" s="103"/>
      <c r="J93" s="104"/>
      <c r="K93" s="103">
        <v>52.3</v>
      </c>
      <c r="L93" s="104">
        <v>52.3</v>
      </c>
      <c r="M93" s="103"/>
      <c r="N93" s="104"/>
      <c r="O93" s="103"/>
      <c r="P93" s="104"/>
      <c r="Q93" s="103">
        <v>52.3</v>
      </c>
      <c r="R93" s="104">
        <v>52.3</v>
      </c>
      <c r="S93" s="5"/>
      <c r="T93" s="5"/>
      <c r="U93" s="5"/>
    </row>
    <row r="94" spans="1:21" x14ac:dyDescent="0.25">
      <c r="A94" s="214"/>
      <c r="B94" s="189">
        <v>24</v>
      </c>
      <c r="C94" s="183">
        <v>2012</v>
      </c>
      <c r="D94" s="186">
        <v>44.7</v>
      </c>
      <c r="E94" s="186">
        <v>44.67</v>
      </c>
      <c r="F94" s="14" t="s">
        <v>24</v>
      </c>
      <c r="G94" s="112"/>
      <c r="H94" s="111"/>
      <c r="I94" s="112"/>
      <c r="J94" s="111"/>
      <c r="K94" s="112"/>
      <c r="L94" s="111"/>
      <c r="M94" s="112"/>
      <c r="N94" s="111"/>
      <c r="O94" s="112">
        <v>1</v>
      </c>
      <c r="P94" s="111">
        <v>1</v>
      </c>
      <c r="Q94" s="112"/>
      <c r="R94" s="111"/>
      <c r="S94" s="5"/>
      <c r="T94" s="5"/>
      <c r="U94" s="5"/>
    </row>
    <row r="95" spans="1:21" x14ac:dyDescent="0.25">
      <c r="A95" s="214"/>
      <c r="B95" s="190"/>
      <c r="C95" s="184"/>
      <c r="D95" s="187"/>
      <c r="E95" s="187"/>
      <c r="F95" s="21" t="s">
        <v>65</v>
      </c>
      <c r="G95" s="101"/>
      <c r="H95" s="102"/>
      <c r="I95" s="101"/>
      <c r="J95" s="102"/>
      <c r="K95" s="101"/>
      <c r="L95" s="102"/>
      <c r="M95" s="101"/>
      <c r="N95" s="102"/>
      <c r="O95" s="101">
        <v>40</v>
      </c>
      <c r="P95" s="102">
        <v>2000</v>
      </c>
      <c r="Q95" s="101"/>
      <c r="R95" s="102"/>
      <c r="S95" s="5"/>
      <c r="T95" s="5"/>
      <c r="U95" s="5"/>
    </row>
    <row r="96" spans="1:21" ht="16.5" thickBot="1" x14ac:dyDescent="0.3">
      <c r="A96" s="214"/>
      <c r="B96" s="191"/>
      <c r="C96" s="185"/>
      <c r="D96" s="188"/>
      <c r="E96" s="188"/>
      <c r="F96" s="27" t="s">
        <v>27</v>
      </c>
      <c r="G96" s="113"/>
      <c r="H96" s="123"/>
      <c r="I96" s="113"/>
      <c r="J96" s="123"/>
      <c r="K96" s="113"/>
      <c r="L96" s="123"/>
      <c r="M96" s="113"/>
      <c r="N96" s="123"/>
      <c r="O96" s="113">
        <v>44.7</v>
      </c>
      <c r="P96" s="123">
        <v>44.7</v>
      </c>
      <c r="Q96" s="113"/>
      <c r="R96" s="123"/>
      <c r="S96" s="5"/>
      <c r="T96" s="5"/>
      <c r="U96" s="5"/>
    </row>
    <row r="97" spans="1:21" ht="16.5" thickBot="1" x14ac:dyDescent="0.3">
      <c r="A97" s="214"/>
      <c r="B97" s="227" t="s">
        <v>29</v>
      </c>
      <c r="C97" s="228"/>
      <c r="D97" s="225">
        <f>SUM(D82:D96)</f>
        <v>281.89999999999998</v>
      </c>
      <c r="E97" s="225">
        <f>SUM(E82:E96)</f>
        <v>280.92</v>
      </c>
      <c r="F97" s="125" t="s">
        <v>65</v>
      </c>
      <c r="G97" s="47">
        <f t="shared" ref="G97:R97" si="4">G83+G86+G89+G92+G95</f>
        <v>0</v>
      </c>
      <c r="H97" s="49">
        <f t="shared" si="4"/>
        <v>0</v>
      </c>
      <c r="I97" s="47">
        <f t="shared" si="4"/>
        <v>100</v>
      </c>
      <c r="J97" s="49">
        <f t="shared" si="4"/>
        <v>5000</v>
      </c>
      <c r="K97" s="47">
        <f t="shared" si="4"/>
        <v>120</v>
      </c>
      <c r="L97" s="49">
        <f t="shared" si="4"/>
        <v>6000</v>
      </c>
      <c r="M97" s="47">
        <f t="shared" si="4"/>
        <v>0</v>
      </c>
      <c r="N97" s="49">
        <f t="shared" si="4"/>
        <v>0</v>
      </c>
      <c r="O97" s="47">
        <f t="shared" si="4"/>
        <v>80</v>
      </c>
      <c r="P97" s="49">
        <f t="shared" si="4"/>
        <v>4000</v>
      </c>
      <c r="Q97" s="47">
        <f t="shared" si="4"/>
        <v>180</v>
      </c>
      <c r="R97" s="49">
        <f t="shared" si="4"/>
        <v>9000</v>
      </c>
      <c r="S97" s="5"/>
      <c r="T97" s="5"/>
      <c r="U97" s="5"/>
    </row>
    <row r="98" spans="1:21" ht="16.5" thickBot="1" x14ac:dyDescent="0.3">
      <c r="A98" s="215"/>
      <c r="B98" s="229"/>
      <c r="C98" s="230"/>
      <c r="D98" s="226"/>
      <c r="E98" s="226"/>
      <c r="F98" s="46" t="s">
        <v>27</v>
      </c>
      <c r="G98" s="47">
        <f t="shared" ref="G98:R98" si="5">G84+G87+G90+G93+G96</f>
        <v>0</v>
      </c>
      <c r="H98" s="49">
        <f t="shared" si="5"/>
        <v>0</v>
      </c>
      <c r="I98" s="47">
        <f t="shared" si="5"/>
        <v>112.7</v>
      </c>
      <c r="J98" s="49">
        <f t="shared" si="5"/>
        <v>112.7</v>
      </c>
      <c r="K98" s="47">
        <f t="shared" si="5"/>
        <v>124.5</v>
      </c>
      <c r="L98" s="49">
        <f t="shared" si="5"/>
        <v>124.5</v>
      </c>
      <c r="M98" s="47">
        <f t="shared" si="5"/>
        <v>0</v>
      </c>
      <c r="N98" s="49">
        <f t="shared" si="5"/>
        <v>0</v>
      </c>
      <c r="O98" s="47">
        <f t="shared" si="5"/>
        <v>106.80000000000001</v>
      </c>
      <c r="P98" s="49">
        <f t="shared" si="5"/>
        <v>106.80000000000001</v>
      </c>
      <c r="Q98" s="47">
        <f t="shared" si="5"/>
        <v>175.10000000000002</v>
      </c>
      <c r="R98" s="49">
        <f t="shared" si="5"/>
        <v>175.10000000000002</v>
      </c>
      <c r="S98" s="5"/>
      <c r="T98" s="5"/>
      <c r="U98" s="5"/>
    </row>
    <row r="99" spans="1:21" ht="16.5" thickBot="1" x14ac:dyDescent="0.3">
      <c r="A99" s="146" t="s">
        <v>78</v>
      </c>
    </row>
    <row r="100" spans="1:21" ht="15.75" customHeight="1" x14ac:dyDescent="0.25">
      <c r="A100" s="209" t="s">
        <v>67</v>
      </c>
      <c r="B100" s="209" t="s">
        <v>7</v>
      </c>
      <c r="C100" s="160" t="s">
        <v>8</v>
      </c>
      <c r="D100" s="166" t="s">
        <v>9</v>
      </c>
      <c r="E100" s="166" t="s">
        <v>10</v>
      </c>
      <c r="F100" s="169" t="s">
        <v>11</v>
      </c>
      <c r="G100" s="203" t="s">
        <v>12</v>
      </c>
      <c r="H100" s="204"/>
      <c r="I100" s="203" t="s">
        <v>13</v>
      </c>
      <c r="J100" s="204"/>
      <c r="K100" s="203" t="s">
        <v>14</v>
      </c>
      <c r="L100" s="211"/>
      <c r="M100" s="203" t="s">
        <v>15</v>
      </c>
      <c r="N100" s="204"/>
      <c r="O100" s="203" t="s">
        <v>16</v>
      </c>
      <c r="P100" s="204"/>
      <c r="Q100" s="203" t="s">
        <v>17</v>
      </c>
      <c r="R100" s="204"/>
      <c r="S100" s="5"/>
      <c r="T100" s="5"/>
      <c r="U100" s="5"/>
    </row>
    <row r="101" spans="1:21" ht="15.75" customHeight="1" x14ac:dyDescent="0.25">
      <c r="A101" s="158"/>
      <c r="B101" s="158"/>
      <c r="C101" s="161"/>
      <c r="D101" s="167"/>
      <c r="E101" s="167"/>
      <c r="F101" s="193"/>
      <c r="G101" s="205"/>
      <c r="H101" s="206"/>
      <c r="I101" s="205"/>
      <c r="J101" s="206"/>
      <c r="K101" s="205"/>
      <c r="L101" s="156"/>
      <c r="M101" s="205"/>
      <c r="N101" s="206"/>
      <c r="O101" s="205"/>
      <c r="P101" s="206"/>
      <c r="Q101" s="205"/>
      <c r="R101" s="206"/>
      <c r="S101" s="5"/>
      <c r="T101" s="5"/>
      <c r="U101" s="5"/>
    </row>
    <row r="102" spans="1:21" ht="16.5" thickBot="1" x14ac:dyDescent="0.3">
      <c r="A102" s="158"/>
      <c r="B102" s="158"/>
      <c r="C102" s="162"/>
      <c r="D102" s="167"/>
      <c r="E102" s="167"/>
      <c r="F102" s="193"/>
      <c r="G102" s="207"/>
      <c r="H102" s="208"/>
      <c r="I102" s="207"/>
      <c r="J102" s="208"/>
      <c r="K102" s="207"/>
      <c r="L102" s="212"/>
      <c r="M102" s="207"/>
      <c r="N102" s="208"/>
      <c r="O102" s="207"/>
      <c r="P102" s="208"/>
      <c r="Q102" s="207"/>
      <c r="R102" s="208"/>
      <c r="S102" s="5"/>
      <c r="T102" s="5"/>
      <c r="U102" s="5"/>
    </row>
    <row r="103" spans="1:21" s="119" customFormat="1" ht="32.25" thickBot="1" x14ac:dyDescent="0.3">
      <c r="A103" s="210"/>
      <c r="B103" s="210"/>
      <c r="C103" s="90"/>
      <c r="D103" s="168"/>
      <c r="E103" s="168"/>
      <c r="F103" s="194"/>
      <c r="G103" s="106" t="s">
        <v>76</v>
      </c>
      <c r="H103" s="118" t="s">
        <v>75</v>
      </c>
      <c r="I103" s="106" t="s">
        <v>76</v>
      </c>
      <c r="J103" s="118" t="s">
        <v>75</v>
      </c>
      <c r="K103" s="106" t="s">
        <v>76</v>
      </c>
      <c r="L103" s="118" t="s">
        <v>75</v>
      </c>
      <c r="M103" s="106" t="s">
        <v>76</v>
      </c>
      <c r="N103" s="118" t="s">
        <v>75</v>
      </c>
      <c r="O103" s="106" t="s">
        <v>76</v>
      </c>
      <c r="P103" s="118" t="s">
        <v>75</v>
      </c>
      <c r="Q103" s="106" t="s">
        <v>76</v>
      </c>
      <c r="R103" s="118" t="s">
        <v>75</v>
      </c>
    </row>
    <row r="104" spans="1:21" s="6" customFormat="1" x14ac:dyDescent="0.25">
      <c r="A104" s="220" t="s">
        <v>71</v>
      </c>
      <c r="B104" s="180">
        <v>25</v>
      </c>
      <c r="C104" s="183">
        <v>2015</v>
      </c>
      <c r="D104" s="186">
        <v>38.22</v>
      </c>
      <c r="E104" s="186">
        <v>38.229999999999997</v>
      </c>
      <c r="F104" s="14" t="s">
        <v>24</v>
      </c>
      <c r="G104" s="112"/>
      <c r="H104" s="111"/>
      <c r="I104" s="112"/>
      <c r="J104" s="111"/>
      <c r="K104" s="112">
        <v>1</v>
      </c>
      <c r="L104" s="111">
        <v>1</v>
      </c>
      <c r="M104" s="112"/>
      <c r="N104" s="111"/>
      <c r="O104" s="112"/>
      <c r="P104" s="111"/>
      <c r="Q104" s="112"/>
      <c r="R104" s="111"/>
    </row>
    <row r="105" spans="1:21" s="6" customFormat="1" x14ac:dyDescent="0.25">
      <c r="A105" s="221"/>
      <c r="B105" s="181"/>
      <c r="C105" s="184"/>
      <c r="D105" s="187"/>
      <c r="E105" s="187"/>
      <c r="F105" s="21" t="s">
        <v>65</v>
      </c>
      <c r="G105" s="101"/>
      <c r="H105" s="102"/>
      <c r="I105" s="101"/>
      <c r="J105" s="102"/>
      <c r="K105" s="101">
        <v>40</v>
      </c>
      <c r="L105" s="102">
        <v>2000</v>
      </c>
      <c r="M105" s="101"/>
      <c r="N105" s="102"/>
      <c r="O105" s="101"/>
      <c r="P105" s="102"/>
      <c r="Q105" s="101"/>
      <c r="R105" s="102"/>
    </row>
    <row r="106" spans="1:21" s="6" customFormat="1" ht="16.5" thickBot="1" x14ac:dyDescent="0.3">
      <c r="A106" s="221"/>
      <c r="B106" s="182"/>
      <c r="C106" s="185"/>
      <c r="D106" s="188"/>
      <c r="E106" s="188"/>
      <c r="F106" s="27" t="s">
        <v>27</v>
      </c>
      <c r="G106" s="103"/>
      <c r="H106" s="104"/>
      <c r="I106" s="103"/>
      <c r="J106" s="104"/>
      <c r="K106" s="103">
        <v>38.22</v>
      </c>
      <c r="L106" s="104">
        <v>38.22</v>
      </c>
      <c r="M106" s="103"/>
      <c r="N106" s="104"/>
      <c r="O106" s="103"/>
      <c r="P106" s="104"/>
      <c r="Q106" s="103"/>
      <c r="R106" s="104"/>
    </row>
    <row r="107" spans="1:21" s="6" customFormat="1" x14ac:dyDescent="0.25">
      <c r="A107" s="221"/>
      <c r="B107" s="189" t="s">
        <v>35</v>
      </c>
      <c r="C107" s="183">
        <v>2015</v>
      </c>
      <c r="D107" s="186">
        <v>22.72</v>
      </c>
      <c r="E107" s="186">
        <v>22.72</v>
      </c>
      <c r="F107" s="14" t="s">
        <v>24</v>
      </c>
      <c r="G107" s="112"/>
      <c r="H107" s="111"/>
      <c r="I107" s="112"/>
      <c r="J107" s="111"/>
      <c r="K107" s="112">
        <v>1</v>
      </c>
      <c r="L107" s="111">
        <v>1</v>
      </c>
      <c r="M107" s="112"/>
      <c r="N107" s="111"/>
      <c r="O107" s="112"/>
      <c r="P107" s="111"/>
      <c r="Q107" s="112">
        <v>2</v>
      </c>
      <c r="R107" s="111">
        <v>2</v>
      </c>
    </row>
    <row r="108" spans="1:21" s="6" customFormat="1" x14ac:dyDescent="0.25">
      <c r="A108" s="221"/>
      <c r="B108" s="190"/>
      <c r="C108" s="184"/>
      <c r="D108" s="187"/>
      <c r="E108" s="187"/>
      <c r="F108" s="21" t="s">
        <v>65</v>
      </c>
      <c r="G108" s="101"/>
      <c r="H108" s="102"/>
      <c r="I108" s="101"/>
      <c r="J108" s="102"/>
      <c r="K108" s="101">
        <v>20</v>
      </c>
      <c r="L108" s="102">
        <v>1000</v>
      </c>
      <c r="M108" s="101"/>
      <c r="N108" s="102"/>
      <c r="O108" s="101"/>
      <c r="P108" s="102"/>
      <c r="Q108" s="101">
        <v>20</v>
      </c>
      <c r="R108" s="102">
        <v>1000</v>
      </c>
    </row>
    <row r="109" spans="1:21" s="6" customFormat="1" ht="16.5" thickBot="1" x14ac:dyDescent="0.3">
      <c r="A109" s="221"/>
      <c r="B109" s="191"/>
      <c r="C109" s="185"/>
      <c r="D109" s="188"/>
      <c r="E109" s="188"/>
      <c r="F109" s="27" t="s">
        <v>27</v>
      </c>
      <c r="G109" s="103"/>
      <c r="H109" s="104"/>
      <c r="I109" s="103"/>
      <c r="J109" s="104"/>
      <c r="K109" s="103">
        <v>22.72</v>
      </c>
      <c r="L109" s="104">
        <v>22.72</v>
      </c>
      <c r="M109" s="103"/>
      <c r="N109" s="104"/>
      <c r="O109" s="103"/>
      <c r="P109" s="104"/>
      <c r="Q109" s="103">
        <v>22.72</v>
      </c>
      <c r="R109" s="104">
        <v>22.72</v>
      </c>
    </row>
    <row r="110" spans="1:21" s="6" customFormat="1" ht="16.5" customHeight="1" x14ac:dyDescent="0.25">
      <c r="A110" s="221"/>
      <c r="B110" s="189" t="s">
        <v>36</v>
      </c>
      <c r="C110" s="183">
        <v>2015</v>
      </c>
      <c r="D110" s="186">
        <v>0</v>
      </c>
      <c r="E110" s="13"/>
      <c r="F110" s="14" t="s">
        <v>24</v>
      </c>
      <c r="G110" s="112"/>
      <c r="H110" s="111"/>
      <c r="I110" s="112"/>
      <c r="J110" s="111"/>
      <c r="K110" s="112"/>
      <c r="L110" s="111"/>
      <c r="M110" s="112"/>
      <c r="N110" s="111"/>
      <c r="O110" s="112"/>
      <c r="P110" s="111"/>
      <c r="Q110" s="112"/>
      <c r="R110" s="111"/>
    </row>
    <row r="111" spans="1:21" s="6" customFormat="1" ht="16.5" customHeight="1" x14ac:dyDescent="0.25">
      <c r="A111" s="221"/>
      <c r="B111" s="190"/>
      <c r="C111" s="184"/>
      <c r="D111" s="187"/>
      <c r="E111" s="20"/>
      <c r="F111" s="21" t="s">
        <v>65</v>
      </c>
      <c r="G111" s="101"/>
      <c r="H111" s="102"/>
      <c r="I111" s="101"/>
      <c r="J111" s="102"/>
      <c r="K111" s="101"/>
      <c r="L111" s="102"/>
      <c r="M111" s="101"/>
      <c r="N111" s="102"/>
      <c r="O111" s="101"/>
      <c r="P111" s="102"/>
      <c r="Q111" s="101"/>
      <c r="R111" s="102"/>
    </row>
    <row r="112" spans="1:21" s="6" customFormat="1" ht="16.5" customHeight="1" thickBot="1" x14ac:dyDescent="0.3">
      <c r="A112" s="221"/>
      <c r="B112" s="191"/>
      <c r="C112" s="185"/>
      <c r="D112" s="188"/>
      <c r="E112" s="26"/>
      <c r="F112" s="27" t="s">
        <v>27</v>
      </c>
      <c r="G112" s="103"/>
      <c r="H112" s="104"/>
      <c r="I112" s="103"/>
      <c r="J112" s="104"/>
      <c r="K112" s="103"/>
      <c r="L112" s="104"/>
      <c r="M112" s="103"/>
      <c r="N112" s="104"/>
      <c r="O112" s="103"/>
      <c r="P112" s="104"/>
      <c r="Q112" s="103"/>
      <c r="R112" s="104"/>
    </row>
    <row r="113" spans="1:18" s="6" customFormat="1" x14ac:dyDescent="0.25">
      <c r="A113" s="221"/>
      <c r="B113" s="189">
        <v>27</v>
      </c>
      <c r="C113" s="183">
        <v>2015</v>
      </c>
      <c r="D113" s="186">
        <v>18.64</v>
      </c>
      <c r="E113" s="186">
        <v>14.3</v>
      </c>
      <c r="F113" s="14" t="s">
        <v>24</v>
      </c>
      <c r="G113" s="112"/>
      <c r="H113" s="111"/>
      <c r="I113" s="112">
        <v>1</v>
      </c>
      <c r="J113" s="111">
        <v>1</v>
      </c>
      <c r="K113" s="112"/>
      <c r="L113" s="111"/>
      <c r="M113" s="112"/>
      <c r="N113" s="111"/>
      <c r="O113" s="112">
        <v>2</v>
      </c>
      <c r="P113" s="111">
        <v>2</v>
      </c>
      <c r="Q113" s="112"/>
      <c r="R113" s="111"/>
    </row>
    <row r="114" spans="1:18" s="6" customFormat="1" x14ac:dyDescent="0.25">
      <c r="A114" s="221"/>
      <c r="B114" s="190"/>
      <c r="C114" s="184"/>
      <c r="D114" s="187"/>
      <c r="E114" s="187"/>
      <c r="F114" s="21" t="s">
        <v>65</v>
      </c>
      <c r="G114" s="101"/>
      <c r="H114" s="102"/>
      <c r="I114" s="101">
        <v>20</v>
      </c>
      <c r="J114" s="102">
        <v>1000</v>
      </c>
      <c r="K114" s="101"/>
      <c r="L114" s="102"/>
      <c r="M114" s="101"/>
      <c r="N114" s="102"/>
      <c r="O114" s="101">
        <v>20</v>
      </c>
      <c r="P114" s="102">
        <v>1000</v>
      </c>
      <c r="Q114" s="101"/>
      <c r="R114" s="102"/>
    </row>
    <row r="115" spans="1:18" s="6" customFormat="1" ht="16.5" thickBot="1" x14ac:dyDescent="0.3">
      <c r="A115" s="221"/>
      <c r="B115" s="191"/>
      <c r="C115" s="185"/>
      <c r="D115" s="188"/>
      <c r="E115" s="188"/>
      <c r="F115" s="27" t="s">
        <v>27</v>
      </c>
      <c r="G115" s="103"/>
      <c r="H115" s="104"/>
      <c r="I115" s="103">
        <v>18.64</v>
      </c>
      <c r="J115" s="104">
        <v>18.64</v>
      </c>
      <c r="K115" s="103"/>
      <c r="L115" s="104"/>
      <c r="M115" s="103"/>
      <c r="N115" s="104"/>
      <c r="O115" s="103">
        <v>18.64</v>
      </c>
      <c r="P115" s="104">
        <v>18.64</v>
      </c>
      <c r="Q115" s="103"/>
      <c r="R115" s="104"/>
    </row>
    <row r="116" spans="1:18" s="6" customFormat="1" x14ac:dyDescent="0.25">
      <c r="A116" s="221"/>
      <c r="B116" s="189">
        <v>28</v>
      </c>
      <c r="C116" s="183">
        <v>2015</v>
      </c>
      <c r="D116" s="186">
        <v>25.5</v>
      </c>
      <c r="E116" s="186">
        <v>21.94</v>
      </c>
      <c r="F116" s="14" t="s">
        <v>24</v>
      </c>
      <c r="G116" s="112"/>
      <c r="H116" s="111"/>
      <c r="I116" s="112"/>
      <c r="J116" s="111"/>
      <c r="K116" s="112"/>
      <c r="L116" s="111"/>
      <c r="M116" s="112">
        <v>1</v>
      </c>
      <c r="N116" s="111">
        <v>1</v>
      </c>
      <c r="O116" s="112"/>
      <c r="P116" s="111"/>
      <c r="Q116" s="112">
        <v>2</v>
      </c>
      <c r="R116" s="111">
        <v>2</v>
      </c>
    </row>
    <row r="117" spans="1:18" s="6" customFormat="1" x14ac:dyDescent="0.25">
      <c r="A117" s="221"/>
      <c r="B117" s="190"/>
      <c r="C117" s="184"/>
      <c r="D117" s="187"/>
      <c r="E117" s="187"/>
      <c r="F117" s="21" t="s">
        <v>65</v>
      </c>
      <c r="G117" s="101"/>
      <c r="H117" s="102"/>
      <c r="I117" s="101"/>
      <c r="J117" s="102"/>
      <c r="K117" s="101"/>
      <c r="L117" s="102"/>
      <c r="M117" s="101">
        <v>20</v>
      </c>
      <c r="N117" s="102">
        <v>1000</v>
      </c>
      <c r="O117" s="101"/>
      <c r="P117" s="102"/>
      <c r="Q117" s="101">
        <v>20</v>
      </c>
      <c r="R117" s="102">
        <v>1000</v>
      </c>
    </row>
    <row r="118" spans="1:18" s="6" customFormat="1" ht="16.5" thickBot="1" x14ac:dyDescent="0.3">
      <c r="A118" s="221"/>
      <c r="B118" s="191"/>
      <c r="C118" s="185"/>
      <c r="D118" s="188"/>
      <c r="E118" s="188"/>
      <c r="F118" s="27" t="s">
        <v>27</v>
      </c>
      <c r="G118" s="103"/>
      <c r="H118" s="104"/>
      <c r="I118" s="103"/>
      <c r="J118" s="104"/>
      <c r="K118" s="103"/>
      <c r="L118" s="104"/>
      <c r="M118" s="103">
        <v>25.5</v>
      </c>
      <c r="N118" s="104">
        <v>25.5</v>
      </c>
      <c r="O118" s="103"/>
      <c r="P118" s="104"/>
      <c r="Q118" s="103">
        <v>25.5</v>
      </c>
      <c r="R118" s="104">
        <v>25.5</v>
      </c>
    </row>
    <row r="119" spans="1:18" s="6" customFormat="1" x14ac:dyDescent="0.25">
      <c r="A119" s="221"/>
      <c r="B119" s="180">
        <v>29</v>
      </c>
      <c r="C119" s="183">
        <v>2015</v>
      </c>
      <c r="D119" s="186">
        <v>11.38</v>
      </c>
      <c r="E119" s="186">
        <v>19.260000000000002</v>
      </c>
      <c r="F119" s="14" t="s">
        <v>24</v>
      </c>
      <c r="G119" s="112"/>
      <c r="H119" s="111"/>
      <c r="I119" s="112"/>
      <c r="J119" s="111"/>
      <c r="K119" s="112"/>
      <c r="L119" s="111"/>
      <c r="M119" s="112"/>
      <c r="N119" s="111"/>
      <c r="O119" s="112">
        <v>1</v>
      </c>
      <c r="P119" s="111">
        <v>1</v>
      </c>
      <c r="Q119" s="112"/>
      <c r="R119" s="111"/>
    </row>
    <row r="120" spans="1:18" s="6" customFormat="1" x14ac:dyDescent="0.25">
      <c r="A120" s="221"/>
      <c r="B120" s="181"/>
      <c r="C120" s="184"/>
      <c r="D120" s="187"/>
      <c r="E120" s="187"/>
      <c r="F120" s="21" t="s">
        <v>65</v>
      </c>
      <c r="G120" s="101"/>
      <c r="H120" s="102"/>
      <c r="I120" s="101"/>
      <c r="J120" s="102"/>
      <c r="K120" s="101"/>
      <c r="L120" s="102"/>
      <c r="M120" s="101"/>
      <c r="N120" s="102"/>
      <c r="O120" s="101">
        <v>20</v>
      </c>
      <c r="P120" s="102">
        <v>1000</v>
      </c>
      <c r="Q120" s="101"/>
      <c r="R120" s="102"/>
    </row>
    <row r="121" spans="1:18" s="6" customFormat="1" ht="16.5" thickBot="1" x14ac:dyDescent="0.3">
      <c r="A121" s="221"/>
      <c r="B121" s="182"/>
      <c r="C121" s="185"/>
      <c r="D121" s="188"/>
      <c r="E121" s="188"/>
      <c r="F121" s="27" t="s">
        <v>27</v>
      </c>
      <c r="G121" s="103"/>
      <c r="H121" s="104"/>
      <c r="I121" s="103"/>
      <c r="J121" s="104"/>
      <c r="K121" s="103"/>
      <c r="L121" s="104"/>
      <c r="M121" s="103"/>
      <c r="N121" s="104"/>
      <c r="O121" s="103">
        <v>11.38</v>
      </c>
      <c r="P121" s="104">
        <v>11.38</v>
      </c>
      <c r="Q121" s="103"/>
      <c r="R121" s="104"/>
    </row>
    <row r="122" spans="1:18" s="6" customFormat="1" x14ac:dyDescent="0.25">
      <c r="A122" s="221"/>
      <c r="B122" s="189">
        <v>30</v>
      </c>
      <c r="C122" s="183">
        <v>2015</v>
      </c>
      <c r="D122" s="186">
        <v>24.35</v>
      </c>
      <c r="E122" s="186">
        <v>24.3</v>
      </c>
      <c r="F122" s="14" t="s">
        <v>24</v>
      </c>
      <c r="G122" s="112"/>
      <c r="H122" s="111"/>
      <c r="I122" s="112"/>
      <c r="J122" s="111"/>
      <c r="K122" s="112"/>
      <c r="L122" s="111"/>
      <c r="M122" s="112"/>
      <c r="N122" s="111"/>
      <c r="O122" s="112">
        <v>1</v>
      </c>
      <c r="P122" s="111">
        <v>1</v>
      </c>
      <c r="Q122" s="112"/>
      <c r="R122" s="111"/>
    </row>
    <row r="123" spans="1:18" s="6" customFormat="1" x14ac:dyDescent="0.25">
      <c r="A123" s="221"/>
      <c r="B123" s="190"/>
      <c r="C123" s="184"/>
      <c r="D123" s="187"/>
      <c r="E123" s="187"/>
      <c r="F123" s="21" t="s">
        <v>65</v>
      </c>
      <c r="G123" s="101"/>
      <c r="H123" s="102"/>
      <c r="I123" s="101"/>
      <c r="J123" s="102"/>
      <c r="K123" s="101"/>
      <c r="L123" s="102"/>
      <c r="M123" s="101"/>
      <c r="N123" s="102"/>
      <c r="O123" s="101">
        <v>40</v>
      </c>
      <c r="P123" s="102">
        <v>2000</v>
      </c>
      <c r="Q123" s="101"/>
      <c r="R123" s="102"/>
    </row>
    <row r="124" spans="1:18" s="6" customFormat="1" ht="16.5" thickBot="1" x14ac:dyDescent="0.3">
      <c r="A124" s="221"/>
      <c r="B124" s="191"/>
      <c r="C124" s="185"/>
      <c r="D124" s="188"/>
      <c r="E124" s="188"/>
      <c r="F124" s="27" t="s">
        <v>27</v>
      </c>
      <c r="G124" s="103"/>
      <c r="H124" s="104"/>
      <c r="I124" s="103"/>
      <c r="J124" s="104"/>
      <c r="K124" s="103"/>
      <c r="L124" s="104"/>
      <c r="M124" s="103"/>
      <c r="N124" s="104"/>
      <c r="O124" s="103">
        <v>24.35</v>
      </c>
      <c r="P124" s="104">
        <v>24.35</v>
      </c>
      <c r="Q124" s="103"/>
      <c r="R124" s="104"/>
    </row>
    <row r="125" spans="1:18" s="6" customFormat="1" x14ac:dyDescent="0.25">
      <c r="A125" s="221"/>
      <c r="B125" s="189">
        <v>31</v>
      </c>
      <c r="C125" s="183">
        <v>2015</v>
      </c>
      <c r="D125" s="186">
        <v>34.08</v>
      </c>
      <c r="E125" s="186">
        <v>34.020000000000003</v>
      </c>
      <c r="F125" s="14" t="s">
        <v>24</v>
      </c>
      <c r="G125" s="112"/>
      <c r="H125" s="111"/>
      <c r="I125" s="112"/>
      <c r="J125" s="111"/>
      <c r="K125" s="112"/>
      <c r="L125" s="111"/>
      <c r="M125" s="112">
        <v>1</v>
      </c>
      <c r="N125" s="111">
        <v>1</v>
      </c>
      <c r="O125" s="112"/>
      <c r="P125" s="111"/>
      <c r="Q125" s="112"/>
      <c r="R125" s="111"/>
    </row>
    <row r="126" spans="1:18" s="6" customFormat="1" x14ac:dyDescent="0.25">
      <c r="A126" s="221"/>
      <c r="B126" s="190"/>
      <c r="C126" s="184"/>
      <c r="D126" s="187"/>
      <c r="E126" s="187"/>
      <c r="F126" s="21" t="s">
        <v>65</v>
      </c>
      <c r="G126" s="101"/>
      <c r="H126" s="102"/>
      <c r="I126" s="101"/>
      <c r="J126" s="102"/>
      <c r="K126" s="101"/>
      <c r="L126" s="102"/>
      <c r="M126" s="101">
        <v>40</v>
      </c>
      <c r="N126" s="102">
        <v>2000</v>
      </c>
      <c r="O126" s="101"/>
      <c r="P126" s="102"/>
      <c r="Q126" s="101"/>
      <c r="R126" s="102"/>
    </row>
    <row r="127" spans="1:18" s="6" customFormat="1" ht="16.5" thickBot="1" x14ac:dyDescent="0.3">
      <c r="A127" s="221"/>
      <c r="B127" s="191"/>
      <c r="C127" s="185"/>
      <c r="D127" s="188"/>
      <c r="E127" s="188"/>
      <c r="F127" s="27" t="s">
        <v>27</v>
      </c>
      <c r="G127" s="103"/>
      <c r="H127" s="104"/>
      <c r="I127" s="103"/>
      <c r="J127" s="104"/>
      <c r="K127" s="103"/>
      <c r="L127" s="104"/>
      <c r="M127" s="103">
        <v>34.08</v>
      </c>
      <c r="N127" s="104">
        <v>34.08</v>
      </c>
      <c r="O127" s="103"/>
      <c r="P127" s="104"/>
      <c r="Q127" s="103"/>
      <c r="R127" s="104"/>
    </row>
    <row r="128" spans="1:18" s="6" customFormat="1" ht="16.5" customHeight="1" x14ac:dyDescent="0.25">
      <c r="A128" s="221"/>
      <c r="B128" s="189">
        <v>32</v>
      </c>
      <c r="C128" s="183">
        <v>2015</v>
      </c>
      <c r="D128" s="186">
        <v>0</v>
      </c>
      <c r="E128" s="186"/>
      <c r="F128" s="14" t="s">
        <v>24</v>
      </c>
      <c r="G128" s="112"/>
      <c r="H128" s="111"/>
      <c r="I128" s="112"/>
      <c r="J128" s="111"/>
      <c r="K128" s="112"/>
      <c r="L128" s="111"/>
      <c r="M128" s="112"/>
      <c r="N128" s="111"/>
      <c r="O128" s="112"/>
      <c r="P128" s="111"/>
      <c r="Q128" s="112"/>
      <c r="R128" s="111"/>
    </row>
    <row r="129" spans="1:21" s="6" customFormat="1" ht="16.5" customHeight="1" x14ac:dyDescent="0.25">
      <c r="A129" s="221"/>
      <c r="B129" s="190"/>
      <c r="C129" s="184"/>
      <c r="D129" s="187"/>
      <c r="E129" s="187"/>
      <c r="F129" s="21" t="s">
        <v>65</v>
      </c>
      <c r="G129" s="101"/>
      <c r="H129" s="102"/>
      <c r="I129" s="101"/>
      <c r="J129" s="102"/>
      <c r="K129" s="101"/>
      <c r="L129" s="102"/>
      <c r="M129" s="101"/>
      <c r="N129" s="102"/>
      <c r="O129" s="101"/>
      <c r="P129" s="102"/>
      <c r="Q129" s="101"/>
      <c r="R129" s="102"/>
    </row>
    <row r="130" spans="1:21" s="6" customFormat="1" ht="16.5" customHeight="1" thickBot="1" x14ac:dyDescent="0.3">
      <c r="A130" s="221"/>
      <c r="B130" s="191"/>
      <c r="C130" s="185"/>
      <c r="D130" s="188"/>
      <c r="E130" s="188"/>
      <c r="F130" s="27" t="s">
        <v>27</v>
      </c>
      <c r="G130" s="113"/>
      <c r="H130" s="123"/>
      <c r="I130" s="113"/>
      <c r="J130" s="123"/>
      <c r="K130" s="113"/>
      <c r="L130" s="123"/>
      <c r="M130" s="113"/>
      <c r="N130" s="123"/>
      <c r="O130" s="113"/>
      <c r="P130" s="123"/>
      <c r="Q130" s="113"/>
      <c r="R130" s="123"/>
    </row>
    <row r="131" spans="1:21" ht="16.5" thickBot="1" x14ac:dyDescent="0.3">
      <c r="A131" s="221"/>
      <c r="B131" s="227" t="s">
        <v>29</v>
      </c>
      <c r="C131" s="228"/>
      <c r="D131" s="225">
        <f>SUM(D104:D130)</f>
        <v>174.89</v>
      </c>
      <c r="E131" s="225">
        <f>SUM(E104:E127)</f>
        <v>174.77</v>
      </c>
      <c r="F131" s="125" t="s">
        <v>65</v>
      </c>
      <c r="G131" s="47">
        <f t="shared" ref="G131:R131" si="6">G105+G108+G111+G114+G117+G120+G123+G126+G129</f>
        <v>0</v>
      </c>
      <c r="H131" s="49">
        <f t="shared" si="6"/>
        <v>0</v>
      </c>
      <c r="I131" s="47">
        <f t="shared" si="6"/>
        <v>20</v>
      </c>
      <c r="J131" s="49">
        <f t="shared" si="6"/>
        <v>1000</v>
      </c>
      <c r="K131" s="47">
        <f t="shared" si="6"/>
        <v>60</v>
      </c>
      <c r="L131" s="49">
        <f t="shared" si="6"/>
        <v>3000</v>
      </c>
      <c r="M131" s="47">
        <f t="shared" si="6"/>
        <v>60</v>
      </c>
      <c r="N131" s="49">
        <f t="shared" si="6"/>
        <v>3000</v>
      </c>
      <c r="O131" s="47">
        <f t="shared" si="6"/>
        <v>80</v>
      </c>
      <c r="P131" s="49">
        <f t="shared" si="6"/>
        <v>4000</v>
      </c>
      <c r="Q131" s="47">
        <f t="shared" si="6"/>
        <v>40</v>
      </c>
      <c r="R131" s="49">
        <f t="shared" si="6"/>
        <v>2000</v>
      </c>
      <c r="S131" s="5"/>
      <c r="T131" s="5"/>
      <c r="U131" s="5"/>
    </row>
    <row r="132" spans="1:21" ht="16.5" thickBot="1" x14ac:dyDescent="0.3">
      <c r="A132" s="222"/>
      <c r="B132" s="229"/>
      <c r="C132" s="230"/>
      <c r="D132" s="226"/>
      <c r="E132" s="226"/>
      <c r="F132" s="46" t="s">
        <v>27</v>
      </c>
      <c r="G132" s="47">
        <f t="shared" ref="G132:R132" si="7">G106+G109+G112+G115+G118+G121+G124+G127+G130</f>
        <v>0</v>
      </c>
      <c r="H132" s="49">
        <f t="shared" si="7"/>
        <v>0</v>
      </c>
      <c r="I132" s="47">
        <f t="shared" si="7"/>
        <v>18.64</v>
      </c>
      <c r="J132" s="49">
        <f t="shared" si="7"/>
        <v>18.64</v>
      </c>
      <c r="K132" s="47">
        <f t="shared" si="7"/>
        <v>60.94</v>
      </c>
      <c r="L132" s="49">
        <f t="shared" si="7"/>
        <v>60.94</v>
      </c>
      <c r="M132" s="47">
        <f t="shared" si="7"/>
        <v>59.58</v>
      </c>
      <c r="N132" s="49">
        <f t="shared" si="7"/>
        <v>59.58</v>
      </c>
      <c r="O132" s="47">
        <f t="shared" si="7"/>
        <v>54.370000000000005</v>
      </c>
      <c r="P132" s="49">
        <f t="shared" si="7"/>
        <v>54.370000000000005</v>
      </c>
      <c r="Q132" s="47">
        <f t="shared" si="7"/>
        <v>48.22</v>
      </c>
      <c r="R132" s="49">
        <f t="shared" si="7"/>
        <v>48.22</v>
      </c>
      <c r="S132" s="5"/>
      <c r="T132" s="5"/>
      <c r="U132" s="5"/>
    </row>
    <row r="133" spans="1:21" ht="16.5" thickBot="1" x14ac:dyDescent="0.3">
      <c r="A133" s="146" t="s">
        <v>78</v>
      </c>
    </row>
    <row r="134" spans="1:21" ht="15.75" customHeight="1" x14ac:dyDescent="0.25">
      <c r="A134" s="209" t="s">
        <v>67</v>
      </c>
      <c r="B134" s="209" t="s">
        <v>7</v>
      </c>
      <c r="C134" s="160" t="s">
        <v>8</v>
      </c>
      <c r="D134" s="166" t="s">
        <v>9</v>
      </c>
      <c r="E134" s="166" t="s">
        <v>10</v>
      </c>
      <c r="F134" s="169" t="s">
        <v>11</v>
      </c>
      <c r="G134" s="203" t="s">
        <v>12</v>
      </c>
      <c r="H134" s="204"/>
      <c r="I134" s="203" t="s">
        <v>13</v>
      </c>
      <c r="J134" s="204"/>
      <c r="K134" s="203" t="s">
        <v>14</v>
      </c>
      <c r="L134" s="211"/>
      <c r="M134" s="203" t="s">
        <v>15</v>
      </c>
      <c r="N134" s="204"/>
      <c r="O134" s="203" t="s">
        <v>16</v>
      </c>
      <c r="P134" s="204"/>
      <c r="Q134" s="203" t="s">
        <v>17</v>
      </c>
      <c r="R134" s="204"/>
      <c r="S134" s="5"/>
      <c r="T134" s="5"/>
      <c r="U134" s="5"/>
    </row>
    <row r="135" spans="1:21" ht="15.75" customHeight="1" x14ac:dyDescent="0.25">
      <c r="A135" s="158"/>
      <c r="B135" s="158"/>
      <c r="C135" s="161"/>
      <c r="D135" s="167"/>
      <c r="E135" s="167"/>
      <c r="F135" s="193"/>
      <c r="G135" s="205"/>
      <c r="H135" s="206"/>
      <c r="I135" s="205"/>
      <c r="J135" s="206"/>
      <c r="K135" s="205"/>
      <c r="L135" s="156"/>
      <c r="M135" s="205"/>
      <c r="N135" s="206"/>
      <c r="O135" s="205"/>
      <c r="P135" s="206"/>
      <c r="Q135" s="205"/>
      <c r="R135" s="206"/>
      <c r="S135" s="5"/>
      <c r="T135" s="5"/>
      <c r="U135" s="5"/>
    </row>
    <row r="136" spans="1:21" ht="16.5" thickBot="1" x14ac:dyDescent="0.3">
      <c r="A136" s="158"/>
      <c r="B136" s="158"/>
      <c r="C136" s="162"/>
      <c r="D136" s="167"/>
      <c r="E136" s="167"/>
      <c r="F136" s="193"/>
      <c r="G136" s="207"/>
      <c r="H136" s="208"/>
      <c r="I136" s="207"/>
      <c r="J136" s="208"/>
      <c r="K136" s="207"/>
      <c r="L136" s="212"/>
      <c r="M136" s="207"/>
      <c r="N136" s="208"/>
      <c r="O136" s="207"/>
      <c r="P136" s="208"/>
      <c r="Q136" s="207"/>
      <c r="R136" s="208"/>
      <c r="S136" s="5"/>
      <c r="T136" s="5"/>
      <c r="U136" s="5"/>
    </row>
    <row r="137" spans="1:21" s="119" customFormat="1" ht="32.25" thickBot="1" x14ac:dyDescent="0.3">
      <c r="A137" s="210"/>
      <c r="B137" s="210"/>
      <c r="C137" s="90"/>
      <c r="D137" s="168"/>
      <c r="E137" s="168"/>
      <c r="F137" s="194"/>
      <c r="G137" s="106" t="s">
        <v>76</v>
      </c>
      <c r="H137" s="118" t="s">
        <v>75</v>
      </c>
      <c r="I137" s="106" t="s">
        <v>76</v>
      </c>
      <c r="J137" s="118" t="s">
        <v>75</v>
      </c>
      <c r="K137" s="106" t="s">
        <v>76</v>
      </c>
      <c r="L137" s="118" t="s">
        <v>75</v>
      </c>
      <c r="M137" s="106" t="s">
        <v>76</v>
      </c>
      <c r="N137" s="118" t="s">
        <v>75</v>
      </c>
      <c r="O137" s="106" t="s">
        <v>76</v>
      </c>
      <c r="P137" s="118" t="s">
        <v>75</v>
      </c>
      <c r="Q137" s="106" t="s">
        <v>76</v>
      </c>
      <c r="R137" s="118" t="s">
        <v>75</v>
      </c>
    </row>
    <row r="138" spans="1:21" x14ac:dyDescent="0.25">
      <c r="A138" s="213" t="s">
        <v>72</v>
      </c>
      <c r="B138" s="180">
        <v>33</v>
      </c>
      <c r="C138" s="183">
        <v>2016</v>
      </c>
      <c r="D138" s="186">
        <v>28.72</v>
      </c>
      <c r="E138" s="186">
        <v>28.42</v>
      </c>
      <c r="F138" s="14" t="s">
        <v>24</v>
      </c>
      <c r="G138" s="112"/>
      <c r="H138" s="111"/>
      <c r="I138" s="112"/>
      <c r="J138" s="111"/>
      <c r="K138" s="112"/>
      <c r="L138" s="111"/>
      <c r="M138" s="112">
        <v>1</v>
      </c>
      <c r="N138" s="111">
        <v>1</v>
      </c>
      <c r="O138" s="112"/>
      <c r="P138" s="111"/>
      <c r="Q138" s="112">
        <v>2</v>
      </c>
      <c r="R138" s="111">
        <v>2</v>
      </c>
      <c r="S138" s="5"/>
      <c r="T138" s="5"/>
      <c r="U138" s="5"/>
    </row>
    <row r="139" spans="1:21" x14ac:dyDescent="0.25">
      <c r="A139" s="214"/>
      <c r="B139" s="181"/>
      <c r="C139" s="184"/>
      <c r="D139" s="187"/>
      <c r="E139" s="187"/>
      <c r="F139" s="21" t="s">
        <v>65</v>
      </c>
      <c r="G139" s="101"/>
      <c r="H139" s="102"/>
      <c r="I139" s="101"/>
      <c r="J139" s="102"/>
      <c r="K139" s="101"/>
      <c r="L139" s="102"/>
      <c r="M139" s="101">
        <v>20</v>
      </c>
      <c r="N139" s="102">
        <v>1000</v>
      </c>
      <c r="O139" s="101"/>
      <c r="P139" s="102"/>
      <c r="Q139" s="101">
        <v>20</v>
      </c>
      <c r="R139" s="102">
        <v>1000</v>
      </c>
      <c r="S139" s="5"/>
      <c r="T139" s="5"/>
      <c r="U139" s="5"/>
    </row>
    <row r="140" spans="1:21" ht="16.5" thickBot="1" x14ac:dyDescent="0.3">
      <c r="A140" s="214"/>
      <c r="B140" s="182"/>
      <c r="C140" s="185"/>
      <c r="D140" s="188"/>
      <c r="E140" s="188"/>
      <c r="F140" s="27" t="s">
        <v>27</v>
      </c>
      <c r="G140" s="103"/>
      <c r="H140" s="104"/>
      <c r="I140" s="103"/>
      <c r="J140" s="104"/>
      <c r="K140" s="103"/>
      <c r="L140" s="104"/>
      <c r="M140" s="103">
        <v>28.72</v>
      </c>
      <c r="N140" s="104">
        <v>28.72</v>
      </c>
      <c r="O140" s="103"/>
      <c r="P140" s="104"/>
      <c r="Q140" s="103">
        <v>28.72</v>
      </c>
      <c r="R140" s="104">
        <v>28.72</v>
      </c>
      <c r="S140" s="5"/>
      <c r="T140" s="5"/>
      <c r="U140" s="5"/>
    </row>
    <row r="141" spans="1:21" x14ac:dyDescent="0.25">
      <c r="A141" s="214"/>
      <c r="B141" s="189">
        <v>39</v>
      </c>
      <c r="C141" s="183">
        <v>2016</v>
      </c>
      <c r="D141" s="186">
        <v>4.5</v>
      </c>
      <c r="E141" s="186">
        <v>4.5</v>
      </c>
      <c r="F141" s="14" t="s">
        <v>24</v>
      </c>
      <c r="G141" s="112"/>
      <c r="H141" s="111"/>
      <c r="I141" s="112"/>
      <c r="J141" s="111"/>
      <c r="K141" s="112"/>
      <c r="L141" s="111"/>
      <c r="M141" s="112">
        <v>1</v>
      </c>
      <c r="N141" s="111">
        <v>1</v>
      </c>
      <c r="O141" s="112"/>
      <c r="P141" s="111"/>
      <c r="Q141" s="112">
        <v>2</v>
      </c>
      <c r="R141" s="111">
        <v>2</v>
      </c>
      <c r="S141" s="5"/>
      <c r="T141" s="5"/>
      <c r="U141" s="5"/>
    </row>
    <row r="142" spans="1:21" x14ac:dyDescent="0.25">
      <c r="A142" s="214"/>
      <c r="B142" s="190"/>
      <c r="C142" s="184"/>
      <c r="D142" s="187"/>
      <c r="E142" s="187"/>
      <c r="F142" s="21" t="s">
        <v>65</v>
      </c>
      <c r="G142" s="101"/>
      <c r="H142" s="102"/>
      <c r="I142" s="101"/>
      <c r="J142" s="102"/>
      <c r="K142" s="101"/>
      <c r="L142" s="102"/>
      <c r="M142" s="101">
        <v>7</v>
      </c>
      <c r="N142" s="102">
        <v>333</v>
      </c>
      <c r="O142" s="101"/>
      <c r="P142" s="102"/>
      <c r="Q142" s="101">
        <v>7</v>
      </c>
      <c r="R142" s="102">
        <v>333</v>
      </c>
      <c r="S142" s="5"/>
      <c r="T142" s="5"/>
      <c r="U142" s="5"/>
    </row>
    <row r="143" spans="1:21" ht="16.5" thickBot="1" x14ac:dyDescent="0.3">
      <c r="A143" s="214"/>
      <c r="B143" s="191"/>
      <c r="C143" s="185"/>
      <c r="D143" s="188"/>
      <c r="E143" s="188"/>
      <c r="F143" s="27" t="s">
        <v>27</v>
      </c>
      <c r="G143" s="113"/>
      <c r="H143" s="123"/>
      <c r="I143" s="113"/>
      <c r="J143" s="123"/>
      <c r="K143" s="113"/>
      <c r="L143" s="123"/>
      <c r="M143" s="113">
        <v>4.5</v>
      </c>
      <c r="N143" s="123">
        <v>4.5</v>
      </c>
      <c r="O143" s="113"/>
      <c r="P143" s="123"/>
      <c r="Q143" s="113">
        <v>4.5</v>
      </c>
      <c r="R143" s="123">
        <v>4.5</v>
      </c>
      <c r="S143" s="5"/>
      <c r="T143" s="5"/>
      <c r="U143" s="5"/>
    </row>
    <row r="144" spans="1:21" ht="16.5" thickBot="1" x14ac:dyDescent="0.3">
      <c r="A144" s="214"/>
      <c r="B144" s="231" t="s">
        <v>29</v>
      </c>
      <c r="C144" s="8"/>
      <c r="D144" s="225">
        <f>SUM(D138:D143)</f>
        <v>33.22</v>
      </c>
      <c r="E144" s="225">
        <f>SUM(E138:E143)</f>
        <v>32.92</v>
      </c>
      <c r="F144" s="125" t="s">
        <v>65</v>
      </c>
      <c r="G144" s="47">
        <f t="shared" ref="G144:R144" si="8">G139+G142</f>
        <v>0</v>
      </c>
      <c r="H144" s="49">
        <f t="shared" si="8"/>
        <v>0</v>
      </c>
      <c r="I144" s="47">
        <f t="shared" si="8"/>
        <v>0</v>
      </c>
      <c r="J144" s="49">
        <f t="shared" si="8"/>
        <v>0</v>
      </c>
      <c r="K144" s="47">
        <f t="shared" si="8"/>
        <v>0</v>
      </c>
      <c r="L144" s="49">
        <f t="shared" si="8"/>
        <v>0</v>
      </c>
      <c r="M144" s="47">
        <f t="shared" si="8"/>
        <v>27</v>
      </c>
      <c r="N144" s="49">
        <f t="shared" si="8"/>
        <v>1333</v>
      </c>
      <c r="O144" s="47">
        <f t="shared" si="8"/>
        <v>0</v>
      </c>
      <c r="P144" s="49">
        <f t="shared" si="8"/>
        <v>0</v>
      </c>
      <c r="Q144" s="47">
        <f t="shared" si="8"/>
        <v>27</v>
      </c>
      <c r="R144" s="49">
        <f t="shared" si="8"/>
        <v>1333</v>
      </c>
      <c r="S144" s="5"/>
      <c r="T144" s="5"/>
      <c r="U144" s="5"/>
    </row>
    <row r="145" spans="1:21" ht="16.5" thickBot="1" x14ac:dyDescent="0.3">
      <c r="A145" s="215"/>
      <c r="B145" s="232"/>
      <c r="C145" s="132"/>
      <c r="D145" s="226"/>
      <c r="E145" s="226"/>
      <c r="F145" s="46" t="s">
        <v>27</v>
      </c>
      <c r="G145" s="47">
        <f t="shared" ref="G145:R145" si="9">G140+G143</f>
        <v>0</v>
      </c>
      <c r="H145" s="49">
        <f t="shared" si="9"/>
        <v>0</v>
      </c>
      <c r="I145" s="47">
        <f t="shared" si="9"/>
        <v>0</v>
      </c>
      <c r="J145" s="49">
        <f t="shared" si="9"/>
        <v>0</v>
      </c>
      <c r="K145" s="47">
        <f t="shared" si="9"/>
        <v>0</v>
      </c>
      <c r="L145" s="49">
        <f t="shared" si="9"/>
        <v>0</v>
      </c>
      <c r="M145" s="47">
        <f t="shared" si="9"/>
        <v>33.22</v>
      </c>
      <c r="N145" s="49">
        <f t="shared" si="9"/>
        <v>33.22</v>
      </c>
      <c r="O145" s="47">
        <f t="shared" si="9"/>
        <v>0</v>
      </c>
      <c r="P145" s="49">
        <f t="shared" si="9"/>
        <v>0</v>
      </c>
      <c r="Q145" s="47">
        <f t="shared" si="9"/>
        <v>33.22</v>
      </c>
      <c r="R145" s="49">
        <f t="shared" si="9"/>
        <v>33.22</v>
      </c>
      <c r="S145" s="5"/>
      <c r="T145" s="5"/>
      <c r="U145" s="5"/>
    </row>
    <row r="146" spans="1:21" s="147" customFormat="1" ht="16.5" thickBot="1" x14ac:dyDescent="0.3">
      <c r="A146" s="147" t="s">
        <v>79</v>
      </c>
      <c r="D146" s="148"/>
      <c r="E146" s="14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</row>
    <row r="147" spans="1:21" ht="15.75" customHeight="1" x14ac:dyDescent="0.25">
      <c r="A147" s="209" t="s">
        <v>67</v>
      </c>
      <c r="B147" s="209" t="s">
        <v>7</v>
      </c>
      <c r="C147" s="160" t="s">
        <v>8</v>
      </c>
      <c r="D147" s="166" t="s">
        <v>9</v>
      </c>
      <c r="E147" s="166" t="s">
        <v>10</v>
      </c>
      <c r="F147" s="169" t="s">
        <v>11</v>
      </c>
      <c r="G147" s="203" t="s">
        <v>18</v>
      </c>
      <c r="H147" s="204"/>
      <c r="I147" s="203" t="s">
        <v>19</v>
      </c>
      <c r="J147" s="204"/>
      <c r="K147" s="203" t="s">
        <v>20</v>
      </c>
      <c r="L147" s="204"/>
      <c r="M147" s="203" t="s">
        <v>21</v>
      </c>
      <c r="N147" s="204"/>
      <c r="O147" s="211" t="s">
        <v>22</v>
      </c>
      <c r="P147" s="211"/>
      <c r="Q147" s="203" t="s">
        <v>23</v>
      </c>
      <c r="R147" s="204"/>
      <c r="S147" s="203" t="s">
        <v>66</v>
      </c>
      <c r="T147" s="204"/>
      <c r="U147" s="5"/>
    </row>
    <row r="148" spans="1:21" ht="15.75" customHeight="1" x14ac:dyDescent="0.25">
      <c r="A148" s="158"/>
      <c r="B148" s="158"/>
      <c r="C148" s="161"/>
      <c r="D148" s="167"/>
      <c r="E148" s="167"/>
      <c r="F148" s="193"/>
      <c r="G148" s="205"/>
      <c r="H148" s="206"/>
      <c r="I148" s="205"/>
      <c r="J148" s="206"/>
      <c r="K148" s="205"/>
      <c r="L148" s="206"/>
      <c r="M148" s="205"/>
      <c r="N148" s="206"/>
      <c r="O148" s="156"/>
      <c r="P148" s="156"/>
      <c r="Q148" s="205"/>
      <c r="R148" s="206"/>
      <c r="S148" s="205"/>
      <c r="T148" s="206"/>
      <c r="U148" s="5"/>
    </row>
    <row r="149" spans="1:21" ht="16.5" thickBot="1" x14ac:dyDescent="0.3">
      <c r="A149" s="158"/>
      <c r="B149" s="158"/>
      <c r="C149" s="162"/>
      <c r="D149" s="167"/>
      <c r="E149" s="167"/>
      <c r="F149" s="193"/>
      <c r="G149" s="207"/>
      <c r="H149" s="208"/>
      <c r="I149" s="207"/>
      <c r="J149" s="208"/>
      <c r="K149" s="207"/>
      <c r="L149" s="208"/>
      <c r="M149" s="207"/>
      <c r="N149" s="208"/>
      <c r="O149" s="212"/>
      <c r="P149" s="212"/>
      <c r="Q149" s="207"/>
      <c r="R149" s="208"/>
      <c r="S149" s="207"/>
      <c r="T149" s="208"/>
      <c r="U149" s="5"/>
    </row>
    <row r="150" spans="1:21" s="119" customFormat="1" ht="32.25" thickBot="1" x14ac:dyDescent="0.3">
      <c r="A150" s="210"/>
      <c r="B150" s="210"/>
      <c r="C150" s="90"/>
      <c r="D150" s="168"/>
      <c r="E150" s="168"/>
      <c r="F150" s="194"/>
      <c r="G150" s="106" t="s">
        <v>76</v>
      </c>
      <c r="H150" s="118" t="s">
        <v>75</v>
      </c>
      <c r="I150" s="106" t="s">
        <v>76</v>
      </c>
      <c r="J150" s="118" t="s">
        <v>75</v>
      </c>
      <c r="K150" s="106" t="s">
        <v>76</v>
      </c>
      <c r="L150" s="118" t="s">
        <v>75</v>
      </c>
      <c r="M150" s="106" t="s">
        <v>76</v>
      </c>
      <c r="N150" s="118" t="s">
        <v>75</v>
      </c>
      <c r="O150" s="106" t="s">
        <v>76</v>
      </c>
      <c r="P150" s="118" t="s">
        <v>75</v>
      </c>
      <c r="Q150" s="106" t="s">
        <v>76</v>
      </c>
      <c r="R150" s="118" t="s">
        <v>75</v>
      </c>
      <c r="S150" s="106" t="s">
        <v>76</v>
      </c>
      <c r="T150" s="118" t="s">
        <v>75</v>
      </c>
    </row>
    <row r="151" spans="1:21" x14ac:dyDescent="0.25">
      <c r="A151" s="213" t="s">
        <v>68</v>
      </c>
      <c r="B151" s="180">
        <v>1</v>
      </c>
      <c r="C151" s="183">
        <v>2010</v>
      </c>
      <c r="D151" s="186">
        <v>53.2</v>
      </c>
      <c r="E151" s="186">
        <v>53.09</v>
      </c>
      <c r="F151" s="14" t="s">
        <v>24</v>
      </c>
      <c r="G151" s="115"/>
      <c r="H151" s="116"/>
      <c r="I151" s="115">
        <v>3</v>
      </c>
      <c r="J151" s="116">
        <v>3</v>
      </c>
      <c r="K151" s="115"/>
      <c r="L151" s="116"/>
      <c r="M151" s="115"/>
      <c r="N151" s="116"/>
      <c r="O151" s="115"/>
      <c r="P151" s="116"/>
      <c r="Q151" s="115"/>
      <c r="R151" s="116"/>
      <c r="S151" s="115" cm="1">
        <f t="array" ref="S151">MAX(IF(MOD(COLUMN(G151:R151)-COLUMN(C48),2)=0, G151:R151))</f>
        <v>3</v>
      </c>
      <c r="T151" s="116" cm="1">
        <f t="array" ref="T151">MAX(IF(MOD(COLUMN(G151:R151)-COLUMN(C48),2)=1, G151:R151))</f>
        <v>3</v>
      </c>
      <c r="U151" s="5"/>
    </row>
    <row r="152" spans="1:21" x14ac:dyDescent="0.25">
      <c r="A152" s="214"/>
      <c r="B152" s="181"/>
      <c r="C152" s="184"/>
      <c r="D152" s="187"/>
      <c r="E152" s="187"/>
      <c r="F152" s="21" t="s">
        <v>65</v>
      </c>
      <c r="G152" s="101"/>
      <c r="H152" s="102"/>
      <c r="I152" s="101">
        <v>40</v>
      </c>
      <c r="J152" s="102">
        <v>2000</v>
      </c>
      <c r="K152" s="101"/>
      <c r="L152" s="102"/>
      <c r="M152" s="101"/>
      <c r="N152" s="102"/>
      <c r="O152" s="101"/>
      <c r="P152" s="102"/>
      <c r="Q152" s="101"/>
      <c r="R152" s="102"/>
      <c r="S152" s="101">
        <f>G12+I12+K12+M12+O12+Q12+G152+I152+K152+M152+O152+Q152</f>
        <v>120</v>
      </c>
      <c r="T152" s="102">
        <f>H12+J12+L12+N12+P12+R12+H152+J152+L152+N152+P152+R152</f>
        <v>6000</v>
      </c>
      <c r="U152" s="5"/>
    </row>
    <row r="153" spans="1:21" ht="16.5" thickBot="1" x14ac:dyDescent="0.3">
      <c r="A153" s="214"/>
      <c r="B153" s="182"/>
      <c r="C153" s="185"/>
      <c r="D153" s="188"/>
      <c r="E153" s="188"/>
      <c r="F153" s="27" t="s">
        <v>27</v>
      </c>
      <c r="G153" s="103"/>
      <c r="H153" s="104"/>
      <c r="I153" s="103">
        <v>53.2</v>
      </c>
      <c r="J153" s="104">
        <v>53.2</v>
      </c>
      <c r="K153" s="103"/>
      <c r="L153" s="104"/>
      <c r="M153" s="103"/>
      <c r="N153" s="104"/>
      <c r="O153" s="103"/>
      <c r="P153" s="104"/>
      <c r="Q153" s="103"/>
      <c r="R153" s="104"/>
      <c r="S153" s="103" cm="1">
        <f t="array" ref="S153">MAX(IF(MOD(COLUMN(G153:R153)-COLUMN(C48),2)=0, G153:R153))</f>
        <v>53.2</v>
      </c>
      <c r="T153" s="104" cm="1">
        <f t="array" ref="T153">MAX(IF(MOD(COLUMN(G153:R153)-COLUMN(C48),2)=1, G153:R153))</f>
        <v>53.2</v>
      </c>
      <c r="U153" s="5"/>
    </row>
    <row r="154" spans="1:21" x14ac:dyDescent="0.25">
      <c r="A154" s="214"/>
      <c r="B154" s="189">
        <v>2</v>
      </c>
      <c r="C154" s="183">
        <v>2010</v>
      </c>
      <c r="D154" s="186">
        <v>60.4</v>
      </c>
      <c r="E154" s="186">
        <v>60.27</v>
      </c>
      <c r="F154" s="14" t="s">
        <v>24</v>
      </c>
      <c r="G154" s="112">
        <v>2</v>
      </c>
      <c r="H154" s="35">
        <v>2</v>
      </c>
      <c r="I154" s="112"/>
      <c r="J154" s="35"/>
      <c r="K154" s="112"/>
      <c r="L154" s="35"/>
      <c r="M154" s="112">
        <v>3</v>
      </c>
      <c r="N154" s="35">
        <v>3</v>
      </c>
      <c r="O154" s="112"/>
      <c r="P154" s="35"/>
      <c r="Q154" s="112"/>
      <c r="R154" s="35"/>
      <c r="S154" s="115" cm="1">
        <f t="array" ref="S154">MAX(IF(MOD(COLUMN(G154:R154)-COLUMN(C149),2)=0, G154:R154))</f>
        <v>3</v>
      </c>
      <c r="T154" s="116" cm="1">
        <f t="array" ref="T154">MAX(IF(MOD(COLUMN(G154:R154)-COLUMN(C149),2)=1, G154:R154))</f>
        <v>3</v>
      </c>
      <c r="U154" s="5"/>
    </row>
    <row r="155" spans="1:21" x14ac:dyDescent="0.25">
      <c r="A155" s="214"/>
      <c r="B155" s="190"/>
      <c r="C155" s="184"/>
      <c r="D155" s="187"/>
      <c r="E155" s="187"/>
      <c r="F155" s="21" t="s">
        <v>65</v>
      </c>
      <c r="G155" s="101">
        <v>80</v>
      </c>
      <c r="H155" s="24">
        <v>4000</v>
      </c>
      <c r="I155" s="101"/>
      <c r="J155" s="24"/>
      <c r="K155" s="101"/>
      <c r="L155" s="24"/>
      <c r="M155" s="101">
        <v>80</v>
      </c>
      <c r="N155" s="24">
        <v>4000</v>
      </c>
      <c r="O155" s="101"/>
      <c r="P155" s="24"/>
      <c r="Q155" s="101"/>
      <c r="R155" s="24"/>
      <c r="S155" s="101">
        <f>G15+I15+K15+M15+O15+Q15+G155+I155+K155+M155+O155+Q155</f>
        <v>240</v>
      </c>
      <c r="T155" s="102">
        <f>H15+J15+L15+N15+P15+R15+H155+J155+L155+N155+P155+R155</f>
        <v>12000</v>
      </c>
      <c r="U155" s="8"/>
    </row>
    <row r="156" spans="1:21" ht="16.5" thickBot="1" x14ac:dyDescent="0.3">
      <c r="A156" s="214"/>
      <c r="B156" s="191"/>
      <c r="C156" s="185"/>
      <c r="D156" s="188"/>
      <c r="E156" s="188"/>
      <c r="F156" s="27" t="s">
        <v>27</v>
      </c>
      <c r="G156" s="103">
        <v>60.4</v>
      </c>
      <c r="H156" s="91">
        <v>60.4</v>
      </c>
      <c r="I156" s="103"/>
      <c r="J156" s="91"/>
      <c r="K156" s="103"/>
      <c r="L156" s="91"/>
      <c r="M156" s="103">
        <v>60.27</v>
      </c>
      <c r="N156" s="91">
        <v>60.27</v>
      </c>
      <c r="O156" s="103"/>
      <c r="P156" s="91"/>
      <c r="Q156" s="103"/>
      <c r="R156" s="91"/>
      <c r="S156" s="103" cm="1">
        <f t="array" ref="S156">MAX(IF(MOD(COLUMN(G156:R156)-COLUMN(C149),2)=0, G156:R156))</f>
        <v>60.4</v>
      </c>
      <c r="T156" s="104" cm="1">
        <f t="array" ref="T156">MAX(IF(MOD(COLUMN(G156:R156)-COLUMN(C149),2)=1, G156:R156))</f>
        <v>60.4</v>
      </c>
      <c r="U156" s="8"/>
    </row>
    <row r="157" spans="1:21" x14ac:dyDescent="0.25">
      <c r="A157" s="214"/>
      <c r="B157" s="189">
        <v>3</v>
      </c>
      <c r="C157" s="183">
        <v>2010</v>
      </c>
      <c r="D157" s="186">
        <v>69.2</v>
      </c>
      <c r="E157" s="186">
        <v>69.040000000000006</v>
      </c>
      <c r="F157" s="14" t="s">
        <v>24</v>
      </c>
      <c r="G157" s="112"/>
      <c r="H157" s="111"/>
      <c r="I157" s="112"/>
      <c r="J157" s="111"/>
      <c r="K157" s="112">
        <v>3</v>
      </c>
      <c r="L157" s="111">
        <v>3</v>
      </c>
      <c r="M157" s="112"/>
      <c r="N157" s="111"/>
      <c r="O157" s="112"/>
      <c r="P157" s="111"/>
      <c r="Q157" s="112"/>
      <c r="R157" s="111"/>
      <c r="S157" s="112" cm="1">
        <f t="array" ref="S157">MAX(IF(MOD(COLUMN(G157:R157)-COLUMN(C150),2)=0, G157:R157))</f>
        <v>3</v>
      </c>
      <c r="T157" s="111" cm="1">
        <f t="array" ref="T157">MAX(IF(MOD(COLUMN(G157:R157)-COLUMN(C150),2)=1, G157:R157))</f>
        <v>3</v>
      </c>
      <c r="U157" s="8"/>
    </row>
    <row r="158" spans="1:21" x14ac:dyDescent="0.25">
      <c r="A158" s="214"/>
      <c r="B158" s="190"/>
      <c r="C158" s="184"/>
      <c r="D158" s="187"/>
      <c r="E158" s="187"/>
      <c r="F158" s="21" t="s">
        <v>65</v>
      </c>
      <c r="G158" s="101"/>
      <c r="H158" s="102"/>
      <c r="I158" s="101"/>
      <c r="J158" s="102"/>
      <c r="K158" s="101">
        <v>60</v>
      </c>
      <c r="L158" s="102">
        <v>3000</v>
      </c>
      <c r="M158" s="101"/>
      <c r="N158" s="102"/>
      <c r="O158" s="101"/>
      <c r="P158" s="102"/>
      <c r="Q158" s="101"/>
      <c r="R158" s="102"/>
      <c r="S158" s="101">
        <f>G18+I18+K18+M18+O18+Q18+G158+I158+K158+M158+O158+Q158</f>
        <v>180</v>
      </c>
      <c r="T158" s="102">
        <f>H18+J18+L18+N18+P18+R18+H158+J158+L158+N158+P158+R158</f>
        <v>9000</v>
      </c>
      <c r="U158" s="8"/>
    </row>
    <row r="159" spans="1:21" ht="16.5" thickBot="1" x14ac:dyDescent="0.3">
      <c r="A159" s="214"/>
      <c r="B159" s="191"/>
      <c r="C159" s="185"/>
      <c r="D159" s="188"/>
      <c r="E159" s="188"/>
      <c r="F159" s="27" t="s">
        <v>27</v>
      </c>
      <c r="G159" s="103"/>
      <c r="H159" s="104"/>
      <c r="I159" s="103"/>
      <c r="J159" s="104"/>
      <c r="K159" s="103">
        <v>69.2</v>
      </c>
      <c r="L159" s="104">
        <v>69.2</v>
      </c>
      <c r="M159" s="103"/>
      <c r="N159" s="104"/>
      <c r="O159" s="103"/>
      <c r="P159" s="104"/>
      <c r="Q159" s="103"/>
      <c r="R159" s="104"/>
      <c r="S159" s="103" cm="1">
        <f t="array" ref="S159">MAX(IF(MOD(COLUMN(G159:R159)-COLUMN(C152),2)=0, G159:R159))</f>
        <v>69.2</v>
      </c>
      <c r="T159" s="104" cm="1">
        <f t="array" ref="T159">MAX(IF(MOD(COLUMN(G159:R159)-COLUMN(C152),2)=1, G159:R159))</f>
        <v>69.2</v>
      </c>
      <c r="U159" s="8"/>
    </row>
    <row r="160" spans="1:21" x14ac:dyDescent="0.25">
      <c r="A160" s="214"/>
      <c r="B160" s="189">
        <v>4</v>
      </c>
      <c r="C160" s="183">
        <v>2010</v>
      </c>
      <c r="D160" s="186">
        <v>70.599999999999994</v>
      </c>
      <c r="E160" s="186">
        <v>70.510000000000005</v>
      </c>
      <c r="F160" s="14" t="s">
        <v>24</v>
      </c>
      <c r="G160" s="112"/>
      <c r="H160" s="111"/>
      <c r="I160" s="112"/>
      <c r="J160" s="111"/>
      <c r="K160" s="112">
        <v>3</v>
      </c>
      <c r="L160" s="111">
        <v>3</v>
      </c>
      <c r="M160" s="112"/>
      <c r="N160" s="111"/>
      <c r="O160" s="112"/>
      <c r="P160" s="111"/>
      <c r="Q160" s="112"/>
      <c r="R160" s="111"/>
      <c r="S160" s="112" cm="1">
        <f t="array" ref="S160">MAX(IF(MOD(COLUMN(G160:R160)-COLUMN(C153),2)=0, G160:R160))</f>
        <v>3</v>
      </c>
      <c r="T160" s="111" cm="1">
        <f t="array" ref="T160">MAX(IF(MOD(COLUMN(G160:R160)-COLUMN(C153),2)=1, G160:R160))</f>
        <v>3</v>
      </c>
      <c r="U160" s="8"/>
    </row>
    <row r="161" spans="1:21" x14ac:dyDescent="0.25">
      <c r="A161" s="214"/>
      <c r="B161" s="190"/>
      <c r="C161" s="184"/>
      <c r="D161" s="187"/>
      <c r="E161" s="187"/>
      <c r="F161" s="21" t="s">
        <v>65</v>
      </c>
      <c r="G161" s="101"/>
      <c r="H161" s="102"/>
      <c r="I161" s="101"/>
      <c r="J161" s="102"/>
      <c r="K161" s="101">
        <v>60</v>
      </c>
      <c r="L161" s="102">
        <v>3000</v>
      </c>
      <c r="M161" s="101"/>
      <c r="N161" s="102"/>
      <c r="O161" s="101"/>
      <c r="P161" s="102"/>
      <c r="Q161" s="101"/>
      <c r="R161" s="102"/>
      <c r="S161" s="101">
        <f>G21+I21+K21+M21+O21+Q21+G161+I161+K161+M161+O161+Q161</f>
        <v>180</v>
      </c>
      <c r="T161" s="102">
        <f>H21+J21+L21+N21+P21+R21+H161+J161+L161+N161+P161+R161</f>
        <v>9000</v>
      </c>
      <c r="U161" s="8"/>
    </row>
    <row r="162" spans="1:21" ht="16.5" thickBot="1" x14ac:dyDescent="0.3">
      <c r="A162" s="214"/>
      <c r="B162" s="191"/>
      <c r="C162" s="185"/>
      <c r="D162" s="188"/>
      <c r="E162" s="188"/>
      <c r="F162" s="27" t="s">
        <v>27</v>
      </c>
      <c r="G162" s="103"/>
      <c r="H162" s="104"/>
      <c r="I162" s="103"/>
      <c r="J162" s="104"/>
      <c r="K162" s="103">
        <v>70.599999999999994</v>
      </c>
      <c r="L162" s="104">
        <v>70.599999999999994</v>
      </c>
      <c r="M162" s="103"/>
      <c r="N162" s="104"/>
      <c r="O162" s="103"/>
      <c r="P162" s="104"/>
      <c r="Q162" s="103"/>
      <c r="R162" s="104"/>
      <c r="S162" s="103" cm="1">
        <f t="array" ref="S162">MAX(IF(MOD(COLUMN(G162:R162)-COLUMN(C155),2)=0, G162:R162))</f>
        <v>70.599999999999994</v>
      </c>
      <c r="T162" s="104" cm="1">
        <f t="array" ref="T162">MAX(IF(MOD(COLUMN(G162:R162)-COLUMN(C155),2)=1, G162:R162))</f>
        <v>70.599999999999994</v>
      </c>
      <c r="U162" s="8"/>
    </row>
    <row r="163" spans="1:21" x14ac:dyDescent="0.25">
      <c r="A163" s="214"/>
      <c r="B163" s="189">
        <v>5</v>
      </c>
      <c r="C163" s="183">
        <v>2010</v>
      </c>
      <c r="D163" s="186">
        <v>50.4</v>
      </c>
      <c r="E163" s="186">
        <v>50.4</v>
      </c>
      <c r="F163" s="14" t="s">
        <v>24</v>
      </c>
      <c r="G163" s="112"/>
      <c r="H163" s="111"/>
      <c r="I163" s="112">
        <v>3</v>
      </c>
      <c r="J163" s="111">
        <v>3</v>
      </c>
      <c r="K163" s="112"/>
      <c r="L163" s="111"/>
      <c r="M163" s="112"/>
      <c r="N163" s="111"/>
      <c r="O163" s="112"/>
      <c r="P163" s="111"/>
      <c r="Q163" s="112"/>
      <c r="R163" s="111"/>
      <c r="S163" s="112" cm="1">
        <f t="array" ref="S163">MAX(IF(MOD(COLUMN(G163:R163)-COLUMN(C156),2)=0, G163:R163))</f>
        <v>3</v>
      </c>
      <c r="T163" s="111" cm="1">
        <f t="array" ref="T163">MAX(IF(MOD(COLUMN(G163:R163)-COLUMN(C156),2)=1, G163:R163))</f>
        <v>3</v>
      </c>
      <c r="U163" s="8"/>
    </row>
    <row r="164" spans="1:21" x14ac:dyDescent="0.25">
      <c r="A164" s="214"/>
      <c r="B164" s="190"/>
      <c r="C164" s="184"/>
      <c r="D164" s="187"/>
      <c r="E164" s="187"/>
      <c r="F164" s="21" t="s">
        <v>65</v>
      </c>
      <c r="G164" s="101"/>
      <c r="H164" s="102"/>
      <c r="I164" s="101">
        <v>40</v>
      </c>
      <c r="J164" s="102">
        <v>2000</v>
      </c>
      <c r="K164" s="101"/>
      <c r="L164" s="102"/>
      <c r="M164" s="101"/>
      <c r="N164" s="102"/>
      <c r="O164" s="101"/>
      <c r="P164" s="102"/>
      <c r="Q164" s="101"/>
      <c r="R164" s="102"/>
      <c r="S164" s="101">
        <f>G24+I24+K24+M24+O24+Q24+G164+I164+K164+M164+O164+Q164</f>
        <v>120</v>
      </c>
      <c r="T164" s="102">
        <f>H24+J24+L24+N24+P24+R24+H164+J164+L164+N164+P164+R164</f>
        <v>6000</v>
      </c>
      <c r="U164" s="8"/>
    </row>
    <row r="165" spans="1:21" ht="16.5" thickBot="1" x14ac:dyDescent="0.3">
      <c r="A165" s="214"/>
      <c r="B165" s="191"/>
      <c r="C165" s="185"/>
      <c r="D165" s="188"/>
      <c r="E165" s="188"/>
      <c r="F165" s="27" t="s">
        <v>27</v>
      </c>
      <c r="G165" s="103"/>
      <c r="H165" s="104"/>
      <c r="I165" s="103">
        <v>50.4</v>
      </c>
      <c r="J165" s="104">
        <v>50.4</v>
      </c>
      <c r="K165" s="103"/>
      <c r="L165" s="104"/>
      <c r="M165" s="103"/>
      <c r="N165" s="104"/>
      <c r="O165" s="103"/>
      <c r="P165" s="104"/>
      <c r="Q165" s="103"/>
      <c r="R165" s="104"/>
      <c r="S165" s="103" cm="1">
        <f t="array" ref="S165">MAX(IF(MOD(COLUMN(G165:R165)-COLUMN(C158),2)=0, G165:R165))</f>
        <v>50.4</v>
      </c>
      <c r="T165" s="104" cm="1">
        <f t="array" ref="T165">MAX(IF(MOD(COLUMN(G165:R165)-COLUMN(C158),2)=1, G165:R165))</f>
        <v>50.4</v>
      </c>
      <c r="U165" s="8"/>
    </row>
    <row r="166" spans="1:21" x14ac:dyDescent="0.25">
      <c r="A166" s="214"/>
      <c r="B166" s="189">
        <v>6</v>
      </c>
      <c r="C166" s="183">
        <v>2010</v>
      </c>
      <c r="D166" s="186">
        <v>58.6</v>
      </c>
      <c r="E166" s="186">
        <v>58.6</v>
      </c>
      <c r="F166" s="14" t="s">
        <v>24</v>
      </c>
      <c r="G166" s="112">
        <v>2</v>
      </c>
      <c r="H166" s="111">
        <v>2</v>
      </c>
      <c r="I166" s="112"/>
      <c r="J166" s="111"/>
      <c r="K166" s="112"/>
      <c r="L166" s="111"/>
      <c r="M166" s="112">
        <v>3</v>
      </c>
      <c r="N166" s="111">
        <v>3</v>
      </c>
      <c r="O166" s="112"/>
      <c r="P166" s="111"/>
      <c r="Q166" s="112"/>
      <c r="R166" s="111"/>
      <c r="S166" s="112" cm="1">
        <f t="array" ref="S166">MAX(IF(MOD(COLUMN(G166:R166)-COLUMN(C159),2)=0, G166:R166))</f>
        <v>3</v>
      </c>
      <c r="T166" s="111" cm="1">
        <f t="array" ref="T166">MAX(IF(MOD(COLUMN(G166:R166)-COLUMN(C159),2)=1, G166:R166))</f>
        <v>3</v>
      </c>
      <c r="U166" s="5"/>
    </row>
    <row r="167" spans="1:21" x14ac:dyDescent="0.25">
      <c r="A167" s="214"/>
      <c r="B167" s="190"/>
      <c r="C167" s="184"/>
      <c r="D167" s="187"/>
      <c r="E167" s="187"/>
      <c r="F167" s="21" t="s">
        <v>65</v>
      </c>
      <c r="G167" s="101">
        <v>60</v>
      </c>
      <c r="H167" s="102">
        <v>3000</v>
      </c>
      <c r="I167" s="101"/>
      <c r="J167" s="102"/>
      <c r="K167" s="101"/>
      <c r="L167" s="102"/>
      <c r="M167" s="101">
        <v>40</v>
      </c>
      <c r="N167" s="102">
        <v>2000</v>
      </c>
      <c r="O167" s="101"/>
      <c r="P167" s="102"/>
      <c r="Q167" s="101"/>
      <c r="R167" s="102"/>
      <c r="S167" s="101">
        <f>G27+I27+K27+M27+O27+Q27+G167+I167+K167+M167+O167+Q167</f>
        <v>140</v>
      </c>
      <c r="T167" s="102">
        <f>H27+J27+L27+N27+P27+R27+H167+J167+L167+N167+P167+R167</f>
        <v>7000</v>
      </c>
      <c r="U167" s="5"/>
    </row>
    <row r="168" spans="1:21" ht="16.5" thickBot="1" x14ac:dyDescent="0.3">
      <c r="A168" s="214"/>
      <c r="B168" s="191"/>
      <c r="C168" s="185"/>
      <c r="D168" s="188"/>
      <c r="E168" s="188"/>
      <c r="F168" s="27" t="s">
        <v>27</v>
      </c>
      <c r="G168" s="103">
        <v>58.6</v>
      </c>
      <c r="H168" s="104">
        <v>58.6</v>
      </c>
      <c r="I168" s="103"/>
      <c r="J168" s="104"/>
      <c r="K168" s="103"/>
      <c r="L168" s="104"/>
      <c r="M168" s="103">
        <v>58.6</v>
      </c>
      <c r="N168" s="104">
        <v>58.6</v>
      </c>
      <c r="O168" s="103"/>
      <c r="P168" s="104"/>
      <c r="Q168" s="103"/>
      <c r="R168" s="104"/>
      <c r="S168" s="103" cm="1">
        <f t="array" ref="S168">MAX(IF(MOD(COLUMN(G168:R168)-COLUMN(C161),2)=0, G168:R168))</f>
        <v>58.6</v>
      </c>
      <c r="T168" s="104" cm="1">
        <f t="array" ref="T168">MAX(IF(MOD(COLUMN(G168:R168)-COLUMN(C161),2)=1, G168:R168))</f>
        <v>58.6</v>
      </c>
      <c r="U168" s="5"/>
    </row>
    <row r="169" spans="1:21" x14ac:dyDescent="0.25">
      <c r="A169" s="214"/>
      <c r="B169" s="189">
        <v>7</v>
      </c>
      <c r="C169" s="183">
        <v>2010</v>
      </c>
      <c r="D169" s="186">
        <v>23.6</v>
      </c>
      <c r="E169" s="186">
        <v>23.6</v>
      </c>
      <c r="F169" s="14" t="s">
        <v>24</v>
      </c>
      <c r="G169" s="112"/>
      <c r="H169" s="111"/>
      <c r="I169" s="112">
        <v>3</v>
      </c>
      <c r="J169" s="111">
        <v>3</v>
      </c>
      <c r="K169" s="112"/>
      <c r="L169" s="111"/>
      <c r="M169" s="112"/>
      <c r="N169" s="111"/>
      <c r="O169" s="112"/>
      <c r="P169" s="111"/>
      <c r="Q169" s="112"/>
      <c r="R169" s="111"/>
      <c r="S169" s="112" cm="1">
        <f t="array" ref="S169">MAX(IF(MOD(COLUMN(G169:R169)-COLUMN(C162),2)=0, G169:R169))</f>
        <v>3</v>
      </c>
      <c r="T169" s="111" cm="1">
        <f t="array" ref="T169">MAX(IF(MOD(COLUMN(G169:R169)-COLUMN(C162),2)=1, G169:R169))</f>
        <v>3</v>
      </c>
      <c r="U169" s="5"/>
    </row>
    <row r="170" spans="1:21" x14ac:dyDescent="0.25">
      <c r="A170" s="214"/>
      <c r="B170" s="190"/>
      <c r="C170" s="184"/>
      <c r="D170" s="187"/>
      <c r="E170" s="187"/>
      <c r="F170" s="21" t="s">
        <v>65</v>
      </c>
      <c r="G170" s="101"/>
      <c r="H170" s="102"/>
      <c r="I170" s="101">
        <v>20</v>
      </c>
      <c r="J170" s="102">
        <v>1000</v>
      </c>
      <c r="K170" s="101"/>
      <c r="L170" s="102"/>
      <c r="M170" s="101"/>
      <c r="N170" s="102"/>
      <c r="O170" s="101"/>
      <c r="P170" s="102"/>
      <c r="Q170" s="101"/>
      <c r="R170" s="102"/>
      <c r="S170" s="101">
        <f>G30+I30+K30+M30+O30+Q30+G170+I170+K170+M170+O170+Q170</f>
        <v>60</v>
      </c>
      <c r="T170" s="102">
        <f>H30+J30+L30+N30+P30+R30+H170+J170+L170+N170+P170+R170</f>
        <v>3000</v>
      </c>
      <c r="U170" s="5"/>
    </row>
    <row r="171" spans="1:21" ht="16.5" thickBot="1" x14ac:dyDescent="0.3">
      <c r="A171" s="214"/>
      <c r="B171" s="191"/>
      <c r="C171" s="185"/>
      <c r="D171" s="188"/>
      <c r="E171" s="188"/>
      <c r="F171" s="27" t="s">
        <v>27</v>
      </c>
      <c r="G171" s="103"/>
      <c r="H171" s="104"/>
      <c r="I171" s="103">
        <v>23.6</v>
      </c>
      <c r="J171" s="104">
        <v>23.6</v>
      </c>
      <c r="K171" s="103"/>
      <c r="L171" s="104"/>
      <c r="M171" s="103"/>
      <c r="N171" s="104"/>
      <c r="O171" s="103"/>
      <c r="P171" s="104"/>
      <c r="Q171" s="103"/>
      <c r="R171" s="104"/>
      <c r="S171" s="103" cm="1">
        <f t="array" ref="S171">MAX(IF(MOD(COLUMN(G171:R171)-COLUMN(C164),2)=0, G171:R171))</f>
        <v>23.6</v>
      </c>
      <c r="T171" s="104" cm="1">
        <f t="array" ref="T171">MAX(IF(MOD(COLUMN(G171:R171)-COLUMN(C164),2)=1, G171:R171))</f>
        <v>23.6</v>
      </c>
      <c r="U171" s="5"/>
    </row>
    <row r="172" spans="1:21" x14ac:dyDescent="0.25">
      <c r="A172" s="214"/>
      <c r="B172" s="189">
        <v>8</v>
      </c>
      <c r="C172" s="183">
        <v>2010</v>
      </c>
      <c r="D172" s="186">
        <v>61.6</v>
      </c>
      <c r="E172" s="186">
        <v>61.6</v>
      </c>
      <c r="F172" s="14" t="s">
        <v>24</v>
      </c>
      <c r="G172" s="112">
        <v>2</v>
      </c>
      <c r="H172" s="111">
        <v>2</v>
      </c>
      <c r="I172" s="112"/>
      <c r="J172" s="111"/>
      <c r="K172" s="112"/>
      <c r="L172" s="111"/>
      <c r="M172" s="112">
        <v>3</v>
      </c>
      <c r="N172" s="111">
        <v>3</v>
      </c>
      <c r="O172" s="112"/>
      <c r="P172" s="111"/>
      <c r="Q172" s="112"/>
      <c r="R172" s="111"/>
      <c r="S172" s="112" cm="1">
        <f t="array" ref="S172">MAX(IF(MOD(COLUMN(G172:R172)-COLUMN(C165),2)=0, G172:R172))</f>
        <v>3</v>
      </c>
      <c r="T172" s="111" cm="1">
        <f t="array" ref="T172">MAX(IF(MOD(COLUMN(G172:R172)-COLUMN(C165),2)=1, G172:R172))</f>
        <v>3</v>
      </c>
      <c r="U172" s="5"/>
    </row>
    <row r="173" spans="1:21" x14ac:dyDescent="0.25">
      <c r="A173" s="214"/>
      <c r="B173" s="190"/>
      <c r="C173" s="184"/>
      <c r="D173" s="187"/>
      <c r="E173" s="187"/>
      <c r="F173" s="21" t="s">
        <v>65</v>
      </c>
      <c r="G173" s="101">
        <v>40</v>
      </c>
      <c r="H173" s="102">
        <v>2000</v>
      </c>
      <c r="I173" s="101"/>
      <c r="J173" s="102"/>
      <c r="K173" s="101"/>
      <c r="L173" s="102"/>
      <c r="M173" s="101">
        <v>40</v>
      </c>
      <c r="N173" s="102">
        <v>2000</v>
      </c>
      <c r="O173" s="101"/>
      <c r="P173" s="102"/>
      <c r="Q173" s="101"/>
      <c r="R173" s="102"/>
      <c r="S173" s="101">
        <f>G33+I33+K33+M33+O33+Q33+G173+I173+K173+M173+O173+Q173</f>
        <v>120</v>
      </c>
      <c r="T173" s="102">
        <f>H33+J33+L33+N33+P33+R33+H173+J173+L173+N173+P173+R173</f>
        <v>6000</v>
      </c>
      <c r="U173" s="5"/>
    </row>
    <row r="174" spans="1:21" ht="16.5" thickBot="1" x14ac:dyDescent="0.3">
      <c r="A174" s="214"/>
      <c r="B174" s="191"/>
      <c r="C174" s="185"/>
      <c r="D174" s="188"/>
      <c r="E174" s="188"/>
      <c r="F174" s="27" t="s">
        <v>28</v>
      </c>
      <c r="G174" s="103">
        <v>61.6</v>
      </c>
      <c r="H174" s="104">
        <v>61.6</v>
      </c>
      <c r="I174" s="103"/>
      <c r="J174" s="104"/>
      <c r="K174" s="103"/>
      <c r="L174" s="104"/>
      <c r="M174" s="103">
        <v>61.6</v>
      </c>
      <c r="N174" s="104">
        <v>61.6</v>
      </c>
      <c r="O174" s="103"/>
      <c r="P174" s="104"/>
      <c r="Q174" s="103"/>
      <c r="R174" s="104"/>
      <c r="S174" s="103" cm="1">
        <f t="array" ref="S174">MAX(IF(MOD(COLUMN(G174:R174)-COLUMN(C167),2)=0, G174:R174))</f>
        <v>61.6</v>
      </c>
      <c r="T174" s="104" cm="1">
        <f t="array" ref="T174">MAX(IF(MOD(COLUMN(G174:R174)-COLUMN(C167),2)=1, G174:R174))</f>
        <v>61.6</v>
      </c>
      <c r="U174" s="5"/>
    </row>
    <row r="175" spans="1:21" x14ac:dyDescent="0.25">
      <c r="A175" s="214"/>
      <c r="B175" s="189">
        <v>9</v>
      </c>
      <c r="C175" s="183">
        <v>2010</v>
      </c>
      <c r="D175" s="186">
        <v>38.299999999999997</v>
      </c>
      <c r="E175" s="186">
        <v>38.299999999999997</v>
      </c>
      <c r="F175" s="14" t="s">
        <v>24</v>
      </c>
      <c r="G175" s="112">
        <v>2</v>
      </c>
      <c r="H175" s="111">
        <v>2</v>
      </c>
      <c r="I175" s="112"/>
      <c r="J175" s="111"/>
      <c r="K175" s="112"/>
      <c r="L175" s="111"/>
      <c r="M175" s="112">
        <v>3</v>
      </c>
      <c r="N175" s="111">
        <v>3</v>
      </c>
      <c r="O175" s="112"/>
      <c r="P175" s="111"/>
      <c r="Q175" s="112"/>
      <c r="R175" s="111"/>
      <c r="S175" s="112" cm="1">
        <f t="array" ref="S175">MAX(IF(MOD(COLUMN(G175:R175)-COLUMN(C168),2)=0, G175:R175))</f>
        <v>3</v>
      </c>
      <c r="T175" s="111" cm="1">
        <f t="array" ref="T175">MAX(IF(MOD(COLUMN(G175:R175)-COLUMN(C168),2)=1, G175:R175))</f>
        <v>3</v>
      </c>
      <c r="U175" s="5"/>
    </row>
    <row r="176" spans="1:21" x14ac:dyDescent="0.25">
      <c r="A176" s="214"/>
      <c r="B176" s="190"/>
      <c r="C176" s="184"/>
      <c r="D176" s="187"/>
      <c r="E176" s="187"/>
      <c r="F176" s="21" t="s">
        <v>65</v>
      </c>
      <c r="G176" s="101">
        <v>40</v>
      </c>
      <c r="H176" s="102">
        <v>2000</v>
      </c>
      <c r="I176" s="101"/>
      <c r="J176" s="102"/>
      <c r="K176" s="101"/>
      <c r="L176" s="102"/>
      <c r="M176" s="101">
        <v>40</v>
      </c>
      <c r="N176" s="102">
        <v>2000</v>
      </c>
      <c r="O176" s="101"/>
      <c r="P176" s="102"/>
      <c r="Q176" s="101"/>
      <c r="R176" s="102"/>
      <c r="S176" s="101">
        <f>G36+I36+K36+M36+O36+Q36+G176+I176+K176+M176+O176+Q176</f>
        <v>120</v>
      </c>
      <c r="T176" s="102">
        <f>H36+J36+L36+N36+P36+R36+H176+J176+L176+N176+P176+R176</f>
        <v>6000</v>
      </c>
      <c r="U176" s="5"/>
    </row>
    <row r="177" spans="1:21" ht="16.5" thickBot="1" x14ac:dyDescent="0.3">
      <c r="A177" s="214"/>
      <c r="B177" s="191"/>
      <c r="C177" s="185"/>
      <c r="D177" s="188"/>
      <c r="E177" s="188"/>
      <c r="F177" s="27" t="s">
        <v>27</v>
      </c>
      <c r="G177" s="103">
        <v>38.299999999999997</v>
      </c>
      <c r="H177" s="104">
        <v>38.299999999999997</v>
      </c>
      <c r="I177" s="103"/>
      <c r="J177" s="104"/>
      <c r="K177" s="103"/>
      <c r="L177" s="104"/>
      <c r="M177" s="103">
        <v>38.299999999999997</v>
      </c>
      <c r="N177" s="104">
        <v>38.299999999999997</v>
      </c>
      <c r="O177" s="103"/>
      <c r="P177" s="104"/>
      <c r="Q177" s="103"/>
      <c r="R177" s="104"/>
      <c r="S177" s="103" cm="1">
        <f t="array" ref="S177">MAX(IF(MOD(COLUMN(G177:R177)-COLUMN(C170),2)=0, G177:R177))</f>
        <v>38.299999999999997</v>
      </c>
      <c r="T177" s="104" cm="1">
        <f t="array" ref="T177">MAX(IF(MOD(COLUMN(G177:R177)-COLUMN(C170),2)=1, G177:R177))</f>
        <v>38.299999999999997</v>
      </c>
      <c r="U177" s="5"/>
    </row>
    <row r="178" spans="1:21" x14ac:dyDescent="0.25">
      <c r="A178" s="214"/>
      <c r="B178" s="189">
        <v>11</v>
      </c>
      <c r="C178" s="183">
        <v>2010</v>
      </c>
      <c r="D178" s="186">
        <v>44.5</v>
      </c>
      <c r="E178" s="186">
        <v>44.5</v>
      </c>
      <c r="F178" s="14" t="s">
        <v>24</v>
      </c>
      <c r="G178" s="112">
        <v>2</v>
      </c>
      <c r="H178" s="111">
        <v>2</v>
      </c>
      <c r="I178" s="112"/>
      <c r="J178" s="111"/>
      <c r="K178" s="112"/>
      <c r="L178" s="111"/>
      <c r="M178" s="112">
        <v>3</v>
      </c>
      <c r="N178" s="111">
        <v>3</v>
      </c>
      <c r="O178" s="112"/>
      <c r="P178" s="111"/>
      <c r="Q178" s="112"/>
      <c r="R178" s="111"/>
      <c r="S178" s="112" cm="1">
        <f t="array" ref="S178">MAX(IF(MOD(COLUMN(G178:R178)-COLUMN(C171),2)=0, G178:R178))</f>
        <v>3</v>
      </c>
      <c r="T178" s="111" cm="1">
        <f t="array" ref="T178">MAX(IF(MOD(COLUMN(G178:R178)-COLUMN(C171),2)=1, G178:R178))</f>
        <v>3</v>
      </c>
      <c r="U178" s="5"/>
    </row>
    <row r="179" spans="1:21" x14ac:dyDescent="0.25">
      <c r="A179" s="214"/>
      <c r="B179" s="190"/>
      <c r="C179" s="184"/>
      <c r="D179" s="187"/>
      <c r="E179" s="187"/>
      <c r="F179" s="21" t="s">
        <v>65</v>
      </c>
      <c r="G179" s="101">
        <v>40</v>
      </c>
      <c r="H179" s="102">
        <v>2000</v>
      </c>
      <c r="I179" s="101"/>
      <c r="J179" s="102"/>
      <c r="K179" s="101"/>
      <c r="L179" s="102"/>
      <c r="M179" s="101">
        <v>40</v>
      </c>
      <c r="N179" s="102">
        <v>2000</v>
      </c>
      <c r="O179" s="101"/>
      <c r="P179" s="102"/>
      <c r="Q179" s="101"/>
      <c r="R179" s="102"/>
      <c r="S179" s="101">
        <f>G39+I39+K39+M39+O39+Q39+G179+I179+K179+M179+O179+Q179</f>
        <v>120</v>
      </c>
      <c r="T179" s="102">
        <f>H39+J39+L39+N39+P39+R39+H179+J179+L179+N179+P179+R179</f>
        <v>6000</v>
      </c>
      <c r="U179" s="5"/>
    </row>
    <row r="180" spans="1:21" ht="16.5" thickBot="1" x14ac:dyDescent="0.3">
      <c r="A180" s="214"/>
      <c r="B180" s="191"/>
      <c r="C180" s="185"/>
      <c r="D180" s="188"/>
      <c r="E180" s="188"/>
      <c r="F180" s="27" t="s">
        <v>27</v>
      </c>
      <c r="G180" s="103">
        <v>44.5</v>
      </c>
      <c r="H180" s="104">
        <v>44.5</v>
      </c>
      <c r="I180" s="103"/>
      <c r="J180" s="104"/>
      <c r="K180" s="103"/>
      <c r="L180" s="104"/>
      <c r="M180" s="103">
        <v>44.5</v>
      </c>
      <c r="N180" s="104">
        <v>44.5</v>
      </c>
      <c r="O180" s="103"/>
      <c r="P180" s="104"/>
      <c r="Q180" s="103"/>
      <c r="R180" s="104"/>
      <c r="S180" s="103" cm="1">
        <f t="array" ref="S180">MAX(IF(MOD(COLUMN(G180:R180)-COLUMN(C173),2)=0, G180:R180))</f>
        <v>44.5</v>
      </c>
      <c r="T180" s="104" cm="1">
        <f t="array" ref="T180">MAX(IF(MOD(COLUMN(G180:R180)-COLUMN(C173),2)=1, G180:R180))</f>
        <v>44.5</v>
      </c>
      <c r="U180" s="5"/>
    </row>
    <row r="181" spans="1:21" x14ac:dyDescent="0.25">
      <c r="A181" s="214"/>
      <c r="B181" s="189">
        <v>12</v>
      </c>
      <c r="C181" s="183">
        <v>2010</v>
      </c>
      <c r="D181" s="186">
        <v>71</v>
      </c>
      <c r="E181" s="186">
        <v>71</v>
      </c>
      <c r="F181" s="14" t="s">
        <v>24</v>
      </c>
      <c r="G181" s="112"/>
      <c r="H181" s="111"/>
      <c r="I181" s="112">
        <v>3</v>
      </c>
      <c r="J181" s="111">
        <v>3</v>
      </c>
      <c r="K181" s="112"/>
      <c r="L181" s="111"/>
      <c r="M181" s="112"/>
      <c r="N181" s="111"/>
      <c r="O181" s="112"/>
      <c r="P181" s="111"/>
      <c r="Q181" s="112"/>
      <c r="R181" s="111"/>
      <c r="S181" s="112" cm="1">
        <f t="array" ref="S181">MAX(IF(MOD(COLUMN(G181:R181)-COLUMN(C174),2)=0, G181:R181))</f>
        <v>3</v>
      </c>
      <c r="T181" s="111" cm="1">
        <f t="array" ref="T181">MAX(IF(MOD(COLUMN(G181:R181)-COLUMN(C174),2)=1, G181:R181))</f>
        <v>3</v>
      </c>
      <c r="U181" s="5"/>
    </row>
    <row r="182" spans="1:21" x14ac:dyDescent="0.25">
      <c r="A182" s="214"/>
      <c r="B182" s="190"/>
      <c r="C182" s="184"/>
      <c r="D182" s="187"/>
      <c r="E182" s="187"/>
      <c r="F182" s="21" t="s">
        <v>65</v>
      </c>
      <c r="G182" s="101"/>
      <c r="H182" s="102"/>
      <c r="I182" s="101">
        <v>60</v>
      </c>
      <c r="J182" s="102">
        <v>3000</v>
      </c>
      <c r="K182" s="101"/>
      <c r="L182" s="102"/>
      <c r="M182" s="101"/>
      <c r="N182" s="102"/>
      <c r="O182" s="101"/>
      <c r="P182" s="102"/>
      <c r="Q182" s="101"/>
      <c r="R182" s="102"/>
      <c r="S182" s="101">
        <f>G42+I42+K42+M42+O42+Q42+G182+I182+K182+M182+O182+Q182</f>
        <v>180</v>
      </c>
      <c r="T182" s="102">
        <f>H42+J42+L42+N42+P42+R42+H182+J182+L182+N182+P182+R182</f>
        <v>9000</v>
      </c>
      <c r="U182" s="5"/>
    </row>
    <row r="183" spans="1:21" ht="16.5" thickBot="1" x14ac:dyDescent="0.3">
      <c r="A183" s="214"/>
      <c r="B183" s="191"/>
      <c r="C183" s="185"/>
      <c r="D183" s="188"/>
      <c r="E183" s="188"/>
      <c r="F183" s="27" t="s">
        <v>27</v>
      </c>
      <c r="G183" s="103"/>
      <c r="H183" s="104"/>
      <c r="I183" s="103">
        <v>71</v>
      </c>
      <c r="J183" s="104">
        <v>71</v>
      </c>
      <c r="K183" s="103"/>
      <c r="L183" s="104"/>
      <c r="M183" s="103"/>
      <c r="N183" s="104"/>
      <c r="O183" s="103"/>
      <c r="P183" s="104"/>
      <c r="Q183" s="103"/>
      <c r="R183" s="104"/>
      <c r="S183" s="103" cm="1">
        <f t="array" ref="S183">MAX(IF(MOD(COLUMN(G183:R183)-COLUMN(C176),2)=0, G183:R183))</f>
        <v>71</v>
      </c>
      <c r="T183" s="104" cm="1">
        <f t="array" ref="T183">MAX(IF(MOD(COLUMN(G183:R183)-COLUMN(C176),2)=1, G183:R183))</f>
        <v>71</v>
      </c>
      <c r="U183" s="5"/>
    </row>
    <row r="184" spans="1:21" x14ac:dyDescent="0.25">
      <c r="A184" s="214"/>
      <c r="B184" s="189">
        <v>23</v>
      </c>
      <c r="C184" s="183">
        <v>2010</v>
      </c>
      <c r="D184" s="186">
        <v>14.6</v>
      </c>
      <c r="E184" s="186">
        <v>14.6</v>
      </c>
      <c r="F184" s="14" t="s">
        <v>24</v>
      </c>
      <c r="G184" s="112"/>
      <c r="H184" s="111"/>
      <c r="I184" s="112">
        <v>3</v>
      </c>
      <c r="J184" s="111">
        <v>3</v>
      </c>
      <c r="K184" s="112"/>
      <c r="L184" s="111"/>
      <c r="M184" s="112"/>
      <c r="N184" s="111"/>
      <c r="O184" s="112"/>
      <c r="P184" s="111"/>
      <c r="Q184" s="112"/>
      <c r="R184" s="111"/>
      <c r="S184" s="112" cm="1">
        <f t="array" ref="S184">MAX(IF(MOD(COLUMN(G184:R184)-COLUMN(C177),2)=0, G184:R184))</f>
        <v>3</v>
      </c>
      <c r="T184" s="111" cm="1">
        <f t="array" ref="T184">MAX(IF(MOD(COLUMN(G184:R184)-COLUMN(C177),2)=1, G184:R184))</f>
        <v>3</v>
      </c>
      <c r="U184" s="5"/>
    </row>
    <row r="185" spans="1:21" x14ac:dyDescent="0.25">
      <c r="A185" s="214"/>
      <c r="B185" s="190"/>
      <c r="C185" s="184"/>
      <c r="D185" s="187"/>
      <c r="E185" s="187"/>
      <c r="F185" s="21" t="s">
        <v>65</v>
      </c>
      <c r="G185" s="101"/>
      <c r="H185" s="102"/>
      <c r="I185" s="101">
        <v>20</v>
      </c>
      <c r="J185" s="102">
        <v>1000</v>
      </c>
      <c r="K185" s="101"/>
      <c r="L185" s="102"/>
      <c r="M185" s="101"/>
      <c r="N185" s="102"/>
      <c r="O185" s="101"/>
      <c r="P185" s="102"/>
      <c r="Q185" s="101"/>
      <c r="R185" s="102"/>
      <c r="S185" s="101">
        <f>G45+I45+K45+M45+O45+Q45+G185+I185+K185+M185+O185+Q185</f>
        <v>60</v>
      </c>
      <c r="T185" s="102">
        <f>H45+J45+L45+N45+P45+R45+H185+J185+L185+N185+P185+R185</f>
        <v>3000</v>
      </c>
      <c r="U185" s="5"/>
    </row>
    <row r="186" spans="1:21" ht="16.5" thickBot="1" x14ac:dyDescent="0.3">
      <c r="A186" s="214"/>
      <c r="B186" s="191"/>
      <c r="C186" s="185"/>
      <c r="D186" s="188"/>
      <c r="E186" s="188"/>
      <c r="F186" s="27" t="s">
        <v>27</v>
      </c>
      <c r="G186" s="103"/>
      <c r="H186" s="104"/>
      <c r="I186" s="103">
        <v>14.6</v>
      </c>
      <c r="J186" s="104">
        <v>14.6</v>
      </c>
      <c r="K186" s="103"/>
      <c r="L186" s="104"/>
      <c r="M186" s="103"/>
      <c r="N186" s="104"/>
      <c r="O186" s="103"/>
      <c r="P186" s="104"/>
      <c r="Q186" s="103"/>
      <c r="R186" s="104"/>
      <c r="S186" s="103" cm="1">
        <f t="array" ref="S186">MAX(IF(MOD(COLUMN(G186:R186)-COLUMN(C179),2)=0, G186:R186))</f>
        <v>14.6</v>
      </c>
      <c r="T186" s="104" cm="1">
        <f t="array" ref="T186">MAX(IF(MOD(COLUMN(G186:R186)-COLUMN(C179),2)=1, G186:R186))</f>
        <v>14.6</v>
      </c>
      <c r="U186" s="5"/>
    </row>
    <row r="187" spans="1:21" ht="16.5" thickBot="1" x14ac:dyDescent="0.3">
      <c r="A187" s="214"/>
      <c r="B187" s="227" t="s">
        <v>29</v>
      </c>
      <c r="C187" s="228"/>
      <c r="D187" s="225">
        <f>SUM(D151:D186)</f>
        <v>616.00000000000011</v>
      </c>
      <c r="E187" s="225">
        <f>SUM(E151:E186)</f>
        <v>615.5100000000001</v>
      </c>
      <c r="F187" s="125" t="s">
        <v>65</v>
      </c>
      <c r="G187" s="47">
        <f t="shared" ref="G187:T187" si="10">G152+G155+G158+G161+G164+G167+G170+G173+G176+G179+G182+G185</f>
        <v>260</v>
      </c>
      <c r="H187" s="67">
        <f t="shared" si="10"/>
        <v>13000</v>
      </c>
      <c r="I187" s="47">
        <f t="shared" si="10"/>
        <v>180</v>
      </c>
      <c r="J187" s="67">
        <f t="shared" si="10"/>
        <v>9000</v>
      </c>
      <c r="K187" s="47">
        <f t="shared" si="10"/>
        <v>120</v>
      </c>
      <c r="L187" s="67">
        <f t="shared" si="10"/>
        <v>6000</v>
      </c>
      <c r="M187" s="47">
        <f t="shared" si="10"/>
        <v>240</v>
      </c>
      <c r="N187" s="67">
        <f t="shared" si="10"/>
        <v>12000</v>
      </c>
      <c r="O187" s="47">
        <f t="shared" si="10"/>
        <v>0</v>
      </c>
      <c r="P187" s="67">
        <f t="shared" si="10"/>
        <v>0</v>
      </c>
      <c r="Q187" s="47">
        <f t="shared" si="10"/>
        <v>0</v>
      </c>
      <c r="R187" s="67">
        <f t="shared" si="10"/>
        <v>0</v>
      </c>
      <c r="S187" s="47">
        <f t="shared" si="10"/>
        <v>1640</v>
      </c>
      <c r="T187" s="67">
        <f t="shared" si="10"/>
        <v>82000</v>
      </c>
      <c r="U187" s="5"/>
    </row>
    <row r="188" spans="1:21" ht="16.5" thickBot="1" x14ac:dyDescent="0.3">
      <c r="A188" s="215"/>
      <c r="B188" s="229"/>
      <c r="C188" s="230"/>
      <c r="D188" s="226"/>
      <c r="E188" s="226"/>
      <c r="F188" s="46" t="s">
        <v>27</v>
      </c>
      <c r="G188" s="47">
        <f t="shared" ref="G188:T188" si="11">G153+G156+G159+G162+G165+G168+G171+G174+G177+G180+G183+G186</f>
        <v>263.39999999999998</v>
      </c>
      <c r="H188" s="67">
        <f t="shared" si="11"/>
        <v>263.39999999999998</v>
      </c>
      <c r="I188" s="47">
        <f t="shared" si="11"/>
        <v>212.79999999999998</v>
      </c>
      <c r="J188" s="67">
        <f t="shared" si="11"/>
        <v>212.79999999999998</v>
      </c>
      <c r="K188" s="47">
        <f t="shared" si="11"/>
        <v>139.80000000000001</v>
      </c>
      <c r="L188" s="67">
        <f t="shared" si="11"/>
        <v>139.80000000000001</v>
      </c>
      <c r="M188" s="47">
        <f t="shared" si="11"/>
        <v>263.27</v>
      </c>
      <c r="N188" s="67">
        <f t="shared" si="11"/>
        <v>263.27</v>
      </c>
      <c r="O188" s="47">
        <f t="shared" si="11"/>
        <v>0</v>
      </c>
      <c r="P188" s="67">
        <f t="shared" si="11"/>
        <v>0</v>
      </c>
      <c r="Q188" s="47">
        <f t="shared" si="11"/>
        <v>0</v>
      </c>
      <c r="R188" s="67">
        <f t="shared" si="11"/>
        <v>0</v>
      </c>
      <c r="S188" s="47">
        <f t="shared" si="11"/>
        <v>616.00000000000011</v>
      </c>
      <c r="T188" s="67">
        <f t="shared" si="11"/>
        <v>616.00000000000011</v>
      </c>
      <c r="U188" s="5"/>
    </row>
    <row r="189" spans="1:21" ht="16.5" thickBot="1" x14ac:dyDescent="0.3">
      <c r="A189" s="147" t="s">
        <v>79</v>
      </c>
    </row>
    <row r="190" spans="1:21" ht="15.75" customHeight="1" x14ac:dyDescent="0.25">
      <c r="A190" s="209" t="s">
        <v>67</v>
      </c>
      <c r="B190" s="209" t="s">
        <v>7</v>
      </c>
      <c r="C190" s="160" t="s">
        <v>8</v>
      </c>
      <c r="D190" s="166" t="s">
        <v>9</v>
      </c>
      <c r="E190" s="166" t="s">
        <v>10</v>
      </c>
      <c r="F190" s="169" t="s">
        <v>11</v>
      </c>
      <c r="G190" s="203" t="s">
        <v>18</v>
      </c>
      <c r="H190" s="204"/>
      <c r="I190" s="203" t="s">
        <v>19</v>
      </c>
      <c r="J190" s="204"/>
      <c r="K190" s="203" t="s">
        <v>20</v>
      </c>
      <c r="L190" s="204"/>
      <c r="M190" s="203" t="s">
        <v>21</v>
      </c>
      <c r="N190" s="204"/>
      <c r="O190" s="211" t="s">
        <v>22</v>
      </c>
      <c r="P190" s="211"/>
      <c r="Q190" s="203" t="s">
        <v>23</v>
      </c>
      <c r="R190" s="204"/>
      <c r="S190" s="203" t="s">
        <v>66</v>
      </c>
      <c r="T190" s="204"/>
      <c r="U190" s="5"/>
    </row>
    <row r="191" spans="1:21" ht="15.75" customHeight="1" x14ac:dyDescent="0.25">
      <c r="A191" s="158"/>
      <c r="B191" s="158"/>
      <c r="C191" s="161"/>
      <c r="D191" s="167"/>
      <c r="E191" s="167"/>
      <c r="F191" s="193"/>
      <c r="G191" s="205"/>
      <c r="H191" s="206"/>
      <c r="I191" s="205"/>
      <c r="J191" s="206"/>
      <c r="K191" s="205"/>
      <c r="L191" s="206"/>
      <c r="M191" s="205"/>
      <c r="N191" s="206"/>
      <c r="O191" s="156"/>
      <c r="P191" s="156"/>
      <c r="Q191" s="205"/>
      <c r="R191" s="206"/>
      <c r="S191" s="205"/>
      <c r="T191" s="206"/>
      <c r="U191" s="5"/>
    </row>
    <row r="192" spans="1:21" ht="16.5" thickBot="1" x14ac:dyDescent="0.3">
      <c r="A192" s="158"/>
      <c r="B192" s="158"/>
      <c r="C192" s="162"/>
      <c r="D192" s="167"/>
      <c r="E192" s="167"/>
      <c r="F192" s="193"/>
      <c r="G192" s="207"/>
      <c r="H192" s="208"/>
      <c r="I192" s="207"/>
      <c r="J192" s="208"/>
      <c r="K192" s="207"/>
      <c r="L192" s="208"/>
      <c r="M192" s="207"/>
      <c r="N192" s="208"/>
      <c r="O192" s="212"/>
      <c r="P192" s="212"/>
      <c r="Q192" s="207"/>
      <c r="R192" s="208"/>
      <c r="S192" s="207"/>
      <c r="T192" s="208"/>
      <c r="U192" s="5"/>
    </row>
    <row r="193" spans="1:21" s="119" customFormat="1" ht="32.25" thickBot="1" x14ac:dyDescent="0.3">
      <c r="A193" s="210"/>
      <c r="B193" s="210"/>
      <c r="C193" s="90"/>
      <c r="D193" s="168"/>
      <c r="E193" s="168"/>
      <c r="F193" s="194"/>
      <c r="G193" s="106" t="s">
        <v>76</v>
      </c>
      <c r="H193" s="118" t="s">
        <v>75</v>
      </c>
      <c r="I193" s="106" t="s">
        <v>76</v>
      </c>
      <c r="J193" s="118" t="s">
        <v>75</v>
      </c>
      <c r="K193" s="106" t="s">
        <v>76</v>
      </c>
      <c r="L193" s="118" t="s">
        <v>75</v>
      </c>
      <c r="M193" s="106" t="s">
        <v>76</v>
      </c>
      <c r="N193" s="118" t="s">
        <v>75</v>
      </c>
      <c r="O193" s="106" t="s">
        <v>76</v>
      </c>
      <c r="P193" s="118" t="s">
        <v>75</v>
      </c>
      <c r="Q193" s="106" t="s">
        <v>76</v>
      </c>
      <c r="R193" s="118" t="s">
        <v>75</v>
      </c>
      <c r="S193" s="106" t="s">
        <v>76</v>
      </c>
      <c r="T193" s="118" t="s">
        <v>75</v>
      </c>
    </row>
    <row r="194" spans="1:21" x14ac:dyDescent="0.25">
      <c r="A194" s="213" t="s">
        <v>69</v>
      </c>
      <c r="B194" s="180">
        <v>10</v>
      </c>
      <c r="C194" s="183">
        <v>2011</v>
      </c>
      <c r="D194" s="186">
        <v>19.100000000000001</v>
      </c>
      <c r="E194" s="186">
        <v>19.100000000000001</v>
      </c>
      <c r="F194" s="14" t="s">
        <v>24</v>
      </c>
      <c r="G194" s="112">
        <v>2</v>
      </c>
      <c r="H194" s="111">
        <v>2</v>
      </c>
      <c r="I194" s="112"/>
      <c r="J194" s="111"/>
      <c r="K194" s="112"/>
      <c r="L194" s="111"/>
      <c r="M194" s="112">
        <v>3</v>
      </c>
      <c r="N194" s="111">
        <v>3</v>
      </c>
      <c r="O194" s="112"/>
      <c r="P194" s="111"/>
      <c r="Q194" s="112"/>
      <c r="R194" s="111"/>
      <c r="S194" s="112" cm="1">
        <f t="array" ref="S194">MAX(IF(MOD(COLUMN(G194:R194)-COLUMN(C189),2)=0, G194:R194))</f>
        <v>3</v>
      </c>
      <c r="T194" s="111" cm="1">
        <f t="array" ref="T194">MAX(IF(MOD(COLUMN(G194:R194)-COLUMN(C189),2)=1, G194:R194))</f>
        <v>3</v>
      </c>
      <c r="U194" s="5"/>
    </row>
    <row r="195" spans="1:21" x14ac:dyDescent="0.25">
      <c r="A195" s="214"/>
      <c r="B195" s="181"/>
      <c r="C195" s="184"/>
      <c r="D195" s="187"/>
      <c r="E195" s="187"/>
      <c r="F195" s="21" t="s">
        <v>65</v>
      </c>
      <c r="G195" s="101">
        <v>20</v>
      </c>
      <c r="H195" s="102">
        <v>1000</v>
      </c>
      <c r="I195" s="101"/>
      <c r="J195" s="102"/>
      <c r="K195" s="101"/>
      <c r="L195" s="102"/>
      <c r="M195" s="101">
        <v>20</v>
      </c>
      <c r="N195" s="102">
        <v>1000</v>
      </c>
      <c r="O195" s="101"/>
      <c r="P195" s="102"/>
      <c r="Q195" s="101"/>
      <c r="R195" s="102"/>
      <c r="S195" s="101">
        <f>G55+I55+K55+M55+O55+Q55+G195+I195++K195+M195+O195+Q195</f>
        <v>60</v>
      </c>
      <c r="T195" s="102">
        <f>H55+J55+L55+N55+P55+R55+H195+J195++L195+N195+P195+R195</f>
        <v>3000</v>
      </c>
      <c r="U195" s="5"/>
    </row>
    <row r="196" spans="1:21" ht="16.5" thickBot="1" x14ac:dyDescent="0.3">
      <c r="A196" s="214"/>
      <c r="B196" s="182"/>
      <c r="C196" s="185"/>
      <c r="D196" s="188"/>
      <c r="E196" s="188"/>
      <c r="F196" s="27" t="s">
        <v>27</v>
      </c>
      <c r="G196" s="103">
        <v>19.100000000000001</v>
      </c>
      <c r="H196" s="104">
        <v>19.100000000000001</v>
      </c>
      <c r="I196" s="103"/>
      <c r="J196" s="104"/>
      <c r="K196" s="103"/>
      <c r="L196" s="104"/>
      <c r="M196" s="103">
        <v>19.100000000000001</v>
      </c>
      <c r="N196" s="104">
        <v>19.100000000000001</v>
      </c>
      <c r="O196" s="103"/>
      <c r="P196" s="104"/>
      <c r="Q196" s="103"/>
      <c r="R196" s="104"/>
      <c r="S196" s="103" cm="1">
        <f t="array" ref="S196">MAX(IF(MOD(COLUMN(G196:R196)-COLUMN(C191),2)=0, G196:R196))</f>
        <v>19.100000000000001</v>
      </c>
      <c r="T196" s="104" cm="1">
        <f t="array" ref="T196">MAX(IF(MOD(COLUMN(G196:R196)-COLUMN(C191),2)=1, G196:R196))</f>
        <v>19.100000000000001</v>
      </c>
      <c r="U196" s="5"/>
    </row>
    <row r="197" spans="1:21" x14ac:dyDescent="0.25">
      <c r="A197" s="214"/>
      <c r="B197" s="189">
        <v>13</v>
      </c>
      <c r="C197" s="183">
        <v>2011</v>
      </c>
      <c r="D197" s="186">
        <v>60.8</v>
      </c>
      <c r="E197" s="186">
        <v>60.8</v>
      </c>
      <c r="F197" s="14" t="s">
        <v>24</v>
      </c>
      <c r="G197" s="112"/>
      <c r="H197" s="111"/>
      <c r="I197" s="112">
        <v>3</v>
      </c>
      <c r="J197" s="111">
        <v>3</v>
      </c>
      <c r="K197" s="112"/>
      <c r="L197" s="111"/>
      <c r="M197" s="112"/>
      <c r="N197" s="111"/>
      <c r="O197" s="112"/>
      <c r="P197" s="111"/>
      <c r="Q197" s="112"/>
      <c r="R197" s="111"/>
      <c r="S197" s="112" cm="1">
        <f t="array" ref="S197">MAX(IF(MOD(COLUMN(G197:R197)-COLUMN(C192),2)=0, G197:R197))</f>
        <v>3</v>
      </c>
      <c r="T197" s="111" cm="1">
        <f t="array" ref="T197">MAX(IF(MOD(COLUMN(G197:R197)-COLUMN(C192),2)=1, G197:R197))</f>
        <v>3</v>
      </c>
      <c r="U197" s="5"/>
    </row>
    <row r="198" spans="1:21" x14ac:dyDescent="0.25">
      <c r="A198" s="214"/>
      <c r="B198" s="190"/>
      <c r="C198" s="184"/>
      <c r="D198" s="187"/>
      <c r="E198" s="187"/>
      <c r="F198" s="21" t="s">
        <v>65</v>
      </c>
      <c r="G198" s="101"/>
      <c r="H198" s="102"/>
      <c r="I198" s="101">
        <v>40</v>
      </c>
      <c r="J198" s="102">
        <v>2000</v>
      </c>
      <c r="K198" s="101"/>
      <c r="L198" s="102"/>
      <c r="M198" s="101"/>
      <c r="N198" s="102"/>
      <c r="O198" s="101"/>
      <c r="P198" s="102"/>
      <c r="Q198" s="101"/>
      <c r="R198" s="102"/>
      <c r="S198" s="101">
        <f>G58+I58+K58+M58+O58+Q58+G198+I198++K198+M198+O198+Q198</f>
        <v>120</v>
      </c>
      <c r="T198" s="102">
        <f>H58+J58+L58+N58+P58+R58+H198+J198++L198+N198+P198+R198</f>
        <v>6000</v>
      </c>
      <c r="U198" s="5"/>
    </row>
    <row r="199" spans="1:21" ht="16.5" thickBot="1" x14ac:dyDescent="0.3">
      <c r="A199" s="214"/>
      <c r="B199" s="191"/>
      <c r="C199" s="185"/>
      <c r="D199" s="188"/>
      <c r="E199" s="188"/>
      <c r="F199" s="27" t="s">
        <v>27</v>
      </c>
      <c r="G199" s="103"/>
      <c r="H199" s="104"/>
      <c r="I199" s="103">
        <v>60.8</v>
      </c>
      <c r="J199" s="104">
        <v>60.8</v>
      </c>
      <c r="K199" s="103"/>
      <c r="L199" s="104"/>
      <c r="M199" s="103"/>
      <c r="N199" s="104"/>
      <c r="O199" s="103"/>
      <c r="P199" s="104"/>
      <c r="Q199" s="103"/>
      <c r="R199" s="104"/>
      <c r="S199" s="103" cm="1">
        <f t="array" ref="S199">MAX(IF(MOD(COLUMN(G199:R199)-COLUMN(C191),2)=0, G199:R199))</f>
        <v>60.8</v>
      </c>
      <c r="T199" s="104" cm="1">
        <f t="array" ref="T199">MAX(IF(MOD(COLUMN(G199:R199)-COLUMN(C191),2)=1, G199:R199))</f>
        <v>60.8</v>
      </c>
      <c r="U199" s="5"/>
    </row>
    <row r="200" spans="1:21" x14ac:dyDescent="0.25">
      <c r="A200" s="214"/>
      <c r="B200" s="189">
        <v>14</v>
      </c>
      <c r="C200" s="183">
        <v>2011</v>
      </c>
      <c r="D200" s="186">
        <v>41.6</v>
      </c>
      <c r="E200" s="186">
        <v>41.6</v>
      </c>
      <c r="F200" s="14" t="s">
        <v>24</v>
      </c>
      <c r="G200" s="112">
        <v>2</v>
      </c>
      <c r="H200" s="111">
        <v>2</v>
      </c>
      <c r="I200" s="112"/>
      <c r="J200" s="111"/>
      <c r="K200" s="112"/>
      <c r="L200" s="111"/>
      <c r="M200" s="112">
        <v>3</v>
      </c>
      <c r="N200" s="111">
        <v>3</v>
      </c>
      <c r="O200" s="112"/>
      <c r="P200" s="111"/>
      <c r="Q200" s="112"/>
      <c r="R200" s="111"/>
      <c r="S200" s="112" cm="1">
        <f t="array" ref="S200">MAX(IF(MOD(COLUMN(G200:R200)-COLUMN(C193),2)=0, G200:R200))</f>
        <v>3</v>
      </c>
      <c r="T200" s="111" cm="1">
        <f t="array" ref="T200">MAX(IF(MOD(COLUMN(G200:R200)-COLUMN(C193),2)=1, G200:R200))</f>
        <v>3</v>
      </c>
      <c r="U200" s="5"/>
    </row>
    <row r="201" spans="1:21" x14ac:dyDescent="0.25">
      <c r="A201" s="214"/>
      <c r="B201" s="190"/>
      <c r="C201" s="184"/>
      <c r="D201" s="187"/>
      <c r="E201" s="187"/>
      <c r="F201" s="21" t="s">
        <v>65</v>
      </c>
      <c r="G201" s="101">
        <v>40</v>
      </c>
      <c r="H201" s="102">
        <v>2000</v>
      </c>
      <c r="I201" s="101"/>
      <c r="J201" s="102"/>
      <c r="K201" s="101"/>
      <c r="L201" s="102"/>
      <c r="M201" s="101">
        <v>40</v>
      </c>
      <c r="N201" s="102">
        <v>2000</v>
      </c>
      <c r="O201" s="101"/>
      <c r="P201" s="102"/>
      <c r="Q201" s="101"/>
      <c r="R201" s="102"/>
      <c r="S201" s="101">
        <f>G61+I61+K61+M61+O61+Q61+G201+I201++K201+M201+O201+Q201</f>
        <v>120</v>
      </c>
      <c r="T201" s="102">
        <f>H61+J61+L61+N61+P61+R61+H201+J201++L201+N201+P201+R201</f>
        <v>6000</v>
      </c>
      <c r="U201" s="5"/>
    </row>
    <row r="202" spans="1:21" ht="16.5" thickBot="1" x14ac:dyDescent="0.3">
      <c r="A202" s="214"/>
      <c r="B202" s="191"/>
      <c r="C202" s="185"/>
      <c r="D202" s="188"/>
      <c r="E202" s="188"/>
      <c r="F202" s="27" t="s">
        <v>27</v>
      </c>
      <c r="G202" s="103">
        <v>41.6</v>
      </c>
      <c r="H202" s="104">
        <v>41.6</v>
      </c>
      <c r="I202" s="103"/>
      <c r="J202" s="104"/>
      <c r="K202" s="103"/>
      <c r="L202" s="104"/>
      <c r="M202" s="103">
        <v>41.6</v>
      </c>
      <c r="N202" s="104">
        <v>41.6</v>
      </c>
      <c r="O202" s="103"/>
      <c r="P202" s="104"/>
      <c r="Q202" s="103"/>
      <c r="R202" s="104"/>
      <c r="S202" s="103" cm="1">
        <f t="array" ref="S202">MAX(IF(MOD(COLUMN(G202:R202)-COLUMN(C195),2)=0, G202:R202))</f>
        <v>41.6</v>
      </c>
      <c r="T202" s="104" cm="1">
        <f t="array" ref="T202">MAX(IF(MOD(COLUMN(G202:R202)-COLUMN(C195),2)=1, G202:R202))</f>
        <v>41.6</v>
      </c>
      <c r="U202" s="5"/>
    </row>
    <row r="203" spans="1:21" x14ac:dyDescent="0.25">
      <c r="A203" s="214"/>
      <c r="B203" s="189">
        <v>15</v>
      </c>
      <c r="C203" s="183">
        <v>2011</v>
      </c>
      <c r="D203" s="186">
        <v>49.3</v>
      </c>
      <c r="E203" s="186">
        <v>49.17</v>
      </c>
      <c r="F203" s="14" t="s">
        <v>24</v>
      </c>
      <c r="G203" s="112">
        <v>2</v>
      </c>
      <c r="H203" s="111">
        <v>2</v>
      </c>
      <c r="I203" s="112"/>
      <c r="J203" s="111"/>
      <c r="K203" s="112"/>
      <c r="L203" s="111"/>
      <c r="M203" s="112">
        <v>3</v>
      </c>
      <c r="N203" s="111">
        <v>3</v>
      </c>
      <c r="O203" s="112"/>
      <c r="P203" s="111"/>
      <c r="Q203" s="112"/>
      <c r="R203" s="111"/>
      <c r="S203" s="112" cm="1">
        <f t="array" ref="S203">MAX(IF(MOD(COLUMN(G203:R203)-COLUMN(C196),2)=0, G203:R203))</f>
        <v>3</v>
      </c>
      <c r="T203" s="111" cm="1">
        <f t="array" ref="T203">MAX(IF(MOD(COLUMN(G203:R203)-COLUMN(C196),2)=1, G203:R203))</f>
        <v>3</v>
      </c>
      <c r="U203" s="5"/>
    </row>
    <row r="204" spans="1:21" x14ac:dyDescent="0.25">
      <c r="A204" s="214"/>
      <c r="B204" s="190"/>
      <c r="C204" s="184"/>
      <c r="D204" s="187"/>
      <c r="E204" s="187"/>
      <c r="F204" s="21" t="s">
        <v>65</v>
      </c>
      <c r="G204" s="101">
        <v>80</v>
      </c>
      <c r="H204" s="102">
        <v>4000</v>
      </c>
      <c r="I204" s="101"/>
      <c r="J204" s="102"/>
      <c r="K204" s="101"/>
      <c r="L204" s="102"/>
      <c r="M204" s="101">
        <v>60</v>
      </c>
      <c r="N204" s="102">
        <v>3000</v>
      </c>
      <c r="O204" s="101"/>
      <c r="P204" s="102"/>
      <c r="Q204" s="101"/>
      <c r="R204" s="102"/>
      <c r="S204" s="101">
        <f>G64+I64+K64+M64+O64+Q64+G204+I204++K204+M204+O204+Q204</f>
        <v>200</v>
      </c>
      <c r="T204" s="102">
        <f>H64+J64+L64+N64+P64+R64+H204+J204++L204+N204+P204+R204</f>
        <v>10000</v>
      </c>
      <c r="U204" s="5"/>
    </row>
    <row r="205" spans="1:21" ht="16.5" thickBot="1" x14ac:dyDescent="0.3">
      <c r="A205" s="214"/>
      <c r="B205" s="191"/>
      <c r="C205" s="185"/>
      <c r="D205" s="188"/>
      <c r="E205" s="188"/>
      <c r="F205" s="27" t="s">
        <v>27</v>
      </c>
      <c r="G205" s="103">
        <v>49.3</v>
      </c>
      <c r="H205" s="104">
        <v>49.3</v>
      </c>
      <c r="I205" s="103"/>
      <c r="J205" s="104"/>
      <c r="K205" s="103"/>
      <c r="L205" s="104"/>
      <c r="M205" s="103">
        <v>49.17</v>
      </c>
      <c r="N205" s="104">
        <v>49.17</v>
      </c>
      <c r="O205" s="103"/>
      <c r="P205" s="104"/>
      <c r="Q205" s="103"/>
      <c r="R205" s="104"/>
      <c r="S205" s="103" cm="1">
        <f t="array" ref="S205">MAX(IF(MOD(COLUMN(G205:R205)-COLUMN(C198),2)=0, G205:R205))</f>
        <v>49.3</v>
      </c>
      <c r="T205" s="104" cm="1">
        <f t="array" ref="T205">MAX(IF(MOD(COLUMN(G205:R205)-COLUMN(C198),2)=1, G205:R205))</f>
        <v>49.3</v>
      </c>
      <c r="U205" s="5"/>
    </row>
    <row r="206" spans="1:21" x14ac:dyDescent="0.25">
      <c r="A206" s="214"/>
      <c r="B206" s="189">
        <v>16</v>
      </c>
      <c r="C206" s="183">
        <v>2011</v>
      </c>
      <c r="D206" s="186">
        <v>53.2</v>
      </c>
      <c r="E206" s="186">
        <v>52.61</v>
      </c>
      <c r="F206" s="14" t="s">
        <v>24</v>
      </c>
      <c r="G206" s="112"/>
      <c r="H206" s="111"/>
      <c r="I206" s="112"/>
      <c r="J206" s="111"/>
      <c r="K206" s="112">
        <v>3</v>
      </c>
      <c r="L206" s="111">
        <v>3</v>
      </c>
      <c r="M206" s="112"/>
      <c r="N206" s="111"/>
      <c r="O206" s="112"/>
      <c r="P206" s="111"/>
      <c r="Q206" s="112"/>
      <c r="R206" s="111"/>
      <c r="S206" s="112" cm="1">
        <f t="array" ref="S206">MAX(IF(MOD(COLUMN(G206:R206)-COLUMN(C199),2)=0, G206:R206))</f>
        <v>3</v>
      </c>
      <c r="T206" s="111" cm="1">
        <f t="array" ref="T206">MAX(IF(MOD(COLUMN(G206:R206)-COLUMN(C199),2)=1, G206:R206))</f>
        <v>3</v>
      </c>
      <c r="U206" s="5"/>
    </row>
    <row r="207" spans="1:21" x14ac:dyDescent="0.25">
      <c r="A207" s="214"/>
      <c r="B207" s="190"/>
      <c r="C207" s="184"/>
      <c r="D207" s="187"/>
      <c r="E207" s="187"/>
      <c r="F207" s="21" t="s">
        <v>65</v>
      </c>
      <c r="G207" s="101"/>
      <c r="H207" s="102"/>
      <c r="I207" s="101"/>
      <c r="J207" s="102"/>
      <c r="K207" s="101">
        <v>40</v>
      </c>
      <c r="L207" s="102">
        <v>2000</v>
      </c>
      <c r="M207" s="101"/>
      <c r="N207" s="102"/>
      <c r="O207" s="101"/>
      <c r="P207" s="102"/>
      <c r="Q207" s="101"/>
      <c r="R207" s="102"/>
      <c r="S207" s="101">
        <f>G67+I67+K67+M67+O67+Q67+G207+I207++K207+M207+O207+Q207</f>
        <v>120</v>
      </c>
      <c r="T207" s="102">
        <f>H67+J67+L67+N67+P67+R67+H207+J207++L207+N207+P207+R207</f>
        <v>6000</v>
      </c>
      <c r="U207" s="5"/>
    </row>
    <row r="208" spans="1:21" ht="16.5" thickBot="1" x14ac:dyDescent="0.3">
      <c r="A208" s="214"/>
      <c r="B208" s="191"/>
      <c r="C208" s="185"/>
      <c r="D208" s="188"/>
      <c r="E208" s="188"/>
      <c r="F208" s="27" t="s">
        <v>27</v>
      </c>
      <c r="G208" s="121"/>
      <c r="H208" s="122"/>
      <c r="I208" s="121"/>
      <c r="J208" s="122"/>
      <c r="K208" s="121">
        <v>53.2</v>
      </c>
      <c r="L208" s="122">
        <v>53.2</v>
      </c>
      <c r="M208" s="121"/>
      <c r="N208" s="122"/>
      <c r="O208" s="121"/>
      <c r="P208" s="122"/>
      <c r="Q208" s="121"/>
      <c r="R208" s="122"/>
      <c r="S208" s="103" cm="1">
        <f t="array" ref="S208">MAX(IF(MOD(COLUMN(G208:R208)-COLUMN(C201),2)=0, G208:R208))</f>
        <v>53.2</v>
      </c>
      <c r="T208" s="104" cm="1">
        <f t="array" ref="T208">MAX(IF(MOD(COLUMN(G208:R208)-COLUMN(C201),2)=1, G208:R208))</f>
        <v>53.2</v>
      </c>
      <c r="U208" s="5"/>
    </row>
    <row r="209" spans="1:21" x14ac:dyDescent="0.25">
      <c r="A209" s="214"/>
      <c r="B209" s="189">
        <v>17</v>
      </c>
      <c r="C209" s="183">
        <v>2011</v>
      </c>
      <c r="D209" s="186">
        <v>45.7</v>
      </c>
      <c r="E209" s="186">
        <v>45.58</v>
      </c>
      <c r="F209" s="14" t="s">
        <v>24</v>
      </c>
      <c r="G209" s="112"/>
      <c r="H209" s="111"/>
      <c r="I209" s="112">
        <v>3</v>
      </c>
      <c r="J209" s="111">
        <v>3</v>
      </c>
      <c r="K209" s="112"/>
      <c r="L209" s="111"/>
      <c r="M209" s="112"/>
      <c r="N209" s="111"/>
      <c r="O209" s="112"/>
      <c r="P209" s="111"/>
      <c r="Q209" s="112"/>
      <c r="R209" s="111"/>
      <c r="S209" s="112" cm="1">
        <f t="array" ref="S209">MAX(IF(MOD(COLUMN(G209:R209)-COLUMN(C202),2)=0, G209:R209))</f>
        <v>3</v>
      </c>
      <c r="T209" s="111" cm="1">
        <f t="array" ref="T209">MAX(IF(MOD(COLUMN(G209:R209)-COLUMN(C202),2)=1, G209:R209))</f>
        <v>3</v>
      </c>
      <c r="U209" s="5"/>
    </row>
    <row r="210" spans="1:21" x14ac:dyDescent="0.25">
      <c r="A210" s="214"/>
      <c r="B210" s="190"/>
      <c r="C210" s="184"/>
      <c r="D210" s="187"/>
      <c r="E210" s="187"/>
      <c r="F210" s="21" t="s">
        <v>65</v>
      </c>
      <c r="G210" s="101"/>
      <c r="H210" s="102"/>
      <c r="I210" s="101">
        <v>40</v>
      </c>
      <c r="J210" s="102">
        <v>2000</v>
      </c>
      <c r="K210" s="101"/>
      <c r="L210" s="102"/>
      <c r="M210" s="101"/>
      <c r="N210" s="102"/>
      <c r="O210" s="101"/>
      <c r="P210" s="102"/>
      <c r="Q210" s="101"/>
      <c r="R210" s="102"/>
      <c r="S210" s="101">
        <f>G70+I70+K70+M70+O70+Q70+G210+I210++K210+M210+O210+Q210</f>
        <v>120</v>
      </c>
      <c r="T210" s="102">
        <f>H70+J70+L70+N70+P70+R70+H210+J210++L210+N210+P210+R210</f>
        <v>6000</v>
      </c>
      <c r="U210" s="5"/>
    </row>
    <row r="211" spans="1:21" ht="16.5" thickBot="1" x14ac:dyDescent="0.3">
      <c r="A211" s="214"/>
      <c r="B211" s="190"/>
      <c r="C211" s="184"/>
      <c r="D211" s="187"/>
      <c r="E211" s="187"/>
      <c r="F211" s="21" t="s">
        <v>27</v>
      </c>
      <c r="G211" s="113"/>
      <c r="H211" s="123"/>
      <c r="I211" s="113">
        <v>45.7</v>
      </c>
      <c r="J211" s="123">
        <v>45.7</v>
      </c>
      <c r="K211" s="113"/>
      <c r="L211" s="123"/>
      <c r="M211" s="113"/>
      <c r="N211" s="123"/>
      <c r="O211" s="113"/>
      <c r="P211" s="123"/>
      <c r="Q211" s="113"/>
      <c r="R211" s="123"/>
      <c r="S211" s="103" cm="1">
        <f t="array" ref="S211">MAX(IF(MOD(COLUMN(G211:R211)-COLUMN(C204),2)=0, G211:R211))</f>
        <v>45.7</v>
      </c>
      <c r="T211" s="104" cm="1">
        <f t="array" ref="T211">MAX(IF(MOD(COLUMN(G211:R211)-COLUMN(C204),2)=1, G211:R211))</f>
        <v>45.7</v>
      </c>
      <c r="U211" s="5"/>
    </row>
    <row r="212" spans="1:21" x14ac:dyDescent="0.25">
      <c r="A212" s="214"/>
      <c r="B212" s="189">
        <v>18</v>
      </c>
      <c r="C212" s="183">
        <v>2011</v>
      </c>
      <c r="D212" s="186">
        <v>40.799999999999997</v>
      </c>
      <c r="E212" s="186">
        <v>40.799999999999997</v>
      </c>
      <c r="F212" s="14" t="s">
        <v>24</v>
      </c>
      <c r="G212" s="112"/>
      <c r="H212" s="111"/>
      <c r="I212" s="112"/>
      <c r="J212" s="111"/>
      <c r="K212" s="112">
        <v>3</v>
      </c>
      <c r="L212" s="111">
        <v>3</v>
      </c>
      <c r="M212" s="112"/>
      <c r="N212" s="111"/>
      <c r="O212" s="112"/>
      <c r="P212" s="111"/>
      <c r="Q212" s="112"/>
      <c r="R212" s="111"/>
      <c r="S212" s="112" cm="1">
        <f t="array" ref="S212">MAX(IF(MOD(COLUMN(G212:R212)-COLUMN(C205),2)=0, G212:R212))</f>
        <v>3</v>
      </c>
      <c r="T212" s="111" cm="1">
        <f t="array" ref="T212">MAX(IF(MOD(COLUMN(G212:R212)-COLUMN(C205),2)=1, G212:R212))</f>
        <v>3</v>
      </c>
      <c r="U212" s="5"/>
    </row>
    <row r="213" spans="1:21" x14ac:dyDescent="0.25">
      <c r="A213" s="214"/>
      <c r="B213" s="190"/>
      <c r="C213" s="184"/>
      <c r="D213" s="187"/>
      <c r="E213" s="187"/>
      <c r="F213" s="21" t="s">
        <v>65</v>
      </c>
      <c r="G213" s="101"/>
      <c r="H213" s="102"/>
      <c r="I213" s="101"/>
      <c r="J213" s="102"/>
      <c r="K213" s="101">
        <v>40</v>
      </c>
      <c r="L213" s="102">
        <v>2000</v>
      </c>
      <c r="M213" s="101"/>
      <c r="N213" s="102"/>
      <c r="O213" s="101"/>
      <c r="P213" s="102"/>
      <c r="Q213" s="101"/>
      <c r="R213" s="102"/>
      <c r="S213" s="101">
        <f>G73+I73+K73+M73+O73+Q73+G213+I213++K213+M213+O213+Q213</f>
        <v>120</v>
      </c>
      <c r="T213" s="102">
        <f>H73+J73+L73+N73+P73+R73+H213+J213++L213+N213+P213+R213</f>
        <v>6000</v>
      </c>
      <c r="U213" s="5"/>
    </row>
    <row r="214" spans="1:21" ht="16.5" thickBot="1" x14ac:dyDescent="0.3">
      <c r="A214" s="214"/>
      <c r="B214" s="191"/>
      <c r="C214" s="185"/>
      <c r="D214" s="188"/>
      <c r="E214" s="188"/>
      <c r="F214" s="27" t="s">
        <v>27</v>
      </c>
      <c r="G214" s="103"/>
      <c r="H214" s="104"/>
      <c r="I214" s="103"/>
      <c r="J214" s="104"/>
      <c r="K214" s="103">
        <v>40.799999999999997</v>
      </c>
      <c r="L214" s="104">
        <v>40.799999999999997</v>
      </c>
      <c r="M214" s="103"/>
      <c r="N214" s="104"/>
      <c r="O214" s="103"/>
      <c r="P214" s="104"/>
      <c r="Q214" s="103"/>
      <c r="R214" s="104"/>
      <c r="S214" s="103" cm="1">
        <f t="array" ref="S214">MAX(IF(MOD(COLUMN(G214:R214)-COLUMN(C207),2)=0, G214:R214))</f>
        <v>40.799999999999997</v>
      </c>
      <c r="T214" s="104" cm="1">
        <f t="array" ref="T214">MAX(IF(MOD(COLUMN(G214:R214)-COLUMN(C207),2)=1, G214:R214))</f>
        <v>40.799999999999997</v>
      </c>
      <c r="U214" s="5"/>
    </row>
    <row r="215" spans="1:21" ht="16.5" thickBot="1" x14ac:dyDescent="0.3">
      <c r="A215" s="214"/>
      <c r="B215" s="227" t="s">
        <v>29</v>
      </c>
      <c r="C215" s="228"/>
      <c r="D215" s="225">
        <f>SUM(D194:D214)</f>
        <v>310.5</v>
      </c>
      <c r="E215" s="225">
        <f>SUM(E194:E214)</f>
        <v>309.66000000000003</v>
      </c>
      <c r="F215" s="125" t="s">
        <v>65</v>
      </c>
      <c r="G215" s="47">
        <f t="shared" ref="G215:T215" si="12">G195+G198+G201+G204+G207+G210+G213</f>
        <v>140</v>
      </c>
      <c r="H215" s="49">
        <f t="shared" si="12"/>
        <v>7000</v>
      </c>
      <c r="I215" s="47">
        <f t="shared" si="12"/>
        <v>80</v>
      </c>
      <c r="J215" s="49">
        <f t="shared" si="12"/>
        <v>4000</v>
      </c>
      <c r="K215" s="47">
        <f t="shared" si="12"/>
        <v>80</v>
      </c>
      <c r="L215" s="49">
        <f t="shared" si="12"/>
        <v>4000</v>
      </c>
      <c r="M215" s="47">
        <f t="shared" si="12"/>
        <v>120</v>
      </c>
      <c r="N215" s="49">
        <f t="shared" si="12"/>
        <v>6000</v>
      </c>
      <c r="O215" s="47">
        <f t="shared" si="12"/>
        <v>0</v>
      </c>
      <c r="P215" s="49">
        <f t="shared" si="12"/>
        <v>0</v>
      </c>
      <c r="Q215" s="47">
        <f t="shared" si="12"/>
        <v>0</v>
      </c>
      <c r="R215" s="49">
        <f t="shared" si="12"/>
        <v>0</v>
      </c>
      <c r="S215" s="47">
        <f t="shared" si="12"/>
        <v>860</v>
      </c>
      <c r="T215" s="49">
        <f t="shared" si="12"/>
        <v>43000</v>
      </c>
      <c r="U215" s="5"/>
    </row>
    <row r="216" spans="1:21" ht="16.5" thickBot="1" x14ac:dyDescent="0.3">
      <c r="A216" s="215"/>
      <c r="B216" s="229"/>
      <c r="C216" s="230"/>
      <c r="D216" s="226"/>
      <c r="E216" s="226"/>
      <c r="F216" s="46" t="s">
        <v>27</v>
      </c>
      <c r="G216" s="47">
        <f t="shared" ref="G216:T216" si="13">G196+G199+G202+G205+G208+G211+G214</f>
        <v>110</v>
      </c>
      <c r="H216" s="49">
        <f t="shared" si="13"/>
        <v>110</v>
      </c>
      <c r="I216" s="47">
        <f t="shared" si="13"/>
        <v>106.5</v>
      </c>
      <c r="J216" s="49">
        <f t="shared" si="13"/>
        <v>106.5</v>
      </c>
      <c r="K216" s="47">
        <f t="shared" si="13"/>
        <v>94</v>
      </c>
      <c r="L216" s="49">
        <f t="shared" si="13"/>
        <v>94</v>
      </c>
      <c r="M216" s="47">
        <f t="shared" si="13"/>
        <v>109.87</v>
      </c>
      <c r="N216" s="49">
        <f t="shared" si="13"/>
        <v>109.87</v>
      </c>
      <c r="O216" s="47">
        <f t="shared" si="13"/>
        <v>0</v>
      </c>
      <c r="P216" s="49">
        <f t="shared" si="13"/>
        <v>0</v>
      </c>
      <c r="Q216" s="47">
        <f t="shared" si="13"/>
        <v>0</v>
      </c>
      <c r="R216" s="49">
        <f t="shared" si="13"/>
        <v>0</v>
      </c>
      <c r="S216" s="47">
        <f t="shared" si="13"/>
        <v>310.5</v>
      </c>
      <c r="T216" s="49">
        <f t="shared" si="13"/>
        <v>310.5</v>
      </c>
      <c r="U216" s="5"/>
    </row>
    <row r="217" spans="1:21" ht="16.5" thickBot="1" x14ac:dyDescent="0.3">
      <c r="A217" s="147" t="s">
        <v>79</v>
      </c>
    </row>
    <row r="218" spans="1:21" ht="15.75" customHeight="1" x14ac:dyDescent="0.25">
      <c r="A218" s="209" t="s">
        <v>67</v>
      </c>
      <c r="B218" s="209" t="s">
        <v>7</v>
      </c>
      <c r="C218" s="160" t="s">
        <v>8</v>
      </c>
      <c r="D218" s="166" t="s">
        <v>9</v>
      </c>
      <c r="E218" s="166" t="s">
        <v>10</v>
      </c>
      <c r="F218" s="169" t="s">
        <v>11</v>
      </c>
      <c r="G218" s="203" t="s">
        <v>18</v>
      </c>
      <c r="H218" s="204"/>
      <c r="I218" s="203" t="s">
        <v>19</v>
      </c>
      <c r="J218" s="204"/>
      <c r="K218" s="203" t="s">
        <v>20</v>
      </c>
      <c r="L218" s="204"/>
      <c r="M218" s="203" t="s">
        <v>21</v>
      </c>
      <c r="N218" s="204"/>
      <c r="O218" s="211" t="s">
        <v>22</v>
      </c>
      <c r="P218" s="211"/>
      <c r="Q218" s="203" t="s">
        <v>23</v>
      </c>
      <c r="R218" s="204"/>
      <c r="S218" s="203" t="s">
        <v>66</v>
      </c>
      <c r="T218" s="204"/>
      <c r="U218" s="5"/>
    </row>
    <row r="219" spans="1:21" ht="15.75" customHeight="1" x14ac:dyDescent="0.25">
      <c r="A219" s="158"/>
      <c r="B219" s="158"/>
      <c r="C219" s="161"/>
      <c r="D219" s="167"/>
      <c r="E219" s="167"/>
      <c r="F219" s="193"/>
      <c r="G219" s="205"/>
      <c r="H219" s="206"/>
      <c r="I219" s="205"/>
      <c r="J219" s="206"/>
      <c r="K219" s="205"/>
      <c r="L219" s="206"/>
      <c r="M219" s="205"/>
      <c r="N219" s="206"/>
      <c r="O219" s="156"/>
      <c r="P219" s="156"/>
      <c r="Q219" s="205"/>
      <c r="R219" s="206"/>
      <c r="S219" s="205"/>
      <c r="T219" s="206"/>
      <c r="U219" s="5"/>
    </row>
    <row r="220" spans="1:21" ht="16.5" thickBot="1" x14ac:dyDescent="0.3">
      <c r="A220" s="158"/>
      <c r="B220" s="158"/>
      <c r="C220" s="162"/>
      <c r="D220" s="167"/>
      <c r="E220" s="167"/>
      <c r="F220" s="193"/>
      <c r="G220" s="207"/>
      <c r="H220" s="208"/>
      <c r="I220" s="207"/>
      <c r="J220" s="208"/>
      <c r="K220" s="207"/>
      <c r="L220" s="208"/>
      <c r="M220" s="207"/>
      <c r="N220" s="208"/>
      <c r="O220" s="212"/>
      <c r="P220" s="212"/>
      <c r="Q220" s="207"/>
      <c r="R220" s="208"/>
      <c r="S220" s="207"/>
      <c r="T220" s="208"/>
      <c r="U220" s="5"/>
    </row>
    <row r="221" spans="1:21" s="119" customFormat="1" ht="32.25" thickBot="1" x14ac:dyDescent="0.3">
      <c r="A221" s="210"/>
      <c r="B221" s="210"/>
      <c r="C221" s="90"/>
      <c r="D221" s="168"/>
      <c r="E221" s="168"/>
      <c r="F221" s="194"/>
      <c r="G221" s="106" t="s">
        <v>76</v>
      </c>
      <c r="H221" s="118" t="s">
        <v>75</v>
      </c>
      <c r="I221" s="106" t="s">
        <v>76</v>
      </c>
      <c r="J221" s="118" t="s">
        <v>75</v>
      </c>
      <c r="K221" s="106" t="s">
        <v>76</v>
      </c>
      <c r="L221" s="118" t="s">
        <v>75</v>
      </c>
      <c r="M221" s="106" t="s">
        <v>76</v>
      </c>
      <c r="N221" s="118" t="s">
        <v>75</v>
      </c>
      <c r="O221" s="106" t="s">
        <v>76</v>
      </c>
      <c r="P221" s="118" t="s">
        <v>75</v>
      </c>
      <c r="Q221" s="106" t="s">
        <v>76</v>
      </c>
      <c r="R221" s="118" t="s">
        <v>75</v>
      </c>
      <c r="S221" s="106" t="s">
        <v>76</v>
      </c>
      <c r="T221" s="118" t="s">
        <v>75</v>
      </c>
    </row>
    <row r="222" spans="1:21" x14ac:dyDescent="0.25">
      <c r="A222" s="213" t="s">
        <v>70</v>
      </c>
      <c r="B222" s="180">
        <v>19</v>
      </c>
      <c r="C222" s="183">
        <v>2012</v>
      </c>
      <c r="D222" s="186">
        <v>50.6</v>
      </c>
      <c r="E222" s="186">
        <v>50.6</v>
      </c>
      <c r="F222" s="14" t="s">
        <v>24</v>
      </c>
      <c r="G222" s="112"/>
      <c r="H222" s="111"/>
      <c r="I222" s="112">
        <v>3</v>
      </c>
      <c r="J222" s="111">
        <v>3</v>
      </c>
      <c r="K222" s="112"/>
      <c r="L222" s="111"/>
      <c r="M222" s="112"/>
      <c r="N222" s="111"/>
      <c r="O222" s="112"/>
      <c r="P222" s="111"/>
      <c r="Q222" s="112"/>
      <c r="R222" s="111"/>
      <c r="S222" s="112" cm="1">
        <f t="array" ref="S222">MAX(IF(MOD(COLUMN(G222:R222)-COLUMN(C210),2)=0, G222:R222))</f>
        <v>3</v>
      </c>
      <c r="T222" s="111" cm="1">
        <f t="array" ref="T222">MAX(IF(MOD(COLUMN(G222:R222)-COLUMN(C210),2)=1, G222:R222))</f>
        <v>3</v>
      </c>
      <c r="U222" s="5"/>
    </row>
    <row r="223" spans="1:21" x14ac:dyDescent="0.25">
      <c r="A223" s="214"/>
      <c r="B223" s="181"/>
      <c r="C223" s="184"/>
      <c r="D223" s="187"/>
      <c r="E223" s="187"/>
      <c r="F223" s="21" t="s">
        <v>65</v>
      </c>
      <c r="G223" s="101"/>
      <c r="H223" s="102"/>
      <c r="I223" s="101">
        <v>60</v>
      </c>
      <c r="J223" s="102">
        <v>3000</v>
      </c>
      <c r="K223" s="101"/>
      <c r="L223" s="102"/>
      <c r="M223" s="101"/>
      <c r="N223" s="102"/>
      <c r="O223" s="101"/>
      <c r="P223" s="102"/>
      <c r="Q223" s="101"/>
      <c r="R223" s="102"/>
      <c r="S223" s="101">
        <f>G83+I83+K83+M83+O83+Q83+G223+I223++K223+M223+O223+Q223</f>
        <v>180</v>
      </c>
      <c r="T223" s="102">
        <f>H83+J83+L83+N83+P83+R83+H223+J223++L223+N223+P223+R223</f>
        <v>9000</v>
      </c>
      <c r="U223" s="5"/>
    </row>
    <row r="224" spans="1:21" ht="16.5" thickBot="1" x14ac:dyDescent="0.3">
      <c r="A224" s="214"/>
      <c r="B224" s="182"/>
      <c r="C224" s="185"/>
      <c r="D224" s="188"/>
      <c r="E224" s="188"/>
      <c r="F224" s="27" t="s">
        <v>27</v>
      </c>
      <c r="G224" s="103"/>
      <c r="H224" s="104"/>
      <c r="I224" s="103">
        <v>50.6</v>
      </c>
      <c r="J224" s="104">
        <v>50.6</v>
      </c>
      <c r="K224" s="103"/>
      <c r="L224" s="104"/>
      <c r="M224" s="103"/>
      <c r="N224" s="104"/>
      <c r="O224" s="103"/>
      <c r="P224" s="104"/>
      <c r="Q224" s="103"/>
      <c r="R224" s="104"/>
      <c r="S224" s="103" cm="1">
        <f t="array" ref="S224">MAX(IF(MOD(COLUMN(G224:R224)-COLUMN(C219),2)=0, G224:R224))</f>
        <v>50.6</v>
      </c>
      <c r="T224" s="104" cm="1">
        <f t="array" ref="T224">MAX(IF(MOD(COLUMN(G224:R224)-COLUMN(C219),2)=1, G224:R224))</f>
        <v>50.6</v>
      </c>
      <c r="U224" s="5"/>
    </row>
    <row r="225" spans="1:21" x14ac:dyDescent="0.25">
      <c r="A225" s="214"/>
      <c r="B225" s="189">
        <v>20</v>
      </c>
      <c r="C225" s="183">
        <v>2012</v>
      </c>
      <c r="D225" s="186">
        <v>62.1</v>
      </c>
      <c r="E225" s="186">
        <v>61.98</v>
      </c>
      <c r="F225" s="14" t="s">
        <v>24</v>
      </c>
      <c r="G225" s="112"/>
      <c r="H225" s="111"/>
      <c r="I225" s="112">
        <v>3</v>
      </c>
      <c r="J225" s="111">
        <v>3</v>
      </c>
      <c r="K225" s="112"/>
      <c r="L225" s="111"/>
      <c r="M225" s="112"/>
      <c r="N225" s="111"/>
      <c r="O225" s="112"/>
      <c r="P225" s="111"/>
      <c r="Q225" s="112"/>
      <c r="R225" s="111"/>
      <c r="S225" s="112" cm="1">
        <f t="array" ref="S225">MAX(IF(MOD(COLUMN(G225:R225)-COLUMN(C220),2)=0, G225:R225))</f>
        <v>3</v>
      </c>
      <c r="T225" s="111" cm="1">
        <f t="array" ref="T225">MAX(IF(MOD(COLUMN(G225:R225)-COLUMN(C220),2)=1, G225:R225))</f>
        <v>3</v>
      </c>
      <c r="U225" s="5"/>
    </row>
    <row r="226" spans="1:21" x14ac:dyDescent="0.25">
      <c r="A226" s="214"/>
      <c r="B226" s="190"/>
      <c r="C226" s="184"/>
      <c r="D226" s="187"/>
      <c r="E226" s="187"/>
      <c r="F226" s="21" t="s">
        <v>65</v>
      </c>
      <c r="G226" s="101"/>
      <c r="H226" s="102"/>
      <c r="I226" s="101">
        <v>40</v>
      </c>
      <c r="J226" s="102">
        <v>2000</v>
      </c>
      <c r="K226" s="101"/>
      <c r="L226" s="102"/>
      <c r="M226" s="101"/>
      <c r="N226" s="102"/>
      <c r="O226" s="101"/>
      <c r="P226" s="102"/>
      <c r="Q226" s="101"/>
      <c r="R226" s="102"/>
      <c r="S226" s="101">
        <f>G86+I86+K86+M86+O86+Q86+G226+I226++K226+M226+O226+Q226</f>
        <v>120</v>
      </c>
      <c r="T226" s="102">
        <f>H86+J86+L86+N86+P86+R86+H226+J226++L226+N226+P226+R226</f>
        <v>6000</v>
      </c>
      <c r="U226" s="8"/>
    </row>
    <row r="227" spans="1:21" ht="16.5" thickBot="1" x14ac:dyDescent="0.3">
      <c r="A227" s="214"/>
      <c r="B227" s="191"/>
      <c r="C227" s="185"/>
      <c r="D227" s="188"/>
      <c r="E227" s="188"/>
      <c r="F227" s="27" t="s">
        <v>27</v>
      </c>
      <c r="G227" s="103"/>
      <c r="H227" s="104"/>
      <c r="I227" s="103">
        <v>62.1</v>
      </c>
      <c r="J227" s="104">
        <v>62.1</v>
      </c>
      <c r="K227" s="103"/>
      <c r="L227" s="104"/>
      <c r="M227" s="103"/>
      <c r="N227" s="104"/>
      <c r="O227" s="103"/>
      <c r="P227" s="104"/>
      <c r="Q227" s="103"/>
      <c r="R227" s="104"/>
      <c r="S227" s="103" cm="1">
        <f t="array" ref="S227">MAX(IF(MOD(COLUMN(G227:R227)-COLUMN(C219),2)=0, G227:R227))</f>
        <v>62.1</v>
      </c>
      <c r="T227" s="104" cm="1">
        <f t="array" ref="T227">MAX(IF(MOD(COLUMN(G227:R227)-COLUMN(C219),2)=1, G227:R227))</f>
        <v>62.1</v>
      </c>
      <c r="U227" s="8"/>
    </row>
    <row r="228" spans="1:21" x14ac:dyDescent="0.25">
      <c r="A228" s="214"/>
      <c r="B228" s="189">
        <v>21</v>
      </c>
      <c r="C228" s="183">
        <v>2012</v>
      </c>
      <c r="D228" s="186">
        <v>72.2</v>
      </c>
      <c r="E228" s="186">
        <v>71.59</v>
      </c>
      <c r="F228" s="14" t="s">
        <v>24</v>
      </c>
      <c r="G228" s="112"/>
      <c r="H228" s="111"/>
      <c r="I228" s="112"/>
      <c r="J228" s="111"/>
      <c r="K228" s="112">
        <v>3</v>
      </c>
      <c r="L228" s="111">
        <v>3</v>
      </c>
      <c r="M228" s="112"/>
      <c r="N228" s="111"/>
      <c r="O228" s="112"/>
      <c r="P228" s="111"/>
      <c r="Q228" s="112"/>
      <c r="R228" s="111"/>
      <c r="S228" s="112" cm="1">
        <f t="array" ref="S228">MAX(IF(MOD(COLUMN(G228:R228)-COLUMN(C221),2)=0, G228:R228))</f>
        <v>3</v>
      </c>
      <c r="T228" s="111" cm="1">
        <f t="array" ref="T228">MAX(IF(MOD(COLUMN(G228:R228)-COLUMN(C221),2)=1, G228:R228))</f>
        <v>3</v>
      </c>
      <c r="U228" s="8"/>
    </row>
    <row r="229" spans="1:21" x14ac:dyDescent="0.25">
      <c r="A229" s="214"/>
      <c r="B229" s="190"/>
      <c r="C229" s="184"/>
      <c r="D229" s="187"/>
      <c r="E229" s="187"/>
      <c r="F229" s="21" t="s">
        <v>65</v>
      </c>
      <c r="G229" s="101"/>
      <c r="H229" s="102"/>
      <c r="I229" s="101"/>
      <c r="J229" s="102"/>
      <c r="K229" s="101">
        <v>80</v>
      </c>
      <c r="L229" s="102">
        <v>4000</v>
      </c>
      <c r="M229" s="101"/>
      <c r="N229" s="102"/>
      <c r="O229" s="101"/>
      <c r="P229" s="102"/>
      <c r="Q229" s="101"/>
      <c r="R229" s="102"/>
      <c r="S229" s="101">
        <f>G89+I89+K89+M89+O89+Q89+G229+I229++K229+M229+O229+Q229</f>
        <v>240</v>
      </c>
      <c r="T229" s="102">
        <f>H89+J89+L89+N89+P89+R89+H229+J229++L229+N229+P229+R229</f>
        <v>12000</v>
      </c>
      <c r="U229" s="8"/>
    </row>
    <row r="230" spans="1:21" ht="16.5" thickBot="1" x14ac:dyDescent="0.3">
      <c r="A230" s="214"/>
      <c r="B230" s="191"/>
      <c r="C230" s="185"/>
      <c r="D230" s="188"/>
      <c r="E230" s="188"/>
      <c r="F230" s="27" t="s">
        <v>27</v>
      </c>
      <c r="G230" s="103"/>
      <c r="H230" s="104"/>
      <c r="I230" s="103"/>
      <c r="J230" s="104"/>
      <c r="K230" s="103">
        <v>72.2</v>
      </c>
      <c r="L230" s="104">
        <v>72.2</v>
      </c>
      <c r="M230" s="103"/>
      <c r="N230" s="104"/>
      <c r="O230" s="103"/>
      <c r="P230" s="104"/>
      <c r="Q230" s="103"/>
      <c r="R230" s="104"/>
      <c r="S230" s="103" cm="1">
        <f t="array" ref="S230">MAX(IF(MOD(COLUMN(G230:R230)-COLUMN(C223),2)=0, G230:R230))</f>
        <v>72.2</v>
      </c>
      <c r="T230" s="104" cm="1">
        <f t="array" ref="T230">MAX(IF(MOD(COLUMN(G230:R230)-COLUMN(C223),2)=1, G230:R230))</f>
        <v>72.2</v>
      </c>
      <c r="U230" s="5"/>
    </row>
    <row r="231" spans="1:21" x14ac:dyDescent="0.25">
      <c r="A231" s="214"/>
      <c r="B231" s="189">
        <v>22</v>
      </c>
      <c r="C231" s="183">
        <v>2012</v>
      </c>
      <c r="D231" s="186">
        <v>52.3</v>
      </c>
      <c r="E231" s="186">
        <v>52.08</v>
      </c>
      <c r="F231" s="14" t="s">
        <v>24</v>
      </c>
      <c r="G231" s="112"/>
      <c r="H231" s="111"/>
      <c r="I231" s="112"/>
      <c r="J231" s="111"/>
      <c r="K231" s="112">
        <v>3</v>
      </c>
      <c r="L231" s="111">
        <v>3</v>
      </c>
      <c r="M231" s="112"/>
      <c r="N231" s="111"/>
      <c r="O231" s="112"/>
      <c r="P231" s="111"/>
      <c r="Q231" s="112"/>
      <c r="R231" s="111"/>
      <c r="S231" s="112" cm="1">
        <f t="array" ref="S231">MAX(IF(MOD(COLUMN(G231:R231)-COLUMN(C224),2)=0, G231:R231))</f>
        <v>3</v>
      </c>
      <c r="T231" s="111" cm="1">
        <f t="array" ref="T231">MAX(IF(MOD(COLUMN(G231:R231)-COLUMN(C224),2)=1, G231:R231))</f>
        <v>3</v>
      </c>
      <c r="U231" s="5"/>
    </row>
    <row r="232" spans="1:21" x14ac:dyDescent="0.25">
      <c r="A232" s="214"/>
      <c r="B232" s="190"/>
      <c r="C232" s="184"/>
      <c r="D232" s="187"/>
      <c r="E232" s="187"/>
      <c r="F232" s="21" t="s">
        <v>65</v>
      </c>
      <c r="G232" s="101"/>
      <c r="H232" s="102"/>
      <c r="I232" s="101"/>
      <c r="J232" s="102"/>
      <c r="K232" s="101">
        <v>40</v>
      </c>
      <c r="L232" s="102">
        <v>2000</v>
      </c>
      <c r="M232" s="101"/>
      <c r="N232" s="102"/>
      <c r="O232" s="101"/>
      <c r="P232" s="102"/>
      <c r="Q232" s="101"/>
      <c r="R232" s="102"/>
      <c r="S232" s="101">
        <f>G92+I92+K92+M92+O92+Q92+G232+I232++K232+M232+O232+Q232</f>
        <v>120</v>
      </c>
      <c r="T232" s="102">
        <f>H92+J92+L92+N92+P92+R92+H232+J232++L232+N232+P232+R232</f>
        <v>6000</v>
      </c>
      <c r="U232" s="5"/>
    </row>
    <row r="233" spans="1:21" ht="16.5" thickBot="1" x14ac:dyDescent="0.3">
      <c r="A233" s="214"/>
      <c r="B233" s="191"/>
      <c r="C233" s="185"/>
      <c r="D233" s="188"/>
      <c r="E233" s="188"/>
      <c r="F233" s="27" t="s">
        <v>27</v>
      </c>
      <c r="G233" s="103"/>
      <c r="H233" s="104"/>
      <c r="I233" s="103"/>
      <c r="J233" s="104"/>
      <c r="K233" s="103">
        <v>52.3</v>
      </c>
      <c r="L233" s="104">
        <v>52.3</v>
      </c>
      <c r="M233" s="103"/>
      <c r="N233" s="104"/>
      <c r="O233" s="103"/>
      <c r="P233" s="104"/>
      <c r="Q233" s="103"/>
      <c r="R233" s="104"/>
      <c r="S233" s="103" cm="1">
        <f t="array" ref="S233">MAX(IF(MOD(COLUMN(G233:R233)-COLUMN(C226),2)=0, G233:R233))</f>
        <v>52.3</v>
      </c>
      <c r="T233" s="104" cm="1">
        <f t="array" ref="T233">MAX(IF(MOD(COLUMN(G233:R233)-COLUMN(C226),2)=1, G233:R233))</f>
        <v>52.3</v>
      </c>
      <c r="U233" s="5"/>
    </row>
    <row r="234" spans="1:21" x14ac:dyDescent="0.25">
      <c r="A234" s="214"/>
      <c r="B234" s="189">
        <v>24</v>
      </c>
      <c r="C234" s="183">
        <v>2012</v>
      </c>
      <c r="D234" s="186">
        <v>44.7</v>
      </c>
      <c r="E234" s="186">
        <v>44.67</v>
      </c>
      <c r="F234" s="14" t="s">
        <v>24</v>
      </c>
      <c r="G234" s="112">
        <v>2</v>
      </c>
      <c r="H234" s="111">
        <v>2</v>
      </c>
      <c r="I234" s="112"/>
      <c r="J234" s="111"/>
      <c r="K234" s="112"/>
      <c r="L234" s="111"/>
      <c r="M234" s="112">
        <v>3</v>
      </c>
      <c r="N234" s="111">
        <v>3</v>
      </c>
      <c r="O234" s="112"/>
      <c r="P234" s="111"/>
      <c r="Q234" s="112"/>
      <c r="R234" s="111"/>
      <c r="S234" s="112" cm="1">
        <f t="array" ref="S234">MAX(IF(MOD(COLUMN(G234:R234)-COLUMN(C227),2)=0, G234:R234))</f>
        <v>3</v>
      </c>
      <c r="T234" s="111" cm="1">
        <f t="array" ref="T234">MAX(IF(MOD(COLUMN(G234:R234)-COLUMN(C227),2)=1, G234:R234))</f>
        <v>3</v>
      </c>
      <c r="U234" s="5"/>
    </row>
    <row r="235" spans="1:21" x14ac:dyDescent="0.25">
      <c r="A235" s="214"/>
      <c r="B235" s="190"/>
      <c r="C235" s="184"/>
      <c r="D235" s="187"/>
      <c r="E235" s="187"/>
      <c r="F235" s="21" t="s">
        <v>65</v>
      </c>
      <c r="G235" s="101">
        <v>40</v>
      </c>
      <c r="H235" s="102">
        <v>2000</v>
      </c>
      <c r="I235" s="101"/>
      <c r="J235" s="102"/>
      <c r="K235" s="101"/>
      <c r="L235" s="102"/>
      <c r="M235" s="101">
        <v>40</v>
      </c>
      <c r="N235" s="102">
        <v>2000</v>
      </c>
      <c r="O235" s="101"/>
      <c r="P235" s="102"/>
      <c r="Q235" s="101"/>
      <c r="R235" s="102"/>
      <c r="S235" s="101">
        <f>G95+I95+K95+M95+O95+Q95+G235+I235++K235+M235+O235+Q235</f>
        <v>120</v>
      </c>
      <c r="T235" s="102">
        <f>H95+J95+L95+N95+P95+R95+H235+J235++L235+N235+P235+R235</f>
        <v>6000</v>
      </c>
      <c r="U235" s="5"/>
    </row>
    <row r="236" spans="1:21" ht="16.5" thickBot="1" x14ac:dyDescent="0.3">
      <c r="A236" s="214"/>
      <c r="B236" s="191"/>
      <c r="C236" s="185"/>
      <c r="D236" s="188"/>
      <c r="E236" s="188"/>
      <c r="F236" s="27" t="s">
        <v>27</v>
      </c>
      <c r="G236" s="113">
        <v>44.7</v>
      </c>
      <c r="H236" s="123">
        <v>44.7</v>
      </c>
      <c r="I236" s="113"/>
      <c r="J236" s="123"/>
      <c r="K236" s="113"/>
      <c r="L236" s="123"/>
      <c r="M236" s="113">
        <v>44.67</v>
      </c>
      <c r="N236" s="123">
        <v>44.67</v>
      </c>
      <c r="O236" s="113"/>
      <c r="P236" s="123"/>
      <c r="Q236" s="113"/>
      <c r="R236" s="123"/>
      <c r="S236" s="103" cm="1">
        <f t="array" ref="S236">MAX(IF(MOD(COLUMN(G236:R236)-COLUMN(C229),2)=0, G236:R236))</f>
        <v>44.7</v>
      </c>
      <c r="T236" s="104" cm="1">
        <f t="array" ref="T236">MAX(IF(MOD(COLUMN(G236:R236)-COLUMN(C229),2)=1, G236:R236))</f>
        <v>44.7</v>
      </c>
      <c r="U236" s="5"/>
    </row>
    <row r="237" spans="1:21" ht="16.5" thickBot="1" x14ac:dyDescent="0.3">
      <c r="A237" s="214"/>
      <c r="B237" s="227" t="s">
        <v>29</v>
      </c>
      <c r="C237" s="228"/>
      <c r="D237" s="225">
        <f>SUM(D222:D236)</f>
        <v>281.89999999999998</v>
      </c>
      <c r="E237" s="225">
        <f>SUM(E222:E236)</f>
        <v>280.92</v>
      </c>
      <c r="F237" s="125" t="s">
        <v>65</v>
      </c>
      <c r="G237" s="47">
        <f t="shared" ref="G237:T237" si="14">G223+G226+G229+G232+G235</f>
        <v>40</v>
      </c>
      <c r="H237" s="49">
        <f t="shared" si="14"/>
        <v>2000</v>
      </c>
      <c r="I237" s="47">
        <f t="shared" si="14"/>
        <v>100</v>
      </c>
      <c r="J237" s="49">
        <f t="shared" si="14"/>
        <v>5000</v>
      </c>
      <c r="K237" s="47">
        <f t="shared" si="14"/>
        <v>120</v>
      </c>
      <c r="L237" s="49">
        <f t="shared" si="14"/>
        <v>6000</v>
      </c>
      <c r="M237" s="47">
        <f t="shared" si="14"/>
        <v>40</v>
      </c>
      <c r="N237" s="49">
        <f t="shared" si="14"/>
        <v>2000</v>
      </c>
      <c r="O237" s="47">
        <f t="shared" si="14"/>
        <v>0</v>
      </c>
      <c r="P237" s="49">
        <f t="shared" si="14"/>
        <v>0</v>
      </c>
      <c r="Q237" s="47">
        <f t="shared" si="14"/>
        <v>0</v>
      </c>
      <c r="R237" s="49">
        <f t="shared" si="14"/>
        <v>0</v>
      </c>
      <c r="S237" s="47">
        <f t="shared" si="14"/>
        <v>780</v>
      </c>
      <c r="T237" s="49">
        <f t="shared" si="14"/>
        <v>39000</v>
      </c>
      <c r="U237" s="5"/>
    </row>
    <row r="238" spans="1:21" ht="16.5" thickBot="1" x14ac:dyDescent="0.3">
      <c r="A238" s="215"/>
      <c r="B238" s="229"/>
      <c r="C238" s="230"/>
      <c r="D238" s="226"/>
      <c r="E238" s="226"/>
      <c r="F238" s="46" t="s">
        <v>27</v>
      </c>
      <c r="G238" s="47">
        <f t="shared" ref="G238:T238" si="15">G224+G227+G230+G233+G236</f>
        <v>44.7</v>
      </c>
      <c r="H238" s="49">
        <f t="shared" si="15"/>
        <v>44.7</v>
      </c>
      <c r="I238" s="47">
        <f t="shared" si="15"/>
        <v>112.7</v>
      </c>
      <c r="J238" s="49">
        <f t="shared" si="15"/>
        <v>112.7</v>
      </c>
      <c r="K238" s="47">
        <f t="shared" si="15"/>
        <v>124.5</v>
      </c>
      <c r="L238" s="49">
        <f t="shared" si="15"/>
        <v>124.5</v>
      </c>
      <c r="M238" s="47">
        <f t="shared" si="15"/>
        <v>44.67</v>
      </c>
      <c r="N238" s="49">
        <f t="shared" si="15"/>
        <v>44.67</v>
      </c>
      <c r="O238" s="47">
        <f t="shared" si="15"/>
        <v>0</v>
      </c>
      <c r="P238" s="49">
        <f t="shared" si="15"/>
        <v>0</v>
      </c>
      <c r="Q238" s="47">
        <f t="shared" si="15"/>
        <v>0</v>
      </c>
      <c r="R238" s="49">
        <f t="shared" si="15"/>
        <v>0</v>
      </c>
      <c r="S238" s="47">
        <f t="shared" si="15"/>
        <v>281.89999999999998</v>
      </c>
      <c r="T238" s="49">
        <f t="shared" si="15"/>
        <v>281.89999999999998</v>
      </c>
      <c r="U238" s="5"/>
    </row>
    <row r="239" spans="1:21" ht="16.5" thickBot="1" x14ac:dyDescent="0.3">
      <c r="A239" s="147" t="s">
        <v>79</v>
      </c>
    </row>
    <row r="240" spans="1:21" ht="15.75" customHeight="1" x14ac:dyDescent="0.25">
      <c r="A240" s="209" t="s">
        <v>67</v>
      </c>
      <c r="B240" s="209" t="s">
        <v>7</v>
      </c>
      <c r="C240" s="160" t="s">
        <v>8</v>
      </c>
      <c r="D240" s="166" t="s">
        <v>9</v>
      </c>
      <c r="E240" s="166" t="s">
        <v>10</v>
      </c>
      <c r="F240" s="169" t="s">
        <v>11</v>
      </c>
      <c r="G240" s="203" t="s">
        <v>18</v>
      </c>
      <c r="H240" s="204"/>
      <c r="I240" s="203" t="s">
        <v>19</v>
      </c>
      <c r="J240" s="204"/>
      <c r="K240" s="203" t="s">
        <v>20</v>
      </c>
      <c r="L240" s="204"/>
      <c r="M240" s="203" t="s">
        <v>21</v>
      </c>
      <c r="N240" s="204"/>
      <c r="O240" s="211" t="s">
        <v>22</v>
      </c>
      <c r="P240" s="211"/>
      <c r="Q240" s="203" t="s">
        <v>23</v>
      </c>
      <c r="R240" s="204"/>
      <c r="S240" s="203" t="s">
        <v>66</v>
      </c>
      <c r="T240" s="204"/>
      <c r="U240" s="5"/>
    </row>
    <row r="241" spans="1:21" ht="15.75" customHeight="1" x14ac:dyDescent="0.25">
      <c r="A241" s="158"/>
      <c r="B241" s="158"/>
      <c r="C241" s="161"/>
      <c r="D241" s="167"/>
      <c r="E241" s="167"/>
      <c r="F241" s="193"/>
      <c r="G241" s="205"/>
      <c r="H241" s="206"/>
      <c r="I241" s="205"/>
      <c r="J241" s="206"/>
      <c r="K241" s="205"/>
      <c r="L241" s="206"/>
      <c r="M241" s="205"/>
      <c r="N241" s="206"/>
      <c r="O241" s="156"/>
      <c r="P241" s="156"/>
      <c r="Q241" s="205"/>
      <c r="R241" s="206"/>
      <c r="S241" s="205"/>
      <c r="T241" s="206"/>
      <c r="U241" s="5"/>
    </row>
    <row r="242" spans="1:21" ht="16.5" thickBot="1" x14ac:dyDescent="0.3">
      <c r="A242" s="158"/>
      <c r="B242" s="158"/>
      <c r="C242" s="162"/>
      <c r="D242" s="167"/>
      <c r="E242" s="167"/>
      <c r="F242" s="193"/>
      <c r="G242" s="207"/>
      <c r="H242" s="208"/>
      <c r="I242" s="207"/>
      <c r="J242" s="208"/>
      <c r="K242" s="207"/>
      <c r="L242" s="208"/>
      <c r="M242" s="207"/>
      <c r="N242" s="208"/>
      <c r="O242" s="212"/>
      <c r="P242" s="212"/>
      <c r="Q242" s="207"/>
      <c r="R242" s="208"/>
      <c r="S242" s="207"/>
      <c r="T242" s="208"/>
      <c r="U242" s="5"/>
    </row>
    <row r="243" spans="1:21" s="119" customFormat="1" ht="32.25" thickBot="1" x14ac:dyDescent="0.3">
      <c r="A243" s="210"/>
      <c r="B243" s="210"/>
      <c r="C243" s="90"/>
      <c r="D243" s="168"/>
      <c r="E243" s="168"/>
      <c r="F243" s="194"/>
      <c r="G243" s="106" t="s">
        <v>76</v>
      </c>
      <c r="H243" s="118" t="s">
        <v>75</v>
      </c>
      <c r="I243" s="106" t="s">
        <v>76</v>
      </c>
      <c r="J243" s="118" t="s">
        <v>75</v>
      </c>
      <c r="K243" s="106" t="s">
        <v>76</v>
      </c>
      <c r="L243" s="118" t="s">
        <v>75</v>
      </c>
      <c r="M243" s="106" t="s">
        <v>76</v>
      </c>
      <c r="N243" s="118" t="s">
        <v>75</v>
      </c>
      <c r="O243" s="106" t="s">
        <v>76</v>
      </c>
      <c r="P243" s="118" t="s">
        <v>75</v>
      </c>
      <c r="Q243" s="106" t="s">
        <v>76</v>
      </c>
      <c r="R243" s="118" t="s">
        <v>75</v>
      </c>
      <c r="S243" s="106" t="s">
        <v>76</v>
      </c>
      <c r="T243" s="118" t="s">
        <v>75</v>
      </c>
    </row>
    <row r="244" spans="1:21" s="6" customFormat="1" x14ac:dyDescent="0.25">
      <c r="A244" s="220" t="s">
        <v>71</v>
      </c>
      <c r="B244" s="180">
        <v>25</v>
      </c>
      <c r="C244" s="183">
        <v>2015</v>
      </c>
      <c r="D244" s="186">
        <v>38.22</v>
      </c>
      <c r="E244" s="186">
        <v>38.229999999999997</v>
      </c>
      <c r="F244" s="14" t="s">
        <v>24</v>
      </c>
      <c r="G244" s="112"/>
      <c r="H244" s="111"/>
      <c r="I244" s="112">
        <v>2</v>
      </c>
      <c r="J244" s="111">
        <v>2</v>
      </c>
      <c r="K244" s="112"/>
      <c r="L244" s="111"/>
      <c r="M244" s="112"/>
      <c r="N244" s="111"/>
      <c r="O244" s="112"/>
      <c r="P244" s="111"/>
      <c r="Q244" s="112"/>
      <c r="R244" s="111"/>
      <c r="S244" s="112" cm="1">
        <f t="array" ref="S244">MAX(IF(MOD(COLUMN(G244:R244)-COLUMN(C239),2)=0, G244:R244))</f>
        <v>2</v>
      </c>
      <c r="T244" s="111" cm="1">
        <f t="array" ref="T244">MAX(IF(MOD(COLUMN(G244:R244)-COLUMN(C239),2)=1, G244:R244))</f>
        <v>2</v>
      </c>
    </row>
    <row r="245" spans="1:21" s="6" customFormat="1" x14ac:dyDescent="0.25">
      <c r="A245" s="221"/>
      <c r="B245" s="181"/>
      <c r="C245" s="184"/>
      <c r="D245" s="187"/>
      <c r="E245" s="187"/>
      <c r="F245" s="21" t="s">
        <v>65</v>
      </c>
      <c r="G245" s="101"/>
      <c r="H245" s="102"/>
      <c r="I245" s="101">
        <v>40</v>
      </c>
      <c r="J245" s="102">
        <v>2000</v>
      </c>
      <c r="K245" s="101"/>
      <c r="L245" s="102"/>
      <c r="M245" s="101"/>
      <c r="N245" s="102"/>
      <c r="O245" s="101"/>
      <c r="P245" s="102"/>
      <c r="Q245" s="101"/>
      <c r="R245" s="102"/>
      <c r="S245" s="101">
        <f>G105+I105+K105+M105+O105+Q105+G245+I245++K245+M245+O245+Q245</f>
        <v>80</v>
      </c>
      <c r="T245" s="102">
        <f>H105+J105+L105+N105+P105+R105+H245+J245++L245+N245+P245+R245</f>
        <v>4000</v>
      </c>
    </row>
    <row r="246" spans="1:21" s="6" customFormat="1" ht="16.5" thickBot="1" x14ac:dyDescent="0.3">
      <c r="A246" s="221"/>
      <c r="B246" s="182"/>
      <c r="C246" s="185"/>
      <c r="D246" s="188"/>
      <c r="E246" s="188"/>
      <c r="F246" s="27" t="s">
        <v>27</v>
      </c>
      <c r="G246" s="103"/>
      <c r="H246" s="104"/>
      <c r="I246" s="103">
        <v>38.22</v>
      </c>
      <c r="J246" s="104">
        <v>38.22</v>
      </c>
      <c r="K246" s="103"/>
      <c r="L246" s="104"/>
      <c r="M246" s="103"/>
      <c r="N246" s="104"/>
      <c r="O246" s="103"/>
      <c r="P246" s="104"/>
      <c r="Q246" s="103"/>
      <c r="R246" s="104"/>
      <c r="S246" s="103" cm="1">
        <f t="array" ref="S246">MAX(IF(MOD(COLUMN(G246:R246)-COLUMN(C241),2)=0, G246:R246))</f>
        <v>38.22</v>
      </c>
      <c r="T246" s="104" cm="1">
        <f t="array" ref="T246">MAX(IF(MOD(COLUMN(G246:R246)-COLUMN(C241),2)=1, G246:R246))</f>
        <v>38.22</v>
      </c>
    </row>
    <row r="247" spans="1:21" s="6" customFormat="1" x14ac:dyDescent="0.25">
      <c r="A247" s="221"/>
      <c r="B247" s="189" t="s">
        <v>35</v>
      </c>
      <c r="C247" s="183">
        <v>2015</v>
      </c>
      <c r="D247" s="186">
        <v>22.72</v>
      </c>
      <c r="E247" s="186">
        <v>22.72</v>
      </c>
      <c r="F247" s="14" t="s">
        <v>24</v>
      </c>
      <c r="G247" s="112"/>
      <c r="H247" s="111"/>
      <c r="I247" s="112"/>
      <c r="J247" s="111"/>
      <c r="K247" s="112">
        <v>3</v>
      </c>
      <c r="L247" s="111">
        <v>3</v>
      </c>
      <c r="M247" s="112"/>
      <c r="N247" s="111"/>
      <c r="O247" s="112"/>
      <c r="P247" s="111"/>
      <c r="Q247" s="112"/>
      <c r="R247" s="111"/>
      <c r="S247" s="112" cm="1">
        <f t="array" ref="S247">MAX(IF(MOD(COLUMN(G247:R247)-COLUMN(C242),2)=0, G247:R247))</f>
        <v>3</v>
      </c>
      <c r="T247" s="111" cm="1">
        <f t="array" ref="T247">MAX(IF(MOD(COLUMN(G247:R247)-COLUMN(C242),2)=1, G247:R247))</f>
        <v>3</v>
      </c>
    </row>
    <row r="248" spans="1:21" s="6" customFormat="1" x14ac:dyDescent="0.25">
      <c r="A248" s="221"/>
      <c r="B248" s="190"/>
      <c r="C248" s="184"/>
      <c r="D248" s="187"/>
      <c r="E248" s="187"/>
      <c r="F248" s="21" t="s">
        <v>65</v>
      </c>
      <c r="G248" s="101"/>
      <c r="H248" s="102"/>
      <c r="I248" s="101"/>
      <c r="J248" s="102"/>
      <c r="K248" s="101">
        <v>20</v>
      </c>
      <c r="L248" s="102">
        <v>1000</v>
      </c>
      <c r="M248" s="101"/>
      <c r="N248" s="102"/>
      <c r="O248" s="101"/>
      <c r="P248" s="102"/>
      <c r="Q248" s="101"/>
      <c r="R248" s="102"/>
      <c r="S248" s="101">
        <f>G108+I108+K108+M108+O108+Q108+G248+I248++K248+M248+O248+Q248</f>
        <v>60</v>
      </c>
      <c r="T248" s="102">
        <f>H108+J108+L108+N108+P108+R108+H248+J248++L248+N248+P248+R248</f>
        <v>3000</v>
      </c>
    </row>
    <row r="249" spans="1:21" s="6" customFormat="1" ht="16.5" thickBot="1" x14ac:dyDescent="0.3">
      <c r="A249" s="221"/>
      <c r="B249" s="191"/>
      <c r="C249" s="185"/>
      <c r="D249" s="188"/>
      <c r="E249" s="188"/>
      <c r="F249" s="27" t="s">
        <v>27</v>
      </c>
      <c r="G249" s="103"/>
      <c r="H249" s="104"/>
      <c r="I249" s="103"/>
      <c r="J249" s="104"/>
      <c r="K249" s="103">
        <v>22.72</v>
      </c>
      <c r="L249" s="104">
        <v>22.72</v>
      </c>
      <c r="M249" s="103"/>
      <c r="N249" s="104"/>
      <c r="O249" s="103"/>
      <c r="P249" s="104"/>
      <c r="Q249" s="103"/>
      <c r="R249" s="104"/>
      <c r="S249" s="103" cm="1">
        <f t="array" ref="S249">MAX(IF(MOD(COLUMN(G249:R249)-COLUMN(C241),2)=0, G249:R249))</f>
        <v>22.72</v>
      </c>
      <c r="T249" s="104" cm="1">
        <f t="array" ref="T249">MAX(IF(MOD(COLUMN(G249:R249)-COLUMN(C241),2)=1, G249:R249))</f>
        <v>22.72</v>
      </c>
    </row>
    <row r="250" spans="1:21" s="6" customFormat="1" ht="16.5" customHeight="1" x14ac:dyDescent="0.25">
      <c r="A250" s="221"/>
      <c r="B250" s="189" t="s">
        <v>36</v>
      </c>
      <c r="C250" s="183">
        <v>2015</v>
      </c>
      <c r="D250" s="186">
        <v>0</v>
      </c>
      <c r="E250" s="13"/>
      <c r="F250" s="14" t="s">
        <v>24</v>
      </c>
      <c r="G250" s="112"/>
      <c r="H250" s="111"/>
      <c r="I250" s="112"/>
      <c r="J250" s="111"/>
      <c r="K250" s="112"/>
      <c r="L250" s="111"/>
      <c r="M250" s="112"/>
      <c r="N250" s="111"/>
      <c r="O250" s="112"/>
      <c r="P250" s="111"/>
      <c r="Q250" s="112"/>
      <c r="R250" s="111"/>
      <c r="S250" s="112" cm="1">
        <f t="array" ref="S250">MAX(IF(MOD(COLUMN(G250:R250)-COLUMN(C243),2)=0, G250:R250))</f>
        <v>0</v>
      </c>
      <c r="T250" s="111" cm="1">
        <f t="array" ref="T250">MAX(IF(MOD(COLUMN(G250:R250)-COLUMN(C243),2)=1, G250:R250))</f>
        <v>0</v>
      </c>
    </row>
    <row r="251" spans="1:21" s="6" customFormat="1" ht="16.5" customHeight="1" x14ac:dyDescent="0.25">
      <c r="A251" s="221"/>
      <c r="B251" s="190"/>
      <c r="C251" s="184"/>
      <c r="D251" s="187"/>
      <c r="E251" s="20"/>
      <c r="F251" s="21" t="s">
        <v>65</v>
      </c>
      <c r="G251" s="101"/>
      <c r="H251" s="102"/>
      <c r="I251" s="101"/>
      <c r="J251" s="102"/>
      <c r="K251" s="101"/>
      <c r="L251" s="102"/>
      <c r="M251" s="101"/>
      <c r="N251" s="102"/>
      <c r="O251" s="101"/>
      <c r="P251" s="102"/>
      <c r="Q251" s="101"/>
      <c r="R251" s="102"/>
      <c r="S251" s="101">
        <f>G111+I111+K111+M111+O111+Q111+G251+I251++K251+M251+O251+Q251</f>
        <v>0</v>
      </c>
      <c r="T251" s="102">
        <f>H111+J111+L111+N111+P111+R111+H251+J251++L251+N251+P251+R251</f>
        <v>0</v>
      </c>
    </row>
    <row r="252" spans="1:21" s="6" customFormat="1" ht="16.5" customHeight="1" thickBot="1" x14ac:dyDescent="0.3">
      <c r="A252" s="221"/>
      <c r="B252" s="191"/>
      <c r="C252" s="185"/>
      <c r="D252" s="188"/>
      <c r="E252" s="26"/>
      <c r="F252" s="27" t="s">
        <v>27</v>
      </c>
      <c r="G252" s="103"/>
      <c r="H252" s="104"/>
      <c r="I252" s="103"/>
      <c r="J252" s="104"/>
      <c r="K252" s="103"/>
      <c r="L252" s="104"/>
      <c r="M252" s="103"/>
      <c r="N252" s="104"/>
      <c r="O252" s="103"/>
      <c r="P252" s="104"/>
      <c r="Q252" s="103"/>
      <c r="R252" s="104"/>
      <c r="S252" s="103" cm="1">
        <f t="array" ref="S252">MAX(IF(MOD(COLUMN(G252:R252)-COLUMN(C245),2)=0, G252:R252))</f>
        <v>0</v>
      </c>
      <c r="T252" s="104" cm="1">
        <f t="array" ref="T252">MAX(IF(MOD(COLUMN(G252:R252)-COLUMN(C245),2)=1, G252:R252))</f>
        <v>0</v>
      </c>
    </row>
    <row r="253" spans="1:21" s="6" customFormat="1" x14ac:dyDescent="0.25">
      <c r="A253" s="221"/>
      <c r="B253" s="189">
        <v>27</v>
      </c>
      <c r="C253" s="183">
        <v>2015</v>
      </c>
      <c r="D253" s="186">
        <v>18.64</v>
      </c>
      <c r="E253" s="186">
        <v>14.3</v>
      </c>
      <c r="F253" s="14" t="s">
        <v>24</v>
      </c>
      <c r="G253" s="112"/>
      <c r="H253" s="111"/>
      <c r="I253" s="112">
        <v>3</v>
      </c>
      <c r="J253" s="111">
        <v>3</v>
      </c>
      <c r="K253" s="112"/>
      <c r="L253" s="111"/>
      <c r="M253" s="112"/>
      <c r="N253" s="111"/>
      <c r="O253" s="112"/>
      <c r="P253" s="111"/>
      <c r="Q253" s="112"/>
      <c r="R253" s="111"/>
      <c r="S253" s="112" cm="1">
        <f t="array" ref="S253">MAX(IF(MOD(COLUMN(G253:R253)-COLUMN(C246),2)=0, G253:R253))</f>
        <v>3</v>
      </c>
      <c r="T253" s="111" cm="1">
        <f t="array" ref="T253">MAX(IF(MOD(COLUMN(G253:R253)-COLUMN(C246),2)=1, G253:R253))</f>
        <v>3</v>
      </c>
    </row>
    <row r="254" spans="1:21" s="6" customFormat="1" x14ac:dyDescent="0.25">
      <c r="A254" s="221"/>
      <c r="B254" s="190"/>
      <c r="C254" s="184"/>
      <c r="D254" s="187"/>
      <c r="E254" s="187"/>
      <c r="F254" s="21" t="s">
        <v>65</v>
      </c>
      <c r="G254" s="101"/>
      <c r="H254" s="102"/>
      <c r="I254" s="101">
        <v>40</v>
      </c>
      <c r="J254" s="102">
        <v>2000</v>
      </c>
      <c r="K254" s="101"/>
      <c r="L254" s="102"/>
      <c r="M254" s="101"/>
      <c r="N254" s="102"/>
      <c r="O254" s="101"/>
      <c r="P254" s="102"/>
      <c r="Q254" s="101"/>
      <c r="R254" s="102"/>
      <c r="S254" s="101">
        <f>G114+I114+K114+M114+O114+Q114+G254+I254++K254+M254+O254+Q254</f>
        <v>80</v>
      </c>
      <c r="T254" s="102">
        <f>H114+J114+L114+N114+P114+R114+H254+J254++L254+N254+P254+R254</f>
        <v>4000</v>
      </c>
    </row>
    <row r="255" spans="1:21" s="6" customFormat="1" ht="16.5" thickBot="1" x14ac:dyDescent="0.3">
      <c r="A255" s="221"/>
      <c r="B255" s="191"/>
      <c r="C255" s="185"/>
      <c r="D255" s="188"/>
      <c r="E255" s="188"/>
      <c r="F255" s="27" t="s">
        <v>27</v>
      </c>
      <c r="G255" s="103"/>
      <c r="H255" s="104"/>
      <c r="I255" s="103">
        <v>18.64</v>
      </c>
      <c r="J255" s="104">
        <v>18.64</v>
      </c>
      <c r="K255" s="103"/>
      <c r="L255" s="104"/>
      <c r="M255" s="103"/>
      <c r="N255" s="104"/>
      <c r="O255" s="103"/>
      <c r="P255" s="104"/>
      <c r="Q255" s="103"/>
      <c r="R255" s="104"/>
      <c r="S255" s="103" cm="1">
        <f t="array" ref="S255">MAX(IF(MOD(COLUMN(G255:R255)-COLUMN(C248),2)=0, G255:R255))</f>
        <v>18.64</v>
      </c>
      <c r="T255" s="104" cm="1">
        <f t="array" ref="T255">MAX(IF(MOD(COLUMN(G255:R255)-COLUMN(C248),2)=1, G255:R255))</f>
        <v>18.64</v>
      </c>
    </row>
    <row r="256" spans="1:21" s="6" customFormat="1" x14ac:dyDescent="0.25">
      <c r="A256" s="221"/>
      <c r="B256" s="189">
        <v>28</v>
      </c>
      <c r="C256" s="183">
        <v>2015</v>
      </c>
      <c r="D256" s="186">
        <v>25.5</v>
      </c>
      <c r="E256" s="186">
        <v>21.94</v>
      </c>
      <c r="F256" s="14" t="s">
        <v>24</v>
      </c>
      <c r="G256" s="112"/>
      <c r="H256" s="111"/>
      <c r="I256" s="112"/>
      <c r="J256" s="111"/>
      <c r="K256" s="112">
        <v>3</v>
      </c>
      <c r="L256" s="111">
        <v>3</v>
      </c>
      <c r="M256" s="112"/>
      <c r="N256" s="111"/>
      <c r="O256" s="112"/>
      <c r="P256" s="111"/>
      <c r="Q256" s="112"/>
      <c r="R256" s="111"/>
      <c r="S256" s="112" cm="1">
        <f t="array" ref="S256">MAX(IF(MOD(COLUMN(G256:R256)-COLUMN(C249),2)=0, G256:R256))</f>
        <v>3</v>
      </c>
      <c r="T256" s="111" cm="1">
        <f t="array" ref="T256">MAX(IF(MOD(COLUMN(G256:R256)-COLUMN(C249),2)=1, G256:R256))</f>
        <v>3</v>
      </c>
    </row>
    <row r="257" spans="1:21" s="6" customFormat="1" x14ac:dyDescent="0.25">
      <c r="A257" s="221"/>
      <c r="B257" s="190"/>
      <c r="C257" s="184"/>
      <c r="D257" s="187"/>
      <c r="E257" s="187"/>
      <c r="F257" s="21" t="s">
        <v>65</v>
      </c>
      <c r="G257" s="101"/>
      <c r="H257" s="102"/>
      <c r="I257" s="101"/>
      <c r="J257" s="102"/>
      <c r="K257" s="101">
        <v>20</v>
      </c>
      <c r="L257" s="102">
        <v>1000</v>
      </c>
      <c r="M257" s="101"/>
      <c r="N257" s="102"/>
      <c r="O257" s="101"/>
      <c r="P257" s="102"/>
      <c r="Q257" s="101"/>
      <c r="R257" s="102"/>
      <c r="S257" s="101">
        <f>G117+I117+K117+M117+O117+Q117+G257+I257++K257+M257+O257+Q257</f>
        <v>60</v>
      </c>
      <c r="T257" s="102">
        <f>H117+J117+L117+N117+P117+R117+H257+J257++L257+N257+P257+R257</f>
        <v>3000</v>
      </c>
    </row>
    <row r="258" spans="1:21" s="6" customFormat="1" ht="16.5" thickBot="1" x14ac:dyDescent="0.3">
      <c r="A258" s="221"/>
      <c r="B258" s="191"/>
      <c r="C258" s="185"/>
      <c r="D258" s="188"/>
      <c r="E258" s="188"/>
      <c r="F258" s="27" t="s">
        <v>27</v>
      </c>
      <c r="G258" s="103"/>
      <c r="H258" s="104"/>
      <c r="I258" s="103"/>
      <c r="J258" s="104"/>
      <c r="K258" s="103">
        <v>25.5</v>
      </c>
      <c r="L258" s="104">
        <v>25.5</v>
      </c>
      <c r="M258" s="103"/>
      <c r="N258" s="104"/>
      <c r="O258" s="103"/>
      <c r="P258" s="104"/>
      <c r="Q258" s="103"/>
      <c r="R258" s="104"/>
      <c r="S258" s="103" cm="1">
        <f t="array" ref="S258">MAX(IF(MOD(COLUMN(G258:R258)-COLUMN(C251),2)=0, G258:R258))</f>
        <v>25.5</v>
      </c>
      <c r="T258" s="104" cm="1">
        <f t="array" ref="T258">MAX(IF(MOD(COLUMN(G258:R258)-COLUMN(C251),2)=1, G258:R258))</f>
        <v>25.5</v>
      </c>
    </row>
    <row r="259" spans="1:21" s="6" customFormat="1" x14ac:dyDescent="0.25">
      <c r="A259" s="221"/>
      <c r="B259" s="180">
        <v>29</v>
      </c>
      <c r="C259" s="183">
        <v>2015</v>
      </c>
      <c r="D259" s="186">
        <v>11.38</v>
      </c>
      <c r="E259" s="186">
        <v>19.260000000000002</v>
      </c>
      <c r="F259" s="14" t="s">
        <v>24</v>
      </c>
      <c r="G259" s="112">
        <v>2</v>
      </c>
      <c r="H259" s="111">
        <v>2</v>
      </c>
      <c r="I259" s="112"/>
      <c r="J259" s="111"/>
      <c r="K259" s="112"/>
      <c r="L259" s="111"/>
      <c r="M259" s="112">
        <v>3</v>
      </c>
      <c r="N259" s="111">
        <v>3</v>
      </c>
      <c r="O259" s="112"/>
      <c r="P259" s="111"/>
      <c r="Q259" s="112"/>
      <c r="R259" s="111"/>
      <c r="S259" s="112" cm="1">
        <f t="array" ref="S259">MAX(IF(MOD(COLUMN(G259:R259)-COLUMN(C252),2)=0, G259:R259))</f>
        <v>3</v>
      </c>
      <c r="T259" s="111" cm="1">
        <f t="array" ref="T259">MAX(IF(MOD(COLUMN(G259:R259)-COLUMN(C252),2)=1, G259:R259))</f>
        <v>3</v>
      </c>
    </row>
    <row r="260" spans="1:21" s="6" customFormat="1" x14ac:dyDescent="0.25">
      <c r="A260" s="221"/>
      <c r="B260" s="181"/>
      <c r="C260" s="184"/>
      <c r="D260" s="187"/>
      <c r="E260" s="187"/>
      <c r="F260" s="21" t="s">
        <v>65</v>
      </c>
      <c r="G260" s="101">
        <v>20</v>
      </c>
      <c r="H260" s="102">
        <v>1000</v>
      </c>
      <c r="I260" s="101"/>
      <c r="J260" s="102"/>
      <c r="K260" s="101"/>
      <c r="L260" s="102"/>
      <c r="M260" s="101">
        <v>20</v>
      </c>
      <c r="N260" s="102">
        <v>1000</v>
      </c>
      <c r="O260" s="101"/>
      <c r="P260" s="102"/>
      <c r="Q260" s="101"/>
      <c r="R260" s="102"/>
      <c r="S260" s="101">
        <f>G120+I120+K120+M120+O120+Q120+G260+I260++K260+M260+O260+Q260</f>
        <v>60</v>
      </c>
      <c r="T260" s="102">
        <f>H120+J120+L120+N120+P120+R120+H260+J260++L260+N260+P260+R260</f>
        <v>3000</v>
      </c>
    </row>
    <row r="261" spans="1:21" s="6" customFormat="1" ht="16.5" thickBot="1" x14ac:dyDescent="0.3">
      <c r="A261" s="221"/>
      <c r="B261" s="182"/>
      <c r="C261" s="185"/>
      <c r="D261" s="188"/>
      <c r="E261" s="188"/>
      <c r="F261" s="27" t="s">
        <v>27</v>
      </c>
      <c r="G261" s="103">
        <v>11.38</v>
      </c>
      <c r="H261" s="104">
        <v>11.38</v>
      </c>
      <c r="I261" s="103"/>
      <c r="J261" s="104"/>
      <c r="K261" s="103"/>
      <c r="L261" s="104"/>
      <c r="M261" s="103">
        <v>19.260000000000002</v>
      </c>
      <c r="N261" s="104">
        <v>19.260000000000002</v>
      </c>
      <c r="O261" s="103"/>
      <c r="P261" s="104"/>
      <c r="Q261" s="103"/>
      <c r="R261" s="104"/>
      <c r="S261" s="103" cm="1">
        <f t="array" ref="S261">MAX(IF(MOD(COLUMN(G261:R261)-COLUMN(C254),2)=0, G261:R261))</f>
        <v>19.260000000000002</v>
      </c>
      <c r="T261" s="104" cm="1">
        <f t="array" ref="T261">MAX(IF(MOD(COLUMN(G261:R261)-COLUMN(C254),2)=1, G261:R261))</f>
        <v>19.260000000000002</v>
      </c>
    </row>
    <row r="262" spans="1:21" s="6" customFormat="1" x14ac:dyDescent="0.25">
      <c r="A262" s="221"/>
      <c r="B262" s="189">
        <v>30</v>
      </c>
      <c r="C262" s="183">
        <v>2015</v>
      </c>
      <c r="D262" s="186">
        <v>24.35</v>
      </c>
      <c r="E262" s="186">
        <v>24.3</v>
      </c>
      <c r="F262" s="14" t="s">
        <v>24</v>
      </c>
      <c r="G262" s="112">
        <v>2</v>
      </c>
      <c r="H262" s="111">
        <v>2</v>
      </c>
      <c r="I262" s="112"/>
      <c r="J262" s="111"/>
      <c r="K262" s="112"/>
      <c r="L262" s="111"/>
      <c r="M262" s="112">
        <v>3</v>
      </c>
      <c r="N262" s="111">
        <v>3</v>
      </c>
      <c r="O262" s="112"/>
      <c r="P262" s="111"/>
      <c r="Q262" s="112"/>
      <c r="R262" s="111"/>
      <c r="S262" s="112" cm="1">
        <f t="array" ref="S262">MAX(IF(MOD(COLUMN(G262:R262)-COLUMN(C255),2)=0, G262:R262))</f>
        <v>3</v>
      </c>
      <c r="T262" s="111" cm="1">
        <f t="array" ref="T262">MAX(IF(MOD(COLUMN(G262:R262)-COLUMN(C255),2)=1, G262:R262))</f>
        <v>3</v>
      </c>
    </row>
    <row r="263" spans="1:21" s="6" customFormat="1" x14ac:dyDescent="0.25">
      <c r="A263" s="221"/>
      <c r="B263" s="190"/>
      <c r="C263" s="184"/>
      <c r="D263" s="187"/>
      <c r="E263" s="187"/>
      <c r="F263" s="21" t="s">
        <v>65</v>
      </c>
      <c r="G263" s="101">
        <v>40</v>
      </c>
      <c r="H263" s="102">
        <v>2000</v>
      </c>
      <c r="I263" s="101"/>
      <c r="J263" s="102"/>
      <c r="K263" s="101"/>
      <c r="L263" s="102"/>
      <c r="M263" s="101">
        <v>20</v>
      </c>
      <c r="N263" s="102">
        <v>1000</v>
      </c>
      <c r="O263" s="101"/>
      <c r="P263" s="102"/>
      <c r="Q263" s="101"/>
      <c r="R263" s="102"/>
      <c r="S263" s="101">
        <f>G123+I123+K123+M123+O123+Q123+G263+I263++K263+M263+O263+Q263</f>
        <v>100</v>
      </c>
      <c r="T263" s="102">
        <f>H123+J123+L123+N123+P123+R123+H263+J263++L263+N263+P263+R263</f>
        <v>5000</v>
      </c>
    </row>
    <row r="264" spans="1:21" s="6" customFormat="1" ht="16.5" thickBot="1" x14ac:dyDescent="0.3">
      <c r="A264" s="221"/>
      <c r="B264" s="191"/>
      <c r="C264" s="185"/>
      <c r="D264" s="188"/>
      <c r="E264" s="188"/>
      <c r="F264" s="27" t="s">
        <v>27</v>
      </c>
      <c r="G264" s="103">
        <v>24.35</v>
      </c>
      <c r="H264" s="104">
        <v>24.35</v>
      </c>
      <c r="I264" s="103"/>
      <c r="J264" s="104"/>
      <c r="K264" s="103"/>
      <c r="L264" s="104"/>
      <c r="M264" s="103">
        <v>24.3</v>
      </c>
      <c r="N264" s="104">
        <v>24.3</v>
      </c>
      <c r="O264" s="103"/>
      <c r="P264" s="104"/>
      <c r="Q264" s="103"/>
      <c r="R264" s="104"/>
      <c r="S264" s="103" cm="1">
        <f t="array" ref="S264">MAX(IF(MOD(COLUMN(G264:R264)-COLUMN(C257),2)=0, G264:R264))</f>
        <v>24.35</v>
      </c>
      <c r="T264" s="104" cm="1">
        <f t="array" ref="T264">MAX(IF(MOD(COLUMN(G264:R264)-COLUMN(C257),2)=1, G264:R264))</f>
        <v>24.35</v>
      </c>
    </row>
    <row r="265" spans="1:21" s="6" customFormat="1" x14ac:dyDescent="0.25">
      <c r="A265" s="221"/>
      <c r="B265" s="189">
        <v>31</v>
      </c>
      <c r="C265" s="183">
        <v>2015</v>
      </c>
      <c r="D265" s="186">
        <v>34.08</v>
      </c>
      <c r="E265" s="186">
        <v>34.020000000000003</v>
      </c>
      <c r="F265" s="14" t="s">
        <v>24</v>
      </c>
      <c r="G265" s="112">
        <v>2</v>
      </c>
      <c r="H265" s="111">
        <v>2</v>
      </c>
      <c r="I265" s="112"/>
      <c r="J265" s="111"/>
      <c r="K265" s="112"/>
      <c r="L265" s="111"/>
      <c r="M265" s="112">
        <v>3</v>
      </c>
      <c r="N265" s="111">
        <v>3</v>
      </c>
      <c r="O265" s="112"/>
      <c r="P265" s="111"/>
      <c r="Q265" s="112"/>
      <c r="R265" s="111"/>
      <c r="S265" s="112" cm="1">
        <f t="array" ref="S265">MAX(IF(MOD(COLUMN(G265:R265)-COLUMN(C258),2)=0, G265:R265))</f>
        <v>3</v>
      </c>
      <c r="T265" s="111" cm="1">
        <f t="array" ref="T265">MAX(IF(MOD(COLUMN(G265:R265)-COLUMN(C258),2)=1, G265:R265))</f>
        <v>3</v>
      </c>
    </row>
    <row r="266" spans="1:21" s="6" customFormat="1" x14ac:dyDescent="0.25">
      <c r="A266" s="221"/>
      <c r="B266" s="190"/>
      <c r="C266" s="184"/>
      <c r="D266" s="187"/>
      <c r="E266" s="187"/>
      <c r="F266" s="21" t="s">
        <v>65</v>
      </c>
      <c r="G266" s="101">
        <v>40</v>
      </c>
      <c r="H266" s="102">
        <v>2000</v>
      </c>
      <c r="I266" s="101"/>
      <c r="J266" s="102"/>
      <c r="K266" s="101"/>
      <c r="L266" s="102"/>
      <c r="M266" s="101">
        <v>40</v>
      </c>
      <c r="N266" s="102">
        <v>2000</v>
      </c>
      <c r="O266" s="101"/>
      <c r="P266" s="102"/>
      <c r="Q266" s="101"/>
      <c r="R266" s="102"/>
      <c r="S266" s="101">
        <f>G126+I126+K126+M126+O126+Q126+G266+I266++K266+M266+O266+Q266</f>
        <v>120</v>
      </c>
      <c r="T266" s="102">
        <f>H126+J126+L126+N126+P126+R126+H266+J266++L266+N266+P266+R266</f>
        <v>6000</v>
      </c>
    </row>
    <row r="267" spans="1:21" s="6" customFormat="1" ht="16.5" thickBot="1" x14ac:dyDescent="0.3">
      <c r="A267" s="221"/>
      <c r="B267" s="191"/>
      <c r="C267" s="185"/>
      <c r="D267" s="188"/>
      <c r="E267" s="188"/>
      <c r="F267" s="27" t="s">
        <v>27</v>
      </c>
      <c r="G267" s="103">
        <v>34.08</v>
      </c>
      <c r="H267" s="104">
        <v>34.08</v>
      </c>
      <c r="I267" s="103"/>
      <c r="J267" s="104"/>
      <c r="K267" s="103"/>
      <c r="L267" s="104"/>
      <c r="M267" s="103">
        <v>34.020000000000003</v>
      </c>
      <c r="N267" s="104">
        <v>34.020000000000003</v>
      </c>
      <c r="O267" s="103"/>
      <c r="P267" s="104"/>
      <c r="Q267" s="103"/>
      <c r="R267" s="104"/>
      <c r="S267" s="103" cm="1">
        <f t="array" ref="S267">MAX(IF(MOD(COLUMN(G267:R267)-COLUMN(C260),2)=0, G267:R267))</f>
        <v>34.08</v>
      </c>
      <c r="T267" s="104" cm="1">
        <f t="array" ref="T267">MAX(IF(MOD(COLUMN(G267:R267)-COLUMN(C260),2)=1, G267:R267))</f>
        <v>34.08</v>
      </c>
    </row>
    <row r="268" spans="1:21" s="6" customFormat="1" ht="16.5" customHeight="1" x14ac:dyDescent="0.25">
      <c r="A268" s="221"/>
      <c r="B268" s="189">
        <v>32</v>
      </c>
      <c r="C268" s="183">
        <v>2015</v>
      </c>
      <c r="D268" s="186">
        <v>0</v>
      </c>
      <c r="E268" s="186"/>
      <c r="F268" s="14" t="s">
        <v>24</v>
      </c>
      <c r="G268" s="112"/>
      <c r="H268" s="111"/>
      <c r="I268" s="112"/>
      <c r="J268" s="111"/>
      <c r="K268" s="112"/>
      <c r="L268" s="111"/>
      <c r="M268" s="112"/>
      <c r="N268" s="111"/>
      <c r="O268" s="112"/>
      <c r="P268" s="111"/>
      <c r="Q268" s="112"/>
      <c r="R268" s="111"/>
      <c r="S268" s="112" cm="1">
        <f t="array" ref="S268">MAX(IF(MOD(COLUMN(G268:R268)-COLUMN(C261),2)=0, G268:R268))</f>
        <v>0</v>
      </c>
      <c r="T268" s="111" cm="1">
        <f t="array" ref="T268">MAX(IF(MOD(COLUMN(G268:R268)-COLUMN(C261),2)=1, G268:R268))</f>
        <v>0</v>
      </c>
    </row>
    <row r="269" spans="1:21" s="6" customFormat="1" ht="16.5" customHeight="1" x14ac:dyDescent="0.25">
      <c r="A269" s="221"/>
      <c r="B269" s="190"/>
      <c r="C269" s="184"/>
      <c r="D269" s="187"/>
      <c r="E269" s="187"/>
      <c r="F269" s="21" t="s">
        <v>65</v>
      </c>
      <c r="G269" s="101"/>
      <c r="H269" s="102"/>
      <c r="I269" s="101"/>
      <c r="J269" s="102"/>
      <c r="K269" s="101"/>
      <c r="L269" s="102"/>
      <c r="M269" s="101"/>
      <c r="N269" s="102"/>
      <c r="O269" s="101"/>
      <c r="P269" s="102"/>
      <c r="Q269" s="101"/>
      <c r="R269" s="102"/>
      <c r="S269" s="101">
        <f>G129+I129+K129+M129+O129+Q129+G269+I269++K269+M269+O269+Q269</f>
        <v>0</v>
      </c>
      <c r="T269" s="102">
        <f>H129+J129+L129+N129+P129+R129+H269+J269++L269+N269+P269+R269</f>
        <v>0</v>
      </c>
    </row>
    <row r="270" spans="1:21" s="6" customFormat="1" ht="16.5" customHeight="1" thickBot="1" x14ac:dyDescent="0.3">
      <c r="A270" s="221"/>
      <c r="B270" s="191"/>
      <c r="C270" s="185"/>
      <c r="D270" s="188"/>
      <c r="E270" s="188"/>
      <c r="F270" s="27" t="s">
        <v>27</v>
      </c>
      <c r="G270" s="113"/>
      <c r="H270" s="123"/>
      <c r="I270" s="113"/>
      <c r="J270" s="123"/>
      <c r="K270" s="113"/>
      <c r="L270" s="123"/>
      <c r="M270" s="113"/>
      <c r="N270" s="123"/>
      <c r="O270" s="113"/>
      <c r="P270" s="123"/>
      <c r="Q270" s="113"/>
      <c r="R270" s="123"/>
      <c r="S270" s="103" cm="1">
        <f t="array" ref="S270">MAX(IF(MOD(COLUMN(G270:R270)-COLUMN(C263),2)=0, G270:R270))</f>
        <v>0</v>
      </c>
      <c r="T270" s="104" cm="1">
        <f t="array" ref="T270">MAX(IF(MOD(COLUMN(G270:R270)-COLUMN(C263),2)=1, G270:R270))</f>
        <v>0</v>
      </c>
    </row>
    <row r="271" spans="1:21" ht="16.5" thickBot="1" x14ac:dyDescent="0.3">
      <c r="A271" s="221"/>
      <c r="B271" s="227" t="s">
        <v>29</v>
      </c>
      <c r="C271" s="228"/>
      <c r="D271" s="225">
        <f>SUM(D244:D270)</f>
        <v>174.89</v>
      </c>
      <c r="E271" s="225">
        <f>SUM(E244:E267)</f>
        <v>174.77</v>
      </c>
      <c r="F271" s="125" t="s">
        <v>65</v>
      </c>
      <c r="G271" s="47">
        <f t="shared" ref="G271:T271" si="16">G245+G248+G251+G254+G257+G260+G263+G266+G269</f>
        <v>100</v>
      </c>
      <c r="H271" s="49">
        <f t="shared" si="16"/>
        <v>5000</v>
      </c>
      <c r="I271" s="47">
        <f t="shared" si="16"/>
        <v>80</v>
      </c>
      <c r="J271" s="49">
        <f t="shared" si="16"/>
        <v>4000</v>
      </c>
      <c r="K271" s="47">
        <f t="shared" si="16"/>
        <v>40</v>
      </c>
      <c r="L271" s="49">
        <f t="shared" si="16"/>
        <v>2000</v>
      </c>
      <c r="M271" s="47">
        <f t="shared" si="16"/>
        <v>80</v>
      </c>
      <c r="N271" s="49">
        <f t="shared" si="16"/>
        <v>4000</v>
      </c>
      <c r="O271" s="47">
        <f t="shared" si="16"/>
        <v>0</v>
      </c>
      <c r="P271" s="49">
        <f t="shared" si="16"/>
        <v>0</v>
      </c>
      <c r="Q271" s="47">
        <f t="shared" si="16"/>
        <v>0</v>
      </c>
      <c r="R271" s="49">
        <f t="shared" si="16"/>
        <v>0</v>
      </c>
      <c r="S271" s="47">
        <f t="shared" si="16"/>
        <v>560</v>
      </c>
      <c r="T271" s="49">
        <f t="shared" si="16"/>
        <v>28000</v>
      </c>
      <c r="U271" s="5"/>
    </row>
    <row r="272" spans="1:21" ht="16.5" thickBot="1" x14ac:dyDescent="0.3">
      <c r="A272" s="222"/>
      <c r="B272" s="229"/>
      <c r="C272" s="230"/>
      <c r="D272" s="226"/>
      <c r="E272" s="226"/>
      <c r="F272" s="46" t="s">
        <v>27</v>
      </c>
      <c r="G272" s="47">
        <f t="shared" ref="G272:T272" si="17">G246+G249+G252+G255+G258+G261+G264+G267+G270</f>
        <v>69.81</v>
      </c>
      <c r="H272" s="49">
        <f t="shared" si="17"/>
        <v>69.81</v>
      </c>
      <c r="I272" s="47">
        <f t="shared" si="17"/>
        <v>56.86</v>
      </c>
      <c r="J272" s="49">
        <f t="shared" si="17"/>
        <v>56.86</v>
      </c>
      <c r="K272" s="47">
        <f t="shared" si="17"/>
        <v>48.22</v>
      </c>
      <c r="L272" s="49">
        <f t="shared" si="17"/>
        <v>48.22</v>
      </c>
      <c r="M272" s="47">
        <f t="shared" si="17"/>
        <v>77.580000000000013</v>
      </c>
      <c r="N272" s="49">
        <f t="shared" si="17"/>
        <v>77.580000000000013</v>
      </c>
      <c r="O272" s="47">
        <f t="shared" si="17"/>
        <v>0</v>
      </c>
      <c r="P272" s="49">
        <f t="shared" si="17"/>
        <v>0</v>
      </c>
      <c r="Q272" s="47">
        <f t="shared" si="17"/>
        <v>0</v>
      </c>
      <c r="R272" s="49">
        <f t="shared" si="17"/>
        <v>0</v>
      </c>
      <c r="S272" s="47">
        <f t="shared" si="17"/>
        <v>182.76999999999998</v>
      </c>
      <c r="T272" s="49">
        <f t="shared" si="17"/>
        <v>182.76999999999998</v>
      </c>
      <c r="U272" s="5"/>
    </row>
    <row r="273" spans="1:21" ht="16.5" thickBot="1" x14ac:dyDescent="0.3">
      <c r="A273" s="147" t="s">
        <v>79</v>
      </c>
    </row>
    <row r="274" spans="1:21" ht="15.75" customHeight="1" x14ac:dyDescent="0.25">
      <c r="A274" s="235" t="s">
        <v>67</v>
      </c>
      <c r="B274" s="209" t="s">
        <v>7</v>
      </c>
      <c r="C274" s="160" t="s">
        <v>8</v>
      </c>
      <c r="D274" s="166" t="s">
        <v>9</v>
      </c>
      <c r="E274" s="166" t="s">
        <v>10</v>
      </c>
      <c r="F274" s="169" t="s">
        <v>11</v>
      </c>
      <c r="G274" s="203" t="s">
        <v>18</v>
      </c>
      <c r="H274" s="204"/>
      <c r="I274" s="203" t="s">
        <v>19</v>
      </c>
      <c r="J274" s="204"/>
      <c r="K274" s="203" t="s">
        <v>20</v>
      </c>
      <c r="L274" s="204"/>
      <c r="M274" s="203" t="s">
        <v>21</v>
      </c>
      <c r="N274" s="204"/>
      <c r="O274" s="211" t="s">
        <v>22</v>
      </c>
      <c r="P274" s="211"/>
      <c r="Q274" s="203" t="s">
        <v>23</v>
      </c>
      <c r="R274" s="204"/>
      <c r="S274" s="203" t="s">
        <v>66</v>
      </c>
      <c r="T274" s="204"/>
      <c r="U274" s="5"/>
    </row>
    <row r="275" spans="1:21" ht="15.75" customHeight="1" x14ac:dyDescent="0.25">
      <c r="A275" s="236"/>
      <c r="B275" s="158"/>
      <c r="C275" s="161"/>
      <c r="D275" s="167"/>
      <c r="E275" s="167"/>
      <c r="F275" s="193"/>
      <c r="G275" s="205"/>
      <c r="H275" s="206"/>
      <c r="I275" s="205"/>
      <c r="J275" s="206"/>
      <c r="K275" s="205"/>
      <c r="L275" s="206"/>
      <c r="M275" s="205"/>
      <c r="N275" s="206"/>
      <c r="O275" s="156"/>
      <c r="P275" s="156"/>
      <c r="Q275" s="205"/>
      <c r="R275" s="206"/>
      <c r="S275" s="205"/>
      <c r="T275" s="206"/>
      <c r="U275" s="5"/>
    </row>
    <row r="276" spans="1:21" ht="16.5" thickBot="1" x14ac:dyDescent="0.3">
      <c r="A276" s="236"/>
      <c r="B276" s="158"/>
      <c r="C276" s="162"/>
      <c r="D276" s="167"/>
      <c r="E276" s="167"/>
      <c r="F276" s="193"/>
      <c r="G276" s="207"/>
      <c r="H276" s="208"/>
      <c r="I276" s="207"/>
      <c r="J276" s="208"/>
      <c r="K276" s="207"/>
      <c r="L276" s="208"/>
      <c r="M276" s="207"/>
      <c r="N276" s="208"/>
      <c r="O276" s="212"/>
      <c r="P276" s="212"/>
      <c r="Q276" s="207"/>
      <c r="R276" s="208"/>
      <c r="S276" s="207"/>
      <c r="T276" s="208"/>
      <c r="U276" s="5"/>
    </row>
    <row r="277" spans="1:21" s="119" customFormat="1" ht="32.25" thickBot="1" x14ac:dyDescent="0.3">
      <c r="A277" s="237"/>
      <c r="B277" s="210"/>
      <c r="C277" s="90"/>
      <c r="D277" s="168"/>
      <c r="E277" s="168"/>
      <c r="F277" s="194"/>
      <c r="G277" s="106" t="s">
        <v>76</v>
      </c>
      <c r="H277" s="118" t="s">
        <v>75</v>
      </c>
      <c r="I277" s="106" t="s">
        <v>76</v>
      </c>
      <c r="J277" s="118" t="s">
        <v>75</v>
      </c>
      <c r="K277" s="106" t="s">
        <v>76</v>
      </c>
      <c r="L277" s="118" t="s">
        <v>75</v>
      </c>
      <c r="M277" s="106" t="s">
        <v>76</v>
      </c>
      <c r="N277" s="118" t="s">
        <v>75</v>
      </c>
      <c r="O277" s="106" t="s">
        <v>76</v>
      </c>
      <c r="P277" s="118" t="s">
        <v>75</v>
      </c>
      <c r="Q277" s="106" t="s">
        <v>76</v>
      </c>
      <c r="R277" s="118" t="s">
        <v>75</v>
      </c>
      <c r="S277" s="106" t="s">
        <v>76</v>
      </c>
      <c r="T277" s="118" t="s">
        <v>75</v>
      </c>
    </row>
    <row r="278" spans="1:21" x14ac:dyDescent="0.25">
      <c r="A278" s="213" t="s">
        <v>72</v>
      </c>
      <c r="B278" s="180">
        <v>33</v>
      </c>
      <c r="C278" s="183">
        <v>2016</v>
      </c>
      <c r="D278" s="186">
        <v>28.72</v>
      </c>
      <c r="E278" s="186">
        <v>28.42</v>
      </c>
      <c r="F278" s="14" t="s">
        <v>24</v>
      </c>
      <c r="G278" s="112"/>
      <c r="H278" s="111"/>
      <c r="I278" s="112"/>
      <c r="J278" s="111"/>
      <c r="K278" s="112">
        <v>3</v>
      </c>
      <c r="L278" s="111">
        <v>3</v>
      </c>
      <c r="M278" s="112"/>
      <c r="N278" s="111"/>
      <c r="O278" s="112"/>
      <c r="P278" s="111"/>
      <c r="Q278" s="112"/>
      <c r="R278" s="111"/>
      <c r="S278" s="112" cm="1">
        <f t="array" ref="S278">MAX(IF(MOD(COLUMN(G278:R278)-COLUMN(C145),2)=0, G278:R278))</f>
        <v>3</v>
      </c>
      <c r="T278" s="111" cm="1">
        <f t="array" ref="T278">MAX(IF(MOD(COLUMN(G278:R278)-COLUMN(C145),2)=1, G278:R278))</f>
        <v>3</v>
      </c>
      <c r="U278" s="5"/>
    </row>
    <row r="279" spans="1:21" x14ac:dyDescent="0.25">
      <c r="A279" s="214"/>
      <c r="B279" s="181"/>
      <c r="C279" s="184"/>
      <c r="D279" s="187"/>
      <c r="E279" s="187"/>
      <c r="F279" s="21" t="s">
        <v>65</v>
      </c>
      <c r="G279" s="101"/>
      <c r="H279" s="102"/>
      <c r="I279" s="101"/>
      <c r="J279" s="102"/>
      <c r="K279" s="101">
        <v>20</v>
      </c>
      <c r="L279" s="102">
        <v>1000</v>
      </c>
      <c r="M279" s="101"/>
      <c r="N279" s="102"/>
      <c r="O279" s="101"/>
      <c r="P279" s="102"/>
      <c r="Q279" s="101"/>
      <c r="R279" s="102"/>
      <c r="S279" s="101">
        <f>G139+I139+K139+M139+O139+Q139+G279+I279++K279+M279+O279+Q279</f>
        <v>60</v>
      </c>
      <c r="T279" s="102">
        <f>H139+J139+L139+N139+P139+R139+H279+J279++L279+N279+P279+R279</f>
        <v>3000</v>
      </c>
      <c r="U279" s="8"/>
    </row>
    <row r="280" spans="1:21" ht="16.5" thickBot="1" x14ac:dyDescent="0.3">
      <c r="A280" s="214"/>
      <c r="B280" s="182"/>
      <c r="C280" s="185"/>
      <c r="D280" s="188"/>
      <c r="E280" s="188"/>
      <c r="F280" s="27" t="s">
        <v>27</v>
      </c>
      <c r="G280" s="103"/>
      <c r="H280" s="104"/>
      <c r="I280" s="103"/>
      <c r="J280" s="104"/>
      <c r="K280" s="103">
        <v>28.72</v>
      </c>
      <c r="L280" s="104">
        <v>28.72</v>
      </c>
      <c r="M280" s="103"/>
      <c r="N280" s="104"/>
      <c r="O280" s="103"/>
      <c r="P280" s="104"/>
      <c r="Q280" s="103"/>
      <c r="R280" s="104"/>
      <c r="S280" s="103" cm="1">
        <f t="array" ref="S280">MAX(IF(MOD(COLUMN(G280:R280)-COLUMN(C275),2)=0, G280:R280))</f>
        <v>28.72</v>
      </c>
      <c r="T280" s="104" cm="1">
        <f t="array" ref="T280">MAX(IF(MOD(COLUMN(G280:R280)-COLUMN(C275),2)=1, G280:R280))</f>
        <v>28.72</v>
      </c>
      <c r="U280" s="8"/>
    </row>
    <row r="281" spans="1:21" x14ac:dyDescent="0.25">
      <c r="A281" s="214"/>
      <c r="B281" s="189">
        <v>39</v>
      </c>
      <c r="C281" s="183">
        <v>2016</v>
      </c>
      <c r="D281" s="186">
        <v>4.5</v>
      </c>
      <c r="E281" s="186">
        <v>4.5</v>
      </c>
      <c r="F281" s="14" t="s">
        <v>24</v>
      </c>
      <c r="G281" s="112"/>
      <c r="H281" s="111"/>
      <c r="I281" s="112"/>
      <c r="J281" s="111"/>
      <c r="K281" s="112">
        <v>3</v>
      </c>
      <c r="L281" s="111">
        <v>3</v>
      </c>
      <c r="M281" s="112"/>
      <c r="N281" s="111"/>
      <c r="O281" s="112"/>
      <c r="P281" s="111"/>
      <c r="Q281" s="112"/>
      <c r="R281" s="111"/>
      <c r="S281" s="112" cm="1">
        <f t="array" ref="S281">MAX(IF(MOD(COLUMN(G281:R281)-COLUMN(C276),2)=0, G281:R281))</f>
        <v>3</v>
      </c>
      <c r="T281" s="111" cm="1">
        <f t="array" ref="T281">MAX(IF(MOD(COLUMN(G281:R281)-COLUMN(C276),2)=1, G281:R281))</f>
        <v>3</v>
      </c>
      <c r="U281" s="8"/>
    </row>
    <row r="282" spans="1:21" x14ac:dyDescent="0.25">
      <c r="A282" s="214"/>
      <c r="B282" s="190"/>
      <c r="C282" s="184"/>
      <c r="D282" s="187"/>
      <c r="E282" s="187"/>
      <c r="F282" s="21" t="s">
        <v>65</v>
      </c>
      <c r="G282" s="101"/>
      <c r="H282" s="102"/>
      <c r="I282" s="101"/>
      <c r="J282" s="102"/>
      <c r="K282" s="101">
        <v>6</v>
      </c>
      <c r="L282" s="102">
        <v>334</v>
      </c>
      <c r="M282" s="101"/>
      <c r="N282" s="102"/>
      <c r="O282" s="101"/>
      <c r="P282" s="102"/>
      <c r="Q282" s="101"/>
      <c r="R282" s="102"/>
      <c r="S282" s="101">
        <f>G142+I142+K142+M142+O142+Q142+G282+I282++K282+M282+O282+Q282</f>
        <v>20</v>
      </c>
      <c r="T282" s="102">
        <f>H142+J142+L142+N142+P142+R142+H282+J282++L282+N282+P282+R282</f>
        <v>1000</v>
      </c>
      <c r="U282" s="5"/>
    </row>
    <row r="283" spans="1:21" ht="16.5" thickBot="1" x14ac:dyDescent="0.3">
      <c r="A283" s="214"/>
      <c r="B283" s="191"/>
      <c r="C283" s="185"/>
      <c r="D283" s="188"/>
      <c r="E283" s="188"/>
      <c r="F283" s="27" t="s">
        <v>27</v>
      </c>
      <c r="G283" s="113"/>
      <c r="H283" s="123"/>
      <c r="I283" s="113"/>
      <c r="J283" s="123"/>
      <c r="K283" s="113">
        <v>4.5</v>
      </c>
      <c r="L283" s="123">
        <v>4.5</v>
      </c>
      <c r="M283" s="113"/>
      <c r="N283" s="123"/>
      <c r="O283" s="113"/>
      <c r="P283" s="123"/>
      <c r="Q283" s="113"/>
      <c r="R283" s="123"/>
      <c r="S283" s="103" cm="1">
        <f t="array" ref="S283">MAX(IF(MOD(COLUMN(G283:R283)-COLUMN(C275),2)=0, G283:R283))</f>
        <v>4.5</v>
      </c>
      <c r="T283" s="104" cm="1">
        <f t="array" ref="T283">MAX(IF(MOD(COLUMN(G283:R283)-COLUMN(C275),2)=1, G283:R283))</f>
        <v>4.5</v>
      </c>
      <c r="U283" s="5"/>
    </row>
    <row r="284" spans="1:21" ht="16.5" thickBot="1" x14ac:dyDescent="0.3">
      <c r="A284" s="214"/>
      <c r="B284" s="231" t="s">
        <v>29</v>
      </c>
      <c r="C284" s="8"/>
      <c r="D284" s="225">
        <f>SUM(D278:D283)</f>
        <v>33.22</v>
      </c>
      <c r="E284" s="225">
        <f>SUM(E278:E283)</f>
        <v>32.92</v>
      </c>
      <c r="F284" s="125" t="s">
        <v>65</v>
      </c>
      <c r="G284" s="47">
        <f t="shared" ref="G284:T284" si="18">G279+G282</f>
        <v>0</v>
      </c>
      <c r="H284" s="49">
        <f t="shared" si="18"/>
        <v>0</v>
      </c>
      <c r="I284" s="47">
        <f t="shared" si="18"/>
        <v>0</v>
      </c>
      <c r="J284" s="49">
        <f t="shared" si="18"/>
        <v>0</v>
      </c>
      <c r="K284" s="47">
        <f t="shared" si="18"/>
        <v>26</v>
      </c>
      <c r="L284" s="49">
        <f t="shared" si="18"/>
        <v>1334</v>
      </c>
      <c r="M284" s="47">
        <f t="shared" si="18"/>
        <v>0</v>
      </c>
      <c r="N284" s="49">
        <f t="shared" si="18"/>
        <v>0</v>
      </c>
      <c r="O284" s="47">
        <f t="shared" si="18"/>
        <v>0</v>
      </c>
      <c r="P284" s="49">
        <f t="shared" si="18"/>
        <v>0</v>
      </c>
      <c r="Q284" s="47">
        <f t="shared" si="18"/>
        <v>0</v>
      </c>
      <c r="R284" s="49">
        <f t="shared" si="18"/>
        <v>0</v>
      </c>
      <c r="S284" s="47">
        <f t="shared" si="18"/>
        <v>80</v>
      </c>
      <c r="T284" s="49">
        <f t="shared" si="18"/>
        <v>4000</v>
      </c>
      <c r="U284" s="5"/>
    </row>
    <row r="285" spans="1:21" ht="16.5" thickBot="1" x14ac:dyDescent="0.3">
      <c r="A285" s="215"/>
      <c r="B285" s="232"/>
      <c r="C285" s="132"/>
      <c r="D285" s="226"/>
      <c r="E285" s="226"/>
      <c r="F285" s="46" t="s">
        <v>27</v>
      </c>
      <c r="G285" s="47">
        <f t="shared" ref="G285:T285" si="19">G280+G283</f>
        <v>0</v>
      </c>
      <c r="H285" s="49">
        <f t="shared" si="19"/>
        <v>0</v>
      </c>
      <c r="I285" s="47">
        <f t="shared" si="19"/>
        <v>0</v>
      </c>
      <c r="J285" s="49">
        <f t="shared" si="19"/>
        <v>0</v>
      </c>
      <c r="K285" s="47">
        <f t="shared" si="19"/>
        <v>33.22</v>
      </c>
      <c r="L285" s="49">
        <f t="shared" si="19"/>
        <v>33.22</v>
      </c>
      <c r="M285" s="47">
        <f t="shared" si="19"/>
        <v>0</v>
      </c>
      <c r="N285" s="49">
        <f t="shared" si="19"/>
        <v>0</v>
      </c>
      <c r="O285" s="47">
        <f t="shared" si="19"/>
        <v>0</v>
      </c>
      <c r="P285" s="49">
        <f t="shared" si="19"/>
        <v>0</v>
      </c>
      <c r="Q285" s="47">
        <f t="shared" si="19"/>
        <v>0</v>
      </c>
      <c r="R285" s="49">
        <f t="shared" si="19"/>
        <v>0</v>
      </c>
      <c r="S285" s="47">
        <f t="shared" si="19"/>
        <v>33.22</v>
      </c>
      <c r="T285" s="49">
        <f t="shared" si="19"/>
        <v>33.22</v>
      </c>
      <c r="U285" s="5"/>
    </row>
    <row r="286" spans="1:21" ht="7.5" customHeight="1" x14ac:dyDescent="0.25">
      <c r="A286" s="238" t="s">
        <v>80</v>
      </c>
      <c r="B286" s="238"/>
      <c r="C286" s="154"/>
      <c r="D286" s="239">
        <f>SUM(D47,D75,D97,D131,D144)</f>
        <v>1416.51</v>
      </c>
      <c r="E286" s="239">
        <f>SUM(E47,E75,E97,E131,E144)</f>
        <v>1413.7800000000002</v>
      </c>
      <c r="F286" s="78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</row>
    <row r="287" spans="1:21" ht="7.5" customHeight="1" x14ac:dyDescent="0.25">
      <c r="A287" s="238"/>
      <c r="B287" s="238"/>
      <c r="C287" s="154"/>
      <c r="D287" s="239"/>
      <c r="E287" s="239"/>
      <c r="F287" s="78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</row>
    <row r="288" spans="1:21" ht="7.5" customHeight="1" x14ac:dyDescent="0.25">
      <c r="A288" s="153"/>
      <c r="B288" s="153"/>
      <c r="C288" s="154"/>
      <c r="D288" s="155"/>
      <c r="E288" s="155"/>
      <c r="F288" s="78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</row>
    <row r="289" spans="1:31" ht="16.5" thickBot="1" x14ac:dyDescent="0.3">
      <c r="A289" s="153"/>
      <c r="B289" s="153"/>
      <c r="C289" s="154"/>
      <c r="D289" s="155"/>
      <c r="E289" s="155"/>
      <c r="F289" s="78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</row>
    <row r="290" spans="1:31" ht="16.5" thickBot="1" x14ac:dyDescent="0.3">
      <c r="A290" s="130"/>
      <c r="B290" s="127"/>
      <c r="C290" s="126"/>
      <c r="F290" s="78"/>
      <c r="G290" s="233" t="s">
        <v>12</v>
      </c>
      <c r="H290" s="234"/>
      <c r="I290" s="233" t="s">
        <v>13</v>
      </c>
      <c r="J290" s="234"/>
      <c r="K290" s="233" t="s">
        <v>14</v>
      </c>
      <c r="L290" s="234"/>
      <c r="M290" s="233" t="s">
        <v>15</v>
      </c>
      <c r="N290" s="234"/>
      <c r="O290" s="233" t="s">
        <v>16</v>
      </c>
      <c r="P290" s="234"/>
      <c r="Q290" s="233" t="s">
        <v>17</v>
      </c>
      <c r="R290" s="234"/>
      <c r="S290" s="5"/>
      <c r="T290" s="5"/>
      <c r="U290" s="5"/>
      <c r="AD290" s="129"/>
      <c r="AE290" s="129"/>
    </row>
    <row r="291" spans="1:31" ht="32.25" thickBot="1" x14ac:dyDescent="0.3">
      <c r="A291" s="130"/>
      <c r="B291" s="127"/>
      <c r="C291" s="126"/>
      <c r="D291" s="152"/>
      <c r="E291" s="152"/>
      <c r="F291" s="78"/>
      <c r="G291" s="106" t="s">
        <v>76</v>
      </c>
      <c r="H291" s="118" t="s">
        <v>75</v>
      </c>
      <c r="I291" s="106" t="s">
        <v>76</v>
      </c>
      <c r="J291" s="118" t="s">
        <v>75</v>
      </c>
      <c r="K291" s="106" t="s">
        <v>76</v>
      </c>
      <c r="L291" s="118" t="s">
        <v>75</v>
      </c>
      <c r="M291" s="106" t="s">
        <v>76</v>
      </c>
      <c r="N291" s="118" t="s">
        <v>75</v>
      </c>
      <c r="O291" s="106" t="s">
        <v>76</v>
      </c>
      <c r="P291" s="118" t="s">
        <v>75</v>
      </c>
      <c r="Q291" s="106" t="s">
        <v>76</v>
      </c>
      <c r="R291" s="118" t="s">
        <v>75</v>
      </c>
      <c r="AD291" s="129"/>
      <c r="AE291" s="129"/>
    </row>
    <row r="292" spans="1:31" s="140" customFormat="1" ht="16.5" thickBot="1" x14ac:dyDescent="0.3">
      <c r="F292" s="136" t="s">
        <v>65</v>
      </c>
      <c r="G292" s="149">
        <f>SUM(G47,G75,G97,G131,G144)</f>
        <v>0</v>
      </c>
      <c r="H292" s="150">
        <v>0</v>
      </c>
      <c r="I292" s="149">
        <f>SUM(I47,I75,I97,I131,I144)</f>
        <v>380</v>
      </c>
      <c r="J292" s="150">
        <f>SUM(J47,J75,J97,J144,J131)</f>
        <v>19000</v>
      </c>
      <c r="K292" s="149">
        <f>SUM(K47,K75,K97,K131,K144)</f>
        <v>380</v>
      </c>
      <c r="L292" s="150">
        <f>SUM(L47,L75,L97,L144,L131)</f>
        <v>19000</v>
      </c>
      <c r="M292" s="149">
        <f>SUM(M47,M75,M97,M131,M144)</f>
        <v>387</v>
      </c>
      <c r="N292" s="150">
        <f>SUM(N47,N75,N97,N131,N144)</f>
        <v>19333</v>
      </c>
      <c r="O292" s="149">
        <f>SUM(O47,O75,O97,O131,O144)</f>
        <v>360</v>
      </c>
      <c r="P292" s="150">
        <f>SUM(P47,P75,P97,P144,P131)</f>
        <v>18000</v>
      </c>
      <c r="Q292" s="149">
        <f>SUM(Q47,Q75,Q97,Q131,Q144)</f>
        <v>567</v>
      </c>
      <c r="R292" s="150">
        <f>SUM(R47,R75,R97,R144,R131)</f>
        <v>28333</v>
      </c>
      <c r="S292" s="4"/>
      <c r="T292" s="4"/>
      <c r="U292" s="4"/>
    </row>
    <row r="293" spans="1:31" s="140" customFormat="1" ht="16.5" thickBot="1" x14ac:dyDescent="0.3">
      <c r="F293" s="141" t="s">
        <v>27</v>
      </c>
      <c r="G293" s="151">
        <f>SUM(G48,G76,G98,G132,G145)</f>
        <v>0</v>
      </c>
      <c r="H293" s="150">
        <v>0</v>
      </c>
      <c r="I293" s="151">
        <f>SUM(I48,I76,I98,I132,I145)</f>
        <v>450.63999999999993</v>
      </c>
      <c r="J293" s="150">
        <f>SUM(J48,J76,J98,J145,J132)</f>
        <v>450.63999999999993</v>
      </c>
      <c r="K293" s="151">
        <f>SUM(K48,K76,K98,K132,K145)</f>
        <v>419.24</v>
      </c>
      <c r="L293" s="150">
        <f>SUM(L48,L76,L98,L145,L132)</f>
        <v>419.24</v>
      </c>
      <c r="M293" s="151">
        <f>SUM(M48,M76,M98,M132,M145)</f>
        <v>388.5</v>
      </c>
      <c r="N293" s="150">
        <f>SUM(N48,N76,N98,N132,N145)</f>
        <v>388.5</v>
      </c>
      <c r="O293" s="151">
        <f>SUM(O48,O76,O98,O132,O145)</f>
        <v>422.17</v>
      </c>
      <c r="P293" s="150">
        <f>SUM(P48,P76,P98,P145,P132)</f>
        <v>422.17</v>
      </c>
      <c r="Q293" s="151">
        <f>SUM(Q48,Q76,Q98,Q132,Q145)</f>
        <v>626.34000000000015</v>
      </c>
      <c r="R293" s="150">
        <f>SUM(R48,R76,R98,R145,R132)</f>
        <v>626.34000000000015</v>
      </c>
    </row>
    <row r="294" spans="1:31" ht="16.5" thickBot="1" x14ac:dyDescent="0.3">
      <c r="S294" s="140"/>
    </row>
    <row r="295" spans="1:31" ht="16.5" thickBot="1" x14ac:dyDescent="0.3">
      <c r="G295" s="233" t="s">
        <v>18</v>
      </c>
      <c r="H295" s="234"/>
      <c r="I295" s="233" t="s">
        <v>19</v>
      </c>
      <c r="J295" s="234"/>
      <c r="K295" s="233" t="s">
        <v>20</v>
      </c>
      <c r="L295" s="234"/>
      <c r="M295" s="233" t="s">
        <v>21</v>
      </c>
      <c r="N295" s="234"/>
      <c r="O295" s="233" t="s">
        <v>22</v>
      </c>
      <c r="P295" s="234"/>
      <c r="Q295" s="233" t="s">
        <v>23</v>
      </c>
      <c r="R295" s="234"/>
      <c r="S295" s="233" t="s">
        <v>66</v>
      </c>
      <c r="T295" s="234"/>
    </row>
    <row r="296" spans="1:31" ht="32.25" thickBot="1" x14ac:dyDescent="0.3">
      <c r="A296" s="127"/>
      <c r="B296" s="127"/>
      <c r="C296" s="127"/>
      <c r="D296" s="127"/>
      <c r="E296" s="127"/>
      <c r="F296" s="78"/>
      <c r="G296" s="106" t="s">
        <v>76</v>
      </c>
      <c r="H296" s="118" t="s">
        <v>75</v>
      </c>
      <c r="I296" s="106" t="s">
        <v>76</v>
      </c>
      <c r="J296" s="118" t="s">
        <v>75</v>
      </c>
      <c r="K296" s="106" t="s">
        <v>76</v>
      </c>
      <c r="L296" s="118" t="s">
        <v>75</v>
      </c>
      <c r="M296" s="106" t="s">
        <v>76</v>
      </c>
      <c r="N296" s="118" t="s">
        <v>75</v>
      </c>
      <c r="O296" s="106" t="s">
        <v>76</v>
      </c>
      <c r="P296" s="118" t="s">
        <v>75</v>
      </c>
      <c r="Q296" s="106" t="s">
        <v>76</v>
      </c>
      <c r="R296" s="118" t="s">
        <v>75</v>
      </c>
      <c r="S296" s="106" t="s">
        <v>76</v>
      </c>
      <c r="T296" s="118" t="s">
        <v>75</v>
      </c>
      <c r="U296" s="5"/>
      <c r="AD296" s="129"/>
      <c r="AE296" s="129"/>
    </row>
    <row r="297" spans="1:31" ht="16.5" thickBot="1" x14ac:dyDescent="0.3">
      <c r="A297" s="127"/>
      <c r="B297" s="127"/>
      <c r="C297" s="127"/>
      <c r="D297" s="127"/>
      <c r="E297" s="127"/>
      <c r="F297" s="136" t="s">
        <v>65</v>
      </c>
      <c r="G297" s="149">
        <f>SUM(G187,G215,G284)</f>
        <v>400</v>
      </c>
      <c r="H297" s="150">
        <f>SUM(H187,H215,H284)</f>
        <v>20000</v>
      </c>
      <c r="I297" s="149">
        <f>SUM(I187,I215,I284)</f>
        <v>260</v>
      </c>
      <c r="J297" s="150">
        <f>SUM(J187,J215,J284)</f>
        <v>13000</v>
      </c>
      <c r="K297" s="149">
        <f>SUM(K187,K215,K284)</f>
        <v>226</v>
      </c>
      <c r="L297" s="150">
        <f>SUM(L187,L215,L284)</f>
        <v>11334</v>
      </c>
      <c r="M297" s="149">
        <f>SUM(M187,M215,M284)</f>
        <v>360</v>
      </c>
      <c r="N297" s="150">
        <f>SUM(N187,N215,N284)</f>
        <v>18000</v>
      </c>
      <c r="O297" s="149">
        <f>SUM(O187,O215,O284)</f>
        <v>0</v>
      </c>
      <c r="P297" s="150">
        <f>SUM(P187,P215,P284)</f>
        <v>0</v>
      </c>
      <c r="Q297" s="149">
        <f>SUM(Q187,Q215,Q284)</f>
        <v>0</v>
      </c>
      <c r="R297" s="150">
        <f>SUM(R187,R215,R284)</f>
        <v>0</v>
      </c>
      <c r="S297" s="149">
        <f>SUM(S187,S215,S237,S271,S284)</f>
        <v>3920</v>
      </c>
      <c r="T297" s="150">
        <f>SUM(T187,T215,T237,T271,T284)</f>
        <v>196000</v>
      </c>
    </row>
    <row r="298" spans="1:31" ht="16.5" thickBot="1" x14ac:dyDescent="0.3">
      <c r="A298" s="127"/>
      <c r="B298" s="127"/>
      <c r="C298" s="127"/>
      <c r="D298" s="127"/>
      <c r="E298" s="127"/>
      <c r="F298" s="141" t="s">
        <v>27</v>
      </c>
      <c r="G298" s="151">
        <f>SUM(G188,G216,G285)</f>
        <v>373.4</v>
      </c>
      <c r="H298" s="150">
        <f>SUM(H188,H216,H285)</f>
        <v>373.4</v>
      </c>
      <c r="I298" s="151">
        <f>SUM(I188,I216,I285)</f>
        <v>319.29999999999995</v>
      </c>
      <c r="J298" s="150">
        <f>SUM(J188,J216,J285)</f>
        <v>319.29999999999995</v>
      </c>
      <c r="K298" s="151">
        <f>SUM(K188,K216,K285)</f>
        <v>267.02</v>
      </c>
      <c r="L298" s="150">
        <f>SUM(L188,L216,L285)</f>
        <v>267.02</v>
      </c>
      <c r="M298" s="151">
        <f>SUM(M188,M216,M285)</f>
        <v>373.14</v>
      </c>
      <c r="N298" s="150">
        <f>SUM(N188,N216,N285)</f>
        <v>373.14</v>
      </c>
      <c r="O298" s="151">
        <f>SUM(O188,O216,O285)</f>
        <v>0</v>
      </c>
      <c r="P298" s="150">
        <f>SUM(P188,P216,P285)</f>
        <v>0</v>
      </c>
      <c r="Q298" s="151">
        <f>SUM(Q188,Q216,Q285)</f>
        <v>0</v>
      </c>
      <c r="R298" s="150">
        <f>SUM(R188,R216,R285)</f>
        <v>0</v>
      </c>
      <c r="S298" s="151">
        <f>SUM(S188,S216,S238,S272,S285)</f>
        <v>1424.39</v>
      </c>
      <c r="T298" s="151">
        <f>SUM(T188,T216,T238,T272,T285)</f>
        <v>1424.39</v>
      </c>
      <c r="U298" s="5"/>
    </row>
    <row r="299" spans="1:31" x14ac:dyDescent="0.25">
      <c r="A299" s="127"/>
      <c r="B299" s="127"/>
      <c r="C299" s="127"/>
      <c r="D299" s="127"/>
      <c r="E299" s="127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</row>
    <row r="300" spans="1:31" x14ac:dyDescent="0.25">
      <c r="G300" s="114"/>
    </row>
  </sheetData>
  <autoFilter ref="A1:Y301" xr:uid="{2D322C8C-9521-434F-AA94-297C9003E91C}"/>
  <mergeCells count="462">
    <mergeCell ref="Q134:R136"/>
    <mergeCell ref="O274:P276"/>
    <mergeCell ref="Q274:R276"/>
    <mergeCell ref="S274:T276"/>
    <mergeCell ref="K274:L276"/>
    <mergeCell ref="M274:N276"/>
    <mergeCell ref="B144:B145"/>
    <mergeCell ref="D144:D145"/>
    <mergeCell ref="E144:E145"/>
    <mergeCell ref="G134:H136"/>
    <mergeCell ref="I134:J136"/>
    <mergeCell ref="K134:L136"/>
    <mergeCell ref="M134:N136"/>
    <mergeCell ref="O134:P136"/>
    <mergeCell ref="A278:A285"/>
    <mergeCell ref="B278:B280"/>
    <mergeCell ref="C278:C280"/>
    <mergeCell ref="D278:D280"/>
    <mergeCell ref="E278:E280"/>
    <mergeCell ref="B281:B283"/>
    <mergeCell ref="C281:C283"/>
    <mergeCell ref="G274:H276"/>
    <mergeCell ref="I274:J276"/>
    <mergeCell ref="E274:E277"/>
    <mergeCell ref="F274:F277"/>
    <mergeCell ref="D281:D283"/>
    <mergeCell ref="E281:E283"/>
    <mergeCell ref="B284:B285"/>
    <mergeCell ref="D284:D285"/>
    <mergeCell ref="E284:E285"/>
    <mergeCell ref="B268:B270"/>
    <mergeCell ref="C268:C270"/>
    <mergeCell ref="D268:D270"/>
    <mergeCell ref="E268:E270"/>
    <mergeCell ref="B271:C272"/>
    <mergeCell ref="D271:D272"/>
    <mergeCell ref="E271:E272"/>
    <mergeCell ref="B262:B264"/>
    <mergeCell ref="C262:C264"/>
    <mergeCell ref="D262:D264"/>
    <mergeCell ref="E262:E264"/>
    <mergeCell ref="B265:B267"/>
    <mergeCell ref="C265:C267"/>
    <mergeCell ref="D265:D267"/>
    <mergeCell ref="E265:E267"/>
    <mergeCell ref="E253:E255"/>
    <mergeCell ref="B256:B258"/>
    <mergeCell ref="C256:C258"/>
    <mergeCell ref="D256:D258"/>
    <mergeCell ref="E256:E258"/>
    <mergeCell ref="B259:B261"/>
    <mergeCell ref="C259:C261"/>
    <mergeCell ref="D259:D261"/>
    <mergeCell ref="E259:E261"/>
    <mergeCell ref="B250:B252"/>
    <mergeCell ref="C250:C252"/>
    <mergeCell ref="D250:D252"/>
    <mergeCell ref="B253:B255"/>
    <mergeCell ref="C253:C255"/>
    <mergeCell ref="D253:D255"/>
    <mergeCell ref="S240:T242"/>
    <mergeCell ref="A244:A272"/>
    <mergeCell ref="B244:B246"/>
    <mergeCell ref="C244:C246"/>
    <mergeCell ref="D244:D246"/>
    <mergeCell ref="E244:E246"/>
    <mergeCell ref="B247:B249"/>
    <mergeCell ref="C247:C249"/>
    <mergeCell ref="D247:D249"/>
    <mergeCell ref="E247:E249"/>
    <mergeCell ref="G240:H242"/>
    <mergeCell ref="I240:J242"/>
    <mergeCell ref="K240:L242"/>
    <mergeCell ref="M240:N242"/>
    <mergeCell ref="O240:P242"/>
    <mergeCell ref="Q240:R242"/>
    <mergeCell ref="A240:A243"/>
    <mergeCell ref="B240:B243"/>
    <mergeCell ref="S218:T220"/>
    <mergeCell ref="G218:H220"/>
    <mergeCell ref="I218:J220"/>
    <mergeCell ref="K218:L220"/>
    <mergeCell ref="M218:N220"/>
    <mergeCell ref="O218:P220"/>
    <mergeCell ref="Q218:R220"/>
    <mergeCell ref="C240:C242"/>
    <mergeCell ref="D240:D243"/>
    <mergeCell ref="E240:E243"/>
    <mergeCell ref="F240:F243"/>
    <mergeCell ref="C234:C236"/>
    <mergeCell ref="D234:D236"/>
    <mergeCell ref="E234:E236"/>
    <mergeCell ref="B237:C238"/>
    <mergeCell ref="D237:D238"/>
    <mergeCell ref="E237:E238"/>
    <mergeCell ref="B122:B124"/>
    <mergeCell ref="C122:C124"/>
    <mergeCell ref="D122:D124"/>
    <mergeCell ref="E122:E124"/>
    <mergeCell ref="B125:B127"/>
    <mergeCell ref="C125:C127"/>
    <mergeCell ref="D125:D127"/>
    <mergeCell ref="A222:A238"/>
    <mergeCell ref="B222:B224"/>
    <mergeCell ref="C222:C224"/>
    <mergeCell ref="D222:D224"/>
    <mergeCell ref="E222:E224"/>
    <mergeCell ref="B225:B227"/>
    <mergeCell ref="C225:C227"/>
    <mergeCell ref="D225:D227"/>
    <mergeCell ref="E225:E227"/>
    <mergeCell ref="B228:B230"/>
    <mergeCell ref="C228:C230"/>
    <mergeCell ref="D228:D230"/>
    <mergeCell ref="E228:E230"/>
    <mergeCell ref="B231:B233"/>
    <mergeCell ref="C231:C233"/>
    <mergeCell ref="D231:D233"/>
    <mergeCell ref="E231:E233"/>
    <mergeCell ref="B234:B236"/>
    <mergeCell ref="A218:A221"/>
    <mergeCell ref="B218:B221"/>
    <mergeCell ref="C218:C220"/>
    <mergeCell ref="D218:D221"/>
    <mergeCell ref="E218:E221"/>
    <mergeCell ref="F218:F221"/>
    <mergeCell ref="B212:B214"/>
    <mergeCell ref="C212:C214"/>
    <mergeCell ref="D212:D214"/>
    <mergeCell ref="E212:E214"/>
    <mergeCell ref="B215:C216"/>
    <mergeCell ref="D215:D216"/>
    <mergeCell ref="E215:E216"/>
    <mergeCell ref="A194:A216"/>
    <mergeCell ref="B194:B196"/>
    <mergeCell ref="C194:C196"/>
    <mergeCell ref="D194:D196"/>
    <mergeCell ref="E194:E196"/>
    <mergeCell ref="B197:B199"/>
    <mergeCell ref="C197:C199"/>
    <mergeCell ref="D197:D199"/>
    <mergeCell ref="E197:E199"/>
    <mergeCell ref="B206:B208"/>
    <mergeCell ref="C206:C208"/>
    <mergeCell ref="D206:D208"/>
    <mergeCell ref="E206:E208"/>
    <mergeCell ref="B209:B211"/>
    <mergeCell ref="C209:C211"/>
    <mergeCell ref="D209:D211"/>
    <mergeCell ref="E209:E211"/>
    <mergeCell ref="C200:C202"/>
    <mergeCell ref="D200:D202"/>
    <mergeCell ref="E200:E202"/>
    <mergeCell ref="B203:B205"/>
    <mergeCell ref="C203:C205"/>
    <mergeCell ref="D203:D205"/>
    <mergeCell ref="E203:E205"/>
    <mergeCell ref="B200:B202"/>
    <mergeCell ref="I190:J192"/>
    <mergeCell ref="K190:L192"/>
    <mergeCell ref="M190:N192"/>
    <mergeCell ref="O190:P192"/>
    <mergeCell ref="Q190:R192"/>
    <mergeCell ref="S190:T192"/>
    <mergeCell ref="G190:H192"/>
    <mergeCell ref="A5:R5"/>
    <mergeCell ref="A4:R4"/>
    <mergeCell ref="D172:D174"/>
    <mergeCell ref="E172:E174"/>
    <mergeCell ref="B175:B177"/>
    <mergeCell ref="C175:C177"/>
    <mergeCell ref="D175:D177"/>
    <mergeCell ref="E175:E177"/>
    <mergeCell ref="B166:B168"/>
    <mergeCell ref="C166:C168"/>
    <mergeCell ref="D166:D168"/>
    <mergeCell ref="E166:E168"/>
    <mergeCell ref="B169:B171"/>
    <mergeCell ref="C169:C171"/>
    <mergeCell ref="D169:D171"/>
    <mergeCell ref="E169:E171"/>
    <mergeCell ref="B160:B162"/>
    <mergeCell ref="A3:R3"/>
    <mergeCell ref="A190:A193"/>
    <mergeCell ref="B190:B193"/>
    <mergeCell ref="C190:C192"/>
    <mergeCell ref="D190:D193"/>
    <mergeCell ref="E190:E193"/>
    <mergeCell ref="F190:F193"/>
    <mergeCell ref="B184:B186"/>
    <mergeCell ref="C184:C186"/>
    <mergeCell ref="D184:D186"/>
    <mergeCell ref="E184:E186"/>
    <mergeCell ref="B187:C188"/>
    <mergeCell ref="D187:D188"/>
    <mergeCell ref="E187:E188"/>
    <mergeCell ref="B178:B180"/>
    <mergeCell ref="C178:C180"/>
    <mergeCell ref="D178:D180"/>
    <mergeCell ref="E178:E180"/>
    <mergeCell ref="B181:B183"/>
    <mergeCell ref="C181:C183"/>
    <mergeCell ref="D181:D183"/>
    <mergeCell ref="E181:E183"/>
    <mergeCell ref="B172:B174"/>
    <mergeCell ref="C172:C174"/>
    <mergeCell ref="D163:D165"/>
    <mergeCell ref="E163:E165"/>
    <mergeCell ref="B154:B156"/>
    <mergeCell ref="C154:C156"/>
    <mergeCell ref="D154:D156"/>
    <mergeCell ref="E154:E156"/>
    <mergeCell ref="B157:B159"/>
    <mergeCell ref="C157:C159"/>
    <mergeCell ref="D157:D159"/>
    <mergeCell ref="E157:E159"/>
    <mergeCell ref="A286:B287"/>
    <mergeCell ref="D286:D287"/>
    <mergeCell ref="E286:E287"/>
    <mergeCell ref="K147:L149"/>
    <mergeCell ref="M147:N149"/>
    <mergeCell ref="O147:P149"/>
    <mergeCell ref="Q147:R149"/>
    <mergeCell ref="S147:T149"/>
    <mergeCell ref="A151:A188"/>
    <mergeCell ref="B151:B153"/>
    <mergeCell ref="C151:C153"/>
    <mergeCell ref="D151:D153"/>
    <mergeCell ref="E151:E153"/>
    <mergeCell ref="G147:H149"/>
    <mergeCell ref="I147:J149"/>
    <mergeCell ref="C147:C149"/>
    <mergeCell ref="D147:D150"/>
    <mergeCell ref="E147:E150"/>
    <mergeCell ref="F147:F150"/>
    <mergeCell ref="C160:C162"/>
    <mergeCell ref="D160:D162"/>
    <mergeCell ref="E160:E162"/>
    <mergeCell ref="B163:B165"/>
    <mergeCell ref="C163:C165"/>
    <mergeCell ref="A274:A277"/>
    <mergeCell ref="B274:B277"/>
    <mergeCell ref="C274:C276"/>
    <mergeCell ref="D274:D277"/>
    <mergeCell ref="A138:A145"/>
    <mergeCell ref="B138:B140"/>
    <mergeCell ref="C138:C140"/>
    <mergeCell ref="D138:D140"/>
    <mergeCell ref="E138:E140"/>
    <mergeCell ref="B141:B143"/>
    <mergeCell ref="C141:C143"/>
    <mergeCell ref="D141:D143"/>
    <mergeCell ref="E141:E143"/>
    <mergeCell ref="A134:A137"/>
    <mergeCell ref="B134:B137"/>
    <mergeCell ref="C134:C136"/>
    <mergeCell ref="D134:D137"/>
    <mergeCell ref="E134:E137"/>
    <mergeCell ref="F134:F137"/>
    <mergeCell ref="B128:B130"/>
    <mergeCell ref="C128:C130"/>
    <mergeCell ref="D128:D130"/>
    <mergeCell ref="E128:E130"/>
    <mergeCell ref="B131:C132"/>
    <mergeCell ref="D131:D132"/>
    <mergeCell ref="E131:E132"/>
    <mergeCell ref="A104:A132"/>
    <mergeCell ref="B104:B106"/>
    <mergeCell ref="C104:C106"/>
    <mergeCell ref="D104:D106"/>
    <mergeCell ref="E104:E106"/>
    <mergeCell ref="B107:B109"/>
    <mergeCell ref="C107:C109"/>
    <mergeCell ref="D107:D109"/>
    <mergeCell ref="E107:E109"/>
    <mergeCell ref="E125:E127"/>
    <mergeCell ref="E113:E115"/>
    <mergeCell ref="B119:B121"/>
    <mergeCell ref="C119:C121"/>
    <mergeCell ref="D119:D121"/>
    <mergeCell ref="E119:E121"/>
    <mergeCell ref="B110:B112"/>
    <mergeCell ref="C110:C112"/>
    <mergeCell ref="D110:D112"/>
    <mergeCell ref="B113:B115"/>
    <mergeCell ref="C113:C115"/>
    <mergeCell ref="D113:D115"/>
    <mergeCell ref="B116:B118"/>
    <mergeCell ref="C116:C118"/>
    <mergeCell ref="D116:D118"/>
    <mergeCell ref="E116:E118"/>
    <mergeCell ref="G100:H102"/>
    <mergeCell ref="I100:J102"/>
    <mergeCell ref="K100:L102"/>
    <mergeCell ref="M100:N102"/>
    <mergeCell ref="O100:P102"/>
    <mergeCell ref="Q100:R102"/>
    <mergeCell ref="A100:A103"/>
    <mergeCell ref="B100:B103"/>
    <mergeCell ref="C100:C102"/>
    <mergeCell ref="D100:D103"/>
    <mergeCell ref="E100:E103"/>
    <mergeCell ref="F100:F103"/>
    <mergeCell ref="A82:A98"/>
    <mergeCell ref="B82:B84"/>
    <mergeCell ref="C82:C84"/>
    <mergeCell ref="D82:D84"/>
    <mergeCell ref="E82:E84"/>
    <mergeCell ref="B85:B87"/>
    <mergeCell ref="C85:C87"/>
    <mergeCell ref="D85:D87"/>
    <mergeCell ref="E85:E87"/>
    <mergeCell ref="D94:D96"/>
    <mergeCell ref="E94:E96"/>
    <mergeCell ref="B97:C98"/>
    <mergeCell ref="D97:D98"/>
    <mergeCell ref="E97:E98"/>
    <mergeCell ref="B88:B90"/>
    <mergeCell ref="C88:C90"/>
    <mergeCell ref="D88:D90"/>
    <mergeCell ref="E88:E90"/>
    <mergeCell ref="B91:B93"/>
    <mergeCell ref="C91:C93"/>
    <mergeCell ref="D91:D93"/>
    <mergeCell ref="E91:E93"/>
    <mergeCell ref="B94:B96"/>
    <mergeCell ref="C94:C96"/>
    <mergeCell ref="G78:H80"/>
    <mergeCell ref="I78:J80"/>
    <mergeCell ref="K78:L80"/>
    <mergeCell ref="M78:N80"/>
    <mergeCell ref="O78:P80"/>
    <mergeCell ref="Q78:R80"/>
    <mergeCell ref="A78:A81"/>
    <mergeCell ref="B78:B81"/>
    <mergeCell ref="C78:C80"/>
    <mergeCell ref="D78:D81"/>
    <mergeCell ref="E78:E81"/>
    <mergeCell ref="F78:F81"/>
    <mergeCell ref="D72:D74"/>
    <mergeCell ref="E72:E74"/>
    <mergeCell ref="B75:C76"/>
    <mergeCell ref="D75:D76"/>
    <mergeCell ref="E75:E76"/>
    <mergeCell ref="B66:B68"/>
    <mergeCell ref="C66:C68"/>
    <mergeCell ref="D66:D68"/>
    <mergeCell ref="E66:E68"/>
    <mergeCell ref="B69:B71"/>
    <mergeCell ref="C69:C71"/>
    <mergeCell ref="D69:D71"/>
    <mergeCell ref="E69:E71"/>
    <mergeCell ref="Q50:R52"/>
    <mergeCell ref="F50:F53"/>
    <mergeCell ref="G50:H52"/>
    <mergeCell ref="I50:J52"/>
    <mergeCell ref="K50:L52"/>
    <mergeCell ref="M50:N52"/>
    <mergeCell ref="O50:P52"/>
    <mergeCell ref="E57:E59"/>
    <mergeCell ref="B60:B62"/>
    <mergeCell ref="C60:C62"/>
    <mergeCell ref="D60:D62"/>
    <mergeCell ref="E60:E62"/>
    <mergeCell ref="B47:C48"/>
    <mergeCell ref="D47:D48"/>
    <mergeCell ref="E47:E48"/>
    <mergeCell ref="A50:A53"/>
    <mergeCell ref="B50:B53"/>
    <mergeCell ref="C50:C52"/>
    <mergeCell ref="D50:D53"/>
    <mergeCell ref="E50:E53"/>
    <mergeCell ref="A147:A150"/>
    <mergeCell ref="B147:B150"/>
    <mergeCell ref="A54:A76"/>
    <mergeCell ref="B54:B56"/>
    <mergeCell ref="C54:C56"/>
    <mergeCell ref="D54:D56"/>
    <mergeCell ref="E54:E56"/>
    <mergeCell ref="B57:B59"/>
    <mergeCell ref="C57:C59"/>
    <mergeCell ref="D57:D59"/>
    <mergeCell ref="B63:B65"/>
    <mergeCell ref="C63:C65"/>
    <mergeCell ref="D63:D65"/>
    <mergeCell ref="E63:E65"/>
    <mergeCell ref="B72:B74"/>
    <mergeCell ref="C72:C74"/>
    <mergeCell ref="B41:B43"/>
    <mergeCell ref="C41:C43"/>
    <mergeCell ref="D41:D43"/>
    <mergeCell ref="E41:E43"/>
    <mergeCell ref="B44:B46"/>
    <mergeCell ref="C44:C46"/>
    <mergeCell ref="D44:D46"/>
    <mergeCell ref="E44:E46"/>
    <mergeCell ref="B35:B37"/>
    <mergeCell ref="C35:C37"/>
    <mergeCell ref="D35:D37"/>
    <mergeCell ref="E35:E37"/>
    <mergeCell ref="B38:B40"/>
    <mergeCell ref="C38:C40"/>
    <mergeCell ref="D38:D40"/>
    <mergeCell ref="E38:E40"/>
    <mergeCell ref="E32:E34"/>
    <mergeCell ref="B23:B25"/>
    <mergeCell ref="C23:C25"/>
    <mergeCell ref="D23:D25"/>
    <mergeCell ref="E23:E25"/>
    <mergeCell ref="B26:B28"/>
    <mergeCell ref="C26:C28"/>
    <mergeCell ref="D26:D28"/>
    <mergeCell ref="E26:E28"/>
    <mergeCell ref="C17:C19"/>
    <mergeCell ref="D17:D19"/>
    <mergeCell ref="E17:E19"/>
    <mergeCell ref="B20:B22"/>
    <mergeCell ref="C20:C22"/>
    <mergeCell ref="D20:D22"/>
    <mergeCell ref="E20:E22"/>
    <mergeCell ref="A11:A48"/>
    <mergeCell ref="B11:B13"/>
    <mergeCell ref="C11:C13"/>
    <mergeCell ref="D11:D13"/>
    <mergeCell ref="E11:E13"/>
    <mergeCell ref="B14:B16"/>
    <mergeCell ref="C14:C16"/>
    <mergeCell ref="D14:D16"/>
    <mergeCell ref="E14:E16"/>
    <mergeCell ref="B17:B19"/>
    <mergeCell ref="B29:B31"/>
    <mergeCell ref="C29:C31"/>
    <mergeCell ref="D29:D31"/>
    <mergeCell ref="E29:E31"/>
    <mergeCell ref="B32:B34"/>
    <mergeCell ref="C32:C34"/>
    <mergeCell ref="D32:D34"/>
    <mergeCell ref="I7:J9"/>
    <mergeCell ref="K7:L9"/>
    <mergeCell ref="M7:N9"/>
    <mergeCell ref="O7:P9"/>
    <mergeCell ref="Q7:R9"/>
    <mergeCell ref="A7:A10"/>
    <mergeCell ref="B7:B10"/>
    <mergeCell ref="C7:C9"/>
    <mergeCell ref="D7:D10"/>
    <mergeCell ref="E7:E10"/>
    <mergeCell ref="F7:F10"/>
    <mergeCell ref="G7:H9"/>
    <mergeCell ref="S295:T295"/>
    <mergeCell ref="Q290:R290"/>
    <mergeCell ref="O290:P290"/>
    <mergeCell ref="M290:N290"/>
    <mergeCell ref="K290:L290"/>
    <mergeCell ref="I290:J290"/>
    <mergeCell ref="G290:H290"/>
    <mergeCell ref="G295:H295"/>
    <mergeCell ref="I295:J295"/>
    <mergeCell ref="K295:L295"/>
    <mergeCell ref="M295:N295"/>
    <mergeCell ref="O295:P295"/>
    <mergeCell ref="Q295:R295"/>
  </mergeCells>
  <phoneticPr fontId="10" type="noConversion"/>
  <pageMargins left="0.15748031496062992" right="0.15748031496062992" top="0.6692913385826772" bottom="0.39370078740157483" header="0.15748031496062992" footer="0.15748031496062992"/>
  <pageSetup paperSize="9" scale="66" firstPageNumber="46" fitToHeight="0" orientation="landscape" useFirstPageNumber="1" r:id="rId1"/>
  <headerFooter>
    <oddFooter>&amp;LData Source : Manuring and Field Maintenance - Camp Side</oddFooter>
  </headerFooter>
  <rowBreaks count="11" manualBreakCount="11">
    <brk id="48" max="16383" man="1"/>
    <brk id="76" max="16383" man="1"/>
    <brk id="98" max="16383" man="1"/>
    <brk id="48" max="16383" man="1"/>
    <brk id="132" max="16383" man="1"/>
    <brk id="145" max="16383" man="1"/>
    <brk id="188" max="16383" man="1"/>
    <brk id="216" max="16383" man="1"/>
    <brk id="98" max="16383" man="1"/>
    <brk id="238" max="16383" man="1"/>
    <brk id="27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7A62-117B-4542-95E7-94EB8511E7DE}">
  <sheetPr>
    <tabColor theme="4" tint="0.39997558519241921"/>
    <pageSetUpPr fitToPage="1"/>
  </sheetPr>
  <dimension ref="A1:AC207"/>
  <sheetViews>
    <sheetView workbookViewId="0">
      <selection activeCell="E212" sqref="E212"/>
    </sheetView>
  </sheetViews>
  <sheetFormatPr defaultRowHeight="15.75" x14ac:dyDescent="0.25"/>
  <cols>
    <col min="1" max="2" width="9.140625" style="5"/>
    <col min="3" max="3" width="9.28515625" style="5" bestFit="1" customWidth="1"/>
    <col min="4" max="4" width="13" style="5" customWidth="1"/>
    <col min="5" max="5" width="9.5703125" style="4" bestFit="1" customWidth="1"/>
    <col min="6" max="6" width="9.85546875" style="4" bestFit="1" customWidth="1"/>
    <col min="7" max="7" width="10" style="4" bestFit="1" customWidth="1"/>
    <col min="8" max="9" width="10.140625" style="4" bestFit="1" customWidth="1"/>
    <col min="10" max="12" width="10" style="4" bestFit="1" customWidth="1"/>
    <col min="13" max="16" width="9.5703125" style="4" bestFit="1" customWidth="1"/>
    <col min="17" max="16384" width="9.140625" style="5"/>
  </cols>
  <sheetData>
    <row r="1" spans="1:16" ht="18.75" customHeight="1" x14ac:dyDescent="0.25">
      <c r="A1" s="1" t="s">
        <v>0</v>
      </c>
      <c r="B1" s="2"/>
      <c r="C1" s="2"/>
      <c r="D1" s="2"/>
    </row>
    <row r="2" spans="1:16" s="6" customFormat="1" x14ac:dyDescent="0.25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s="6" customFormat="1" x14ac:dyDescent="0.25">
      <c r="A3" s="156" t="s">
        <v>1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16" s="6" customFormat="1" x14ac:dyDescent="0.25">
      <c r="A4" s="156" t="s">
        <v>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16" s="6" customFormat="1" x14ac:dyDescent="0.25">
      <c r="A5" s="156" t="s">
        <v>47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1:16" s="6" customFormat="1" x14ac:dyDescent="0.25"/>
    <row r="7" spans="1:16" s="6" customFormat="1" x14ac:dyDescent="0.25">
      <c r="A7" s="6" t="s">
        <v>48</v>
      </c>
    </row>
    <row r="8" spans="1:16" s="6" customFormat="1" x14ac:dyDescent="0.25">
      <c r="A8" s="6" t="s">
        <v>49</v>
      </c>
      <c r="M8" s="10"/>
      <c r="O8" s="10"/>
      <c r="P8" s="89" t="s">
        <v>50</v>
      </c>
    </row>
    <row r="9" spans="1:16" ht="6.75" customHeight="1" thickBot="1" x14ac:dyDescent="0.3"/>
    <row r="10" spans="1:16" x14ac:dyDescent="0.25">
      <c r="A10" s="157" t="s">
        <v>7</v>
      </c>
      <c r="B10" s="160" t="s">
        <v>8</v>
      </c>
      <c r="C10" s="240" t="s">
        <v>27</v>
      </c>
      <c r="D10" s="169" t="s">
        <v>11</v>
      </c>
      <c r="E10" s="172" t="s">
        <v>12</v>
      </c>
      <c r="F10" s="175" t="s">
        <v>13</v>
      </c>
      <c r="G10" s="175" t="s">
        <v>14</v>
      </c>
      <c r="H10" s="175" t="s">
        <v>15</v>
      </c>
      <c r="I10" s="175" t="s">
        <v>16</v>
      </c>
      <c r="J10" s="175" t="s">
        <v>17</v>
      </c>
      <c r="K10" s="175" t="s">
        <v>18</v>
      </c>
      <c r="L10" s="175" t="s">
        <v>19</v>
      </c>
      <c r="M10" s="175" t="s">
        <v>20</v>
      </c>
      <c r="N10" s="175" t="s">
        <v>21</v>
      </c>
      <c r="O10" s="175" t="s">
        <v>22</v>
      </c>
      <c r="P10" s="178" t="s">
        <v>23</v>
      </c>
    </row>
    <row r="11" spans="1:16" x14ac:dyDescent="0.25">
      <c r="A11" s="158"/>
      <c r="B11" s="161"/>
      <c r="C11" s="241"/>
      <c r="D11" s="170"/>
      <c r="E11" s="173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61"/>
    </row>
    <row r="12" spans="1:16" ht="16.5" thickBot="1" x14ac:dyDescent="0.3">
      <c r="A12" s="159"/>
      <c r="B12" s="162"/>
      <c r="C12" s="242"/>
      <c r="D12" s="171"/>
      <c r="E12" s="174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9"/>
    </row>
    <row r="13" spans="1:16" x14ac:dyDescent="0.25">
      <c r="A13" s="180">
        <v>1</v>
      </c>
      <c r="B13" s="183">
        <v>2010</v>
      </c>
      <c r="C13" s="243">
        <v>53.2</v>
      </c>
      <c r="D13" s="14" t="s">
        <v>24</v>
      </c>
      <c r="E13" s="15"/>
      <c r="F13" s="16"/>
      <c r="G13" s="16"/>
      <c r="H13" s="16"/>
      <c r="I13" s="76"/>
      <c r="J13" s="16"/>
      <c r="K13" s="16"/>
      <c r="L13" s="16"/>
      <c r="M13" s="16"/>
      <c r="N13" s="17"/>
      <c r="O13" s="17"/>
      <c r="P13" s="19"/>
    </row>
    <row r="14" spans="1:16" hidden="1" x14ac:dyDescent="0.25">
      <c r="A14" s="181"/>
      <c r="B14" s="184"/>
      <c r="C14" s="244"/>
      <c r="D14" s="21" t="s">
        <v>25</v>
      </c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</row>
    <row r="15" spans="1:16" x14ac:dyDescent="0.25">
      <c r="A15" s="181"/>
      <c r="B15" s="184"/>
      <c r="C15" s="244"/>
      <c r="D15" s="21" t="s">
        <v>26</v>
      </c>
      <c r="E15" s="22"/>
      <c r="F15" s="23"/>
      <c r="G15" s="25"/>
      <c r="H15" s="23"/>
      <c r="I15" s="23"/>
      <c r="J15" s="23"/>
      <c r="K15" s="23"/>
      <c r="L15" s="23"/>
      <c r="M15" s="23"/>
      <c r="N15" s="23"/>
      <c r="O15" s="23"/>
      <c r="P15" s="24"/>
    </row>
    <row r="16" spans="1:16" ht="16.5" thickBot="1" x14ac:dyDescent="0.3">
      <c r="A16" s="182"/>
      <c r="B16" s="185"/>
      <c r="C16" s="245"/>
      <c r="D16" s="27" t="s">
        <v>27</v>
      </c>
      <c r="E16" s="28"/>
      <c r="F16" s="32"/>
      <c r="G16" s="30"/>
      <c r="H16" s="29"/>
      <c r="I16" s="33"/>
      <c r="J16" s="32"/>
      <c r="K16" s="32"/>
      <c r="L16" s="32"/>
      <c r="M16" s="32"/>
      <c r="N16" s="32"/>
      <c r="O16" s="29"/>
      <c r="P16" s="34"/>
    </row>
    <row r="17" spans="1:20" x14ac:dyDescent="0.25">
      <c r="A17" s="189">
        <v>2</v>
      </c>
      <c r="B17" s="183">
        <v>2010</v>
      </c>
      <c r="C17" s="243">
        <v>60.4</v>
      </c>
      <c r="D17" s="14" t="s">
        <v>24</v>
      </c>
      <c r="E17" s="17"/>
      <c r="F17" s="17"/>
      <c r="G17" s="17"/>
      <c r="H17" s="17"/>
      <c r="I17" s="18"/>
      <c r="J17" s="17"/>
      <c r="K17" s="17"/>
      <c r="L17" s="17"/>
      <c r="M17" s="17"/>
      <c r="N17" s="17"/>
      <c r="O17" s="17"/>
      <c r="P17" s="35"/>
    </row>
    <row r="18" spans="1:20" hidden="1" x14ac:dyDescent="0.25">
      <c r="A18" s="190"/>
      <c r="B18" s="184"/>
      <c r="C18" s="244"/>
      <c r="D18" s="21" t="s">
        <v>25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R18" s="8"/>
      <c r="S18" s="8"/>
      <c r="T18" s="8"/>
    </row>
    <row r="19" spans="1:20" x14ac:dyDescent="0.25">
      <c r="A19" s="190"/>
      <c r="B19" s="184"/>
      <c r="C19" s="244"/>
      <c r="D19" s="21" t="s">
        <v>26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R19" s="8"/>
      <c r="S19" s="8"/>
      <c r="T19" s="8"/>
    </row>
    <row r="20" spans="1:20" ht="16.5" thickBot="1" x14ac:dyDescent="0.3">
      <c r="A20" s="191"/>
      <c r="B20" s="185"/>
      <c r="C20" s="245"/>
      <c r="D20" s="27" t="s">
        <v>27</v>
      </c>
      <c r="E20" s="32"/>
      <c r="F20" s="32"/>
      <c r="G20" s="30"/>
      <c r="H20" s="32"/>
      <c r="I20" s="33"/>
      <c r="J20" s="32"/>
      <c r="K20" s="32"/>
      <c r="L20" s="32"/>
      <c r="M20" s="32"/>
      <c r="N20" s="32"/>
      <c r="O20" s="32"/>
      <c r="P20" s="91"/>
      <c r="R20" s="8"/>
      <c r="S20" s="8"/>
      <c r="T20" s="8"/>
    </row>
    <row r="21" spans="1:20" x14ac:dyDescent="0.25">
      <c r="A21" s="189">
        <v>3</v>
      </c>
      <c r="B21" s="183">
        <v>2010</v>
      </c>
      <c r="C21" s="243">
        <v>69.2</v>
      </c>
      <c r="D21" s="14" t="s">
        <v>24</v>
      </c>
      <c r="E21" s="38"/>
      <c r="F21" s="17"/>
      <c r="G21" s="17"/>
      <c r="H21" s="17"/>
      <c r="I21" s="18"/>
      <c r="J21" s="17"/>
      <c r="K21" s="17"/>
      <c r="L21" s="17"/>
      <c r="M21" s="17"/>
      <c r="N21" s="18"/>
      <c r="O21" s="17"/>
      <c r="P21" s="35"/>
      <c r="R21" s="8"/>
      <c r="S21" s="8"/>
      <c r="T21" s="8"/>
    </row>
    <row r="22" spans="1:20" hidden="1" x14ac:dyDescent="0.25">
      <c r="A22" s="190"/>
      <c r="B22" s="184"/>
      <c r="C22" s="244"/>
      <c r="D22" s="21" t="s">
        <v>25</v>
      </c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R22" s="8"/>
      <c r="S22" s="8"/>
      <c r="T22" s="8"/>
    </row>
    <row r="23" spans="1:20" x14ac:dyDescent="0.25">
      <c r="A23" s="190"/>
      <c r="B23" s="184"/>
      <c r="C23" s="244"/>
      <c r="D23" s="21" t="s">
        <v>26</v>
      </c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R23" s="8"/>
      <c r="S23" s="8"/>
      <c r="T23" s="8"/>
    </row>
    <row r="24" spans="1:20" ht="16.5" thickBot="1" x14ac:dyDescent="0.3">
      <c r="A24" s="191"/>
      <c r="B24" s="185"/>
      <c r="C24" s="245"/>
      <c r="D24" s="27" t="s">
        <v>27</v>
      </c>
      <c r="E24" s="39"/>
      <c r="F24" s="32"/>
      <c r="G24" s="41"/>
      <c r="H24" s="32"/>
      <c r="I24" s="33"/>
      <c r="J24" s="32"/>
      <c r="K24" s="32"/>
      <c r="L24" s="32"/>
      <c r="M24" s="32"/>
      <c r="N24" s="33"/>
      <c r="O24" s="29"/>
      <c r="P24" s="37"/>
      <c r="R24" s="8"/>
      <c r="S24" s="8"/>
      <c r="T24" s="8"/>
    </row>
    <row r="25" spans="1:20" x14ac:dyDescent="0.25">
      <c r="A25" s="189">
        <v>4</v>
      </c>
      <c r="B25" s="183">
        <v>2010</v>
      </c>
      <c r="C25" s="243">
        <v>70.599999999999994</v>
      </c>
      <c r="D25" s="14" t="s">
        <v>24</v>
      </c>
      <c r="E25" s="38"/>
      <c r="F25" s="17"/>
      <c r="G25" s="17"/>
      <c r="H25" s="18"/>
      <c r="I25" s="17"/>
      <c r="J25" s="17"/>
      <c r="K25" s="17"/>
      <c r="L25" s="17"/>
      <c r="M25" s="18"/>
      <c r="N25" s="17"/>
      <c r="O25" s="17"/>
      <c r="P25" s="19"/>
      <c r="R25" s="8"/>
      <c r="S25" s="8"/>
      <c r="T25" s="8"/>
    </row>
    <row r="26" spans="1:20" hidden="1" x14ac:dyDescent="0.25">
      <c r="A26" s="190"/>
      <c r="B26" s="184"/>
      <c r="C26" s="244"/>
      <c r="D26" s="21" t="s">
        <v>25</v>
      </c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R26" s="8"/>
      <c r="S26" s="8"/>
      <c r="T26" s="8"/>
    </row>
    <row r="27" spans="1:20" x14ac:dyDescent="0.25">
      <c r="A27" s="190"/>
      <c r="B27" s="184"/>
      <c r="C27" s="244"/>
      <c r="D27" s="21" t="s">
        <v>26</v>
      </c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R27" s="8"/>
      <c r="S27" s="8"/>
      <c r="T27" s="8"/>
    </row>
    <row r="28" spans="1:20" ht="16.5" thickBot="1" x14ac:dyDescent="0.3">
      <c r="A28" s="191"/>
      <c r="B28" s="185"/>
      <c r="C28" s="245"/>
      <c r="D28" s="27" t="s">
        <v>27</v>
      </c>
      <c r="E28" s="39"/>
      <c r="F28" s="32"/>
      <c r="G28" s="32"/>
      <c r="H28" s="41"/>
      <c r="I28" s="32"/>
      <c r="J28" s="32"/>
      <c r="K28" s="32"/>
      <c r="L28" s="32"/>
      <c r="M28" s="41"/>
      <c r="N28" s="32"/>
      <c r="O28" s="29"/>
      <c r="P28" s="34"/>
      <c r="R28" s="8"/>
      <c r="S28" s="8"/>
      <c r="T28" s="8"/>
    </row>
    <row r="29" spans="1:20" x14ac:dyDescent="0.25">
      <c r="A29" s="189">
        <v>5</v>
      </c>
      <c r="B29" s="183">
        <v>2010</v>
      </c>
      <c r="C29" s="243">
        <v>50.4</v>
      </c>
      <c r="D29" s="14" t="s">
        <v>24</v>
      </c>
      <c r="E29" s="38"/>
      <c r="F29" s="17"/>
      <c r="G29" s="18"/>
      <c r="H29" s="17"/>
      <c r="I29" s="17"/>
      <c r="J29" s="17"/>
      <c r="K29" s="17"/>
      <c r="L29" s="18"/>
      <c r="M29" s="18"/>
      <c r="N29" s="17"/>
      <c r="O29" s="17"/>
      <c r="P29" s="35"/>
      <c r="R29" s="8"/>
      <c r="S29" s="8"/>
      <c r="T29" s="8"/>
    </row>
    <row r="30" spans="1:20" hidden="1" x14ac:dyDescent="0.25">
      <c r="A30" s="190"/>
      <c r="B30" s="184"/>
      <c r="C30" s="244"/>
      <c r="D30" s="21" t="s">
        <v>25</v>
      </c>
      <c r="E30" s="22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R30" s="8"/>
      <c r="S30" s="8"/>
      <c r="T30" s="8"/>
    </row>
    <row r="31" spans="1:20" x14ac:dyDescent="0.25">
      <c r="A31" s="190"/>
      <c r="B31" s="184"/>
      <c r="C31" s="244"/>
      <c r="D31" s="21" t="s">
        <v>26</v>
      </c>
      <c r="E31" s="22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R31" s="8"/>
      <c r="S31" s="8"/>
      <c r="T31" s="8"/>
    </row>
    <row r="32" spans="1:20" ht="16.5" thickBot="1" x14ac:dyDescent="0.3">
      <c r="A32" s="191"/>
      <c r="B32" s="185"/>
      <c r="C32" s="245"/>
      <c r="D32" s="27" t="s">
        <v>27</v>
      </c>
      <c r="E32" s="28"/>
      <c r="F32" s="32"/>
      <c r="G32" s="33"/>
      <c r="H32" s="40"/>
      <c r="I32" s="32"/>
      <c r="J32" s="32"/>
      <c r="K32" s="32"/>
      <c r="L32" s="33"/>
      <c r="M32" s="41"/>
      <c r="N32" s="32"/>
      <c r="O32" s="29"/>
      <c r="P32" s="37"/>
      <c r="R32" s="8"/>
      <c r="S32" s="8"/>
      <c r="T32" s="8"/>
    </row>
    <row r="33" spans="1:16" x14ac:dyDescent="0.25">
      <c r="A33" s="189">
        <v>6</v>
      </c>
      <c r="B33" s="183">
        <v>2010</v>
      </c>
      <c r="C33" s="243">
        <v>58.6</v>
      </c>
      <c r="D33" s="14" t="s">
        <v>24</v>
      </c>
      <c r="E33" s="38"/>
      <c r="F33" s="17"/>
      <c r="G33" s="17"/>
      <c r="H33" s="18"/>
      <c r="I33" s="17"/>
      <c r="J33" s="17"/>
      <c r="K33" s="17"/>
      <c r="L33" s="17"/>
      <c r="M33" s="18"/>
      <c r="N33" s="17"/>
      <c r="O33" s="17"/>
      <c r="P33" s="35"/>
    </row>
    <row r="34" spans="1:16" hidden="1" x14ac:dyDescent="0.25">
      <c r="A34" s="190"/>
      <c r="B34" s="184"/>
      <c r="C34" s="244"/>
      <c r="D34" s="21" t="s">
        <v>25</v>
      </c>
      <c r="E34" s="22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</row>
    <row r="35" spans="1:16" x14ac:dyDescent="0.25">
      <c r="A35" s="190"/>
      <c r="B35" s="184"/>
      <c r="C35" s="244"/>
      <c r="D35" s="21" t="s">
        <v>26</v>
      </c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</row>
    <row r="36" spans="1:16" ht="16.5" thickBot="1" x14ac:dyDescent="0.3">
      <c r="A36" s="191"/>
      <c r="B36" s="185"/>
      <c r="C36" s="245"/>
      <c r="D36" s="27" t="s">
        <v>27</v>
      </c>
      <c r="E36" s="39"/>
      <c r="F36" s="32"/>
      <c r="G36" s="29"/>
      <c r="H36" s="41"/>
      <c r="I36" s="32"/>
      <c r="J36" s="32"/>
      <c r="K36" s="32"/>
      <c r="L36" s="32"/>
      <c r="M36" s="41"/>
      <c r="N36" s="32"/>
      <c r="O36" s="32"/>
      <c r="P36" s="91"/>
    </row>
    <row r="37" spans="1:16" x14ac:dyDescent="0.25">
      <c r="A37" s="189">
        <v>7</v>
      </c>
      <c r="B37" s="183">
        <v>2010</v>
      </c>
      <c r="C37" s="243">
        <v>23.6</v>
      </c>
      <c r="D37" s="14" t="s">
        <v>24</v>
      </c>
      <c r="E37" s="38"/>
      <c r="F37" s="17"/>
      <c r="G37" s="18"/>
      <c r="H37" s="17"/>
      <c r="I37" s="17"/>
      <c r="J37" s="17"/>
      <c r="K37" s="17"/>
      <c r="L37" s="18"/>
      <c r="M37" s="17"/>
      <c r="N37" s="18"/>
      <c r="O37" s="17"/>
      <c r="P37" s="35"/>
    </row>
    <row r="38" spans="1:16" hidden="1" x14ac:dyDescent="0.25">
      <c r="A38" s="190"/>
      <c r="B38" s="184"/>
      <c r="C38" s="244"/>
      <c r="D38" s="21" t="s">
        <v>25</v>
      </c>
      <c r="E38" s="22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</row>
    <row r="39" spans="1:16" x14ac:dyDescent="0.25">
      <c r="A39" s="190"/>
      <c r="B39" s="184"/>
      <c r="C39" s="244"/>
      <c r="D39" s="21" t="s">
        <v>26</v>
      </c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4"/>
    </row>
    <row r="40" spans="1:16" ht="16.5" thickBot="1" x14ac:dyDescent="0.3">
      <c r="A40" s="191"/>
      <c r="B40" s="185"/>
      <c r="C40" s="245"/>
      <c r="D40" s="27" t="s">
        <v>27</v>
      </c>
      <c r="E40" s="28"/>
      <c r="F40" s="32"/>
      <c r="G40" s="33"/>
      <c r="H40" s="36"/>
      <c r="I40" s="32"/>
      <c r="J40" s="32"/>
      <c r="K40" s="32"/>
      <c r="L40" s="33"/>
      <c r="M40" s="32"/>
      <c r="N40" s="30"/>
      <c r="O40" s="32"/>
      <c r="P40" s="37"/>
    </row>
    <row r="41" spans="1:16" x14ac:dyDescent="0.25">
      <c r="A41" s="189">
        <v>8</v>
      </c>
      <c r="B41" s="183">
        <v>2010</v>
      </c>
      <c r="C41" s="243">
        <v>61.6</v>
      </c>
      <c r="D41" s="14" t="s">
        <v>24</v>
      </c>
      <c r="E41" s="38"/>
      <c r="F41" s="17"/>
      <c r="G41" s="17"/>
      <c r="H41" s="17"/>
      <c r="I41" s="17"/>
      <c r="J41" s="17"/>
      <c r="K41" s="18"/>
      <c r="L41" s="17"/>
      <c r="M41" s="17"/>
      <c r="N41" s="18"/>
      <c r="O41" s="17"/>
      <c r="P41" s="35"/>
    </row>
    <row r="42" spans="1:16" hidden="1" x14ac:dyDescent="0.25">
      <c r="A42" s="190"/>
      <c r="B42" s="184"/>
      <c r="C42" s="244"/>
      <c r="D42" s="21" t="s">
        <v>25</v>
      </c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4"/>
    </row>
    <row r="43" spans="1:16" x14ac:dyDescent="0.25">
      <c r="A43" s="190"/>
      <c r="B43" s="184"/>
      <c r="C43" s="244"/>
      <c r="D43" s="21" t="s">
        <v>26</v>
      </c>
      <c r="E43" s="2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4"/>
    </row>
    <row r="44" spans="1:16" ht="16.5" thickBot="1" x14ac:dyDescent="0.3">
      <c r="A44" s="191"/>
      <c r="B44" s="185"/>
      <c r="C44" s="245"/>
      <c r="D44" s="27" t="s">
        <v>28</v>
      </c>
      <c r="E44" s="39"/>
      <c r="F44" s="32"/>
      <c r="G44" s="32"/>
      <c r="H44" s="32"/>
      <c r="I44" s="32"/>
      <c r="J44" s="32"/>
      <c r="K44" s="33"/>
      <c r="L44" s="32"/>
      <c r="M44" s="32"/>
      <c r="N44" s="32"/>
      <c r="O44" s="32"/>
      <c r="P44" s="37"/>
    </row>
    <row r="45" spans="1:16" x14ac:dyDescent="0.25">
      <c r="A45" s="189">
        <v>9</v>
      </c>
      <c r="B45" s="183">
        <v>2010</v>
      </c>
      <c r="C45" s="243">
        <v>38.299999999999997</v>
      </c>
      <c r="D45" s="14" t="s">
        <v>24</v>
      </c>
      <c r="E45" s="38"/>
      <c r="F45" s="17"/>
      <c r="G45" s="17"/>
      <c r="H45" s="17"/>
      <c r="I45" s="18"/>
      <c r="J45" s="17"/>
      <c r="K45" s="17"/>
      <c r="L45" s="17"/>
      <c r="M45" s="17"/>
      <c r="N45" s="18"/>
      <c r="O45" s="17"/>
      <c r="P45" s="35"/>
    </row>
    <row r="46" spans="1:16" hidden="1" x14ac:dyDescent="0.25">
      <c r="A46" s="190"/>
      <c r="B46" s="184"/>
      <c r="C46" s="244"/>
      <c r="D46" s="21" t="s">
        <v>25</v>
      </c>
      <c r="E46" s="22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4"/>
    </row>
    <row r="47" spans="1:16" x14ac:dyDescent="0.25">
      <c r="A47" s="190"/>
      <c r="B47" s="184"/>
      <c r="C47" s="244"/>
      <c r="D47" s="21" t="s">
        <v>26</v>
      </c>
      <c r="E47" s="22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4"/>
    </row>
    <row r="48" spans="1:16" ht="16.5" thickBot="1" x14ac:dyDescent="0.3">
      <c r="A48" s="191"/>
      <c r="B48" s="185"/>
      <c r="C48" s="245"/>
      <c r="D48" s="27" t="s">
        <v>27</v>
      </c>
      <c r="E48" s="39"/>
      <c r="F48" s="32"/>
      <c r="G48" s="32"/>
      <c r="H48" s="41"/>
      <c r="I48" s="33"/>
      <c r="J48" s="32"/>
      <c r="K48" s="32"/>
      <c r="L48" s="32"/>
      <c r="M48" s="32"/>
      <c r="N48" s="41"/>
      <c r="O48" s="32"/>
      <c r="P48" s="37"/>
    </row>
    <row r="49" spans="1:16" x14ac:dyDescent="0.25">
      <c r="A49" s="189">
        <v>11</v>
      </c>
      <c r="B49" s="183">
        <v>2010</v>
      </c>
      <c r="C49" s="243">
        <v>44.5</v>
      </c>
      <c r="D49" s="14" t="s">
        <v>24</v>
      </c>
      <c r="E49" s="38"/>
      <c r="F49" s="17"/>
      <c r="G49" s="17"/>
      <c r="H49" s="17"/>
      <c r="I49" s="18"/>
      <c r="J49" s="17"/>
      <c r="K49" s="17"/>
      <c r="L49" s="17"/>
      <c r="M49" s="17"/>
      <c r="N49" s="18"/>
      <c r="O49" s="17"/>
      <c r="P49" s="35"/>
    </row>
    <row r="50" spans="1:16" hidden="1" x14ac:dyDescent="0.25">
      <c r="A50" s="190"/>
      <c r="B50" s="184"/>
      <c r="C50" s="244"/>
      <c r="D50" s="21" t="s">
        <v>25</v>
      </c>
      <c r="E50" s="22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4"/>
    </row>
    <row r="51" spans="1:16" x14ac:dyDescent="0.25">
      <c r="A51" s="190"/>
      <c r="B51" s="184"/>
      <c r="C51" s="244"/>
      <c r="D51" s="21" t="s">
        <v>26</v>
      </c>
      <c r="E51" s="22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4"/>
    </row>
    <row r="52" spans="1:16" ht="16.5" thickBot="1" x14ac:dyDescent="0.3">
      <c r="A52" s="191"/>
      <c r="B52" s="185"/>
      <c r="C52" s="245"/>
      <c r="D52" s="27" t="s">
        <v>27</v>
      </c>
      <c r="E52" s="39"/>
      <c r="F52" s="32"/>
      <c r="G52" s="32"/>
      <c r="H52" s="41"/>
      <c r="I52" s="33"/>
      <c r="J52" s="32"/>
      <c r="K52" s="32"/>
      <c r="L52" s="32"/>
      <c r="M52" s="32"/>
      <c r="N52" s="41"/>
      <c r="O52" s="29"/>
      <c r="P52" s="37"/>
    </row>
    <row r="53" spans="1:16" x14ac:dyDescent="0.25">
      <c r="A53" s="189">
        <v>12</v>
      </c>
      <c r="B53" s="183">
        <v>2010</v>
      </c>
      <c r="C53" s="243">
        <v>71</v>
      </c>
      <c r="D53" s="14" t="s">
        <v>24</v>
      </c>
      <c r="E53" s="38"/>
      <c r="F53" s="17"/>
      <c r="G53" s="17"/>
      <c r="H53" s="17"/>
      <c r="I53" s="17"/>
      <c r="J53" s="18"/>
      <c r="K53" s="17"/>
      <c r="L53" s="18"/>
      <c r="M53" s="17"/>
      <c r="N53" s="17"/>
      <c r="O53" s="17"/>
      <c r="P53" s="35"/>
    </row>
    <row r="54" spans="1:16" hidden="1" x14ac:dyDescent="0.25">
      <c r="A54" s="190"/>
      <c r="B54" s="184"/>
      <c r="C54" s="244"/>
      <c r="D54" s="21" t="s">
        <v>25</v>
      </c>
      <c r="E54" s="22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4"/>
    </row>
    <row r="55" spans="1:16" x14ac:dyDescent="0.25">
      <c r="A55" s="190"/>
      <c r="B55" s="184"/>
      <c r="C55" s="244"/>
      <c r="D55" s="21" t="s">
        <v>26</v>
      </c>
      <c r="E55" s="22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4"/>
    </row>
    <row r="56" spans="1:16" ht="16.5" thickBot="1" x14ac:dyDescent="0.3">
      <c r="A56" s="191"/>
      <c r="B56" s="185"/>
      <c r="C56" s="245"/>
      <c r="D56" s="27" t="s">
        <v>27</v>
      </c>
      <c r="E56" s="28"/>
      <c r="F56" s="32"/>
      <c r="G56" s="32"/>
      <c r="H56" s="32"/>
      <c r="I56" s="40"/>
      <c r="J56" s="33"/>
      <c r="K56" s="32"/>
      <c r="L56" s="33"/>
      <c r="M56" s="32"/>
      <c r="N56" s="32"/>
      <c r="O56" s="32"/>
      <c r="P56" s="37"/>
    </row>
    <row r="57" spans="1:16" x14ac:dyDescent="0.25">
      <c r="A57" s="189">
        <v>23</v>
      </c>
      <c r="B57" s="183">
        <v>2010</v>
      </c>
      <c r="C57" s="243">
        <v>14.6</v>
      </c>
      <c r="D57" s="14" t="s">
        <v>24</v>
      </c>
      <c r="E57" s="38"/>
      <c r="F57" s="17"/>
      <c r="G57" s="17"/>
      <c r="H57" s="17"/>
      <c r="I57" s="17"/>
      <c r="J57" s="17"/>
      <c r="K57" s="17"/>
      <c r="L57" s="18"/>
      <c r="M57" s="17"/>
      <c r="N57" s="17"/>
      <c r="O57" s="17"/>
      <c r="P57" s="35"/>
    </row>
    <row r="58" spans="1:16" hidden="1" x14ac:dyDescent="0.25">
      <c r="A58" s="190"/>
      <c r="B58" s="184"/>
      <c r="C58" s="244"/>
      <c r="D58" s="21" t="s">
        <v>25</v>
      </c>
      <c r="E58" s="22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4"/>
    </row>
    <row r="59" spans="1:16" x14ac:dyDescent="0.25">
      <c r="A59" s="190"/>
      <c r="B59" s="184"/>
      <c r="C59" s="244"/>
      <c r="D59" s="21" t="s">
        <v>26</v>
      </c>
      <c r="E59" s="22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4"/>
    </row>
    <row r="60" spans="1:16" ht="16.5" thickBot="1" x14ac:dyDescent="0.3">
      <c r="A60" s="191"/>
      <c r="B60" s="185"/>
      <c r="C60" s="245"/>
      <c r="D60" s="27" t="s">
        <v>27</v>
      </c>
      <c r="E60" s="39"/>
      <c r="F60" s="29"/>
      <c r="G60" s="32"/>
      <c r="H60" s="36"/>
      <c r="I60" s="32"/>
      <c r="J60" s="32"/>
      <c r="K60" s="32"/>
      <c r="L60" s="33"/>
      <c r="M60" s="32"/>
      <c r="N60" s="32"/>
      <c r="O60" s="32"/>
      <c r="P60" s="37"/>
    </row>
    <row r="61" spans="1:16" ht="16.5" thickBot="1" x14ac:dyDescent="0.3">
      <c r="A61" s="246" t="s">
        <v>29</v>
      </c>
      <c r="B61" s="247"/>
      <c r="C61" s="92">
        <f>SUM(C13:C60)</f>
        <v>616.00000000000011</v>
      </c>
      <c r="D61" s="46" t="s">
        <v>30</v>
      </c>
      <c r="E61" s="47">
        <f>E16+E20+E24+E28+E32+E36+E40+E44+E48+E52+E56+E60</f>
        <v>0</v>
      </c>
      <c r="F61" s="48">
        <f t="shared" ref="F61:P61" si="0">F16+F20+F24+F28+F32+F36+F40+F44+F48+F52+F56+F60</f>
        <v>0</v>
      </c>
      <c r="G61" s="48">
        <f t="shared" si="0"/>
        <v>0</v>
      </c>
      <c r="H61" s="48">
        <f>H16+H20+H24+H28+H32+H36+H40+H44+H48+H52+H56+H60</f>
        <v>0</v>
      </c>
      <c r="I61" s="48">
        <f>I16+I20+I24+I28+I32+I36+I40+I44+I48+I52+I56+I60</f>
        <v>0</v>
      </c>
      <c r="J61" s="48">
        <f t="shared" si="0"/>
        <v>0</v>
      </c>
      <c r="K61" s="48">
        <f t="shared" si="0"/>
        <v>0</v>
      </c>
      <c r="L61" s="48">
        <f t="shared" si="0"/>
        <v>0</v>
      </c>
      <c r="M61" s="48">
        <f t="shared" si="0"/>
        <v>0</v>
      </c>
      <c r="N61" s="48">
        <f t="shared" si="0"/>
        <v>0</v>
      </c>
      <c r="O61" s="48">
        <f t="shared" si="0"/>
        <v>0</v>
      </c>
      <c r="P61" s="49">
        <f t="shared" si="0"/>
        <v>0</v>
      </c>
    </row>
    <row r="63" spans="1:16" ht="18.75" customHeight="1" x14ac:dyDescent="0.25">
      <c r="A63" s="1" t="s">
        <v>0</v>
      </c>
      <c r="B63" s="2"/>
      <c r="C63" s="2"/>
      <c r="D63" s="2"/>
    </row>
    <row r="64" spans="1:16" s="6" customFormat="1" x14ac:dyDescent="0.25"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29" s="6" customFormat="1" x14ac:dyDescent="0.25">
      <c r="A65" s="156" t="s">
        <v>1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</row>
    <row r="66" spans="1:29" s="6" customFormat="1" x14ac:dyDescent="0.25">
      <c r="A66" s="156" t="s">
        <v>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</row>
    <row r="67" spans="1:29" s="6" customFormat="1" x14ac:dyDescent="0.25">
      <c r="A67" s="156" t="s">
        <v>47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</row>
    <row r="69" spans="1:29" s="6" customFormat="1" x14ac:dyDescent="0.25">
      <c r="A69" s="6" t="s">
        <v>51</v>
      </c>
      <c r="E69" s="8"/>
      <c r="F69" s="8"/>
      <c r="G69" s="8"/>
      <c r="H69" s="8"/>
      <c r="I69" s="8"/>
      <c r="J69" s="8"/>
      <c r="K69" s="8"/>
      <c r="L69" s="8"/>
      <c r="M69" s="50"/>
      <c r="N69" s="8"/>
      <c r="P69" s="11" t="s">
        <v>50</v>
      </c>
      <c r="Q69" s="51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</row>
    <row r="70" spans="1:29" ht="8.25" customHeight="1" thickBot="1" x14ac:dyDescent="0.3"/>
    <row r="71" spans="1:29" x14ac:dyDescent="0.25">
      <c r="A71" s="157" t="s">
        <v>7</v>
      </c>
      <c r="B71" s="160" t="s">
        <v>8</v>
      </c>
      <c r="C71" s="240" t="s">
        <v>27</v>
      </c>
      <c r="D71" s="169" t="s">
        <v>11</v>
      </c>
      <c r="E71" s="172" t="s">
        <v>12</v>
      </c>
      <c r="F71" s="175" t="s">
        <v>13</v>
      </c>
      <c r="G71" s="175" t="s">
        <v>14</v>
      </c>
      <c r="H71" s="175" t="s">
        <v>15</v>
      </c>
      <c r="I71" s="175" t="s">
        <v>16</v>
      </c>
      <c r="J71" s="175" t="s">
        <v>17</v>
      </c>
      <c r="K71" s="175" t="s">
        <v>18</v>
      </c>
      <c r="L71" s="175" t="s">
        <v>19</v>
      </c>
      <c r="M71" s="175" t="s">
        <v>20</v>
      </c>
      <c r="N71" s="175" t="s">
        <v>21</v>
      </c>
      <c r="O71" s="175" t="s">
        <v>22</v>
      </c>
      <c r="P71" s="178" t="s">
        <v>23</v>
      </c>
    </row>
    <row r="72" spans="1:29" x14ac:dyDescent="0.25">
      <c r="A72" s="158"/>
      <c r="B72" s="161"/>
      <c r="C72" s="241"/>
      <c r="D72" s="193"/>
      <c r="E72" s="173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61"/>
    </row>
    <row r="73" spans="1:29" ht="16.5" thickBot="1" x14ac:dyDescent="0.3">
      <c r="A73" s="159"/>
      <c r="B73" s="162"/>
      <c r="C73" s="242"/>
      <c r="D73" s="194"/>
      <c r="E73" s="174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9"/>
    </row>
    <row r="74" spans="1:29" x14ac:dyDescent="0.25">
      <c r="A74" s="180">
        <v>10</v>
      </c>
      <c r="B74" s="183">
        <v>2011</v>
      </c>
      <c r="C74" s="243">
        <v>19.100000000000001</v>
      </c>
      <c r="D74" s="14" t="s">
        <v>24</v>
      </c>
      <c r="E74" s="38"/>
      <c r="F74" s="17"/>
      <c r="G74" s="17"/>
      <c r="H74" s="17"/>
      <c r="I74" s="18"/>
      <c r="J74" s="17"/>
      <c r="K74" s="17"/>
      <c r="L74" s="17"/>
      <c r="M74" s="17"/>
      <c r="N74" s="18"/>
      <c r="O74" s="17"/>
      <c r="P74" s="35"/>
    </row>
    <row r="75" spans="1:29" hidden="1" x14ac:dyDescent="0.25">
      <c r="A75" s="181"/>
      <c r="B75" s="184"/>
      <c r="C75" s="244"/>
      <c r="D75" s="21" t="s">
        <v>25</v>
      </c>
      <c r="E75" s="22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4"/>
    </row>
    <row r="76" spans="1:29" x14ac:dyDescent="0.25">
      <c r="A76" s="181"/>
      <c r="B76" s="184"/>
      <c r="C76" s="244"/>
      <c r="D76" s="21" t="s">
        <v>26</v>
      </c>
      <c r="E76" s="22"/>
      <c r="F76" s="23"/>
      <c r="G76" s="23"/>
      <c r="H76" s="23"/>
      <c r="I76" s="25"/>
      <c r="J76" s="23"/>
      <c r="K76" s="23"/>
      <c r="L76" s="23"/>
      <c r="M76" s="23"/>
      <c r="N76" s="25"/>
      <c r="O76" s="23"/>
      <c r="P76" s="24"/>
    </row>
    <row r="77" spans="1:29" ht="16.5" thickBot="1" x14ac:dyDescent="0.3">
      <c r="A77" s="182"/>
      <c r="B77" s="185"/>
      <c r="C77" s="245"/>
      <c r="D77" s="27" t="s">
        <v>27</v>
      </c>
      <c r="E77" s="39"/>
      <c r="F77" s="32"/>
      <c r="G77" s="31"/>
      <c r="H77" s="32"/>
      <c r="I77" s="30"/>
      <c r="J77" s="32"/>
      <c r="K77" s="32"/>
      <c r="L77" s="32"/>
      <c r="M77" s="32"/>
      <c r="N77" s="30"/>
      <c r="O77" s="32"/>
      <c r="P77" s="37"/>
    </row>
    <row r="78" spans="1:29" x14ac:dyDescent="0.25">
      <c r="A78" s="189">
        <v>13</v>
      </c>
      <c r="B78" s="183">
        <v>2011</v>
      </c>
      <c r="C78" s="243">
        <v>60.8</v>
      </c>
      <c r="D78" s="14" t="s">
        <v>24</v>
      </c>
      <c r="E78" s="38"/>
      <c r="F78" s="17"/>
      <c r="G78" s="17"/>
      <c r="H78" s="17"/>
      <c r="I78" s="17"/>
      <c r="J78" s="18"/>
      <c r="K78" s="18"/>
      <c r="L78" s="17"/>
      <c r="M78" s="17"/>
      <c r="N78" s="17"/>
      <c r="O78" s="17"/>
      <c r="P78" s="35"/>
    </row>
    <row r="79" spans="1:29" hidden="1" x14ac:dyDescent="0.25">
      <c r="A79" s="190"/>
      <c r="B79" s="184"/>
      <c r="C79" s="244"/>
      <c r="D79" s="21" t="s">
        <v>25</v>
      </c>
      <c r="E79" s="22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4"/>
    </row>
    <row r="80" spans="1:29" x14ac:dyDescent="0.25">
      <c r="A80" s="190"/>
      <c r="B80" s="184"/>
      <c r="C80" s="244"/>
      <c r="D80" s="21" t="s">
        <v>26</v>
      </c>
      <c r="E80" s="22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4"/>
    </row>
    <row r="81" spans="1:21" ht="16.5" thickBot="1" x14ac:dyDescent="0.3">
      <c r="A81" s="191"/>
      <c r="B81" s="185"/>
      <c r="C81" s="245"/>
      <c r="D81" s="27" t="s">
        <v>27</v>
      </c>
      <c r="E81" s="28"/>
      <c r="F81" s="32"/>
      <c r="G81" s="32"/>
      <c r="H81" s="29"/>
      <c r="I81" s="41"/>
      <c r="J81" s="33"/>
      <c r="K81" s="33"/>
      <c r="L81" s="32"/>
      <c r="M81" s="32"/>
      <c r="N81" s="32"/>
      <c r="O81" s="32"/>
      <c r="P81" s="37"/>
    </row>
    <row r="82" spans="1:21" x14ac:dyDescent="0.25">
      <c r="A82" s="189">
        <v>14</v>
      </c>
      <c r="B82" s="183">
        <v>2011</v>
      </c>
      <c r="C82" s="243">
        <v>41.6</v>
      </c>
      <c r="D82" s="14" t="s">
        <v>24</v>
      </c>
      <c r="E82" s="38"/>
      <c r="F82" s="17"/>
      <c r="G82" s="17"/>
      <c r="H82" s="17"/>
      <c r="I82" s="17"/>
      <c r="J82" s="17"/>
      <c r="K82" s="17"/>
      <c r="L82" s="18"/>
      <c r="M82" s="17"/>
      <c r="N82" s="17"/>
      <c r="O82" s="17"/>
      <c r="P82" s="35"/>
    </row>
    <row r="83" spans="1:21" hidden="1" x14ac:dyDescent="0.25">
      <c r="A83" s="190"/>
      <c r="B83" s="184"/>
      <c r="C83" s="244"/>
      <c r="D83" s="21" t="s">
        <v>25</v>
      </c>
      <c r="E83" s="22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4"/>
    </row>
    <row r="84" spans="1:21" x14ac:dyDescent="0.25">
      <c r="A84" s="190"/>
      <c r="B84" s="184"/>
      <c r="C84" s="244"/>
      <c r="D84" s="21" t="s">
        <v>26</v>
      </c>
      <c r="E84" s="22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4"/>
    </row>
    <row r="85" spans="1:21" ht="16.5" thickBot="1" x14ac:dyDescent="0.3">
      <c r="A85" s="191"/>
      <c r="B85" s="185"/>
      <c r="C85" s="245"/>
      <c r="D85" s="27" t="s">
        <v>27</v>
      </c>
      <c r="E85" s="39"/>
      <c r="F85" s="32"/>
      <c r="G85" s="29"/>
      <c r="H85" s="32"/>
      <c r="I85" s="41"/>
      <c r="J85" s="32"/>
      <c r="K85" s="32"/>
      <c r="L85" s="33"/>
      <c r="M85" s="32"/>
      <c r="N85" s="32"/>
      <c r="O85" s="32"/>
      <c r="P85" s="91"/>
    </row>
    <row r="86" spans="1:21" x14ac:dyDescent="0.25">
      <c r="A86" s="189">
        <v>15</v>
      </c>
      <c r="B86" s="183">
        <v>2011</v>
      </c>
      <c r="C86" s="243">
        <v>49.3</v>
      </c>
      <c r="D86" s="14" t="s">
        <v>24</v>
      </c>
      <c r="E86" s="38"/>
      <c r="F86" s="17"/>
      <c r="G86" s="17"/>
      <c r="H86" s="17"/>
      <c r="I86" s="17"/>
      <c r="J86" s="17"/>
      <c r="K86" s="18"/>
      <c r="L86" s="18"/>
      <c r="M86" s="17"/>
      <c r="N86" s="17"/>
      <c r="O86" s="17"/>
      <c r="P86" s="35"/>
    </row>
    <row r="87" spans="1:21" hidden="1" x14ac:dyDescent="0.25">
      <c r="A87" s="190"/>
      <c r="B87" s="184"/>
      <c r="C87" s="244"/>
      <c r="D87" s="21" t="s">
        <v>25</v>
      </c>
      <c r="E87" s="22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4"/>
    </row>
    <row r="88" spans="1:21" x14ac:dyDescent="0.25">
      <c r="A88" s="190"/>
      <c r="B88" s="184"/>
      <c r="C88" s="244"/>
      <c r="D88" s="21" t="s">
        <v>52</v>
      </c>
      <c r="E88" s="22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4"/>
    </row>
    <row r="89" spans="1:21" ht="16.5" thickBot="1" x14ac:dyDescent="0.3">
      <c r="A89" s="191"/>
      <c r="B89" s="185"/>
      <c r="C89" s="245"/>
      <c r="D89" s="27" t="s">
        <v>27</v>
      </c>
      <c r="E89" s="39"/>
      <c r="F89" s="32"/>
      <c r="G89" s="31"/>
      <c r="H89" s="32"/>
      <c r="I89" s="32"/>
      <c r="J89" s="32"/>
      <c r="K89" s="30"/>
      <c r="L89" s="33"/>
      <c r="M89" s="32"/>
      <c r="N89" s="32"/>
      <c r="O89" s="29"/>
      <c r="P89" s="37"/>
      <c r="S89" s="8"/>
      <c r="T89" s="8"/>
      <c r="U89" s="8"/>
    </row>
    <row r="90" spans="1:21" x14ac:dyDescent="0.25">
      <c r="A90" s="189">
        <v>16</v>
      </c>
      <c r="B90" s="183">
        <v>2011</v>
      </c>
      <c r="C90" s="243">
        <v>53.2</v>
      </c>
      <c r="D90" s="14" t="s">
        <v>24</v>
      </c>
      <c r="E90" s="38"/>
      <c r="F90" s="17"/>
      <c r="G90" s="17"/>
      <c r="H90" s="18"/>
      <c r="I90" s="17"/>
      <c r="J90" s="17"/>
      <c r="K90" s="18"/>
      <c r="L90" s="18"/>
      <c r="M90" s="17"/>
      <c r="N90" s="17"/>
      <c r="O90" s="17"/>
      <c r="P90" s="19"/>
      <c r="S90" s="8"/>
      <c r="T90" s="8"/>
      <c r="U90" s="8"/>
    </row>
    <row r="91" spans="1:21" hidden="1" x14ac:dyDescent="0.25">
      <c r="A91" s="190"/>
      <c r="B91" s="184"/>
      <c r="C91" s="244"/>
      <c r="D91" s="21" t="s">
        <v>25</v>
      </c>
      <c r="E91" s="22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4"/>
      <c r="S91" s="8"/>
      <c r="T91" s="8"/>
      <c r="U91" s="8"/>
    </row>
    <row r="92" spans="1:21" x14ac:dyDescent="0.25">
      <c r="A92" s="190"/>
      <c r="B92" s="184"/>
      <c r="C92" s="244"/>
      <c r="D92" s="21" t="s">
        <v>26</v>
      </c>
      <c r="E92" s="22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4"/>
      <c r="S92" s="8"/>
      <c r="T92" s="8"/>
      <c r="U92" s="8"/>
    </row>
    <row r="93" spans="1:21" ht="16.5" thickBot="1" x14ac:dyDescent="0.3">
      <c r="A93" s="191"/>
      <c r="B93" s="185"/>
      <c r="C93" s="245"/>
      <c r="D93" s="27" t="s">
        <v>27</v>
      </c>
      <c r="E93" s="53"/>
      <c r="F93" s="32"/>
      <c r="G93" s="32"/>
      <c r="H93" s="33"/>
      <c r="I93" s="32"/>
      <c r="J93" s="32"/>
      <c r="K93" s="41"/>
      <c r="L93" s="33"/>
      <c r="M93" s="32"/>
      <c r="N93" s="32"/>
      <c r="O93" s="29"/>
      <c r="P93" s="54"/>
      <c r="S93" s="8"/>
      <c r="T93" s="8"/>
      <c r="U93" s="8"/>
    </row>
    <row r="94" spans="1:21" x14ac:dyDescent="0.25">
      <c r="A94" s="189">
        <v>17</v>
      </c>
      <c r="B94" s="183">
        <v>2011</v>
      </c>
      <c r="C94" s="243">
        <v>45.7</v>
      </c>
      <c r="D94" s="14" t="s">
        <v>24</v>
      </c>
      <c r="E94" s="38"/>
      <c r="F94" s="17"/>
      <c r="G94" s="17"/>
      <c r="H94" s="17"/>
      <c r="I94" s="17"/>
      <c r="J94" s="17"/>
      <c r="K94" s="18"/>
      <c r="L94" s="18"/>
      <c r="M94" s="17"/>
      <c r="N94" s="17"/>
      <c r="O94" s="17"/>
      <c r="P94" s="35"/>
      <c r="S94" s="6"/>
      <c r="T94" s="6"/>
      <c r="U94" s="6"/>
    </row>
    <row r="95" spans="1:21" hidden="1" x14ac:dyDescent="0.25">
      <c r="A95" s="190"/>
      <c r="B95" s="184"/>
      <c r="C95" s="244"/>
      <c r="D95" s="21" t="s">
        <v>25</v>
      </c>
      <c r="E95" s="22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4"/>
      <c r="S95" s="6"/>
      <c r="T95" s="6"/>
      <c r="U95" s="6"/>
    </row>
    <row r="96" spans="1:21" x14ac:dyDescent="0.25">
      <c r="A96" s="190"/>
      <c r="B96" s="184"/>
      <c r="C96" s="244"/>
      <c r="D96" s="21" t="s">
        <v>26</v>
      </c>
      <c r="E96" s="22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4"/>
      <c r="S96" s="8"/>
      <c r="T96" s="8"/>
      <c r="U96" s="8"/>
    </row>
    <row r="97" spans="1:29" ht="16.5" thickBot="1" x14ac:dyDescent="0.3">
      <c r="A97" s="190"/>
      <c r="B97" s="184"/>
      <c r="C97" s="244"/>
      <c r="D97" s="21" t="s">
        <v>27</v>
      </c>
      <c r="E97" s="55"/>
      <c r="F97" s="16"/>
      <c r="G97" s="16"/>
      <c r="H97" s="56"/>
      <c r="I97" s="16"/>
      <c r="J97" s="25"/>
      <c r="K97" s="77"/>
      <c r="L97" s="16"/>
      <c r="M97" s="16"/>
      <c r="N97" s="16"/>
      <c r="O97" s="16"/>
      <c r="P97" s="60"/>
      <c r="S97" s="8"/>
      <c r="T97" s="8"/>
      <c r="U97" s="8"/>
    </row>
    <row r="98" spans="1:29" ht="16.5" hidden="1" thickBot="1" x14ac:dyDescent="0.3">
      <c r="A98" s="191"/>
      <c r="B98" s="185"/>
      <c r="C98" s="245"/>
      <c r="D98" s="61"/>
      <c r="E98" s="62"/>
      <c r="F98" s="63"/>
      <c r="G98" s="63"/>
      <c r="H98" s="64"/>
      <c r="I98" s="63"/>
      <c r="J98" s="30"/>
      <c r="K98" s="41"/>
      <c r="L98" s="64"/>
      <c r="M98" s="63"/>
      <c r="N98" s="63"/>
      <c r="O98" s="63"/>
      <c r="P98" s="65"/>
    </row>
    <row r="99" spans="1:29" x14ac:dyDescent="0.25">
      <c r="A99" s="189">
        <v>18</v>
      </c>
      <c r="B99" s="183">
        <v>2011</v>
      </c>
      <c r="C99" s="243">
        <v>40.799999999999997</v>
      </c>
      <c r="D99" s="14" t="s">
        <v>24</v>
      </c>
      <c r="E99" s="38"/>
      <c r="F99" s="17"/>
      <c r="G99" s="17"/>
      <c r="H99" s="17"/>
      <c r="I99" s="17"/>
      <c r="J99" s="18"/>
      <c r="K99" s="17"/>
      <c r="L99" s="17"/>
      <c r="M99" s="17"/>
      <c r="N99" s="17"/>
      <c r="O99" s="17"/>
      <c r="P99" s="35"/>
    </row>
    <row r="100" spans="1:29" hidden="1" x14ac:dyDescent="0.25">
      <c r="A100" s="190"/>
      <c r="B100" s="184"/>
      <c r="C100" s="244"/>
      <c r="D100" s="21" t="s">
        <v>25</v>
      </c>
      <c r="E100" s="22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4"/>
    </row>
    <row r="101" spans="1:29" x14ac:dyDescent="0.25">
      <c r="A101" s="190"/>
      <c r="B101" s="184"/>
      <c r="C101" s="244"/>
      <c r="D101" s="21" t="s">
        <v>26</v>
      </c>
      <c r="E101" s="22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4"/>
    </row>
    <row r="102" spans="1:29" ht="16.5" thickBot="1" x14ac:dyDescent="0.3">
      <c r="A102" s="191"/>
      <c r="B102" s="185"/>
      <c r="C102" s="245"/>
      <c r="D102" s="27" t="s">
        <v>27</v>
      </c>
      <c r="E102" s="39"/>
      <c r="F102" s="29"/>
      <c r="G102" s="32"/>
      <c r="H102" s="32"/>
      <c r="I102" s="30"/>
      <c r="J102" s="33"/>
      <c r="K102" s="32"/>
      <c r="L102" s="32"/>
      <c r="M102" s="32"/>
      <c r="N102" s="32"/>
      <c r="O102" s="32"/>
      <c r="P102" s="37"/>
    </row>
    <row r="103" spans="1:29" ht="16.5" thickBot="1" x14ac:dyDescent="0.3">
      <c r="A103" s="246" t="s">
        <v>29</v>
      </c>
      <c r="B103" s="247"/>
      <c r="C103" s="92">
        <f>SUM(C74:C102)</f>
        <v>310.5</v>
      </c>
      <c r="D103" s="93" t="s">
        <v>30</v>
      </c>
      <c r="E103" s="47">
        <f>E77+E81+E85+E89+E93+E97+E102</f>
        <v>0</v>
      </c>
      <c r="F103" s="66">
        <f>F77+F81+F85+F89+F93+F98+F102</f>
        <v>0</v>
      </c>
      <c r="G103" s="66">
        <f>G77+G81+G85+G89+G93+G98+G102</f>
        <v>0</v>
      </c>
      <c r="H103" s="66">
        <f>H77+H81+H85+H89+H93+H97+H102</f>
        <v>0</v>
      </c>
      <c r="I103" s="66">
        <f>I77+I81+I85+I89+I93+I98+I102</f>
        <v>0</v>
      </c>
      <c r="J103" s="66">
        <f>J77+J81+J85+J89+J93+J98+J102</f>
        <v>0</v>
      </c>
      <c r="K103" s="66">
        <f>K77+K81+K85+K89+K93+K97+K98+K102</f>
        <v>0</v>
      </c>
      <c r="L103" s="66">
        <f>L77+L81+L85+L89+L93+L98+L102</f>
        <v>0</v>
      </c>
      <c r="M103" s="66">
        <f>M77+M81+M85+M89+M93+M98+M102</f>
        <v>0</v>
      </c>
      <c r="N103" s="66">
        <f>N77+N81+N85+N89+N93+N98+N102</f>
        <v>0</v>
      </c>
      <c r="O103" s="66">
        <f>O77+O81+O85+O89+O93+O98+O102</f>
        <v>0</v>
      </c>
      <c r="P103" s="67">
        <f>P77+P81+P85+P89+P93+P98+P102</f>
        <v>0</v>
      </c>
    </row>
    <row r="105" spans="1:29" ht="18.75" customHeight="1" x14ac:dyDescent="0.25">
      <c r="A105" s="1" t="s">
        <v>0</v>
      </c>
      <c r="B105" s="2"/>
      <c r="C105" s="2"/>
      <c r="D105" s="2"/>
    </row>
    <row r="106" spans="1:29" s="6" customFormat="1" x14ac:dyDescent="0.25"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29" s="6" customFormat="1" x14ac:dyDescent="0.25">
      <c r="A107" s="156" t="s">
        <v>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</row>
    <row r="108" spans="1:29" s="6" customFormat="1" x14ac:dyDescent="0.25">
      <c r="A108" s="156" t="s">
        <v>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</row>
    <row r="109" spans="1:29" s="6" customFormat="1" x14ac:dyDescent="0.25">
      <c r="A109" s="156" t="s">
        <v>47</v>
      </c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</row>
    <row r="111" spans="1:29" s="6" customFormat="1" ht="18" customHeight="1" x14ac:dyDescent="0.25">
      <c r="A111" s="6" t="s">
        <v>53</v>
      </c>
      <c r="E111" s="8"/>
      <c r="F111" s="8"/>
      <c r="G111" s="8"/>
      <c r="H111" s="8"/>
      <c r="I111" s="8"/>
      <c r="J111" s="8"/>
      <c r="K111" s="8"/>
      <c r="L111" s="8"/>
      <c r="M111" s="50"/>
      <c r="N111" s="8"/>
      <c r="P111" s="11" t="s">
        <v>50</v>
      </c>
      <c r="Q111" s="51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1:29" ht="8.25" customHeight="1" thickBot="1" x14ac:dyDescent="0.3"/>
    <row r="113" spans="1:20" x14ac:dyDescent="0.25">
      <c r="A113" s="157" t="s">
        <v>7</v>
      </c>
      <c r="B113" s="160" t="s">
        <v>8</v>
      </c>
      <c r="C113" s="240" t="s">
        <v>27</v>
      </c>
      <c r="D113" s="169" t="s">
        <v>11</v>
      </c>
      <c r="E113" s="172" t="s">
        <v>12</v>
      </c>
      <c r="F113" s="175" t="s">
        <v>13</v>
      </c>
      <c r="G113" s="175" t="s">
        <v>14</v>
      </c>
      <c r="H113" s="175" t="s">
        <v>15</v>
      </c>
      <c r="I113" s="175" t="s">
        <v>16</v>
      </c>
      <c r="J113" s="175" t="s">
        <v>17</v>
      </c>
      <c r="K113" s="175" t="s">
        <v>18</v>
      </c>
      <c r="L113" s="175" t="s">
        <v>19</v>
      </c>
      <c r="M113" s="175" t="s">
        <v>20</v>
      </c>
      <c r="N113" s="175" t="s">
        <v>21</v>
      </c>
      <c r="O113" s="175" t="s">
        <v>22</v>
      </c>
      <c r="P113" s="178" t="s">
        <v>23</v>
      </c>
    </row>
    <row r="114" spans="1:20" x14ac:dyDescent="0.25">
      <c r="A114" s="158"/>
      <c r="B114" s="161"/>
      <c r="C114" s="241"/>
      <c r="D114" s="193"/>
      <c r="E114" s="173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61"/>
    </row>
    <row r="115" spans="1:20" ht="16.5" thickBot="1" x14ac:dyDescent="0.3">
      <c r="A115" s="159"/>
      <c r="B115" s="162"/>
      <c r="C115" s="242"/>
      <c r="D115" s="194"/>
      <c r="E115" s="174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9"/>
    </row>
    <row r="116" spans="1:20" x14ac:dyDescent="0.25">
      <c r="A116" s="180">
        <v>19</v>
      </c>
      <c r="B116" s="183">
        <v>2012</v>
      </c>
      <c r="C116" s="243">
        <v>50.6</v>
      </c>
      <c r="D116" s="14" t="s">
        <v>24</v>
      </c>
      <c r="E116" s="38"/>
      <c r="F116" s="17"/>
      <c r="G116" s="17"/>
      <c r="H116" s="17"/>
      <c r="I116" s="17"/>
      <c r="J116" s="17"/>
      <c r="K116" s="18"/>
      <c r="L116" s="18"/>
      <c r="M116" s="17"/>
      <c r="N116" s="17"/>
      <c r="O116" s="17"/>
      <c r="P116" s="35"/>
    </row>
    <row r="117" spans="1:20" hidden="1" x14ac:dyDescent="0.25">
      <c r="A117" s="181"/>
      <c r="B117" s="184"/>
      <c r="C117" s="244"/>
      <c r="D117" s="21" t="s">
        <v>25</v>
      </c>
      <c r="E117" s="22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4"/>
    </row>
    <row r="118" spans="1:20" x14ac:dyDescent="0.25">
      <c r="A118" s="181"/>
      <c r="B118" s="184"/>
      <c r="C118" s="244"/>
      <c r="D118" s="21" t="s">
        <v>26</v>
      </c>
      <c r="E118" s="22"/>
      <c r="F118" s="23"/>
      <c r="G118" s="23"/>
      <c r="H118" s="23"/>
      <c r="I118" s="23"/>
      <c r="J118" s="23"/>
      <c r="K118" s="23"/>
      <c r="L118" s="25"/>
      <c r="M118" s="23"/>
      <c r="N118" s="23"/>
      <c r="O118" s="23"/>
      <c r="P118" s="24"/>
    </row>
    <row r="119" spans="1:20" ht="16.5" thickBot="1" x14ac:dyDescent="0.3">
      <c r="A119" s="182"/>
      <c r="B119" s="185"/>
      <c r="C119" s="245"/>
      <c r="D119" s="27" t="s">
        <v>27</v>
      </c>
      <c r="E119" s="39"/>
      <c r="F119" s="32"/>
      <c r="G119" s="32"/>
      <c r="H119" s="32"/>
      <c r="I119" s="29"/>
      <c r="J119" s="32"/>
      <c r="K119" s="33"/>
      <c r="L119" s="30"/>
      <c r="M119" s="32"/>
      <c r="N119" s="32"/>
      <c r="O119" s="32"/>
      <c r="P119" s="37"/>
    </row>
    <row r="120" spans="1:20" x14ac:dyDescent="0.25">
      <c r="A120" s="189">
        <v>20</v>
      </c>
      <c r="B120" s="183">
        <v>2012</v>
      </c>
      <c r="C120" s="243">
        <v>62.1</v>
      </c>
      <c r="D120" s="14" t="s">
        <v>24</v>
      </c>
      <c r="E120" s="38"/>
      <c r="F120" s="17"/>
      <c r="G120" s="18"/>
      <c r="H120" s="17"/>
      <c r="I120" s="17"/>
      <c r="J120" s="17"/>
      <c r="K120" s="18"/>
      <c r="L120" s="17"/>
      <c r="M120" s="17"/>
      <c r="N120" s="17"/>
      <c r="O120" s="17"/>
      <c r="P120" s="35"/>
    </row>
    <row r="121" spans="1:20" hidden="1" x14ac:dyDescent="0.25">
      <c r="A121" s="190"/>
      <c r="B121" s="184"/>
      <c r="C121" s="244"/>
      <c r="D121" s="21" t="s">
        <v>25</v>
      </c>
      <c r="E121" s="22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4"/>
      <c r="R121" s="8"/>
      <c r="S121" s="8"/>
      <c r="T121" s="8"/>
    </row>
    <row r="122" spans="1:20" x14ac:dyDescent="0.25">
      <c r="A122" s="190"/>
      <c r="B122" s="184"/>
      <c r="C122" s="244"/>
      <c r="D122" s="21" t="s">
        <v>26</v>
      </c>
      <c r="E122" s="22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4"/>
      <c r="R122" s="8"/>
      <c r="S122" s="8"/>
      <c r="T122" s="8"/>
    </row>
    <row r="123" spans="1:20" ht="16.5" thickBot="1" x14ac:dyDescent="0.3">
      <c r="A123" s="191"/>
      <c r="B123" s="185"/>
      <c r="C123" s="245"/>
      <c r="D123" s="27" t="s">
        <v>27</v>
      </c>
      <c r="E123" s="39"/>
      <c r="F123" s="32"/>
      <c r="G123" s="33"/>
      <c r="H123" s="29"/>
      <c r="I123" s="32"/>
      <c r="J123" s="32"/>
      <c r="K123" s="33"/>
      <c r="L123" s="32"/>
      <c r="M123" s="32"/>
      <c r="N123" s="32"/>
      <c r="O123" s="32"/>
      <c r="P123" s="37"/>
      <c r="R123" s="8"/>
      <c r="S123" s="8"/>
      <c r="T123" s="8"/>
    </row>
    <row r="124" spans="1:20" x14ac:dyDescent="0.25">
      <c r="A124" s="189">
        <v>21</v>
      </c>
      <c r="B124" s="183">
        <v>2012</v>
      </c>
      <c r="C124" s="243">
        <v>72.2</v>
      </c>
      <c r="D124" s="14" t="s">
        <v>24</v>
      </c>
      <c r="E124" s="38"/>
      <c r="F124" s="17"/>
      <c r="G124" s="17"/>
      <c r="H124" s="17"/>
      <c r="I124" s="17"/>
      <c r="J124" s="17"/>
      <c r="K124" s="18"/>
      <c r="L124" s="17"/>
      <c r="M124" s="18"/>
      <c r="N124" s="17"/>
      <c r="O124" s="17"/>
      <c r="P124" s="35"/>
      <c r="R124" s="8"/>
      <c r="S124" s="8"/>
      <c r="T124" s="8"/>
    </row>
    <row r="125" spans="1:20" hidden="1" x14ac:dyDescent="0.25">
      <c r="A125" s="190"/>
      <c r="B125" s="184"/>
      <c r="C125" s="244"/>
      <c r="D125" s="21" t="s">
        <v>25</v>
      </c>
      <c r="E125" s="22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4"/>
      <c r="R125" s="8"/>
      <c r="S125" s="8"/>
      <c r="T125" s="8"/>
    </row>
    <row r="126" spans="1:20" x14ac:dyDescent="0.25">
      <c r="A126" s="190"/>
      <c r="B126" s="184"/>
      <c r="C126" s="244"/>
      <c r="D126" s="21" t="s">
        <v>26</v>
      </c>
      <c r="E126" s="22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4"/>
      <c r="R126" s="8"/>
      <c r="S126" s="8"/>
      <c r="T126" s="8"/>
    </row>
    <row r="127" spans="1:20" ht="16.5" thickBot="1" x14ac:dyDescent="0.3">
      <c r="A127" s="191"/>
      <c r="B127" s="185"/>
      <c r="C127" s="245"/>
      <c r="D127" s="27" t="s">
        <v>27</v>
      </c>
      <c r="E127" s="39"/>
      <c r="F127" s="31"/>
      <c r="G127" s="32"/>
      <c r="H127" s="32"/>
      <c r="I127" s="32"/>
      <c r="J127" s="41"/>
      <c r="K127" s="33"/>
      <c r="L127" s="32"/>
      <c r="M127" s="41"/>
      <c r="N127" s="32"/>
      <c r="O127" s="29"/>
      <c r="P127" s="37"/>
    </row>
    <row r="128" spans="1:20" x14ac:dyDescent="0.25">
      <c r="A128" s="189">
        <v>22</v>
      </c>
      <c r="B128" s="183">
        <v>2012</v>
      </c>
      <c r="C128" s="243">
        <v>52.3</v>
      </c>
      <c r="D128" s="14" t="s">
        <v>24</v>
      </c>
      <c r="E128" s="38"/>
      <c r="F128" s="17"/>
      <c r="G128" s="17"/>
      <c r="H128" s="17"/>
      <c r="I128" s="17"/>
      <c r="J128" s="18"/>
      <c r="K128" s="17"/>
      <c r="L128" s="17"/>
      <c r="M128" s="18"/>
      <c r="N128" s="17"/>
      <c r="O128" s="17"/>
      <c r="P128" s="35"/>
    </row>
    <row r="129" spans="1:16" hidden="1" x14ac:dyDescent="0.25">
      <c r="A129" s="190"/>
      <c r="B129" s="184"/>
      <c r="C129" s="244"/>
      <c r="D129" s="21" t="s">
        <v>25</v>
      </c>
      <c r="E129" s="22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4"/>
    </row>
    <row r="130" spans="1:16" x14ac:dyDescent="0.25">
      <c r="A130" s="190"/>
      <c r="B130" s="184"/>
      <c r="C130" s="244"/>
      <c r="D130" s="21" t="s">
        <v>26</v>
      </c>
      <c r="E130" s="22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4"/>
    </row>
    <row r="131" spans="1:16" ht="16.5" thickBot="1" x14ac:dyDescent="0.3">
      <c r="A131" s="191"/>
      <c r="B131" s="185"/>
      <c r="C131" s="245"/>
      <c r="D131" s="27" t="s">
        <v>27</v>
      </c>
      <c r="E131" s="39"/>
      <c r="F131" s="31"/>
      <c r="G131" s="32"/>
      <c r="H131" s="32"/>
      <c r="I131" s="32"/>
      <c r="J131" s="33"/>
      <c r="K131" s="32"/>
      <c r="L131" s="32"/>
      <c r="M131" s="41"/>
      <c r="N131" s="32"/>
      <c r="O131" s="29"/>
      <c r="P131" s="37"/>
    </row>
    <row r="132" spans="1:16" x14ac:dyDescent="0.25">
      <c r="A132" s="189">
        <v>24</v>
      </c>
      <c r="B132" s="183">
        <v>2012</v>
      </c>
      <c r="C132" s="243">
        <v>44.7</v>
      </c>
      <c r="D132" s="14" t="s">
        <v>24</v>
      </c>
      <c r="E132" s="38"/>
      <c r="F132" s="17"/>
      <c r="G132" s="17"/>
      <c r="H132" s="18"/>
      <c r="I132" s="17"/>
      <c r="J132" s="17"/>
      <c r="K132" s="17"/>
      <c r="L132" s="18"/>
      <c r="M132" s="18"/>
      <c r="N132" s="17"/>
      <c r="O132" s="17"/>
      <c r="P132" s="35"/>
    </row>
    <row r="133" spans="1:16" hidden="1" x14ac:dyDescent="0.25">
      <c r="A133" s="190"/>
      <c r="B133" s="184"/>
      <c r="C133" s="244"/>
      <c r="D133" s="21" t="s">
        <v>25</v>
      </c>
      <c r="E133" s="22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4"/>
    </row>
    <row r="134" spans="1:16" x14ac:dyDescent="0.25">
      <c r="A134" s="190"/>
      <c r="B134" s="184"/>
      <c r="C134" s="244"/>
      <c r="D134" s="21" t="s">
        <v>26</v>
      </c>
      <c r="E134" s="22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4"/>
    </row>
    <row r="135" spans="1:16" ht="16.5" thickBot="1" x14ac:dyDescent="0.3">
      <c r="A135" s="191"/>
      <c r="B135" s="185"/>
      <c r="C135" s="245"/>
      <c r="D135" s="27" t="s">
        <v>27</v>
      </c>
      <c r="E135" s="15"/>
      <c r="F135" s="16"/>
      <c r="G135" s="16"/>
      <c r="H135" s="76"/>
      <c r="I135" s="16"/>
      <c r="J135" s="16"/>
      <c r="K135" s="16"/>
      <c r="L135" s="76"/>
      <c r="M135" s="77"/>
      <c r="N135" s="16"/>
      <c r="O135" s="16"/>
      <c r="P135" s="60"/>
    </row>
    <row r="136" spans="1:16" ht="16.5" thickBot="1" x14ac:dyDescent="0.3">
      <c r="A136" s="246" t="s">
        <v>29</v>
      </c>
      <c r="B136" s="247"/>
      <c r="C136" s="92">
        <f>SUM(C116:C135)</f>
        <v>281.89999999999998</v>
      </c>
      <c r="D136" s="94" t="s">
        <v>30</v>
      </c>
      <c r="E136" s="47">
        <f>E119+E123+E127+E131+E135</f>
        <v>0</v>
      </c>
      <c r="F136" s="48">
        <f t="shared" ref="F136:P136" si="1">F119+F123+F127+F131+F135</f>
        <v>0</v>
      </c>
      <c r="G136" s="48">
        <f t="shared" si="1"/>
        <v>0</v>
      </c>
      <c r="H136" s="48">
        <f t="shared" si="1"/>
        <v>0</v>
      </c>
      <c r="I136" s="48">
        <f>I119+I123+I127+I131+I135</f>
        <v>0</v>
      </c>
      <c r="J136" s="48">
        <f t="shared" si="1"/>
        <v>0</v>
      </c>
      <c r="K136" s="48">
        <f t="shared" si="1"/>
        <v>0</v>
      </c>
      <c r="L136" s="48">
        <f t="shared" si="1"/>
        <v>0</v>
      </c>
      <c r="M136" s="48">
        <f t="shared" si="1"/>
        <v>0</v>
      </c>
      <c r="N136" s="48">
        <f t="shared" si="1"/>
        <v>0</v>
      </c>
      <c r="O136" s="48">
        <f>O119+O123+O127+O131+O135</f>
        <v>0</v>
      </c>
      <c r="P136" s="67">
        <f t="shared" si="1"/>
        <v>0</v>
      </c>
    </row>
    <row r="138" spans="1:16" ht="18.75" customHeight="1" x14ac:dyDescent="0.25">
      <c r="A138" s="1" t="s">
        <v>0</v>
      </c>
      <c r="B138" s="2"/>
      <c r="C138" s="2"/>
      <c r="D138" s="2"/>
    </row>
    <row r="139" spans="1:16" s="6" customFormat="1" x14ac:dyDescent="0.25"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s="6" customFormat="1" x14ac:dyDescent="0.25">
      <c r="A140" s="156" t="s">
        <v>1</v>
      </c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</row>
    <row r="141" spans="1:16" s="6" customFormat="1" x14ac:dyDescent="0.25">
      <c r="A141" s="156" t="s">
        <v>2</v>
      </c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</row>
    <row r="142" spans="1:16" s="6" customFormat="1" x14ac:dyDescent="0.25">
      <c r="A142" s="156" t="s">
        <v>47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</row>
    <row r="144" spans="1:16" s="6" customFormat="1" x14ac:dyDescent="0.25">
      <c r="A144" s="6" t="s">
        <v>54</v>
      </c>
      <c r="B144" s="8"/>
      <c r="C144" s="8"/>
      <c r="D144" s="71"/>
      <c r="E144" s="71"/>
      <c r="F144" s="71"/>
      <c r="G144" s="71"/>
      <c r="H144" s="71"/>
      <c r="I144" s="71"/>
      <c r="J144" s="71"/>
      <c r="K144" s="71"/>
      <c r="L144" s="71"/>
      <c r="M144" s="72"/>
      <c r="N144" s="71"/>
      <c r="P144" s="11" t="s">
        <v>50</v>
      </c>
    </row>
    <row r="145" spans="1:16" s="6" customFormat="1" ht="7.5" customHeight="1" thickBot="1" x14ac:dyDescent="0.3">
      <c r="B145" s="8"/>
      <c r="C145" s="8"/>
      <c r="D145" s="71"/>
      <c r="E145" s="71"/>
      <c r="F145" s="71"/>
      <c r="G145" s="71"/>
      <c r="H145" s="71"/>
      <c r="I145" s="71"/>
      <c r="J145" s="71"/>
      <c r="K145" s="71"/>
      <c r="L145" s="71"/>
      <c r="M145" s="72"/>
      <c r="N145" s="71"/>
      <c r="O145" s="10"/>
      <c r="P145" s="8"/>
    </row>
    <row r="146" spans="1:16" s="6" customFormat="1" x14ac:dyDescent="0.25">
      <c r="A146" s="157" t="s">
        <v>7</v>
      </c>
      <c r="B146" s="160" t="s">
        <v>8</v>
      </c>
      <c r="C146" s="240" t="s">
        <v>27</v>
      </c>
      <c r="D146" s="169" t="s">
        <v>11</v>
      </c>
      <c r="E146" s="172" t="s">
        <v>12</v>
      </c>
      <c r="F146" s="175" t="s">
        <v>13</v>
      </c>
      <c r="G146" s="175" t="s">
        <v>14</v>
      </c>
      <c r="H146" s="175" t="s">
        <v>15</v>
      </c>
      <c r="I146" s="175" t="s">
        <v>16</v>
      </c>
      <c r="J146" s="175" t="s">
        <v>17</v>
      </c>
      <c r="K146" s="175" t="s">
        <v>18</v>
      </c>
      <c r="L146" s="175" t="s">
        <v>19</v>
      </c>
      <c r="M146" s="175" t="s">
        <v>20</v>
      </c>
      <c r="N146" s="175" t="s">
        <v>21</v>
      </c>
      <c r="O146" s="175" t="s">
        <v>22</v>
      </c>
      <c r="P146" s="178" t="s">
        <v>23</v>
      </c>
    </row>
    <row r="147" spans="1:16" s="6" customFormat="1" x14ac:dyDescent="0.25">
      <c r="A147" s="158"/>
      <c r="B147" s="161"/>
      <c r="C147" s="241"/>
      <c r="D147" s="193"/>
      <c r="E147" s="173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61"/>
    </row>
    <row r="148" spans="1:16" s="6" customFormat="1" ht="16.5" thickBot="1" x14ac:dyDescent="0.3">
      <c r="A148" s="159"/>
      <c r="B148" s="162"/>
      <c r="C148" s="242"/>
      <c r="D148" s="194"/>
      <c r="E148" s="174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9"/>
    </row>
    <row r="149" spans="1:16" s="6" customFormat="1" x14ac:dyDescent="0.25">
      <c r="A149" s="180">
        <v>25</v>
      </c>
      <c r="B149" s="183">
        <v>2015</v>
      </c>
      <c r="C149" s="243">
        <v>38.22</v>
      </c>
      <c r="D149" s="14" t="s">
        <v>24</v>
      </c>
      <c r="E149" s="38"/>
      <c r="F149" s="17"/>
      <c r="G149" s="17"/>
      <c r="H149" s="17"/>
      <c r="I149" s="17"/>
      <c r="J149" s="17"/>
      <c r="K149" s="18"/>
      <c r="L149" s="18"/>
      <c r="M149" s="17"/>
      <c r="N149" s="17"/>
      <c r="O149" s="17"/>
      <c r="P149" s="35"/>
    </row>
    <row r="150" spans="1:16" s="6" customFormat="1" hidden="1" x14ac:dyDescent="0.25">
      <c r="A150" s="181"/>
      <c r="B150" s="184"/>
      <c r="C150" s="244"/>
      <c r="D150" s="21" t="s">
        <v>25</v>
      </c>
      <c r="E150" s="22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4"/>
    </row>
    <row r="151" spans="1:16" s="6" customFormat="1" x14ac:dyDescent="0.25">
      <c r="A151" s="181"/>
      <c r="B151" s="184"/>
      <c r="C151" s="244"/>
      <c r="D151" s="21" t="s">
        <v>26</v>
      </c>
      <c r="E151" s="22"/>
      <c r="F151" s="23"/>
      <c r="G151" s="23"/>
      <c r="H151" s="23"/>
      <c r="I151" s="23"/>
      <c r="J151" s="23"/>
      <c r="K151" s="23"/>
      <c r="L151" s="25"/>
      <c r="M151" s="23"/>
      <c r="N151" s="23"/>
      <c r="O151" s="23"/>
      <c r="P151" s="24"/>
    </row>
    <row r="152" spans="1:16" s="6" customFormat="1" ht="16.5" thickBot="1" x14ac:dyDescent="0.3">
      <c r="A152" s="182"/>
      <c r="B152" s="185"/>
      <c r="C152" s="245"/>
      <c r="D152" s="27" t="s">
        <v>27</v>
      </c>
      <c r="E152" s="39"/>
      <c r="F152" s="32"/>
      <c r="G152" s="32"/>
      <c r="H152" s="32"/>
      <c r="I152" s="32"/>
      <c r="J152" s="32"/>
      <c r="K152" s="33"/>
      <c r="L152" s="30"/>
      <c r="M152" s="32"/>
      <c r="N152" s="32"/>
      <c r="O152" s="32"/>
      <c r="P152" s="37"/>
    </row>
    <row r="153" spans="1:16" s="6" customFormat="1" x14ac:dyDescent="0.25">
      <c r="A153" s="189" t="s">
        <v>35</v>
      </c>
      <c r="B153" s="183">
        <v>2015</v>
      </c>
      <c r="C153" s="243">
        <v>22.72</v>
      </c>
      <c r="D153" s="14" t="s">
        <v>24</v>
      </c>
      <c r="E153" s="38"/>
      <c r="F153" s="17"/>
      <c r="G153" s="18"/>
      <c r="H153" s="17"/>
      <c r="I153" s="17"/>
      <c r="J153" s="17"/>
      <c r="K153" s="18"/>
      <c r="L153" s="17"/>
      <c r="M153" s="17"/>
      <c r="N153" s="17"/>
      <c r="O153" s="17"/>
      <c r="P153" s="35"/>
    </row>
    <row r="154" spans="1:16" s="6" customFormat="1" hidden="1" x14ac:dyDescent="0.25">
      <c r="A154" s="190"/>
      <c r="B154" s="184"/>
      <c r="C154" s="244"/>
      <c r="D154" s="21" t="s">
        <v>25</v>
      </c>
      <c r="E154" s="22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4"/>
    </row>
    <row r="155" spans="1:16" s="6" customFormat="1" x14ac:dyDescent="0.25">
      <c r="A155" s="190"/>
      <c r="B155" s="184"/>
      <c r="C155" s="244"/>
      <c r="D155" s="21" t="s">
        <v>26</v>
      </c>
      <c r="E155" s="22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4"/>
    </row>
    <row r="156" spans="1:16" s="6" customFormat="1" ht="16.5" thickBot="1" x14ac:dyDescent="0.3">
      <c r="A156" s="191"/>
      <c r="B156" s="185"/>
      <c r="C156" s="245"/>
      <c r="D156" s="27" t="s">
        <v>27</v>
      </c>
      <c r="E156" s="39"/>
      <c r="F156" s="32"/>
      <c r="G156" s="33"/>
      <c r="H156" s="32"/>
      <c r="I156" s="32"/>
      <c r="J156" s="32"/>
      <c r="K156" s="33"/>
      <c r="L156" s="32"/>
      <c r="M156" s="32"/>
      <c r="N156" s="32"/>
      <c r="O156" s="32"/>
      <c r="P156" s="37"/>
    </row>
    <row r="157" spans="1:16" s="6" customFormat="1" ht="16.5" hidden="1" thickBot="1" x14ac:dyDescent="0.3">
      <c r="A157" s="189" t="s">
        <v>36</v>
      </c>
      <c r="B157" s="183">
        <v>2015</v>
      </c>
      <c r="C157" s="243">
        <v>0</v>
      </c>
      <c r="D157" s="14" t="s">
        <v>24</v>
      </c>
      <c r="E157" s="38"/>
      <c r="F157" s="17"/>
      <c r="G157" s="17"/>
      <c r="H157" s="17"/>
      <c r="I157" s="17"/>
      <c r="J157" s="17"/>
      <c r="K157" s="18"/>
      <c r="L157" s="17"/>
      <c r="M157" s="18"/>
      <c r="N157" s="17"/>
      <c r="O157" s="17"/>
      <c r="P157" s="35"/>
    </row>
    <row r="158" spans="1:16" s="6" customFormat="1" ht="16.5" hidden="1" thickBot="1" x14ac:dyDescent="0.3">
      <c r="A158" s="190"/>
      <c r="B158" s="184"/>
      <c r="C158" s="244"/>
      <c r="D158" s="21" t="s">
        <v>25</v>
      </c>
      <c r="E158" s="22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4"/>
    </row>
    <row r="159" spans="1:16" s="6" customFormat="1" ht="16.5" hidden="1" thickBot="1" x14ac:dyDescent="0.3">
      <c r="A159" s="190"/>
      <c r="B159" s="184"/>
      <c r="C159" s="244"/>
      <c r="D159" s="21" t="s">
        <v>26</v>
      </c>
      <c r="E159" s="22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4"/>
    </row>
    <row r="160" spans="1:16" s="6" customFormat="1" ht="16.5" hidden="1" thickBot="1" x14ac:dyDescent="0.3">
      <c r="A160" s="191"/>
      <c r="B160" s="185"/>
      <c r="C160" s="245"/>
      <c r="D160" s="27" t="s">
        <v>27</v>
      </c>
      <c r="E160" s="39"/>
      <c r="F160" s="32"/>
      <c r="G160" s="32"/>
      <c r="H160" s="32"/>
      <c r="I160" s="32"/>
      <c r="J160" s="41"/>
      <c r="K160" s="33"/>
      <c r="L160" s="32"/>
      <c r="M160" s="41"/>
      <c r="N160" s="32"/>
      <c r="O160" s="32"/>
      <c r="P160" s="37"/>
    </row>
    <row r="161" spans="1:16" s="6" customFormat="1" x14ac:dyDescent="0.25">
      <c r="A161" s="189">
        <v>27</v>
      </c>
      <c r="B161" s="183">
        <v>2015</v>
      </c>
      <c r="C161" s="243">
        <v>18.64</v>
      </c>
      <c r="D161" s="14" t="s">
        <v>24</v>
      </c>
      <c r="E161" s="38"/>
      <c r="F161" s="17"/>
      <c r="G161" s="17"/>
      <c r="H161" s="17"/>
      <c r="I161" s="17"/>
      <c r="J161" s="18"/>
      <c r="K161" s="17"/>
      <c r="L161" s="17"/>
      <c r="M161" s="18"/>
      <c r="N161" s="17"/>
      <c r="O161" s="17"/>
      <c r="P161" s="35"/>
    </row>
    <row r="162" spans="1:16" s="6" customFormat="1" hidden="1" x14ac:dyDescent="0.25">
      <c r="A162" s="190"/>
      <c r="B162" s="184"/>
      <c r="C162" s="244"/>
      <c r="D162" s="21" t="s">
        <v>25</v>
      </c>
      <c r="E162" s="22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4"/>
    </row>
    <row r="163" spans="1:16" s="6" customFormat="1" x14ac:dyDescent="0.25">
      <c r="A163" s="190"/>
      <c r="B163" s="184"/>
      <c r="C163" s="244"/>
      <c r="D163" s="21" t="s">
        <v>26</v>
      </c>
      <c r="E163" s="22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4"/>
    </row>
    <row r="164" spans="1:16" s="6" customFormat="1" ht="16.5" thickBot="1" x14ac:dyDescent="0.3">
      <c r="A164" s="191"/>
      <c r="B164" s="185"/>
      <c r="C164" s="245"/>
      <c r="D164" s="27" t="s">
        <v>27</v>
      </c>
      <c r="E164" s="39"/>
      <c r="F164" s="32"/>
      <c r="G164" s="32"/>
      <c r="H164" s="32"/>
      <c r="I164" s="32"/>
      <c r="J164" s="33"/>
      <c r="K164" s="32"/>
      <c r="L164" s="32"/>
      <c r="M164" s="41"/>
      <c r="N164" s="32"/>
      <c r="O164" s="32"/>
      <c r="P164" s="37"/>
    </row>
    <row r="165" spans="1:16" s="6" customFormat="1" x14ac:dyDescent="0.25">
      <c r="A165" s="189">
        <v>28</v>
      </c>
      <c r="B165" s="183">
        <v>2015</v>
      </c>
      <c r="C165" s="243">
        <v>25.5</v>
      </c>
      <c r="D165" s="14" t="s">
        <v>24</v>
      </c>
      <c r="E165" s="38"/>
      <c r="F165" s="17"/>
      <c r="G165" s="17"/>
      <c r="H165" s="18"/>
      <c r="I165" s="17"/>
      <c r="J165" s="17"/>
      <c r="K165" s="17"/>
      <c r="L165" s="18"/>
      <c r="M165" s="18"/>
      <c r="N165" s="17"/>
      <c r="O165" s="17"/>
      <c r="P165" s="35"/>
    </row>
    <row r="166" spans="1:16" s="6" customFormat="1" hidden="1" x14ac:dyDescent="0.25">
      <c r="A166" s="190"/>
      <c r="B166" s="184"/>
      <c r="C166" s="244"/>
      <c r="D166" s="21" t="s">
        <v>25</v>
      </c>
      <c r="E166" s="22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4"/>
    </row>
    <row r="167" spans="1:16" s="6" customFormat="1" x14ac:dyDescent="0.25">
      <c r="A167" s="190"/>
      <c r="B167" s="184"/>
      <c r="C167" s="244"/>
      <c r="D167" s="21" t="s">
        <v>26</v>
      </c>
      <c r="E167" s="22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4"/>
    </row>
    <row r="168" spans="1:16" s="6" customFormat="1" ht="16.5" thickBot="1" x14ac:dyDescent="0.3">
      <c r="A168" s="191"/>
      <c r="B168" s="185"/>
      <c r="C168" s="245"/>
      <c r="D168" s="27" t="s">
        <v>27</v>
      </c>
      <c r="E168" s="74"/>
      <c r="F168" s="16"/>
      <c r="G168" s="16"/>
      <c r="H168" s="76"/>
      <c r="I168" s="16"/>
      <c r="J168" s="16"/>
      <c r="K168" s="16"/>
      <c r="L168" s="76"/>
      <c r="M168" s="77"/>
      <c r="N168" s="16"/>
      <c r="O168" s="16"/>
      <c r="P168" s="60"/>
    </row>
    <row r="169" spans="1:16" s="6" customFormat="1" x14ac:dyDescent="0.25">
      <c r="A169" s="180">
        <v>29</v>
      </c>
      <c r="B169" s="183">
        <v>2015</v>
      </c>
      <c r="C169" s="243">
        <v>11.38</v>
      </c>
      <c r="D169" s="14" t="s">
        <v>24</v>
      </c>
      <c r="E169" s="38"/>
      <c r="F169" s="17"/>
      <c r="G169" s="17"/>
      <c r="H169" s="17"/>
      <c r="I169" s="17"/>
      <c r="J169" s="17"/>
      <c r="K169" s="18"/>
      <c r="L169" s="18"/>
      <c r="M169" s="17"/>
      <c r="N169" s="17"/>
      <c r="O169" s="17"/>
      <c r="P169" s="35"/>
    </row>
    <row r="170" spans="1:16" s="6" customFormat="1" hidden="1" x14ac:dyDescent="0.25">
      <c r="A170" s="181"/>
      <c r="B170" s="184"/>
      <c r="C170" s="244"/>
      <c r="D170" s="21" t="s">
        <v>25</v>
      </c>
      <c r="E170" s="22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4"/>
    </row>
    <row r="171" spans="1:16" s="6" customFormat="1" x14ac:dyDescent="0.25">
      <c r="A171" s="181"/>
      <c r="B171" s="184"/>
      <c r="C171" s="244"/>
      <c r="D171" s="21" t="s">
        <v>26</v>
      </c>
      <c r="E171" s="22"/>
      <c r="F171" s="23"/>
      <c r="G171" s="23"/>
      <c r="H171" s="23"/>
      <c r="I171" s="23"/>
      <c r="J171" s="23"/>
      <c r="K171" s="23"/>
      <c r="L171" s="25"/>
      <c r="M171" s="23"/>
      <c r="N171" s="23"/>
      <c r="O171" s="23"/>
      <c r="P171" s="24"/>
    </row>
    <row r="172" spans="1:16" s="6" customFormat="1" ht="16.5" thickBot="1" x14ac:dyDescent="0.3">
      <c r="A172" s="182"/>
      <c r="B172" s="185"/>
      <c r="C172" s="245"/>
      <c r="D172" s="27" t="s">
        <v>27</v>
      </c>
      <c r="E172" s="39"/>
      <c r="F172" s="32"/>
      <c r="G172" s="32"/>
      <c r="H172" s="32"/>
      <c r="I172" s="32"/>
      <c r="J172" s="32"/>
      <c r="K172" s="33"/>
      <c r="L172" s="30"/>
      <c r="M172" s="32"/>
      <c r="N172" s="32"/>
      <c r="O172" s="32"/>
      <c r="P172" s="37"/>
    </row>
    <row r="173" spans="1:16" s="6" customFormat="1" x14ac:dyDescent="0.25">
      <c r="A173" s="189">
        <v>30</v>
      </c>
      <c r="B173" s="183">
        <v>2015</v>
      </c>
      <c r="C173" s="243">
        <v>24.35</v>
      </c>
      <c r="D173" s="14" t="s">
        <v>24</v>
      </c>
      <c r="E173" s="38"/>
      <c r="F173" s="17"/>
      <c r="G173" s="17"/>
      <c r="H173" s="17"/>
      <c r="I173" s="17"/>
      <c r="J173" s="17"/>
      <c r="K173" s="18"/>
      <c r="L173" s="17"/>
      <c r="M173" s="17"/>
      <c r="N173" s="17"/>
      <c r="O173" s="17"/>
      <c r="P173" s="35"/>
    </row>
    <row r="174" spans="1:16" s="6" customFormat="1" hidden="1" x14ac:dyDescent="0.25">
      <c r="A174" s="190"/>
      <c r="B174" s="184"/>
      <c r="C174" s="244"/>
      <c r="D174" s="21" t="s">
        <v>25</v>
      </c>
      <c r="E174" s="22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4"/>
    </row>
    <row r="175" spans="1:16" s="6" customFormat="1" x14ac:dyDescent="0.25">
      <c r="A175" s="190"/>
      <c r="B175" s="184"/>
      <c r="C175" s="244"/>
      <c r="D175" s="21" t="s">
        <v>26</v>
      </c>
      <c r="E175" s="22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4"/>
    </row>
    <row r="176" spans="1:16" s="6" customFormat="1" ht="16.5" thickBot="1" x14ac:dyDescent="0.3">
      <c r="A176" s="191"/>
      <c r="B176" s="185"/>
      <c r="C176" s="245"/>
      <c r="D176" s="27" t="s">
        <v>27</v>
      </c>
      <c r="E176" s="39"/>
      <c r="F176" s="32"/>
      <c r="G176" s="32"/>
      <c r="H176" s="32"/>
      <c r="I176" s="32"/>
      <c r="J176" s="32"/>
      <c r="K176" s="33"/>
      <c r="L176" s="32"/>
      <c r="M176" s="32"/>
      <c r="N176" s="32"/>
      <c r="O176" s="32"/>
      <c r="P176" s="37"/>
    </row>
    <row r="177" spans="1:16" s="6" customFormat="1" x14ac:dyDescent="0.25">
      <c r="A177" s="189">
        <v>31</v>
      </c>
      <c r="B177" s="183">
        <v>2015</v>
      </c>
      <c r="C177" s="243">
        <v>34.08</v>
      </c>
      <c r="D177" s="14" t="s">
        <v>24</v>
      </c>
      <c r="E177" s="38"/>
      <c r="F177" s="17"/>
      <c r="G177" s="17"/>
      <c r="H177" s="17"/>
      <c r="I177" s="17"/>
      <c r="J177" s="17"/>
      <c r="K177" s="18"/>
      <c r="L177" s="17"/>
      <c r="M177" s="18"/>
      <c r="N177" s="17"/>
      <c r="O177" s="17"/>
      <c r="P177" s="35"/>
    </row>
    <row r="178" spans="1:16" s="6" customFormat="1" hidden="1" x14ac:dyDescent="0.25">
      <c r="A178" s="190"/>
      <c r="B178" s="184"/>
      <c r="C178" s="244"/>
      <c r="D178" s="21" t="s">
        <v>25</v>
      </c>
      <c r="E178" s="22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4"/>
    </row>
    <row r="179" spans="1:16" s="6" customFormat="1" x14ac:dyDescent="0.25">
      <c r="A179" s="190"/>
      <c r="B179" s="184"/>
      <c r="C179" s="244"/>
      <c r="D179" s="21" t="s">
        <v>26</v>
      </c>
      <c r="E179" s="22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4"/>
    </row>
    <row r="180" spans="1:16" s="6" customFormat="1" ht="16.5" thickBot="1" x14ac:dyDescent="0.3">
      <c r="A180" s="191"/>
      <c r="B180" s="185"/>
      <c r="C180" s="245"/>
      <c r="D180" s="27" t="s">
        <v>27</v>
      </c>
      <c r="E180" s="39"/>
      <c r="F180" s="32"/>
      <c r="G180" s="32"/>
      <c r="H180" s="32"/>
      <c r="I180" s="32"/>
      <c r="J180" s="41"/>
      <c r="K180" s="33"/>
      <c r="L180" s="32"/>
      <c r="M180" s="41"/>
      <c r="N180" s="32"/>
      <c r="O180" s="32"/>
      <c r="P180" s="37"/>
    </row>
    <row r="181" spans="1:16" s="6" customFormat="1" x14ac:dyDescent="0.25">
      <c r="A181" s="189">
        <v>32</v>
      </c>
      <c r="B181" s="183">
        <v>2015</v>
      </c>
      <c r="C181" s="243">
        <v>20</v>
      </c>
      <c r="D181" s="14" t="s">
        <v>24</v>
      </c>
      <c r="E181" s="38"/>
      <c r="F181" s="17"/>
      <c r="G181" s="17"/>
      <c r="H181" s="17"/>
      <c r="I181" s="17"/>
      <c r="J181" s="18"/>
      <c r="K181" s="17"/>
      <c r="L181" s="17"/>
      <c r="M181" s="18"/>
      <c r="N181" s="17"/>
      <c r="O181" s="17"/>
      <c r="P181" s="35"/>
    </row>
    <row r="182" spans="1:16" s="6" customFormat="1" hidden="1" x14ac:dyDescent="0.25">
      <c r="A182" s="190"/>
      <c r="B182" s="184"/>
      <c r="C182" s="244"/>
      <c r="D182" s="21" t="s">
        <v>25</v>
      </c>
      <c r="E182" s="22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4"/>
    </row>
    <row r="183" spans="1:16" s="6" customFormat="1" x14ac:dyDescent="0.25">
      <c r="A183" s="190"/>
      <c r="B183" s="184"/>
      <c r="C183" s="244"/>
      <c r="D183" s="21" t="s">
        <v>26</v>
      </c>
      <c r="E183" s="22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4"/>
    </row>
    <row r="184" spans="1:16" s="6" customFormat="1" ht="16.5" thickBot="1" x14ac:dyDescent="0.3">
      <c r="A184" s="191"/>
      <c r="B184" s="185"/>
      <c r="C184" s="245"/>
      <c r="D184" s="27" t="s">
        <v>27</v>
      </c>
      <c r="E184" s="15"/>
      <c r="F184" s="16"/>
      <c r="G184" s="16"/>
      <c r="H184" s="16"/>
      <c r="I184" s="16"/>
      <c r="J184" s="76"/>
      <c r="K184" s="16"/>
      <c r="L184" s="16"/>
      <c r="M184" s="77"/>
      <c r="N184" s="16"/>
      <c r="O184" s="16"/>
      <c r="P184" s="60"/>
    </row>
    <row r="185" spans="1:16" ht="16.5" thickBot="1" x14ac:dyDescent="0.3">
      <c r="A185" s="248" t="s">
        <v>29</v>
      </c>
      <c r="B185" s="249"/>
      <c r="C185" s="92">
        <f>SUM(C149:C184)</f>
        <v>194.89</v>
      </c>
      <c r="D185" s="94" t="s">
        <v>30</v>
      </c>
      <c r="E185" s="47">
        <f>E152+E156+E160+E164+E168+E172+E176+E180+E184</f>
        <v>0</v>
      </c>
      <c r="F185" s="48">
        <f t="shared" ref="F185:P185" si="2">F152+F156+F160+F164+F168+F172+F176+F180+F184</f>
        <v>0</v>
      </c>
      <c r="G185" s="48">
        <f t="shared" si="2"/>
        <v>0</v>
      </c>
      <c r="H185" s="48">
        <f t="shared" si="2"/>
        <v>0</v>
      </c>
      <c r="I185" s="48">
        <f>I152+I156+I160+I164+I168+I172+I176+I180+I184</f>
        <v>0</v>
      </c>
      <c r="J185" s="48">
        <f t="shared" si="2"/>
        <v>0</v>
      </c>
      <c r="K185" s="48">
        <f t="shared" si="2"/>
        <v>0</v>
      </c>
      <c r="L185" s="48">
        <f t="shared" si="2"/>
        <v>0</v>
      </c>
      <c r="M185" s="48">
        <f t="shared" si="2"/>
        <v>0</v>
      </c>
      <c r="N185" s="48">
        <f t="shared" si="2"/>
        <v>0</v>
      </c>
      <c r="O185" s="48">
        <f t="shared" si="2"/>
        <v>0</v>
      </c>
      <c r="P185" s="67">
        <f t="shared" si="2"/>
        <v>0</v>
      </c>
    </row>
    <row r="186" spans="1:16" x14ac:dyDescent="0.25">
      <c r="A186" s="8"/>
      <c r="B186" s="8"/>
      <c r="C186" s="8"/>
      <c r="D186" s="4"/>
      <c r="H186" s="78"/>
      <c r="L186" s="78"/>
      <c r="M186" s="9"/>
    </row>
    <row r="187" spans="1:16" x14ac:dyDescent="0.25">
      <c r="A187" s="1" t="s">
        <v>0</v>
      </c>
      <c r="B187" s="2"/>
      <c r="C187" s="2"/>
      <c r="D187" s="2"/>
    </row>
    <row r="188" spans="1:16" x14ac:dyDescent="0.25">
      <c r="A188" s="6"/>
      <c r="B188" s="6"/>
      <c r="C188" s="6"/>
      <c r="D188" s="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x14ac:dyDescent="0.25">
      <c r="A189" s="156" t="s">
        <v>1</v>
      </c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</row>
    <row r="190" spans="1:16" x14ac:dyDescent="0.25">
      <c r="A190" s="156" t="s">
        <v>2</v>
      </c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</row>
    <row r="191" spans="1:16" x14ac:dyDescent="0.25">
      <c r="A191" s="156" t="s">
        <v>47</v>
      </c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</row>
    <row r="193" spans="1:20" x14ac:dyDescent="0.25">
      <c r="A193" s="6" t="s">
        <v>55</v>
      </c>
      <c r="B193" s="8"/>
      <c r="C193" s="8"/>
      <c r="D193" s="71"/>
      <c r="E193" s="71"/>
      <c r="F193" s="71"/>
      <c r="G193" s="71"/>
      <c r="H193" s="71"/>
      <c r="I193" s="71"/>
      <c r="J193" s="71"/>
      <c r="K193" s="71"/>
      <c r="L193" s="71"/>
      <c r="M193" s="72"/>
      <c r="N193" s="71"/>
      <c r="P193" s="11" t="s">
        <v>50</v>
      </c>
    </row>
    <row r="194" spans="1:20" ht="10.5" customHeight="1" thickBot="1" x14ac:dyDescent="0.3">
      <c r="A194" s="8"/>
      <c r="B194" s="8"/>
      <c r="C194" s="8"/>
      <c r="D194" s="4"/>
      <c r="H194" s="78"/>
      <c r="L194" s="78"/>
      <c r="M194" s="9"/>
    </row>
    <row r="195" spans="1:20" x14ac:dyDescent="0.25">
      <c r="A195" s="157" t="s">
        <v>7</v>
      </c>
      <c r="B195" s="160" t="s">
        <v>8</v>
      </c>
      <c r="C195" s="240" t="s">
        <v>27</v>
      </c>
      <c r="D195" s="169" t="s">
        <v>11</v>
      </c>
      <c r="E195" s="172" t="s">
        <v>12</v>
      </c>
      <c r="F195" s="175" t="s">
        <v>13</v>
      </c>
      <c r="G195" s="175" t="s">
        <v>14</v>
      </c>
      <c r="H195" s="175" t="s">
        <v>15</v>
      </c>
      <c r="I195" s="175" t="s">
        <v>16</v>
      </c>
      <c r="J195" s="175" t="s">
        <v>17</v>
      </c>
      <c r="K195" s="175" t="s">
        <v>18</v>
      </c>
      <c r="L195" s="175" t="s">
        <v>19</v>
      </c>
      <c r="M195" s="175" t="s">
        <v>20</v>
      </c>
      <c r="N195" s="175" t="s">
        <v>21</v>
      </c>
      <c r="O195" s="175" t="s">
        <v>22</v>
      </c>
      <c r="P195" s="178" t="s">
        <v>23</v>
      </c>
    </row>
    <row r="196" spans="1:20" x14ac:dyDescent="0.25">
      <c r="A196" s="158"/>
      <c r="B196" s="161"/>
      <c r="C196" s="241"/>
      <c r="D196" s="193"/>
      <c r="E196" s="173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61"/>
    </row>
    <row r="197" spans="1:20" ht="16.5" thickBot="1" x14ac:dyDescent="0.3">
      <c r="A197" s="159"/>
      <c r="B197" s="162"/>
      <c r="C197" s="242"/>
      <c r="D197" s="194"/>
      <c r="E197" s="174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9"/>
    </row>
    <row r="198" spans="1:20" x14ac:dyDescent="0.25">
      <c r="A198" s="180">
        <v>33</v>
      </c>
      <c r="B198" s="183">
        <v>2016</v>
      </c>
      <c r="C198" s="243">
        <v>28.72</v>
      </c>
      <c r="D198" s="14" t="s">
        <v>24</v>
      </c>
      <c r="E198" s="38"/>
      <c r="F198" s="17"/>
      <c r="G198" s="17"/>
      <c r="H198" s="17"/>
      <c r="I198" s="17"/>
      <c r="J198" s="17"/>
      <c r="K198" s="17"/>
      <c r="L198" s="18"/>
      <c r="M198" s="17"/>
      <c r="N198" s="17"/>
      <c r="O198" s="17"/>
      <c r="P198" s="35"/>
    </row>
    <row r="199" spans="1:20" hidden="1" x14ac:dyDescent="0.25">
      <c r="A199" s="181"/>
      <c r="B199" s="184"/>
      <c r="C199" s="244"/>
      <c r="D199" s="21" t="s">
        <v>25</v>
      </c>
      <c r="E199" s="22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4"/>
    </row>
    <row r="200" spans="1:20" x14ac:dyDescent="0.25">
      <c r="A200" s="181"/>
      <c r="B200" s="184"/>
      <c r="C200" s="244"/>
      <c r="D200" s="21" t="s">
        <v>26</v>
      </c>
      <c r="E200" s="22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4"/>
      <c r="R200" s="8"/>
      <c r="S200" s="8"/>
      <c r="T200" s="8"/>
    </row>
    <row r="201" spans="1:20" ht="16.5" thickBot="1" x14ac:dyDescent="0.3">
      <c r="A201" s="182"/>
      <c r="B201" s="185"/>
      <c r="C201" s="245"/>
      <c r="D201" s="27" t="s">
        <v>27</v>
      </c>
      <c r="E201" s="39"/>
      <c r="F201" s="32"/>
      <c r="G201" s="31"/>
      <c r="H201" s="32"/>
      <c r="I201" s="32"/>
      <c r="J201" s="32"/>
      <c r="K201" s="32"/>
      <c r="L201" s="30"/>
      <c r="M201" s="32"/>
      <c r="N201" s="32"/>
      <c r="O201" s="32"/>
      <c r="P201" s="37"/>
      <c r="R201" s="8"/>
      <c r="S201" s="8"/>
      <c r="T201" s="8"/>
    </row>
    <row r="202" spans="1:20" x14ac:dyDescent="0.25">
      <c r="A202" s="189">
        <v>39</v>
      </c>
      <c r="B202" s="183">
        <v>2016</v>
      </c>
      <c r="C202" s="243">
        <v>4.5</v>
      </c>
      <c r="D202" s="14" t="s">
        <v>24</v>
      </c>
      <c r="E202" s="38"/>
      <c r="F202" s="17"/>
      <c r="G202" s="17"/>
      <c r="H202" s="17"/>
      <c r="I202" s="17"/>
      <c r="J202" s="17"/>
      <c r="K202" s="17"/>
      <c r="L202" s="18"/>
      <c r="M202" s="17"/>
      <c r="N202" s="17"/>
      <c r="O202" s="17"/>
      <c r="P202" s="35"/>
      <c r="R202" s="8"/>
      <c r="S202" s="8"/>
      <c r="T202" s="8"/>
    </row>
    <row r="203" spans="1:20" ht="15" hidden="1" customHeight="1" x14ac:dyDescent="0.25">
      <c r="A203" s="190"/>
      <c r="B203" s="184"/>
      <c r="C203" s="244"/>
      <c r="D203" s="21" t="s">
        <v>25</v>
      </c>
      <c r="E203" s="22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4"/>
    </row>
    <row r="204" spans="1:20" x14ac:dyDescent="0.25">
      <c r="A204" s="190"/>
      <c r="B204" s="184"/>
      <c r="C204" s="244"/>
      <c r="D204" s="21" t="s">
        <v>26</v>
      </c>
      <c r="E204" s="22"/>
      <c r="F204" s="23"/>
      <c r="G204" s="23"/>
      <c r="H204" s="23"/>
      <c r="I204" s="23"/>
      <c r="J204" s="25"/>
      <c r="K204" s="23"/>
      <c r="L204" s="25"/>
      <c r="M204" s="23"/>
      <c r="N204" s="23"/>
      <c r="O204" s="23"/>
      <c r="P204" s="24"/>
    </row>
    <row r="205" spans="1:20" ht="16.5" thickBot="1" x14ac:dyDescent="0.3">
      <c r="A205" s="191"/>
      <c r="B205" s="185"/>
      <c r="C205" s="245"/>
      <c r="D205" s="27" t="s">
        <v>27</v>
      </c>
      <c r="E205" s="15"/>
      <c r="F205" s="16"/>
      <c r="G205" s="56"/>
      <c r="H205" s="16"/>
      <c r="I205" s="56"/>
      <c r="J205" s="77"/>
      <c r="K205" s="16"/>
      <c r="L205" s="77"/>
      <c r="M205" s="16"/>
      <c r="N205" s="16"/>
      <c r="O205" s="16"/>
      <c r="P205" s="60"/>
    </row>
    <row r="206" spans="1:20" ht="16.5" thickBot="1" x14ac:dyDescent="0.3">
      <c r="A206" s="248" t="s">
        <v>29</v>
      </c>
      <c r="B206" s="249"/>
      <c r="C206" s="92">
        <f>SUM(C198:C205)</f>
        <v>33.22</v>
      </c>
      <c r="D206" s="94" t="s">
        <v>30</v>
      </c>
      <c r="E206" s="47">
        <f>E201+E205</f>
        <v>0</v>
      </c>
      <c r="F206" s="48">
        <f t="shared" ref="F206:P206" si="3">F201+F205</f>
        <v>0</v>
      </c>
      <c r="G206" s="48">
        <f t="shared" si="3"/>
        <v>0</v>
      </c>
      <c r="H206" s="48">
        <f t="shared" si="3"/>
        <v>0</v>
      </c>
      <c r="I206" s="48">
        <f>I201+I205</f>
        <v>0</v>
      </c>
      <c r="J206" s="48">
        <f t="shared" si="3"/>
        <v>0</v>
      </c>
      <c r="K206" s="48">
        <f t="shared" si="3"/>
        <v>0</v>
      </c>
      <c r="L206" s="48">
        <f t="shared" si="3"/>
        <v>0</v>
      </c>
      <c r="M206" s="48">
        <f t="shared" si="3"/>
        <v>0</v>
      </c>
      <c r="N206" s="48">
        <f t="shared" si="3"/>
        <v>0</v>
      </c>
      <c r="O206" s="48">
        <f t="shared" si="3"/>
        <v>0</v>
      </c>
      <c r="P206" s="67">
        <f t="shared" si="3"/>
        <v>0</v>
      </c>
    </row>
    <row r="207" spans="1:20" ht="16.5" thickBot="1" x14ac:dyDescent="0.3">
      <c r="A207" s="248" t="s">
        <v>38</v>
      </c>
      <c r="B207" s="250"/>
      <c r="C207" s="250"/>
      <c r="D207" s="249"/>
      <c r="E207" s="83">
        <f>SUM(E61,E103,E136,E206,E185)</f>
        <v>0</v>
      </c>
      <c r="F207" s="84">
        <f t="shared" ref="F207:P207" si="4">SUM(F61,F103,F136,F206)</f>
        <v>0</v>
      </c>
      <c r="G207" s="84">
        <f>SUM(G61,G103,G136,G206,G185)</f>
        <v>0</v>
      </c>
      <c r="H207" s="84">
        <f>SUM(H61,H103,H136,H206,H185)</f>
        <v>0</v>
      </c>
      <c r="I207" s="84">
        <f>SUM(I61,I103,I136,I206,I185)</f>
        <v>0</v>
      </c>
      <c r="J207" s="84">
        <f t="shared" si="4"/>
        <v>0</v>
      </c>
      <c r="K207" s="84">
        <f t="shared" si="4"/>
        <v>0</v>
      </c>
      <c r="L207" s="84">
        <f t="shared" si="4"/>
        <v>0</v>
      </c>
      <c r="M207" s="84">
        <f t="shared" si="4"/>
        <v>0</v>
      </c>
      <c r="N207" s="84">
        <f t="shared" si="4"/>
        <v>0</v>
      </c>
      <c r="O207" s="84">
        <f>SUM(O61,O103,O136,O206,O185)</f>
        <v>0</v>
      </c>
      <c r="P207" s="88">
        <f t="shared" si="4"/>
        <v>0</v>
      </c>
    </row>
  </sheetData>
  <mergeCells count="206">
    <mergeCell ref="A206:B206"/>
    <mergeCell ref="A207:D207"/>
    <mergeCell ref="P195:P197"/>
    <mergeCell ref="A198:A201"/>
    <mergeCell ref="B198:B201"/>
    <mergeCell ref="C198:C201"/>
    <mergeCell ref="A202:A205"/>
    <mergeCell ref="B202:B205"/>
    <mergeCell ref="C202:C205"/>
    <mergeCell ref="J195:J197"/>
    <mergeCell ref="K195:K197"/>
    <mergeCell ref="L195:L197"/>
    <mergeCell ref="M195:M197"/>
    <mergeCell ref="N195:N197"/>
    <mergeCell ref="O195:O197"/>
    <mergeCell ref="A191:P191"/>
    <mergeCell ref="A195:A197"/>
    <mergeCell ref="B195:B197"/>
    <mergeCell ref="C195:C197"/>
    <mergeCell ref="D195:D197"/>
    <mergeCell ref="E195:E197"/>
    <mergeCell ref="F195:F197"/>
    <mergeCell ref="G195:G197"/>
    <mergeCell ref="H195:H197"/>
    <mergeCell ref="I195:I197"/>
    <mergeCell ref="A181:A184"/>
    <mergeCell ref="B181:B184"/>
    <mergeCell ref="C181:C184"/>
    <mergeCell ref="A185:B185"/>
    <mergeCell ref="A189:P189"/>
    <mergeCell ref="A190:P190"/>
    <mergeCell ref="A173:A176"/>
    <mergeCell ref="B173:B176"/>
    <mergeCell ref="C173:C176"/>
    <mergeCell ref="A177:A180"/>
    <mergeCell ref="B177:B180"/>
    <mergeCell ref="C177:C180"/>
    <mergeCell ref="A165:A168"/>
    <mergeCell ref="B165:B168"/>
    <mergeCell ref="C165:C168"/>
    <mergeCell ref="A169:A172"/>
    <mergeCell ref="B169:B172"/>
    <mergeCell ref="C169:C172"/>
    <mergeCell ref="A157:A160"/>
    <mergeCell ref="B157:B160"/>
    <mergeCell ref="C157:C160"/>
    <mergeCell ref="A161:A164"/>
    <mergeCell ref="B161:B164"/>
    <mergeCell ref="C161:C164"/>
    <mergeCell ref="A149:A152"/>
    <mergeCell ref="B149:B152"/>
    <mergeCell ref="C149:C152"/>
    <mergeCell ref="A153:A156"/>
    <mergeCell ref="B153:B156"/>
    <mergeCell ref="C153:C156"/>
    <mergeCell ref="J146:J148"/>
    <mergeCell ref="K146:K148"/>
    <mergeCell ref="L146:L148"/>
    <mergeCell ref="A142:P142"/>
    <mergeCell ref="A146:A148"/>
    <mergeCell ref="B146:B148"/>
    <mergeCell ref="C146:C148"/>
    <mergeCell ref="D146:D148"/>
    <mergeCell ref="E146:E148"/>
    <mergeCell ref="F146:F148"/>
    <mergeCell ref="G146:G148"/>
    <mergeCell ref="H146:H148"/>
    <mergeCell ref="I146:I148"/>
    <mergeCell ref="P146:P148"/>
    <mergeCell ref="M146:M148"/>
    <mergeCell ref="N146:N148"/>
    <mergeCell ref="O146:O148"/>
    <mergeCell ref="A132:A135"/>
    <mergeCell ref="B132:B135"/>
    <mergeCell ref="C132:C135"/>
    <mergeCell ref="A136:B136"/>
    <mergeCell ref="A140:P140"/>
    <mergeCell ref="A141:P141"/>
    <mergeCell ref="A124:A127"/>
    <mergeCell ref="B124:B127"/>
    <mergeCell ref="C124:C127"/>
    <mergeCell ref="A128:A131"/>
    <mergeCell ref="B128:B131"/>
    <mergeCell ref="C128:C131"/>
    <mergeCell ref="A116:A119"/>
    <mergeCell ref="B116:B119"/>
    <mergeCell ref="C116:C119"/>
    <mergeCell ref="A120:A123"/>
    <mergeCell ref="B120:B123"/>
    <mergeCell ref="C120:C123"/>
    <mergeCell ref="J113:J115"/>
    <mergeCell ref="K113:K115"/>
    <mergeCell ref="L113:L115"/>
    <mergeCell ref="A109:P109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I113:I115"/>
    <mergeCell ref="P113:P115"/>
    <mergeCell ref="M113:M115"/>
    <mergeCell ref="N113:N115"/>
    <mergeCell ref="O113:O115"/>
    <mergeCell ref="A99:A102"/>
    <mergeCell ref="B99:B102"/>
    <mergeCell ref="C99:C102"/>
    <mergeCell ref="A103:B103"/>
    <mergeCell ref="A107:P107"/>
    <mergeCell ref="A108:P108"/>
    <mergeCell ref="A90:A93"/>
    <mergeCell ref="B90:B93"/>
    <mergeCell ref="C90:C93"/>
    <mergeCell ref="A94:A98"/>
    <mergeCell ref="B94:B98"/>
    <mergeCell ref="C94:C98"/>
    <mergeCell ref="A82:A85"/>
    <mergeCell ref="B82:B85"/>
    <mergeCell ref="C82:C85"/>
    <mergeCell ref="A86:A89"/>
    <mergeCell ref="B86:B89"/>
    <mergeCell ref="C86:C89"/>
    <mergeCell ref="P71:P73"/>
    <mergeCell ref="A74:A77"/>
    <mergeCell ref="B74:B77"/>
    <mergeCell ref="C74:C77"/>
    <mergeCell ref="A78:A81"/>
    <mergeCell ref="B78:B81"/>
    <mergeCell ref="C78:C81"/>
    <mergeCell ref="J71:J73"/>
    <mergeCell ref="K71:K73"/>
    <mergeCell ref="L71:L73"/>
    <mergeCell ref="M71:M73"/>
    <mergeCell ref="N71:N73"/>
    <mergeCell ref="O71:O73"/>
    <mergeCell ref="A67:P67"/>
    <mergeCell ref="A71:A73"/>
    <mergeCell ref="B71:B73"/>
    <mergeCell ref="C71:C73"/>
    <mergeCell ref="D71:D73"/>
    <mergeCell ref="E71:E73"/>
    <mergeCell ref="F71:F73"/>
    <mergeCell ref="G71:G73"/>
    <mergeCell ref="H71:H73"/>
    <mergeCell ref="I71:I73"/>
    <mergeCell ref="A57:A60"/>
    <mergeCell ref="B57:B60"/>
    <mergeCell ref="C57:C60"/>
    <mergeCell ref="A61:B61"/>
    <mergeCell ref="A65:P65"/>
    <mergeCell ref="A66:P66"/>
    <mergeCell ref="A49:A52"/>
    <mergeCell ref="B49:B52"/>
    <mergeCell ref="C49:C52"/>
    <mergeCell ref="A53:A56"/>
    <mergeCell ref="B53:B56"/>
    <mergeCell ref="C53:C56"/>
    <mergeCell ref="A41:A44"/>
    <mergeCell ref="B41:B44"/>
    <mergeCell ref="C41:C44"/>
    <mergeCell ref="A45:A48"/>
    <mergeCell ref="B45:B48"/>
    <mergeCell ref="C45:C48"/>
    <mergeCell ref="A33:A36"/>
    <mergeCell ref="B33:B36"/>
    <mergeCell ref="C33:C36"/>
    <mergeCell ref="A37:A40"/>
    <mergeCell ref="B37:B40"/>
    <mergeCell ref="C37:C40"/>
    <mergeCell ref="A25:A28"/>
    <mergeCell ref="B25:B28"/>
    <mergeCell ref="C25:C28"/>
    <mergeCell ref="A29:A32"/>
    <mergeCell ref="B29:B32"/>
    <mergeCell ref="C29:C32"/>
    <mergeCell ref="A17:A20"/>
    <mergeCell ref="B17:B20"/>
    <mergeCell ref="C17:C20"/>
    <mergeCell ref="A21:A24"/>
    <mergeCell ref="B21:B24"/>
    <mergeCell ref="C21:C24"/>
    <mergeCell ref="A13:A16"/>
    <mergeCell ref="B13:B16"/>
    <mergeCell ref="C13:C16"/>
    <mergeCell ref="H10:H12"/>
    <mergeCell ref="I10:I12"/>
    <mergeCell ref="J10:J12"/>
    <mergeCell ref="K10:K12"/>
    <mergeCell ref="L10:L12"/>
    <mergeCell ref="M10:M12"/>
    <mergeCell ref="A3:P3"/>
    <mergeCell ref="A4:P4"/>
    <mergeCell ref="A5:P5"/>
    <mergeCell ref="A10:A12"/>
    <mergeCell ref="B10:B12"/>
    <mergeCell ref="C10:C12"/>
    <mergeCell ref="D10:D12"/>
    <mergeCell ref="E10:E12"/>
    <mergeCell ref="F10:F12"/>
    <mergeCell ref="G10:G12"/>
    <mergeCell ref="N10:N12"/>
    <mergeCell ref="O10:O12"/>
    <mergeCell ref="P10:P12"/>
  </mergeCells>
  <pageMargins left="0.15748031496062992" right="0.15748031496062992" top="0.6692913385826772" bottom="0.35433070866141736" header="0.15748031496062992" footer="0.15748031496062992"/>
  <pageSetup paperSize="9" scale="90" firstPageNumber="62" fitToHeight="0" orientation="landscape" useFirstPageNumber="1" r:id="rId1"/>
  <headerFooter>
    <oddFooter>&amp;LData Source : Manuring and Field Maintenance - Camp Side&amp;CPage &amp;P</oddFooter>
  </headerFooter>
  <rowBreaks count="5" manualBreakCount="5">
    <brk id="44" max="16383" man="1"/>
    <brk id="61" max="16383" man="1"/>
    <brk id="103" max="16383" man="1"/>
    <brk id="136" max="16383" man="1"/>
    <brk id="185" max="1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E698-5478-4E87-A8BB-118AB7B1BEE6}">
  <sheetPr>
    <tabColor theme="4" tint="0.39997558519241921"/>
    <pageSetUpPr fitToPage="1"/>
  </sheetPr>
  <dimension ref="A1:AC207"/>
  <sheetViews>
    <sheetView topLeftCell="A4" workbookViewId="0">
      <selection activeCell="U33" sqref="U33"/>
    </sheetView>
  </sheetViews>
  <sheetFormatPr defaultRowHeight="15.75" x14ac:dyDescent="0.25"/>
  <cols>
    <col min="1" max="2" width="9.140625" style="5"/>
    <col min="3" max="3" width="9.28515625" style="5" bestFit="1" customWidth="1"/>
    <col min="4" max="4" width="13" style="5" customWidth="1"/>
    <col min="5" max="5" width="9.5703125" style="4" bestFit="1" customWidth="1"/>
    <col min="6" max="6" width="9.85546875" style="4" bestFit="1" customWidth="1"/>
    <col min="7" max="7" width="10" style="4" bestFit="1" customWidth="1"/>
    <col min="8" max="9" width="10.140625" style="4" bestFit="1" customWidth="1"/>
    <col min="10" max="12" width="10" style="4" bestFit="1" customWidth="1"/>
    <col min="13" max="16" width="9.5703125" style="4" bestFit="1" customWidth="1"/>
    <col min="17" max="16384" width="9.140625" style="5"/>
  </cols>
  <sheetData>
    <row r="1" spans="1:16" ht="18.75" customHeight="1" x14ac:dyDescent="0.25">
      <c r="A1" s="1" t="s">
        <v>0</v>
      </c>
      <c r="B1" s="2"/>
      <c r="C1" s="2"/>
      <c r="D1" s="2"/>
    </row>
    <row r="2" spans="1:16" s="6" customFormat="1" x14ac:dyDescent="0.25"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s="6" customFormat="1" x14ac:dyDescent="0.25">
      <c r="A3" s="156" t="s">
        <v>1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16" s="6" customFormat="1" x14ac:dyDescent="0.25">
      <c r="A4" s="156" t="s">
        <v>2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16" s="6" customFormat="1" x14ac:dyDescent="0.25">
      <c r="A5" s="156" t="s">
        <v>56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1:16" s="6" customFormat="1" x14ac:dyDescent="0.25"/>
    <row r="7" spans="1:16" s="6" customFormat="1" x14ac:dyDescent="0.25">
      <c r="A7" s="6" t="s">
        <v>57</v>
      </c>
    </row>
    <row r="8" spans="1:16" s="6" customFormat="1" x14ac:dyDescent="0.25">
      <c r="A8" s="6" t="s">
        <v>58</v>
      </c>
      <c r="M8" s="10"/>
      <c r="O8" s="10"/>
      <c r="P8" s="89" t="s">
        <v>50</v>
      </c>
    </row>
    <row r="9" spans="1:16" ht="6.75" customHeight="1" thickBot="1" x14ac:dyDescent="0.3"/>
    <row r="10" spans="1:16" x14ac:dyDescent="0.25">
      <c r="A10" s="157" t="s">
        <v>7</v>
      </c>
      <c r="B10" s="160" t="s">
        <v>8</v>
      </c>
      <c r="C10" s="240" t="s">
        <v>27</v>
      </c>
      <c r="D10" s="169" t="s">
        <v>11</v>
      </c>
      <c r="E10" s="172" t="s">
        <v>12</v>
      </c>
      <c r="F10" s="175" t="s">
        <v>13</v>
      </c>
      <c r="G10" s="175" t="s">
        <v>14</v>
      </c>
      <c r="H10" s="175" t="s">
        <v>15</v>
      </c>
      <c r="I10" s="175" t="s">
        <v>16</v>
      </c>
      <c r="J10" s="175" t="s">
        <v>17</v>
      </c>
      <c r="K10" s="175" t="s">
        <v>18</v>
      </c>
      <c r="L10" s="175" t="s">
        <v>19</v>
      </c>
      <c r="M10" s="175" t="s">
        <v>20</v>
      </c>
      <c r="N10" s="175" t="s">
        <v>21</v>
      </c>
      <c r="O10" s="175" t="s">
        <v>22</v>
      </c>
      <c r="P10" s="178" t="s">
        <v>23</v>
      </c>
    </row>
    <row r="11" spans="1:16" x14ac:dyDescent="0.25">
      <c r="A11" s="158"/>
      <c r="B11" s="161"/>
      <c r="C11" s="241"/>
      <c r="D11" s="170"/>
      <c r="E11" s="173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61"/>
    </row>
    <row r="12" spans="1:16" ht="16.5" thickBot="1" x14ac:dyDescent="0.3">
      <c r="A12" s="159"/>
      <c r="B12" s="162"/>
      <c r="C12" s="242"/>
      <c r="D12" s="171"/>
      <c r="E12" s="174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9"/>
    </row>
    <row r="13" spans="1:16" x14ac:dyDescent="0.25">
      <c r="A13" s="180">
        <v>1</v>
      </c>
      <c r="B13" s="183">
        <v>2010</v>
      </c>
      <c r="C13" s="220">
        <v>53.2</v>
      </c>
      <c r="D13" s="14" t="s">
        <v>24</v>
      </c>
      <c r="E13" s="15"/>
      <c r="F13" s="16"/>
      <c r="G13" s="16"/>
      <c r="H13" s="16"/>
      <c r="I13" s="76"/>
      <c r="J13" s="16"/>
      <c r="K13" s="16"/>
      <c r="L13" s="16"/>
      <c r="M13" s="16"/>
      <c r="N13" s="17"/>
      <c r="O13" s="17"/>
      <c r="P13" s="19"/>
    </row>
    <row r="14" spans="1:16" hidden="1" x14ac:dyDescent="0.25">
      <c r="A14" s="181"/>
      <c r="B14" s="184"/>
      <c r="C14" s="221"/>
      <c r="D14" s="21" t="s">
        <v>25</v>
      </c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4"/>
    </row>
    <row r="15" spans="1:16" x14ac:dyDescent="0.25">
      <c r="A15" s="181"/>
      <c r="B15" s="184"/>
      <c r="C15" s="221"/>
      <c r="D15" s="21" t="s">
        <v>26</v>
      </c>
      <c r="E15" s="22"/>
      <c r="F15" s="23"/>
      <c r="G15" s="25"/>
      <c r="H15" s="23"/>
      <c r="I15" s="23"/>
      <c r="J15" s="23"/>
      <c r="K15" s="23"/>
      <c r="L15" s="23"/>
      <c r="M15" s="23"/>
      <c r="N15" s="23"/>
      <c r="O15" s="23"/>
      <c r="P15" s="24"/>
    </row>
    <row r="16" spans="1:16" ht="16.5" thickBot="1" x14ac:dyDescent="0.3">
      <c r="A16" s="182"/>
      <c r="B16" s="185"/>
      <c r="C16" s="222"/>
      <c r="D16" s="27" t="s">
        <v>27</v>
      </c>
      <c r="E16" s="28"/>
      <c r="F16" s="32"/>
      <c r="G16" s="30"/>
      <c r="H16" s="32"/>
      <c r="I16" s="33"/>
      <c r="J16" s="32"/>
      <c r="K16" s="32"/>
      <c r="L16" s="32"/>
      <c r="M16" s="32"/>
      <c r="N16" s="32"/>
      <c r="O16" s="29"/>
      <c r="P16" s="34"/>
    </row>
    <row r="17" spans="1:20" x14ac:dyDescent="0.25">
      <c r="A17" s="189">
        <v>2</v>
      </c>
      <c r="B17" s="183">
        <v>2010</v>
      </c>
      <c r="C17" s="220">
        <v>60.4</v>
      </c>
      <c r="D17" s="14" t="s">
        <v>24</v>
      </c>
      <c r="E17" s="17"/>
      <c r="F17" s="17"/>
      <c r="G17" s="17"/>
      <c r="H17" s="17"/>
      <c r="I17" s="18"/>
      <c r="J17" s="17"/>
      <c r="K17" s="17"/>
      <c r="L17" s="17"/>
      <c r="M17" s="17"/>
      <c r="N17" s="17"/>
      <c r="O17" s="17"/>
      <c r="P17" s="35"/>
    </row>
    <row r="18" spans="1:20" hidden="1" x14ac:dyDescent="0.25">
      <c r="A18" s="190"/>
      <c r="B18" s="184"/>
      <c r="C18" s="221"/>
      <c r="D18" s="21" t="s">
        <v>25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R18" s="8"/>
      <c r="S18" s="8"/>
      <c r="T18" s="8"/>
    </row>
    <row r="19" spans="1:20" x14ac:dyDescent="0.25">
      <c r="A19" s="190"/>
      <c r="B19" s="184"/>
      <c r="C19" s="221"/>
      <c r="D19" s="21" t="s">
        <v>26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R19" s="8"/>
      <c r="S19" s="8"/>
      <c r="T19" s="8"/>
    </row>
    <row r="20" spans="1:20" ht="16.5" thickBot="1" x14ac:dyDescent="0.3">
      <c r="A20" s="191"/>
      <c r="B20" s="185"/>
      <c r="C20" s="222"/>
      <c r="D20" s="27" t="s">
        <v>27</v>
      </c>
      <c r="E20" s="32"/>
      <c r="F20" s="32"/>
      <c r="G20" s="36"/>
      <c r="H20" s="32"/>
      <c r="I20" s="33"/>
      <c r="J20" s="32"/>
      <c r="K20" s="32"/>
      <c r="L20" s="32"/>
      <c r="M20" s="32"/>
      <c r="N20" s="32"/>
      <c r="O20" s="32"/>
      <c r="P20" s="91"/>
      <c r="R20" s="8"/>
      <c r="S20" s="8"/>
      <c r="T20" s="8"/>
    </row>
    <row r="21" spans="1:20" x14ac:dyDescent="0.25">
      <c r="A21" s="189">
        <v>3</v>
      </c>
      <c r="B21" s="183">
        <v>2010</v>
      </c>
      <c r="C21" s="220">
        <v>69.2</v>
      </c>
      <c r="D21" s="14" t="s">
        <v>24</v>
      </c>
      <c r="E21" s="38"/>
      <c r="F21" s="17"/>
      <c r="G21" s="17"/>
      <c r="H21" s="17"/>
      <c r="I21" s="18"/>
      <c r="J21" s="17"/>
      <c r="K21" s="17"/>
      <c r="L21" s="17"/>
      <c r="M21" s="17"/>
      <c r="N21" s="18"/>
      <c r="O21" s="17"/>
      <c r="P21" s="35"/>
      <c r="R21" s="8"/>
      <c r="S21" s="8"/>
      <c r="T21" s="8"/>
    </row>
    <row r="22" spans="1:20" hidden="1" x14ac:dyDescent="0.25">
      <c r="A22" s="190"/>
      <c r="B22" s="184"/>
      <c r="C22" s="221"/>
      <c r="D22" s="21" t="s">
        <v>25</v>
      </c>
      <c r="E22" s="2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4"/>
      <c r="R22" s="8"/>
      <c r="S22" s="8"/>
      <c r="T22" s="8"/>
    </row>
    <row r="23" spans="1:20" x14ac:dyDescent="0.25">
      <c r="A23" s="190"/>
      <c r="B23" s="184"/>
      <c r="C23" s="221"/>
      <c r="D23" s="21" t="s">
        <v>26</v>
      </c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4"/>
      <c r="R23" s="8"/>
      <c r="S23" s="8"/>
      <c r="T23" s="8"/>
    </row>
    <row r="24" spans="1:20" ht="16.5" thickBot="1" x14ac:dyDescent="0.3">
      <c r="A24" s="191"/>
      <c r="B24" s="185"/>
      <c r="C24" s="222"/>
      <c r="D24" s="27" t="s">
        <v>27</v>
      </c>
      <c r="E24" s="39"/>
      <c r="F24" s="29"/>
      <c r="G24" s="41"/>
      <c r="H24" s="32"/>
      <c r="I24" s="33"/>
      <c r="J24" s="32"/>
      <c r="K24" s="32"/>
      <c r="L24" s="32"/>
      <c r="M24" s="32"/>
      <c r="N24" s="33"/>
      <c r="O24" s="29"/>
      <c r="P24" s="37"/>
      <c r="R24" s="8"/>
      <c r="S24" s="8"/>
      <c r="T24" s="8"/>
    </row>
    <row r="25" spans="1:20" x14ac:dyDescent="0.25">
      <c r="A25" s="189">
        <v>4</v>
      </c>
      <c r="B25" s="183">
        <v>2010</v>
      </c>
      <c r="C25" s="220">
        <v>70.599999999999994</v>
      </c>
      <c r="D25" s="14" t="s">
        <v>24</v>
      </c>
      <c r="E25" s="38"/>
      <c r="F25" s="17"/>
      <c r="G25" s="17"/>
      <c r="H25" s="18"/>
      <c r="I25" s="17"/>
      <c r="J25" s="17"/>
      <c r="K25" s="17"/>
      <c r="L25" s="17"/>
      <c r="M25" s="18"/>
      <c r="N25" s="17"/>
      <c r="O25" s="17"/>
      <c r="P25" s="19"/>
      <c r="R25" s="8"/>
      <c r="S25" s="8"/>
      <c r="T25" s="8"/>
    </row>
    <row r="26" spans="1:20" hidden="1" x14ac:dyDescent="0.25">
      <c r="A26" s="190"/>
      <c r="B26" s="184"/>
      <c r="C26" s="221"/>
      <c r="D26" s="21" t="s">
        <v>25</v>
      </c>
      <c r="E26" s="22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4"/>
      <c r="R26" s="8"/>
      <c r="S26" s="8"/>
      <c r="T26" s="8"/>
    </row>
    <row r="27" spans="1:20" x14ac:dyDescent="0.25">
      <c r="A27" s="190"/>
      <c r="B27" s="184"/>
      <c r="C27" s="221"/>
      <c r="D27" s="21" t="s">
        <v>26</v>
      </c>
      <c r="E27" s="22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4"/>
      <c r="R27" s="8"/>
      <c r="S27" s="8"/>
      <c r="T27" s="8"/>
    </row>
    <row r="28" spans="1:20" ht="16.5" thickBot="1" x14ac:dyDescent="0.3">
      <c r="A28" s="191"/>
      <c r="B28" s="185"/>
      <c r="C28" s="222"/>
      <c r="D28" s="27" t="s">
        <v>27</v>
      </c>
      <c r="E28" s="39"/>
      <c r="F28" s="29"/>
      <c r="G28" s="32"/>
      <c r="H28" s="41"/>
      <c r="I28" s="32"/>
      <c r="J28" s="32"/>
      <c r="K28" s="32"/>
      <c r="L28" s="32"/>
      <c r="M28" s="41"/>
      <c r="N28" s="32"/>
      <c r="O28" s="29"/>
      <c r="P28" s="34"/>
      <c r="R28" s="8"/>
      <c r="S28" s="8"/>
      <c r="T28" s="8"/>
    </row>
    <row r="29" spans="1:20" x14ac:dyDescent="0.25">
      <c r="A29" s="189">
        <v>5</v>
      </c>
      <c r="B29" s="183">
        <v>2010</v>
      </c>
      <c r="C29" s="220">
        <v>50.4</v>
      </c>
      <c r="D29" s="14" t="s">
        <v>24</v>
      </c>
      <c r="E29" s="38"/>
      <c r="F29" s="17"/>
      <c r="G29" s="18"/>
      <c r="H29" s="17"/>
      <c r="I29" s="17"/>
      <c r="J29" s="17"/>
      <c r="K29" s="17"/>
      <c r="L29" s="18"/>
      <c r="M29" s="18"/>
      <c r="N29" s="17"/>
      <c r="O29" s="17"/>
      <c r="P29" s="35"/>
      <c r="R29" s="8"/>
      <c r="S29" s="8"/>
      <c r="T29" s="8"/>
    </row>
    <row r="30" spans="1:20" hidden="1" x14ac:dyDescent="0.25">
      <c r="A30" s="190"/>
      <c r="B30" s="184"/>
      <c r="C30" s="221"/>
      <c r="D30" s="21" t="s">
        <v>25</v>
      </c>
      <c r="E30" s="22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4"/>
      <c r="R30" s="8"/>
      <c r="S30" s="8"/>
      <c r="T30" s="8"/>
    </row>
    <row r="31" spans="1:20" x14ac:dyDescent="0.25">
      <c r="A31" s="190"/>
      <c r="B31" s="184"/>
      <c r="C31" s="221"/>
      <c r="D31" s="21" t="s">
        <v>26</v>
      </c>
      <c r="E31" s="22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R31" s="8"/>
      <c r="S31" s="8"/>
      <c r="T31" s="8"/>
    </row>
    <row r="32" spans="1:20" ht="16.5" thickBot="1" x14ac:dyDescent="0.3">
      <c r="A32" s="191"/>
      <c r="B32" s="185"/>
      <c r="C32" s="222"/>
      <c r="D32" s="27" t="s">
        <v>27</v>
      </c>
      <c r="E32" s="28"/>
      <c r="F32" s="32"/>
      <c r="G32" s="33"/>
      <c r="H32" s="41"/>
      <c r="I32" s="32"/>
      <c r="J32" s="32"/>
      <c r="K32" s="32"/>
      <c r="L32" s="33"/>
      <c r="M32" s="41"/>
      <c r="N32" s="32"/>
      <c r="O32" s="29"/>
      <c r="P32" s="37"/>
      <c r="R32" s="8"/>
      <c r="S32" s="8"/>
      <c r="T32" s="8"/>
    </row>
    <row r="33" spans="1:16" x14ac:dyDescent="0.25">
      <c r="A33" s="189">
        <v>6</v>
      </c>
      <c r="B33" s="183">
        <v>2010</v>
      </c>
      <c r="C33" s="220">
        <v>58.6</v>
      </c>
      <c r="D33" s="14" t="s">
        <v>24</v>
      </c>
      <c r="E33" s="38"/>
      <c r="F33" s="17"/>
      <c r="G33" s="17"/>
      <c r="H33" s="18"/>
      <c r="I33" s="17"/>
      <c r="J33" s="17"/>
      <c r="K33" s="17"/>
      <c r="L33" s="17"/>
      <c r="M33" s="18"/>
      <c r="N33" s="17"/>
      <c r="O33" s="17"/>
      <c r="P33" s="35"/>
    </row>
    <row r="34" spans="1:16" hidden="1" x14ac:dyDescent="0.25">
      <c r="A34" s="190"/>
      <c r="B34" s="184"/>
      <c r="C34" s="221"/>
      <c r="D34" s="21" t="s">
        <v>25</v>
      </c>
      <c r="E34" s="22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</row>
    <row r="35" spans="1:16" x14ac:dyDescent="0.25">
      <c r="A35" s="190"/>
      <c r="B35" s="184"/>
      <c r="C35" s="221"/>
      <c r="D35" s="21" t="s">
        <v>26</v>
      </c>
      <c r="E35" s="22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</row>
    <row r="36" spans="1:16" ht="16.5" thickBot="1" x14ac:dyDescent="0.3">
      <c r="A36" s="191"/>
      <c r="B36" s="185"/>
      <c r="C36" s="222"/>
      <c r="D36" s="27" t="s">
        <v>27</v>
      </c>
      <c r="E36" s="39"/>
      <c r="F36" s="32"/>
      <c r="G36" s="29"/>
      <c r="H36" s="41"/>
      <c r="I36" s="32"/>
      <c r="J36" s="32"/>
      <c r="K36" s="32"/>
      <c r="L36" s="32"/>
      <c r="M36" s="41"/>
      <c r="N36" s="32"/>
      <c r="O36" s="32"/>
      <c r="P36" s="91"/>
    </row>
    <row r="37" spans="1:16" x14ac:dyDescent="0.25">
      <c r="A37" s="189">
        <v>7</v>
      </c>
      <c r="B37" s="183">
        <v>2010</v>
      </c>
      <c r="C37" s="220">
        <v>23.6</v>
      </c>
      <c r="D37" s="14" t="s">
        <v>24</v>
      </c>
      <c r="E37" s="38"/>
      <c r="F37" s="17"/>
      <c r="G37" s="18"/>
      <c r="H37" s="17"/>
      <c r="I37" s="17"/>
      <c r="J37" s="17"/>
      <c r="K37" s="17"/>
      <c r="L37" s="18"/>
      <c r="M37" s="17"/>
      <c r="N37" s="18"/>
      <c r="O37" s="17"/>
      <c r="P37" s="35"/>
    </row>
    <row r="38" spans="1:16" hidden="1" x14ac:dyDescent="0.25">
      <c r="A38" s="190"/>
      <c r="B38" s="184"/>
      <c r="C38" s="221"/>
      <c r="D38" s="21" t="s">
        <v>25</v>
      </c>
      <c r="E38" s="22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</row>
    <row r="39" spans="1:16" x14ac:dyDescent="0.25">
      <c r="A39" s="190"/>
      <c r="B39" s="184"/>
      <c r="C39" s="221"/>
      <c r="D39" s="21" t="s">
        <v>26</v>
      </c>
      <c r="E39" s="22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4"/>
    </row>
    <row r="40" spans="1:16" ht="16.5" thickBot="1" x14ac:dyDescent="0.3">
      <c r="A40" s="191"/>
      <c r="B40" s="185"/>
      <c r="C40" s="222"/>
      <c r="D40" s="27" t="s">
        <v>27</v>
      </c>
      <c r="E40" s="28"/>
      <c r="F40" s="32"/>
      <c r="G40" s="33"/>
      <c r="H40" s="30"/>
      <c r="I40" s="32"/>
      <c r="J40" s="32"/>
      <c r="K40" s="32"/>
      <c r="L40" s="33"/>
      <c r="M40" s="32"/>
      <c r="N40" s="30"/>
      <c r="O40" s="32"/>
      <c r="P40" s="37"/>
    </row>
    <row r="41" spans="1:16" x14ac:dyDescent="0.25">
      <c r="A41" s="189">
        <v>8</v>
      </c>
      <c r="B41" s="183">
        <v>2010</v>
      </c>
      <c r="C41" s="220">
        <v>61.6</v>
      </c>
      <c r="D41" s="14" t="s">
        <v>24</v>
      </c>
      <c r="E41" s="38"/>
      <c r="F41" s="17"/>
      <c r="G41" s="17"/>
      <c r="H41" s="17"/>
      <c r="I41" s="17"/>
      <c r="J41" s="17"/>
      <c r="K41" s="18"/>
      <c r="L41" s="17"/>
      <c r="M41" s="17"/>
      <c r="N41" s="18"/>
      <c r="O41" s="17"/>
      <c r="P41" s="35"/>
    </row>
    <row r="42" spans="1:16" hidden="1" x14ac:dyDescent="0.25">
      <c r="A42" s="190"/>
      <c r="B42" s="184"/>
      <c r="C42" s="221"/>
      <c r="D42" s="21" t="s">
        <v>25</v>
      </c>
      <c r="E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4"/>
    </row>
    <row r="43" spans="1:16" x14ac:dyDescent="0.25">
      <c r="A43" s="190"/>
      <c r="B43" s="184"/>
      <c r="C43" s="221"/>
      <c r="D43" s="21" t="s">
        <v>26</v>
      </c>
      <c r="E43" s="22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4"/>
    </row>
    <row r="44" spans="1:16" ht="16.5" thickBot="1" x14ac:dyDescent="0.3">
      <c r="A44" s="191"/>
      <c r="B44" s="185"/>
      <c r="C44" s="222"/>
      <c r="D44" s="27" t="s">
        <v>28</v>
      </c>
      <c r="E44" s="39"/>
      <c r="F44" s="29"/>
      <c r="G44" s="32"/>
      <c r="H44" s="32"/>
      <c r="I44" s="32"/>
      <c r="J44" s="32"/>
      <c r="K44" s="33"/>
      <c r="L44" s="32"/>
      <c r="M44" s="32"/>
      <c r="N44" s="32"/>
      <c r="O44" s="32"/>
      <c r="P44" s="37"/>
    </row>
    <row r="45" spans="1:16" x14ac:dyDescent="0.25">
      <c r="A45" s="189">
        <v>9</v>
      </c>
      <c r="B45" s="183">
        <v>2010</v>
      </c>
      <c r="C45" s="220">
        <v>38.299999999999997</v>
      </c>
      <c r="D45" s="14" t="s">
        <v>24</v>
      </c>
      <c r="E45" s="38"/>
      <c r="F45" s="17"/>
      <c r="G45" s="17"/>
      <c r="H45" s="17"/>
      <c r="I45" s="18"/>
      <c r="J45" s="17"/>
      <c r="K45" s="17"/>
      <c r="L45" s="17"/>
      <c r="M45" s="17"/>
      <c r="N45" s="18"/>
      <c r="O45" s="17"/>
      <c r="P45" s="35"/>
    </row>
    <row r="46" spans="1:16" hidden="1" x14ac:dyDescent="0.25">
      <c r="A46" s="190"/>
      <c r="B46" s="184"/>
      <c r="C46" s="221"/>
      <c r="D46" s="21" t="s">
        <v>25</v>
      </c>
      <c r="E46" s="22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4"/>
    </row>
    <row r="47" spans="1:16" x14ac:dyDescent="0.25">
      <c r="A47" s="190"/>
      <c r="B47" s="184"/>
      <c r="C47" s="221"/>
      <c r="D47" s="21" t="s">
        <v>26</v>
      </c>
      <c r="E47" s="22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4"/>
    </row>
    <row r="48" spans="1:16" ht="16.5" thickBot="1" x14ac:dyDescent="0.3">
      <c r="A48" s="191"/>
      <c r="B48" s="185"/>
      <c r="C48" s="222"/>
      <c r="D48" s="27" t="s">
        <v>27</v>
      </c>
      <c r="E48" s="39"/>
      <c r="F48" s="29"/>
      <c r="G48" s="32"/>
      <c r="H48" s="41"/>
      <c r="I48" s="33"/>
      <c r="J48" s="32"/>
      <c r="K48" s="32"/>
      <c r="L48" s="32"/>
      <c r="M48" s="32"/>
      <c r="N48" s="41"/>
      <c r="O48" s="32"/>
      <c r="P48" s="37"/>
    </row>
    <row r="49" spans="1:16" x14ac:dyDescent="0.25">
      <c r="A49" s="189">
        <v>11</v>
      </c>
      <c r="B49" s="183">
        <v>2010</v>
      </c>
      <c r="C49" s="220">
        <v>44.5</v>
      </c>
      <c r="D49" s="14" t="s">
        <v>24</v>
      </c>
      <c r="E49" s="38"/>
      <c r="F49" s="17"/>
      <c r="G49" s="17"/>
      <c r="H49" s="17"/>
      <c r="I49" s="18"/>
      <c r="J49" s="17"/>
      <c r="K49" s="17"/>
      <c r="L49" s="17"/>
      <c r="M49" s="17"/>
      <c r="N49" s="18"/>
      <c r="O49" s="17"/>
      <c r="P49" s="35"/>
    </row>
    <row r="50" spans="1:16" hidden="1" x14ac:dyDescent="0.25">
      <c r="A50" s="190"/>
      <c r="B50" s="184"/>
      <c r="C50" s="221"/>
      <c r="D50" s="21" t="s">
        <v>25</v>
      </c>
      <c r="E50" s="22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4"/>
    </row>
    <row r="51" spans="1:16" x14ac:dyDescent="0.25">
      <c r="A51" s="190"/>
      <c r="B51" s="184"/>
      <c r="C51" s="221"/>
      <c r="D51" s="21" t="s">
        <v>26</v>
      </c>
      <c r="E51" s="22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4"/>
    </row>
    <row r="52" spans="1:16" ht="16.5" thickBot="1" x14ac:dyDescent="0.3">
      <c r="A52" s="191"/>
      <c r="B52" s="185"/>
      <c r="C52" s="222"/>
      <c r="D52" s="27" t="s">
        <v>27</v>
      </c>
      <c r="E52" s="39"/>
      <c r="F52" s="29"/>
      <c r="G52" s="32"/>
      <c r="H52" s="41"/>
      <c r="I52" s="33"/>
      <c r="J52" s="32"/>
      <c r="K52" s="32"/>
      <c r="L52" s="32"/>
      <c r="M52" s="32"/>
      <c r="N52" s="41"/>
      <c r="O52" s="29"/>
      <c r="P52" s="37"/>
    </row>
    <row r="53" spans="1:16" x14ac:dyDescent="0.25">
      <c r="A53" s="189">
        <v>12</v>
      </c>
      <c r="B53" s="183">
        <v>2010</v>
      </c>
      <c r="C53" s="251">
        <v>71</v>
      </c>
      <c r="D53" s="14" t="s">
        <v>24</v>
      </c>
      <c r="E53" s="38"/>
      <c r="F53" s="17"/>
      <c r="G53" s="17"/>
      <c r="H53" s="17"/>
      <c r="I53" s="17"/>
      <c r="J53" s="18"/>
      <c r="K53" s="17"/>
      <c r="L53" s="18"/>
      <c r="M53" s="17"/>
      <c r="N53" s="17"/>
      <c r="O53" s="17"/>
      <c r="P53" s="35"/>
    </row>
    <row r="54" spans="1:16" hidden="1" x14ac:dyDescent="0.25">
      <c r="A54" s="190"/>
      <c r="B54" s="184"/>
      <c r="C54" s="252"/>
      <c r="D54" s="21" t="s">
        <v>25</v>
      </c>
      <c r="E54" s="22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4"/>
    </row>
    <row r="55" spans="1:16" x14ac:dyDescent="0.25">
      <c r="A55" s="190"/>
      <c r="B55" s="184"/>
      <c r="C55" s="252"/>
      <c r="D55" s="21" t="s">
        <v>26</v>
      </c>
      <c r="E55" s="22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4"/>
    </row>
    <row r="56" spans="1:16" ht="16.5" thickBot="1" x14ac:dyDescent="0.3">
      <c r="A56" s="191"/>
      <c r="B56" s="185"/>
      <c r="C56" s="253"/>
      <c r="D56" s="27" t="s">
        <v>27</v>
      </c>
      <c r="E56" s="28"/>
      <c r="F56" s="32"/>
      <c r="G56" s="32"/>
      <c r="H56" s="32"/>
      <c r="I56" s="41"/>
      <c r="J56" s="33"/>
      <c r="K56" s="32"/>
      <c r="L56" s="33"/>
      <c r="M56" s="32"/>
      <c r="N56" s="32"/>
      <c r="O56" s="32"/>
      <c r="P56" s="37"/>
    </row>
    <row r="57" spans="1:16" x14ac:dyDescent="0.25">
      <c r="A57" s="189">
        <v>23</v>
      </c>
      <c r="B57" s="183">
        <v>2010</v>
      </c>
      <c r="C57" s="220">
        <v>14.6</v>
      </c>
      <c r="D57" s="14" t="s">
        <v>24</v>
      </c>
      <c r="E57" s="38"/>
      <c r="F57" s="17"/>
      <c r="G57" s="17"/>
      <c r="H57" s="18"/>
      <c r="I57" s="17"/>
      <c r="J57" s="17"/>
      <c r="K57" s="17"/>
      <c r="L57" s="18"/>
      <c r="M57" s="17"/>
      <c r="N57" s="17"/>
      <c r="O57" s="17"/>
      <c r="P57" s="35"/>
    </row>
    <row r="58" spans="1:16" hidden="1" x14ac:dyDescent="0.25">
      <c r="A58" s="190"/>
      <c r="B58" s="184"/>
      <c r="C58" s="221"/>
      <c r="D58" s="21" t="s">
        <v>25</v>
      </c>
      <c r="E58" s="22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4"/>
    </row>
    <row r="59" spans="1:16" x14ac:dyDescent="0.25">
      <c r="A59" s="190"/>
      <c r="B59" s="184"/>
      <c r="C59" s="221"/>
      <c r="D59" s="21" t="s">
        <v>26</v>
      </c>
      <c r="E59" s="22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4"/>
    </row>
    <row r="60" spans="1:16" ht="16.5" thickBot="1" x14ac:dyDescent="0.3">
      <c r="A60" s="191"/>
      <c r="B60" s="185"/>
      <c r="C60" s="222"/>
      <c r="D60" s="27" t="s">
        <v>27</v>
      </c>
      <c r="E60" s="39"/>
      <c r="F60" s="29"/>
      <c r="G60" s="32"/>
      <c r="H60" s="30"/>
      <c r="I60" s="32"/>
      <c r="J60" s="32"/>
      <c r="K60" s="32"/>
      <c r="L60" s="33"/>
      <c r="M60" s="32"/>
      <c r="N60" s="32"/>
      <c r="O60" s="32"/>
      <c r="P60" s="37"/>
    </row>
    <row r="61" spans="1:16" ht="16.5" thickBot="1" x14ac:dyDescent="0.3">
      <c r="A61" s="246" t="s">
        <v>29</v>
      </c>
      <c r="B61" s="247"/>
      <c r="C61" s="95">
        <f>SUM(C13:C60)</f>
        <v>616.00000000000011</v>
      </c>
      <c r="D61" s="46" t="s">
        <v>30</v>
      </c>
      <c r="E61" s="47">
        <f>E16+E20+E24+E28+E32+E36+E40+E44+E48+E52+E56+E60</f>
        <v>0</v>
      </c>
      <c r="F61" s="48">
        <f t="shared" ref="F61:P61" si="0">F16+F20+F24+F28+F32+F36+F40+F44+F48+F52+F56+F60</f>
        <v>0</v>
      </c>
      <c r="G61" s="48">
        <f t="shared" si="0"/>
        <v>0</v>
      </c>
      <c r="H61" s="48">
        <f t="shared" si="0"/>
        <v>0</v>
      </c>
      <c r="I61" s="48">
        <f t="shared" si="0"/>
        <v>0</v>
      </c>
      <c r="J61" s="48">
        <f t="shared" si="0"/>
        <v>0</v>
      </c>
      <c r="K61" s="48">
        <f t="shared" si="0"/>
        <v>0</v>
      </c>
      <c r="L61" s="48">
        <f t="shared" si="0"/>
        <v>0</v>
      </c>
      <c r="M61" s="48">
        <f t="shared" si="0"/>
        <v>0</v>
      </c>
      <c r="N61" s="48">
        <f t="shared" si="0"/>
        <v>0</v>
      </c>
      <c r="O61" s="48">
        <f t="shared" si="0"/>
        <v>0</v>
      </c>
      <c r="P61" s="49">
        <f t="shared" si="0"/>
        <v>0</v>
      </c>
    </row>
    <row r="63" spans="1:16" ht="18.75" customHeight="1" x14ac:dyDescent="0.25">
      <c r="A63" s="1" t="s">
        <v>0</v>
      </c>
      <c r="B63" s="2"/>
      <c r="C63" s="2"/>
      <c r="D63" s="2"/>
    </row>
    <row r="64" spans="1:16" s="6" customFormat="1" x14ac:dyDescent="0.25"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</row>
    <row r="65" spans="1:29" s="6" customFormat="1" x14ac:dyDescent="0.25">
      <c r="A65" s="156" t="s">
        <v>1</v>
      </c>
      <c r="B65" s="156"/>
      <c r="C65" s="156"/>
      <c r="D65" s="156"/>
      <c r="E65" s="156"/>
      <c r="F65" s="156"/>
      <c r="G65" s="156"/>
      <c r="H65" s="156"/>
      <c r="I65" s="156"/>
      <c r="J65" s="156"/>
      <c r="K65" s="156"/>
      <c r="L65" s="156"/>
      <c r="M65" s="156"/>
      <c r="N65" s="156"/>
      <c r="O65" s="156"/>
      <c r="P65" s="156"/>
    </row>
    <row r="66" spans="1:29" s="6" customFormat="1" x14ac:dyDescent="0.25">
      <c r="A66" s="156" t="s">
        <v>2</v>
      </c>
      <c r="B66" s="156"/>
      <c r="C66" s="156"/>
      <c r="D66" s="156"/>
      <c r="E66" s="156"/>
      <c r="F66" s="156"/>
      <c r="G66" s="156"/>
      <c r="H66" s="156"/>
      <c r="I66" s="156"/>
      <c r="J66" s="156"/>
      <c r="K66" s="156"/>
      <c r="L66" s="156"/>
      <c r="M66" s="156"/>
      <c r="N66" s="156"/>
      <c r="O66" s="156"/>
      <c r="P66" s="156"/>
    </row>
    <row r="67" spans="1:29" s="6" customFormat="1" x14ac:dyDescent="0.25">
      <c r="A67" s="156" t="s">
        <v>56</v>
      </c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</row>
    <row r="69" spans="1:29" s="6" customFormat="1" x14ac:dyDescent="0.25">
      <c r="A69" s="6" t="s">
        <v>59</v>
      </c>
      <c r="E69" s="8"/>
      <c r="F69" s="8"/>
      <c r="G69" s="8"/>
      <c r="H69" s="8"/>
      <c r="I69" s="8"/>
      <c r="J69" s="8"/>
      <c r="K69" s="8"/>
      <c r="L69" s="8"/>
      <c r="M69" s="50"/>
      <c r="N69" s="8"/>
      <c r="P69" s="11" t="s">
        <v>50</v>
      </c>
      <c r="Q69" s="51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</row>
    <row r="70" spans="1:29" ht="8.25" customHeight="1" thickBot="1" x14ac:dyDescent="0.3"/>
    <row r="71" spans="1:29" x14ac:dyDescent="0.25">
      <c r="A71" s="157" t="s">
        <v>7</v>
      </c>
      <c r="B71" s="160" t="s">
        <v>8</v>
      </c>
      <c r="C71" s="240" t="s">
        <v>27</v>
      </c>
      <c r="D71" s="169" t="s">
        <v>11</v>
      </c>
      <c r="E71" s="172" t="s">
        <v>12</v>
      </c>
      <c r="F71" s="175" t="s">
        <v>13</v>
      </c>
      <c r="G71" s="175" t="s">
        <v>14</v>
      </c>
      <c r="H71" s="175" t="s">
        <v>15</v>
      </c>
      <c r="I71" s="175" t="s">
        <v>16</v>
      </c>
      <c r="J71" s="175" t="s">
        <v>17</v>
      </c>
      <c r="K71" s="175" t="s">
        <v>18</v>
      </c>
      <c r="L71" s="175" t="s">
        <v>19</v>
      </c>
      <c r="M71" s="175" t="s">
        <v>20</v>
      </c>
      <c r="N71" s="175" t="s">
        <v>21</v>
      </c>
      <c r="O71" s="175" t="s">
        <v>22</v>
      </c>
      <c r="P71" s="178" t="s">
        <v>23</v>
      </c>
    </row>
    <row r="72" spans="1:29" x14ac:dyDescent="0.25">
      <c r="A72" s="158"/>
      <c r="B72" s="161"/>
      <c r="C72" s="241"/>
      <c r="D72" s="193"/>
      <c r="E72" s="173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61"/>
    </row>
    <row r="73" spans="1:29" ht="16.5" thickBot="1" x14ac:dyDescent="0.3">
      <c r="A73" s="159"/>
      <c r="B73" s="162"/>
      <c r="C73" s="242"/>
      <c r="D73" s="194"/>
      <c r="E73" s="174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9"/>
    </row>
    <row r="74" spans="1:29" x14ac:dyDescent="0.25">
      <c r="A74" s="180">
        <v>10</v>
      </c>
      <c r="B74" s="183">
        <v>2011</v>
      </c>
      <c r="C74" s="220">
        <v>19.100000000000001</v>
      </c>
      <c r="D74" s="14" t="s">
        <v>24</v>
      </c>
      <c r="E74" s="38"/>
      <c r="F74" s="17"/>
      <c r="G74" s="17"/>
      <c r="H74" s="17"/>
      <c r="I74" s="18"/>
      <c r="J74" s="17"/>
      <c r="K74" s="17"/>
      <c r="L74" s="17"/>
      <c r="M74" s="17"/>
      <c r="N74" s="18"/>
      <c r="O74" s="17"/>
      <c r="P74" s="35"/>
    </row>
    <row r="75" spans="1:29" hidden="1" x14ac:dyDescent="0.25">
      <c r="A75" s="181"/>
      <c r="B75" s="184"/>
      <c r="C75" s="221"/>
      <c r="D75" s="21" t="s">
        <v>25</v>
      </c>
      <c r="E75" s="22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4"/>
    </row>
    <row r="76" spans="1:29" x14ac:dyDescent="0.25">
      <c r="A76" s="181"/>
      <c r="B76" s="184"/>
      <c r="C76" s="221"/>
      <c r="D76" s="21" t="s">
        <v>26</v>
      </c>
      <c r="E76" s="22"/>
      <c r="F76" s="23"/>
      <c r="G76" s="23"/>
      <c r="H76" s="23"/>
      <c r="I76" s="25"/>
      <c r="J76" s="23"/>
      <c r="K76" s="23"/>
      <c r="L76" s="23"/>
      <c r="M76" s="23"/>
      <c r="N76" s="25"/>
      <c r="O76" s="23"/>
      <c r="P76" s="24"/>
    </row>
    <row r="77" spans="1:29" ht="16.5" thickBot="1" x14ac:dyDescent="0.3">
      <c r="A77" s="182"/>
      <c r="B77" s="185"/>
      <c r="C77" s="222"/>
      <c r="D77" s="27" t="s">
        <v>27</v>
      </c>
      <c r="E77" s="39"/>
      <c r="F77" s="29"/>
      <c r="G77" s="31"/>
      <c r="H77" s="32"/>
      <c r="I77" s="30"/>
      <c r="J77" s="32"/>
      <c r="K77" s="32"/>
      <c r="L77" s="32"/>
      <c r="M77" s="32"/>
      <c r="N77" s="30"/>
      <c r="O77" s="32"/>
      <c r="P77" s="37"/>
    </row>
    <row r="78" spans="1:29" x14ac:dyDescent="0.25">
      <c r="A78" s="189">
        <v>13</v>
      </c>
      <c r="B78" s="183">
        <v>2011</v>
      </c>
      <c r="C78" s="220">
        <v>60.8</v>
      </c>
      <c r="D78" s="14" t="s">
        <v>24</v>
      </c>
      <c r="E78" s="38"/>
      <c r="F78" s="17"/>
      <c r="G78" s="17"/>
      <c r="H78" s="17"/>
      <c r="I78" s="17"/>
      <c r="J78" s="18"/>
      <c r="K78" s="18"/>
      <c r="L78" s="17"/>
      <c r="M78" s="17"/>
      <c r="N78" s="17"/>
      <c r="O78" s="17"/>
      <c r="P78" s="35"/>
    </row>
    <row r="79" spans="1:29" hidden="1" x14ac:dyDescent="0.25">
      <c r="A79" s="190"/>
      <c r="B79" s="184"/>
      <c r="C79" s="221"/>
      <c r="D79" s="21" t="s">
        <v>25</v>
      </c>
      <c r="E79" s="22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4"/>
    </row>
    <row r="80" spans="1:29" x14ac:dyDescent="0.25">
      <c r="A80" s="190"/>
      <c r="B80" s="184"/>
      <c r="C80" s="221"/>
      <c r="D80" s="21" t="s">
        <v>26</v>
      </c>
      <c r="E80" s="22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4"/>
    </row>
    <row r="81" spans="1:21" ht="16.5" thickBot="1" x14ac:dyDescent="0.3">
      <c r="A81" s="191"/>
      <c r="B81" s="185"/>
      <c r="C81" s="222"/>
      <c r="D81" s="27" t="s">
        <v>27</v>
      </c>
      <c r="E81" s="28"/>
      <c r="F81" s="32"/>
      <c r="G81" s="32"/>
      <c r="H81" s="32"/>
      <c r="I81" s="41"/>
      <c r="J81" s="33"/>
      <c r="K81" s="33"/>
      <c r="L81" s="32"/>
      <c r="M81" s="32"/>
      <c r="N81" s="32"/>
      <c r="O81" s="32"/>
      <c r="P81" s="37"/>
    </row>
    <row r="82" spans="1:21" x14ac:dyDescent="0.25">
      <c r="A82" s="189">
        <v>14</v>
      </c>
      <c r="B82" s="183">
        <v>2011</v>
      </c>
      <c r="C82" s="220">
        <v>41.6</v>
      </c>
      <c r="D82" s="14" t="s">
        <v>24</v>
      </c>
      <c r="E82" s="38"/>
      <c r="F82" s="17"/>
      <c r="G82" s="17"/>
      <c r="H82" s="17"/>
      <c r="I82" s="17"/>
      <c r="J82" s="17"/>
      <c r="K82" s="17"/>
      <c r="L82" s="18"/>
      <c r="M82" s="17"/>
      <c r="N82" s="17"/>
      <c r="O82" s="17"/>
      <c r="P82" s="35"/>
    </row>
    <row r="83" spans="1:21" hidden="1" x14ac:dyDescent="0.25">
      <c r="A83" s="190"/>
      <c r="B83" s="184"/>
      <c r="C83" s="221"/>
      <c r="D83" s="21" t="s">
        <v>25</v>
      </c>
      <c r="E83" s="22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4"/>
    </row>
    <row r="84" spans="1:21" x14ac:dyDescent="0.25">
      <c r="A84" s="190"/>
      <c r="B84" s="184"/>
      <c r="C84" s="221"/>
      <c r="D84" s="21" t="s">
        <v>26</v>
      </c>
      <c r="E84" s="22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4"/>
    </row>
    <row r="85" spans="1:21" ht="16.5" thickBot="1" x14ac:dyDescent="0.3">
      <c r="A85" s="191"/>
      <c r="B85" s="185"/>
      <c r="C85" s="222"/>
      <c r="D85" s="27" t="s">
        <v>27</v>
      </c>
      <c r="E85" s="39"/>
      <c r="F85" s="32"/>
      <c r="G85" s="29"/>
      <c r="H85" s="32"/>
      <c r="I85" s="41"/>
      <c r="J85" s="32"/>
      <c r="K85" s="32"/>
      <c r="L85" s="33"/>
      <c r="M85" s="32"/>
      <c r="N85" s="32"/>
      <c r="O85" s="32"/>
      <c r="P85" s="91"/>
    </row>
    <row r="86" spans="1:21" x14ac:dyDescent="0.25">
      <c r="A86" s="189">
        <v>15</v>
      </c>
      <c r="B86" s="183">
        <v>2011</v>
      </c>
      <c r="C86" s="220">
        <v>49.3</v>
      </c>
      <c r="D86" s="14" t="s">
        <v>24</v>
      </c>
      <c r="E86" s="38"/>
      <c r="F86" s="17"/>
      <c r="G86" s="17"/>
      <c r="H86" s="17"/>
      <c r="I86" s="17"/>
      <c r="J86" s="17"/>
      <c r="K86" s="18"/>
      <c r="L86" s="18"/>
      <c r="M86" s="17"/>
      <c r="N86" s="17"/>
      <c r="O86" s="17"/>
      <c r="P86" s="35"/>
    </row>
    <row r="87" spans="1:21" hidden="1" x14ac:dyDescent="0.25">
      <c r="A87" s="190"/>
      <c r="B87" s="184"/>
      <c r="C87" s="221"/>
      <c r="D87" s="21" t="s">
        <v>25</v>
      </c>
      <c r="E87" s="22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4"/>
    </row>
    <row r="88" spans="1:21" x14ac:dyDescent="0.25">
      <c r="A88" s="190"/>
      <c r="B88" s="184"/>
      <c r="C88" s="221"/>
      <c r="D88" s="21" t="s">
        <v>52</v>
      </c>
      <c r="E88" s="22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4"/>
    </row>
    <row r="89" spans="1:21" ht="16.5" thickBot="1" x14ac:dyDescent="0.3">
      <c r="A89" s="191"/>
      <c r="B89" s="185"/>
      <c r="C89" s="222"/>
      <c r="D89" s="27" t="s">
        <v>27</v>
      </c>
      <c r="E89" s="39"/>
      <c r="F89" s="29"/>
      <c r="G89" s="31"/>
      <c r="H89" s="32"/>
      <c r="I89" s="32"/>
      <c r="J89" s="32"/>
      <c r="K89" s="30"/>
      <c r="L89" s="33"/>
      <c r="M89" s="32"/>
      <c r="N89" s="32"/>
      <c r="O89" s="29"/>
      <c r="P89" s="37"/>
      <c r="S89" s="8"/>
      <c r="T89" s="8"/>
      <c r="U89" s="8"/>
    </row>
    <row r="90" spans="1:21" x14ac:dyDescent="0.25">
      <c r="A90" s="189">
        <v>16</v>
      </c>
      <c r="B90" s="183">
        <v>2011</v>
      </c>
      <c r="C90" s="220">
        <v>53.2</v>
      </c>
      <c r="D90" s="14" t="s">
        <v>24</v>
      </c>
      <c r="E90" s="38"/>
      <c r="F90" s="17"/>
      <c r="G90" s="17"/>
      <c r="H90" s="18"/>
      <c r="I90" s="17"/>
      <c r="J90" s="17"/>
      <c r="K90" s="18"/>
      <c r="L90" s="18"/>
      <c r="M90" s="17"/>
      <c r="N90" s="17"/>
      <c r="O90" s="17"/>
      <c r="P90" s="19"/>
      <c r="S90" s="8"/>
      <c r="T90" s="8"/>
      <c r="U90" s="8"/>
    </row>
    <row r="91" spans="1:21" hidden="1" x14ac:dyDescent="0.25">
      <c r="A91" s="190"/>
      <c r="B91" s="184"/>
      <c r="C91" s="221"/>
      <c r="D91" s="21" t="s">
        <v>25</v>
      </c>
      <c r="E91" s="22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4"/>
      <c r="S91" s="8"/>
      <c r="T91" s="8"/>
      <c r="U91" s="8"/>
    </row>
    <row r="92" spans="1:21" x14ac:dyDescent="0.25">
      <c r="A92" s="190"/>
      <c r="B92" s="184"/>
      <c r="C92" s="221"/>
      <c r="D92" s="21" t="s">
        <v>26</v>
      </c>
      <c r="E92" s="22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4"/>
      <c r="S92" s="8"/>
      <c r="T92" s="8"/>
      <c r="U92" s="8"/>
    </row>
    <row r="93" spans="1:21" ht="16.5" thickBot="1" x14ac:dyDescent="0.3">
      <c r="A93" s="191"/>
      <c r="B93" s="185"/>
      <c r="C93" s="222"/>
      <c r="D93" s="27" t="s">
        <v>27</v>
      </c>
      <c r="E93" s="53"/>
      <c r="F93" s="29"/>
      <c r="G93" s="32"/>
      <c r="H93" s="33"/>
      <c r="I93" s="32"/>
      <c r="J93" s="32"/>
      <c r="K93" s="41"/>
      <c r="L93" s="33"/>
      <c r="M93" s="32"/>
      <c r="N93" s="32"/>
      <c r="O93" s="29"/>
      <c r="P93" s="54"/>
      <c r="S93" s="8"/>
      <c r="T93" s="8"/>
      <c r="U93" s="8"/>
    </row>
    <row r="94" spans="1:21" x14ac:dyDescent="0.25">
      <c r="A94" s="189">
        <v>17</v>
      </c>
      <c r="B94" s="183">
        <v>2011</v>
      </c>
      <c r="C94" s="220">
        <v>45.7</v>
      </c>
      <c r="D94" s="14" t="s">
        <v>24</v>
      </c>
      <c r="E94" s="38"/>
      <c r="F94" s="17"/>
      <c r="G94" s="17"/>
      <c r="H94" s="18"/>
      <c r="I94" s="17"/>
      <c r="J94" s="17"/>
      <c r="K94" s="18"/>
      <c r="L94" s="18"/>
      <c r="M94" s="17"/>
      <c r="N94" s="17"/>
      <c r="O94" s="17"/>
      <c r="P94" s="35"/>
      <c r="S94" s="6"/>
      <c r="T94" s="6"/>
      <c r="U94" s="6"/>
    </row>
    <row r="95" spans="1:21" hidden="1" x14ac:dyDescent="0.25">
      <c r="A95" s="190"/>
      <c r="B95" s="184"/>
      <c r="C95" s="221"/>
      <c r="D95" s="21" t="s">
        <v>25</v>
      </c>
      <c r="E95" s="22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4"/>
      <c r="S95" s="6"/>
      <c r="T95" s="6"/>
      <c r="U95" s="6"/>
    </row>
    <row r="96" spans="1:21" x14ac:dyDescent="0.25">
      <c r="A96" s="190"/>
      <c r="B96" s="184"/>
      <c r="C96" s="221"/>
      <c r="D96" s="21" t="s">
        <v>26</v>
      </c>
      <c r="E96" s="22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4"/>
      <c r="S96" s="8"/>
      <c r="T96" s="8"/>
      <c r="U96" s="8"/>
    </row>
    <row r="97" spans="1:29" ht="16.5" thickBot="1" x14ac:dyDescent="0.3">
      <c r="A97" s="190"/>
      <c r="B97" s="184"/>
      <c r="C97" s="221"/>
      <c r="D97" s="21" t="s">
        <v>27</v>
      </c>
      <c r="E97" s="55"/>
      <c r="F97" s="16"/>
      <c r="G97" s="16"/>
      <c r="H97" s="16"/>
      <c r="I97" s="16"/>
      <c r="J97" s="25"/>
      <c r="K97" s="77"/>
      <c r="L97" s="16"/>
      <c r="M97" s="16"/>
      <c r="N97" s="16"/>
      <c r="O97" s="16"/>
      <c r="P97" s="60"/>
      <c r="S97" s="8"/>
      <c r="T97" s="8"/>
      <c r="U97" s="8"/>
    </row>
    <row r="98" spans="1:29" ht="16.5" hidden="1" thickBot="1" x14ac:dyDescent="0.3">
      <c r="A98" s="191"/>
      <c r="B98" s="185"/>
      <c r="C98" s="222"/>
      <c r="D98" s="61"/>
      <c r="E98" s="62"/>
      <c r="F98" s="63"/>
      <c r="G98" s="63"/>
      <c r="H98" s="64"/>
      <c r="I98" s="63"/>
      <c r="J98" s="30"/>
      <c r="K98" s="41"/>
      <c r="L98" s="64"/>
      <c r="M98" s="63"/>
      <c r="N98" s="63"/>
      <c r="O98" s="63"/>
      <c r="P98" s="65"/>
    </row>
    <row r="99" spans="1:29" x14ac:dyDescent="0.25">
      <c r="A99" s="189">
        <v>18</v>
      </c>
      <c r="B99" s="183">
        <v>2011</v>
      </c>
      <c r="C99" s="220">
        <v>40.799999999999997</v>
      </c>
      <c r="D99" s="14" t="s">
        <v>24</v>
      </c>
      <c r="E99" s="38"/>
      <c r="F99" s="17"/>
      <c r="G99" s="17"/>
      <c r="H99" s="17"/>
      <c r="I99" s="17"/>
      <c r="J99" s="18"/>
      <c r="K99" s="17"/>
      <c r="L99" s="17"/>
      <c r="M99" s="17"/>
      <c r="N99" s="17"/>
      <c r="O99" s="17"/>
      <c r="P99" s="35"/>
    </row>
    <row r="100" spans="1:29" hidden="1" x14ac:dyDescent="0.25">
      <c r="A100" s="190"/>
      <c r="B100" s="184"/>
      <c r="C100" s="221"/>
      <c r="D100" s="21" t="s">
        <v>25</v>
      </c>
      <c r="E100" s="22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4"/>
    </row>
    <row r="101" spans="1:29" x14ac:dyDescent="0.25">
      <c r="A101" s="190"/>
      <c r="B101" s="184"/>
      <c r="C101" s="221"/>
      <c r="D101" s="21" t="s">
        <v>26</v>
      </c>
      <c r="E101" s="22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4"/>
    </row>
    <row r="102" spans="1:29" ht="16.5" thickBot="1" x14ac:dyDescent="0.3">
      <c r="A102" s="191"/>
      <c r="B102" s="185"/>
      <c r="C102" s="222"/>
      <c r="D102" s="27" t="s">
        <v>27</v>
      </c>
      <c r="E102" s="39"/>
      <c r="F102" s="29"/>
      <c r="G102" s="32"/>
      <c r="H102" s="32"/>
      <c r="I102" s="30"/>
      <c r="J102" s="33"/>
      <c r="K102" s="32"/>
      <c r="L102" s="32"/>
      <c r="M102" s="32"/>
      <c r="N102" s="32"/>
      <c r="O102" s="32"/>
      <c r="P102" s="37"/>
    </row>
    <row r="103" spans="1:29" ht="16.5" thickBot="1" x14ac:dyDescent="0.3">
      <c r="A103" s="246" t="s">
        <v>29</v>
      </c>
      <c r="B103" s="247"/>
      <c r="C103" s="96">
        <f>SUM(C74:C102)</f>
        <v>310.5</v>
      </c>
      <c r="D103" s="93" t="s">
        <v>30</v>
      </c>
      <c r="E103" s="47">
        <f>E77+E81+E85+E89+E93+E97+E102</f>
        <v>0</v>
      </c>
      <c r="F103" s="66">
        <f>F77+F81+F85+F89+F93+F98+F102</f>
        <v>0</v>
      </c>
      <c r="G103" s="66">
        <f>G77+G81+G85+G89+G93+G98+G102</f>
        <v>0</v>
      </c>
      <c r="H103" s="66">
        <f>H77+H81+H85+H89+H93+H98+H102</f>
        <v>0</v>
      </c>
      <c r="I103" s="66">
        <f>I77+I81+I85+I89+I93+I98+I102</f>
        <v>0</v>
      </c>
      <c r="J103" s="66">
        <f>J77+J81+J85+J89+J93+J98+J102</f>
        <v>0</v>
      </c>
      <c r="K103" s="66">
        <f>K77+K81+K85+K89+K93+K97+K98+K102</f>
        <v>0</v>
      </c>
      <c r="L103" s="66">
        <f>L77+L81+L85+L89+L93+L98+L102</f>
        <v>0</v>
      </c>
      <c r="M103" s="66">
        <f>M77+M81+M85+M89+M93+M98+M102</f>
        <v>0</v>
      </c>
      <c r="N103" s="66">
        <f>N77+N81+N85+N89+N93+N98+N102</f>
        <v>0</v>
      </c>
      <c r="O103" s="66">
        <f>O77+O81+O85+O89+O93+O98+O102</f>
        <v>0</v>
      </c>
      <c r="P103" s="67">
        <f>P77+P81+P85+P89+P93+P98+P102</f>
        <v>0</v>
      </c>
    </row>
    <row r="105" spans="1:29" ht="18.75" customHeight="1" x14ac:dyDescent="0.25">
      <c r="A105" s="1" t="s">
        <v>0</v>
      </c>
      <c r="B105" s="2"/>
      <c r="C105" s="2"/>
      <c r="D105" s="2"/>
    </row>
    <row r="106" spans="1:29" s="6" customFormat="1" x14ac:dyDescent="0.25"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1:29" s="6" customFormat="1" x14ac:dyDescent="0.25">
      <c r="A107" s="156" t="s">
        <v>1</v>
      </c>
      <c r="B107" s="156"/>
      <c r="C107" s="156"/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6"/>
    </row>
    <row r="108" spans="1:29" s="6" customFormat="1" x14ac:dyDescent="0.25">
      <c r="A108" s="156" t="s">
        <v>2</v>
      </c>
      <c r="B108" s="156"/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6"/>
    </row>
    <row r="109" spans="1:29" s="6" customFormat="1" x14ac:dyDescent="0.25">
      <c r="A109" s="156" t="s">
        <v>56</v>
      </c>
      <c r="B109" s="156"/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</row>
    <row r="111" spans="1:29" s="6" customFormat="1" ht="18" customHeight="1" x14ac:dyDescent="0.25">
      <c r="A111" s="6" t="s">
        <v>60</v>
      </c>
      <c r="E111" s="8"/>
      <c r="F111" s="8"/>
      <c r="G111" s="8"/>
      <c r="H111" s="8"/>
      <c r="I111" s="8"/>
      <c r="J111" s="8"/>
      <c r="K111" s="8"/>
      <c r="L111" s="8"/>
      <c r="M111" s="50"/>
      <c r="N111" s="8"/>
      <c r="P111" s="11" t="s">
        <v>50</v>
      </c>
      <c r="Q111" s="51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</row>
    <row r="112" spans="1:29" ht="8.25" customHeight="1" thickBot="1" x14ac:dyDescent="0.3"/>
    <row r="113" spans="1:20" x14ac:dyDescent="0.25">
      <c r="A113" s="157" t="s">
        <v>7</v>
      </c>
      <c r="B113" s="160" t="s">
        <v>8</v>
      </c>
      <c r="C113" s="240" t="s">
        <v>27</v>
      </c>
      <c r="D113" s="169" t="s">
        <v>11</v>
      </c>
      <c r="E113" s="172" t="s">
        <v>12</v>
      </c>
      <c r="F113" s="175" t="s">
        <v>13</v>
      </c>
      <c r="G113" s="175" t="s">
        <v>14</v>
      </c>
      <c r="H113" s="175" t="s">
        <v>15</v>
      </c>
      <c r="I113" s="175" t="s">
        <v>16</v>
      </c>
      <c r="J113" s="175" t="s">
        <v>17</v>
      </c>
      <c r="K113" s="175" t="s">
        <v>18</v>
      </c>
      <c r="L113" s="175" t="s">
        <v>19</v>
      </c>
      <c r="M113" s="175" t="s">
        <v>20</v>
      </c>
      <c r="N113" s="175" t="s">
        <v>21</v>
      </c>
      <c r="O113" s="175" t="s">
        <v>22</v>
      </c>
      <c r="P113" s="178" t="s">
        <v>23</v>
      </c>
    </row>
    <row r="114" spans="1:20" x14ac:dyDescent="0.25">
      <c r="A114" s="158"/>
      <c r="B114" s="161"/>
      <c r="C114" s="241"/>
      <c r="D114" s="193"/>
      <c r="E114" s="173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61"/>
    </row>
    <row r="115" spans="1:20" ht="16.5" thickBot="1" x14ac:dyDescent="0.3">
      <c r="A115" s="159"/>
      <c r="B115" s="162"/>
      <c r="C115" s="242"/>
      <c r="D115" s="194"/>
      <c r="E115" s="174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9"/>
    </row>
    <row r="116" spans="1:20" x14ac:dyDescent="0.25">
      <c r="A116" s="180">
        <v>19</v>
      </c>
      <c r="B116" s="183">
        <v>2012</v>
      </c>
      <c r="C116" s="220">
        <v>50.62</v>
      </c>
      <c r="D116" s="14" t="s">
        <v>24</v>
      </c>
      <c r="E116" s="38"/>
      <c r="F116" s="17"/>
      <c r="G116" s="17"/>
      <c r="H116" s="17"/>
      <c r="I116" s="17"/>
      <c r="J116" s="17"/>
      <c r="K116" s="18"/>
      <c r="L116" s="18"/>
      <c r="M116" s="17"/>
      <c r="N116" s="17"/>
      <c r="O116" s="17"/>
      <c r="P116" s="35"/>
    </row>
    <row r="117" spans="1:20" hidden="1" x14ac:dyDescent="0.25">
      <c r="A117" s="181"/>
      <c r="B117" s="184"/>
      <c r="C117" s="221"/>
      <c r="D117" s="21" t="s">
        <v>25</v>
      </c>
      <c r="E117" s="22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4"/>
    </row>
    <row r="118" spans="1:20" x14ac:dyDescent="0.25">
      <c r="A118" s="181"/>
      <c r="B118" s="184"/>
      <c r="C118" s="221"/>
      <c r="D118" s="21" t="s">
        <v>26</v>
      </c>
      <c r="E118" s="22"/>
      <c r="F118" s="23"/>
      <c r="G118" s="23"/>
      <c r="H118" s="23"/>
      <c r="I118" s="23"/>
      <c r="J118" s="23"/>
      <c r="K118" s="23"/>
      <c r="L118" s="25"/>
      <c r="M118" s="23"/>
      <c r="N118" s="23"/>
      <c r="O118" s="23"/>
      <c r="P118" s="24"/>
    </row>
    <row r="119" spans="1:20" ht="16.5" thickBot="1" x14ac:dyDescent="0.3">
      <c r="A119" s="182"/>
      <c r="B119" s="185"/>
      <c r="C119" s="222"/>
      <c r="D119" s="27" t="s">
        <v>27</v>
      </c>
      <c r="E119" s="39"/>
      <c r="F119" s="32"/>
      <c r="G119" s="32"/>
      <c r="H119" s="32"/>
      <c r="I119" s="32"/>
      <c r="J119" s="32"/>
      <c r="K119" s="33"/>
      <c r="L119" s="30"/>
      <c r="M119" s="32"/>
      <c r="N119" s="32"/>
      <c r="O119" s="32"/>
      <c r="P119" s="37"/>
    </row>
    <row r="120" spans="1:20" x14ac:dyDescent="0.25">
      <c r="A120" s="189">
        <v>20</v>
      </c>
      <c r="B120" s="183">
        <v>2012</v>
      </c>
      <c r="C120" s="220">
        <v>62.08</v>
      </c>
      <c r="D120" s="14" t="s">
        <v>24</v>
      </c>
      <c r="E120" s="38"/>
      <c r="F120" s="17"/>
      <c r="G120" s="18"/>
      <c r="H120" s="17"/>
      <c r="I120" s="17"/>
      <c r="J120" s="17"/>
      <c r="K120" s="18"/>
      <c r="L120" s="17"/>
      <c r="M120" s="17"/>
      <c r="N120" s="17"/>
      <c r="O120" s="17"/>
      <c r="P120" s="35"/>
    </row>
    <row r="121" spans="1:20" hidden="1" x14ac:dyDescent="0.25">
      <c r="A121" s="190"/>
      <c r="B121" s="184"/>
      <c r="C121" s="221"/>
      <c r="D121" s="21" t="s">
        <v>25</v>
      </c>
      <c r="E121" s="22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4"/>
      <c r="R121" s="8"/>
      <c r="S121" s="8"/>
      <c r="T121" s="8"/>
    </row>
    <row r="122" spans="1:20" x14ac:dyDescent="0.25">
      <c r="A122" s="190"/>
      <c r="B122" s="184"/>
      <c r="C122" s="221"/>
      <c r="D122" s="21" t="s">
        <v>26</v>
      </c>
      <c r="E122" s="22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4"/>
      <c r="R122" s="8"/>
      <c r="S122" s="8"/>
      <c r="T122" s="8"/>
    </row>
    <row r="123" spans="1:20" ht="16.5" thickBot="1" x14ac:dyDescent="0.3">
      <c r="A123" s="191"/>
      <c r="B123" s="185"/>
      <c r="C123" s="222"/>
      <c r="D123" s="27" t="s">
        <v>27</v>
      </c>
      <c r="E123" s="39"/>
      <c r="F123" s="32"/>
      <c r="G123" s="33"/>
      <c r="H123" s="32"/>
      <c r="I123" s="32"/>
      <c r="J123" s="32"/>
      <c r="K123" s="33"/>
      <c r="L123" s="32"/>
      <c r="M123" s="32"/>
      <c r="N123" s="32"/>
      <c r="O123" s="32"/>
      <c r="P123" s="37"/>
      <c r="R123" s="8"/>
      <c r="S123" s="8"/>
      <c r="T123" s="8"/>
    </row>
    <row r="124" spans="1:20" x14ac:dyDescent="0.25">
      <c r="A124" s="189">
        <v>21</v>
      </c>
      <c r="B124" s="183">
        <v>2012</v>
      </c>
      <c r="C124" s="220">
        <v>72.2</v>
      </c>
      <c r="D124" s="14" t="s">
        <v>24</v>
      </c>
      <c r="E124" s="38"/>
      <c r="F124" s="17"/>
      <c r="G124" s="17"/>
      <c r="H124" s="17"/>
      <c r="I124" s="17"/>
      <c r="J124" s="17"/>
      <c r="K124" s="18"/>
      <c r="L124" s="17"/>
      <c r="M124" s="18"/>
      <c r="N124" s="17"/>
      <c r="O124" s="17"/>
      <c r="P124" s="35"/>
      <c r="R124" s="8"/>
      <c r="S124" s="8"/>
      <c r="T124" s="8"/>
    </row>
    <row r="125" spans="1:20" hidden="1" x14ac:dyDescent="0.25">
      <c r="A125" s="190"/>
      <c r="B125" s="184"/>
      <c r="C125" s="221"/>
      <c r="D125" s="21" t="s">
        <v>25</v>
      </c>
      <c r="E125" s="22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4"/>
      <c r="R125" s="8"/>
      <c r="S125" s="8"/>
      <c r="T125" s="8"/>
    </row>
    <row r="126" spans="1:20" x14ac:dyDescent="0.25">
      <c r="A126" s="190"/>
      <c r="B126" s="184"/>
      <c r="C126" s="221"/>
      <c r="D126" s="21" t="s">
        <v>26</v>
      </c>
      <c r="E126" s="22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4"/>
      <c r="R126" s="8"/>
      <c r="S126" s="8"/>
      <c r="T126" s="8"/>
    </row>
    <row r="127" spans="1:20" ht="16.5" thickBot="1" x14ac:dyDescent="0.3">
      <c r="A127" s="191"/>
      <c r="B127" s="185"/>
      <c r="C127" s="222"/>
      <c r="D127" s="27" t="s">
        <v>27</v>
      </c>
      <c r="E127" s="39"/>
      <c r="F127" s="31"/>
      <c r="G127" s="32"/>
      <c r="H127" s="32"/>
      <c r="I127" s="32"/>
      <c r="J127" s="41"/>
      <c r="K127" s="33"/>
      <c r="L127" s="32"/>
      <c r="M127" s="41"/>
      <c r="N127" s="32"/>
      <c r="O127" s="29"/>
      <c r="P127" s="37"/>
    </row>
    <row r="128" spans="1:20" x14ac:dyDescent="0.25">
      <c r="A128" s="189">
        <v>22</v>
      </c>
      <c r="B128" s="183">
        <v>2012</v>
      </c>
      <c r="C128" s="220">
        <v>52.3</v>
      </c>
      <c r="D128" s="14" t="s">
        <v>24</v>
      </c>
      <c r="E128" s="38"/>
      <c r="F128" s="17"/>
      <c r="G128" s="17"/>
      <c r="H128" s="17"/>
      <c r="I128" s="17"/>
      <c r="J128" s="18"/>
      <c r="K128" s="17"/>
      <c r="L128" s="17"/>
      <c r="M128" s="18"/>
      <c r="N128" s="17"/>
      <c r="O128" s="17"/>
      <c r="P128" s="35"/>
    </row>
    <row r="129" spans="1:16" hidden="1" x14ac:dyDescent="0.25">
      <c r="A129" s="190"/>
      <c r="B129" s="184"/>
      <c r="C129" s="221"/>
      <c r="D129" s="21" t="s">
        <v>25</v>
      </c>
      <c r="E129" s="22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4"/>
    </row>
    <row r="130" spans="1:16" x14ac:dyDescent="0.25">
      <c r="A130" s="190"/>
      <c r="B130" s="184"/>
      <c r="C130" s="221"/>
      <c r="D130" s="21" t="s">
        <v>26</v>
      </c>
      <c r="E130" s="22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4"/>
    </row>
    <row r="131" spans="1:16" ht="16.5" thickBot="1" x14ac:dyDescent="0.3">
      <c r="A131" s="191"/>
      <c r="B131" s="185"/>
      <c r="C131" s="222"/>
      <c r="D131" s="27" t="s">
        <v>27</v>
      </c>
      <c r="E131" s="39"/>
      <c r="F131" s="31"/>
      <c r="G131" s="32"/>
      <c r="H131" s="32"/>
      <c r="I131" s="32"/>
      <c r="J131" s="33"/>
      <c r="K131" s="32"/>
      <c r="L131" s="32"/>
      <c r="M131" s="41"/>
      <c r="N131" s="32"/>
      <c r="O131" s="29"/>
      <c r="P131" s="37"/>
    </row>
    <row r="132" spans="1:16" x14ac:dyDescent="0.25">
      <c r="A132" s="189">
        <v>24</v>
      </c>
      <c r="B132" s="183">
        <v>2012</v>
      </c>
      <c r="C132" s="220">
        <v>44.7</v>
      </c>
      <c r="D132" s="14" t="s">
        <v>24</v>
      </c>
      <c r="E132" s="38"/>
      <c r="F132" s="17"/>
      <c r="G132" s="17"/>
      <c r="H132" s="18"/>
      <c r="I132" s="17"/>
      <c r="J132" s="17"/>
      <c r="K132" s="17"/>
      <c r="L132" s="18"/>
      <c r="M132" s="18"/>
      <c r="N132" s="17"/>
      <c r="O132" s="17"/>
      <c r="P132" s="35"/>
    </row>
    <row r="133" spans="1:16" hidden="1" x14ac:dyDescent="0.25">
      <c r="A133" s="190"/>
      <c r="B133" s="184"/>
      <c r="C133" s="221"/>
      <c r="D133" s="21" t="s">
        <v>25</v>
      </c>
      <c r="E133" s="22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4"/>
    </row>
    <row r="134" spans="1:16" x14ac:dyDescent="0.25">
      <c r="A134" s="190"/>
      <c r="B134" s="184"/>
      <c r="C134" s="221"/>
      <c r="D134" s="21" t="s">
        <v>26</v>
      </c>
      <c r="E134" s="22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4"/>
    </row>
    <row r="135" spans="1:16" ht="16.5" thickBot="1" x14ac:dyDescent="0.3">
      <c r="A135" s="191"/>
      <c r="B135" s="185"/>
      <c r="C135" s="222"/>
      <c r="D135" s="27" t="s">
        <v>27</v>
      </c>
      <c r="E135" s="15"/>
      <c r="F135" s="16"/>
      <c r="G135" s="56"/>
      <c r="H135" s="76"/>
      <c r="I135" s="16"/>
      <c r="J135" s="16"/>
      <c r="K135" s="16"/>
      <c r="L135" s="76"/>
      <c r="M135" s="77"/>
      <c r="N135" s="16"/>
      <c r="O135" s="16"/>
      <c r="P135" s="60"/>
    </row>
    <row r="136" spans="1:16" ht="16.5" thickBot="1" x14ac:dyDescent="0.3">
      <c r="A136" s="246" t="s">
        <v>29</v>
      </c>
      <c r="B136" s="247"/>
      <c r="C136" s="96">
        <f>SUM(C116:C135)</f>
        <v>281.89999999999998</v>
      </c>
      <c r="D136" s="94" t="s">
        <v>30</v>
      </c>
      <c r="E136" s="47">
        <f>E119+E123+E127+E131+E135</f>
        <v>0</v>
      </c>
      <c r="F136" s="48">
        <f t="shared" ref="F136:P136" si="1">F119+F123+F127+F131+F135</f>
        <v>0</v>
      </c>
      <c r="G136" s="48">
        <f t="shared" si="1"/>
        <v>0</v>
      </c>
      <c r="H136" s="48">
        <f t="shared" si="1"/>
        <v>0</v>
      </c>
      <c r="I136" s="48">
        <f t="shared" si="1"/>
        <v>0</v>
      </c>
      <c r="J136" s="48">
        <f t="shared" si="1"/>
        <v>0</v>
      </c>
      <c r="K136" s="48">
        <f t="shared" si="1"/>
        <v>0</v>
      </c>
      <c r="L136" s="48">
        <f t="shared" si="1"/>
        <v>0</v>
      </c>
      <c r="M136" s="48">
        <f t="shared" si="1"/>
        <v>0</v>
      </c>
      <c r="N136" s="48">
        <f t="shared" si="1"/>
        <v>0</v>
      </c>
      <c r="O136" s="48">
        <f>O119+O123+O127+O131+O135</f>
        <v>0</v>
      </c>
      <c r="P136" s="67">
        <f t="shared" si="1"/>
        <v>0</v>
      </c>
    </row>
    <row r="138" spans="1:16" ht="18.75" customHeight="1" x14ac:dyDescent="0.25">
      <c r="A138" s="1" t="s">
        <v>0</v>
      </c>
      <c r="B138" s="2"/>
      <c r="C138" s="2"/>
      <c r="D138" s="2"/>
    </row>
    <row r="139" spans="1:16" s="6" customFormat="1" x14ac:dyDescent="0.25"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1:16" s="6" customFormat="1" x14ac:dyDescent="0.25">
      <c r="A140" s="156" t="s">
        <v>1</v>
      </c>
      <c r="B140" s="156"/>
      <c r="C140" s="156"/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56"/>
    </row>
    <row r="141" spans="1:16" s="6" customFormat="1" x14ac:dyDescent="0.25">
      <c r="A141" s="156" t="s">
        <v>2</v>
      </c>
      <c r="B141" s="156"/>
      <c r="C141" s="156"/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56"/>
    </row>
    <row r="142" spans="1:16" s="6" customFormat="1" x14ac:dyDescent="0.25">
      <c r="A142" s="156" t="s">
        <v>56</v>
      </c>
      <c r="B142" s="156"/>
      <c r="C142" s="156"/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56"/>
    </row>
    <row r="144" spans="1:16" s="6" customFormat="1" x14ac:dyDescent="0.25">
      <c r="A144" s="6" t="s">
        <v>61</v>
      </c>
      <c r="B144" s="8"/>
      <c r="C144" s="8"/>
      <c r="D144" s="71"/>
      <c r="E144" s="71"/>
      <c r="F144" s="71"/>
      <c r="G144" s="71"/>
      <c r="H144" s="71"/>
      <c r="I144" s="71"/>
      <c r="J144" s="71"/>
      <c r="K144" s="71"/>
      <c r="L144" s="71"/>
      <c r="M144" s="72"/>
      <c r="N144" s="71"/>
      <c r="P144" s="11" t="s">
        <v>50</v>
      </c>
    </row>
    <row r="145" spans="1:16" s="6" customFormat="1" ht="7.5" customHeight="1" thickBot="1" x14ac:dyDescent="0.3">
      <c r="B145" s="8"/>
      <c r="C145" s="8"/>
      <c r="D145" s="71"/>
      <c r="E145" s="71"/>
      <c r="F145" s="71"/>
      <c r="G145" s="71"/>
      <c r="H145" s="71"/>
      <c r="I145" s="71"/>
      <c r="J145" s="71"/>
      <c r="K145" s="71"/>
      <c r="L145" s="71"/>
      <c r="M145" s="72"/>
      <c r="N145" s="71"/>
      <c r="O145" s="10"/>
      <c r="P145" s="8"/>
    </row>
    <row r="146" spans="1:16" s="6" customFormat="1" x14ac:dyDescent="0.25">
      <c r="A146" s="157" t="s">
        <v>7</v>
      </c>
      <c r="B146" s="160" t="s">
        <v>8</v>
      </c>
      <c r="C146" s="240" t="s">
        <v>27</v>
      </c>
      <c r="D146" s="169" t="s">
        <v>11</v>
      </c>
      <c r="E146" s="172" t="s">
        <v>12</v>
      </c>
      <c r="F146" s="175" t="s">
        <v>13</v>
      </c>
      <c r="G146" s="175" t="s">
        <v>14</v>
      </c>
      <c r="H146" s="175" t="s">
        <v>15</v>
      </c>
      <c r="I146" s="175" t="s">
        <v>16</v>
      </c>
      <c r="J146" s="175" t="s">
        <v>17</v>
      </c>
      <c r="K146" s="175" t="s">
        <v>18</v>
      </c>
      <c r="L146" s="175" t="s">
        <v>19</v>
      </c>
      <c r="M146" s="175" t="s">
        <v>20</v>
      </c>
      <c r="N146" s="175" t="s">
        <v>21</v>
      </c>
      <c r="O146" s="175" t="s">
        <v>22</v>
      </c>
      <c r="P146" s="178" t="s">
        <v>23</v>
      </c>
    </row>
    <row r="147" spans="1:16" s="6" customFormat="1" x14ac:dyDescent="0.25">
      <c r="A147" s="158"/>
      <c r="B147" s="161"/>
      <c r="C147" s="241"/>
      <c r="D147" s="193"/>
      <c r="E147" s="173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61"/>
    </row>
    <row r="148" spans="1:16" s="6" customFormat="1" ht="16.5" thickBot="1" x14ac:dyDescent="0.3">
      <c r="A148" s="159"/>
      <c r="B148" s="162"/>
      <c r="C148" s="242"/>
      <c r="D148" s="194"/>
      <c r="E148" s="174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9"/>
    </row>
    <row r="149" spans="1:16" s="6" customFormat="1" x14ac:dyDescent="0.25">
      <c r="A149" s="180">
        <v>25</v>
      </c>
      <c r="B149" s="183">
        <v>2015</v>
      </c>
      <c r="C149" s="220">
        <v>38.22</v>
      </c>
      <c r="D149" s="14" t="s">
        <v>24</v>
      </c>
      <c r="E149" s="38"/>
      <c r="F149" s="17"/>
      <c r="G149" s="17"/>
      <c r="H149" s="17"/>
      <c r="I149" s="17"/>
      <c r="J149" s="17"/>
      <c r="K149" s="18"/>
      <c r="L149" s="18"/>
      <c r="M149" s="17"/>
      <c r="N149" s="17"/>
      <c r="O149" s="17"/>
      <c r="P149" s="35"/>
    </row>
    <row r="150" spans="1:16" s="6" customFormat="1" hidden="1" x14ac:dyDescent="0.25">
      <c r="A150" s="181"/>
      <c r="B150" s="184"/>
      <c r="C150" s="221"/>
      <c r="D150" s="21" t="s">
        <v>25</v>
      </c>
      <c r="E150" s="22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4"/>
    </row>
    <row r="151" spans="1:16" s="6" customFormat="1" x14ac:dyDescent="0.25">
      <c r="A151" s="181"/>
      <c r="B151" s="184"/>
      <c r="C151" s="221"/>
      <c r="D151" s="21" t="s">
        <v>26</v>
      </c>
      <c r="E151" s="22"/>
      <c r="F151" s="23"/>
      <c r="G151" s="23"/>
      <c r="H151" s="23"/>
      <c r="I151" s="23"/>
      <c r="J151" s="23"/>
      <c r="K151" s="23"/>
      <c r="L151" s="25"/>
      <c r="M151" s="23"/>
      <c r="N151" s="23"/>
      <c r="O151" s="23"/>
      <c r="P151" s="24"/>
    </row>
    <row r="152" spans="1:16" s="6" customFormat="1" ht="16.5" thickBot="1" x14ac:dyDescent="0.3">
      <c r="A152" s="182"/>
      <c r="B152" s="185"/>
      <c r="C152" s="222"/>
      <c r="D152" s="27" t="s">
        <v>27</v>
      </c>
      <c r="E152" s="39"/>
      <c r="F152" s="32"/>
      <c r="G152" s="32"/>
      <c r="H152" s="32"/>
      <c r="I152" s="32"/>
      <c r="J152" s="32"/>
      <c r="K152" s="33"/>
      <c r="L152" s="30"/>
      <c r="M152" s="32"/>
      <c r="N152" s="32"/>
      <c r="O152" s="32"/>
      <c r="P152" s="37"/>
    </row>
    <row r="153" spans="1:16" s="6" customFormat="1" x14ac:dyDescent="0.25">
      <c r="A153" s="189" t="s">
        <v>35</v>
      </c>
      <c r="B153" s="183">
        <v>2015</v>
      </c>
      <c r="C153" s="220">
        <v>22</v>
      </c>
      <c r="D153" s="14" t="s">
        <v>24</v>
      </c>
      <c r="E153" s="38"/>
      <c r="F153" s="17"/>
      <c r="G153" s="18"/>
      <c r="H153" s="17"/>
      <c r="I153" s="17"/>
      <c r="J153" s="17"/>
      <c r="K153" s="18"/>
      <c r="L153" s="17"/>
      <c r="M153" s="17"/>
      <c r="N153" s="17"/>
      <c r="O153" s="17"/>
      <c r="P153" s="35"/>
    </row>
    <row r="154" spans="1:16" s="6" customFormat="1" hidden="1" x14ac:dyDescent="0.25">
      <c r="A154" s="190"/>
      <c r="B154" s="184"/>
      <c r="C154" s="221"/>
      <c r="D154" s="21" t="s">
        <v>25</v>
      </c>
      <c r="E154" s="22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4"/>
    </row>
    <row r="155" spans="1:16" s="6" customFormat="1" x14ac:dyDescent="0.25">
      <c r="A155" s="190"/>
      <c r="B155" s="184"/>
      <c r="C155" s="221"/>
      <c r="D155" s="21" t="s">
        <v>26</v>
      </c>
      <c r="E155" s="22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4"/>
    </row>
    <row r="156" spans="1:16" s="6" customFormat="1" ht="16.5" thickBot="1" x14ac:dyDescent="0.3">
      <c r="A156" s="191"/>
      <c r="B156" s="185"/>
      <c r="C156" s="222"/>
      <c r="D156" s="27" t="s">
        <v>27</v>
      </c>
      <c r="E156" s="39"/>
      <c r="F156" s="32"/>
      <c r="G156" s="33"/>
      <c r="H156" s="32"/>
      <c r="I156" s="32"/>
      <c r="J156" s="32"/>
      <c r="K156" s="33"/>
      <c r="L156" s="32"/>
      <c r="M156" s="32"/>
      <c r="N156" s="32"/>
      <c r="O156" s="32"/>
      <c r="P156" s="37"/>
    </row>
    <row r="157" spans="1:16" s="6" customFormat="1" ht="16.5" hidden="1" thickBot="1" x14ac:dyDescent="0.3">
      <c r="A157" s="189" t="s">
        <v>36</v>
      </c>
      <c r="B157" s="183">
        <v>2015</v>
      </c>
      <c r="C157" s="220">
        <v>0</v>
      </c>
      <c r="D157" s="14" t="s">
        <v>24</v>
      </c>
      <c r="E157" s="38"/>
      <c r="F157" s="17"/>
      <c r="G157" s="17"/>
      <c r="H157" s="17"/>
      <c r="I157" s="17"/>
      <c r="J157" s="17"/>
      <c r="K157" s="18"/>
      <c r="L157" s="17"/>
      <c r="M157" s="18"/>
      <c r="N157" s="17"/>
      <c r="O157" s="17"/>
      <c r="P157" s="35"/>
    </row>
    <row r="158" spans="1:16" s="6" customFormat="1" ht="16.5" hidden="1" thickBot="1" x14ac:dyDescent="0.3">
      <c r="A158" s="190"/>
      <c r="B158" s="184"/>
      <c r="C158" s="221"/>
      <c r="D158" s="21" t="s">
        <v>25</v>
      </c>
      <c r="E158" s="22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4"/>
    </row>
    <row r="159" spans="1:16" s="6" customFormat="1" ht="16.5" hidden="1" thickBot="1" x14ac:dyDescent="0.3">
      <c r="A159" s="190"/>
      <c r="B159" s="184"/>
      <c r="C159" s="221"/>
      <c r="D159" s="21" t="s">
        <v>26</v>
      </c>
      <c r="E159" s="22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4"/>
    </row>
    <row r="160" spans="1:16" s="6" customFormat="1" ht="16.5" hidden="1" thickBot="1" x14ac:dyDescent="0.3">
      <c r="A160" s="191"/>
      <c r="B160" s="185"/>
      <c r="C160" s="222"/>
      <c r="D160" s="27" t="s">
        <v>27</v>
      </c>
      <c r="E160" s="39"/>
      <c r="F160" s="32"/>
      <c r="G160" s="32"/>
      <c r="H160" s="32"/>
      <c r="I160" s="32"/>
      <c r="J160" s="41"/>
      <c r="K160" s="33"/>
      <c r="L160" s="32"/>
      <c r="M160" s="41"/>
      <c r="N160" s="32"/>
      <c r="O160" s="32"/>
      <c r="P160" s="37"/>
    </row>
    <row r="161" spans="1:16" s="6" customFormat="1" x14ac:dyDescent="0.25">
      <c r="A161" s="189">
        <v>27</v>
      </c>
      <c r="B161" s="183">
        <v>2015</v>
      </c>
      <c r="C161" s="220">
        <v>10</v>
      </c>
      <c r="D161" s="14" t="s">
        <v>24</v>
      </c>
      <c r="E161" s="38"/>
      <c r="F161" s="17"/>
      <c r="G161" s="17"/>
      <c r="H161" s="17"/>
      <c r="I161" s="17"/>
      <c r="J161" s="18"/>
      <c r="K161" s="17"/>
      <c r="L161" s="17"/>
      <c r="M161" s="18"/>
      <c r="N161" s="17"/>
      <c r="O161" s="17"/>
      <c r="P161" s="35"/>
    </row>
    <row r="162" spans="1:16" s="6" customFormat="1" hidden="1" x14ac:dyDescent="0.25">
      <c r="A162" s="190"/>
      <c r="B162" s="184"/>
      <c r="C162" s="221"/>
      <c r="D162" s="21" t="s">
        <v>25</v>
      </c>
      <c r="E162" s="22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4"/>
    </row>
    <row r="163" spans="1:16" s="6" customFormat="1" x14ac:dyDescent="0.25">
      <c r="A163" s="190"/>
      <c r="B163" s="184"/>
      <c r="C163" s="221"/>
      <c r="D163" s="21" t="s">
        <v>26</v>
      </c>
      <c r="E163" s="22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4"/>
    </row>
    <row r="164" spans="1:16" s="6" customFormat="1" ht="16.5" thickBot="1" x14ac:dyDescent="0.3">
      <c r="A164" s="191"/>
      <c r="B164" s="185"/>
      <c r="C164" s="222"/>
      <c r="D164" s="27" t="s">
        <v>27</v>
      </c>
      <c r="E164" s="39"/>
      <c r="F164" s="32"/>
      <c r="G164" s="32"/>
      <c r="H164" s="32"/>
      <c r="I164" s="32"/>
      <c r="J164" s="33"/>
      <c r="K164" s="32"/>
      <c r="L164" s="32"/>
      <c r="M164" s="41"/>
      <c r="N164" s="32"/>
      <c r="O164" s="32"/>
      <c r="P164" s="37"/>
    </row>
    <row r="165" spans="1:16" s="6" customFormat="1" x14ac:dyDescent="0.25">
      <c r="A165" s="189">
        <v>28</v>
      </c>
      <c r="B165" s="183">
        <v>2015</v>
      </c>
      <c r="C165" s="220">
        <v>25.5</v>
      </c>
      <c r="D165" s="14" t="s">
        <v>24</v>
      </c>
      <c r="E165" s="38"/>
      <c r="F165" s="17"/>
      <c r="G165" s="17"/>
      <c r="H165" s="18"/>
      <c r="I165" s="17"/>
      <c r="J165" s="17"/>
      <c r="K165" s="17"/>
      <c r="L165" s="18"/>
      <c r="M165" s="18"/>
      <c r="N165" s="17"/>
      <c r="O165" s="17"/>
      <c r="P165" s="35"/>
    </row>
    <row r="166" spans="1:16" s="6" customFormat="1" hidden="1" x14ac:dyDescent="0.25">
      <c r="A166" s="190"/>
      <c r="B166" s="184"/>
      <c r="C166" s="221"/>
      <c r="D166" s="21" t="s">
        <v>25</v>
      </c>
      <c r="E166" s="22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4"/>
    </row>
    <row r="167" spans="1:16" s="6" customFormat="1" x14ac:dyDescent="0.25">
      <c r="A167" s="190"/>
      <c r="B167" s="184"/>
      <c r="C167" s="221"/>
      <c r="D167" s="21" t="s">
        <v>26</v>
      </c>
      <c r="E167" s="22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4"/>
    </row>
    <row r="168" spans="1:16" s="6" customFormat="1" ht="16.5" thickBot="1" x14ac:dyDescent="0.3">
      <c r="A168" s="191"/>
      <c r="B168" s="185"/>
      <c r="C168" s="222"/>
      <c r="D168" s="27" t="s">
        <v>27</v>
      </c>
      <c r="E168" s="74"/>
      <c r="F168" s="16"/>
      <c r="G168" s="16"/>
      <c r="H168" s="76"/>
      <c r="I168" s="16"/>
      <c r="J168" s="16"/>
      <c r="K168" s="16"/>
      <c r="L168" s="76"/>
      <c r="M168" s="77"/>
      <c r="N168" s="16"/>
      <c r="O168" s="16"/>
      <c r="P168" s="60"/>
    </row>
    <row r="169" spans="1:16" s="6" customFormat="1" x14ac:dyDescent="0.25">
      <c r="A169" s="180">
        <v>29</v>
      </c>
      <c r="B169" s="183">
        <v>2015</v>
      </c>
      <c r="C169" s="220">
        <v>11</v>
      </c>
      <c r="D169" s="14" t="s">
        <v>24</v>
      </c>
      <c r="E169" s="38"/>
      <c r="F169" s="17"/>
      <c r="G169" s="17"/>
      <c r="H169" s="17"/>
      <c r="I169" s="17"/>
      <c r="J169" s="17"/>
      <c r="K169" s="18"/>
      <c r="L169" s="18"/>
      <c r="M169" s="17"/>
      <c r="N169" s="17"/>
      <c r="O169" s="17"/>
      <c r="P169" s="35"/>
    </row>
    <row r="170" spans="1:16" s="6" customFormat="1" hidden="1" x14ac:dyDescent="0.25">
      <c r="A170" s="181"/>
      <c r="B170" s="184"/>
      <c r="C170" s="221"/>
      <c r="D170" s="21" t="s">
        <v>25</v>
      </c>
      <c r="E170" s="22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4"/>
    </row>
    <row r="171" spans="1:16" s="6" customFormat="1" x14ac:dyDescent="0.25">
      <c r="A171" s="181"/>
      <c r="B171" s="184"/>
      <c r="C171" s="221"/>
      <c r="D171" s="21" t="s">
        <v>26</v>
      </c>
      <c r="E171" s="22"/>
      <c r="F171" s="23"/>
      <c r="G171" s="23"/>
      <c r="H171" s="23"/>
      <c r="I171" s="23"/>
      <c r="J171" s="23"/>
      <c r="K171" s="23"/>
      <c r="L171" s="25"/>
      <c r="M171" s="23"/>
      <c r="N171" s="23"/>
      <c r="O171" s="23"/>
      <c r="P171" s="24"/>
    </row>
    <row r="172" spans="1:16" s="6" customFormat="1" ht="16.5" thickBot="1" x14ac:dyDescent="0.3">
      <c r="A172" s="182"/>
      <c r="B172" s="185"/>
      <c r="C172" s="222"/>
      <c r="D172" s="27" t="s">
        <v>27</v>
      </c>
      <c r="E172" s="39"/>
      <c r="F172" s="32"/>
      <c r="G172" s="32"/>
      <c r="H172" s="32"/>
      <c r="I172" s="32"/>
      <c r="J172" s="32"/>
      <c r="K172" s="33"/>
      <c r="L172" s="30"/>
      <c r="M172" s="32"/>
      <c r="N172" s="32"/>
      <c r="O172" s="32"/>
      <c r="P172" s="37"/>
    </row>
    <row r="173" spans="1:16" s="6" customFormat="1" x14ac:dyDescent="0.25">
      <c r="A173" s="189">
        <v>30</v>
      </c>
      <c r="B173" s="183">
        <v>2015</v>
      </c>
      <c r="C173" s="220">
        <v>12</v>
      </c>
      <c r="D173" s="14" t="s">
        <v>24</v>
      </c>
      <c r="E173" s="38"/>
      <c r="F173" s="17"/>
      <c r="G173" s="18"/>
      <c r="H173" s="17"/>
      <c r="I173" s="17"/>
      <c r="J173" s="17"/>
      <c r="K173" s="18"/>
      <c r="L173" s="17"/>
      <c r="M173" s="17"/>
      <c r="N173" s="17"/>
      <c r="O173" s="17"/>
      <c r="P173" s="35"/>
    </row>
    <row r="174" spans="1:16" s="6" customFormat="1" hidden="1" x14ac:dyDescent="0.25">
      <c r="A174" s="190"/>
      <c r="B174" s="184"/>
      <c r="C174" s="221"/>
      <c r="D174" s="21" t="s">
        <v>25</v>
      </c>
      <c r="E174" s="22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4"/>
    </row>
    <row r="175" spans="1:16" s="6" customFormat="1" x14ac:dyDescent="0.25">
      <c r="A175" s="190"/>
      <c r="B175" s="184"/>
      <c r="C175" s="221"/>
      <c r="D175" s="21" t="s">
        <v>26</v>
      </c>
      <c r="E175" s="22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4"/>
    </row>
    <row r="176" spans="1:16" s="6" customFormat="1" ht="16.5" thickBot="1" x14ac:dyDescent="0.3">
      <c r="A176" s="191"/>
      <c r="B176" s="185"/>
      <c r="C176" s="222"/>
      <c r="D176" s="27" t="s">
        <v>27</v>
      </c>
      <c r="E176" s="39"/>
      <c r="F176" s="32"/>
      <c r="G176" s="33"/>
      <c r="H176" s="32"/>
      <c r="I176" s="32"/>
      <c r="J176" s="32"/>
      <c r="K176" s="33"/>
      <c r="L176" s="32"/>
      <c r="M176" s="32"/>
      <c r="N176" s="32"/>
      <c r="O176" s="32"/>
      <c r="P176" s="37"/>
    </row>
    <row r="177" spans="1:16" s="6" customFormat="1" x14ac:dyDescent="0.25">
      <c r="A177" s="189">
        <v>31</v>
      </c>
      <c r="B177" s="183">
        <v>2015</v>
      </c>
      <c r="C177" s="220">
        <v>10</v>
      </c>
      <c r="D177" s="14" t="s">
        <v>24</v>
      </c>
      <c r="E177" s="38"/>
      <c r="F177" s="17"/>
      <c r="G177" s="17"/>
      <c r="H177" s="17"/>
      <c r="I177" s="17"/>
      <c r="J177" s="17"/>
      <c r="K177" s="18"/>
      <c r="L177" s="17"/>
      <c r="M177" s="18"/>
      <c r="N177" s="17"/>
      <c r="O177" s="17"/>
      <c r="P177" s="35"/>
    </row>
    <row r="178" spans="1:16" s="6" customFormat="1" hidden="1" x14ac:dyDescent="0.25">
      <c r="A178" s="190"/>
      <c r="B178" s="184"/>
      <c r="C178" s="221"/>
      <c r="D178" s="21" t="s">
        <v>25</v>
      </c>
      <c r="E178" s="22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4"/>
    </row>
    <row r="179" spans="1:16" s="6" customFormat="1" x14ac:dyDescent="0.25">
      <c r="A179" s="190"/>
      <c r="B179" s="184"/>
      <c r="C179" s="221"/>
      <c r="D179" s="21" t="s">
        <v>26</v>
      </c>
      <c r="E179" s="22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4"/>
    </row>
    <row r="180" spans="1:16" s="6" customFormat="1" ht="16.5" thickBot="1" x14ac:dyDescent="0.3">
      <c r="A180" s="191"/>
      <c r="B180" s="185"/>
      <c r="C180" s="222"/>
      <c r="D180" s="27" t="s">
        <v>27</v>
      </c>
      <c r="E180" s="39"/>
      <c r="F180" s="32"/>
      <c r="G180" s="32"/>
      <c r="H180" s="32"/>
      <c r="I180" s="32"/>
      <c r="J180" s="41"/>
      <c r="K180" s="33"/>
      <c r="L180" s="32"/>
      <c r="M180" s="41"/>
      <c r="N180" s="32"/>
      <c r="O180" s="32"/>
      <c r="P180" s="37"/>
    </row>
    <row r="181" spans="1:16" s="6" customFormat="1" x14ac:dyDescent="0.25">
      <c r="A181" s="189">
        <v>32</v>
      </c>
      <c r="B181" s="183">
        <v>2015</v>
      </c>
      <c r="C181" s="220">
        <v>20</v>
      </c>
      <c r="D181" s="14" t="s">
        <v>24</v>
      </c>
      <c r="E181" s="38"/>
      <c r="F181" s="17"/>
      <c r="G181" s="17"/>
      <c r="H181" s="17"/>
      <c r="I181" s="17"/>
      <c r="J181" s="18"/>
      <c r="K181" s="17"/>
      <c r="L181" s="17"/>
      <c r="M181" s="18"/>
      <c r="N181" s="17"/>
      <c r="O181" s="17"/>
      <c r="P181" s="35"/>
    </row>
    <row r="182" spans="1:16" s="6" customFormat="1" hidden="1" x14ac:dyDescent="0.25">
      <c r="A182" s="190"/>
      <c r="B182" s="184"/>
      <c r="C182" s="221"/>
      <c r="D182" s="21" t="s">
        <v>25</v>
      </c>
      <c r="E182" s="22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4"/>
    </row>
    <row r="183" spans="1:16" s="6" customFormat="1" x14ac:dyDescent="0.25">
      <c r="A183" s="190"/>
      <c r="B183" s="184"/>
      <c r="C183" s="221"/>
      <c r="D183" s="21" t="s">
        <v>26</v>
      </c>
      <c r="E183" s="22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4"/>
    </row>
    <row r="184" spans="1:16" s="6" customFormat="1" ht="16.5" thickBot="1" x14ac:dyDescent="0.3">
      <c r="A184" s="191"/>
      <c r="B184" s="185"/>
      <c r="C184" s="222"/>
      <c r="D184" s="27" t="s">
        <v>27</v>
      </c>
      <c r="E184" s="15"/>
      <c r="F184" s="16"/>
      <c r="G184" s="16"/>
      <c r="H184" s="16"/>
      <c r="I184" s="16"/>
      <c r="J184" s="76"/>
      <c r="K184" s="16"/>
      <c r="L184" s="16"/>
      <c r="M184" s="77"/>
      <c r="N184" s="16"/>
      <c r="O184" s="16"/>
      <c r="P184" s="60"/>
    </row>
    <row r="185" spans="1:16" ht="16.5" thickBot="1" x14ac:dyDescent="0.3">
      <c r="A185" s="248" t="s">
        <v>29</v>
      </c>
      <c r="B185" s="249"/>
      <c r="C185" s="96">
        <f>SUM(C149:C184)</f>
        <v>148.72</v>
      </c>
      <c r="D185" s="94" t="s">
        <v>30</v>
      </c>
      <c r="E185" s="47">
        <f>E152+E156+E160+E164+E168+E172+E176+E180+E184</f>
        <v>0</v>
      </c>
      <c r="F185" s="48">
        <f t="shared" ref="F185:P185" si="2">F152+F156+F160+F164+F168+F172+F176+F180+F184</f>
        <v>0</v>
      </c>
      <c r="G185" s="48">
        <f t="shared" si="2"/>
        <v>0</v>
      </c>
      <c r="H185" s="48">
        <f t="shared" si="2"/>
        <v>0</v>
      </c>
      <c r="I185" s="48">
        <f t="shared" si="2"/>
        <v>0</v>
      </c>
      <c r="J185" s="48">
        <f t="shared" si="2"/>
        <v>0</v>
      </c>
      <c r="K185" s="48">
        <f t="shared" si="2"/>
        <v>0</v>
      </c>
      <c r="L185" s="48">
        <f t="shared" si="2"/>
        <v>0</v>
      </c>
      <c r="M185" s="48">
        <f t="shared" si="2"/>
        <v>0</v>
      </c>
      <c r="N185" s="48">
        <f t="shared" si="2"/>
        <v>0</v>
      </c>
      <c r="O185" s="48">
        <f t="shared" si="2"/>
        <v>0</v>
      </c>
      <c r="P185" s="67">
        <f t="shared" si="2"/>
        <v>0</v>
      </c>
    </row>
    <row r="186" spans="1:16" x14ac:dyDescent="0.25">
      <c r="A186" s="8"/>
      <c r="B186" s="8"/>
      <c r="C186" s="8"/>
      <c r="D186" s="4"/>
      <c r="H186" s="78"/>
      <c r="L186" s="78"/>
      <c r="M186" s="9"/>
    </row>
    <row r="187" spans="1:16" x14ac:dyDescent="0.25">
      <c r="A187" s="1" t="s">
        <v>0</v>
      </c>
      <c r="B187" s="2"/>
      <c r="C187" s="2"/>
      <c r="D187" s="2"/>
    </row>
    <row r="188" spans="1:16" x14ac:dyDescent="0.25">
      <c r="A188" s="6"/>
      <c r="B188" s="6"/>
      <c r="C188" s="6"/>
      <c r="D188" s="6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x14ac:dyDescent="0.25">
      <c r="A189" s="156" t="s">
        <v>1</v>
      </c>
      <c r="B189" s="156"/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</row>
    <row r="190" spans="1:16" x14ac:dyDescent="0.25">
      <c r="A190" s="156" t="s">
        <v>2</v>
      </c>
      <c r="B190" s="156"/>
      <c r="C190" s="156"/>
      <c r="D190" s="156"/>
      <c r="E190" s="15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</row>
    <row r="191" spans="1:16" x14ac:dyDescent="0.25">
      <c r="A191" s="156" t="s">
        <v>56</v>
      </c>
      <c r="B191" s="156"/>
      <c r="C191" s="156"/>
      <c r="D191" s="156"/>
      <c r="E191" s="15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</row>
    <row r="193" spans="1:20" x14ac:dyDescent="0.25">
      <c r="A193" s="6" t="s">
        <v>62</v>
      </c>
      <c r="B193" s="8"/>
      <c r="C193" s="8"/>
      <c r="D193" s="71"/>
      <c r="E193" s="71"/>
      <c r="F193" s="71"/>
      <c r="G193" s="71"/>
      <c r="H193" s="71"/>
      <c r="I193" s="71"/>
      <c r="J193" s="71"/>
      <c r="K193" s="71"/>
      <c r="L193" s="71"/>
      <c r="M193" s="72"/>
      <c r="N193" s="71"/>
      <c r="P193" s="11" t="s">
        <v>50</v>
      </c>
    </row>
    <row r="194" spans="1:20" ht="10.5" customHeight="1" thickBot="1" x14ac:dyDescent="0.3">
      <c r="A194" s="8"/>
      <c r="B194" s="8"/>
      <c r="C194" s="8"/>
      <c r="D194" s="4"/>
      <c r="H194" s="78"/>
      <c r="L194" s="78"/>
      <c r="M194" s="9"/>
    </row>
    <row r="195" spans="1:20" x14ac:dyDescent="0.25">
      <c r="A195" s="157" t="s">
        <v>7</v>
      </c>
      <c r="B195" s="160" t="s">
        <v>8</v>
      </c>
      <c r="C195" s="240" t="s">
        <v>27</v>
      </c>
      <c r="D195" s="169" t="s">
        <v>11</v>
      </c>
      <c r="E195" s="172" t="s">
        <v>12</v>
      </c>
      <c r="F195" s="175" t="s">
        <v>13</v>
      </c>
      <c r="G195" s="175" t="s">
        <v>14</v>
      </c>
      <c r="H195" s="175" t="s">
        <v>15</v>
      </c>
      <c r="I195" s="175" t="s">
        <v>16</v>
      </c>
      <c r="J195" s="175" t="s">
        <v>17</v>
      </c>
      <c r="K195" s="175" t="s">
        <v>18</v>
      </c>
      <c r="L195" s="175" t="s">
        <v>19</v>
      </c>
      <c r="M195" s="175" t="s">
        <v>20</v>
      </c>
      <c r="N195" s="175" t="s">
        <v>21</v>
      </c>
      <c r="O195" s="175" t="s">
        <v>22</v>
      </c>
      <c r="P195" s="178" t="s">
        <v>23</v>
      </c>
    </row>
    <row r="196" spans="1:20" x14ac:dyDescent="0.25">
      <c r="A196" s="158"/>
      <c r="B196" s="161"/>
      <c r="C196" s="241"/>
      <c r="D196" s="193"/>
      <c r="E196" s="173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61"/>
    </row>
    <row r="197" spans="1:20" ht="16.5" thickBot="1" x14ac:dyDescent="0.3">
      <c r="A197" s="159"/>
      <c r="B197" s="162"/>
      <c r="C197" s="242"/>
      <c r="D197" s="194"/>
      <c r="E197" s="174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9"/>
    </row>
    <row r="198" spans="1:20" x14ac:dyDescent="0.25">
      <c r="A198" s="180">
        <v>33</v>
      </c>
      <c r="B198" s="183">
        <v>2016</v>
      </c>
      <c r="C198" s="220">
        <v>26.5</v>
      </c>
      <c r="D198" s="14" t="s">
        <v>24</v>
      </c>
      <c r="E198" s="38"/>
      <c r="F198" s="17"/>
      <c r="G198" s="17"/>
      <c r="H198" s="17"/>
      <c r="I198" s="17"/>
      <c r="J198" s="17"/>
      <c r="K198" s="17"/>
      <c r="L198" s="18"/>
      <c r="M198" s="17"/>
      <c r="N198" s="17"/>
      <c r="O198" s="17"/>
      <c r="P198" s="35"/>
    </row>
    <row r="199" spans="1:20" hidden="1" x14ac:dyDescent="0.25">
      <c r="A199" s="181"/>
      <c r="B199" s="184"/>
      <c r="C199" s="221"/>
      <c r="D199" s="21" t="s">
        <v>25</v>
      </c>
      <c r="E199" s="22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4"/>
    </row>
    <row r="200" spans="1:20" x14ac:dyDescent="0.25">
      <c r="A200" s="181"/>
      <c r="B200" s="184"/>
      <c r="C200" s="221"/>
      <c r="D200" s="21" t="s">
        <v>26</v>
      </c>
      <c r="E200" s="22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4"/>
      <c r="R200" s="8"/>
      <c r="S200" s="8"/>
      <c r="T200" s="8"/>
    </row>
    <row r="201" spans="1:20" ht="16.5" thickBot="1" x14ac:dyDescent="0.3">
      <c r="A201" s="182"/>
      <c r="B201" s="185"/>
      <c r="C201" s="222"/>
      <c r="D201" s="27" t="s">
        <v>27</v>
      </c>
      <c r="E201" s="39"/>
      <c r="F201" s="32"/>
      <c r="G201" s="31"/>
      <c r="H201" s="32"/>
      <c r="I201" s="32"/>
      <c r="J201" s="32"/>
      <c r="K201" s="32"/>
      <c r="L201" s="30"/>
      <c r="M201" s="32"/>
      <c r="N201" s="32"/>
      <c r="O201" s="32"/>
      <c r="P201" s="37"/>
      <c r="R201" s="8"/>
      <c r="S201" s="8"/>
      <c r="T201" s="8"/>
    </row>
    <row r="202" spans="1:20" x14ac:dyDescent="0.25">
      <c r="A202" s="189">
        <v>39</v>
      </c>
      <c r="B202" s="183">
        <v>2016</v>
      </c>
      <c r="C202" s="220">
        <v>4.5999999999999996</v>
      </c>
      <c r="D202" s="14" t="s">
        <v>24</v>
      </c>
      <c r="E202" s="38"/>
      <c r="F202" s="17"/>
      <c r="G202" s="17"/>
      <c r="H202" s="17"/>
      <c r="I202" s="17"/>
      <c r="J202" s="17"/>
      <c r="K202" s="17"/>
      <c r="L202" s="18"/>
      <c r="M202" s="17"/>
      <c r="N202" s="17"/>
      <c r="O202" s="17"/>
      <c r="P202" s="35"/>
      <c r="R202" s="8"/>
      <c r="S202" s="8"/>
      <c r="T202" s="8"/>
    </row>
    <row r="203" spans="1:20" ht="15" hidden="1" customHeight="1" x14ac:dyDescent="0.25">
      <c r="A203" s="190"/>
      <c r="B203" s="184"/>
      <c r="C203" s="221"/>
      <c r="D203" s="21" t="s">
        <v>25</v>
      </c>
      <c r="E203" s="22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4"/>
    </row>
    <row r="204" spans="1:20" x14ac:dyDescent="0.25">
      <c r="A204" s="190"/>
      <c r="B204" s="184"/>
      <c r="C204" s="221"/>
      <c r="D204" s="21" t="s">
        <v>26</v>
      </c>
      <c r="E204" s="22"/>
      <c r="F204" s="23"/>
      <c r="G204" s="23"/>
      <c r="H204" s="23"/>
      <c r="I204" s="23"/>
      <c r="J204" s="25"/>
      <c r="K204" s="23"/>
      <c r="L204" s="25"/>
      <c r="M204" s="23"/>
      <c r="N204" s="23"/>
      <c r="O204" s="23"/>
      <c r="P204" s="24"/>
    </row>
    <row r="205" spans="1:20" ht="16.5" thickBot="1" x14ac:dyDescent="0.3">
      <c r="A205" s="191"/>
      <c r="B205" s="185"/>
      <c r="C205" s="222"/>
      <c r="D205" s="27" t="s">
        <v>27</v>
      </c>
      <c r="E205" s="15"/>
      <c r="F205" s="16"/>
      <c r="G205" s="16"/>
      <c r="H205" s="16"/>
      <c r="I205" s="16"/>
      <c r="J205" s="77"/>
      <c r="K205" s="16"/>
      <c r="L205" s="77"/>
      <c r="M205" s="16"/>
      <c r="N205" s="16"/>
      <c r="O205" s="16"/>
      <c r="P205" s="60"/>
    </row>
    <row r="206" spans="1:20" ht="16.5" thickBot="1" x14ac:dyDescent="0.3">
      <c r="A206" s="248" t="s">
        <v>29</v>
      </c>
      <c r="B206" s="249"/>
      <c r="C206" s="96">
        <f>SUM(C198:C205)</f>
        <v>31.1</v>
      </c>
      <c r="D206" s="94" t="s">
        <v>30</v>
      </c>
      <c r="E206" s="47">
        <f>E201+E205</f>
        <v>0</v>
      </c>
      <c r="F206" s="48">
        <f t="shared" ref="F206:P206" si="3">F201+F205</f>
        <v>0</v>
      </c>
      <c r="G206" s="48">
        <f t="shared" si="3"/>
        <v>0</v>
      </c>
      <c r="H206" s="48">
        <f t="shared" si="3"/>
        <v>0</v>
      </c>
      <c r="I206" s="48">
        <f t="shared" si="3"/>
        <v>0</v>
      </c>
      <c r="J206" s="48">
        <f t="shared" si="3"/>
        <v>0</v>
      </c>
      <c r="K206" s="48">
        <f t="shared" si="3"/>
        <v>0</v>
      </c>
      <c r="L206" s="48">
        <f t="shared" si="3"/>
        <v>0</v>
      </c>
      <c r="M206" s="48">
        <f t="shared" si="3"/>
        <v>0</v>
      </c>
      <c r="N206" s="48">
        <f t="shared" si="3"/>
        <v>0</v>
      </c>
      <c r="O206" s="48">
        <f t="shared" si="3"/>
        <v>0</v>
      </c>
      <c r="P206" s="67">
        <f t="shared" si="3"/>
        <v>0</v>
      </c>
    </row>
    <row r="207" spans="1:20" ht="16.5" thickBot="1" x14ac:dyDescent="0.3">
      <c r="A207" s="248" t="s">
        <v>38</v>
      </c>
      <c r="B207" s="250"/>
      <c r="C207" s="250"/>
      <c r="D207" s="249"/>
      <c r="E207" s="83">
        <f>SUM(E61,E103,E136,E206,E185)</f>
        <v>0</v>
      </c>
      <c r="F207" s="84">
        <f>SUM(F61,F103,F136,F206,F185)</f>
        <v>0</v>
      </c>
      <c r="G207" s="84">
        <f>SUM(G61,G103,G136,G206,G185)</f>
        <v>0</v>
      </c>
      <c r="H207" s="84">
        <f t="shared" ref="H207:P207" si="4">SUM(H61,H103,H136,H206)</f>
        <v>0</v>
      </c>
      <c r="I207" s="84">
        <f t="shared" si="4"/>
        <v>0</v>
      </c>
      <c r="J207" s="84">
        <f t="shared" si="4"/>
        <v>0</v>
      </c>
      <c r="K207" s="84">
        <f t="shared" si="4"/>
        <v>0</v>
      </c>
      <c r="L207" s="84">
        <f t="shared" si="4"/>
        <v>0</v>
      </c>
      <c r="M207" s="84">
        <f t="shared" si="4"/>
        <v>0</v>
      </c>
      <c r="N207" s="84">
        <f t="shared" si="4"/>
        <v>0</v>
      </c>
      <c r="O207" s="84">
        <f>SUM(O61,O103,O136,O206,O185)</f>
        <v>0</v>
      </c>
      <c r="P207" s="88">
        <f t="shared" si="4"/>
        <v>0</v>
      </c>
    </row>
  </sheetData>
  <mergeCells count="206">
    <mergeCell ref="A206:B206"/>
    <mergeCell ref="A207:D207"/>
    <mergeCell ref="P195:P197"/>
    <mergeCell ref="A198:A201"/>
    <mergeCell ref="B198:B201"/>
    <mergeCell ref="C198:C201"/>
    <mergeCell ref="A202:A205"/>
    <mergeCell ref="B202:B205"/>
    <mergeCell ref="C202:C205"/>
    <mergeCell ref="J195:J197"/>
    <mergeCell ref="K195:K197"/>
    <mergeCell ref="L195:L197"/>
    <mergeCell ref="M195:M197"/>
    <mergeCell ref="N195:N197"/>
    <mergeCell ref="O195:O197"/>
    <mergeCell ref="A191:P191"/>
    <mergeCell ref="A195:A197"/>
    <mergeCell ref="B195:B197"/>
    <mergeCell ref="C195:C197"/>
    <mergeCell ref="D195:D197"/>
    <mergeCell ref="E195:E197"/>
    <mergeCell ref="F195:F197"/>
    <mergeCell ref="G195:G197"/>
    <mergeCell ref="H195:H197"/>
    <mergeCell ref="I195:I197"/>
    <mergeCell ref="A181:A184"/>
    <mergeCell ref="B181:B184"/>
    <mergeCell ref="C181:C184"/>
    <mergeCell ref="A185:B185"/>
    <mergeCell ref="A189:P189"/>
    <mergeCell ref="A190:P190"/>
    <mergeCell ref="A173:A176"/>
    <mergeCell ref="B173:B176"/>
    <mergeCell ref="C173:C176"/>
    <mergeCell ref="A177:A180"/>
    <mergeCell ref="B177:B180"/>
    <mergeCell ref="C177:C180"/>
    <mergeCell ref="A165:A168"/>
    <mergeCell ref="B165:B168"/>
    <mergeCell ref="C165:C168"/>
    <mergeCell ref="A169:A172"/>
    <mergeCell ref="B169:B172"/>
    <mergeCell ref="C169:C172"/>
    <mergeCell ref="A157:A160"/>
    <mergeCell ref="B157:B160"/>
    <mergeCell ref="C157:C160"/>
    <mergeCell ref="A161:A164"/>
    <mergeCell ref="B161:B164"/>
    <mergeCell ref="C161:C164"/>
    <mergeCell ref="A149:A152"/>
    <mergeCell ref="B149:B152"/>
    <mergeCell ref="C149:C152"/>
    <mergeCell ref="A153:A156"/>
    <mergeCell ref="B153:B156"/>
    <mergeCell ref="C153:C156"/>
    <mergeCell ref="J146:J148"/>
    <mergeCell ref="K146:K148"/>
    <mergeCell ref="L146:L148"/>
    <mergeCell ref="A142:P142"/>
    <mergeCell ref="A146:A148"/>
    <mergeCell ref="B146:B148"/>
    <mergeCell ref="C146:C148"/>
    <mergeCell ref="D146:D148"/>
    <mergeCell ref="E146:E148"/>
    <mergeCell ref="F146:F148"/>
    <mergeCell ref="G146:G148"/>
    <mergeCell ref="H146:H148"/>
    <mergeCell ref="I146:I148"/>
    <mergeCell ref="P146:P148"/>
    <mergeCell ref="M146:M148"/>
    <mergeCell ref="N146:N148"/>
    <mergeCell ref="O146:O148"/>
    <mergeCell ref="A132:A135"/>
    <mergeCell ref="B132:B135"/>
    <mergeCell ref="C132:C135"/>
    <mergeCell ref="A136:B136"/>
    <mergeCell ref="A140:P140"/>
    <mergeCell ref="A141:P141"/>
    <mergeCell ref="A124:A127"/>
    <mergeCell ref="B124:B127"/>
    <mergeCell ref="C124:C127"/>
    <mergeCell ref="A128:A131"/>
    <mergeCell ref="B128:B131"/>
    <mergeCell ref="C128:C131"/>
    <mergeCell ref="A116:A119"/>
    <mergeCell ref="B116:B119"/>
    <mergeCell ref="C116:C119"/>
    <mergeCell ref="A120:A123"/>
    <mergeCell ref="B120:B123"/>
    <mergeCell ref="C120:C123"/>
    <mergeCell ref="J113:J115"/>
    <mergeCell ref="K113:K115"/>
    <mergeCell ref="L113:L115"/>
    <mergeCell ref="A109:P109"/>
    <mergeCell ref="A113:A115"/>
    <mergeCell ref="B113:B115"/>
    <mergeCell ref="C113:C115"/>
    <mergeCell ref="D113:D115"/>
    <mergeCell ref="E113:E115"/>
    <mergeCell ref="F113:F115"/>
    <mergeCell ref="G113:G115"/>
    <mergeCell ref="H113:H115"/>
    <mergeCell ref="I113:I115"/>
    <mergeCell ref="P113:P115"/>
    <mergeCell ref="M113:M115"/>
    <mergeCell ref="N113:N115"/>
    <mergeCell ref="O113:O115"/>
    <mergeCell ref="A99:A102"/>
    <mergeCell ref="B99:B102"/>
    <mergeCell ref="C99:C102"/>
    <mergeCell ref="A103:B103"/>
    <mergeCell ref="A107:P107"/>
    <mergeCell ref="A108:P108"/>
    <mergeCell ref="A90:A93"/>
    <mergeCell ref="B90:B93"/>
    <mergeCell ref="C90:C93"/>
    <mergeCell ref="A94:A98"/>
    <mergeCell ref="B94:B98"/>
    <mergeCell ref="C94:C98"/>
    <mergeCell ref="A82:A85"/>
    <mergeCell ref="B82:B85"/>
    <mergeCell ref="C82:C85"/>
    <mergeCell ref="A86:A89"/>
    <mergeCell ref="B86:B89"/>
    <mergeCell ref="C86:C89"/>
    <mergeCell ref="P71:P73"/>
    <mergeCell ref="A74:A77"/>
    <mergeCell ref="B74:B77"/>
    <mergeCell ref="C74:C77"/>
    <mergeCell ref="A78:A81"/>
    <mergeCell ref="B78:B81"/>
    <mergeCell ref="C78:C81"/>
    <mergeCell ref="J71:J73"/>
    <mergeCell ref="K71:K73"/>
    <mergeCell ref="L71:L73"/>
    <mergeCell ref="M71:M73"/>
    <mergeCell ref="N71:N73"/>
    <mergeCell ref="O71:O73"/>
    <mergeCell ref="A67:P67"/>
    <mergeCell ref="A71:A73"/>
    <mergeCell ref="B71:B73"/>
    <mergeCell ref="C71:C73"/>
    <mergeCell ref="D71:D73"/>
    <mergeCell ref="E71:E73"/>
    <mergeCell ref="F71:F73"/>
    <mergeCell ref="G71:G73"/>
    <mergeCell ref="H71:H73"/>
    <mergeCell ref="I71:I73"/>
    <mergeCell ref="A57:A60"/>
    <mergeCell ref="B57:B60"/>
    <mergeCell ref="C57:C60"/>
    <mergeCell ref="A61:B61"/>
    <mergeCell ref="A65:P65"/>
    <mergeCell ref="A66:P66"/>
    <mergeCell ref="A49:A52"/>
    <mergeCell ref="B49:B52"/>
    <mergeCell ref="C49:C52"/>
    <mergeCell ref="A53:A56"/>
    <mergeCell ref="B53:B56"/>
    <mergeCell ref="C53:C56"/>
    <mergeCell ref="A41:A44"/>
    <mergeCell ref="B41:B44"/>
    <mergeCell ref="C41:C44"/>
    <mergeCell ref="A45:A48"/>
    <mergeCell ref="B45:B48"/>
    <mergeCell ref="C45:C48"/>
    <mergeCell ref="A33:A36"/>
    <mergeCell ref="B33:B36"/>
    <mergeCell ref="C33:C36"/>
    <mergeCell ref="A37:A40"/>
    <mergeCell ref="B37:B40"/>
    <mergeCell ref="C37:C40"/>
    <mergeCell ref="A25:A28"/>
    <mergeCell ref="B25:B28"/>
    <mergeCell ref="C25:C28"/>
    <mergeCell ref="A29:A32"/>
    <mergeCell ref="B29:B32"/>
    <mergeCell ref="C29:C32"/>
    <mergeCell ref="A17:A20"/>
    <mergeCell ref="B17:B20"/>
    <mergeCell ref="C17:C20"/>
    <mergeCell ref="A21:A24"/>
    <mergeCell ref="B21:B24"/>
    <mergeCell ref="C21:C24"/>
    <mergeCell ref="A13:A16"/>
    <mergeCell ref="B13:B16"/>
    <mergeCell ref="C13:C16"/>
    <mergeCell ref="H10:H12"/>
    <mergeCell ref="I10:I12"/>
    <mergeCell ref="J10:J12"/>
    <mergeCell ref="K10:K12"/>
    <mergeCell ref="L10:L12"/>
    <mergeCell ref="M10:M12"/>
    <mergeCell ref="A3:P3"/>
    <mergeCell ref="A4:P4"/>
    <mergeCell ref="A5:P5"/>
    <mergeCell ref="A10:A12"/>
    <mergeCell ref="B10:B12"/>
    <mergeCell ref="C10:C12"/>
    <mergeCell ref="D10:D12"/>
    <mergeCell ref="E10:E12"/>
    <mergeCell ref="F10:F12"/>
    <mergeCell ref="G10:G12"/>
    <mergeCell ref="N10:N12"/>
    <mergeCell ref="O10:O12"/>
    <mergeCell ref="P10:P12"/>
  </mergeCells>
  <pageMargins left="0.15748031496062992" right="0.15748031496062992" top="0.6692913385826772" bottom="0.35433070866141736" header="0.15748031496062992" footer="0.15748031496062992"/>
  <pageSetup paperSize="9" scale="90" firstPageNumber="68" fitToHeight="0" orientation="landscape" useFirstPageNumber="1" r:id="rId1"/>
  <headerFooter>
    <oddFooter>&amp;LData Source : Manuring and Field Maintenance - Camp Side&amp;CPage &amp;P</oddFooter>
  </headerFooter>
  <rowBreaks count="5" manualBreakCount="5">
    <brk id="44" max="16383" man="1"/>
    <brk id="61" max="16383" man="1"/>
    <brk id="103" max="16383" man="1"/>
    <brk id="136" max="16383" man="1"/>
    <brk id="185" max="1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79894-04E0-4380-8457-82E6E02E8A51}">
  <sheetPr>
    <tabColor rgb="FFFFFF00"/>
  </sheetPr>
  <dimension ref="A1:AC7"/>
  <sheetViews>
    <sheetView workbookViewId="0">
      <selection activeCell="O30" sqref="O30"/>
    </sheetView>
  </sheetViews>
  <sheetFormatPr defaultRowHeight="15" x14ac:dyDescent="0.25"/>
  <sheetData>
    <row r="1" spans="1:29" ht="15.75" customHeight="1" x14ac:dyDescent="0.25">
      <c r="A1" s="157" t="s">
        <v>7</v>
      </c>
      <c r="B1" s="160" t="s">
        <v>8</v>
      </c>
      <c r="C1" s="163" t="s">
        <v>9</v>
      </c>
      <c r="D1" s="166" t="s">
        <v>10</v>
      </c>
      <c r="E1" s="254" t="s">
        <v>11</v>
      </c>
      <c r="F1" s="203" t="s">
        <v>12</v>
      </c>
      <c r="G1" s="204"/>
      <c r="H1" s="203" t="s">
        <v>13</v>
      </c>
      <c r="I1" s="204"/>
      <c r="J1" s="203" t="s">
        <v>14</v>
      </c>
      <c r="K1" s="204"/>
      <c r="L1" s="203" t="s">
        <v>15</v>
      </c>
      <c r="M1" s="204"/>
      <c r="N1" s="203" t="s">
        <v>16</v>
      </c>
      <c r="O1" s="204"/>
      <c r="P1" s="203" t="s">
        <v>17</v>
      </c>
      <c r="Q1" s="204"/>
      <c r="R1" s="203" t="s">
        <v>18</v>
      </c>
      <c r="S1" s="204"/>
      <c r="T1" s="203" t="s">
        <v>19</v>
      </c>
      <c r="U1" s="204"/>
      <c r="V1" s="203" t="s">
        <v>20</v>
      </c>
      <c r="W1" s="204"/>
      <c r="X1" s="203" t="s">
        <v>21</v>
      </c>
      <c r="Y1" s="204"/>
      <c r="Z1" s="203" t="s">
        <v>22</v>
      </c>
      <c r="AA1" s="204"/>
      <c r="AB1" s="203" t="s">
        <v>23</v>
      </c>
      <c r="AC1" s="204"/>
    </row>
    <row r="2" spans="1:29" ht="15" customHeight="1" x14ac:dyDescent="0.25">
      <c r="A2" s="158"/>
      <c r="B2" s="161"/>
      <c r="C2" s="164"/>
      <c r="D2" s="167"/>
      <c r="E2" s="170"/>
      <c r="F2" s="205"/>
      <c r="G2" s="206"/>
      <c r="H2" s="205"/>
      <c r="I2" s="206"/>
      <c r="J2" s="205"/>
      <c r="K2" s="206"/>
      <c r="L2" s="205"/>
      <c r="M2" s="206"/>
      <c r="N2" s="205"/>
      <c r="O2" s="206"/>
      <c r="P2" s="205"/>
      <c r="Q2" s="206"/>
      <c r="R2" s="205"/>
      <c r="S2" s="206"/>
      <c r="T2" s="205"/>
      <c r="U2" s="206"/>
      <c r="V2" s="205"/>
      <c r="W2" s="206"/>
      <c r="X2" s="205"/>
      <c r="Y2" s="206"/>
      <c r="Z2" s="205"/>
      <c r="AA2" s="206"/>
      <c r="AB2" s="205"/>
      <c r="AC2" s="206"/>
    </row>
    <row r="3" spans="1:29" ht="15.75" customHeight="1" thickBot="1" x14ac:dyDescent="0.3">
      <c r="A3" s="159"/>
      <c r="B3" s="162"/>
      <c r="C3" s="165"/>
      <c r="D3" s="168"/>
      <c r="E3" s="171"/>
      <c r="F3" s="207"/>
      <c r="G3" s="208"/>
      <c r="H3" s="207"/>
      <c r="I3" s="208"/>
      <c r="J3" s="207"/>
      <c r="K3" s="208"/>
      <c r="L3" s="207"/>
      <c r="M3" s="208"/>
      <c r="N3" s="207"/>
      <c r="O3" s="208"/>
      <c r="P3" s="207"/>
      <c r="Q3" s="208"/>
      <c r="R3" s="207"/>
      <c r="S3" s="208"/>
      <c r="T3" s="207"/>
      <c r="U3" s="208"/>
      <c r="V3" s="207"/>
      <c r="W3" s="208"/>
      <c r="X3" s="207"/>
      <c r="Y3" s="208"/>
      <c r="Z3" s="207"/>
      <c r="AA3" s="208"/>
      <c r="AB3" s="207"/>
      <c r="AC3" s="208"/>
    </row>
    <row r="4" spans="1:29" ht="16.5" thickBot="1" x14ac:dyDescent="0.3">
      <c r="A4" s="106"/>
      <c r="B4" s="107"/>
      <c r="C4" s="108"/>
      <c r="D4" s="109"/>
      <c r="E4" s="69"/>
      <c r="F4" s="110" t="s">
        <v>63</v>
      </c>
      <c r="G4" s="107" t="s">
        <v>64</v>
      </c>
      <c r="H4" s="110" t="s">
        <v>63</v>
      </c>
      <c r="I4" s="107" t="s">
        <v>64</v>
      </c>
      <c r="J4" s="110" t="s">
        <v>63</v>
      </c>
      <c r="K4" s="107" t="s">
        <v>64</v>
      </c>
      <c r="L4" s="110" t="s">
        <v>63</v>
      </c>
      <c r="M4" s="107" t="s">
        <v>64</v>
      </c>
      <c r="N4" s="110" t="s">
        <v>63</v>
      </c>
      <c r="O4" s="107" t="s">
        <v>64</v>
      </c>
      <c r="P4" s="110" t="s">
        <v>63</v>
      </c>
      <c r="Q4" s="107" t="s">
        <v>64</v>
      </c>
      <c r="R4" s="110" t="s">
        <v>63</v>
      </c>
      <c r="S4" s="107" t="s">
        <v>64</v>
      </c>
      <c r="T4" s="110" t="s">
        <v>63</v>
      </c>
      <c r="U4" s="107" t="s">
        <v>64</v>
      </c>
      <c r="V4" s="110" t="s">
        <v>63</v>
      </c>
      <c r="W4" s="107" t="s">
        <v>64</v>
      </c>
      <c r="X4" s="110" t="s">
        <v>63</v>
      </c>
      <c r="Y4" s="107" t="s">
        <v>64</v>
      </c>
      <c r="Z4" s="110" t="s">
        <v>63</v>
      </c>
      <c r="AA4" s="107" t="s">
        <v>64</v>
      </c>
      <c r="AB4" s="110" t="s">
        <v>63</v>
      </c>
      <c r="AC4" s="107" t="s">
        <v>64</v>
      </c>
    </row>
    <row r="5" spans="1:29" ht="15.75" x14ac:dyDescent="0.25">
      <c r="A5" s="181">
        <v>1</v>
      </c>
      <c r="B5" s="184">
        <v>2010</v>
      </c>
      <c r="C5" s="187">
        <v>53.2</v>
      </c>
      <c r="D5" s="187">
        <v>53.09</v>
      </c>
      <c r="E5" s="105" t="s">
        <v>24</v>
      </c>
      <c r="F5" s="99"/>
      <c r="G5" s="100"/>
      <c r="H5" s="99">
        <v>1</v>
      </c>
      <c r="I5" s="100">
        <v>1</v>
      </c>
      <c r="J5" s="99"/>
      <c r="K5" s="100"/>
      <c r="L5" s="99"/>
      <c r="M5" s="100"/>
      <c r="N5" s="99">
        <v>2</v>
      </c>
      <c r="O5" s="100">
        <v>2</v>
      </c>
      <c r="P5" s="99"/>
      <c r="Q5" s="100"/>
      <c r="R5" s="99"/>
      <c r="S5" s="100"/>
      <c r="T5" s="99">
        <v>3</v>
      </c>
      <c r="U5" s="100">
        <v>3</v>
      </c>
      <c r="V5" s="99"/>
      <c r="W5" s="100"/>
      <c r="X5" s="99"/>
      <c r="Y5" s="100"/>
      <c r="Z5" s="99"/>
      <c r="AA5" s="100"/>
      <c r="AB5" s="99"/>
      <c r="AC5" s="100"/>
    </row>
    <row r="6" spans="1:29" ht="15.75" x14ac:dyDescent="0.25">
      <c r="A6" s="181"/>
      <c r="B6" s="184"/>
      <c r="C6" s="187"/>
      <c r="D6" s="187"/>
      <c r="E6" s="97" t="s">
        <v>26</v>
      </c>
      <c r="F6" s="101"/>
      <c r="G6" s="102"/>
      <c r="H6" s="101">
        <v>40</v>
      </c>
      <c r="I6" s="102">
        <v>2000</v>
      </c>
      <c r="J6" s="101"/>
      <c r="K6" s="102"/>
      <c r="L6" s="101"/>
      <c r="M6" s="102"/>
      <c r="N6" s="101">
        <v>40</v>
      </c>
      <c r="O6" s="102">
        <v>2000</v>
      </c>
      <c r="P6" s="101"/>
      <c r="Q6" s="102"/>
      <c r="R6" s="101"/>
      <c r="S6" s="102"/>
      <c r="T6" s="101">
        <v>40</v>
      </c>
      <c r="U6" s="102">
        <v>2000</v>
      </c>
      <c r="V6" s="101"/>
      <c r="W6" s="102"/>
      <c r="X6" s="101"/>
      <c r="Y6" s="102"/>
      <c r="Z6" s="101"/>
      <c r="AA6" s="102"/>
      <c r="AB6" s="101"/>
      <c r="AC6" s="102"/>
    </row>
    <row r="7" spans="1:29" ht="16.5" thickBot="1" x14ac:dyDescent="0.3">
      <c r="A7" s="182"/>
      <c r="B7" s="185"/>
      <c r="C7" s="188"/>
      <c r="D7" s="188"/>
      <c r="E7" s="98" t="s">
        <v>27</v>
      </c>
      <c r="F7" s="103"/>
      <c r="G7" s="104"/>
      <c r="H7" s="103">
        <v>53.2</v>
      </c>
      <c r="I7" s="104">
        <v>53.2</v>
      </c>
      <c r="J7" s="103"/>
      <c r="K7" s="104"/>
      <c r="L7" s="103"/>
      <c r="M7" s="104"/>
      <c r="N7" s="103">
        <v>53.2</v>
      </c>
      <c r="O7" s="104">
        <v>53.2</v>
      </c>
      <c r="P7" s="103"/>
      <c r="Q7" s="104"/>
      <c r="R7" s="103"/>
      <c r="S7" s="104"/>
      <c r="T7" s="103">
        <v>53.2</v>
      </c>
      <c r="U7" s="104">
        <v>53.2</v>
      </c>
      <c r="V7" s="103"/>
      <c r="W7" s="104"/>
      <c r="X7" s="103"/>
      <c r="Y7" s="104"/>
      <c r="Z7" s="103"/>
      <c r="AA7" s="104"/>
      <c r="AB7" s="103"/>
      <c r="AC7" s="104"/>
    </row>
  </sheetData>
  <mergeCells count="21">
    <mergeCell ref="AB1:AC3"/>
    <mergeCell ref="Z1:AA3"/>
    <mergeCell ref="X1:Y3"/>
    <mergeCell ref="V1:W3"/>
    <mergeCell ref="T1:U3"/>
    <mergeCell ref="R1:S3"/>
    <mergeCell ref="P1:Q3"/>
    <mergeCell ref="A5:A7"/>
    <mergeCell ref="B5:B7"/>
    <mergeCell ref="C5:C7"/>
    <mergeCell ref="D5:D7"/>
    <mergeCell ref="H1:I3"/>
    <mergeCell ref="J1:K3"/>
    <mergeCell ref="F1:G3"/>
    <mergeCell ref="N1:O3"/>
    <mergeCell ref="L1:M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5.4 Glyphosate Spraying</vt:lpstr>
      <vt:lpstr>5.5 Ally Spraying</vt:lpstr>
      <vt:lpstr>GLY + ALLY 20225</vt:lpstr>
      <vt:lpstr>GLY + ALLY 20225 (2)</vt:lpstr>
      <vt:lpstr>5.6 Embark Spraying</vt:lpstr>
      <vt:lpstr>5.7 Blazer Spraying</vt:lpstr>
      <vt:lpstr>sample for Spark</vt:lpstr>
      <vt:lpstr>'GLY + ALLY 20225'!Print_Titles</vt:lpstr>
      <vt:lpstr>'GLY + ALLY 20225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Dept</dc:creator>
  <cp:lastModifiedBy>Acc Dept</cp:lastModifiedBy>
  <cp:lastPrinted>2026-01-21T01:09:46Z</cp:lastPrinted>
  <dcterms:created xsi:type="dcterms:W3CDTF">2026-01-14T06:08:35Z</dcterms:created>
  <dcterms:modified xsi:type="dcterms:W3CDTF">2026-01-21T01:10:47Z</dcterms:modified>
</cp:coreProperties>
</file>