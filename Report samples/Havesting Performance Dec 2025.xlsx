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KEVIN\2025\3. MONTHLY HARVESTING &amp; MANURING REPORT\12. Dec 2025\"/>
    </mc:Choice>
  </mc:AlternateContent>
  <xr:revisionPtr revIDLastSave="0" documentId="13_ncr:1_{6996B02F-2CB8-4E8D-A51C-82D1E8AFD2F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VERALL BY GANG COMPARISON V3" sheetId="23" r:id="rId1"/>
    <sheet name="OVERALL BY GANG COMPARISON YTD2" sheetId="31" r:id="rId2"/>
    <sheet name="OVERALL BY GANG COMPARISON YTD" sheetId="28" r:id="rId3"/>
    <sheet name="OVERALL" sheetId="11" r:id="rId4"/>
    <sheet name="OVERALL BY GANG" sheetId="16" r:id="rId5"/>
    <sheet name="YUVENTUS UN GANG" sheetId="1" r:id="rId6"/>
    <sheet name="DARSO GANG" sheetId="6" r:id="rId7"/>
    <sheet name="YUDI GANG" sheetId="7" r:id="rId8"/>
    <sheet name="SOFIO GANG" sheetId="8" r:id="rId9"/>
    <sheet name="NU AZANI GANG" sheetId="15" r:id="rId10"/>
    <sheet name="WENDERLINUS GANG " sheetId="9" r:id="rId11"/>
    <sheet name="FFB interval 2024 vs 2025" sheetId="24" r:id="rId12"/>
    <sheet name="HARVESTING INTERVAL- NOV 24" sheetId="25" r:id="rId13"/>
    <sheet name="HARVESTING INTERVAL- Dec" sheetId="18" r:id="rId14"/>
    <sheet name="HARVESTING ROUND" sheetId="13" r:id="rId15"/>
    <sheet name="4.4 Harvesting Round Record" sheetId="22" r:id="rId16"/>
    <sheet name="OVERALL BY GANG COMPARISON" sheetId="19" r:id="rId17"/>
    <sheet name="OVERALL BY GANG COMPARISON V2." sheetId="20" r:id="rId18"/>
    <sheet name="FFB Budget 2024" sheetId="30" r:id="rId19"/>
    <sheet name="FFB Budget 2025" sheetId="12" r:id="rId20"/>
    <sheet name="Harvesting Record VS FFB BUDGET" sheetId="14" r:id="rId21"/>
    <sheet name="OVERALL BY GANG COMPARISON summ" sheetId="27" r:id="rId22"/>
  </sheets>
  <externalReferences>
    <externalReference r:id="rId23"/>
    <externalReference r:id="rId24"/>
    <externalReference r:id="rId25"/>
  </externalReferences>
  <definedNames>
    <definedName name="_xlnm._FilterDatabase" localSheetId="15" hidden="1">'4.4 Harvesting Round Record'!$A$1:$KZ$56</definedName>
    <definedName name="_xlnm._FilterDatabase" localSheetId="13" hidden="1">'HARVESTING INTERVAL- Dec'!$A$1:$BL$111</definedName>
    <definedName name="_xlnm._FilterDatabase" localSheetId="16" hidden="1">'OVERALL BY GANG COMPARISON'!$A$55:$B$61</definedName>
    <definedName name="_xlnm._FilterDatabase" localSheetId="21" hidden="1">'OVERALL BY GANG COMPARISON summ'!#REF!</definedName>
    <definedName name="_xlnm._FilterDatabase" localSheetId="17" hidden="1">'OVERALL BY GANG COMPARISON V2.'!#REF!</definedName>
    <definedName name="_xlnm._FilterDatabase" localSheetId="0" hidden="1">'OVERALL BY GANG COMPARISON V3'!#REF!</definedName>
    <definedName name="_xlnm._FilterDatabase" localSheetId="2" hidden="1">'OVERALL BY GANG COMPARISON YTD'!$A$6:$AS$48</definedName>
    <definedName name="_xlnm._FilterDatabase" localSheetId="1" hidden="1">'OVERALL BY GANG COMPARISON YTD2'!$A$6:$AP$48</definedName>
    <definedName name="budget2024">'FFB Budget 2024'!$C$5:$U$57</definedName>
    <definedName name="coupe" localSheetId="18">'FFB Budget 2024'!#REF!</definedName>
    <definedName name="coupe">'FFB Budget 2025'!$W$5:$Z$55</definedName>
    <definedName name="DARSO">'DARSO GANG'!$A$7:$BH$14</definedName>
    <definedName name="ERDI">'YUDI GANG'!$A$7:$BH$9</definedName>
    <definedName name="fbticket" localSheetId="18">'[1]FFB TICKET(DAY BY DAY) (2)'!$G$6:$R$303+'FFB Budget 2024'!$C$5:$U$56</definedName>
    <definedName name="fbticket">'[1]FFB TICKET(DAY BY DAY) (2)'!$G$6:$R$303+'FFB Budget 2025'!$C$5:$U$56</definedName>
    <definedName name="ffbbudgettwofive" localSheetId="18">'FFB Budget 2024'!$C$5:$U$100</definedName>
    <definedName name="ffbbudgettwofive">'FFB Budget 2025'!$C$5:$U$100</definedName>
    <definedName name="harvestinground">'HARVESTING ROUND'!$B$3:$J$36</definedName>
    <definedName name="ironhorsediesel">'[1]REPORT DIESEL'!$B$97:$AO$119</definedName>
    <definedName name="july">'HARVESTING ROUND'!$N$3:$Y$37</definedName>
    <definedName name="machinestatus">'[1]DAILY MACHINE REPORT'!$B$76:$AQ$97</definedName>
    <definedName name="manday">'HARVESTING INTERVAL- Dec'!$C$5:$BG$76</definedName>
    <definedName name="NURAZANI">'NU AZANI GANG'!$A$7:$BH$12</definedName>
    <definedName name="october2024">'HARVESTING INTERVAL- NOV 24'!$C$5:$BG$76</definedName>
    <definedName name="_xlnm.Print_Area" localSheetId="15">'4.4 Harvesting Round Record'!$A$1:$KX$50</definedName>
    <definedName name="_xlnm.Print_Area" localSheetId="6">'DARSO GANG'!$A$1:$J$33</definedName>
    <definedName name="_xlnm.Print_Area" localSheetId="13">'HARVESTING INTERVAL- Dec'!$A$1:$BG$92</definedName>
    <definedName name="_xlnm.Print_Area" localSheetId="12">'[2]HARVESTING INTERVAL- OCTOBER 24'!$A$1:$BG$92</definedName>
    <definedName name="_xlnm.Print_Area" localSheetId="9">'NU AZANI GANG'!$A$1:$J$35</definedName>
    <definedName name="_xlnm.Print_Area" localSheetId="3">OVERALL!$A$1:$H$26</definedName>
    <definedName name="_xlnm.Print_Area" localSheetId="4">'OVERALL BY GANG'!$A$1:$O$31</definedName>
    <definedName name="_xlnm.Print_Area" localSheetId="16">'OVERALL BY GANG COMPARISON'!$A$1:$O$62</definedName>
    <definedName name="_xlnm.Print_Area" localSheetId="21">'OVERALL BY GANG COMPARISON summ'!$A$1:$I$55</definedName>
    <definedName name="_xlnm.Print_Area" localSheetId="17">'OVERALL BY GANG COMPARISON V2.'!$A$1:$S$106</definedName>
    <definedName name="_xlnm.Print_Area" localSheetId="0">'OVERALL BY GANG COMPARISON V3'!$A$1:$N$151</definedName>
    <definedName name="_xlnm.Print_Area" localSheetId="2">'OVERALL BY GANG COMPARISON YTD'!$A$1:$M$54</definedName>
    <definedName name="_xlnm.Print_Area" localSheetId="1">'OVERALL BY GANG COMPARISON YTD2'!$A$1:$J$54</definedName>
    <definedName name="_xlnm.Print_Area" localSheetId="8">'SOFIO GANG'!$A$1:$J$35</definedName>
    <definedName name="_xlnm.Print_Area" localSheetId="10">'WENDERLINUS GANG '!$A$1:$J$35</definedName>
    <definedName name="_xlnm.Print_Area" localSheetId="7">'YUDI GANG'!$A$1:$J$31</definedName>
    <definedName name="_xlnm.Print_Area" localSheetId="5">'YUVENTUS UN GANG'!$A$1:$J$29</definedName>
    <definedName name="_xlnm.Print_Titles" localSheetId="18">'FFB Budget 2024'!$1:$3</definedName>
    <definedName name="_xlnm.Print_Titles" localSheetId="19">'FFB Budget 2025'!$1:$3</definedName>
    <definedName name="_xlnm.Print_Titles" localSheetId="20">'Harvesting Record VS FFB BUDGET'!$1:$2</definedName>
    <definedName name="SERAN">'SOFIO GANG'!$A$7:$BH$12</definedName>
    <definedName name="WENDERLINUS">'WENDERLINUS GANG '!$A$7:$BH$14</definedName>
    <definedName name="year2022to23">'4.4 Harvesting Round Record'!$B$9:$XFD$50</definedName>
    <definedName name="YUVENTUS">'YUVENTUS UN GANG'!$A$7:$BH$9</definedName>
    <definedName name="yuventus2">'[3]YUVENTUS UN GANG'!$A$7:$BH$9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7" i="31" l="1"/>
  <c r="AJ47" i="31"/>
  <c r="AI47" i="31"/>
  <c r="AH47" i="31"/>
  <c r="AG47" i="31"/>
  <c r="AF47" i="31"/>
  <c r="AE47" i="31"/>
  <c r="AD47" i="31"/>
  <c r="AC47" i="31"/>
  <c r="AB47" i="31"/>
  <c r="AA47" i="31"/>
  <c r="Z47" i="31"/>
  <c r="F47" i="31"/>
  <c r="G47" i="31"/>
  <c r="C47" i="31"/>
  <c r="AK46" i="31"/>
  <c r="AJ46" i="31"/>
  <c r="AI46" i="31"/>
  <c r="AH46" i="31"/>
  <c r="AG46" i="31"/>
  <c r="AF46" i="31"/>
  <c r="AE46" i="31"/>
  <c r="AD46" i="31"/>
  <c r="AC46" i="31"/>
  <c r="AB46" i="31"/>
  <c r="AA46" i="31"/>
  <c r="Z46" i="31"/>
  <c r="F46" i="31"/>
  <c r="G46" i="31"/>
  <c r="C46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F43" i="31"/>
  <c r="G43" i="31"/>
  <c r="C43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F42" i="31"/>
  <c r="G42" i="31"/>
  <c r="C42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F41" i="31"/>
  <c r="G41" i="31"/>
  <c r="C41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F40" i="31"/>
  <c r="G40" i="31"/>
  <c r="C40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F39" i="31"/>
  <c r="G39" i="31"/>
  <c r="C39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F38" i="31"/>
  <c r="G38" i="31"/>
  <c r="C38" i="31"/>
  <c r="AK37" i="31"/>
  <c r="AJ37" i="31"/>
  <c r="AI37" i="31"/>
  <c r="AH37" i="31"/>
  <c r="AG37" i="31"/>
  <c r="AF37" i="31"/>
  <c r="AE37" i="31"/>
  <c r="AD37" i="31"/>
  <c r="AC37" i="31"/>
  <c r="AB37" i="31"/>
  <c r="AA37" i="31"/>
  <c r="Z37" i="31"/>
  <c r="F37" i="31"/>
  <c r="G37" i="31"/>
  <c r="C37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F34" i="31"/>
  <c r="G34" i="31"/>
  <c r="C34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F33" i="31"/>
  <c r="G33" i="31"/>
  <c r="C33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F32" i="31"/>
  <c r="G32" i="31"/>
  <c r="C32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F31" i="31"/>
  <c r="G31" i="31"/>
  <c r="C31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F30" i="31"/>
  <c r="G30" i="31"/>
  <c r="C30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F27" i="31"/>
  <c r="G27" i="31"/>
  <c r="C27" i="31"/>
  <c r="AK26" i="31"/>
  <c r="AJ26" i="31"/>
  <c r="AI26" i="31"/>
  <c r="AH26" i="31"/>
  <c r="AG26" i="31"/>
  <c r="AF26" i="31"/>
  <c r="AE26" i="31"/>
  <c r="AD26" i="31"/>
  <c r="AC26" i="31"/>
  <c r="AB26" i="31"/>
  <c r="AA26" i="31"/>
  <c r="Z26" i="31"/>
  <c r="F26" i="31"/>
  <c r="G26" i="31"/>
  <c r="C26" i="31"/>
  <c r="AK25" i="31"/>
  <c r="AJ25" i="31"/>
  <c r="AI25" i="31"/>
  <c r="AH25" i="31"/>
  <c r="AG25" i="31"/>
  <c r="AF25" i="31"/>
  <c r="AE25" i="31"/>
  <c r="AD25" i="31"/>
  <c r="AC25" i="31"/>
  <c r="AB25" i="31"/>
  <c r="AA25" i="31"/>
  <c r="Z25" i="31"/>
  <c r="F25" i="31"/>
  <c r="G25" i="31"/>
  <c r="C25" i="31"/>
  <c r="AK24" i="31"/>
  <c r="AJ24" i="31"/>
  <c r="AI24" i="31"/>
  <c r="AH24" i="31"/>
  <c r="AG24" i="31"/>
  <c r="AF24" i="31"/>
  <c r="AE24" i="31"/>
  <c r="AD24" i="31"/>
  <c r="AC24" i="31"/>
  <c r="AB24" i="31"/>
  <c r="AA24" i="31"/>
  <c r="Z24" i="31"/>
  <c r="F24" i="31"/>
  <c r="G24" i="31"/>
  <c r="C24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F23" i="31"/>
  <c r="G23" i="31"/>
  <c r="C23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F22" i="31"/>
  <c r="G22" i="31"/>
  <c r="C22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F21" i="31"/>
  <c r="G21" i="31"/>
  <c r="C21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F18" i="31"/>
  <c r="G18" i="31"/>
  <c r="C18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F17" i="31"/>
  <c r="G17" i="31"/>
  <c r="C17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F16" i="31"/>
  <c r="G16" i="31"/>
  <c r="C16" i="31"/>
  <c r="AK15" i="31"/>
  <c r="AJ15" i="31"/>
  <c r="AI15" i="31"/>
  <c r="AH15" i="31"/>
  <c r="AG15" i="31"/>
  <c r="AF15" i="31"/>
  <c r="AE15" i="31"/>
  <c r="AD15" i="31"/>
  <c r="AC15" i="31"/>
  <c r="AB15" i="31"/>
  <c r="AA15" i="31"/>
  <c r="Z15" i="31"/>
  <c r="F15" i="31"/>
  <c r="G15" i="31"/>
  <c r="C15" i="31"/>
  <c r="AK14" i="31"/>
  <c r="AJ14" i="31"/>
  <c r="AI14" i="31"/>
  <c r="AH14" i="31"/>
  <c r="AG14" i="31"/>
  <c r="AF14" i="31"/>
  <c r="AE14" i="31"/>
  <c r="AD14" i="31"/>
  <c r="AC14" i="31"/>
  <c r="AB14" i="31"/>
  <c r="AA14" i="31"/>
  <c r="Z14" i="31"/>
  <c r="F14" i="31"/>
  <c r="G14" i="31"/>
  <c r="C14" i="31"/>
  <c r="AK13" i="31"/>
  <c r="AJ13" i="31"/>
  <c r="AI13" i="31"/>
  <c r="AH13" i="31"/>
  <c r="AG13" i="31"/>
  <c r="AF13" i="31"/>
  <c r="AE13" i="31"/>
  <c r="AD13" i="31"/>
  <c r="AC13" i="31"/>
  <c r="AB13" i="31"/>
  <c r="AA13" i="31"/>
  <c r="Z13" i="31"/>
  <c r="F13" i="31"/>
  <c r="G13" i="31"/>
  <c r="C13" i="31"/>
  <c r="AK12" i="31"/>
  <c r="AJ12" i="31"/>
  <c r="AI12" i="31"/>
  <c r="AH12" i="31"/>
  <c r="AG12" i="31"/>
  <c r="AF12" i="31"/>
  <c r="AE12" i="31"/>
  <c r="AD12" i="31"/>
  <c r="AC12" i="31"/>
  <c r="AB12" i="31"/>
  <c r="AA12" i="31"/>
  <c r="Z12" i="31"/>
  <c r="F12" i="31"/>
  <c r="G12" i="31"/>
  <c r="C12" i="31"/>
  <c r="AK11" i="31"/>
  <c r="AJ11" i="31"/>
  <c r="AI11" i="31"/>
  <c r="AH11" i="31"/>
  <c r="AG11" i="31"/>
  <c r="AF11" i="31"/>
  <c r="AE11" i="31"/>
  <c r="AD11" i="31"/>
  <c r="AC11" i="31"/>
  <c r="AB11" i="31"/>
  <c r="AA11" i="31"/>
  <c r="Z11" i="31"/>
  <c r="F11" i="31"/>
  <c r="G11" i="31"/>
  <c r="C11" i="31"/>
  <c r="AK10" i="31"/>
  <c r="AJ10" i="31"/>
  <c r="AI10" i="31"/>
  <c r="AH10" i="31"/>
  <c r="AG10" i="31"/>
  <c r="AF10" i="31"/>
  <c r="AE10" i="31"/>
  <c r="AD10" i="31"/>
  <c r="AC10" i="31"/>
  <c r="AB10" i="31"/>
  <c r="AA10" i="31"/>
  <c r="Z10" i="31"/>
  <c r="F10" i="31"/>
  <c r="G10" i="31"/>
  <c r="C10" i="31"/>
  <c r="AK9" i="31"/>
  <c r="AJ9" i="31"/>
  <c r="AI9" i="31"/>
  <c r="AH9" i="31"/>
  <c r="AG9" i="31"/>
  <c r="AF9" i="31"/>
  <c r="AE9" i="31"/>
  <c r="AD9" i="31"/>
  <c r="AC9" i="31"/>
  <c r="AB9" i="31"/>
  <c r="AA9" i="31"/>
  <c r="Z9" i="31"/>
  <c r="F9" i="31"/>
  <c r="G9" i="31"/>
  <c r="C9" i="31"/>
  <c r="AK8" i="31"/>
  <c r="AJ8" i="31"/>
  <c r="AI8" i="31"/>
  <c r="AH8" i="31"/>
  <c r="AG8" i="31"/>
  <c r="AF8" i="31"/>
  <c r="AE8" i="31"/>
  <c r="AD8" i="31"/>
  <c r="AC8" i="31"/>
  <c r="AB8" i="31"/>
  <c r="AA8" i="31"/>
  <c r="Z8" i="31"/>
  <c r="F8" i="31"/>
  <c r="G8" i="31"/>
  <c r="C8" i="31"/>
  <c r="AK7" i="31"/>
  <c r="AJ7" i="31"/>
  <c r="AI7" i="31"/>
  <c r="AH7" i="31"/>
  <c r="AG7" i="31"/>
  <c r="AF7" i="31"/>
  <c r="AE7" i="31"/>
  <c r="AD7" i="31"/>
  <c r="AC7" i="31"/>
  <c r="AB7" i="31"/>
  <c r="AA7" i="31"/>
  <c r="Z7" i="31"/>
  <c r="F7" i="31"/>
  <c r="G7" i="31"/>
  <c r="C7" i="31"/>
  <c r="C4" i="11"/>
  <c r="G47" i="28"/>
  <c r="G46" i="28"/>
  <c r="G43" i="28"/>
  <c r="G42" i="28"/>
  <c r="G41" i="28"/>
  <c r="G40" i="28"/>
  <c r="G39" i="28"/>
  <c r="G38" i="28"/>
  <c r="G37" i="28"/>
  <c r="G34" i="28"/>
  <c r="G33" i="28"/>
  <c r="G32" i="28"/>
  <c r="G31" i="28"/>
  <c r="G30" i="28"/>
  <c r="G27" i="28"/>
  <c r="G26" i="28"/>
  <c r="G25" i="28"/>
  <c r="G24" i="28"/>
  <c r="G23" i="28"/>
  <c r="G22" i="28"/>
  <c r="G21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H59" i="30"/>
  <c r="U5" i="30"/>
  <c r="P5" i="30" s="1"/>
  <c r="R55" i="30"/>
  <c r="T55" i="30"/>
  <c r="S55" i="30"/>
  <c r="L55" i="30"/>
  <c r="K55" i="30"/>
  <c r="U54" i="30"/>
  <c r="P54" i="30" s="1"/>
  <c r="H50" i="30"/>
  <c r="U48" i="30"/>
  <c r="O48" i="30" s="1"/>
  <c r="R48" i="30"/>
  <c r="Q48" i="30"/>
  <c r="P48" i="30"/>
  <c r="K48" i="30"/>
  <c r="U47" i="30"/>
  <c r="T47" i="30" s="1"/>
  <c r="U46" i="30"/>
  <c r="R46" i="30" s="1"/>
  <c r="U45" i="30"/>
  <c r="O45" i="30" s="1"/>
  <c r="R45" i="30"/>
  <c r="Q45" i="30"/>
  <c r="I45" i="30"/>
  <c r="U44" i="30"/>
  <c r="R44" i="30" s="1"/>
  <c r="T44" i="30"/>
  <c r="S44" i="30"/>
  <c r="U42" i="30"/>
  <c r="T42" i="30" s="1"/>
  <c r="Q42" i="30"/>
  <c r="P42" i="30"/>
  <c r="O42" i="30"/>
  <c r="I42" i="30"/>
  <c r="U41" i="30"/>
  <c r="S41" i="30" s="1"/>
  <c r="T41" i="30"/>
  <c r="H35" i="30"/>
  <c r="U34" i="30"/>
  <c r="N34" i="30" s="1"/>
  <c r="S34" i="30"/>
  <c r="R34" i="30"/>
  <c r="Q34" i="30"/>
  <c r="P34" i="30"/>
  <c r="I34" i="30"/>
  <c r="U33" i="30"/>
  <c r="T33" i="30" s="1"/>
  <c r="Q33" i="30"/>
  <c r="P33" i="30"/>
  <c r="U32" i="30"/>
  <c r="S32" i="30" s="1"/>
  <c r="T32" i="30"/>
  <c r="L32" i="30"/>
  <c r="U31" i="30"/>
  <c r="Q31" i="30" s="1"/>
  <c r="U30" i="30"/>
  <c r="N30" i="30" s="1"/>
  <c r="S30" i="30"/>
  <c r="J30" i="30"/>
  <c r="I30" i="30"/>
  <c r="H27" i="30"/>
  <c r="U26" i="30"/>
  <c r="S26" i="30" s="1"/>
  <c r="L26" i="30"/>
  <c r="U25" i="30"/>
  <c r="Q25" i="30" s="1"/>
  <c r="T25" i="30"/>
  <c r="S25" i="30"/>
  <c r="R25" i="30"/>
  <c r="U24" i="30"/>
  <c r="N24" i="30" s="1"/>
  <c r="S24" i="30"/>
  <c r="R24" i="30"/>
  <c r="Q24" i="30"/>
  <c r="P24" i="30"/>
  <c r="I24" i="30"/>
  <c r="U23" i="30"/>
  <c r="T23" i="30" s="1"/>
  <c r="Q23" i="30"/>
  <c r="P23" i="30"/>
  <c r="U22" i="30"/>
  <c r="S22" i="30" s="1"/>
  <c r="T22" i="30"/>
  <c r="L22" i="30"/>
  <c r="U21" i="30"/>
  <c r="Q21" i="30" s="1"/>
  <c r="U20" i="30"/>
  <c r="N20" i="30" s="1"/>
  <c r="S20" i="30"/>
  <c r="I20" i="30"/>
  <c r="H17" i="30"/>
  <c r="U16" i="30"/>
  <c r="S16" i="30" s="1"/>
  <c r="L16" i="30"/>
  <c r="U15" i="30"/>
  <c r="Q15" i="30" s="1"/>
  <c r="U14" i="30"/>
  <c r="N14" i="30" s="1"/>
  <c r="S14" i="30"/>
  <c r="R14" i="30"/>
  <c r="I14" i="30"/>
  <c r="U13" i="30"/>
  <c r="T13" i="30" s="1"/>
  <c r="U12" i="30"/>
  <c r="S12" i="30" s="1"/>
  <c r="T12" i="30"/>
  <c r="U11" i="30"/>
  <c r="Q11" i="30" s="1"/>
  <c r="S11" i="30"/>
  <c r="R11" i="30"/>
  <c r="L11" i="30"/>
  <c r="K11" i="30"/>
  <c r="J11" i="30"/>
  <c r="U10" i="30"/>
  <c r="N10" i="30" s="1"/>
  <c r="S10" i="30"/>
  <c r="Q10" i="30"/>
  <c r="P10" i="30"/>
  <c r="O10" i="30"/>
  <c r="M10" i="30"/>
  <c r="K10" i="30"/>
  <c r="J10" i="30"/>
  <c r="I10" i="30"/>
  <c r="U9" i="30"/>
  <c r="T9" i="30" s="1"/>
  <c r="Q9" i="30"/>
  <c r="P9" i="30"/>
  <c r="O9" i="30"/>
  <c r="N9" i="30"/>
  <c r="M9" i="30"/>
  <c r="I9" i="30"/>
  <c r="U8" i="30"/>
  <c r="S8" i="30" s="1"/>
  <c r="L8" i="30"/>
  <c r="U7" i="30"/>
  <c r="Q7" i="30" s="1"/>
  <c r="T7" i="30"/>
  <c r="S7" i="30"/>
  <c r="R7" i="30"/>
  <c r="U6" i="30"/>
  <c r="N6" i="30" s="1"/>
  <c r="S6" i="30"/>
  <c r="R6" i="30"/>
  <c r="Q6" i="30"/>
  <c r="P6" i="30"/>
  <c r="I6" i="30"/>
  <c r="T5" i="30"/>
  <c r="Q5" i="30"/>
  <c r="O5" i="30"/>
  <c r="J27" i="31" l="1"/>
  <c r="J17" i="31"/>
  <c r="J32" i="31"/>
  <c r="J34" i="31"/>
  <c r="J16" i="31"/>
  <c r="J33" i="31"/>
  <c r="F36" i="31"/>
  <c r="C29" i="31"/>
  <c r="J12" i="31"/>
  <c r="J42" i="31"/>
  <c r="F45" i="31"/>
  <c r="J30" i="31"/>
  <c r="J47" i="31"/>
  <c r="J11" i="31"/>
  <c r="C6" i="31"/>
  <c r="J13" i="31"/>
  <c r="C45" i="31"/>
  <c r="J46" i="31"/>
  <c r="J41" i="31"/>
  <c r="J43" i="31"/>
  <c r="J9" i="31"/>
  <c r="F20" i="31"/>
  <c r="J23" i="31"/>
  <c r="J8" i="31"/>
  <c r="J25" i="31"/>
  <c r="J40" i="31"/>
  <c r="J14" i="31"/>
  <c r="J38" i="31"/>
  <c r="G20" i="31"/>
  <c r="G36" i="31"/>
  <c r="G6" i="31"/>
  <c r="J26" i="31"/>
  <c r="F6" i="31"/>
  <c r="J24" i="31"/>
  <c r="G29" i="31"/>
  <c r="J39" i="31"/>
  <c r="C36" i="31"/>
  <c r="J22" i="31"/>
  <c r="F29" i="31"/>
  <c r="J37" i="31"/>
  <c r="G45" i="31"/>
  <c r="J21" i="31"/>
  <c r="J7" i="31"/>
  <c r="J15" i="31"/>
  <c r="C20" i="31"/>
  <c r="J10" i="31"/>
  <c r="J18" i="31"/>
  <c r="J31" i="31"/>
  <c r="I13" i="30"/>
  <c r="K20" i="30"/>
  <c r="J31" i="30"/>
  <c r="K14" i="30"/>
  <c r="K21" i="30"/>
  <c r="U27" i="30"/>
  <c r="U35" i="30" s="1"/>
  <c r="M30" i="30"/>
  <c r="M14" i="30"/>
  <c r="I23" i="30"/>
  <c r="K6" i="30"/>
  <c r="J7" i="30"/>
  <c r="T8" i="30"/>
  <c r="R10" i="30"/>
  <c r="T11" i="30"/>
  <c r="O13" i="30"/>
  <c r="O14" i="30"/>
  <c r="T16" i="30"/>
  <c r="P20" i="30"/>
  <c r="R21" i="30"/>
  <c r="M23" i="30"/>
  <c r="K24" i="30"/>
  <c r="J25" i="30"/>
  <c r="T26" i="30"/>
  <c r="P30" i="30"/>
  <c r="P35" i="30" s="1"/>
  <c r="R31" i="30"/>
  <c r="M33" i="30"/>
  <c r="K34" i="30"/>
  <c r="K44" i="30"/>
  <c r="I5" i="30"/>
  <c r="J21" i="30"/>
  <c r="M13" i="30"/>
  <c r="N13" i="30"/>
  <c r="L21" i="30"/>
  <c r="J24" i="30"/>
  <c r="L31" i="30"/>
  <c r="J34" i="30"/>
  <c r="M6" i="30"/>
  <c r="P13" i="30"/>
  <c r="P14" i="30"/>
  <c r="Q20" i="30"/>
  <c r="Q27" i="30" s="1"/>
  <c r="S21" i="30"/>
  <c r="N23" i="30"/>
  <c r="M24" i="30"/>
  <c r="K25" i="30"/>
  <c r="Q30" i="30"/>
  <c r="Q35" i="30" s="1"/>
  <c r="S31" i="30"/>
  <c r="N33" i="30"/>
  <c r="M34" i="30"/>
  <c r="L44" i="30"/>
  <c r="U50" i="30"/>
  <c r="J20" i="30"/>
  <c r="J14" i="30"/>
  <c r="K30" i="30"/>
  <c r="M20" i="30"/>
  <c r="K31" i="30"/>
  <c r="J6" i="30"/>
  <c r="O20" i="30"/>
  <c r="O30" i="30"/>
  <c r="I33" i="30"/>
  <c r="M5" i="30"/>
  <c r="K7" i="30"/>
  <c r="N5" i="30"/>
  <c r="O6" i="30"/>
  <c r="L7" i="30"/>
  <c r="L12" i="30"/>
  <c r="Q13" i="30"/>
  <c r="Q14" i="30"/>
  <c r="R20" i="30"/>
  <c r="T21" i="30"/>
  <c r="O23" i="30"/>
  <c r="O24" i="30"/>
  <c r="L25" i="30"/>
  <c r="R30" i="30"/>
  <c r="T31" i="30"/>
  <c r="O33" i="30"/>
  <c r="O34" i="30"/>
  <c r="M44" i="30"/>
  <c r="I54" i="30"/>
  <c r="J54" i="30"/>
  <c r="M54" i="30"/>
  <c r="N54" i="30"/>
  <c r="R54" i="30"/>
  <c r="R56" i="30" s="1"/>
  <c r="S54" i="30"/>
  <c r="S56" i="30" s="1"/>
  <c r="T54" i="30"/>
  <c r="T56" i="30" s="1"/>
  <c r="K54" i="30"/>
  <c r="K56" i="30" s="1"/>
  <c r="L54" i="30"/>
  <c r="L56" i="30" s="1"/>
  <c r="U56" i="30"/>
  <c r="Q54" i="30"/>
  <c r="S48" i="30"/>
  <c r="I48" i="30"/>
  <c r="J48" i="30"/>
  <c r="S46" i="30"/>
  <c r="K46" i="30"/>
  <c r="T46" i="30"/>
  <c r="L46" i="30"/>
  <c r="N45" i="30"/>
  <c r="J45" i="30"/>
  <c r="S45" i="30"/>
  <c r="K45" i="30"/>
  <c r="T45" i="30"/>
  <c r="L45" i="30"/>
  <c r="M45" i="30"/>
  <c r="P45" i="30"/>
  <c r="L41" i="30"/>
  <c r="N48" i="30"/>
  <c r="L48" i="30"/>
  <c r="T48" i="30"/>
  <c r="M48" i="30"/>
  <c r="N44" i="30"/>
  <c r="O44" i="30"/>
  <c r="P44" i="30"/>
  <c r="I44" i="30"/>
  <c r="Q44" i="30"/>
  <c r="J44" i="30"/>
  <c r="M42" i="30"/>
  <c r="N42" i="30"/>
  <c r="R15" i="30"/>
  <c r="J15" i="30"/>
  <c r="K15" i="30"/>
  <c r="L15" i="30"/>
  <c r="S15" i="30"/>
  <c r="T15" i="30"/>
  <c r="U17" i="30"/>
  <c r="M47" i="30"/>
  <c r="M26" i="30"/>
  <c r="M32" i="30"/>
  <c r="M41" i="30"/>
  <c r="N47" i="30"/>
  <c r="N32" i="30"/>
  <c r="N35" i="30" s="1"/>
  <c r="O47" i="30"/>
  <c r="M55" i="30"/>
  <c r="M11" i="30"/>
  <c r="O12" i="30"/>
  <c r="O41" i="30"/>
  <c r="N46" i="30"/>
  <c r="J5" i="30"/>
  <c r="R5" i="30"/>
  <c r="L6" i="30"/>
  <c r="T6" i="30"/>
  <c r="N7" i="30"/>
  <c r="P8" i="30"/>
  <c r="J9" i="30"/>
  <c r="R9" i="30"/>
  <c r="L10" i="30"/>
  <c r="T10" i="30"/>
  <c r="N11" i="30"/>
  <c r="P12" i="30"/>
  <c r="J13" i="30"/>
  <c r="R13" i="30"/>
  <c r="L14" i="30"/>
  <c r="T14" i="30"/>
  <c r="N15" i="30"/>
  <c r="P16" i="30"/>
  <c r="L20" i="30"/>
  <c r="T20" i="30"/>
  <c r="N21" i="30"/>
  <c r="P22" i="30"/>
  <c r="J23" i="30"/>
  <c r="R23" i="30"/>
  <c r="L24" i="30"/>
  <c r="T24" i="30"/>
  <c r="N25" i="30"/>
  <c r="P26" i="30"/>
  <c r="L30" i="30"/>
  <c r="T30" i="30"/>
  <c r="N31" i="30"/>
  <c r="P32" i="30"/>
  <c r="J33" i="30"/>
  <c r="R33" i="30"/>
  <c r="L34" i="30"/>
  <c r="T34" i="30"/>
  <c r="P41" i="30"/>
  <c r="J42" i="30"/>
  <c r="R42" i="30"/>
  <c r="O46" i="30"/>
  <c r="I47" i="30"/>
  <c r="Q47" i="30"/>
  <c r="O55" i="30"/>
  <c r="H56" i="30"/>
  <c r="M16" i="30"/>
  <c r="N8" i="30"/>
  <c r="N22" i="30"/>
  <c r="N41" i="30"/>
  <c r="M46" i="30"/>
  <c r="M15" i="30"/>
  <c r="O22" i="30"/>
  <c r="M25" i="30"/>
  <c r="M31" i="30"/>
  <c r="O32" i="30"/>
  <c r="P47" i="30"/>
  <c r="N55" i="30"/>
  <c r="K5" i="30"/>
  <c r="S5" i="30"/>
  <c r="O7" i="30"/>
  <c r="I8" i="30"/>
  <c r="Q8" i="30"/>
  <c r="K9" i="30"/>
  <c r="S9" i="30"/>
  <c r="O11" i="30"/>
  <c r="I12" i="30"/>
  <c r="Q12" i="30"/>
  <c r="Q17" i="30" s="1"/>
  <c r="K13" i="30"/>
  <c r="S13" i="30"/>
  <c r="O15" i="30"/>
  <c r="I16" i="30"/>
  <c r="Q16" i="30"/>
  <c r="O21" i="30"/>
  <c r="I22" i="30"/>
  <c r="Q22" i="30"/>
  <c r="K23" i="30"/>
  <c r="S23" i="30"/>
  <c r="S27" i="30" s="1"/>
  <c r="O25" i="30"/>
  <c r="I26" i="30"/>
  <c r="Q26" i="30"/>
  <c r="O31" i="30"/>
  <c r="O35" i="30" s="1"/>
  <c r="I32" i="30"/>
  <c r="Q32" i="30"/>
  <c r="K33" i="30"/>
  <c r="S33" i="30"/>
  <c r="S35" i="30" s="1"/>
  <c r="I41" i="30"/>
  <c r="Q41" i="30"/>
  <c r="K42" i="30"/>
  <c r="S42" i="30"/>
  <c r="P46" i="30"/>
  <c r="J47" i="30"/>
  <c r="R47" i="30"/>
  <c r="P55" i="30"/>
  <c r="P56" i="30" s="1"/>
  <c r="M12" i="30"/>
  <c r="M22" i="30"/>
  <c r="N26" i="30"/>
  <c r="O8" i="30"/>
  <c r="O16" i="30"/>
  <c r="O26" i="30"/>
  <c r="L5" i="30"/>
  <c r="P7" i="30"/>
  <c r="J8" i="30"/>
  <c r="R8" i="30"/>
  <c r="L9" i="30"/>
  <c r="P11" i="30"/>
  <c r="J12" i="30"/>
  <c r="R12" i="30"/>
  <c r="L13" i="30"/>
  <c r="P15" i="30"/>
  <c r="J16" i="30"/>
  <c r="R16" i="30"/>
  <c r="P21" i="30"/>
  <c r="J22" i="30"/>
  <c r="R22" i="30"/>
  <c r="R27" i="30" s="1"/>
  <c r="L23" i="30"/>
  <c r="P25" i="30"/>
  <c r="J26" i="30"/>
  <c r="R26" i="30"/>
  <c r="P31" i="30"/>
  <c r="J32" i="30"/>
  <c r="R32" i="30"/>
  <c r="L33" i="30"/>
  <c r="J41" i="30"/>
  <c r="R41" i="30"/>
  <c r="L42" i="30"/>
  <c r="I46" i="30"/>
  <c r="Q46" i="30"/>
  <c r="K47" i="30"/>
  <c r="S47" i="30"/>
  <c r="O54" i="30"/>
  <c r="I55" i="30"/>
  <c r="I56" i="30" s="1"/>
  <c r="Q55" i="30"/>
  <c r="M8" i="30"/>
  <c r="N12" i="30"/>
  <c r="N16" i="30"/>
  <c r="M7" i="30"/>
  <c r="M21" i="30"/>
  <c r="I7" i="30"/>
  <c r="I17" i="30" s="1"/>
  <c r="K8" i="30"/>
  <c r="I11" i="30"/>
  <c r="K12" i="30"/>
  <c r="I15" i="30"/>
  <c r="K16" i="30"/>
  <c r="I21" i="30"/>
  <c r="I27" i="30" s="1"/>
  <c r="K22" i="30"/>
  <c r="K27" i="30" s="1"/>
  <c r="I25" i="30"/>
  <c r="K26" i="30"/>
  <c r="I31" i="30"/>
  <c r="K32" i="30"/>
  <c r="K41" i="30"/>
  <c r="J46" i="30"/>
  <c r="L47" i="30"/>
  <c r="J55" i="30"/>
  <c r="C49" i="31" l="1"/>
  <c r="J36" i="31"/>
  <c r="J20" i="31"/>
  <c r="J45" i="31"/>
  <c r="J29" i="31"/>
  <c r="F49" i="31"/>
  <c r="G49" i="31"/>
  <c r="J6" i="31"/>
  <c r="M35" i="30"/>
  <c r="R35" i="30"/>
  <c r="J27" i="30"/>
  <c r="T27" i="30"/>
  <c r="T17" i="30"/>
  <c r="M56" i="30"/>
  <c r="S50" i="30"/>
  <c r="J35" i="30"/>
  <c r="I35" i="30"/>
  <c r="Q56" i="30"/>
  <c r="P27" i="30"/>
  <c r="L17" i="30"/>
  <c r="K35" i="30"/>
  <c r="O17" i="30"/>
  <c r="N27" i="30"/>
  <c r="L27" i="30"/>
  <c r="J56" i="30"/>
  <c r="N56" i="30"/>
  <c r="T50" i="30"/>
  <c r="L50" i="30"/>
  <c r="J50" i="30"/>
  <c r="R50" i="30"/>
  <c r="P17" i="30"/>
  <c r="U59" i="30"/>
  <c r="N17" i="30"/>
  <c r="R17" i="30"/>
  <c r="O56" i="30"/>
  <c r="S17" i="30"/>
  <c r="M27" i="30"/>
  <c r="M17" i="30"/>
  <c r="N50" i="30"/>
  <c r="N59" i="30" s="1"/>
  <c r="M50" i="30"/>
  <c r="Q50" i="30"/>
  <c r="T35" i="30"/>
  <c r="K17" i="30"/>
  <c r="J17" i="30"/>
  <c r="O27" i="30"/>
  <c r="O50" i="30"/>
  <c r="K50" i="30"/>
  <c r="I50" i="30"/>
  <c r="I59" i="30" s="1"/>
  <c r="P50" i="30"/>
  <c r="L35" i="30"/>
  <c r="J49" i="31" l="1"/>
  <c r="S59" i="30"/>
  <c r="R59" i="30"/>
  <c r="L59" i="30"/>
  <c r="Q59" i="30"/>
  <c r="T59" i="30"/>
  <c r="J59" i="30"/>
  <c r="O59" i="30"/>
  <c r="P59" i="30"/>
  <c r="M59" i="30"/>
  <c r="K59" i="30"/>
  <c r="AN47" i="28" l="1"/>
  <c r="AM47" i="28"/>
  <c r="AL47" i="28"/>
  <c r="AK47" i="28"/>
  <c r="AJ47" i="28"/>
  <c r="AI47" i="28"/>
  <c r="AH47" i="28"/>
  <c r="AG47" i="28"/>
  <c r="AF47" i="28"/>
  <c r="AE47" i="28"/>
  <c r="AD47" i="28"/>
  <c r="AC47" i="28"/>
  <c r="C47" i="28"/>
  <c r="AN46" i="28"/>
  <c r="AM46" i="28"/>
  <c r="AL46" i="28"/>
  <c r="AK46" i="28"/>
  <c r="AJ46" i="28"/>
  <c r="AI46" i="28"/>
  <c r="AH46" i="28"/>
  <c r="AG46" i="28"/>
  <c r="AF46" i="28"/>
  <c r="AE46" i="28"/>
  <c r="AD46" i="28"/>
  <c r="AC46" i="28"/>
  <c r="C46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C43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C42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C40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C39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C38" i="28"/>
  <c r="AN37" i="28"/>
  <c r="AM37" i="28"/>
  <c r="AL37" i="28"/>
  <c r="AK37" i="28"/>
  <c r="AJ37" i="28"/>
  <c r="AI37" i="28"/>
  <c r="AH37" i="28"/>
  <c r="AG37" i="28"/>
  <c r="AF37" i="28"/>
  <c r="AE37" i="28"/>
  <c r="AD37" i="28"/>
  <c r="AC37" i="28"/>
  <c r="C3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C27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C22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C21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C17" i="28"/>
  <c r="AN15" i="28"/>
  <c r="AM15" i="28"/>
  <c r="AL15" i="28"/>
  <c r="AK15" i="28"/>
  <c r="AJ15" i="28"/>
  <c r="AI15" i="28"/>
  <c r="AH15" i="28"/>
  <c r="AG15" i="28"/>
  <c r="AF15" i="28"/>
  <c r="AE15" i="28"/>
  <c r="AD15" i="28"/>
  <c r="AC15" i="28"/>
  <c r="C15" i="28"/>
  <c r="AN14" i="28"/>
  <c r="AM14" i="28"/>
  <c r="AL14" i="28"/>
  <c r="AK14" i="28"/>
  <c r="AJ14" i="28"/>
  <c r="AI14" i="28"/>
  <c r="AH14" i="28"/>
  <c r="AG14" i="28"/>
  <c r="AF14" i="28"/>
  <c r="AE14" i="28"/>
  <c r="AD14" i="28"/>
  <c r="AC14" i="28"/>
  <c r="C1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C34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C18" i="28"/>
  <c r="AN13" i="28"/>
  <c r="AM13" i="28"/>
  <c r="AL13" i="28"/>
  <c r="AK13" i="28"/>
  <c r="AJ13" i="28"/>
  <c r="AI13" i="28"/>
  <c r="AH13" i="28"/>
  <c r="AG13" i="28"/>
  <c r="AF13" i="28"/>
  <c r="AE13" i="28"/>
  <c r="AD13" i="28"/>
  <c r="AC13" i="28"/>
  <c r="C13" i="28"/>
  <c r="AN12" i="28"/>
  <c r="AM12" i="28"/>
  <c r="AL12" i="28"/>
  <c r="AK12" i="28"/>
  <c r="AJ12" i="28"/>
  <c r="AI12" i="28"/>
  <c r="AH12" i="28"/>
  <c r="AG12" i="28"/>
  <c r="AF12" i="28"/>
  <c r="AE12" i="28"/>
  <c r="AD12" i="28"/>
  <c r="AC12" i="28"/>
  <c r="C12" i="28"/>
  <c r="AN11" i="28"/>
  <c r="AM11" i="28"/>
  <c r="AL11" i="28"/>
  <c r="AK11" i="28"/>
  <c r="AJ11" i="28"/>
  <c r="AI11" i="28"/>
  <c r="AH11" i="28"/>
  <c r="AG11" i="28"/>
  <c r="AF11" i="28"/>
  <c r="AE11" i="28"/>
  <c r="AD11" i="28"/>
  <c r="AC11" i="28"/>
  <c r="C11" i="28"/>
  <c r="AN10" i="28"/>
  <c r="AM10" i="28"/>
  <c r="AL10" i="28"/>
  <c r="AK10" i="28"/>
  <c r="AJ10" i="28"/>
  <c r="AI10" i="28"/>
  <c r="AH10" i="28"/>
  <c r="AG10" i="28"/>
  <c r="AF10" i="28"/>
  <c r="AE10" i="28"/>
  <c r="AD10" i="28"/>
  <c r="AC10" i="28"/>
  <c r="C10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C41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C16" i="28"/>
  <c r="AN8" i="28"/>
  <c r="AM8" i="28"/>
  <c r="AL8" i="28"/>
  <c r="AK8" i="28"/>
  <c r="AJ8" i="28"/>
  <c r="AI8" i="28"/>
  <c r="AH8" i="28"/>
  <c r="AG8" i="28"/>
  <c r="AF8" i="28"/>
  <c r="AE8" i="28"/>
  <c r="AD8" i="28"/>
  <c r="AC8" i="28"/>
  <c r="C8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C33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C32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C31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C30" i="28"/>
  <c r="AN26" i="28"/>
  <c r="AM26" i="28"/>
  <c r="AL26" i="28"/>
  <c r="AK26" i="28"/>
  <c r="AJ26" i="28"/>
  <c r="AI26" i="28"/>
  <c r="AH26" i="28"/>
  <c r="AG26" i="28"/>
  <c r="AF26" i="28"/>
  <c r="AE26" i="28"/>
  <c r="AD26" i="28"/>
  <c r="AC26" i="28"/>
  <c r="C26" i="28"/>
  <c r="AN25" i="28"/>
  <c r="AM25" i="28"/>
  <c r="AL25" i="28"/>
  <c r="AK25" i="28"/>
  <c r="AJ25" i="28"/>
  <c r="AI25" i="28"/>
  <c r="AH25" i="28"/>
  <c r="AG25" i="28"/>
  <c r="AF25" i="28"/>
  <c r="AE25" i="28"/>
  <c r="AD25" i="28"/>
  <c r="AC25" i="28"/>
  <c r="C25" i="28"/>
  <c r="AN24" i="28"/>
  <c r="AM24" i="28"/>
  <c r="AL24" i="28"/>
  <c r="AK24" i="28"/>
  <c r="AJ24" i="28"/>
  <c r="AI24" i="28"/>
  <c r="AH24" i="28"/>
  <c r="AG24" i="28"/>
  <c r="AF24" i="28"/>
  <c r="AE24" i="28"/>
  <c r="AD24" i="28"/>
  <c r="AC24" i="28"/>
  <c r="C24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C23" i="28"/>
  <c r="AN9" i="28"/>
  <c r="AM9" i="28"/>
  <c r="AL9" i="28"/>
  <c r="AK9" i="28"/>
  <c r="AJ9" i="28"/>
  <c r="AI9" i="28"/>
  <c r="AH9" i="28"/>
  <c r="AG9" i="28"/>
  <c r="AF9" i="28"/>
  <c r="AE9" i="28"/>
  <c r="AD9" i="28"/>
  <c r="AC9" i="28"/>
  <c r="C9" i="28"/>
  <c r="AN7" i="28"/>
  <c r="AM7" i="28"/>
  <c r="AL7" i="28"/>
  <c r="AK7" i="28"/>
  <c r="AJ7" i="28"/>
  <c r="AI7" i="28"/>
  <c r="AH7" i="28"/>
  <c r="AG7" i="28"/>
  <c r="AF7" i="28"/>
  <c r="AE7" i="28"/>
  <c r="AD7" i="28"/>
  <c r="AC7" i="28"/>
  <c r="C7" i="28"/>
  <c r="C14" i="9"/>
  <c r="C13" i="9"/>
  <c r="C12" i="9"/>
  <c r="C11" i="9"/>
  <c r="C10" i="9"/>
  <c r="C9" i="9"/>
  <c r="C8" i="9"/>
  <c r="C7" i="9"/>
  <c r="C12" i="15"/>
  <c r="C11" i="15"/>
  <c r="C10" i="15"/>
  <c r="C9" i="15"/>
  <c r="C8" i="15"/>
  <c r="C7" i="15"/>
  <c r="C12" i="8"/>
  <c r="C11" i="8"/>
  <c r="C10" i="8"/>
  <c r="C9" i="8"/>
  <c r="C8" i="8"/>
  <c r="C7" i="8"/>
  <c r="C9" i="7"/>
  <c r="C8" i="7"/>
  <c r="C7" i="7"/>
  <c r="C13" i="6"/>
  <c r="C12" i="6"/>
  <c r="C11" i="6"/>
  <c r="C10" i="6"/>
  <c r="C9" i="6"/>
  <c r="C8" i="6"/>
  <c r="C7" i="6"/>
  <c r="C9" i="1"/>
  <c r="C8" i="1"/>
  <c r="C7" i="1"/>
  <c r="IP47" i="22"/>
  <c r="IP41" i="22"/>
  <c r="IP36" i="22"/>
  <c r="IP35" i="22"/>
  <c r="IP34" i="22"/>
  <c r="IP33" i="22"/>
  <c r="KR50" i="22"/>
  <c r="KQ50" i="22"/>
  <c r="KP50" i="22"/>
  <c r="KO50" i="22"/>
  <c r="C20" i="28" l="1"/>
  <c r="C6" i="28"/>
  <c r="C45" i="28"/>
  <c r="C36" i="28"/>
  <c r="C29" i="28"/>
  <c r="KS49" i="22"/>
  <c r="KS48" i="22"/>
  <c r="KS47" i="22"/>
  <c r="KS46" i="22"/>
  <c r="KS45" i="22"/>
  <c r="KS44" i="22"/>
  <c r="KS43" i="22"/>
  <c r="KS42" i="22"/>
  <c r="KS41" i="22"/>
  <c r="KS40" i="22"/>
  <c r="KS39" i="22"/>
  <c r="KS38" i="22"/>
  <c r="KS37" i="22"/>
  <c r="KS36" i="22"/>
  <c r="KS35" i="22"/>
  <c r="KS34" i="22"/>
  <c r="KS33" i="22"/>
  <c r="KS32" i="22"/>
  <c r="KS31" i="22"/>
  <c r="KS30" i="22"/>
  <c r="KS29" i="22"/>
  <c r="KS28" i="22"/>
  <c r="KS27" i="22"/>
  <c r="KS26" i="22"/>
  <c r="KS25" i="22"/>
  <c r="KS24" i="22"/>
  <c r="KS23" i="22"/>
  <c r="KS22" i="22"/>
  <c r="KS21" i="22"/>
  <c r="KS20" i="22"/>
  <c r="KS19" i="22"/>
  <c r="KS18" i="22"/>
  <c r="KS17" i="22"/>
  <c r="KS16" i="22"/>
  <c r="KS15" i="22"/>
  <c r="KS14" i="22"/>
  <c r="KS13" i="22"/>
  <c r="KS12" i="22"/>
  <c r="KS11" i="22"/>
  <c r="KS10" i="22"/>
  <c r="KS9" i="22"/>
  <c r="KN9" i="22"/>
  <c r="AQ69" i="18"/>
  <c r="AQ61" i="18"/>
  <c r="AQ53" i="18"/>
  <c r="AQ51" i="18"/>
  <c r="AQ49" i="18"/>
  <c r="AQ47" i="18"/>
  <c r="AQ45" i="18"/>
  <c r="AQ41" i="18"/>
  <c r="AQ37" i="18"/>
  <c r="AQ33" i="18"/>
  <c r="AQ31" i="18"/>
  <c r="AQ29" i="18"/>
  <c r="AQ25" i="18"/>
  <c r="AQ23" i="18"/>
  <c r="AQ15" i="18"/>
  <c r="AQ13" i="18"/>
  <c r="AQ7" i="18"/>
  <c r="AQ5" i="18"/>
  <c r="AK69" i="18"/>
  <c r="AK67" i="18"/>
  <c r="AK65" i="18"/>
  <c r="AK63" i="18"/>
  <c r="AK61" i="18"/>
  <c r="AK59" i="18"/>
  <c r="AK57" i="18"/>
  <c r="AK55" i="18"/>
  <c r="AK53" i="18"/>
  <c r="AK51" i="18"/>
  <c r="AK49" i="18"/>
  <c r="AK47" i="18"/>
  <c r="AK45" i="18"/>
  <c r="AK43" i="18"/>
  <c r="AK41" i="18"/>
  <c r="AK39" i="18"/>
  <c r="AK37" i="18"/>
  <c r="AK35" i="18"/>
  <c r="AK33" i="18"/>
  <c r="AK31" i="18"/>
  <c r="AK29" i="18"/>
  <c r="AK27" i="18"/>
  <c r="AK25" i="18"/>
  <c r="AK23" i="18"/>
  <c r="AK21" i="18"/>
  <c r="AK19" i="18"/>
  <c r="AK17" i="18"/>
  <c r="AK15" i="18"/>
  <c r="AK13" i="18"/>
  <c r="AK11" i="18"/>
  <c r="AK9" i="18"/>
  <c r="AK7" i="18"/>
  <c r="AK5" i="18"/>
  <c r="C49" i="28" l="1"/>
  <c r="AW51" i="25"/>
  <c r="AW49" i="25"/>
  <c r="AW39" i="25"/>
  <c r="AW29" i="25"/>
  <c r="AW27" i="25"/>
  <c r="AQ75" i="25"/>
  <c r="AQ69" i="25"/>
  <c r="AQ63" i="25"/>
  <c r="AQ61" i="25"/>
  <c r="AQ59" i="25"/>
  <c r="AQ57" i="25"/>
  <c r="AQ55" i="25"/>
  <c r="AQ53" i="25"/>
  <c r="AQ51" i="25"/>
  <c r="AQ49" i="25"/>
  <c r="AQ47" i="25"/>
  <c r="AQ45" i="25"/>
  <c r="AQ43" i="25"/>
  <c r="AQ41" i="25"/>
  <c r="AQ39" i="25"/>
  <c r="AQ37" i="25"/>
  <c r="AQ35" i="25"/>
  <c r="AQ33" i="25"/>
  <c r="AQ31" i="25"/>
  <c r="AQ29" i="25"/>
  <c r="AQ27" i="25"/>
  <c r="AQ25" i="25"/>
  <c r="AQ23" i="25"/>
  <c r="AQ21" i="25"/>
  <c r="AQ19" i="25"/>
  <c r="AQ17" i="25"/>
  <c r="AQ15" i="25"/>
  <c r="AQ13" i="25"/>
  <c r="AQ9" i="25"/>
  <c r="AQ7" i="25"/>
  <c r="AQ5" i="25"/>
  <c r="AK69" i="25"/>
  <c r="AK67" i="25"/>
  <c r="AK65" i="25"/>
  <c r="AK63" i="25"/>
  <c r="AK61" i="25"/>
  <c r="AK59" i="25"/>
  <c r="AK57" i="25"/>
  <c r="AK55" i="25"/>
  <c r="AK53" i="25"/>
  <c r="AK51" i="25"/>
  <c r="AK49" i="25"/>
  <c r="AK47" i="25"/>
  <c r="AK45" i="25"/>
  <c r="AK43" i="25"/>
  <c r="AK41" i="25"/>
  <c r="AK39" i="25"/>
  <c r="AK37" i="25"/>
  <c r="AK35" i="25"/>
  <c r="AK33" i="25"/>
  <c r="AK31" i="25"/>
  <c r="AK29" i="25"/>
  <c r="AK27" i="25"/>
  <c r="AK25" i="25"/>
  <c r="AK23" i="25"/>
  <c r="AK21" i="25"/>
  <c r="AK19" i="25"/>
  <c r="AK17" i="25"/>
  <c r="AK15" i="25"/>
  <c r="AK13" i="25"/>
  <c r="AK11" i="25"/>
  <c r="AK9" i="25"/>
  <c r="AK7" i="25"/>
  <c r="AK5" i="25"/>
  <c r="AI75" i="25"/>
  <c r="AI75" i="18" l="1"/>
  <c r="Y7" i="27" l="1"/>
  <c r="Z7" i="27"/>
  <c r="AA7" i="27"/>
  <c r="AB7" i="27"/>
  <c r="AC7" i="27"/>
  <c r="AD7" i="27"/>
  <c r="AE7" i="27"/>
  <c r="AF7" i="27"/>
  <c r="AG7" i="27"/>
  <c r="AH7" i="27"/>
  <c r="AI7" i="27"/>
  <c r="AJ7" i="27"/>
  <c r="Y8" i="27"/>
  <c r="Z8" i="27"/>
  <c r="AA8" i="27"/>
  <c r="AB8" i="27"/>
  <c r="AC8" i="27"/>
  <c r="AD8" i="27"/>
  <c r="AE8" i="27"/>
  <c r="AF8" i="27"/>
  <c r="AG8" i="27"/>
  <c r="AH8" i="27"/>
  <c r="AI8" i="27"/>
  <c r="AJ8" i="27"/>
  <c r="Y9" i="27"/>
  <c r="Z9" i="27"/>
  <c r="AA9" i="27"/>
  <c r="AB9" i="27"/>
  <c r="AC9" i="27"/>
  <c r="AD9" i="27"/>
  <c r="AE9" i="27"/>
  <c r="AF9" i="27"/>
  <c r="AG9" i="27"/>
  <c r="AH9" i="27"/>
  <c r="AI9" i="27"/>
  <c r="AJ9" i="27"/>
  <c r="Y12" i="27"/>
  <c r="Z12" i="27"/>
  <c r="AA12" i="27"/>
  <c r="AB12" i="27"/>
  <c r="AC12" i="27"/>
  <c r="AD12" i="27"/>
  <c r="AE12" i="27"/>
  <c r="AF12" i="27"/>
  <c r="AG12" i="27"/>
  <c r="AH12" i="27"/>
  <c r="AI12" i="27"/>
  <c r="AJ12" i="27"/>
  <c r="Y13" i="27"/>
  <c r="Z13" i="27"/>
  <c r="AA13" i="27"/>
  <c r="AB13" i="27"/>
  <c r="AC13" i="27"/>
  <c r="AD13" i="27"/>
  <c r="AE13" i="27"/>
  <c r="AF13" i="27"/>
  <c r="AG13" i="27"/>
  <c r="AH13" i="27"/>
  <c r="AI13" i="27"/>
  <c r="AJ13" i="27"/>
  <c r="Y14" i="27"/>
  <c r="Z14" i="27"/>
  <c r="AA14" i="27"/>
  <c r="AB14" i="27"/>
  <c r="AC14" i="27"/>
  <c r="AD14" i="27"/>
  <c r="AE14" i="27"/>
  <c r="AF14" i="27"/>
  <c r="AG14" i="27"/>
  <c r="AH14" i="27"/>
  <c r="AI14" i="27"/>
  <c r="AJ14" i="27"/>
  <c r="Y15" i="27"/>
  <c r="Z15" i="27"/>
  <c r="AA15" i="27"/>
  <c r="AB15" i="27"/>
  <c r="AC15" i="27"/>
  <c r="AD15" i="27"/>
  <c r="AE15" i="27"/>
  <c r="AF15" i="27"/>
  <c r="AG15" i="27"/>
  <c r="AH15" i="27"/>
  <c r="AI15" i="27"/>
  <c r="AJ15" i="27"/>
  <c r="Y16" i="27"/>
  <c r="Z16" i="27"/>
  <c r="AA16" i="27"/>
  <c r="AB16" i="27"/>
  <c r="AC16" i="27"/>
  <c r="AD16" i="27"/>
  <c r="AE16" i="27"/>
  <c r="AF16" i="27"/>
  <c r="AG16" i="27"/>
  <c r="AH16" i="27"/>
  <c r="AI16" i="27"/>
  <c r="AJ16" i="27"/>
  <c r="Y17" i="27"/>
  <c r="Z17" i="27"/>
  <c r="AA17" i="27"/>
  <c r="AB17" i="27"/>
  <c r="AC17" i="27"/>
  <c r="AD17" i="27"/>
  <c r="AE17" i="27"/>
  <c r="AF17" i="27"/>
  <c r="AG17" i="27"/>
  <c r="AH17" i="27"/>
  <c r="AI17" i="27"/>
  <c r="AJ17" i="27"/>
  <c r="Y18" i="27"/>
  <c r="Z18" i="27"/>
  <c r="AA18" i="27"/>
  <c r="AB18" i="27"/>
  <c r="AC18" i="27"/>
  <c r="AD18" i="27"/>
  <c r="AE18" i="27"/>
  <c r="AF18" i="27"/>
  <c r="AG18" i="27"/>
  <c r="AH18" i="27"/>
  <c r="AI18" i="27"/>
  <c r="AJ18" i="27"/>
  <c r="Y21" i="27"/>
  <c r="Z21" i="27"/>
  <c r="AA21" i="27"/>
  <c r="AB21" i="27"/>
  <c r="AC21" i="27"/>
  <c r="AD21" i="27"/>
  <c r="AE21" i="27"/>
  <c r="AF21" i="27"/>
  <c r="AG21" i="27"/>
  <c r="AH21" i="27"/>
  <c r="AI21" i="27"/>
  <c r="AJ21" i="27"/>
  <c r="Y22" i="27"/>
  <c r="Z22" i="27"/>
  <c r="AA22" i="27"/>
  <c r="AB22" i="27"/>
  <c r="AC22" i="27"/>
  <c r="AD22" i="27"/>
  <c r="AE22" i="27"/>
  <c r="AF22" i="27"/>
  <c r="AG22" i="27"/>
  <c r="AH22" i="27"/>
  <c r="AI22" i="27"/>
  <c r="AJ22" i="27"/>
  <c r="Y23" i="27"/>
  <c r="Z23" i="27"/>
  <c r="AA23" i="27"/>
  <c r="AB23" i="27"/>
  <c r="AC23" i="27"/>
  <c r="AD23" i="27"/>
  <c r="AE23" i="27"/>
  <c r="AF23" i="27"/>
  <c r="AG23" i="27"/>
  <c r="AH23" i="27"/>
  <c r="AI23" i="27"/>
  <c r="AJ23" i="27"/>
  <c r="Y26" i="27"/>
  <c r="Z26" i="27"/>
  <c r="AA26" i="27"/>
  <c r="AB26" i="27"/>
  <c r="AC26" i="27"/>
  <c r="AD26" i="27"/>
  <c r="AE26" i="27"/>
  <c r="AF26" i="27"/>
  <c r="AG26" i="27"/>
  <c r="AH26" i="27"/>
  <c r="AI26" i="27"/>
  <c r="AJ26" i="27"/>
  <c r="Y27" i="27"/>
  <c r="Z27" i="27"/>
  <c r="AA27" i="27"/>
  <c r="AB27" i="27"/>
  <c r="AC27" i="27"/>
  <c r="AD27" i="27"/>
  <c r="AE27" i="27"/>
  <c r="AF27" i="27"/>
  <c r="AG27" i="27"/>
  <c r="AH27" i="27"/>
  <c r="AI27" i="27"/>
  <c r="AJ27" i="27"/>
  <c r="Y28" i="27"/>
  <c r="Z28" i="27"/>
  <c r="AA28" i="27"/>
  <c r="AB28" i="27"/>
  <c r="AC28" i="27"/>
  <c r="AD28" i="27"/>
  <c r="AE28" i="27"/>
  <c r="AF28" i="27"/>
  <c r="AG28" i="27"/>
  <c r="AH28" i="27"/>
  <c r="AI28" i="27"/>
  <c r="AJ28" i="27"/>
  <c r="Y29" i="27"/>
  <c r="Z29" i="27"/>
  <c r="AA29" i="27"/>
  <c r="AB29" i="27"/>
  <c r="AC29" i="27"/>
  <c r="AD29" i="27"/>
  <c r="AE29" i="27"/>
  <c r="AF29" i="27"/>
  <c r="AG29" i="27"/>
  <c r="AH29" i="27"/>
  <c r="AI29" i="27"/>
  <c r="AJ29" i="27"/>
  <c r="Y30" i="27"/>
  <c r="Z30" i="27"/>
  <c r="AA30" i="27"/>
  <c r="AB30" i="27"/>
  <c r="AC30" i="27"/>
  <c r="AD30" i="27"/>
  <c r="AE30" i="27"/>
  <c r="AF30" i="27"/>
  <c r="AG30" i="27"/>
  <c r="AH30" i="27"/>
  <c r="AI30" i="27"/>
  <c r="AJ30" i="27"/>
  <c r="Y31" i="27"/>
  <c r="Z31" i="27"/>
  <c r="AA31" i="27"/>
  <c r="AB31" i="27"/>
  <c r="AC31" i="27"/>
  <c r="AD31" i="27"/>
  <c r="AE31" i="27"/>
  <c r="AF31" i="27"/>
  <c r="AG31" i="27"/>
  <c r="AH31" i="27"/>
  <c r="AI31" i="27"/>
  <c r="AJ31" i="27"/>
  <c r="Y34" i="27"/>
  <c r="Z34" i="27"/>
  <c r="AA34" i="27"/>
  <c r="AB34" i="27"/>
  <c r="AC34" i="27"/>
  <c r="AD34" i="27"/>
  <c r="AE34" i="27"/>
  <c r="AF34" i="27"/>
  <c r="AG34" i="27"/>
  <c r="AH34" i="27"/>
  <c r="AI34" i="27"/>
  <c r="AJ34" i="27"/>
  <c r="Y35" i="27"/>
  <c r="Z35" i="27"/>
  <c r="AA35" i="27"/>
  <c r="AB35" i="27"/>
  <c r="AC35" i="27"/>
  <c r="AD35" i="27"/>
  <c r="AE35" i="27"/>
  <c r="AF35" i="27"/>
  <c r="AG35" i="27"/>
  <c r="AH35" i="27"/>
  <c r="AI35" i="27"/>
  <c r="AJ35" i="27"/>
  <c r="Y36" i="27"/>
  <c r="Z36" i="27"/>
  <c r="AA36" i="27"/>
  <c r="AB36" i="27"/>
  <c r="AC36" i="27"/>
  <c r="AD36" i="27"/>
  <c r="AE36" i="27"/>
  <c r="AF36" i="27"/>
  <c r="AG36" i="27"/>
  <c r="AH36" i="27"/>
  <c r="AI36" i="27"/>
  <c r="AJ36" i="27"/>
  <c r="Y37" i="27"/>
  <c r="Z37" i="27"/>
  <c r="AA37" i="27"/>
  <c r="AB37" i="27"/>
  <c r="AC37" i="27"/>
  <c r="AD37" i="27"/>
  <c r="AE37" i="27"/>
  <c r="AF37" i="27"/>
  <c r="AG37" i="27"/>
  <c r="AH37" i="27"/>
  <c r="AI37" i="27"/>
  <c r="AJ37" i="27"/>
  <c r="Y38" i="27"/>
  <c r="Z38" i="27"/>
  <c r="AA38" i="27"/>
  <c r="AB38" i="27"/>
  <c r="AC38" i="27"/>
  <c r="AD38" i="27"/>
  <c r="AE38" i="27"/>
  <c r="AF38" i="27"/>
  <c r="AG38" i="27"/>
  <c r="AH38" i="27"/>
  <c r="AI38" i="27"/>
  <c r="AJ38" i="27"/>
  <c r="Y39" i="27"/>
  <c r="Z39" i="27"/>
  <c r="AA39" i="27"/>
  <c r="AB39" i="27"/>
  <c r="AC39" i="27"/>
  <c r="AD39" i="27"/>
  <c r="AE39" i="27"/>
  <c r="AF39" i="27"/>
  <c r="AG39" i="27"/>
  <c r="AH39" i="27"/>
  <c r="AI39" i="27"/>
  <c r="AJ39" i="27"/>
  <c r="Y42" i="27"/>
  <c r="Z42" i="27"/>
  <c r="AA42" i="27"/>
  <c r="AB42" i="27"/>
  <c r="AC42" i="27"/>
  <c r="AD42" i="27"/>
  <c r="AE42" i="27"/>
  <c r="AF42" i="27"/>
  <c r="AG42" i="27"/>
  <c r="AH42" i="27"/>
  <c r="AI42" i="27"/>
  <c r="AJ42" i="27"/>
  <c r="Y43" i="27"/>
  <c r="Z43" i="27"/>
  <c r="AA43" i="27"/>
  <c r="AB43" i="27"/>
  <c r="AC43" i="27"/>
  <c r="AD43" i="27"/>
  <c r="AE43" i="27"/>
  <c r="AF43" i="27"/>
  <c r="AG43" i="27"/>
  <c r="AH43" i="27"/>
  <c r="AI43" i="27"/>
  <c r="AJ43" i="27"/>
  <c r="Y44" i="27"/>
  <c r="Z44" i="27"/>
  <c r="AA44" i="27"/>
  <c r="AB44" i="27"/>
  <c r="AC44" i="27"/>
  <c r="AD44" i="27"/>
  <c r="AE44" i="27"/>
  <c r="AF44" i="27"/>
  <c r="AG44" i="27"/>
  <c r="AH44" i="27"/>
  <c r="AI44" i="27"/>
  <c r="AJ44" i="27"/>
  <c r="Y45" i="27"/>
  <c r="Z45" i="27"/>
  <c r="AA45" i="27"/>
  <c r="AB45" i="27"/>
  <c r="AC45" i="27"/>
  <c r="AD45" i="27"/>
  <c r="AE45" i="27"/>
  <c r="AF45" i="27"/>
  <c r="AG45" i="27"/>
  <c r="AH45" i="27"/>
  <c r="AI45" i="27"/>
  <c r="AJ45" i="27"/>
  <c r="Y46" i="27"/>
  <c r="Z46" i="27"/>
  <c r="AA46" i="27"/>
  <c r="AB46" i="27"/>
  <c r="AC46" i="27"/>
  <c r="AD46" i="27"/>
  <c r="AE46" i="27"/>
  <c r="AF46" i="27"/>
  <c r="AG46" i="27"/>
  <c r="AH46" i="27"/>
  <c r="AI46" i="27"/>
  <c r="AJ46" i="27"/>
  <c r="Y47" i="27"/>
  <c r="Z47" i="27"/>
  <c r="AA47" i="27"/>
  <c r="AB47" i="27"/>
  <c r="AC47" i="27"/>
  <c r="AD47" i="27"/>
  <c r="AE47" i="27"/>
  <c r="AF47" i="27"/>
  <c r="AG47" i="27"/>
  <c r="AH47" i="27"/>
  <c r="AI47" i="27"/>
  <c r="AJ47" i="27"/>
  <c r="Y48" i="27"/>
  <c r="Z48" i="27"/>
  <c r="AA48" i="27"/>
  <c r="AB48" i="27"/>
  <c r="AC48" i="27"/>
  <c r="AD48" i="27"/>
  <c r="AE48" i="27"/>
  <c r="AF48" i="27"/>
  <c r="AG48" i="27"/>
  <c r="AH48" i="27"/>
  <c r="AI48" i="27"/>
  <c r="AJ48" i="27"/>
  <c r="Y49" i="27"/>
  <c r="Z49" i="27"/>
  <c r="AA49" i="27"/>
  <c r="AB49" i="27"/>
  <c r="AC49" i="27"/>
  <c r="AD49" i="27"/>
  <c r="AE49" i="27"/>
  <c r="AF49" i="27"/>
  <c r="AG49" i="27"/>
  <c r="AH49" i="27"/>
  <c r="AI49" i="27"/>
  <c r="AJ49" i="27"/>
  <c r="C49" i="27"/>
  <c r="C48" i="27"/>
  <c r="C47" i="27"/>
  <c r="C46" i="27"/>
  <c r="C45" i="27"/>
  <c r="C44" i="27"/>
  <c r="C43" i="27"/>
  <c r="C42" i="27"/>
  <c r="C41" i="27"/>
  <c r="C39" i="27"/>
  <c r="C38" i="27"/>
  <c r="C37" i="27"/>
  <c r="C36" i="27"/>
  <c r="C35" i="27"/>
  <c r="C34" i="27"/>
  <c r="C33" i="27"/>
  <c r="C31" i="27"/>
  <c r="C30" i="27"/>
  <c r="C29" i="27"/>
  <c r="C28" i="27"/>
  <c r="C27" i="27"/>
  <c r="C26" i="27"/>
  <c r="C25" i="27"/>
  <c r="C23" i="27"/>
  <c r="C22" i="27"/>
  <c r="C21" i="27"/>
  <c r="C20" i="27"/>
  <c r="C18" i="27"/>
  <c r="C17" i="27"/>
  <c r="C16" i="27"/>
  <c r="C15" i="27"/>
  <c r="C14" i="27"/>
  <c r="C13" i="27"/>
  <c r="C12" i="27"/>
  <c r="C11" i="27"/>
  <c r="C9" i="27"/>
  <c r="C8" i="27"/>
  <c r="C7" i="27"/>
  <c r="C6" i="27"/>
  <c r="AA38" i="24"/>
  <c r="Z38" i="24"/>
  <c r="X38" i="24" s="1"/>
  <c r="Y38" i="24"/>
  <c r="AA37" i="24"/>
  <c r="Y37" i="24"/>
  <c r="AA36" i="24"/>
  <c r="Y36" i="24"/>
  <c r="AA35" i="24"/>
  <c r="Y35" i="24"/>
  <c r="AA34" i="24"/>
  <c r="Y34" i="24"/>
  <c r="AA33" i="24"/>
  <c r="Y33" i="24"/>
  <c r="AA32" i="24"/>
  <c r="Z32" i="24"/>
  <c r="X32" i="24" s="1"/>
  <c r="Y32" i="24"/>
  <c r="AA31" i="24"/>
  <c r="Y31" i="24"/>
  <c r="AA30" i="24"/>
  <c r="Y30" i="24"/>
  <c r="AA29" i="24"/>
  <c r="Y29" i="24"/>
  <c r="AA28" i="24"/>
  <c r="Y28" i="24"/>
  <c r="AA27" i="24"/>
  <c r="Y27" i="24"/>
  <c r="AA26" i="24"/>
  <c r="Y26" i="24"/>
  <c r="AA25" i="24"/>
  <c r="Y25" i="24"/>
  <c r="AA24" i="24"/>
  <c r="Z24" i="24"/>
  <c r="X24" i="24" s="1"/>
  <c r="Y24" i="24"/>
  <c r="AA23" i="24"/>
  <c r="Y23" i="24"/>
  <c r="AA22" i="24"/>
  <c r="Z22" i="24"/>
  <c r="X22" i="24" s="1"/>
  <c r="Y22" i="24"/>
  <c r="AA21" i="24"/>
  <c r="Y21" i="24"/>
  <c r="AA20" i="24"/>
  <c r="Y20" i="24"/>
  <c r="AA19" i="24"/>
  <c r="Y19" i="24"/>
  <c r="AA18" i="24"/>
  <c r="Y18" i="24"/>
  <c r="AA17" i="24"/>
  <c r="Y17" i="24"/>
  <c r="AA16" i="24"/>
  <c r="Z16" i="24"/>
  <c r="X16" i="24" s="1"/>
  <c r="Y16" i="24"/>
  <c r="AA15" i="24"/>
  <c r="Y15" i="24"/>
  <c r="AA14" i="24"/>
  <c r="Z14" i="24"/>
  <c r="X14" i="24" s="1"/>
  <c r="Y14" i="24"/>
  <c r="AA13" i="24"/>
  <c r="Y13" i="24"/>
  <c r="AA12" i="24"/>
  <c r="Y12" i="24"/>
  <c r="AA11" i="24"/>
  <c r="Y11" i="24"/>
  <c r="AA10" i="24"/>
  <c r="Y10" i="24"/>
  <c r="AA9" i="24"/>
  <c r="Y9" i="24"/>
  <c r="AA8" i="24"/>
  <c r="Z8" i="24"/>
  <c r="X8" i="24" s="1"/>
  <c r="Y8" i="24"/>
  <c r="AA7" i="24"/>
  <c r="Y7" i="24"/>
  <c r="AA6" i="24"/>
  <c r="Z6" i="24"/>
  <c r="X6" i="24" s="1"/>
  <c r="Y6" i="24"/>
  <c r="AA39" i="24"/>
  <c r="Z39" i="24"/>
  <c r="X39" i="24" s="1"/>
  <c r="Y39" i="24"/>
  <c r="AA5" i="24"/>
  <c r="N5" i="24"/>
  <c r="Y5" i="24"/>
  <c r="L5" i="24"/>
  <c r="BA69" i="18"/>
  <c r="Z37" i="24" s="1"/>
  <c r="X37" i="24" s="1"/>
  <c r="BA67" i="18"/>
  <c r="Z36" i="24" s="1"/>
  <c r="X36" i="24" s="1"/>
  <c r="BA65" i="18"/>
  <c r="Z35" i="24" s="1"/>
  <c r="X35" i="24" s="1"/>
  <c r="BA63" i="18"/>
  <c r="Z34" i="24" s="1"/>
  <c r="X34" i="24" s="1"/>
  <c r="BA61" i="18"/>
  <c r="Z33" i="24" s="1"/>
  <c r="X33" i="24" s="1"/>
  <c r="BA59" i="18"/>
  <c r="BA57" i="18"/>
  <c r="Z31" i="24" s="1"/>
  <c r="X31" i="24" s="1"/>
  <c r="BA55" i="18"/>
  <c r="Z30" i="24" s="1"/>
  <c r="X30" i="24" s="1"/>
  <c r="BA53" i="18"/>
  <c r="Z29" i="24" s="1"/>
  <c r="X29" i="24" s="1"/>
  <c r="BA51" i="18"/>
  <c r="Z28" i="24" s="1"/>
  <c r="X28" i="24" s="1"/>
  <c r="BA49" i="18"/>
  <c r="Z27" i="24" s="1"/>
  <c r="X27" i="24" s="1"/>
  <c r="BA47" i="18"/>
  <c r="Z26" i="24" s="1"/>
  <c r="X26" i="24" s="1"/>
  <c r="BA45" i="18"/>
  <c r="Z25" i="24" s="1"/>
  <c r="X25" i="24" s="1"/>
  <c r="BA43" i="18"/>
  <c r="BA41" i="18"/>
  <c r="Z23" i="24" s="1"/>
  <c r="X23" i="24" s="1"/>
  <c r="BA39" i="18"/>
  <c r="BA37" i="18"/>
  <c r="Z21" i="24" s="1"/>
  <c r="X21" i="24" s="1"/>
  <c r="BA35" i="18"/>
  <c r="Z20" i="24" s="1"/>
  <c r="X20" i="24" s="1"/>
  <c r="BA33" i="18"/>
  <c r="Z19" i="24" s="1"/>
  <c r="X19" i="24" s="1"/>
  <c r="BA31" i="18"/>
  <c r="Z18" i="24" s="1"/>
  <c r="X18" i="24" s="1"/>
  <c r="BA29" i="18"/>
  <c r="Z17" i="24" s="1"/>
  <c r="X17" i="24" s="1"/>
  <c r="BA27" i="18"/>
  <c r="BA25" i="18"/>
  <c r="Z15" i="24" s="1"/>
  <c r="X15" i="24" s="1"/>
  <c r="BA23" i="18"/>
  <c r="BA21" i="18"/>
  <c r="Z13" i="24" s="1"/>
  <c r="X13" i="24" s="1"/>
  <c r="BA19" i="18"/>
  <c r="Z12" i="24" s="1"/>
  <c r="X12" i="24" s="1"/>
  <c r="BA17" i="18"/>
  <c r="Z11" i="24" s="1"/>
  <c r="X11" i="24" s="1"/>
  <c r="BA15" i="18"/>
  <c r="Z10" i="24" s="1"/>
  <c r="X10" i="24" s="1"/>
  <c r="BA13" i="18"/>
  <c r="Z9" i="24" s="1"/>
  <c r="X9" i="24" s="1"/>
  <c r="BA11" i="18"/>
  <c r="BA9" i="18"/>
  <c r="Z7" i="24" s="1"/>
  <c r="X7" i="24" s="1"/>
  <c r="BA7" i="18"/>
  <c r="BA5" i="18"/>
  <c r="Z5" i="24" s="1"/>
  <c r="X5" i="24" s="1"/>
  <c r="AO69" i="18"/>
  <c r="AO67" i="18"/>
  <c r="AO65" i="18"/>
  <c r="AO63" i="18"/>
  <c r="AO61" i="18"/>
  <c r="AO59" i="18"/>
  <c r="AO57" i="18"/>
  <c r="AO55" i="18"/>
  <c r="AO53" i="18"/>
  <c r="AO51" i="18"/>
  <c r="AO49" i="18"/>
  <c r="AO47" i="18"/>
  <c r="AO45" i="18"/>
  <c r="AO43" i="18"/>
  <c r="AO41" i="18"/>
  <c r="AO39" i="18"/>
  <c r="AO37" i="18"/>
  <c r="AO35" i="18"/>
  <c r="AO33" i="18"/>
  <c r="AO31" i="18"/>
  <c r="AO29" i="18"/>
  <c r="AO27" i="18"/>
  <c r="AO25" i="18"/>
  <c r="AO23" i="18"/>
  <c r="AO21" i="18"/>
  <c r="AO19" i="18"/>
  <c r="AO17" i="18"/>
  <c r="AO15" i="18"/>
  <c r="AO13" i="18"/>
  <c r="AO11" i="18"/>
  <c r="AO9" i="18"/>
  <c r="AO7" i="18"/>
  <c r="AO5" i="18"/>
  <c r="M6" i="24"/>
  <c r="K6" i="24" s="1"/>
  <c r="BA69" i="25"/>
  <c r="BA67" i="25"/>
  <c r="BA65" i="25"/>
  <c r="BA63" i="25"/>
  <c r="BA61" i="25"/>
  <c r="BA59" i="25"/>
  <c r="BA57" i="25"/>
  <c r="BA55" i="25"/>
  <c r="BA53" i="25"/>
  <c r="BA51" i="25"/>
  <c r="BA49" i="25"/>
  <c r="BA47" i="25"/>
  <c r="BA45" i="25"/>
  <c r="BA43" i="25"/>
  <c r="BA41" i="25"/>
  <c r="BA39" i="25"/>
  <c r="BA37" i="25"/>
  <c r="BA35" i="25"/>
  <c r="BA33" i="25"/>
  <c r="BA31" i="25"/>
  <c r="BA29" i="25"/>
  <c r="BA27" i="25"/>
  <c r="BA25" i="25"/>
  <c r="BA23" i="25"/>
  <c r="BA21" i="25"/>
  <c r="BA19" i="25"/>
  <c r="BA17" i="25"/>
  <c r="BA15" i="25"/>
  <c r="BA13" i="25"/>
  <c r="BA11" i="25"/>
  <c r="BA9" i="25"/>
  <c r="BA7" i="25"/>
  <c r="M5" i="24" s="1"/>
  <c r="K5" i="24" s="1"/>
  <c r="BA5" i="25"/>
  <c r="AU69" i="25"/>
  <c r="AU67" i="25"/>
  <c r="AU65" i="25"/>
  <c r="AU63" i="25"/>
  <c r="AU61" i="25"/>
  <c r="AU59" i="25"/>
  <c r="AU57" i="25"/>
  <c r="AU55" i="25"/>
  <c r="AU53" i="25"/>
  <c r="AU51" i="25"/>
  <c r="AU49" i="25"/>
  <c r="AU47" i="25"/>
  <c r="AU45" i="25"/>
  <c r="AU43" i="25"/>
  <c r="AU41" i="25"/>
  <c r="AU39" i="25"/>
  <c r="AU37" i="25"/>
  <c r="AU35" i="25"/>
  <c r="AU33" i="25"/>
  <c r="AU31" i="25"/>
  <c r="AU29" i="25"/>
  <c r="AU27" i="25"/>
  <c r="AU25" i="25"/>
  <c r="AU23" i="25"/>
  <c r="AU21" i="25"/>
  <c r="AU19" i="25"/>
  <c r="AU17" i="25"/>
  <c r="AU15" i="25"/>
  <c r="AU13" i="25"/>
  <c r="AU11" i="25"/>
  <c r="AU9" i="25"/>
  <c r="AU7" i="25"/>
  <c r="AU5" i="25"/>
  <c r="AJ5" i="25"/>
  <c r="C51" i="27" l="1"/>
  <c r="AO5" i="25"/>
  <c r="AP5" i="25" s="1"/>
  <c r="BD75" i="25"/>
  <c r="BC75" i="25"/>
  <c r="AX75" i="25"/>
  <c r="AW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E76" i="25" s="1"/>
  <c r="BF73" i="25"/>
  <c r="BE73" i="25"/>
  <c r="AJ73" i="25"/>
  <c r="BF71" i="25"/>
  <c r="BE71" i="25"/>
  <c r="AJ71" i="25"/>
  <c r="BF69" i="25"/>
  <c r="BB69" i="25"/>
  <c r="AV69" i="25"/>
  <c r="AO69" i="25"/>
  <c r="AP69" i="25" s="1"/>
  <c r="BE69" i="25"/>
  <c r="AJ69" i="25"/>
  <c r="BF67" i="25"/>
  <c r="BB67" i="25"/>
  <c r="AV67" i="25"/>
  <c r="AO67" i="25"/>
  <c r="AP67" i="25" s="1"/>
  <c r="BE67" i="25"/>
  <c r="AJ67" i="25"/>
  <c r="BF65" i="25"/>
  <c r="BE65" i="25"/>
  <c r="BB65" i="25"/>
  <c r="AV65" i="25"/>
  <c r="AO65" i="25"/>
  <c r="AP65" i="25" s="1"/>
  <c r="AJ65" i="25"/>
  <c r="BF63" i="25"/>
  <c r="BB63" i="25"/>
  <c r="AV63" i="25"/>
  <c r="AO63" i="25"/>
  <c r="AP63" i="25" s="1"/>
  <c r="BE63" i="25"/>
  <c r="AJ63" i="25"/>
  <c r="BF61" i="25"/>
  <c r="BB61" i="25"/>
  <c r="AV61" i="25"/>
  <c r="AO61" i="25"/>
  <c r="AP61" i="25" s="1"/>
  <c r="BE61" i="25"/>
  <c r="AJ61" i="25"/>
  <c r="BF59" i="25"/>
  <c r="BB59" i="25"/>
  <c r="AV59" i="25"/>
  <c r="AO59" i="25"/>
  <c r="AP59" i="25" s="1"/>
  <c r="AJ59" i="25"/>
  <c r="BF57" i="25"/>
  <c r="BB57" i="25"/>
  <c r="AV57" i="25"/>
  <c r="AO57" i="25"/>
  <c r="AP57" i="25" s="1"/>
  <c r="BE57" i="25"/>
  <c r="AJ57" i="25"/>
  <c r="BF55" i="25"/>
  <c r="BB55" i="25"/>
  <c r="AV55" i="25"/>
  <c r="AO55" i="25"/>
  <c r="AP55" i="25" s="1"/>
  <c r="BE55" i="25"/>
  <c r="AJ55" i="25"/>
  <c r="BF53" i="25"/>
  <c r="BE53" i="25"/>
  <c r="BB53" i="25"/>
  <c r="AV53" i="25"/>
  <c r="AO53" i="25"/>
  <c r="AP53" i="25"/>
  <c r="AJ53" i="25"/>
  <c r="BF51" i="25"/>
  <c r="BB51" i="25"/>
  <c r="AV51" i="25"/>
  <c r="AO51" i="25"/>
  <c r="AP51" i="25" s="1"/>
  <c r="BE51" i="25"/>
  <c r="AJ51" i="25"/>
  <c r="BF49" i="25"/>
  <c r="BB49" i="25"/>
  <c r="AV49" i="25"/>
  <c r="AO49" i="25"/>
  <c r="AP49" i="25" s="1"/>
  <c r="BE49" i="25"/>
  <c r="AJ49" i="25"/>
  <c r="BF47" i="25"/>
  <c r="BE47" i="25"/>
  <c r="BB47" i="25"/>
  <c r="AV47" i="25"/>
  <c r="AO47" i="25"/>
  <c r="AP47" i="25" s="1"/>
  <c r="AJ47" i="25"/>
  <c r="BB45" i="25"/>
  <c r="AV45" i="25"/>
  <c r="AO45" i="25"/>
  <c r="AP45" i="25" s="1"/>
  <c r="BF45" i="25"/>
  <c r="AJ45" i="25"/>
  <c r="BB43" i="25"/>
  <c r="AV43" i="25"/>
  <c r="AO43" i="25"/>
  <c r="AP43" i="25" s="1"/>
  <c r="BF43" i="25"/>
  <c r="BE43" i="25"/>
  <c r="AJ43" i="25"/>
  <c r="BF41" i="25"/>
  <c r="BE41" i="25"/>
  <c r="BB41" i="25"/>
  <c r="AV41" i="25"/>
  <c r="AO41" i="25"/>
  <c r="AP41" i="25"/>
  <c r="AJ41" i="25"/>
  <c r="BF39" i="25"/>
  <c r="BB39" i="25"/>
  <c r="AV39" i="25"/>
  <c r="AO39" i="25"/>
  <c r="AP39" i="25" s="1"/>
  <c r="BE39" i="25"/>
  <c r="AJ39" i="25"/>
  <c r="BB37" i="25"/>
  <c r="AV37" i="25"/>
  <c r="AO37" i="25"/>
  <c r="AP37" i="25" s="1"/>
  <c r="BF37" i="25"/>
  <c r="BE37" i="25"/>
  <c r="AJ37" i="25"/>
  <c r="BF35" i="25"/>
  <c r="BB35" i="25"/>
  <c r="AV35" i="25"/>
  <c r="AO35" i="25"/>
  <c r="BE35" i="25"/>
  <c r="AJ35" i="25"/>
  <c r="BF33" i="25"/>
  <c r="BB33" i="25"/>
  <c r="AV33" i="25"/>
  <c r="AO33" i="25"/>
  <c r="AP33" i="25" s="1"/>
  <c r="BE33" i="25"/>
  <c r="AJ33" i="25"/>
  <c r="BF31" i="25"/>
  <c r="BB31" i="25"/>
  <c r="AV31" i="25"/>
  <c r="AO31" i="25"/>
  <c r="AP31" i="25" s="1"/>
  <c r="AJ31" i="25"/>
  <c r="BF29" i="25"/>
  <c r="BB29" i="25"/>
  <c r="AV29" i="25"/>
  <c r="AO29" i="25"/>
  <c r="AP29" i="25" s="1"/>
  <c r="BE29" i="25"/>
  <c r="AJ29" i="25"/>
  <c r="BE27" i="25"/>
  <c r="BB27" i="25"/>
  <c r="AV27" i="25"/>
  <c r="AO27" i="25"/>
  <c r="AP27" i="25" s="1"/>
  <c r="BF27" i="25"/>
  <c r="AJ27" i="25"/>
  <c r="BF25" i="25"/>
  <c r="BB25" i="25"/>
  <c r="AV25" i="25"/>
  <c r="BE25" i="25"/>
  <c r="AO25" i="25"/>
  <c r="AP25" i="25" s="1"/>
  <c r="AJ25" i="25"/>
  <c r="BE23" i="25"/>
  <c r="AV23" i="25"/>
  <c r="AO23" i="25"/>
  <c r="AP23" i="25" s="1"/>
  <c r="BF23" i="25"/>
  <c r="AJ23" i="25"/>
  <c r="BF21" i="25"/>
  <c r="BB21" i="25"/>
  <c r="AV21" i="25"/>
  <c r="AO21" i="25"/>
  <c r="AP21" i="25" s="1"/>
  <c r="BE21" i="25"/>
  <c r="AJ21" i="25"/>
  <c r="BB19" i="25"/>
  <c r="AV19" i="25"/>
  <c r="AO19" i="25"/>
  <c r="AP19" i="25" s="1"/>
  <c r="BF19" i="25"/>
  <c r="AJ19" i="25"/>
  <c r="BF17" i="25"/>
  <c r="BB17" i="25"/>
  <c r="AV17" i="25"/>
  <c r="AO17" i="25"/>
  <c r="BE17" i="25"/>
  <c r="AJ17" i="25"/>
  <c r="BF15" i="25"/>
  <c r="BB15" i="25"/>
  <c r="AV15" i="25"/>
  <c r="AO15" i="25"/>
  <c r="AP15" i="25" s="1"/>
  <c r="BE15" i="25"/>
  <c r="AJ15" i="25"/>
  <c r="BB13" i="25"/>
  <c r="AV13" i="25"/>
  <c r="AO13" i="25"/>
  <c r="AP13" i="25" s="1"/>
  <c r="BF13" i="25"/>
  <c r="AJ13" i="25"/>
  <c r="BF11" i="25"/>
  <c r="BB11" i="25"/>
  <c r="AV11" i="25"/>
  <c r="AO11" i="25"/>
  <c r="AP11" i="25" s="1"/>
  <c r="BE11" i="25"/>
  <c r="AJ11" i="25"/>
  <c r="BF9" i="25"/>
  <c r="BB9" i="25"/>
  <c r="AV9" i="25"/>
  <c r="AO9" i="25"/>
  <c r="BE9" i="25"/>
  <c r="AJ9" i="25"/>
  <c r="BF7" i="25"/>
  <c r="BE7" i="25"/>
  <c r="BB7" i="25"/>
  <c r="AV7" i="25"/>
  <c r="AO7" i="25"/>
  <c r="AP7" i="25" s="1"/>
  <c r="AJ7" i="25"/>
  <c r="BF5" i="25"/>
  <c r="BB5" i="25"/>
  <c r="AV5" i="25"/>
  <c r="BE5" i="25"/>
  <c r="F76" i="25" l="1"/>
  <c r="G76" i="25" s="1"/>
  <c r="H76" i="25" s="1"/>
  <c r="I76" i="25" s="1"/>
  <c r="J76" i="25" s="1"/>
  <c r="K76" i="25" s="1"/>
  <c r="L76" i="25" s="1"/>
  <c r="M76" i="25" s="1"/>
  <c r="N76" i="25" s="1"/>
  <c r="O76" i="25" s="1"/>
  <c r="P76" i="25" s="1"/>
  <c r="Q76" i="25" s="1"/>
  <c r="R76" i="25" s="1"/>
  <c r="S76" i="25" s="1"/>
  <c r="T76" i="25" s="1"/>
  <c r="U76" i="25" s="1"/>
  <c r="V76" i="25" s="1"/>
  <c r="W76" i="25" s="1"/>
  <c r="X76" i="25" s="1"/>
  <c r="Y76" i="25" s="1"/>
  <c r="Z76" i="25" s="1"/>
  <c r="AA76" i="25" s="1"/>
  <c r="AB76" i="25" s="1"/>
  <c r="AC76" i="25" s="1"/>
  <c r="AD76" i="25" s="1"/>
  <c r="AE76" i="25" s="1"/>
  <c r="AF76" i="25" s="1"/>
  <c r="AG76" i="25" s="1"/>
  <c r="AH76" i="25" s="1"/>
  <c r="AI76" i="25" s="1"/>
  <c r="BA75" i="25"/>
  <c r="BB75" i="25" s="1"/>
  <c r="AU75" i="25"/>
  <c r="AO75" i="25"/>
  <c r="BF75" i="25"/>
  <c r="BE45" i="25"/>
  <c r="AK75" i="25"/>
  <c r="BE13" i="25"/>
  <c r="BB23" i="25"/>
  <c r="BE31" i="25"/>
  <c r="AP35" i="25"/>
  <c r="BE19" i="25"/>
  <c r="BE59" i="25"/>
  <c r="AP9" i="25"/>
  <c r="AP17" i="25"/>
  <c r="AV75" i="25" l="1"/>
  <c r="AP75" i="25"/>
  <c r="BE75" i="25"/>
  <c r="BE77" i="25" s="1"/>
  <c r="C57" i="23" l="1"/>
  <c r="C56" i="23" l="1"/>
  <c r="BB69" i="18" l="1"/>
  <c r="BB67" i="18"/>
  <c r="BB65" i="18"/>
  <c r="BB63" i="18"/>
  <c r="BB61" i="18"/>
  <c r="BB59" i="18"/>
  <c r="BB57" i="18"/>
  <c r="BB55" i="18"/>
  <c r="BB53" i="18"/>
  <c r="BB51" i="18"/>
  <c r="BB49" i="18"/>
  <c r="BB47" i="18"/>
  <c r="BB45" i="18"/>
  <c r="BB43" i="18"/>
  <c r="BB41" i="18"/>
  <c r="BB39" i="18"/>
  <c r="BB37" i="18"/>
  <c r="BB35" i="18"/>
  <c r="BB33" i="18"/>
  <c r="BB31" i="18"/>
  <c r="BB29" i="18"/>
  <c r="BB27" i="18"/>
  <c r="BB25" i="18"/>
  <c r="BB23" i="18"/>
  <c r="BB21" i="18"/>
  <c r="BB19" i="18"/>
  <c r="BB17" i="18"/>
  <c r="BB15" i="18"/>
  <c r="BB13" i="18"/>
  <c r="BB11" i="18"/>
  <c r="BB9" i="18"/>
  <c r="BB7" i="18"/>
  <c r="AK75" i="18"/>
  <c r="U25" i="24"/>
  <c r="U20" i="24"/>
  <c r="U5" i="24"/>
  <c r="BE61" i="18"/>
  <c r="Q31" i="24"/>
  <c r="Q30" i="24"/>
  <c r="Q25" i="24"/>
  <c r="Q22" i="24"/>
  <c r="BE29" i="18"/>
  <c r="AP23" i="18"/>
  <c r="Q9" i="24"/>
  <c r="KW49" i="22"/>
  <c r="KW48" i="22"/>
  <c r="KW47" i="22"/>
  <c r="KV47" i="22"/>
  <c r="KU47" i="22"/>
  <c r="KT47" i="22"/>
  <c r="KW46" i="22"/>
  <c r="KW45" i="22"/>
  <c r="KW44" i="22"/>
  <c r="KW43" i="22"/>
  <c r="KW42" i="22"/>
  <c r="KW41" i="22"/>
  <c r="KV41" i="22"/>
  <c r="KU41" i="22"/>
  <c r="KT41" i="22"/>
  <c r="KW40" i="22"/>
  <c r="KW39" i="22"/>
  <c r="KW38" i="22"/>
  <c r="KV38" i="22"/>
  <c r="KU38" i="22"/>
  <c r="KT38" i="22"/>
  <c r="KW37" i="22"/>
  <c r="KV37" i="22"/>
  <c r="KU37" i="22"/>
  <c r="KT37" i="22"/>
  <c r="KW36" i="22"/>
  <c r="KV36" i="22"/>
  <c r="KU36" i="22"/>
  <c r="KT36" i="22"/>
  <c r="KW35" i="22"/>
  <c r="KV35" i="22"/>
  <c r="KU35" i="22"/>
  <c r="KT35" i="22"/>
  <c r="KW34" i="22"/>
  <c r="KV34" i="22"/>
  <c r="KU34" i="22"/>
  <c r="KT34" i="22"/>
  <c r="KW33" i="22"/>
  <c r="KV33" i="22"/>
  <c r="KU33" i="22"/>
  <c r="KT33" i="22"/>
  <c r="KW32" i="22"/>
  <c r="KW31" i="22"/>
  <c r="KW30" i="22"/>
  <c r="KW29" i="22"/>
  <c r="KW28" i="22"/>
  <c r="KW27" i="22"/>
  <c r="KW26" i="22"/>
  <c r="KW25" i="22"/>
  <c r="KW24" i="22"/>
  <c r="KW23" i="22"/>
  <c r="KW22" i="22"/>
  <c r="KW21" i="22"/>
  <c r="KW20" i="22"/>
  <c r="KW19" i="22"/>
  <c r="KW18" i="22"/>
  <c r="KW17" i="22"/>
  <c r="KW16" i="22"/>
  <c r="KW15" i="22"/>
  <c r="KW14" i="22"/>
  <c r="KW13" i="22"/>
  <c r="KW12" i="22"/>
  <c r="KW11" i="22"/>
  <c r="KW10" i="22"/>
  <c r="KW9" i="22"/>
  <c r="E64" i="14"/>
  <c r="D64" i="14"/>
  <c r="F53" i="14"/>
  <c r="E53" i="14"/>
  <c r="D53" i="14"/>
  <c r="C53" i="14"/>
  <c r="F48" i="14"/>
  <c r="E48" i="14"/>
  <c r="D48" i="14"/>
  <c r="C48" i="14"/>
  <c r="F34" i="14"/>
  <c r="E34" i="14"/>
  <c r="D34" i="14"/>
  <c r="C34" i="14"/>
  <c r="F26" i="14"/>
  <c r="E26" i="14"/>
  <c r="D26" i="14"/>
  <c r="C26" i="14"/>
  <c r="F16" i="14"/>
  <c r="E16" i="14"/>
  <c r="D16" i="14"/>
  <c r="C16" i="14"/>
  <c r="U59" i="12"/>
  <c r="T59" i="12"/>
  <c r="S59" i="12"/>
  <c r="R59" i="12"/>
  <c r="Q59" i="12"/>
  <c r="P59" i="12"/>
  <c r="O59" i="12"/>
  <c r="N59" i="12"/>
  <c r="M59" i="12"/>
  <c r="L59" i="12"/>
  <c r="K59" i="12"/>
  <c r="J59" i="12"/>
  <c r="I59" i="12"/>
  <c r="H59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W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W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W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W49" i="12"/>
  <c r="W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W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W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W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W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W43" i="12"/>
  <c r="W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W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W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W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W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W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W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W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W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W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W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W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W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W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W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W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W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W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W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W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W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W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W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W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W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W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103" i="20"/>
  <c r="AF101" i="20"/>
  <c r="AE101" i="20"/>
  <c r="AD101" i="20"/>
  <c r="AC101" i="20"/>
  <c r="AB101" i="20"/>
  <c r="AA101" i="20"/>
  <c r="Z101" i="20"/>
  <c r="Y101" i="20"/>
  <c r="X101" i="20"/>
  <c r="W101" i="20"/>
  <c r="V101" i="20"/>
  <c r="U101" i="20"/>
  <c r="G101" i="20"/>
  <c r="C101" i="20"/>
  <c r="I101" i="20" s="1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G100" i="20"/>
  <c r="C100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G99" i="20"/>
  <c r="C99" i="20"/>
  <c r="I99" i="20" s="1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G98" i="20"/>
  <c r="C98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G97" i="20"/>
  <c r="C97" i="20"/>
  <c r="I97" i="20" s="1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G96" i="20"/>
  <c r="C96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H95" i="20"/>
  <c r="G95" i="20"/>
  <c r="C95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G94" i="20"/>
  <c r="C94" i="20"/>
  <c r="J93" i="20"/>
  <c r="F93" i="20"/>
  <c r="F103" i="20" s="1"/>
  <c r="E93" i="20"/>
  <c r="E103" i="20" s="1"/>
  <c r="D93" i="20"/>
  <c r="D103" i="20" s="1"/>
  <c r="AF91" i="20"/>
  <c r="AE91" i="20"/>
  <c r="AD91" i="20"/>
  <c r="AC91" i="20"/>
  <c r="AB91" i="20"/>
  <c r="AA91" i="20"/>
  <c r="Z91" i="20"/>
  <c r="Y91" i="20"/>
  <c r="X91" i="20"/>
  <c r="W91" i="20"/>
  <c r="V91" i="20"/>
  <c r="U91" i="20"/>
  <c r="G91" i="20"/>
  <c r="C91" i="20"/>
  <c r="I91" i="20" s="1"/>
  <c r="AF90" i="20"/>
  <c r="AE90" i="20"/>
  <c r="AD90" i="20"/>
  <c r="AC90" i="20"/>
  <c r="AB90" i="20"/>
  <c r="AA90" i="20"/>
  <c r="Z90" i="20"/>
  <c r="Y90" i="20"/>
  <c r="X90" i="20"/>
  <c r="W90" i="20"/>
  <c r="V90" i="20"/>
  <c r="U90" i="20"/>
  <c r="G90" i="20"/>
  <c r="C90" i="20"/>
  <c r="I90" i="20" s="1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G89" i="20"/>
  <c r="C89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G88" i="20"/>
  <c r="C88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G87" i="20"/>
  <c r="C87" i="20"/>
  <c r="I87" i="20" s="1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G86" i="20"/>
  <c r="C86" i="20"/>
  <c r="I86" i="20" s="1"/>
  <c r="J85" i="20"/>
  <c r="I85" i="20"/>
  <c r="G85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G83" i="20"/>
  <c r="C83" i="20"/>
  <c r="I83" i="20" s="1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G82" i="20"/>
  <c r="C82" i="20"/>
  <c r="I82" i="20" s="1"/>
  <c r="AF81" i="20"/>
  <c r="AE81" i="20"/>
  <c r="AD81" i="20"/>
  <c r="AC81" i="20"/>
  <c r="AB81" i="20"/>
  <c r="AA81" i="20"/>
  <c r="Z81" i="20"/>
  <c r="Y81" i="20"/>
  <c r="X81" i="20"/>
  <c r="W81" i="20"/>
  <c r="V81" i="20"/>
  <c r="U81" i="20"/>
  <c r="G81" i="20"/>
  <c r="C81" i="20"/>
  <c r="I81" i="20" s="1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G80" i="20"/>
  <c r="C80" i="20"/>
  <c r="I80" i="20" s="1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G79" i="20"/>
  <c r="C79" i="20"/>
  <c r="I79" i="20" s="1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G78" i="20"/>
  <c r="C78" i="20"/>
  <c r="I78" i="20" s="1"/>
  <c r="J77" i="20"/>
  <c r="I77" i="20"/>
  <c r="G77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G75" i="20"/>
  <c r="C75" i="20"/>
  <c r="I75" i="20" s="1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G74" i="20"/>
  <c r="C74" i="20"/>
  <c r="I74" i="20" s="1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G73" i="20"/>
  <c r="C73" i="20"/>
  <c r="G72" i="20"/>
  <c r="F72" i="20"/>
  <c r="E72" i="20"/>
  <c r="D72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G70" i="20"/>
  <c r="C70" i="20"/>
  <c r="I70" i="20" s="1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G69" i="20"/>
  <c r="C69" i="20"/>
  <c r="I69" i="20" s="1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G68" i="20"/>
  <c r="C68" i="20"/>
  <c r="I68" i="20" s="1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G67" i="20"/>
  <c r="C67" i="20"/>
  <c r="I67" i="20" s="1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G66" i="20"/>
  <c r="C66" i="20"/>
  <c r="I66" i="20" s="1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G65" i="20"/>
  <c r="C65" i="20"/>
  <c r="I65" i="20" s="1"/>
  <c r="AF64" i="20"/>
  <c r="AE64" i="20"/>
  <c r="AD64" i="20"/>
  <c r="AC64" i="20"/>
  <c r="AB64" i="20"/>
  <c r="AA64" i="20"/>
  <c r="Z64" i="20"/>
  <c r="Y64" i="20"/>
  <c r="X64" i="20"/>
  <c r="W64" i="20"/>
  <c r="V64" i="20"/>
  <c r="U64" i="20"/>
  <c r="G64" i="20"/>
  <c r="C64" i="20"/>
  <c r="I64" i="20" s="1"/>
  <c r="J63" i="20"/>
  <c r="I63" i="20"/>
  <c r="G63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G61" i="20"/>
  <c r="C61" i="20"/>
  <c r="I61" i="20" s="1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G60" i="20"/>
  <c r="C60" i="20"/>
  <c r="I60" i="20" s="1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G59" i="20"/>
  <c r="C59" i="20"/>
  <c r="I59" i="20" s="1"/>
  <c r="J58" i="20"/>
  <c r="I58" i="20"/>
  <c r="G58" i="20"/>
  <c r="C51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C49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C48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C47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C46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C45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C44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H43" i="20"/>
  <c r="C43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C42" i="20"/>
  <c r="C41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C39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C38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C37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C36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C35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C34" i="20"/>
  <c r="C33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C31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C30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C29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C28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C27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C26" i="20"/>
  <c r="C25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C23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C22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C21" i="20"/>
  <c r="C20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C18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C17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C16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C15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C14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C13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C12" i="20"/>
  <c r="C11" i="20"/>
  <c r="AF9" i="20"/>
  <c r="AE9" i="20"/>
  <c r="AD9" i="20"/>
  <c r="AC9" i="20"/>
  <c r="AB9" i="20"/>
  <c r="AA9" i="20"/>
  <c r="Z9" i="20"/>
  <c r="Y9" i="20"/>
  <c r="X9" i="20"/>
  <c r="W9" i="20"/>
  <c r="V9" i="20"/>
  <c r="U9" i="20"/>
  <c r="C9" i="20"/>
  <c r="AF8" i="20"/>
  <c r="AE8" i="20"/>
  <c r="AD8" i="20"/>
  <c r="AC8" i="20"/>
  <c r="AB8" i="20"/>
  <c r="AA8" i="20"/>
  <c r="Z8" i="20"/>
  <c r="Y8" i="20"/>
  <c r="X8" i="20"/>
  <c r="W8" i="20"/>
  <c r="V8" i="20"/>
  <c r="U8" i="20"/>
  <c r="C8" i="20"/>
  <c r="AF7" i="20"/>
  <c r="AE7" i="20"/>
  <c r="AD7" i="20"/>
  <c r="AC7" i="20"/>
  <c r="AB7" i="20"/>
  <c r="AA7" i="20"/>
  <c r="Z7" i="20"/>
  <c r="Y7" i="20"/>
  <c r="X7" i="20"/>
  <c r="W7" i="20"/>
  <c r="V7" i="20"/>
  <c r="U7" i="20"/>
  <c r="C7" i="20"/>
  <c r="C6" i="20"/>
  <c r="D32" i="19"/>
  <c r="G30" i="19"/>
  <c r="F30" i="19"/>
  <c r="G29" i="19"/>
  <c r="F29" i="19"/>
  <c r="G28" i="19"/>
  <c r="F28" i="19"/>
  <c r="G27" i="19"/>
  <c r="F26" i="19"/>
  <c r="B10" i="19"/>
  <c r="J9" i="19"/>
  <c r="G31" i="19" s="1"/>
  <c r="I9" i="19"/>
  <c r="F31" i="19" s="1"/>
  <c r="B9" i="19"/>
  <c r="M8" i="19"/>
  <c r="J8" i="19"/>
  <c r="I8" i="19"/>
  <c r="B8" i="19"/>
  <c r="J7" i="19"/>
  <c r="I7" i="19"/>
  <c r="B7" i="19"/>
  <c r="M6" i="19"/>
  <c r="J6" i="19"/>
  <c r="I6" i="19"/>
  <c r="B6" i="19"/>
  <c r="J5" i="19"/>
  <c r="I5" i="19"/>
  <c r="F27" i="19" s="1"/>
  <c r="B5" i="19"/>
  <c r="M4" i="19"/>
  <c r="J4" i="19"/>
  <c r="G26" i="19" s="1"/>
  <c r="I4" i="19"/>
  <c r="B4" i="19"/>
  <c r="I36" i="13"/>
  <c r="H35" i="13"/>
  <c r="F14" i="9" s="1"/>
  <c r="G35" i="13"/>
  <c r="KU49" i="22" s="1"/>
  <c r="F35" i="13"/>
  <c r="D14" i="9" s="1"/>
  <c r="E35" i="13"/>
  <c r="H34" i="13"/>
  <c r="F13" i="9" s="1"/>
  <c r="G34" i="13"/>
  <c r="E13" i="9" s="1"/>
  <c r="F34" i="13"/>
  <c r="D13" i="9" s="1"/>
  <c r="E34" i="13"/>
  <c r="H33" i="13"/>
  <c r="KV46" i="22" s="1"/>
  <c r="G33" i="13"/>
  <c r="E12" i="9" s="1"/>
  <c r="F33" i="13"/>
  <c r="D12" i="9" s="1"/>
  <c r="E33" i="13"/>
  <c r="H32" i="13"/>
  <c r="KV45" i="22" s="1"/>
  <c r="G32" i="13"/>
  <c r="E11" i="9" s="1"/>
  <c r="F32" i="13"/>
  <c r="D11" i="9" s="1"/>
  <c r="E32" i="13"/>
  <c r="H31" i="13"/>
  <c r="KV44" i="22" s="1"/>
  <c r="G31" i="13"/>
  <c r="E9" i="7" s="1"/>
  <c r="F31" i="13"/>
  <c r="E31" i="13"/>
  <c r="H30" i="13"/>
  <c r="F10" i="9" s="1"/>
  <c r="G30" i="13"/>
  <c r="E10" i="9" s="1"/>
  <c r="F30" i="13"/>
  <c r="D10" i="9" s="1"/>
  <c r="E30" i="13"/>
  <c r="H29" i="13"/>
  <c r="KV42" i="22" s="1"/>
  <c r="G29" i="13"/>
  <c r="KU42" i="22" s="1"/>
  <c r="F29" i="13"/>
  <c r="D9" i="9" s="1"/>
  <c r="E29" i="13"/>
  <c r="H28" i="13"/>
  <c r="KV40" i="22" s="1"/>
  <c r="G28" i="13"/>
  <c r="KU40" i="22" s="1"/>
  <c r="F28" i="13"/>
  <c r="KT40" i="22" s="1"/>
  <c r="E28" i="13"/>
  <c r="H27" i="13"/>
  <c r="KV39" i="22" s="1"/>
  <c r="G27" i="13"/>
  <c r="E7" i="9" s="1"/>
  <c r="F27" i="13"/>
  <c r="KT39" i="22" s="1"/>
  <c r="E27" i="13"/>
  <c r="D27" i="13"/>
  <c r="H26" i="13"/>
  <c r="KV27" i="22" s="1"/>
  <c r="G26" i="13"/>
  <c r="KU27" i="22" s="1"/>
  <c r="F26" i="13"/>
  <c r="KT27" i="22" s="1"/>
  <c r="E26" i="13"/>
  <c r="H25" i="13"/>
  <c r="F11" i="15" s="1"/>
  <c r="G25" i="13"/>
  <c r="KU22" i="22" s="1"/>
  <c r="F25" i="13"/>
  <c r="KT22" i="22" s="1"/>
  <c r="E25" i="13"/>
  <c r="H24" i="13"/>
  <c r="KV21" i="22" s="1"/>
  <c r="G24" i="13"/>
  <c r="E10" i="15" s="1"/>
  <c r="F24" i="13"/>
  <c r="D10" i="15" s="1"/>
  <c r="E24" i="13"/>
  <c r="H23" i="13"/>
  <c r="KV19" i="22" s="1"/>
  <c r="G23" i="13"/>
  <c r="KU19" i="22" s="1"/>
  <c r="F23" i="13"/>
  <c r="KT19" i="22" s="1"/>
  <c r="E23" i="13"/>
  <c r="H22" i="13"/>
  <c r="KV17" i="22" s="1"/>
  <c r="G22" i="13"/>
  <c r="KU17" i="22" s="1"/>
  <c r="F22" i="13"/>
  <c r="D8" i="15" s="1"/>
  <c r="E22" i="13"/>
  <c r="H21" i="13"/>
  <c r="KV16" i="22" s="1"/>
  <c r="G21" i="13"/>
  <c r="KU16" i="22" s="1"/>
  <c r="F21" i="13"/>
  <c r="KT16" i="22" s="1"/>
  <c r="E21" i="13"/>
  <c r="D21" i="13"/>
  <c r="H20" i="13"/>
  <c r="F12" i="8" s="1"/>
  <c r="G20" i="13"/>
  <c r="KU32" i="22" s="1"/>
  <c r="F20" i="13"/>
  <c r="KT32" i="22" s="1"/>
  <c r="E20" i="13"/>
  <c r="H19" i="13"/>
  <c r="F11" i="8" s="1"/>
  <c r="G19" i="13"/>
  <c r="KU20" i="22" s="1"/>
  <c r="F19" i="13"/>
  <c r="D11" i="8" s="1"/>
  <c r="E19" i="13"/>
  <c r="H18" i="13"/>
  <c r="KV15" i="22" s="1"/>
  <c r="G18" i="13"/>
  <c r="E10" i="8" s="1"/>
  <c r="F18" i="13"/>
  <c r="D10" i="8" s="1"/>
  <c r="E18" i="13"/>
  <c r="H17" i="13"/>
  <c r="KV14" i="22" s="1"/>
  <c r="G17" i="13"/>
  <c r="KU14" i="22" s="1"/>
  <c r="F17" i="13"/>
  <c r="E17" i="13"/>
  <c r="H16" i="13"/>
  <c r="F8" i="8" s="1"/>
  <c r="G16" i="13"/>
  <c r="KU13" i="22" s="1"/>
  <c r="F16" i="13"/>
  <c r="KT13" i="22" s="1"/>
  <c r="E16" i="13"/>
  <c r="H15" i="13"/>
  <c r="F7" i="8" s="1"/>
  <c r="G15" i="13"/>
  <c r="E7" i="8" s="1"/>
  <c r="F15" i="13"/>
  <c r="KT12" i="22" s="1"/>
  <c r="E15" i="13"/>
  <c r="D15" i="13"/>
  <c r="H14" i="13"/>
  <c r="F8" i="7" s="1"/>
  <c r="G14" i="13"/>
  <c r="E8" i="7" s="1"/>
  <c r="F14" i="13"/>
  <c r="KT18" i="22" s="1"/>
  <c r="E14" i="13"/>
  <c r="H13" i="13"/>
  <c r="KV10" i="22" s="1"/>
  <c r="G13" i="13"/>
  <c r="E7" i="7" s="1"/>
  <c r="F13" i="13"/>
  <c r="E13" i="13"/>
  <c r="D13" i="13"/>
  <c r="H12" i="13"/>
  <c r="F13" i="6" s="1"/>
  <c r="G12" i="13"/>
  <c r="KU31" i="22" s="1"/>
  <c r="F12" i="13"/>
  <c r="E12" i="13"/>
  <c r="H11" i="13"/>
  <c r="F12" i="6" s="1"/>
  <c r="G11" i="13"/>
  <c r="KU30" i="22" s="1"/>
  <c r="F11" i="13"/>
  <c r="KT30" i="22" s="1"/>
  <c r="E11" i="13"/>
  <c r="H10" i="13"/>
  <c r="KV29" i="22" s="1"/>
  <c r="G10" i="13"/>
  <c r="KU29" i="22" s="1"/>
  <c r="F10" i="13"/>
  <c r="KT29" i="22" s="1"/>
  <c r="E10" i="13"/>
  <c r="H9" i="13"/>
  <c r="F10" i="6" s="1"/>
  <c r="G9" i="13"/>
  <c r="E10" i="6" s="1"/>
  <c r="F9" i="13"/>
  <c r="KT28" i="22" s="1"/>
  <c r="E9" i="13"/>
  <c r="H8" i="13"/>
  <c r="KV26" i="22" s="1"/>
  <c r="G8" i="13"/>
  <c r="KU26" i="22" s="1"/>
  <c r="F8" i="13"/>
  <c r="KT26" i="22" s="1"/>
  <c r="E8" i="13"/>
  <c r="H7" i="13"/>
  <c r="KV25" i="22" s="1"/>
  <c r="G7" i="13"/>
  <c r="KU25" i="22" s="1"/>
  <c r="F7" i="13"/>
  <c r="KT25" i="22" s="1"/>
  <c r="E7" i="13"/>
  <c r="H6" i="13"/>
  <c r="KV24" i="22" s="1"/>
  <c r="G6" i="13"/>
  <c r="KU24" i="22" s="1"/>
  <c r="F6" i="13"/>
  <c r="KT24" i="22" s="1"/>
  <c r="E6" i="13"/>
  <c r="D6" i="13"/>
  <c r="H5" i="13"/>
  <c r="KV23" i="22" s="1"/>
  <c r="G5" i="13"/>
  <c r="KU23" i="22" s="1"/>
  <c r="F5" i="13"/>
  <c r="KT23" i="22" s="1"/>
  <c r="E5" i="13"/>
  <c r="H4" i="13"/>
  <c r="KV11" i="22" s="1"/>
  <c r="G4" i="13"/>
  <c r="KU11" i="22" s="1"/>
  <c r="F4" i="13"/>
  <c r="KT11" i="22" s="1"/>
  <c r="E4" i="13"/>
  <c r="H3" i="13"/>
  <c r="F7" i="1" s="1"/>
  <c r="F7" i="23" s="1"/>
  <c r="G3" i="13"/>
  <c r="KU9" i="22" s="1"/>
  <c r="F3" i="13"/>
  <c r="KT9" i="22" s="1"/>
  <c r="E3" i="13"/>
  <c r="D3" i="13"/>
  <c r="D36" i="13" s="1"/>
  <c r="B4" i="11" s="1"/>
  <c r="KH50" i="22"/>
  <c r="KG50" i="22"/>
  <c r="KF50" i="22"/>
  <c r="KE50" i="22"/>
  <c r="KC50" i="22"/>
  <c r="KB50" i="22"/>
  <c r="KA50" i="22"/>
  <c r="JZ50" i="22"/>
  <c r="JW50" i="22"/>
  <c r="JV50" i="22"/>
  <c r="JU50" i="22"/>
  <c r="JR50" i="22"/>
  <c r="JQ50" i="22"/>
  <c r="JP50" i="22"/>
  <c r="JM50" i="22"/>
  <c r="JL50" i="22"/>
  <c r="JK50" i="22"/>
  <c r="JH50" i="22"/>
  <c r="JG50" i="22"/>
  <c r="JF50" i="22"/>
  <c r="JC50" i="22"/>
  <c r="JB50" i="22"/>
  <c r="JA50" i="22"/>
  <c r="IX50" i="22"/>
  <c r="IW50" i="22"/>
  <c r="IV50" i="22"/>
  <c r="IS50" i="22"/>
  <c r="IR50" i="22"/>
  <c r="IQ50" i="22"/>
  <c r="IL50" i="22"/>
  <c r="IK50" i="22"/>
  <c r="IJ50" i="22"/>
  <c r="IG50" i="22"/>
  <c r="IB50" i="22"/>
  <c r="HW50" i="22"/>
  <c r="HV50" i="22"/>
  <c r="HU50" i="22"/>
  <c r="HR50" i="22"/>
  <c r="HQ50" i="22"/>
  <c r="HP50" i="22"/>
  <c r="HM50" i="22"/>
  <c r="HL50" i="22"/>
  <c r="HK50" i="22"/>
  <c r="HH50" i="22"/>
  <c r="HG50" i="22"/>
  <c r="HF50" i="22"/>
  <c r="HC50" i="22"/>
  <c r="HB50" i="22"/>
  <c r="HA50" i="22"/>
  <c r="GX50" i="22"/>
  <c r="GW50" i="22"/>
  <c r="GV50" i="22"/>
  <c r="GS50" i="22"/>
  <c r="GR50" i="22"/>
  <c r="GQ50" i="22"/>
  <c r="GN50" i="22"/>
  <c r="GM50" i="22"/>
  <c r="GL50" i="22"/>
  <c r="GI50" i="22"/>
  <c r="GH50" i="22"/>
  <c r="GG50" i="22"/>
  <c r="GD50" i="22"/>
  <c r="GC50" i="22"/>
  <c r="GB50" i="22"/>
  <c r="FY50" i="22"/>
  <c r="FX50" i="22"/>
  <c r="FW50" i="22"/>
  <c r="FT50" i="22"/>
  <c r="FS50" i="22"/>
  <c r="FR50" i="22"/>
  <c r="FO50" i="22"/>
  <c r="FJ50" i="22"/>
  <c r="FI50" i="22"/>
  <c r="FH50" i="22"/>
  <c r="FE50" i="22"/>
  <c r="FD50" i="22"/>
  <c r="FC50" i="22"/>
  <c r="EZ50" i="22"/>
  <c r="EY50" i="22"/>
  <c r="EX50" i="22"/>
  <c r="EU50" i="22"/>
  <c r="ET50" i="22"/>
  <c r="ES50" i="22"/>
  <c r="EP50" i="22"/>
  <c r="EO50" i="22"/>
  <c r="EN50" i="22"/>
  <c r="EK50" i="22"/>
  <c r="EJ50" i="22"/>
  <c r="EI50" i="22"/>
  <c r="EF50" i="22"/>
  <c r="EE50" i="22"/>
  <c r="ED50" i="22"/>
  <c r="EA50" i="22"/>
  <c r="DZ50" i="22"/>
  <c r="DY50" i="22"/>
  <c r="DV50" i="22"/>
  <c r="DU50" i="22"/>
  <c r="DT50" i="22"/>
  <c r="DQ50" i="22"/>
  <c r="DP50" i="22"/>
  <c r="DO50" i="22"/>
  <c r="DL50" i="22"/>
  <c r="DK50" i="22"/>
  <c r="DJ50" i="22"/>
  <c r="DG50" i="22"/>
  <c r="DF50" i="22"/>
  <c r="DE50" i="22"/>
  <c r="DB50" i="22"/>
  <c r="DA50" i="22"/>
  <c r="CZ50" i="22"/>
  <c r="CW50" i="22"/>
  <c r="CV50" i="22"/>
  <c r="CU50" i="22"/>
  <c r="CT50" i="22"/>
  <c r="CR50" i="22"/>
  <c r="CQ50" i="22"/>
  <c r="CP50" i="22"/>
  <c r="CN50" i="22"/>
  <c r="CM50" i="22"/>
  <c r="CL50" i="22"/>
  <c r="CK50" i="22"/>
  <c r="CI50" i="22"/>
  <c r="CH50" i="22"/>
  <c r="CG50" i="22"/>
  <c r="CF50" i="22"/>
  <c r="CD50" i="22"/>
  <c r="CC50" i="22"/>
  <c r="CB50" i="22"/>
  <c r="CA50" i="22"/>
  <c r="BY50" i="22"/>
  <c r="BX50" i="22"/>
  <c r="BW50" i="22"/>
  <c r="BV50" i="22"/>
  <c r="BT50" i="22"/>
  <c r="BS50" i="22"/>
  <c r="BO50" i="22"/>
  <c r="BN50" i="22"/>
  <c r="BJ50" i="22"/>
  <c r="BI50" i="22"/>
  <c r="BE50" i="22"/>
  <c r="BD50" i="22"/>
  <c r="AZ50" i="22"/>
  <c r="AY50" i="22"/>
  <c r="AX50" i="22"/>
  <c r="AW50" i="22"/>
  <c r="AU50" i="22"/>
  <c r="AT50" i="22"/>
  <c r="AS50" i="22"/>
  <c r="AR50" i="22"/>
  <c r="AP50" i="22"/>
  <c r="AO50" i="22"/>
  <c r="AN50" i="22"/>
  <c r="AM50" i="22"/>
  <c r="AK50" i="22"/>
  <c r="AJ50" i="22"/>
  <c r="AI50" i="22"/>
  <c r="AF50" i="22"/>
  <c r="AE50" i="22"/>
  <c r="AD50" i="22"/>
  <c r="AC50" i="22"/>
  <c r="AA50" i="22"/>
  <c r="Z50" i="22"/>
  <c r="Y50" i="22"/>
  <c r="X50" i="22"/>
  <c r="V50" i="22"/>
  <c r="U50" i="22"/>
  <c r="T50" i="22"/>
  <c r="S50" i="22"/>
  <c r="Q50" i="22"/>
  <c r="P50" i="22"/>
  <c r="O50" i="22"/>
  <c r="N50" i="22"/>
  <c r="L50" i="22"/>
  <c r="K50" i="22"/>
  <c r="J50" i="22"/>
  <c r="I50" i="22"/>
  <c r="E50" i="22"/>
  <c r="D50" i="22"/>
  <c r="C50" i="22"/>
  <c r="KI49" i="22"/>
  <c r="KD49" i="22"/>
  <c r="JY49" i="22"/>
  <c r="JT49" i="22"/>
  <c r="JO49" i="22"/>
  <c r="JJ49" i="22"/>
  <c r="JE49" i="22"/>
  <c r="IZ49" i="22"/>
  <c r="IU49" i="22"/>
  <c r="IN49" i="22"/>
  <c r="II49" i="22"/>
  <c r="ID49" i="22"/>
  <c r="HY49" i="22"/>
  <c r="P49" i="20" s="1"/>
  <c r="HT49" i="22"/>
  <c r="HO49" i="22"/>
  <c r="HJ49" i="22"/>
  <c r="HE49" i="22"/>
  <c r="GZ49" i="22"/>
  <c r="GU49" i="22"/>
  <c r="GP49" i="22"/>
  <c r="GK49" i="22"/>
  <c r="GF49" i="22"/>
  <c r="GA49" i="22"/>
  <c r="FV49" i="22"/>
  <c r="FQ49" i="22"/>
  <c r="FL49" i="22"/>
  <c r="FG49" i="22"/>
  <c r="FB49" i="22"/>
  <c r="EW49" i="22"/>
  <c r="ER49" i="22"/>
  <c r="EM49" i="22"/>
  <c r="EH49" i="22"/>
  <c r="EC49" i="22"/>
  <c r="DX49" i="22"/>
  <c r="DS49" i="22"/>
  <c r="DN49" i="22"/>
  <c r="DI49" i="22"/>
  <c r="DD49" i="22"/>
  <c r="CY49" i="22"/>
  <c r="CO49" i="22"/>
  <c r="CJ49" i="22"/>
  <c r="CE49" i="22"/>
  <c r="BZ49" i="22"/>
  <c r="BU49" i="22"/>
  <c r="BP49" i="22"/>
  <c r="BK49" i="22"/>
  <c r="BF49" i="22"/>
  <c r="BA49" i="22"/>
  <c r="AV49" i="22"/>
  <c r="AQ49" i="22"/>
  <c r="AL49" i="22"/>
  <c r="KI48" i="22"/>
  <c r="KD48" i="22"/>
  <c r="JY48" i="22"/>
  <c r="JT48" i="22"/>
  <c r="JO48" i="22"/>
  <c r="JJ48" i="22"/>
  <c r="JE48" i="22"/>
  <c r="IZ48" i="22"/>
  <c r="IU48" i="22"/>
  <c r="IN48" i="22"/>
  <c r="II48" i="22"/>
  <c r="ID48" i="22"/>
  <c r="HY48" i="22"/>
  <c r="P48" i="20" s="1"/>
  <c r="HT48" i="22"/>
  <c r="HO48" i="22"/>
  <c r="HJ48" i="22"/>
  <c r="HE48" i="22"/>
  <c r="GZ48" i="22"/>
  <c r="GU48" i="22"/>
  <c r="GP48" i="22"/>
  <c r="GK48" i="22"/>
  <c r="GF48" i="22"/>
  <c r="GA48" i="22"/>
  <c r="FV48" i="22"/>
  <c r="FQ48" i="22"/>
  <c r="FL48" i="22"/>
  <c r="FG48" i="22"/>
  <c r="FB48" i="22"/>
  <c r="EW48" i="22"/>
  <c r="ER48" i="22"/>
  <c r="EM48" i="22"/>
  <c r="EH48" i="22"/>
  <c r="EC48" i="22"/>
  <c r="DX48" i="22"/>
  <c r="DS48" i="22"/>
  <c r="DN48" i="22"/>
  <c r="DI48" i="22"/>
  <c r="DD48" i="22"/>
  <c r="CY48" i="22"/>
  <c r="CO48" i="22"/>
  <c r="CJ48" i="22"/>
  <c r="CE48" i="22"/>
  <c r="BZ48" i="22"/>
  <c r="BU48" i="22"/>
  <c r="BP48" i="22"/>
  <c r="BK48" i="22"/>
  <c r="BF48" i="22"/>
  <c r="BA48" i="22"/>
  <c r="AV48" i="22"/>
  <c r="AQ48" i="22"/>
  <c r="AL48" i="22"/>
  <c r="KI47" i="22"/>
  <c r="KD47" i="22"/>
  <c r="CO47" i="22"/>
  <c r="CJ47" i="22"/>
  <c r="CE47" i="22"/>
  <c r="BZ47" i="22"/>
  <c r="BU47" i="22"/>
  <c r="BP47" i="22"/>
  <c r="BK47" i="22"/>
  <c r="KI46" i="22"/>
  <c r="KD46" i="22"/>
  <c r="JY46" i="22"/>
  <c r="JT46" i="22"/>
  <c r="JO46" i="22"/>
  <c r="JJ46" i="22"/>
  <c r="JE46" i="22"/>
  <c r="IZ46" i="22"/>
  <c r="IU46" i="22"/>
  <c r="IN46" i="22"/>
  <c r="II46" i="22"/>
  <c r="ID46" i="22"/>
  <c r="HY46" i="22"/>
  <c r="P47" i="20" s="1"/>
  <c r="HT46" i="22"/>
  <c r="HO46" i="22"/>
  <c r="HJ46" i="22"/>
  <c r="HE46" i="22"/>
  <c r="GZ46" i="22"/>
  <c r="GU46" i="22"/>
  <c r="GP46" i="22"/>
  <c r="CO46" i="22"/>
  <c r="CJ46" i="22"/>
  <c r="CE46" i="22"/>
  <c r="BZ46" i="22"/>
  <c r="BU46" i="22"/>
  <c r="BP46" i="22"/>
  <c r="BK46" i="22"/>
  <c r="KI45" i="22"/>
  <c r="KD45" i="22"/>
  <c r="JY45" i="22"/>
  <c r="JT45" i="22"/>
  <c r="JO45" i="22"/>
  <c r="JJ45" i="22"/>
  <c r="JE45" i="22"/>
  <c r="IZ45" i="22"/>
  <c r="IU45" i="22"/>
  <c r="IN45" i="22"/>
  <c r="II45" i="22"/>
  <c r="ID45" i="22"/>
  <c r="HY45" i="22"/>
  <c r="P46" i="20" s="1"/>
  <c r="HT45" i="22"/>
  <c r="HO45" i="22"/>
  <c r="HJ45" i="22"/>
  <c r="HE45" i="22"/>
  <c r="GZ45" i="22"/>
  <c r="GU45" i="22"/>
  <c r="GP45" i="22"/>
  <c r="CO45" i="22"/>
  <c r="CJ45" i="22"/>
  <c r="CE45" i="22"/>
  <c r="BZ45" i="22"/>
  <c r="BU45" i="22"/>
  <c r="BP45" i="22"/>
  <c r="BK45" i="22"/>
  <c r="KN44" i="22"/>
  <c r="KI44" i="22"/>
  <c r="KD44" i="22"/>
  <c r="JY44" i="22"/>
  <c r="JT44" i="22"/>
  <c r="JO44" i="22"/>
  <c r="JJ44" i="22"/>
  <c r="JE44" i="22"/>
  <c r="IZ44" i="22"/>
  <c r="IU44" i="22"/>
  <c r="IN44" i="22"/>
  <c r="II44" i="22"/>
  <c r="ID44" i="22"/>
  <c r="HY44" i="22"/>
  <c r="P23" i="20" s="1"/>
  <c r="HT44" i="22"/>
  <c r="HO44" i="22"/>
  <c r="HJ44" i="22"/>
  <c r="CO44" i="22"/>
  <c r="CJ44" i="22"/>
  <c r="CE44" i="22"/>
  <c r="BZ44" i="22"/>
  <c r="BU44" i="22"/>
  <c r="BP44" i="22"/>
  <c r="BK44" i="22"/>
  <c r="KI43" i="22"/>
  <c r="KD43" i="22"/>
  <c r="JY43" i="22"/>
  <c r="JT43" i="22"/>
  <c r="JO43" i="22"/>
  <c r="JJ43" i="22"/>
  <c r="JE43" i="22"/>
  <c r="IZ43" i="22"/>
  <c r="IU43" i="22"/>
  <c r="IN43" i="22"/>
  <c r="II43" i="22"/>
  <c r="ID43" i="22"/>
  <c r="HY43" i="22"/>
  <c r="P45" i="20" s="1"/>
  <c r="HT43" i="22"/>
  <c r="HO43" i="22"/>
  <c r="HJ43" i="22"/>
  <c r="HE43" i="22"/>
  <c r="GZ43" i="22"/>
  <c r="GU43" i="22"/>
  <c r="GP43" i="22"/>
  <c r="GK43" i="22"/>
  <c r="GF43" i="22"/>
  <c r="GA43" i="22"/>
  <c r="FV43" i="22"/>
  <c r="FQ43" i="22"/>
  <c r="FL43" i="22"/>
  <c r="FG43" i="22"/>
  <c r="FB43" i="22"/>
  <c r="EW43" i="22"/>
  <c r="ER43" i="22"/>
  <c r="EM43" i="22"/>
  <c r="EH43" i="22"/>
  <c r="EC43" i="22"/>
  <c r="DX43" i="22"/>
  <c r="DS43" i="22"/>
  <c r="DN43" i="22"/>
  <c r="DI43" i="22"/>
  <c r="DD43" i="22"/>
  <c r="CY43" i="22"/>
  <c r="CO43" i="22"/>
  <c r="CJ43" i="22"/>
  <c r="CE43" i="22"/>
  <c r="BZ43" i="22"/>
  <c r="BU43" i="22"/>
  <c r="BP43" i="22"/>
  <c r="BK43" i="22"/>
  <c r="KI42" i="22"/>
  <c r="KD42" i="22"/>
  <c r="JY42" i="22"/>
  <c r="JT42" i="22"/>
  <c r="JO42" i="22"/>
  <c r="JJ42" i="22"/>
  <c r="JE42" i="22"/>
  <c r="IZ42" i="22"/>
  <c r="IU42" i="22"/>
  <c r="IN42" i="22"/>
  <c r="II42" i="22"/>
  <c r="ID42" i="22"/>
  <c r="HY42" i="22"/>
  <c r="P44" i="20" s="1"/>
  <c r="HT42" i="22"/>
  <c r="HO42" i="22"/>
  <c r="HJ42" i="22"/>
  <c r="HE42" i="22"/>
  <c r="GZ42" i="22"/>
  <c r="GU42" i="22"/>
  <c r="GP42" i="22"/>
  <c r="GK42" i="22"/>
  <c r="GF42" i="22"/>
  <c r="GA42" i="22"/>
  <c r="FV42" i="22"/>
  <c r="FQ42" i="22"/>
  <c r="FL42" i="22"/>
  <c r="FG42" i="22"/>
  <c r="FB42" i="22"/>
  <c r="EW42" i="22"/>
  <c r="ER42" i="22"/>
  <c r="EM42" i="22"/>
  <c r="EH42" i="22"/>
  <c r="EC42" i="22"/>
  <c r="DX42" i="22"/>
  <c r="DS42" i="22"/>
  <c r="DN42" i="22"/>
  <c r="DI42" i="22"/>
  <c r="DD42" i="22"/>
  <c r="CY42" i="22"/>
  <c r="CO42" i="22"/>
  <c r="CJ42" i="22"/>
  <c r="CE42" i="22"/>
  <c r="BZ42" i="22"/>
  <c r="BU42" i="22"/>
  <c r="BP42" i="22"/>
  <c r="BK42" i="22"/>
  <c r="KN41" i="22"/>
  <c r="KI41" i="22"/>
  <c r="KD41" i="22"/>
  <c r="CO41" i="22"/>
  <c r="CJ41" i="22"/>
  <c r="CE41" i="22"/>
  <c r="BZ41" i="22"/>
  <c r="BU41" i="22"/>
  <c r="BP41" i="22"/>
  <c r="BK41" i="22"/>
  <c r="KI40" i="22"/>
  <c r="KD40" i="22"/>
  <c r="JY40" i="22"/>
  <c r="JT40" i="22"/>
  <c r="JO40" i="22"/>
  <c r="JJ40" i="22"/>
  <c r="JE40" i="22"/>
  <c r="IZ40" i="22"/>
  <c r="IU40" i="22"/>
  <c r="IN40" i="22"/>
  <c r="II40" i="22"/>
  <c r="ID40" i="22"/>
  <c r="HY40" i="22"/>
  <c r="P43" i="20" s="1"/>
  <c r="HT40" i="22"/>
  <c r="HO40" i="22"/>
  <c r="HJ40" i="22"/>
  <c r="HE40" i="22"/>
  <c r="GZ40" i="22"/>
  <c r="GU40" i="22"/>
  <c r="GP40" i="22"/>
  <c r="GK40" i="22"/>
  <c r="GF40" i="22"/>
  <c r="GA40" i="22"/>
  <c r="FV40" i="22"/>
  <c r="FQ40" i="22"/>
  <c r="FL40" i="22"/>
  <c r="FG40" i="22"/>
  <c r="FB40" i="22"/>
  <c r="EW40" i="22"/>
  <c r="ER40" i="22"/>
  <c r="EM40" i="22"/>
  <c r="EH40" i="22"/>
  <c r="EC40" i="22"/>
  <c r="DX40" i="22"/>
  <c r="DS40" i="22"/>
  <c r="DN40" i="22"/>
  <c r="DI40" i="22"/>
  <c r="DD40" i="22"/>
  <c r="CY40" i="22"/>
  <c r="CO40" i="22"/>
  <c r="CJ40" i="22"/>
  <c r="CE40" i="22"/>
  <c r="BZ40" i="22"/>
  <c r="BU40" i="22"/>
  <c r="BP40" i="22"/>
  <c r="BK40" i="22"/>
  <c r="KI39" i="22"/>
  <c r="KD39" i="22"/>
  <c r="JY39" i="22"/>
  <c r="JT39" i="22"/>
  <c r="JO39" i="22"/>
  <c r="JJ39" i="22"/>
  <c r="JE39" i="22"/>
  <c r="IZ39" i="22"/>
  <c r="IU39" i="22"/>
  <c r="IN39" i="22"/>
  <c r="II39" i="22"/>
  <c r="ID39" i="22"/>
  <c r="HY39" i="22"/>
  <c r="P42" i="20" s="1"/>
  <c r="HT39" i="22"/>
  <c r="HO39" i="22"/>
  <c r="HJ39" i="22"/>
  <c r="HE39" i="22"/>
  <c r="GZ39" i="22"/>
  <c r="GU39" i="22"/>
  <c r="GP39" i="22"/>
  <c r="GK39" i="22"/>
  <c r="GF39" i="22"/>
  <c r="GA39" i="22"/>
  <c r="FV39" i="22"/>
  <c r="FQ39" i="22"/>
  <c r="FL39" i="22"/>
  <c r="FG39" i="22"/>
  <c r="FB39" i="22"/>
  <c r="EW39" i="22"/>
  <c r="ER39" i="22"/>
  <c r="EM39" i="22"/>
  <c r="EH39" i="22"/>
  <c r="EC39" i="22"/>
  <c r="DX39" i="22"/>
  <c r="DS39" i="22"/>
  <c r="DN39" i="22"/>
  <c r="DI39" i="22"/>
  <c r="DD39" i="22"/>
  <c r="CO39" i="22"/>
  <c r="CJ39" i="22"/>
  <c r="CE39" i="22"/>
  <c r="BZ39" i="22"/>
  <c r="BU39" i="22"/>
  <c r="BP39" i="22"/>
  <c r="BK39" i="22"/>
  <c r="KI38" i="22"/>
  <c r="KD38" i="22"/>
  <c r="JY38" i="22"/>
  <c r="JT38" i="22"/>
  <c r="JO38" i="22"/>
  <c r="JJ38" i="22"/>
  <c r="JE38" i="22"/>
  <c r="IZ38" i="22"/>
  <c r="IU38" i="22"/>
  <c r="IN38" i="22"/>
  <c r="II38" i="22"/>
  <c r="ID38" i="22"/>
  <c r="HY38" i="22"/>
  <c r="HT38" i="22"/>
  <c r="HO38" i="22"/>
  <c r="HJ38" i="22"/>
  <c r="HE38" i="22"/>
  <c r="GZ38" i="22"/>
  <c r="GU38" i="22"/>
  <c r="KN37" i="22"/>
  <c r="KI37" i="22"/>
  <c r="KD37" i="22"/>
  <c r="JY37" i="22"/>
  <c r="JT37" i="22"/>
  <c r="JO37" i="22"/>
  <c r="JJ37" i="22"/>
  <c r="JE37" i="22"/>
  <c r="IZ37" i="22"/>
  <c r="IU37" i="22"/>
  <c r="IN37" i="22"/>
  <c r="II37" i="22"/>
  <c r="ID37" i="22"/>
  <c r="HY37" i="22"/>
  <c r="HT37" i="22"/>
  <c r="HO37" i="22"/>
  <c r="HJ37" i="22"/>
  <c r="HE37" i="22"/>
  <c r="GZ37" i="22"/>
  <c r="GU37" i="22"/>
  <c r="GP37" i="22"/>
  <c r="GK37" i="22"/>
  <c r="GF37" i="22"/>
  <c r="GA37" i="22"/>
  <c r="FV37" i="22"/>
  <c r="FQ37" i="22"/>
  <c r="FL37" i="22"/>
  <c r="FG37" i="22"/>
  <c r="FB37" i="22"/>
  <c r="EW37" i="22"/>
  <c r="ER37" i="22"/>
  <c r="EM37" i="22"/>
  <c r="EH37" i="22"/>
  <c r="EC37" i="22"/>
  <c r="DX37" i="22"/>
  <c r="DS37" i="22"/>
  <c r="DN37" i="22"/>
  <c r="DI37" i="22"/>
  <c r="CO37" i="22"/>
  <c r="CJ37" i="22"/>
  <c r="CE37" i="22"/>
  <c r="BZ37" i="22"/>
  <c r="BU37" i="22"/>
  <c r="BP37" i="22"/>
  <c r="BK37" i="22"/>
  <c r="BF37" i="22"/>
  <c r="BA37" i="22"/>
  <c r="AV37" i="22"/>
  <c r="AQ37" i="22"/>
  <c r="AL37" i="22"/>
  <c r="AG37" i="22"/>
  <c r="AB37" i="22"/>
  <c r="W37" i="22"/>
  <c r="R37" i="22"/>
  <c r="M37" i="22"/>
  <c r="H37" i="22"/>
  <c r="KI36" i="22"/>
  <c r="KD36" i="22"/>
  <c r="CO36" i="22"/>
  <c r="CJ36" i="22"/>
  <c r="CE36" i="22"/>
  <c r="BZ36" i="22"/>
  <c r="BU36" i="22"/>
  <c r="BP36" i="22"/>
  <c r="BK36" i="22"/>
  <c r="KI35" i="22"/>
  <c r="KD35" i="22"/>
  <c r="CO35" i="22"/>
  <c r="CJ35" i="22"/>
  <c r="CE35" i="22"/>
  <c r="BZ35" i="22"/>
  <c r="BU35" i="22"/>
  <c r="BP35" i="22"/>
  <c r="BK35" i="22"/>
  <c r="BF35" i="22"/>
  <c r="BA35" i="22"/>
  <c r="AV35" i="22"/>
  <c r="AQ35" i="22"/>
  <c r="AL35" i="22"/>
  <c r="AG35" i="22"/>
  <c r="AB35" i="22"/>
  <c r="W35" i="22"/>
  <c r="R35" i="22"/>
  <c r="M35" i="22"/>
  <c r="H35" i="22"/>
  <c r="KN34" i="22"/>
  <c r="KI34" i="22"/>
  <c r="KD34" i="22"/>
  <c r="CO34" i="22"/>
  <c r="CJ34" i="22"/>
  <c r="CE34" i="22"/>
  <c r="BZ34" i="22"/>
  <c r="BU34" i="22"/>
  <c r="BP34" i="22"/>
  <c r="BK34" i="22"/>
  <c r="BF34" i="22"/>
  <c r="BA34" i="22"/>
  <c r="AV34" i="22"/>
  <c r="AQ34" i="22"/>
  <c r="AL34" i="22"/>
  <c r="AG34" i="22"/>
  <c r="AB34" i="22"/>
  <c r="W34" i="22"/>
  <c r="R34" i="22"/>
  <c r="M34" i="22"/>
  <c r="H34" i="22"/>
  <c r="KI33" i="22"/>
  <c r="KD33" i="22"/>
  <c r="CO33" i="22"/>
  <c r="CJ33" i="22"/>
  <c r="CE33" i="22"/>
  <c r="BZ33" i="22"/>
  <c r="BU33" i="22"/>
  <c r="BP33" i="22"/>
  <c r="BK33" i="22"/>
  <c r="BF33" i="22"/>
  <c r="BA33" i="22"/>
  <c r="AV33" i="22"/>
  <c r="AQ33" i="22"/>
  <c r="AL33" i="22"/>
  <c r="AG33" i="22"/>
  <c r="AB33" i="22"/>
  <c r="W33" i="22"/>
  <c r="R33" i="22"/>
  <c r="M33" i="22"/>
  <c r="H33" i="22"/>
  <c r="KN32" i="22"/>
  <c r="KI32" i="22"/>
  <c r="KD32" i="22"/>
  <c r="JY32" i="22"/>
  <c r="JT32" i="22"/>
  <c r="JO32" i="22"/>
  <c r="JJ32" i="22"/>
  <c r="JE32" i="22"/>
  <c r="IZ32" i="22"/>
  <c r="IU32" i="22"/>
  <c r="IN32" i="22"/>
  <c r="IE32" i="22"/>
  <c r="AZ12" i="8" s="1"/>
  <c r="ID32" i="22"/>
  <c r="HY32" i="22"/>
  <c r="P31" i="20" s="1"/>
  <c r="HT32" i="22"/>
  <c r="HO32" i="22"/>
  <c r="HJ32" i="22"/>
  <c r="HE32" i="22"/>
  <c r="GZ32" i="22"/>
  <c r="GU32" i="22"/>
  <c r="GP32" i="22"/>
  <c r="GK32" i="22"/>
  <c r="GF32" i="22"/>
  <c r="GA32" i="22"/>
  <c r="FV32" i="22"/>
  <c r="FN32" i="22"/>
  <c r="FQ32" i="22" s="1"/>
  <c r="FL32" i="22"/>
  <c r="FG32" i="22"/>
  <c r="FB32" i="22"/>
  <c r="EW32" i="22"/>
  <c r="ER32" i="22"/>
  <c r="EM32" i="22"/>
  <c r="EH32" i="22"/>
  <c r="EC32" i="22"/>
  <c r="DX32" i="22"/>
  <c r="DS32" i="22"/>
  <c r="DN32" i="22"/>
  <c r="DI32" i="22"/>
  <c r="DD32" i="22"/>
  <c r="CY32" i="22"/>
  <c r="CO32" i="22"/>
  <c r="CJ32" i="22"/>
  <c r="CE32" i="22"/>
  <c r="BZ32" i="22"/>
  <c r="BU32" i="22"/>
  <c r="BR32" i="22"/>
  <c r="BQ32" i="22"/>
  <c r="BL32" i="22"/>
  <c r="BP32" i="22" s="1"/>
  <c r="BG32" i="22"/>
  <c r="BK32" i="22" s="1"/>
  <c r="BF32" i="22"/>
  <c r="BB32" i="22"/>
  <c r="BA32" i="22"/>
  <c r="AV32" i="22"/>
  <c r="AQ32" i="22"/>
  <c r="AL32" i="22"/>
  <c r="AG32" i="22"/>
  <c r="AB32" i="22"/>
  <c r="W32" i="22"/>
  <c r="R32" i="22"/>
  <c r="M32" i="22"/>
  <c r="H32" i="22"/>
  <c r="KN31" i="22"/>
  <c r="KI31" i="22"/>
  <c r="KD31" i="22"/>
  <c r="JY31" i="22"/>
  <c r="JT31" i="22"/>
  <c r="JO31" i="22"/>
  <c r="JJ31" i="22"/>
  <c r="JE31" i="22"/>
  <c r="IZ31" i="22"/>
  <c r="IU31" i="22"/>
  <c r="IN31" i="22"/>
  <c r="II31" i="22"/>
  <c r="ID31" i="22"/>
  <c r="HY31" i="22"/>
  <c r="P18" i="20" s="1"/>
  <c r="HT31" i="22"/>
  <c r="HO31" i="22"/>
  <c r="HJ31" i="22"/>
  <c r="HE31" i="22"/>
  <c r="GZ31" i="22"/>
  <c r="GU31" i="22"/>
  <c r="GP31" i="22"/>
  <c r="GK31" i="22"/>
  <c r="GF31" i="22"/>
  <c r="GA31" i="22"/>
  <c r="FV31" i="22"/>
  <c r="FQ31" i="22"/>
  <c r="FL31" i="22"/>
  <c r="FG31" i="22"/>
  <c r="FB31" i="22"/>
  <c r="EW31" i="22"/>
  <c r="ER31" i="22"/>
  <c r="EM31" i="22"/>
  <c r="EH31" i="22"/>
  <c r="EC31" i="22"/>
  <c r="DX31" i="22"/>
  <c r="DS31" i="22"/>
  <c r="DN31" i="22"/>
  <c r="DI31" i="22"/>
  <c r="DD31" i="22"/>
  <c r="CY31" i="22"/>
  <c r="CO31" i="22"/>
  <c r="CJ31" i="22"/>
  <c r="CE31" i="22"/>
  <c r="BZ31" i="22"/>
  <c r="BU31" i="22"/>
  <c r="BP31" i="22"/>
  <c r="BK31" i="22"/>
  <c r="BF31" i="22"/>
  <c r="BA31" i="22"/>
  <c r="AV31" i="22"/>
  <c r="AQ31" i="22"/>
  <c r="AL31" i="22"/>
  <c r="AG31" i="22"/>
  <c r="AB31" i="22"/>
  <c r="W31" i="22"/>
  <c r="R31" i="22"/>
  <c r="M31" i="22"/>
  <c r="H31" i="22"/>
  <c r="KI30" i="22"/>
  <c r="KD30" i="22"/>
  <c r="JY30" i="22"/>
  <c r="JT30" i="22"/>
  <c r="JO30" i="22"/>
  <c r="JJ30" i="22"/>
  <c r="JE30" i="22"/>
  <c r="IZ30" i="22"/>
  <c r="IU30" i="22"/>
  <c r="IN30" i="22"/>
  <c r="II30" i="22"/>
  <c r="IE30" i="22"/>
  <c r="IA30" i="22"/>
  <c r="IA50" i="22" s="1"/>
  <c r="HY30" i="22"/>
  <c r="P17" i="20" s="1"/>
  <c r="HT30" i="22"/>
  <c r="HO30" i="22"/>
  <c r="HJ30" i="22"/>
  <c r="HE30" i="22"/>
  <c r="GZ30" i="22"/>
  <c r="GU30" i="22"/>
  <c r="GP30" i="22"/>
  <c r="GK30" i="22"/>
  <c r="GF30" i="22"/>
  <c r="GA30" i="22"/>
  <c r="FV30" i="22"/>
  <c r="FQ30" i="22"/>
  <c r="FL30" i="22"/>
  <c r="FG30" i="22"/>
  <c r="FB30" i="22"/>
  <c r="EW30" i="22"/>
  <c r="ER30" i="22"/>
  <c r="EM30" i="22"/>
  <c r="EH30" i="22"/>
  <c r="EC30" i="22"/>
  <c r="DX30" i="22"/>
  <c r="DS30" i="22"/>
  <c r="DN30" i="22"/>
  <c r="DI30" i="22"/>
  <c r="DD30" i="22"/>
  <c r="CY30" i="22"/>
  <c r="CO30" i="22"/>
  <c r="CJ30" i="22"/>
  <c r="CE30" i="22"/>
  <c r="BZ30" i="22"/>
  <c r="BU30" i="22"/>
  <c r="BP30" i="22"/>
  <c r="BK30" i="22"/>
  <c r="BF30" i="22"/>
  <c r="BA30" i="22"/>
  <c r="AV30" i="22"/>
  <c r="AQ30" i="22"/>
  <c r="AL30" i="22"/>
  <c r="AG30" i="22"/>
  <c r="AB30" i="22"/>
  <c r="W30" i="22"/>
  <c r="R30" i="22"/>
  <c r="M30" i="22"/>
  <c r="H30" i="22"/>
  <c r="KI29" i="22"/>
  <c r="KD29" i="22"/>
  <c r="JY29" i="22"/>
  <c r="JT29" i="22"/>
  <c r="JO29" i="22"/>
  <c r="JJ29" i="22"/>
  <c r="JE29" i="22"/>
  <c r="IZ29" i="22"/>
  <c r="IU29" i="22"/>
  <c r="IN29" i="22"/>
  <c r="II29" i="22"/>
  <c r="HZ29" i="22"/>
  <c r="AV11" i="6" s="1"/>
  <c r="HY29" i="22"/>
  <c r="P16" i="20" s="1"/>
  <c r="HT29" i="22"/>
  <c r="HO29" i="22"/>
  <c r="HJ29" i="22"/>
  <c r="HE29" i="22"/>
  <c r="GZ29" i="22"/>
  <c r="GU29" i="22"/>
  <c r="GP29" i="22"/>
  <c r="GK29" i="22"/>
  <c r="GF29" i="22"/>
  <c r="GA29" i="22"/>
  <c r="FV29" i="22"/>
  <c r="FQ29" i="22"/>
  <c r="FL29" i="22"/>
  <c r="FG29" i="22"/>
  <c r="FB29" i="22"/>
  <c r="EW29" i="22"/>
  <c r="ER29" i="22"/>
  <c r="EM29" i="22"/>
  <c r="EH29" i="22"/>
  <c r="EC29" i="22"/>
  <c r="DX29" i="22"/>
  <c r="DS29" i="22"/>
  <c r="DN29" i="22"/>
  <c r="DI29" i="22"/>
  <c r="DD29" i="22"/>
  <c r="CY29" i="22"/>
  <c r="CO29" i="22"/>
  <c r="CJ29" i="22"/>
  <c r="CE29" i="22"/>
  <c r="BZ29" i="22"/>
  <c r="BU29" i="22"/>
  <c r="BP29" i="22"/>
  <c r="BK29" i="22"/>
  <c r="BF29" i="22"/>
  <c r="BA29" i="22"/>
  <c r="AV29" i="22"/>
  <c r="AQ29" i="22"/>
  <c r="AL29" i="22"/>
  <c r="AG29" i="22"/>
  <c r="AB29" i="22"/>
  <c r="W29" i="22"/>
  <c r="R29" i="22"/>
  <c r="M29" i="22"/>
  <c r="H29" i="22"/>
  <c r="KI28" i="22"/>
  <c r="KD28" i="22"/>
  <c r="JY28" i="22"/>
  <c r="JT28" i="22"/>
  <c r="JO28" i="22"/>
  <c r="JJ28" i="22"/>
  <c r="JE28" i="22"/>
  <c r="IZ28" i="22"/>
  <c r="IU28" i="22"/>
  <c r="IN28" i="22"/>
  <c r="II28" i="22"/>
  <c r="ID28" i="22"/>
  <c r="HZ28" i="22"/>
  <c r="HY28" i="22"/>
  <c r="P15" i="20" s="1"/>
  <c r="HT28" i="22"/>
  <c r="HO28" i="22"/>
  <c r="HJ28" i="22"/>
  <c r="HE28" i="22"/>
  <c r="GZ28" i="22"/>
  <c r="GU28" i="22"/>
  <c r="GP28" i="22"/>
  <c r="GK28" i="22"/>
  <c r="GF28" i="22"/>
  <c r="GA28" i="22"/>
  <c r="FV28" i="22"/>
  <c r="FQ28" i="22"/>
  <c r="FL28" i="22"/>
  <c r="FG28" i="22"/>
  <c r="FB28" i="22"/>
  <c r="EW28" i="22"/>
  <c r="ER28" i="22"/>
  <c r="EM28" i="22"/>
  <c r="EH28" i="22"/>
  <c r="EC28" i="22"/>
  <c r="DX28" i="22"/>
  <c r="DS28" i="22"/>
  <c r="DN28" i="22"/>
  <c r="DI28" i="22"/>
  <c r="DD28" i="22"/>
  <c r="CY28" i="22"/>
  <c r="CO28" i="22"/>
  <c r="CJ28" i="22"/>
  <c r="CE28" i="22"/>
  <c r="BZ28" i="22"/>
  <c r="BU28" i="22"/>
  <c r="BP28" i="22"/>
  <c r="BK28" i="22"/>
  <c r="BF28" i="22"/>
  <c r="BA28" i="22"/>
  <c r="AV28" i="22"/>
  <c r="AQ28" i="22"/>
  <c r="AL28" i="22"/>
  <c r="AG28" i="22"/>
  <c r="AB28" i="22"/>
  <c r="W28" i="22"/>
  <c r="R28" i="22"/>
  <c r="M28" i="22"/>
  <c r="H28" i="22"/>
  <c r="KI27" i="22"/>
  <c r="KD27" i="22"/>
  <c r="JY27" i="22"/>
  <c r="JT27" i="22"/>
  <c r="JO27" i="22"/>
  <c r="JJ27" i="22"/>
  <c r="JE27" i="22"/>
  <c r="IZ27" i="22"/>
  <c r="IU27" i="22"/>
  <c r="IN27" i="22"/>
  <c r="IE27" i="22"/>
  <c r="II27" i="22" s="1"/>
  <c r="ID27" i="22"/>
  <c r="HY27" i="22"/>
  <c r="P39" i="20" s="1"/>
  <c r="HT27" i="22"/>
  <c r="HO27" i="22"/>
  <c r="HJ27" i="22"/>
  <c r="HE27" i="22"/>
  <c r="GZ27" i="22"/>
  <c r="GU27" i="22"/>
  <c r="GP27" i="22"/>
  <c r="GK27" i="22"/>
  <c r="GF27" i="22"/>
  <c r="GA27" i="22"/>
  <c r="FV27" i="22"/>
  <c r="FQ27" i="22"/>
  <c r="FL27" i="22"/>
  <c r="FG27" i="22"/>
  <c r="FB27" i="22"/>
  <c r="EW27" i="22"/>
  <c r="ER27" i="22"/>
  <c r="EM27" i="22"/>
  <c r="EH27" i="22"/>
  <c r="EC27" i="22"/>
  <c r="DX27" i="22"/>
  <c r="DS27" i="22"/>
  <c r="DN27" i="22"/>
  <c r="DI27" i="22"/>
  <c r="DD27" i="22"/>
  <c r="CY27" i="22"/>
  <c r="CO27" i="22"/>
  <c r="CJ27" i="22"/>
  <c r="CE27" i="22"/>
  <c r="BZ27" i="22"/>
  <c r="BQ27" i="22"/>
  <c r="BU27" i="22" s="1"/>
  <c r="BP27" i="22"/>
  <c r="BL27" i="22"/>
  <c r="BK27" i="22"/>
  <c r="BG27" i="22"/>
  <c r="BB27" i="22"/>
  <c r="BF27" i="22" s="1"/>
  <c r="BA27" i="22"/>
  <c r="AV27" i="22"/>
  <c r="AQ27" i="22"/>
  <c r="AL27" i="22"/>
  <c r="AH27" i="22"/>
  <c r="AG27" i="22"/>
  <c r="AB27" i="22"/>
  <c r="W27" i="22"/>
  <c r="R27" i="22"/>
  <c r="M27" i="22"/>
  <c r="H27" i="22"/>
  <c r="KI26" i="22"/>
  <c r="KD26" i="22"/>
  <c r="JY26" i="22"/>
  <c r="JT26" i="22"/>
  <c r="JO26" i="22"/>
  <c r="JJ26" i="22"/>
  <c r="JE26" i="22"/>
  <c r="IZ26" i="22"/>
  <c r="IU26" i="22"/>
  <c r="IN26" i="22"/>
  <c r="II26" i="22"/>
  <c r="ID26" i="22"/>
  <c r="HY26" i="22"/>
  <c r="P14" i="20" s="1"/>
  <c r="HT26" i="22"/>
  <c r="HO26" i="22"/>
  <c r="HJ26" i="22"/>
  <c r="HE26" i="22"/>
  <c r="GZ26" i="22"/>
  <c r="GU26" i="22"/>
  <c r="GP26" i="22"/>
  <c r="GK26" i="22"/>
  <c r="GF26" i="22"/>
  <c r="GA26" i="22"/>
  <c r="FV26" i="22"/>
  <c r="FQ26" i="22"/>
  <c r="FL26" i="22"/>
  <c r="FG26" i="22"/>
  <c r="FB26" i="22"/>
  <c r="EW26" i="22"/>
  <c r="ER26" i="22"/>
  <c r="EM26" i="22"/>
  <c r="EH26" i="22"/>
  <c r="EC26" i="22"/>
  <c r="DX26" i="22"/>
  <c r="DS26" i="22"/>
  <c r="DN26" i="22"/>
  <c r="DI26" i="22"/>
  <c r="DD26" i="22"/>
  <c r="CY26" i="22"/>
  <c r="CO26" i="22"/>
  <c r="CJ26" i="22"/>
  <c r="CE26" i="22"/>
  <c r="BZ26" i="22"/>
  <c r="BU26" i="22"/>
  <c r="BP26" i="22"/>
  <c r="BK26" i="22"/>
  <c r="BF26" i="22"/>
  <c r="BA26" i="22"/>
  <c r="AV26" i="22"/>
  <c r="AQ26" i="22"/>
  <c r="AL26" i="22"/>
  <c r="AG26" i="22"/>
  <c r="AB26" i="22"/>
  <c r="W26" i="22"/>
  <c r="R26" i="22"/>
  <c r="M26" i="22"/>
  <c r="H26" i="22"/>
  <c r="KI25" i="22"/>
  <c r="KD25" i="22"/>
  <c r="JY25" i="22"/>
  <c r="JT25" i="22"/>
  <c r="JO25" i="22"/>
  <c r="JJ25" i="22"/>
  <c r="JE25" i="22"/>
  <c r="IZ25" i="22"/>
  <c r="IU25" i="22"/>
  <c r="IN25" i="22"/>
  <c r="II25" i="22"/>
  <c r="HZ25" i="22"/>
  <c r="AV8" i="6" s="1"/>
  <c r="HY25" i="22"/>
  <c r="P13" i="20" s="1"/>
  <c r="HT25" i="22"/>
  <c r="HO25" i="22"/>
  <c r="HJ25" i="22"/>
  <c r="HE25" i="22"/>
  <c r="GZ25" i="22"/>
  <c r="GU25" i="22"/>
  <c r="GP25" i="22"/>
  <c r="GK25" i="22"/>
  <c r="GF25" i="22"/>
  <c r="GA25" i="22"/>
  <c r="FV25" i="22"/>
  <c r="FQ25" i="22"/>
  <c r="FL25" i="22"/>
  <c r="FG25" i="22"/>
  <c r="FB25" i="22"/>
  <c r="EW25" i="22"/>
  <c r="ER25" i="22"/>
  <c r="EM25" i="22"/>
  <c r="EH25" i="22"/>
  <c r="EC25" i="22"/>
  <c r="DX25" i="22"/>
  <c r="DS25" i="22"/>
  <c r="DN25" i="22"/>
  <c r="DI25" i="22"/>
  <c r="DD25" i="22"/>
  <c r="CY25" i="22"/>
  <c r="CO25" i="22"/>
  <c r="CJ25" i="22"/>
  <c r="CE25" i="22"/>
  <c r="BZ25" i="22"/>
  <c r="BU25" i="22"/>
  <c r="BP25" i="22"/>
  <c r="BK25" i="22"/>
  <c r="BF25" i="22"/>
  <c r="BA25" i="22"/>
  <c r="AV25" i="22"/>
  <c r="AQ25" i="22"/>
  <c r="AL25" i="22"/>
  <c r="AG25" i="22"/>
  <c r="AB25" i="22"/>
  <c r="W25" i="22"/>
  <c r="R25" i="22"/>
  <c r="M25" i="22"/>
  <c r="H25" i="22"/>
  <c r="KI24" i="22"/>
  <c r="KD24" i="22"/>
  <c r="JY24" i="22"/>
  <c r="JT24" i="22"/>
  <c r="JO24" i="22"/>
  <c r="JJ24" i="22"/>
  <c r="JE24" i="22"/>
  <c r="IZ24" i="22"/>
  <c r="IU24" i="22"/>
  <c r="IN24" i="22"/>
  <c r="II24" i="22"/>
  <c r="ID24" i="22"/>
  <c r="HZ24" i="22"/>
  <c r="HY24" i="22"/>
  <c r="P12" i="20" s="1"/>
  <c r="HT24" i="22"/>
  <c r="HO24" i="22"/>
  <c r="HJ24" i="22"/>
  <c r="HE24" i="22"/>
  <c r="GZ24" i="22"/>
  <c r="GU24" i="22"/>
  <c r="GP24" i="22"/>
  <c r="GK24" i="22"/>
  <c r="GF24" i="22"/>
  <c r="GA24" i="22"/>
  <c r="FV24" i="22"/>
  <c r="FQ24" i="22"/>
  <c r="FL24" i="22"/>
  <c r="FG24" i="22"/>
  <c r="FB24" i="22"/>
  <c r="EW24" i="22"/>
  <c r="ER24" i="22"/>
  <c r="EM24" i="22"/>
  <c r="EH24" i="22"/>
  <c r="EC24" i="22"/>
  <c r="DX24" i="22"/>
  <c r="DS24" i="22"/>
  <c r="DN24" i="22"/>
  <c r="DI24" i="22"/>
  <c r="DD24" i="22"/>
  <c r="CY24" i="22"/>
  <c r="CO24" i="22"/>
  <c r="CJ24" i="22"/>
  <c r="CE24" i="22"/>
  <c r="BZ24" i="22"/>
  <c r="BU24" i="22"/>
  <c r="BP24" i="22"/>
  <c r="BK24" i="22"/>
  <c r="BF24" i="22"/>
  <c r="BA24" i="22"/>
  <c r="AV24" i="22"/>
  <c r="AQ24" i="22"/>
  <c r="AL24" i="22"/>
  <c r="AG24" i="22"/>
  <c r="AB24" i="22"/>
  <c r="W24" i="22"/>
  <c r="R24" i="22"/>
  <c r="M24" i="22"/>
  <c r="H24" i="22"/>
  <c r="KI23" i="22"/>
  <c r="KD23" i="22"/>
  <c r="JY23" i="22"/>
  <c r="JT23" i="22"/>
  <c r="JO23" i="22"/>
  <c r="JJ23" i="22"/>
  <c r="JE23" i="22"/>
  <c r="IZ23" i="22"/>
  <c r="IU23" i="22"/>
  <c r="IN23" i="22"/>
  <c r="II23" i="22"/>
  <c r="IE23" i="22"/>
  <c r="ID23" i="22"/>
  <c r="HY23" i="22"/>
  <c r="P9" i="20" s="1"/>
  <c r="HT23" i="22"/>
  <c r="HO23" i="22"/>
  <c r="HJ23" i="22"/>
  <c r="HE23" i="22"/>
  <c r="GZ23" i="22"/>
  <c r="GU23" i="22"/>
  <c r="GP23" i="22"/>
  <c r="GK23" i="22"/>
  <c r="GF23" i="22"/>
  <c r="GA23" i="22"/>
  <c r="FV23" i="22"/>
  <c r="FQ23" i="22"/>
  <c r="FL23" i="22"/>
  <c r="FG23" i="22"/>
  <c r="FB23" i="22"/>
  <c r="EW23" i="22"/>
  <c r="ER23" i="22"/>
  <c r="EM23" i="22"/>
  <c r="EH23" i="22"/>
  <c r="EC23" i="22"/>
  <c r="DX23" i="22"/>
  <c r="DS23" i="22"/>
  <c r="DN23" i="22"/>
  <c r="DI23" i="22"/>
  <c r="DD23" i="22"/>
  <c r="CY23" i="22"/>
  <c r="CO23" i="22"/>
  <c r="CJ23" i="22"/>
  <c r="CE23" i="22"/>
  <c r="BZ23" i="22"/>
  <c r="BQ23" i="22"/>
  <c r="BU23" i="22" s="1"/>
  <c r="BP23" i="22"/>
  <c r="BL23" i="22"/>
  <c r="BG23" i="22"/>
  <c r="BK23" i="22" s="1"/>
  <c r="BF23" i="22"/>
  <c r="BC23" i="22"/>
  <c r="BA23" i="22"/>
  <c r="AV23" i="22"/>
  <c r="AQ23" i="22"/>
  <c r="AL23" i="22"/>
  <c r="AH23" i="22"/>
  <c r="AH50" i="22" s="1"/>
  <c r="AG23" i="22"/>
  <c r="AB23" i="22"/>
  <c r="W23" i="22"/>
  <c r="R23" i="22"/>
  <c r="M23" i="22"/>
  <c r="H23" i="22"/>
  <c r="KI22" i="22"/>
  <c r="KD22" i="22"/>
  <c r="JY22" i="22"/>
  <c r="JT22" i="22"/>
  <c r="JO22" i="22"/>
  <c r="JJ22" i="22"/>
  <c r="JE22" i="22"/>
  <c r="IZ22" i="22"/>
  <c r="IU22" i="22"/>
  <c r="IN22" i="22"/>
  <c r="II22" i="22"/>
  <c r="IF22" i="22"/>
  <c r="IE22" i="22"/>
  <c r="ID22" i="22"/>
  <c r="HY22" i="22"/>
  <c r="P38" i="20" s="1"/>
  <c r="HT22" i="22"/>
  <c r="HO22" i="22"/>
  <c r="HJ22" i="22"/>
  <c r="HE22" i="22"/>
  <c r="GZ22" i="22"/>
  <c r="GU22" i="22"/>
  <c r="GP22" i="22"/>
  <c r="GK22" i="22"/>
  <c r="GF22" i="22"/>
  <c r="GA22" i="22"/>
  <c r="FV22" i="22"/>
  <c r="FQ22" i="22"/>
  <c r="FL22" i="22"/>
  <c r="FG22" i="22"/>
  <c r="FB22" i="22"/>
  <c r="EW22" i="22"/>
  <c r="ER22" i="22"/>
  <c r="EM22" i="22"/>
  <c r="EH22" i="22"/>
  <c r="EC22" i="22"/>
  <c r="DX22" i="22"/>
  <c r="DS22" i="22"/>
  <c r="DN22" i="22"/>
  <c r="DI22" i="22"/>
  <c r="DD22" i="22"/>
  <c r="CY22" i="22"/>
  <c r="CO22" i="22"/>
  <c r="CJ22" i="22"/>
  <c r="CE22" i="22"/>
  <c r="BZ22" i="22"/>
  <c r="BQ22" i="22"/>
  <c r="BU22" i="22" s="1"/>
  <c r="BP22" i="22"/>
  <c r="BL22" i="22"/>
  <c r="BH22" i="22"/>
  <c r="BK22" i="22" s="1"/>
  <c r="BC22" i="22"/>
  <c r="BB22" i="22"/>
  <c r="BF22" i="22" s="1"/>
  <c r="BA22" i="22"/>
  <c r="AV22" i="22"/>
  <c r="AQ22" i="22"/>
  <c r="AL22" i="22"/>
  <c r="AG22" i="22"/>
  <c r="AB22" i="22"/>
  <c r="W22" i="22"/>
  <c r="R22" i="22"/>
  <c r="M22" i="22"/>
  <c r="H22" i="22"/>
  <c r="KI21" i="22"/>
  <c r="KD21" i="22"/>
  <c r="JY21" i="22"/>
  <c r="JT21" i="22"/>
  <c r="JO21" i="22"/>
  <c r="JJ21" i="22"/>
  <c r="JE21" i="22"/>
  <c r="IZ21" i="22"/>
  <c r="IU21" i="22"/>
  <c r="IN21" i="22"/>
  <c r="II21" i="22"/>
  <c r="ID21" i="22"/>
  <c r="HY21" i="22"/>
  <c r="P37" i="20" s="1"/>
  <c r="HT21" i="22"/>
  <c r="HO21" i="22"/>
  <c r="HJ21" i="22"/>
  <c r="HE21" i="22"/>
  <c r="GZ21" i="22"/>
  <c r="GU21" i="22"/>
  <c r="GP21" i="22"/>
  <c r="GK21" i="22"/>
  <c r="GF21" i="22"/>
  <c r="GA21" i="22"/>
  <c r="FV21" i="22"/>
  <c r="FQ21" i="22"/>
  <c r="FL21" i="22"/>
  <c r="FG21" i="22"/>
  <c r="FB21" i="22"/>
  <c r="EW21" i="22"/>
  <c r="ER21" i="22"/>
  <c r="EM21" i="22"/>
  <c r="EH21" i="22"/>
  <c r="EC21" i="22"/>
  <c r="DX21" i="22"/>
  <c r="DS21" i="22"/>
  <c r="DN21" i="22"/>
  <c r="DI21" i="22"/>
  <c r="DD21" i="22"/>
  <c r="CY21" i="22"/>
  <c r="CO21" i="22"/>
  <c r="CJ21" i="22"/>
  <c r="CE21" i="22"/>
  <c r="BZ21" i="22"/>
  <c r="BU21" i="22"/>
  <c r="BP21" i="22"/>
  <c r="BK21" i="22"/>
  <c r="BF21" i="22"/>
  <c r="BA21" i="22"/>
  <c r="AV21" i="22"/>
  <c r="AQ21" i="22"/>
  <c r="AL21" i="22"/>
  <c r="AG21" i="22"/>
  <c r="AB21" i="22"/>
  <c r="W21" i="22"/>
  <c r="R21" i="22"/>
  <c r="M21" i="22"/>
  <c r="H21" i="22"/>
  <c r="KI20" i="22"/>
  <c r="KD20" i="22"/>
  <c r="JY20" i="22"/>
  <c r="JT20" i="22"/>
  <c r="JO20" i="22"/>
  <c r="JJ20" i="22"/>
  <c r="JE20" i="22"/>
  <c r="IZ20" i="22"/>
  <c r="IU20" i="22"/>
  <c r="IN20" i="22"/>
  <c r="IF20" i="22"/>
  <c r="II20" i="22" s="1"/>
  <c r="ID20" i="22"/>
  <c r="HZ20" i="22"/>
  <c r="HY20" i="22"/>
  <c r="P30" i="20" s="1"/>
  <c r="HT20" i="22"/>
  <c r="HO20" i="22"/>
  <c r="HJ20" i="22"/>
  <c r="HE20" i="22"/>
  <c r="GZ20" i="22"/>
  <c r="GU20" i="22"/>
  <c r="GP20" i="22"/>
  <c r="GK20" i="22"/>
  <c r="GF20" i="22"/>
  <c r="GA20" i="22"/>
  <c r="FV20" i="22"/>
  <c r="FM20" i="22"/>
  <c r="FQ20" i="22" s="1"/>
  <c r="FL20" i="22"/>
  <c r="FG20" i="22"/>
  <c r="FB20" i="22"/>
  <c r="EW20" i="22"/>
  <c r="ER20" i="22"/>
  <c r="EM20" i="22"/>
  <c r="EH20" i="22"/>
  <c r="EC20" i="22"/>
  <c r="DX20" i="22"/>
  <c r="DS20" i="22"/>
  <c r="DN20" i="22"/>
  <c r="DI20" i="22"/>
  <c r="DD20" i="22"/>
  <c r="CY20" i="22"/>
  <c r="CO20" i="22"/>
  <c r="CJ20" i="22"/>
  <c r="CE20" i="22"/>
  <c r="BZ20" i="22"/>
  <c r="BU20" i="22"/>
  <c r="BP20" i="22"/>
  <c r="BL20" i="22"/>
  <c r="BK20" i="22"/>
  <c r="BB20" i="22"/>
  <c r="BF20" i="22" s="1"/>
  <c r="BA20" i="22"/>
  <c r="AV20" i="22"/>
  <c r="AQ20" i="22"/>
  <c r="AL20" i="22"/>
  <c r="AG20" i="22"/>
  <c r="AB20" i="22"/>
  <c r="W20" i="22"/>
  <c r="R20" i="22"/>
  <c r="M20" i="22"/>
  <c r="H20" i="22"/>
  <c r="KI19" i="22"/>
  <c r="KD19" i="22"/>
  <c r="JY19" i="22"/>
  <c r="JT19" i="22"/>
  <c r="JO19" i="22"/>
  <c r="JJ19" i="22"/>
  <c r="JE19" i="22"/>
  <c r="IZ19" i="22"/>
  <c r="IU19" i="22"/>
  <c r="IN19" i="22"/>
  <c r="IF19" i="22"/>
  <c r="IE19" i="22"/>
  <c r="AZ9" i="15" s="1"/>
  <c r="ID19" i="22"/>
  <c r="HY19" i="22"/>
  <c r="P36" i="20" s="1"/>
  <c r="HT19" i="22"/>
  <c r="HO19" i="22"/>
  <c r="HJ19" i="22"/>
  <c r="HE19" i="22"/>
  <c r="GZ19" i="22"/>
  <c r="GU19" i="22"/>
  <c r="GP19" i="22"/>
  <c r="GK19" i="22"/>
  <c r="GF19" i="22"/>
  <c r="GA19" i="22"/>
  <c r="FV19" i="22"/>
  <c r="FQ19" i="22"/>
  <c r="FL19" i="22"/>
  <c r="FG19" i="22"/>
  <c r="FB19" i="22"/>
  <c r="EW19" i="22"/>
  <c r="ER19" i="22"/>
  <c r="EM19" i="22"/>
  <c r="EH19" i="22"/>
  <c r="EC19" i="22"/>
  <c r="DX19" i="22"/>
  <c r="DS19" i="22"/>
  <c r="DN19" i="22"/>
  <c r="DI19" i="22"/>
  <c r="DD19" i="22"/>
  <c r="CY19" i="22"/>
  <c r="CO19" i="22"/>
  <c r="CJ19" i="22"/>
  <c r="CE19" i="22"/>
  <c r="BZ19" i="22"/>
  <c r="BU19" i="22"/>
  <c r="BQ19" i="22"/>
  <c r="BP19" i="22"/>
  <c r="BL19" i="22"/>
  <c r="BG19" i="22"/>
  <c r="BK19" i="22" s="1"/>
  <c r="BB19" i="22"/>
  <c r="BF19" i="22" s="1"/>
  <c r="BA19" i="22"/>
  <c r="AV19" i="22"/>
  <c r="AQ19" i="22"/>
  <c r="AL19" i="22"/>
  <c r="AG19" i="22"/>
  <c r="AB19" i="22"/>
  <c r="W19" i="22"/>
  <c r="R19" i="22"/>
  <c r="M19" i="22"/>
  <c r="H19" i="22"/>
  <c r="KI18" i="22"/>
  <c r="KD18" i="22"/>
  <c r="JY18" i="22"/>
  <c r="JT18" i="22"/>
  <c r="JO18" i="22"/>
  <c r="JJ18" i="22"/>
  <c r="JE18" i="22"/>
  <c r="IZ18" i="22"/>
  <c r="IU18" i="22"/>
  <c r="IN18" i="22"/>
  <c r="IF18" i="22"/>
  <c r="BA8" i="7" s="1"/>
  <c r="IE18" i="22"/>
  <c r="II18" i="22" s="1"/>
  <c r="ID18" i="22"/>
  <c r="HZ18" i="22"/>
  <c r="HY18" i="22"/>
  <c r="P22" i="20" s="1"/>
  <c r="HT18" i="22"/>
  <c r="HO18" i="22"/>
  <c r="HJ18" i="22"/>
  <c r="HE18" i="22"/>
  <c r="GZ18" i="22"/>
  <c r="GU18" i="22"/>
  <c r="GP18" i="22"/>
  <c r="GK18" i="22"/>
  <c r="GF18" i="22"/>
  <c r="GA18" i="22"/>
  <c r="FV18" i="22"/>
  <c r="FQ18" i="22"/>
  <c r="FL18" i="22"/>
  <c r="FG18" i="22"/>
  <c r="FB18" i="22"/>
  <c r="EW18" i="22"/>
  <c r="ER18" i="22"/>
  <c r="EM18" i="22"/>
  <c r="EH18" i="22"/>
  <c r="EC18" i="22"/>
  <c r="DX18" i="22"/>
  <c r="DS18" i="22"/>
  <c r="DN18" i="22"/>
  <c r="DI18" i="22"/>
  <c r="DD18" i="22"/>
  <c r="CY18" i="22"/>
  <c r="CO18" i="22"/>
  <c r="CJ18" i="22"/>
  <c r="CE18" i="22"/>
  <c r="BZ18" i="22"/>
  <c r="BU18" i="22"/>
  <c r="BP18" i="22"/>
  <c r="BL18" i="22"/>
  <c r="BG18" i="22"/>
  <c r="BK18" i="22" s="1"/>
  <c r="BC18" i="22"/>
  <c r="BF18" i="22" s="1"/>
  <c r="BA18" i="22"/>
  <c r="AV18" i="22"/>
  <c r="AQ18" i="22"/>
  <c r="AL18" i="22"/>
  <c r="AG18" i="22"/>
  <c r="AB18" i="22"/>
  <c r="W18" i="22"/>
  <c r="R18" i="22"/>
  <c r="M18" i="22"/>
  <c r="H18" i="22"/>
  <c r="KI17" i="22"/>
  <c r="KD17" i="22"/>
  <c r="JY17" i="22"/>
  <c r="JT17" i="22"/>
  <c r="JO17" i="22"/>
  <c r="JJ17" i="22"/>
  <c r="JE17" i="22"/>
  <c r="IZ17" i="22"/>
  <c r="IU17" i="22"/>
  <c r="IN17" i="22"/>
  <c r="IF17" i="22"/>
  <c r="BA8" i="15" s="1"/>
  <c r="ID17" i="22"/>
  <c r="HZ17" i="22"/>
  <c r="HY17" i="22"/>
  <c r="P35" i="20" s="1"/>
  <c r="HT17" i="22"/>
  <c r="HO17" i="22"/>
  <c r="HJ17" i="22"/>
  <c r="HE17" i="22"/>
  <c r="GZ17" i="22"/>
  <c r="GU17" i="22"/>
  <c r="GP17" i="22"/>
  <c r="GK17" i="22"/>
  <c r="GF17" i="22"/>
  <c r="GA17" i="22"/>
  <c r="FV17" i="22"/>
  <c r="FQ17" i="22"/>
  <c r="FL17" i="22"/>
  <c r="FG17" i="22"/>
  <c r="FB17" i="22"/>
  <c r="EW17" i="22"/>
  <c r="ER17" i="22"/>
  <c r="EM17" i="22"/>
  <c r="EH17" i="22"/>
  <c r="EC17" i="22"/>
  <c r="DX17" i="22"/>
  <c r="DS17" i="22"/>
  <c r="DN17" i="22"/>
  <c r="DI17" i="22"/>
  <c r="DD17" i="22"/>
  <c r="CY17" i="22"/>
  <c r="CO17" i="22"/>
  <c r="CJ17" i="22"/>
  <c r="CE17" i="22"/>
  <c r="BZ17" i="22"/>
  <c r="BU17" i="22"/>
  <c r="BL17" i="22"/>
  <c r="BP17" i="22" s="1"/>
  <c r="BG17" i="22"/>
  <c r="BK17" i="22" s="1"/>
  <c r="BB17" i="22"/>
  <c r="BF17" i="22" s="1"/>
  <c r="BA17" i="22"/>
  <c r="AV17" i="22"/>
  <c r="AQ17" i="22"/>
  <c r="AL17" i="22"/>
  <c r="AG17" i="22"/>
  <c r="AB17" i="22"/>
  <c r="W17" i="22"/>
  <c r="R17" i="22"/>
  <c r="M17" i="22"/>
  <c r="H17" i="22"/>
  <c r="KI16" i="22"/>
  <c r="KD16" i="22"/>
  <c r="JY16" i="22"/>
  <c r="JT16" i="22"/>
  <c r="JO16" i="22"/>
  <c r="JJ16" i="22"/>
  <c r="JE16" i="22"/>
  <c r="IZ16" i="22"/>
  <c r="IU16" i="22"/>
  <c r="IN16" i="22"/>
  <c r="II16" i="22"/>
  <c r="IE16" i="22"/>
  <c r="HZ16" i="22"/>
  <c r="ID16" i="22" s="1"/>
  <c r="HY16" i="22"/>
  <c r="P34" i="20" s="1"/>
  <c r="HT16" i="22"/>
  <c r="HO16" i="22"/>
  <c r="HJ16" i="22"/>
  <c r="HE16" i="22"/>
  <c r="GZ16" i="22"/>
  <c r="GU16" i="22"/>
  <c r="GP16" i="22"/>
  <c r="GK16" i="22"/>
  <c r="GF16" i="22"/>
  <c r="GA16" i="22"/>
  <c r="FV16" i="22"/>
  <c r="FQ16" i="22"/>
  <c r="FL16" i="22"/>
  <c r="FG16" i="22"/>
  <c r="FB16" i="22"/>
  <c r="EW16" i="22"/>
  <c r="ER16" i="22"/>
  <c r="EM16" i="22"/>
  <c r="EH16" i="22"/>
  <c r="EC16" i="22"/>
  <c r="DX16" i="22"/>
  <c r="DS16" i="22"/>
  <c r="DN16" i="22"/>
  <c r="DI16" i="22"/>
  <c r="DD16" i="22"/>
  <c r="CY16" i="22"/>
  <c r="CO16" i="22"/>
  <c r="CJ16" i="22"/>
  <c r="CE16" i="22"/>
  <c r="BZ16" i="22"/>
  <c r="BU16" i="22"/>
  <c r="BP16" i="22"/>
  <c r="BG16" i="22"/>
  <c r="BK16" i="22" s="1"/>
  <c r="BF16" i="22"/>
  <c r="BB16" i="22"/>
  <c r="BA16" i="22"/>
  <c r="AV16" i="22"/>
  <c r="AQ16" i="22"/>
  <c r="AL16" i="22"/>
  <c r="AG16" i="22"/>
  <c r="AB16" i="22"/>
  <c r="W16" i="22"/>
  <c r="R16" i="22"/>
  <c r="M16" i="22"/>
  <c r="H16" i="22"/>
  <c r="KN15" i="22"/>
  <c r="KI15" i="22"/>
  <c r="KD15" i="22"/>
  <c r="JY15" i="22"/>
  <c r="JT15" i="22"/>
  <c r="JO15" i="22"/>
  <c r="JJ15" i="22"/>
  <c r="JE15" i="22"/>
  <c r="IZ15" i="22"/>
  <c r="IU15" i="22"/>
  <c r="IN15" i="22"/>
  <c r="II15" i="22"/>
  <c r="IE15" i="22"/>
  <c r="ID15" i="22"/>
  <c r="HY15" i="22"/>
  <c r="P29" i="20" s="1"/>
  <c r="HT15" i="22"/>
  <c r="HO15" i="22"/>
  <c r="HJ15" i="22"/>
  <c r="HE15" i="22"/>
  <c r="GZ15" i="22"/>
  <c r="GU15" i="22"/>
  <c r="GP15" i="22"/>
  <c r="GK15" i="22"/>
  <c r="GF15" i="22"/>
  <c r="GA15" i="22"/>
  <c r="FV15" i="22"/>
  <c r="FQ15" i="22"/>
  <c r="FL15" i="22"/>
  <c r="FG15" i="22"/>
  <c r="FB15" i="22"/>
  <c r="EW15" i="22"/>
  <c r="ER15" i="22"/>
  <c r="EM15" i="22"/>
  <c r="EH15" i="22"/>
  <c r="EC15" i="22"/>
  <c r="DX15" i="22"/>
  <c r="DS15" i="22"/>
  <c r="DN15" i="22"/>
  <c r="DI15" i="22"/>
  <c r="DD15" i="22"/>
  <c r="CY15" i="22"/>
  <c r="CO15" i="22"/>
  <c r="CJ15" i="22"/>
  <c r="CE15" i="22"/>
  <c r="BZ15" i="22"/>
  <c r="BQ15" i="22"/>
  <c r="BU15" i="22" s="1"/>
  <c r="BP15" i="22"/>
  <c r="BL15" i="22"/>
  <c r="BG15" i="22"/>
  <c r="BK15" i="22" s="1"/>
  <c r="BF15" i="22"/>
  <c r="BB15" i="22"/>
  <c r="BA15" i="22"/>
  <c r="AV15" i="22"/>
  <c r="AQ15" i="22"/>
  <c r="AL15" i="22"/>
  <c r="AG15" i="22"/>
  <c r="AB15" i="22"/>
  <c r="W15" i="22"/>
  <c r="R15" i="22"/>
  <c r="M15" i="22"/>
  <c r="H15" i="22"/>
  <c r="KI14" i="22"/>
  <c r="KD14" i="22"/>
  <c r="JY14" i="22"/>
  <c r="JT14" i="22"/>
  <c r="JO14" i="22"/>
  <c r="JJ14" i="22"/>
  <c r="JE14" i="22"/>
  <c r="IZ14" i="22"/>
  <c r="IU14" i="22"/>
  <c r="IN14" i="22"/>
  <c r="II14" i="22"/>
  <c r="ID14" i="22"/>
  <c r="HZ14" i="22"/>
  <c r="HY14" i="22"/>
  <c r="P28" i="20" s="1"/>
  <c r="HT14" i="22"/>
  <c r="HO14" i="22"/>
  <c r="HJ14" i="22"/>
  <c r="HE14" i="22"/>
  <c r="GZ14" i="22"/>
  <c r="GU14" i="22"/>
  <c r="GP14" i="22"/>
  <c r="GK14" i="22"/>
  <c r="GF14" i="22"/>
  <c r="GA14" i="22"/>
  <c r="FV14" i="22"/>
  <c r="FN14" i="22"/>
  <c r="FM14" i="22"/>
  <c r="FQ14" i="22" s="1"/>
  <c r="FL14" i="22"/>
  <c r="FG14" i="22"/>
  <c r="FB14" i="22"/>
  <c r="EW14" i="22"/>
  <c r="ER14" i="22"/>
  <c r="EM14" i="22"/>
  <c r="EH14" i="22"/>
  <c r="EC14" i="22"/>
  <c r="DX14" i="22"/>
  <c r="DS14" i="22"/>
  <c r="DN14" i="22"/>
  <c r="DI14" i="22"/>
  <c r="DD14" i="22"/>
  <c r="CY14" i="22"/>
  <c r="CO14" i="22"/>
  <c r="CJ14" i="22"/>
  <c r="CE14" i="22"/>
  <c r="BZ14" i="22"/>
  <c r="BQ14" i="22"/>
  <c r="BU14" i="22" s="1"/>
  <c r="BP14" i="22"/>
  <c r="BL14" i="22"/>
  <c r="BK14" i="22"/>
  <c r="BF14" i="22"/>
  <c r="BB14" i="22"/>
  <c r="BA14" i="22"/>
  <c r="AV14" i="22"/>
  <c r="AQ14" i="22"/>
  <c r="AL14" i="22"/>
  <c r="AG14" i="22"/>
  <c r="AB14" i="22"/>
  <c r="W14" i="22"/>
  <c r="R14" i="22"/>
  <c r="M14" i="22"/>
  <c r="H14" i="22"/>
  <c r="KI13" i="22"/>
  <c r="KD13" i="22"/>
  <c r="JY13" i="22"/>
  <c r="JT13" i="22"/>
  <c r="JO13" i="22"/>
  <c r="JJ13" i="22"/>
  <c r="JE13" i="22"/>
  <c r="IZ13" i="22"/>
  <c r="IU13" i="22"/>
  <c r="IN13" i="22"/>
  <c r="II13" i="22"/>
  <c r="ID13" i="22"/>
  <c r="HZ13" i="22"/>
  <c r="HY13" i="22"/>
  <c r="P27" i="20" s="1"/>
  <c r="HT13" i="22"/>
  <c r="HO13" i="22"/>
  <c r="HJ13" i="22"/>
  <c r="HE13" i="22"/>
  <c r="GZ13" i="22"/>
  <c r="GU13" i="22"/>
  <c r="GP13" i="22"/>
  <c r="GK13" i="22"/>
  <c r="GF13" i="22"/>
  <c r="GA13" i="22"/>
  <c r="FV13" i="22"/>
  <c r="FN13" i="22"/>
  <c r="FQ13" i="22" s="1"/>
  <c r="FL13" i="22"/>
  <c r="FG13" i="22"/>
  <c r="FB13" i="22"/>
  <c r="EW13" i="22"/>
  <c r="ER13" i="22"/>
  <c r="EM13" i="22"/>
  <c r="EH13" i="22"/>
  <c r="EC13" i="22"/>
  <c r="DX13" i="22"/>
  <c r="DS13" i="22"/>
  <c r="DN13" i="22"/>
  <c r="DI13" i="22"/>
  <c r="DD13" i="22"/>
  <c r="CY13" i="22"/>
  <c r="CO13" i="22"/>
  <c r="CJ13" i="22"/>
  <c r="CE13" i="22"/>
  <c r="BZ13" i="22"/>
  <c r="BQ13" i="22"/>
  <c r="BU13" i="22" s="1"/>
  <c r="BP13" i="22"/>
  <c r="BL13" i="22"/>
  <c r="BG13" i="22"/>
  <c r="BK13" i="22" s="1"/>
  <c r="BF13" i="22"/>
  <c r="BB13" i="22"/>
  <c r="BA13" i="22"/>
  <c r="AV13" i="22"/>
  <c r="AQ13" i="22"/>
  <c r="AL13" i="22"/>
  <c r="AG13" i="22"/>
  <c r="AB13" i="22"/>
  <c r="W13" i="22"/>
  <c r="R13" i="22"/>
  <c r="M13" i="22"/>
  <c r="H13" i="22"/>
  <c r="KI12" i="22"/>
  <c r="KD12" i="22"/>
  <c r="JY12" i="22"/>
  <c r="JT12" i="22"/>
  <c r="JO12" i="22"/>
  <c r="JJ12" i="22"/>
  <c r="JE12" i="22"/>
  <c r="IZ12" i="22"/>
  <c r="IU12" i="22"/>
  <c r="IN12" i="22"/>
  <c r="II12" i="22"/>
  <c r="IF12" i="22"/>
  <c r="IF50" i="22" s="1"/>
  <c r="IE12" i="22"/>
  <c r="ID12" i="22"/>
  <c r="HY12" i="22"/>
  <c r="P26" i="20" s="1"/>
  <c r="HT12" i="22"/>
  <c r="HO12" i="22"/>
  <c r="HJ12" i="22"/>
  <c r="HE12" i="22"/>
  <c r="GZ12" i="22"/>
  <c r="GU12" i="22"/>
  <c r="GP12" i="22"/>
  <c r="GK12" i="22"/>
  <c r="GF12" i="22"/>
  <c r="GA12" i="22"/>
  <c r="FV12" i="22"/>
  <c r="FQ12" i="22"/>
  <c r="FN12" i="22"/>
  <c r="FL12" i="22"/>
  <c r="FG12" i="22"/>
  <c r="FB12" i="22"/>
  <c r="EW12" i="22"/>
  <c r="ER12" i="22"/>
  <c r="EM12" i="22"/>
  <c r="EH12" i="22"/>
  <c r="EC12" i="22"/>
  <c r="DX12" i="22"/>
  <c r="DS12" i="22"/>
  <c r="DN12" i="22"/>
  <c r="DI12" i="22"/>
  <c r="DD12" i="22"/>
  <c r="CY12" i="22"/>
  <c r="CO12" i="22"/>
  <c r="CJ12" i="22"/>
  <c r="CE12" i="22"/>
  <c r="BZ12" i="22"/>
  <c r="BR12" i="22"/>
  <c r="BU12" i="22" s="1"/>
  <c r="BQ12" i="22"/>
  <c r="BM12" i="22"/>
  <c r="BP12" i="22" s="1"/>
  <c r="BL12" i="22"/>
  <c r="BG12" i="22"/>
  <c r="BK12" i="22" s="1"/>
  <c r="BB12" i="22"/>
  <c r="BF12" i="22" s="1"/>
  <c r="BA12" i="22"/>
  <c r="AV12" i="22"/>
  <c r="AQ12" i="22"/>
  <c r="AL12" i="22"/>
  <c r="AG12" i="22"/>
  <c r="AB12" i="22"/>
  <c r="W12" i="22"/>
  <c r="R12" i="22"/>
  <c r="M12" i="22"/>
  <c r="H12" i="22"/>
  <c r="KI11" i="22"/>
  <c r="KD11" i="22"/>
  <c r="JY11" i="22"/>
  <c r="JT11" i="22"/>
  <c r="JO11" i="22"/>
  <c r="JJ11" i="22"/>
  <c r="JE11" i="22"/>
  <c r="IZ11" i="22"/>
  <c r="IU11" i="22"/>
  <c r="IN11" i="22"/>
  <c r="II11" i="22"/>
  <c r="HZ11" i="22"/>
  <c r="AV8" i="1" s="1"/>
  <c r="HY11" i="22"/>
  <c r="P8" i="20" s="1"/>
  <c r="HT11" i="22"/>
  <c r="HO11" i="22"/>
  <c r="HJ11" i="22"/>
  <c r="HE11" i="22"/>
  <c r="GZ11" i="22"/>
  <c r="GU11" i="22"/>
  <c r="GP11" i="22"/>
  <c r="GK11" i="22"/>
  <c r="GF11" i="22"/>
  <c r="GA11" i="22"/>
  <c r="FV11" i="22"/>
  <c r="FN11" i="22"/>
  <c r="FN50" i="22" s="1"/>
  <c r="FL11" i="22"/>
  <c r="FG11" i="22"/>
  <c r="FB11" i="22"/>
  <c r="EW11" i="22"/>
  <c r="ER11" i="22"/>
  <c r="EM11" i="22"/>
  <c r="EH11" i="22"/>
  <c r="EC11" i="22"/>
  <c r="DX11" i="22"/>
  <c r="DS11" i="22"/>
  <c r="DN11" i="22"/>
  <c r="DI11" i="22"/>
  <c r="DD11" i="22"/>
  <c r="CY11" i="22"/>
  <c r="CO11" i="22"/>
  <c r="CJ11" i="22"/>
  <c r="CE11" i="22"/>
  <c r="BZ11" i="22"/>
  <c r="BU11" i="22"/>
  <c r="BQ11" i="22"/>
  <c r="BQ50" i="22" s="1"/>
  <c r="BM11" i="22"/>
  <c r="BM50" i="22" s="1"/>
  <c r="BL11" i="22"/>
  <c r="BP11" i="22" s="1"/>
  <c r="BG11" i="22"/>
  <c r="BK11" i="22" s="1"/>
  <c r="BF11" i="22"/>
  <c r="BC11" i="22"/>
  <c r="BB11" i="22"/>
  <c r="BA11" i="22"/>
  <c r="AV11" i="22"/>
  <c r="AQ11" i="22"/>
  <c r="AL11" i="22"/>
  <c r="AG11" i="22"/>
  <c r="AB11" i="22"/>
  <c r="W11" i="22"/>
  <c r="R11" i="22"/>
  <c r="M11" i="22"/>
  <c r="H11" i="22"/>
  <c r="KI10" i="22"/>
  <c r="KD10" i="22"/>
  <c r="JY10" i="22"/>
  <c r="JT10" i="22"/>
  <c r="JO10" i="22"/>
  <c r="JJ10" i="22"/>
  <c r="JE10" i="22"/>
  <c r="IZ10" i="22"/>
  <c r="IU10" i="22"/>
  <c r="IN10" i="22"/>
  <c r="II10" i="22"/>
  <c r="IE10" i="22"/>
  <c r="IE50" i="22" s="1"/>
  <c r="HZ10" i="22"/>
  <c r="ID10" i="22" s="1"/>
  <c r="HY10" i="22"/>
  <c r="P21" i="20" s="1"/>
  <c r="HT10" i="22"/>
  <c r="HO10" i="22"/>
  <c r="HJ10" i="22"/>
  <c r="HE10" i="22"/>
  <c r="GZ10" i="22"/>
  <c r="GU10" i="22"/>
  <c r="GP10" i="22"/>
  <c r="GK10" i="22"/>
  <c r="GF10" i="22"/>
  <c r="GA10" i="22"/>
  <c r="FV10" i="22"/>
  <c r="FQ10" i="22"/>
  <c r="FL10" i="22"/>
  <c r="FG10" i="22"/>
  <c r="FB10" i="22"/>
  <c r="EW10" i="22"/>
  <c r="ER10" i="22"/>
  <c r="EM10" i="22"/>
  <c r="EH10" i="22"/>
  <c r="EC10" i="22"/>
  <c r="DX10" i="22"/>
  <c r="DS10" i="22"/>
  <c r="DN10" i="22"/>
  <c r="DI10" i="22"/>
  <c r="DD10" i="22"/>
  <c r="CY10" i="22"/>
  <c r="CO10" i="22"/>
  <c r="CJ10" i="22"/>
  <c r="CE10" i="22"/>
  <c r="BZ10" i="22"/>
  <c r="BU10" i="22"/>
  <c r="BP10" i="22"/>
  <c r="BK10" i="22"/>
  <c r="BB10" i="22"/>
  <c r="BF10" i="22" s="1"/>
  <c r="BA10" i="22"/>
  <c r="AV10" i="22"/>
  <c r="AQ10" i="22"/>
  <c r="AL10" i="22"/>
  <c r="AG10" i="22"/>
  <c r="AB10" i="22"/>
  <c r="W10" i="22"/>
  <c r="R10" i="22"/>
  <c r="M10" i="22"/>
  <c r="H10" i="22"/>
  <c r="KI9" i="22"/>
  <c r="KD9" i="22"/>
  <c r="JY9" i="22"/>
  <c r="JT9" i="22"/>
  <c r="JO9" i="22"/>
  <c r="JJ9" i="22"/>
  <c r="JE9" i="22"/>
  <c r="IZ9" i="22"/>
  <c r="IU9" i="22"/>
  <c r="IN9" i="22"/>
  <c r="II9" i="22"/>
  <c r="IG9" i="22"/>
  <c r="ID9" i="22"/>
  <c r="HY9" i="22"/>
  <c r="P7" i="20" s="1"/>
  <c r="HT9" i="22"/>
  <c r="HO9" i="22"/>
  <c r="HJ9" i="22"/>
  <c r="HE9" i="22"/>
  <c r="GZ9" i="22"/>
  <c r="GU9" i="22"/>
  <c r="GP9" i="22"/>
  <c r="GK9" i="22"/>
  <c r="GF9" i="22"/>
  <c r="GA9" i="22"/>
  <c r="FV9" i="22"/>
  <c r="FQ9" i="22"/>
  <c r="FL9" i="22"/>
  <c r="FG9" i="22"/>
  <c r="FB9" i="22"/>
  <c r="EW9" i="22"/>
  <c r="ER9" i="22"/>
  <c r="EM9" i="22"/>
  <c r="EH9" i="22"/>
  <c r="EC9" i="22"/>
  <c r="DX9" i="22"/>
  <c r="DS9" i="22"/>
  <c r="DN9" i="22"/>
  <c r="DI9" i="22"/>
  <c r="DD9" i="22"/>
  <c r="CY9" i="22"/>
  <c r="CO9" i="22"/>
  <c r="CJ9" i="22"/>
  <c r="CE9" i="22"/>
  <c r="BZ9" i="22"/>
  <c r="BR9" i="22"/>
  <c r="BR50" i="22" s="1"/>
  <c r="BP9" i="22"/>
  <c r="BL9" i="22"/>
  <c r="BL50" i="22" s="1"/>
  <c r="BH9" i="22"/>
  <c r="BH50" i="22" s="1"/>
  <c r="BG9" i="22"/>
  <c r="BK9" i="22" s="1"/>
  <c r="BC9" i="22"/>
  <c r="BC50" i="22" s="1"/>
  <c r="BB9" i="22"/>
  <c r="BB50" i="22" s="1"/>
  <c r="BA9" i="22"/>
  <c r="AV9" i="22"/>
  <c r="AQ9" i="22"/>
  <c r="AL9" i="22"/>
  <c r="AG9" i="22"/>
  <c r="AB9" i="22"/>
  <c r="W9" i="22"/>
  <c r="R9" i="22"/>
  <c r="M9" i="22"/>
  <c r="H9" i="22"/>
  <c r="BD75" i="18"/>
  <c r="BC75" i="18"/>
  <c r="AX75" i="18"/>
  <c r="AW75" i="18"/>
  <c r="AR75" i="18"/>
  <c r="AL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E76" i="18" s="1"/>
  <c r="BF73" i="18"/>
  <c r="BE73" i="18"/>
  <c r="AJ73" i="18"/>
  <c r="BF71" i="18"/>
  <c r="BE71" i="18"/>
  <c r="AJ71" i="18"/>
  <c r="AB38" i="24" s="1"/>
  <c r="BF69" i="18"/>
  <c r="BE69" i="18"/>
  <c r="AV69" i="18"/>
  <c r="AP69" i="18"/>
  <c r="AJ69" i="18"/>
  <c r="BF67" i="18"/>
  <c r="BE67" i="18"/>
  <c r="V36" i="24"/>
  <c r="T36" i="24" s="1"/>
  <c r="AP67" i="18"/>
  <c r="AJ67" i="18"/>
  <c r="AB36" i="24" s="1"/>
  <c r="BF65" i="18"/>
  <c r="BE65" i="18"/>
  <c r="AV65" i="18"/>
  <c r="AP65" i="18"/>
  <c r="AJ65" i="18"/>
  <c r="I7" i="7" s="1"/>
  <c r="BF63" i="18"/>
  <c r="BE63" i="18"/>
  <c r="AV63" i="18"/>
  <c r="R34" i="24"/>
  <c r="AJ63" i="18"/>
  <c r="I14" i="9" s="1"/>
  <c r="BF61" i="18"/>
  <c r="AV61" i="18"/>
  <c r="AJ61" i="18"/>
  <c r="BF59" i="18"/>
  <c r="BE59" i="18"/>
  <c r="AV59" i="18"/>
  <c r="R32" i="24"/>
  <c r="AJ59" i="18"/>
  <c r="I12" i="9" s="1"/>
  <c r="BF57" i="18"/>
  <c r="AV57" i="18"/>
  <c r="R31" i="24"/>
  <c r="AJ57" i="18"/>
  <c r="BF55" i="18"/>
  <c r="AV55" i="18"/>
  <c r="R30" i="24"/>
  <c r="AJ55" i="18"/>
  <c r="AB30" i="24" s="1"/>
  <c r="BF53" i="18"/>
  <c r="BE53" i="18"/>
  <c r="V29" i="24"/>
  <c r="T29" i="24" s="1"/>
  <c r="AP53" i="18"/>
  <c r="AJ53" i="18"/>
  <c r="AB29" i="24" s="1"/>
  <c r="BF51" i="18"/>
  <c r="BE51" i="18"/>
  <c r="AV51" i="18"/>
  <c r="R28" i="24"/>
  <c r="AJ51" i="18"/>
  <c r="I8" i="9" s="1"/>
  <c r="BF49" i="18"/>
  <c r="BE49" i="18"/>
  <c r="V27" i="24"/>
  <c r="T27" i="24" s="1"/>
  <c r="AP49" i="18"/>
  <c r="AJ49" i="18"/>
  <c r="AB27" i="24" s="1"/>
  <c r="BF47" i="18"/>
  <c r="BE47" i="18"/>
  <c r="V26" i="24"/>
  <c r="T26" i="24" s="1"/>
  <c r="AP47" i="18"/>
  <c r="AJ47" i="18"/>
  <c r="I12" i="15" s="1"/>
  <c r="BF45" i="18"/>
  <c r="V25" i="24"/>
  <c r="T25" i="24" s="1"/>
  <c r="AJ45" i="18"/>
  <c r="AB25" i="24" s="1"/>
  <c r="BF43" i="18"/>
  <c r="BE43" i="18"/>
  <c r="V24" i="24"/>
  <c r="T24" i="24" s="1"/>
  <c r="R24" i="24"/>
  <c r="AJ43" i="18"/>
  <c r="AB24" i="24" s="1"/>
  <c r="BF41" i="18"/>
  <c r="BE41" i="18"/>
  <c r="V23" i="24"/>
  <c r="T23" i="24" s="1"/>
  <c r="R23" i="24"/>
  <c r="AJ41" i="18"/>
  <c r="I9" i="15" s="1"/>
  <c r="BF39" i="18"/>
  <c r="AV39" i="18"/>
  <c r="AP39" i="18"/>
  <c r="AJ39" i="18"/>
  <c r="I8" i="15" s="1"/>
  <c r="BF37" i="18"/>
  <c r="BE37" i="18"/>
  <c r="V21" i="24"/>
  <c r="T21" i="24" s="1"/>
  <c r="AP37" i="18"/>
  <c r="AJ37" i="18"/>
  <c r="AB21" i="24" s="1"/>
  <c r="BF35" i="18"/>
  <c r="BE35" i="18"/>
  <c r="V20" i="24"/>
  <c r="T20" i="24" s="1"/>
  <c r="R20" i="24"/>
  <c r="AJ35" i="18"/>
  <c r="I13" i="6" s="1"/>
  <c r="BF33" i="18"/>
  <c r="BE33" i="18"/>
  <c r="V19" i="24"/>
  <c r="T19" i="24" s="1"/>
  <c r="AP33" i="18"/>
  <c r="AJ33" i="18"/>
  <c r="I12" i="6" s="1"/>
  <c r="BF31" i="18"/>
  <c r="BE31" i="18"/>
  <c r="AV31" i="18"/>
  <c r="AP31" i="18"/>
  <c r="AJ31" i="18"/>
  <c r="AB18" i="24" s="1"/>
  <c r="BF29" i="18"/>
  <c r="AV29" i="18"/>
  <c r="AP29" i="18"/>
  <c r="AJ29" i="18"/>
  <c r="I10" i="6" s="1"/>
  <c r="BF27" i="18"/>
  <c r="BE27" i="18"/>
  <c r="V16" i="24"/>
  <c r="T16" i="24" s="1"/>
  <c r="R16" i="24"/>
  <c r="AJ27" i="18"/>
  <c r="BF25" i="18"/>
  <c r="BE25" i="18"/>
  <c r="AV25" i="18"/>
  <c r="R15" i="24"/>
  <c r="AJ25" i="18"/>
  <c r="I8" i="6" s="1"/>
  <c r="BF23" i="18"/>
  <c r="AV23" i="18"/>
  <c r="AJ23" i="18"/>
  <c r="AB14" i="24" s="1"/>
  <c r="BF21" i="18"/>
  <c r="BE21" i="18"/>
  <c r="AV21" i="18"/>
  <c r="AP21" i="18"/>
  <c r="AJ21" i="18"/>
  <c r="I12" i="8" s="1"/>
  <c r="BF19" i="18"/>
  <c r="BE19" i="18"/>
  <c r="AV19" i="18"/>
  <c r="AP19" i="18"/>
  <c r="AJ19" i="18"/>
  <c r="I11" i="8" s="1"/>
  <c r="BF17" i="18"/>
  <c r="BE17" i="18"/>
  <c r="V11" i="24"/>
  <c r="T11" i="24" s="1"/>
  <c r="AP17" i="18"/>
  <c r="AJ17" i="18"/>
  <c r="I10" i="8" s="1"/>
  <c r="BF15" i="18"/>
  <c r="BE15" i="18"/>
  <c r="AV15" i="18"/>
  <c r="AP15" i="18"/>
  <c r="AJ15" i="18"/>
  <c r="AB10" i="24" s="1"/>
  <c r="BF13" i="18"/>
  <c r="BE13" i="18"/>
  <c r="AV13" i="18"/>
  <c r="AP13" i="18"/>
  <c r="AJ13" i="18"/>
  <c r="AB9" i="24" s="1"/>
  <c r="BF11" i="18"/>
  <c r="BE11" i="18"/>
  <c r="V8" i="24"/>
  <c r="T8" i="24" s="1"/>
  <c r="R8" i="24"/>
  <c r="AJ11" i="18"/>
  <c r="I7" i="8" s="1"/>
  <c r="BF9" i="18"/>
  <c r="BE9" i="18"/>
  <c r="AV9" i="18"/>
  <c r="R7" i="24"/>
  <c r="AJ9" i="18"/>
  <c r="AB7" i="24" s="1"/>
  <c r="BF7" i="18"/>
  <c r="AV7" i="18"/>
  <c r="R6" i="24"/>
  <c r="AJ7" i="18"/>
  <c r="I8" i="1" s="1"/>
  <c r="BF5" i="18"/>
  <c r="BE5" i="18"/>
  <c r="V5" i="24"/>
  <c r="T5" i="24" s="1"/>
  <c r="R5" i="24"/>
  <c r="AJ5" i="18"/>
  <c r="AB5" i="24" s="1"/>
  <c r="J22" i="9"/>
  <c r="M9" i="19" s="1"/>
  <c r="B15" i="9"/>
  <c r="BF14" i="9"/>
  <c r="BE14" i="9"/>
  <c r="BD14" i="9"/>
  <c r="BB14" i="9"/>
  <c r="BA14" i="9"/>
  <c r="AZ14" i="9"/>
  <c r="AX14" i="9"/>
  <c r="AW14" i="9"/>
  <c r="AV14" i="9"/>
  <c r="AT14" i="9"/>
  <c r="AS14" i="9"/>
  <c r="AR14" i="9"/>
  <c r="AP14" i="9"/>
  <c r="AO14" i="9"/>
  <c r="AN14" i="9"/>
  <c r="AL14" i="9"/>
  <c r="AK14" i="9"/>
  <c r="AJ14" i="9"/>
  <c r="AH14" i="9"/>
  <c r="AG14" i="9"/>
  <c r="AF14" i="9"/>
  <c r="AD14" i="9"/>
  <c r="AC14" i="9"/>
  <c r="AB14" i="9"/>
  <c r="Z14" i="9"/>
  <c r="Y14" i="9"/>
  <c r="X14" i="9"/>
  <c r="V14" i="9"/>
  <c r="U14" i="9"/>
  <c r="T14" i="9"/>
  <c r="R14" i="9"/>
  <c r="Q14" i="9"/>
  <c r="P14" i="9"/>
  <c r="N14" i="9"/>
  <c r="M14" i="9"/>
  <c r="L14" i="9"/>
  <c r="BF13" i="9"/>
  <c r="BE13" i="9"/>
  <c r="BD13" i="9"/>
  <c r="BB13" i="9"/>
  <c r="BA13" i="9"/>
  <c r="AZ13" i="9"/>
  <c r="AX13" i="9"/>
  <c r="AW13" i="9"/>
  <c r="AV13" i="9"/>
  <c r="AT13" i="9"/>
  <c r="AS13" i="9"/>
  <c r="AR13" i="9"/>
  <c r="AP13" i="9"/>
  <c r="AO13" i="9"/>
  <c r="AN13" i="9"/>
  <c r="AL13" i="9"/>
  <c r="AK13" i="9"/>
  <c r="AJ13" i="9"/>
  <c r="AH13" i="9"/>
  <c r="AG13" i="9"/>
  <c r="AF13" i="9"/>
  <c r="AD13" i="9"/>
  <c r="AC13" i="9"/>
  <c r="AB13" i="9"/>
  <c r="Z13" i="9"/>
  <c r="Y13" i="9"/>
  <c r="X13" i="9"/>
  <c r="V13" i="9"/>
  <c r="U13" i="9"/>
  <c r="T13" i="9"/>
  <c r="R13" i="9"/>
  <c r="Q13" i="9"/>
  <c r="P13" i="9"/>
  <c r="N13" i="9"/>
  <c r="M13" i="9"/>
  <c r="L13" i="9"/>
  <c r="I13" i="9"/>
  <c r="BF12" i="9"/>
  <c r="BE12" i="9"/>
  <c r="BD12" i="9"/>
  <c r="BB12" i="9"/>
  <c r="BA12" i="9"/>
  <c r="AZ12" i="9"/>
  <c r="AX12" i="9"/>
  <c r="AW12" i="9"/>
  <c r="AV12" i="9"/>
  <c r="AT12" i="9"/>
  <c r="AS12" i="9"/>
  <c r="AR12" i="9"/>
  <c r="AP12" i="9"/>
  <c r="AO12" i="9"/>
  <c r="AN12" i="9"/>
  <c r="AL12" i="9"/>
  <c r="AK12" i="9"/>
  <c r="AJ12" i="9"/>
  <c r="AH12" i="9"/>
  <c r="AG12" i="9"/>
  <c r="AF12" i="9"/>
  <c r="AD12" i="9"/>
  <c r="AC12" i="9"/>
  <c r="AB12" i="9"/>
  <c r="Z12" i="9"/>
  <c r="Y12" i="9"/>
  <c r="X12" i="9"/>
  <c r="V12" i="9"/>
  <c r="U12" i="9"/>
  <c r="T12" i="9"/>
  <c r="R12" i="9"/>
  <c r="Q12" i="9"/>
  <c r="P12" i="9"/>
  <c r="N12" i="9"/>
  <c r="M12" i="9"/>
  <c r="L12" i="9"/>
  <c r="BF11" i="9"/>
  <c r="BE11" i="9"/>
  <c r="BD11" i="9"/>
  <c r="BB11" i="9"/>
  <c r="BA11" i="9"/>
  <c r="AZ11" i="9"/>
  <c r="AX11" i="9"/>
  <c r="AW11" i="9"/>
  <c r="AV11" i="9"/>
  <c r="AT11" i="9"/>
  <c r="AS11" i="9"/>
  <c r="AR11" i="9"/>
  <c r="AP11" i="9"/>
  <c r="AO11" i="9"/>
  <c r="AN11" i="9"/>
  <c r="AL11" i="9"/>
  <c r="AK11" i="9"/>
  <c r="AJ11" i="9"/>
  <c r="AH11" i="9"/>
  <c r="AG11" i="9"/>
  <c r="AF11" i="9"/>
  <c r="AD11" i="9"/>
  <c r="AC11" i="9"/>
  <c r="AB11" i="9"/>
  <c r="Z11" i="9"/>
  <c r="Y11" i="9"/>
  <c r="X11" i="9"/>
  <c r="V11" i="9"/>
  <c r="U11" i="9"/>
  <c r="T11" i="9"/>
  <c r="R11" i="9"/>
  <c r="Q11" i="9"/>
  <c r="P11" i="9"/>
  <c r="N11" i="9"/>
  <c r="M11" i="9"/>
  <c r="L11" i="9"/>
  <c r="I11" i="9"/>
  <c r="BF10" i="9"/>
  <c r="BE10" i="9"/>
  <c r="BD10" i="9"/>
  <c r="BB10" i="9"/>
  <c r="BA10" i="9"/>
  <c r="AZ10" i="9"/>
  <c r="AX10" i="9"/>
  <c r="AW10" i="9"/>
  <c r="AV10" i="9"/>
  <c r="AT10" i="9"/>
  <c r="AS10" i="9"/>
  <c r="AR10" i="9"/>
  <c r="AP10" i="9"/>
  <c r="AO10" i="9"/>
  <c r="AN10" i="9"/>
  <c r="AL10" i="9"/>
  <c r="AK10" i="9"/>
  <c r="AJ10" i="9"/>
  <c r="AH10" i="9"/>
  <c r="AG10" i="9"/>
  <c r="AF10" i="9"/>
  <c r="AD10" i="9"/>
  <c r="AC10" i="9"/>
  <c r="AB10" i="9"/>
  <c r="Z10" i="9"/>
  <c r="Y10" i="9"/>
  <c r="X10" i="9"/>
  <c r="V10" i="9"/>
  <c r="U10" i="9"/>
  <c r="T10" i="9"/>
  <c r="R10" i="9"/>
  <c r="Q10" i="9"/>
  <c r="P10" i="9"/>
  <c r="N10" i="9"/>
  <c r="M10" i="9"/>
  <c r="L10" i="9"/>
  <c r="BF9" i="9"/>
  <c r="BE9" i="9"/>
  <c r="BD9" i="9"/>
  <c r="BB9" i="9"/>
  <c r="BA9" i="9"/>
  <c r="AZ9" i="9"/>
  <c r="AX9" i="9"/>
  <c r="AW9" i="9"/>
  <c r="AV9" i="9"/>
  <c r="AT9" i="9"/>
  <c r="AS9" i="9"/>
  <c r="AR9" i="9"/>
  <c r="AP9" i="9"/>
  <c r="AO9" i="9"/>
  <c r="AN9" i="9"/>
  <c r="AL9" i="9"/>
  <c r="AK9" i="9"/>
  <c r="AJ9" i="9"/>
  <c r="AH9" i="9"/>
  <c r="AG9" i="9"/>
  <c r="AF9" i="9"/>
  <c r="AD9" i="9"/>
  <c r="AC9" i="9"/>
  <c r="AB9" i="9"/>
  <c r="Z9" i="9"/>
  <c r="Y9" i="9"/>
  <c r="X9" i="9"/>
  <c r="V9" i="9"/>
  <c r="U9" i="9"/>
  <c r="T9" i="9"/>
  <c r="R9" i="9"/>
  <c r="Q9" i="9"/>
  <c r="P9" i="9"/>
  <c r="N9" i="9"/>
  <c r="M9" i="9"/>
  <c r="L9" i="9"/>
  <c r="BF8" i="9"/>
  <c r="BE8" i="9"/>
  <c r="BD8" i="9"/>
  <c r="BB8" i="9"/>
  <c r="BA8" i="9"/>
  <c r="AZ8" i="9"/>
  <c r="AX8" i="9"/>
  <c r="AW8" i="9"/>
  <c r="AV8" i="9"/>
  <c r="AT8" i="9"/>
  <c r="AS8" i="9"/>
  <c r="AR8" i="9"/>
  <c r="AP8" i="9"/>
  <c r="AO8" i="9"/>
  <c r="AN8" i="9"/>
  <c r="AL8" i="9"/>
  <c r="AK8" i="9"/>
  <c r="AJ8" i="9"/>
  <c r="AH8" i="9"/>
  <c r="AG8" i="9"/>
  <c r="AF8" i="9"/>
  <c r="AD8" i="9"/>
  <c r="AC8" i="9"/>
  <c r="AB8" i="9"/>
  <c r="Z8" i="9"/>
  <c r="Y8" i="9"/>
  <c r="X8" i="9"/>
  <c r="V8" i="9"/>
  <c r="U8" i="9"/>
  <c r="T8" i="9"/>
  <c r="R8" i="9"/>
  <c r="Q8" i="9"/>
  <c r="P8" i="9"/>
  <c r="N8" i="9"/>
  <c r="M8" i="9"/>
  <c r="L8" i="9"/>
  <c r="BF7" i="9"/>
  <c r="BE7" i="9"/>
  <c r="BD7" i="9"/>
  <c r="BB7" i="9"/>
  <c r="BA7" i="9"/>
  <c r="AZ7" i="9"/>
  <c r="AX7" i="9"/>
  <c r="AW7" i="9"/>
  <c r="AV7" i="9"/>
  <c r="AT7" i="9"/>
  <c r="AS7" i="9"/>
  <c r="AR7" i="9"/>
  <c r="AP7" i="9"/>
  <c r="AO7" i="9"/>
  <c r="AN7" i="9"/>
  <c r="AL7" i="9"/>
  <c r="AK7" i="9"/>
  <c r="AJ7" i="9"/>
  <c r="AH7" i="9"/>
  <c r="AG7" i="9"/>
  <c r="AF7" i="9"/>
  <c r="AD7" i="9"/>
  <c r="AC7" i="9"/>
  <c r="AB7" i="9"/>
  <c r="Z7" i="9"/>
  <c r="Y7" i="9"/>
  <c r="X7" i="9"/>
  <c r="V7" i="9"/>
  <c r="U7" i="9"/>
  <c r="T7" i="9"/>
  <c r="R7" i="9"/>
  <c r="Q7" i="9"/>
  <c r="P7" i="9"/>
  <c r="N7" i="9"/>
  <c r="M7" i="9"/>
  <c r="L7" i="9"/>
  <c r="K1" i="9"/>
  <c r="A1" i="9"/>
  <c r="J20" i="15"/>
  <c r="B13" i="15"/>
  <c r="BF12" i="15"/>
  <c r="BE12" i="15"/>
  <c r="BD12" i="15"/>
  <c r="BB12" i="15"/>
  <c r="BA12" i="15"/>
  <c r="AZ12" i="15"/>
  <c r="AX12" i="15"/>
  <c r="AW12" i="15"/>
  <c r="AV12" i="15"/>
  <c r="AT12" i="15"/>
  <c r="AS12" i="15"/>
  <c r="AR12" i="15"/>
  <c r="AP12" i="15"/>
  <c r="AO12" i="15"/>
  <c r="AN12" i="15"/>
  <c r="AL12" i="15"/>
  <c r="AK12" i="15"/>
  <c r="AJ12" i="15"/>
  <c r="AH12" i="15"/>
  <c r="AG12" i="15"/>
  <c r="AF12" i="15"/>
  <c r="AD12" i="15"/>
  <c r="AC12" i="15"/>
  <c r="AB12" i="15"/>
  <c r="Z12" i="15"/>
  <c r="Y12" i="15"/>
  <c r="X12" i="15"/>
  <c r="V12" i="15"/>
  <c r="U12" i="15"/>
  <c r="T12" i="15"/>
  <c r="R12" i="15"/>
  <c r="Q12" i="15"/>
  <c r="P12" i="15"/>
  <c r="N12" i="15"/>
  <c r="M12" i="15"/>
  <c r="L12" i="15"/>
  <c r="BF11" i="15"/>
  <c r="BE11" i="15"/>
  <c r="BD11" i="15"/>
  <c r="BB11" i="15"/>
  <c r="BA11" i="15"/>
  <c r="AZ11" i="15"/>
  <c r="AX11" i="15"/>
  <c r="AW11" i="15"/>
  <c r="AV11" i="15"/>
  <c r="AT11" i="15"/>
  <c r="AS11" i="15"/>
  <c r="AR11" i="15"/>
  <c r="AP11" i="15"/>
  <c r="AO11" i="15"/>
  <c r="AN11" i="15"/>
  <c r="AL11" i="15"/>
  <c r="AK11" i="15"/>
  <c r="AJ11" i="15"/>
  <c r="AH11" i="15"/>
  <c r="AG11" i="15"/>
  <c r="AF11" i="15"/>
  <c r="AD11" i="15"/>
  <c r="AC11" i="15"/>
  <c r="AB11" i="15"/>
  <c r="Z11" i="15"/>
  <c r="Y11" i="15"/>
  <c r="X11" i="15"/>
  <c r="V11" i="15"/>
  <c r="U11" i="15"/>
  <c r="T11" i="15"/>
  <c r="R11" i="15"/>
  <c r="Q11" i="15"/>
  <c r="P11" i="15"/>
  <c r="N11" i="15"/>
  <c r="M11" i="15"/>
  <c r="L11" i="15"/>
  <c r="BF10" i="15"/>
  <c r="BE10" i="15"/>
  <c r="BD10" i="15"/>
  <c r="BB10" i="15"/>
  <c r="BA10" i="15"/>
  <c r="AZ10" i="15"/>
  <c r="AX10" i="15"/>
  <c r="AW10" i="15"/>
  <c r="AV10" i="15"/>
  <c r="AT10" i="15"/>
  <c r="AS10" i="15"/>
  <c r="AR10" i="15"/>
  <c r="AP10" i="15"/>
  <c r="AO10" i="15"/>
  <c r="AN10" i="15"/>
  <c r="AL10" i="15"/>
  <c r="AK10" i="15"/>
  <c r="AJ10" i="15"/>
  <c r="AH10" i="15"/>
  <c r="AG10" i="15"/>
  <c r="AF10" i="15"/>
  <c r="AD10" i="15"/>
  <c r="AC10" i="15"/>
  <c r="AB10" i="15"/>
  <c r="Z10" i="15"/>
  <c r="Y10" i="15"/>
  <c r="X10" i="15"/>
  <c r="V10" i="15"/>
  <c r="U10" i="15"/>
  <c r="T10" i="15"/>
  <c r="R10" i="15"/>
  <c r="Q10" i="15"/>
  <c r="P10" i="15"/>
  <c r="N10" i="15"/>
  <c r="M10" i="15"/>
  <c r="L10" i="15"/>
  <c r="I10" i="15"/>
  <c r="BF9" i="15"/>
  <c r="BE9" i="15"/>
  <c r="BD9" i="15"/>
  <c r="BB9" i="15"/>
  <c r="BA9" i="15"/>
  <c r="AX9" i="15"/>
  <c r="AW9" i="15"/>
  <c r="AV9" i="15"/>
  <c r="AT9" i="15"/>
  <c r="AS9" i="15"/>
  <c r="AR9" i="15"/>
  <c r="AP9" i="15"/>
  <c r="AO9" i="15"/>
  <c r="AN9" i="15"/>
  <c r="AL9" i="15"/>
  <c r="AK9" i="15"/>
  <c r="AJ9" i="15"/>
  <c r="AH9" i="15"/>
  <c r="AG9" i="15"/>
  <c r="AF9" i="15"/>
  <c r="AD9" i="15"/>
  <c r="AC9" i="15"/>
  <c r="AB9" i="15"/>
  <c r="Z9" i="15"/>
  <c r="Y9" i="15"/>
  <c r="X9" i="15"/>
  <c r="V9" i="15"/>
  <c r="U9" i="15"/>
  <c r="T9" i="15"/>
  <c r="R9" i="15"/>
  <c r="Q9" i="15"/>
  <c r="P9" i="15"/>
  <c r="N9" i="15"/>
  <c r="M9" i="15"/>
  <c r="L9" i="15"/>
  <c r="BF8" i="15"/>
  <c r="BE8" i="15"/>
  <c r="BD8" i="15"/>
  <c r="BB8" i="15"/>
  <c r="AZ8" i="15"/>
  <c r="AX8" i="15"/>
  <c r="AW8" i="15"/>
  <c r="AV8" i="15"/>
  <c r="AT8" i="15"/>
  <c r="AS8" i="15"/>
  <c r="AR8" i="15"/>
  <c r="AP8" i="15"/>
  <c r="AO8" i="15"/>
  <c r="AN8" i="15"/>
  <c r="AL8" i="15"/>
  <c r="AK8" i="15"/>
  <c r="AJ8" i="15"/>
  <c r="AH8" i="15"/>
  <c r="AG8" i="15"/>
  <c r="AF8" i="15"/>
  <c r="AD8" i="15"/>
  <c r="AC8" i="15"/>
  <c r="AB8" i="15"/>
  <c r="Z8" i="15"/>
  <c r="Y8" i="15"/>
  <c r="X8" i="15"/>
  <c r="V8" i="15"/>
  <c r="U8" i="15"/>
  <c r="T8" i="15"/>
  <c r="R8" i="15"/>
  <c r="Q8" i="15"/>
  <c r="P8" i="15"/>
  <c r="N8" i="15"/>
  <c r="M8" i="15"/>
  <c r="L8" i="15"/>
  <c r="BF7" i="15"/>
  <c r="BE7" i="15"/>
  <c r="BD7" i="15"/>
  <c r="BB7" i="15"/>
  <c r="BA7" i="15"/>
  <c r="AZ7" i="15"/>
  <c r="AX7" i="15"/>
  <c r="AW7" i="15"/>
  <c r="AT7" i="15"/>
  <c r="AS7" i="15"/>
  <c r="AR7" i="15"/>
  <c r="AP7" i="15"/>
  <c r="AO7" i="15"/>
  <c r="AN7" i="15"/>
  <c r="AL7" i="15"/>
  <c r="AK7" i="15"/>
  <c r="AJ7" i="15"/>
  <c r="AH7" i="15"/>
  <c r="AG7" i="15"/>
  <c r="AF7" i="15"/>
  <c r="AD7" i="15"/>
  <c r="AC7" i="15"/>
  <c r="AB7" i="15"/>
  <c r="Z7" i="15"/>
  <c r="Y7" i="15"/>
  <c r="X7" i="15"/>
  <c r="V7" i="15"/>
  <c r="U7" i="15"/>
  <c r="T7" i="15"/>
  <c r="R7" i="15"/>
  <c r="Q7" i="15"/>
  <c r="P7" i="15"/>
  <c r="N7" i="15"/>
  <c r="M7" i="15"/>
  <c r="L7" i="15"/>
  <c r="I7" i="15"/>
  <c r="C13" i="15"/>
  <c r="K1" i="15"/>
  <c r="A1" i="15"/>
  <c r="J20" i="8"/>
  <c r="M7" i="16" s="1"/>
  <c r="B13" i="8"/>
  <c r="BF12" i="8"/>
  <c r="BE12" i="8"/>
  <c r="BD12" i="8"/>
  <c r="BB12" i="8"/>
  <c r="BA12" i="8"/>
  <c r="AX12" i="8"/>
  <c r="AW12" i="8"/>
  <c r="AV12" i="8"/>
  <c r="AT12" i="8"/>
  <c r="AS12" i="8"/>
  <c r="AR12" i="8"/>
  <c r="AP12" i="8"/>
  <c r="AO12" i="8"/>
  <c r="AN12" i="8"/>
  <c r="AL12" i="8"/>
  <c r="AK12" i="8"/>
  <c r="AJ12" i="8"/>
  <c r="AH12" i="8"/>
  <c r="AG12" i="8"/>
  <c r="AF12" i="8"/>
  <c r="AD12" i="8"/>
  <c r="AC12" i="8"/>
  <c r="AB12" i="8"/>
  <c r="Z12" i="8"/>
  <c r="Y12" i="8"/>
  <c r="X12" i="8"/>
  <c r="V12" i="8"/>
  <c r="U12" i="8"/>
  <c r="T12" i="8"/>
  <c r="R12" i="8"/>
  <c r="Q12" i="8"/>
  <c r="P12" i="8"/>
  <c r="N12" i="8"/>
  <c r="M12" i="8"/>
  <c r="L12" i="8"/>
  <c r="BF11" i="8"/>
  <c r="BE11" i="8"/>
  <c r="BD11" i="8"/>
  <c r="BB11" i="8"/>
  <c r="AZ11" i="8"/>
  <c r="AX11" i="8"/>
  <c r="AW11" i="8"/>
  <c r="AV11" i="8"/>
  <c r="AT11" i="8"/>
  <c r="AS11" i="8"/>
  <c r="AR11" i="8"/>
  <c r="AP11" i="8"/>
  <c r="AO11" i="8"/>
  <c r="AN11" i="8"/>
  <c r="AL11" i="8"/>
  <c r="AK11" i="8"/>
  <c r="AJ11" i="8"/>
  <c r="AH11" i="8"/>
  <c r="AG11" i="8"/>
  <c r="AF11" i="8"/>
  <c r="AD11" i="8"/>
  <c r="AC11" i="8"/>
  <c r="AB11" i="8"/>
  <c r="Z11" i="8"/>
  <c r="Y11" i="8"/>
  <c r="X11" i="8"/>
  <c r="V11" i="8"/>
  <c r="U11" i="8"/>
  <c r="T11" i="8"/>
  <c r="R11" i="8"/>
  <c r="Q11" i="8"/>
  <c r="P11" i="8"/>
  <c r="N11" i="8"/>
  <c r="M11" i="8"/>
  <c r="L11" i="8"/>
  <c r="BF10" i="8"/>
  <c r="BE10" i="8"/>
  <c r="BD10" i="8"/>
  <c r="BB10" i="8"/>
  <c r="BA10" i="8"/>
  <c r="AZ10" i="8"/>
  <c r="AX10" i="8"/>
  <c r="AW10" i="8"/>
  <c r="AV10" i="8"/>
  <c r="AT10" i="8"/>
  <c r="AS10" i="8"/>
  <c r="AR10" i="8"/>
  <c r="AP10" i="8"/>
  <c r="AO10" i="8"/>
  <c r="AN10" i="8"/>
  <c r="AL10" i="8"/>
  <c r="AK10" i="8"/>
  <c r="AJ10" i="8"/>
  <c r="AH10" i="8"/>
  <c r="AG10" i="8"/>
  <c r="AF10" i="8"/>
  <c r="AD10" i="8"/>
  <c r="AC10" i="8"/>
  <c r="AB10" i="8"/>
  <c r="Z10" i="8"/>
  <c r="Y10" i="8"/>
  <c r="X10" i="8"/>
  <c r="V10" i="8"/>
  <c r="U10" i="8"/>
  <c r="T10" i="8"/>
  <c r="R10" i="8"/>
  <c r="Q10" i="8"/>
  <c r="P10" i="8"/>
  <c r="N10" i="8"/>
  <c r="M10" i="8"/>
  <c r="L10" i="8"/>
  <c r="BF9" i="8"/>
  <c r="BE9" i="8"/>
  <c r="BD9" i="8"/>
  <c r="BB9" i="8"/>
  <c r="BA9" i="8"/>
  <c r="AZ9" i="8"/>
  <c r="AX9" i="8"/>
  <c r="AW9" i="8"/>
  <c r="AV9" i="8"/>
  <c r="AT9" i="8"/>
  <c r="AS9" i="8"/>
  <c r="AR9" i="8"/>
  <c r="AP9" i="8"/>
  <c r="AO9" i="8"/>
  <c r="AN9" i="8"/>
  <c r="AL9" i="8"/>
  <c r="AK9" i="8"/>
  <c r="AJ9" i="8"/>
  <c r="AH9" i="8"/>
  <c r="AG9" i="8"/>
  <c r="AF9" i="8"/>
  <c r="AD9" i="8"/>
  <c r="AC9" i="8"/>
  <c r="AB9" i="8"/>
  <c r="Z9" i="8"/>
  <c r="Y9" i="8"/>
  <c r="X9" i="8"/>
  <c r="V9" i="8"/>
  <c r="U9" i="8"/>
  <c r="T9" i="8"/>
  <c r="R9" i="8"/>
  <c r="Q9" i="8"/>
  <c r="P9" i="8"/>
  <c r="N9" i="8"/>
  <c r="M9" i="8"/>
  <c r="L9" i="8"/>
  <c r="F9" i="8"/>
  <c r="BF8" i="8"/>
  <c r="BE8" i="8"/>
  <c r="BD8" i="8"/>
  <c r="BB8" i="8"/>
  <c r="BA8" i="8"/>
  <c r="AZ8" i="8"/>
  <c r="AX8" i="8"/>
  <c r="AW8" i="8"/>
  <c r="AV8" i="8"/>
  <c r="AT8" i="8"/>
  <c r="AS8" i="8"/>
  <c r="AR8" i="8"/>
  <c r="AP8" i="8"/>
  <c r="AO8" i="8"/>
  <c r="AN8" i="8"/>
  <c r="AL8" i="8"/>
  <c r="AK8" i="8"/>
  <c r="AJ8" i="8"/>
  <c r="AH8" i="8"/>
  <c r="AG8" i="8"/>
  <c r="AF8" i="8"/>
  <c r="AD8" i="8"/>
  <c r="AC8" i="8"/>
  <c r="AB8" i="8"/>
  <c r="Z8" i="8"/>
  <c r="Y8" i="8"/>
  <c r="X8" i="8"/>
  <c r="V8" i="8"/>
  <c r="U8" i="8"/>
  <c r="T8" i="8"/>
  <c r="R8" i="8"/>
  <c r="Q8" i="8"/>
  <c r="P8" i="8"/>
  <c r="N8" i="8"/>
  <c r="M8" i="8"/>
  <c r="L8" i="8"/>
  <c r="BF7" i="8"/>
  <c r="BE7" i="8"/>
  <c r="BD7" i="8"/>
  <c r="BB7" i="8"/>
  <c r="BA7" i="8"/>
  <c r="AZ7" i="8"/>
  <c r="AX7" i="8"/>
  <c r="AW7" i="8"/>
  <c r="AV7" i="8"/>
  <c r="AT7" i="8"/>
  <c r="AS7" i="8"/>
  <c r="AR7" i="8"/>
  <c r="AP7" i="8"/>
  <c r="AO7" i="8"/>
  <c r="AN7" i="8"/>
  <c r="AL7" i="8"/>
  <c r="AK7" i="8"/>
  <c r="AJ7" i="8"/>
  <c r="AH7" i="8"/>
  <c r="AG7" i="8"/>
  <c r="AF7" i="8"/>
  <c r="AD7" i="8"/>
  <c r="AC7" i="8"/>
  <c r="AB7" i="8"/>
  <c r="Z7" i="8"/>
  <c r="Y7" i="8"/>
  <c r="X7" i="8"/>
  <c r="V7" i="8"/>
  <c r="U7" i="8"/>
  <c r="T7" i="8"/>
  <c r="R7" i="8"/>
  <c r="Q7" i="8"/>
  <c r="P7" i="8"/>
  <c r="N7" i="8"/>
  <c r="M7" i="8"/>
  <c r="L7" i="8"/>
  <c r="H26" i="23"/>
  <c r="K1" i="8"/>
  <c r="A1" i="8"/>
  <c r="J17" i="7"/>
  <c r="B10" i="7"/>
  <c r="BF9" i="7"/>
  <c r="BE9" i="7"/>
  <c r="BD9" i="7"/>
  <c r="BB9" i="7"/>
  <c r="BA9" i="7"/>
  <c r="AZ9" i="7"/>
  <c r="AX9" i="7"/>
  <c r="AW9" i="7"/>
  <c r="AV9" i="7"/>
  <c r="AT9" i="7"/>
  <c r="AS9" i="7"/>
  <c r="AR9" i="7"/>
  <c r="AP9" i="7"/>
  <c r="AO9" i="7"/>
  <c r="AN9" i="7"/>
  <c r="AL9" i="7"/>
  <c r="AK9" i="7"/>
  <c r="AJ9" i="7"/>
  <c r="AH9" i="7"/>
  <c r="AG9" i="7"/>
  <c r="AF9" i="7"/>
  <c r="AD9" i="7"/>
  <c r="AC9" i="7"/>
  <c r="AB9" i="7"/>
  <c r="Z9" i="7"/>
  <c r="Y9" i="7"/>
  <c r="X9" i="7"/>
  <c r="V9" i="7"/>
  <c r="U9" i="7"/>
  <c r="T9" i="7"/>
  <c r="R9" i="7"/>
  <c r="Q9" i="7"/>
  <c r="P9" i="7"/>
  <c r="N9" i="7"/>
  <c r="M9" i="7"/>
  <c r="L9" i="7"/>
  <c r="I9" i="7"/>
  <c r="BF8" i="7"/>
  <c r="BE8" i="7"/>
  <c r="BD8" i="7"/>
  <c r="BB8" i="7"/>
  <c r="AX8" i="7"/>
  <c r="AW8" i="7"/>
  <c r="AV8" i="7"/>
  <c r="AT8" i="7"/>
  <c r="AS8" i="7"/>
  <c r="AR8" i="7"/>
  <c r="AP8" i="7"/>
  <c r="AO8" i="7"/>
  <c r="AN8" i="7"/>
  <c r="AL8" i="7"/>
  <c r="AK8" i="7"/>
  <c r="AJ8" i="7"/>
  <c r="AH8" i="7"/>
  <c r="AG8" i="7"/>
  <c r="AF8" i="7"/>
  <c r="AD8" i="7"/>
  <c r="AC8" i="7"/>
  <c r="AB8" i="7"/>
  <c r="Z8" i="7"/>
  <c r="Y8" i="7"/>
  <c r="X8" i="7"/>
  <c r="V8" i="7"/>
  <c r="U8" i="7"/>
  <c r="T8" i="7"/>
  <c r="R8" i="7"/>
  <c r="Q8" i="7"/>
  <c r="P8" i="7"/>
  <c r="N8" i="7"/>
  <c r="M8" i="7"/>
  <c r="L8" i="7"/>
  <c r="BF7" i="7"/>
  <c r="BE7" i="7"/>
  <c r="BD7" i="7"/>
  <c r="BB7" i="7"/>
  <c r="BA7" i="7"/>
  <c r="AZ7" i="7"/>
  <c r="AX7" i="7"/>
  <c r="AW7" i="7"/>
  <c r="AV7" i="7"/>
  <c r="AT7" i="7"/>
  <c r="AS7" i="7"/>
  <c r="AR7" i="7"/>
  <c r="AP7" i="7"/>
  <c r="AO7" i="7"/>
  <c r="AN7" i="7"/>
  <c r="AL7" i="7"/>
  <c r="AK7" i="7"/>
  <c r="AJ7" i="7"/>
  <c r="AH7" i="7"/>
  <c r="AG7" i="7"/>
  <c r="AF7" i="7"/>
  <c r="AD7" i="7"/>
  <c r="AC7" i="7"/>
  <c r="AB7" i="7"/>
  <c r="Z7" i="7"/>
  <c r="Y7" i="7"/>
  <c r="X7" i="7"/>
  <c r="V7" i="7"/>
  <c r="U7" i="7"/>
  <c r="T7" i="7"/>
  <c r="R7" i="7"/>
  <c r="Q7" i="7"/>
  <c r="P7" i="7"/>
  <c r="N7" i="7"/>
  <c r="M7" i="7"/>
  <c r="L7" i="7"/>
  <c r="K1" i="7"/>
  <c r="A1" i="7"/>
  <c r="J21" i="6"/>
  <c r="M5" i="16" s="1"/>
  <c r="B14" i="6"/>
  <c r="BF13" i="6"/>
  <c r="BE13" i="6"/>
  <c r="BD13" i="6"/>
  <c r="BB13" i="6"/>
  <c r="BA13" i="6"/>
  <c r="AZ13" i="6"/>
  <c r="AX13" i="6"/>
  <c r="AW13" i="6"/>
  <c r="AV13" i="6"/>
  <c r="AT13" i="6"/>
  <c r="AS13" i="6"/>
  <c r="AR13" i="6"/>
  <c r="AP13" i="6"/>
  <c r="AO13" i="6"/>
  <c r="AN13" i="6"/>
  <c r="AL13" i="6"/>
  <c r="AK13" i="6"/>
  <c r="AJ13" i="6"/>
  <c r="AH13" i="6"/>
  <c r="AG13" i="6"/>
  <c r="AF13" i="6"/>
  <c r="AD13" i="6"/>
  <c r="AC13" i="6"/>
  <c r="AB13" i="6"/>
  <c r="Z13" i="6"/>
  <c r="Y13" i="6"/>
  <c r="X13" i="6"/>
  <c r="V13" i="6"/>
  <c r="U13" i="6"/>
  <c r="T13" i="6"/>
  <c r="R13" i="6"/>
  <c r="Q13" i="6"/>
  <c r="P13" i="6"/>
  <c r="N13" i="6"/>
  <c r="M13" i="6"/>
  <c r="L13" i="6"/>
  <c r="BF12" i="6"/>
  <c r="BE12" i="6"/>
  <c r="BD12" i="6"/>
  <c r="BB12" i="6"/>
  <c r="BA12" i="6"/>
  <c r="AZ12" i="6"/>
  <c r="AX12" i="6"/>
  <c r="AW12" i="6"/>
  <c r="AV12" i="6"/>
  <c r="AT12" i="6"/>
  <c r="AS12" i="6"/>
  <c r="AR12" i="6"/>
  <c r="AP12" i="6"/>
  <c r="AO12" i="6"/>
  <c r="AN12" i="6"/>
  <c r="AL12" i="6"/>
  <c r="AK12" i="6"/>
  <c r="AJ12" i="6"/>
  <c r="AH12" i="6"/>
  <c r="AG12" i="6"/>
  <c r="AF12" i="6"/>
  <c r="AD12" i="6"/>
  <c r="AC12" i="6"/>
  <c r="AB12" i="6"/>
  <c r="Z12" i="6"/>
  <c r="Y12" i="6"/>
  <c r="X12" i="6"/>
  <c r="V12" i="6"/>
  <c r="U12" i="6"/>
  <c r="T12" i="6"/>
  <c r="R12" i="6"/>
  <c r="Q12" i="6"/>
  <c r="P12" i="6"/>
  <c r="N12" i="6"/>
  <c r="M12" i="6"/>
  <c r="L12" i="6"/>
  <c r="BF11" i="6"/>
  <c r="BE11" i="6"/>
  <c r="BD11" i="6"/>
  <c r="BB11" i="6"/>
  <c r="BA11" i="6"/>
  <c r="AZ11" i="6"/>
  <c r="AX11" i="6"/>
  <c r="AW11" i="6"/>
  <c r="AT11" i="6"/>
  <c r="AS11" i="6"/>
  <c r="AR11" i="6"/>
  <c r="AP11" i="6"/>
  <c r="AO11" i="6"/>
  <c r="AN11" i="6"/>
  <c r="AL11" i="6"/>
  <c r="AK11" i="6"/>
  <c r="AJ11" i="6"/>
  <c r="AH11" i="6"/>
  <c r="AG11" i="6"/>
  <c r="AF11" i="6"/>
  <c r="AD11" i="6"/>
  <c r="AC11" i="6"/>
  <c r="AB11" i="6"/>
  <c r="Z11" i="6"/>
  <c r="Y11" i="6"/>
  <c r="X11" i="6"/>
  <c r="V11" i="6"/>
  <c r="U11" i="6"/>
  <c r="T11" i="6"/>
  <c r="R11" i="6"/>
  <c r="Q11" i="6"/>
  <c r="P11" i="6"/>
  <c r="N11" i="6"/>
  <c r="M11" i="6"/>
  <c r="L11" i="6"/>
  <c r="I11" i="6"/>
  <c r="BF10" i="6"/>
  <c r="BE10" i="6"/>
  <c r="BD10" i="6"/>
  <c r="BB10" i="6"/>
  <c r="BA10" i="6"/>
  <c r="AZ10" i="6"/>
  <c r="AX10" i="6"/>
  <c r="AW10" i="6"/>
  <c r="AV10" i="6"/>
  <c r="AT10" i="6"/>
  <c r="AS10" i="6"/>
  <c r="AR10" i="6"/>
  <c r="AP10" i="6"/>
  <c r="AO10" i="6"/>
  <c r="AN10" i="6"/>
  <c r="AL10" i="6"/>
  <c r="AK10" i="6"/>
  <c r="AJ10" i="6"/>
  <c r="AH10" i="6"/>
  <c r="AG10" i="6"/>
  <c r="AF10" i="6"/>
  <c r="AD10" i="6"/>
  <c r="AC10" i="6"/>
  <c r="AB10" i="6"/>
  <c r="Z10" i="6"/>
  <c r="Y10" i="6"/>
  <c r="X10" i="6"/>
  <c r="V10" i="6"/>
  <c r="U10" i="6"/>
  <c r="T10" i="6"/>
  <c r="R10" i="6"/>
  <c r="Q10" i="6"/>
  <c r="P10" i="6"/>
  <c r="N10" i="6"/>
  <c r="M10" i="6"/>
  <c r="L10" i="6"/>
  <c r="BF9" i="6"/>
  <c r="BE9" i="6"/>
  <c r="BD9" i="6"/>
  <c r="BB9" i="6"/>
  <c r="BA9" i="6"/>
  <c r="AZ9" i="6"/>
  <c r="AX9" i="6"/>
  <c r="AW9" i="6"/>
  <c r="AV9" i="6"/>
  <c r="AT9" i="6"/>
  <c r="AS9" i="6"/>
  <c r="AR9" i="6"/>
  <c r="AP9" i="6"/>
  <c r="AO9" i="6"/>
  <c r="AN9" i="6"/>
  <c r="AL9" i="6"/>
  <c r="AK9" i="6"/>
  <c r="AJ9" i="6"/>
  <c r="AH9" i="6"/>
  <c r="AG9" i="6"/>
  <c r="AF9" i="6"/>
  <c r="AD9" i="6"/>
  <c r="AC9" i="6"/>
  <c r="AB9" i="6"/>
  <c r="Z9" i="6"/>
  <c r="Y9" i="6"/>
  <c r="X9" i="6"/>
  <c r="V9" i="6"/>
  <c r="U9" i="6"/>
  <c r="T9" i="6"/>
  <c r="R9" i="6"/>
  <c r="Q9" i="6"/>
  <c r="P9" i="6"/>
  <c r="N9" i="6"/>
  <c r="M9" i="6"/>
  <c r="L9" i="6"/>
  <c r="I9" i="6"/>
  <c r="BF8" i="6"/>
  <c r="BE8" i="6"/>
  <c r="BD8" i="6"/>
  <c r="BB8" i="6"/>
  <c r="BA8" i="6"/>
  <c r="AZ8" i="6"/>
  <c r="AX8" i="6"/>
  <c r="AW8" i="6"/>
  <c r="AT8" i="6"/>
  <c r="AS8" i="6"/>
  <c r="AR8" i="6"/>
  <c r="AP8" i="6"/>
  <c r="AO8" i="6"/>
  <c r="AN8" i="6"/>
  <c r="AL8" i="6"/>
  <c r="AK8" i="6"/>
  <c r="AJ8" i="6"/>
  <c r="AH8" i="6"/>
  <c r="AG8" i="6"/>
  <c r="AF8" i="6"/>
  <c r="AD8" i="6"/>
  <c r="AC8" i="6"/>
  <c r="AB8" i="6"/>
  <c r="Z8" i="6"/>
  <c r="Y8" i="6"/>
  <c r="X8" i="6"/>
  <c r="V8" i="6"/>
  <c r="U8" i="6"/>
  <c r="T8" i="6"/>
  <c r="R8" i="6"/>
  <c r="Q8" i="6"/>
  <c r="P8" i="6"/>
  <c r="N8" i="6"/>
  <c r="M8" i="6"/>
  <c r="L8" i="6"/>
  <c r="BF7" i="6"/>
  <c r="BE7" i="6"/>
  <c r="BD7" i="6"/>
  <c r="BB7" i="6"/>
  <c r="BA7" i="6"/>
  <c r="AZ7" i="6"/>
  <c r="AX7" i="6"/>
  <c r="AW7" i="6"/>
  <c r="AV7" i="6"/>
  <c r="AT7" i="6"/>
  <c r="AS7" i="6"/>
  <c r="AR7" i="6"/>
  <c r="AP7" i="6"/>
  <c r="AO7" i="6"/>
  <c r="AN7" i="6"/>
  <c r="AL7" i="6"/>
  <c r="AK7" i="6"/>
  <c r="AJ7" i="6"/>
  <c r="AH7" i="6"/>
  <c r="AG7" i="6"/>
  <c r="AF7" i="6"/>
  <c r="AD7" i="6"/>
  <c r="AC7" i="6"/>
  <c r="AB7" i="6"/>
  <c r="Z7" i="6"/>
  <c r="Y7" i="6"/>
  <c r="X7" i="6"/>
  <c r="V7" i="6"/>
  <c r="U7" i="6"/>
  <c r="T7" i="6"/>
  <c r="R7" i="6"/>
  <c r="Q7" i="6"/>
  <c r="P7" i="6"/>
  <c r="N7" i="6"/>
  <c r="M7" i="6"/>
  <c r="L7" i="6"/>
  <c r="K1" i="6"/>
  <c r="A1" i="6"/>
  <c r="J17" i="1"/>
  <c r="B10" i="1"/>
  <c r="BF9" i="1"/>
  <c r="BE9" i="1"/>
  <c r="BD9" i="1"/>
  <c r="BB9" i="1"/>
  <c r="BA9" i="1"/>
  <c r="AZ9" i="1"/>
  <c r="AX9" i="1"/>
  <c r="AW9" i="1"/>
  <c r="AV9" i="1"/>
  <c r="AT9" i="1"/>
  <c r="AS9" i="1"/>
  <c r="AR9" i="1"/>
  <c r="AP9" i="1"/>
  <c r="AO9" i="1"/>
  <c r="AN9" i="1"/>
  <c r="AL9" i="1"/>
  <c r="AK9" i="1"/>
  <c r="AJ9" i="1"/>
  <c r="AH9" i="1"/>
  <c r="AG9" i="1"/>
  <c r="AF9" i="1"/>
  <c r="AD9" i="1"/>
  <c r="AC9" i="1"/>
  <c r="AB9" i="1"/>
  <c r="Z9" i="1"/>
  <c r="Y9" i="1"/>
  <c r="X9" i="1"/>
  <c r="V9" i="1"/>
  <c r="U9" i="1"/>
  <c r="T9" i="1"/>
  <c r="R9" i="1"/>
  <c r="Q9" i="1"/>
  <c r="P9" i="1"/>
  <c r="N9" i="1"/>
  <c r="M9" i="1"/>
  <c r="L9" i="1"/>
  <c r="BF8" i="1"/>
  <c r="BE8" i="1"/>
  <c r="BD8" i="1"/>
  <c r="BB8" i="1"/>
  <c r="BA8" i="1"/>
  <c r="AZ8" i="1"/>
  <c r="AX8" i="1"/>
  <c r="AW8" i="1"/>
  <c r="AT8" i="1"/>
  <c r="AS8" i="1"/>
  <c r="AR8" i="1"/>
  <c r="AP8" i="1"/>
  <c r="AO8" i="1"/>
  <c r="AN8" i="1"/>
  <c r="AL8" i="1"/>
  <c r="AK8" i="1"/>
  <c r="AJ8" i="1"/>
  <c r="AH8" i="1"/>
  <c r="AG8" i="1"/>
  <c r="AF8" i="1"/>
  <c r="AD8" i="1"/>
  <c r="AC8" i="1"/>
  <c r="AB8" i="1"/>
  <c r="Z8" i="1"/>
  <c r="Y8" i="1"/>
  <c r="X8" i="1"/>
  <c r="V8" i="1"/>
  <c r="U8" i="1"/>
  <c r="T8" i="1"/>
  <c r="R8" i="1"/>
  <c r="Q8" i="1"/>
  <c r="P8" i="1"/>
  <c r="N8" i="1"/>
  <c r="M8" i="1"/>
  <c r="L8" i="1"/>
  <c r="BF7" i="1"/>
  <c r="BE7" i="1"/>
  <c r="BD7" i="1"/>
  <c r="BB7" i="1"/>
  <c r="BA7" i="1"/>
  <c r="AZ7" i="1"/>
  <c r="AX7" i="1"/>
  <c r="AW7" i="1"/>
  <c r="AV7" i="1"/>
  <c r="AT7" i="1"/>
  <c r="AS7" i="1"/>
  <c r="AR7" i="1"/>
  <c r="AP7" i="1"/>
  <c r="AO7" i="1"/>
  <c r="AN7" i="1"/>
  <c r="AL7" i="1"/>
  <c r="AK7" i="1"/>
  <c r="AJ7" i="1"/>
  <c r="AH7" i="1"/>
  <c r="AG7" i="1"/>
  <c r="AF7" i="1"/>
  <c r="AD7" i="1"/>
  <c r="AC7" i="1"/>
  <c r="AB7" i="1"/>
  <c r="Z7" i="1"/>
  <c r="Y7" i="1"/>
  <c r="X7" i="1"/>
  <c r="V7" i="1"/>
  <c r="U7" i="1"/>
  <c r="T7" i="1"/>
  <c r="R7" i="1"/>
  <c r="Q7" i="1"/>
  <c r="P7" i="1"/>
  <c r="N7" i="1"/>
  <c r="M7" i="1"/>
  <c r="L7" i="1"/>
  <c r="C10" i="1"/>
  <c r="K1" i="1"/>
  <c r="A1" i="1"/>
  <c r="B10" i="16"/>
  <c r="J9" i="16"/>
  <c r="I9" i="16"/>
  <c r="B9" i="16"/>
  <c r="M8" i="16"/>
  <c r="J8" i="16"/>
  <c r="I8" i="16"/>
  <c r="B8" i="16"/>
  <c r="J7" i="16"/>
  <c r="I7" i="16"/>
  <c r="B7" i="16"/>
  <c r="M6" i="16"/>
  <c r="J6" i="16"/>
  <c r="I6" i="16"/>
  <c r="B6" i="16"/>
  <c r="J5" i="16"/>
  <c r="I5" i="16"/>
  <c r="B5" i="16"/>
  <c r="M4" i="16"/>
  <c r="J4" i="16"/>
  <c r="I4" i="16"/>
  <c r="B4" i="16"/>
  <c r="P1" i="16"/>
  <c r="A1" i="16"/>
  <c r="A1" i="11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C99" i="23"/>
  <c r="D99" i="23" s="1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C98" i="23"/>
  <c r="D98" i="23" s="1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C97" i="23"/>
  <c r="D97" i="23" s="1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C96" i="23"/>
  <c r="D96" i="23" s="1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C95" i="23"/>
  <c r="D95" i="23" s="1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C94" i="23"/>
  <c r="D94" i="23" s="1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C93" i="23"/>
  <c r="D93" i="23" s="1"/>
  <c r="AO92" i="23"/>
  <c r="AN92" i="23"/>
  <c r="AM92" i="23"/>
  <c r="AL92" i="23"/>
  <c r="AK92" i="23"/>
  <c r="AJ92" i="23"/>
  <c r="AI92" i="23"/>
  <c r="AH92" i="23"/>
  <c r="AG92" i="23"/>
  <c r="AF92" i="23"/>
  <c r="AE92" i="23"/>
  <c r="AD92" i="23"/>
  <c r="C92" i="23"/>
  <c r="D92" i="23" s="1"/>
  <c r="C91" i="23"/>
  <c r="D91" i="23" s="1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C89" i="23"/>
  <c r="D89" i="23" s="1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C88" i="23"/>
  <c r="D88" i="23" s="1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C87" i="23"/>
  <c r="D87" i="23" s="1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C86" i="23"/>
  <c r="D86" i="23" s="1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C85" i="23"/>
  <c r="D85" i="23" s="1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C84" i="23"/>
  <c r="D84" i="23" s="1"/>
  <c r="C83" i="23"/>
  <c r="D83" i="23" s="1"/>
  <c r="AO81" i="23"/>
  <c r="AN81" i="23"/>
  <c r="AM81" i="23"/>
  <c r="AL81" i="23"/>
  <c r="AK81" i="23"/>
  <c r="AJ81" i="23"/>
  <c r="AI81" i="23"/>
  <c r="AH81" i="23"/>
  <c r="AG81" i="23"/>
  <c r="AF81" i="23"/>
  <c r="AE81" i="23"/>
  <c r="AD81" i="23"/>
  <c r="C81" i="23"/>
  <c r="D81" i="23" s="1"/>
  <c r="AO80" i="23"/>
  <c r="AN80" i="23"/>
  <c r="AM80" i="23"/>
  <c r="AL80" i="23"/>
  <c r="AK80" i="23"/>
  <c r="AJ80" i="23"/>
  <c r="AI80" i="23"/>
  <c r="AH80" i="23"/>
  <c r="AG80" i="23"/>
  <c r="AF80" i="23"/>
  <c r="AE80" i="23"/>
  <c r="AD80" i="23"/>
  <c r="C80" i="23"/>
  <c r="D80" i="23" s="1"/>
  <c r="AO79" i="23"/>
  <c r="AN79" i="23"/>
  <c r="AM79" i="23"/>
  <c r="AL79" i="23"/>
  <c r="AK79" i="23"/>
  <c r="AJ79" i="23"/>
  <c r="AI79" i="23"/>
  <c r="AH79" i="23"/>
  <c r="AG79" i="23"/>
  <c r="AF79" i="23"/>
  <c r="AE79" i="23"/>
  <c r="AD79" i="23"/>
  <c r="C79" i="23"/>
  <c r="D79" i="23" s="1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C78" i="23"/>
  <c r="D78" i="23" s="1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C77" i="23"/>
  <c r="D77" i="23" s="1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C76" i="23"/>
  <c r="D76" i="23" s="1"/>
  <c r="C75" i="23"/>
  <c r="D75" i="23" s="1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C73" i="23"/>
  <c r="D73" i="23" s="1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C72" i="23"/>
  <c r="D72" i="23" s="1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C71" i="23"/>
  <c r="D71" i="23" s="1"/>
  <c r="C70" i="23"/>
  <c r="D70" i="23" s="1"/>
  <c r="AO68" i="23"/>
  <c r="AN68" i="23"/>
  <c r="AM68" i="23"/>
  <c r="AL68" i="23"/>
  <c r="AK68" i="23"/>
  <c r="AJ68" i="23"/>
  <c r="AI68" i="23"/>
  <c r="AH68" i="23"/>
  <c r="AG68" i="23"/>
  <c r="AF68" i="23"/>
  <c r="AE68" i="23"/>
  <c r="AD68" i="23"/>
  <c r="C68" i="23"/>
  <c r="D68" i="23" s="1"/>
  <c r="AO67" i="23"/>
  <c r="AN67" i="23"/>
  <c r="AM67" i="23"/>
  <c r="AL67" i="23"/>
  <c r="AK67" i="23"/>
  <c r="AJ67" i="23"/>
  <c r="AI67" i="23"/>
  <c r="AH67" i="23"/>
  <c r="AG67" i="23"/>
  <c r="AF67" i="23"/>
  <c r="AE67" i="23"/>
  <c r="AD67" i="23"/>
  <c r="C67" i="23"/>
  <c r="D67" i="23" s="1"/>
  <c r="AO66" i="23"/>
  <c r="AN66" i="23"/>
  <c r="AM66" i="23"/>
  <c r="AL66" i="23"/>
  <c r="AK66" i="23"/>
  <c r="AJ66" i="23"/>
  <c r="AI66" i="23"/>
  <c r="AH66" i="23"/>
  <c r="AG66" i="23"/>
  <c r="AF66" i="23"/>
  <c r="AE66" i="23"/>
  <c r="AD66" i="23"/>
  <c r="C66" i="23"/>
  <c r="D66" i="23" s="1"/>
  <c r="AO65" i="23"/>
  <c r="AN65" i="23"/>
  <c r="AM65" i="23"/>
  <c r="AL65" i="23"/>
  <c r="AK65" i="23"/>
  <c r="AJ65" i="23"/>
  <c r="AI65" i="23"/>
  <c r="AH65" i="23"/>
  <c r="AG65" i="23"/>
  <c r="AF65" i="23"/>
  <c r="AE65" i="23"/>
  <c r="AD65" i="23"/>
  <c r="C65" i="23"/>
  <c r="D65" i="23" s="1"/>
  <c r="AO64" i="23"/>
  <c r="AN64" i="23"/>
  <c r="AM64" i="23"/>
  <c r="AL64" i="23"/>
  <c r="AK64" i="23"/>
  <c r="AJ64" i="23"/>
  <c r="AI64" i="23"/>
  <c r="AH64" i="23"/>
  <c r="AG64" i="23"/>
  <c r="AF64" i="23"/>
  <c r="AE64" i="23"/>
  <c r="AD64" i="23"/>
  <c r="C64" i="23"/>
  <c r="D64" i="23" s="1"/>
  <c r="AO63" i="23"/>
  <c r="AN63" i="23"/>
  <c r="AM63" i="23"/>
  <c r="AL63" i="23"/>
  <c r="AK63" i="23"/>
  <c r="AJ63" i="23"/>
  <c r="AI63" i="23"/>
  <c r="AH63" i="23"/>
  <c r="AG63" i="23"/>
  <c r="AF63" i="23"/>
  <c r="AE63" i="23"/>
  <c r="AD63" i="23"/>
  <c r="C63" i="23"/>
  <c r="D63" i="23" s="1"/>
  <c r="AO62" i="23"/>
  <c r="AN62" i="23"/>
  <c r="AM62" i="23"/>
  <c r="AL62" i="23"/>
  <c r="AK62" i="23"/>
  <c r="AJ62" i="23"/>
  <c r="AI62" i="23"/>
  <c r="AH62" i="23"/>
  <c r="AG62" i="23"/>
  <c r="AF62" i="23"/>
  <c r="AE62" i="23"/>
  <c r="AD62" i="23"/>
  <c r="C62" i="23"/>
  <c r="D62" i="23" s="1"/>
  <c r="C61" i="23"/>
  <c r="D61" i="23" s="1"/>
  <c r="AO59" i="23"/>
  <c r="AN59" i="23"/>
  <c r="AM59" i="23"/>
  <c r="AL59" i="23"/>
  <c r="AK59" i="23"/>
  <c r="AJ59" i="23"/>
  <c r="AI59" i="23"/>
  <c r="AH59" i="23"/>
  <c r="AG59" i="23"/>
  <c r="AF59" i="23"/>
  <c r="AE59" i="23"/>
  <c r="AD59" i="23"/>
  <c r="C59" i="23"/>
  <c r="D59" i="23" s="1"/>
  <c r="AO58" i="23"/>
  <c r="AN58" i="23"/>
  <c r="AM58" i="23"/>
  <c r="AL58" i="23"/>
  <c r="AK58" i="23"/>
  <c r="AJ58" i="23"/>
  <c r="AI58" i="23"/>
  <c r="AH58" i="23"/>
  <c r="AG58" i="23"/>
  <c r="AF58" i="23"/>
  <c r="AE58" i="23"/>
  <c r="AD58" i="23"/>
  <c r="C58" i="23"/>
  <c r="D58" i="23" s="1"/>
  <c r="AO57" i="23"/>
  <c r="AN57" i="23"/>
  <c r="AM57" i="23"/>
  <c r="AL57" i="23"/>
  <c r="AK57" i="23"/>
  <c r="AJ57" i="23"/>
  <c r="AI57" i="23"/>
  <c r="AH57" i="23"/>
  <c r="AG57" i="23"/>
  <c r="AF57" i="23"/>
  <c r="AE57" i="23"/>
  <c r="AD57" i="23"/>
  <c r="D57" i="23"/>
  <c r="D56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H49" i="23"/>
  <c r="C49" i="23"/>
  <c r="AO48" i="23"/>
  <c r="AN48" i="23"/>
  <c r="AM48" i="23"/>
  <c r="AL48" i="23"/>
  <c r="AK48" i="23"/>
  <c r="AJ48" i="23"/>
  <c r="AI48" i="23"/>
  <c r="AH48" i="23"/>
  <c r="AG48" i="23"/>
  <c r="AF48" i="23"/>
  <c r="AE48" i="23"/>
  <c r="AD48" i="23"/>
  <c r="H48" i="23"/>
  <c r="C48" i="23"/>
  <c r="AO47" i="23"/>
  <c r="AN47" i="23"/>
  <c r="AM47" i="23"/>
  <c r="AL47" i="23"/>
  <c r="AK47" i="23"/>
  <c r="AJ47" i="23"/>
  <c r="AI47" i="23"/>
  <c r="AH47" i="23"/>
  <c r="AG47" i="23"/>
  <c r="AF47" i="23"/>
  <c r="AE47" i="23"/>
  <c r="AD47" i="23"/>
  <c r="H47" i="23"/>
  <c r="C47" i="23"/>
  <c r="AO46" i="23"/>
  <c r="AN46" i="23"/>
  <c r="AM46" i="23"/>
  <c r="AL46" i="23"/>
  <c r="AK46" i="23"/>
  <c r="AJ46" i="23"/>
  <c r="AI46" i="23"/>
  <c r="AH46" i="23"/>
  <c r="AG46" i="23"/>
  <c r="AF46" i="23"/>
  <c r="AE46" i="23"/>
  <c r="AD46" i="23"/>
  <c r="H46" i="23"/>
  <c r="C46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H45" i="23"/>
  <c r="C45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H44" i="23"/>
  <c r="C44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H43" i="23"/>
  <c r="C43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H42" i="23"/>
  <c r="C42" i="23"/>
  <c r="C41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H39" i="23"/>
  <c r="C39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H38" i="23"/>
  <c r="C38" i="23"/>
  <c r="AO37" i="23"/>
  <c r="AN37" i="23"/>
  <c r="AM37" i="23"/>
  <c r="AL37" i="23"/>
  <c r="AK37" i="23"/>
  <c r="AJ37" i="23"/>
  <c r="AI37" i="23"/>
  <c r="AH37" i="23"/>
  <c r="AG37" i="23"/>
  <c r="AF37" i="23"/>
  <c r="AE37" i="23"/>
  <c r="AD37" i="23"/>
  <c r="H37" i="23"/>
  <c r="C37" i="23"/>
  <c r="AO36" i="23"/>
  <c r="AN36" i="23"/>
  <c r="AM36" i="23"/>
  <c r="AL36" i="23"/>
  <c r="AK36" i="23"/>
  <c r="AJ36" i="23"/>
  <c r="AI36" i="23"/>
  <c r="AH36" i="23"/>
  <c r="AG36" i="23"/>
  <c r="AF36" i="23"/>
  <c r="AE36" i="23"/>
  <c r="AD36" i="23"/>
  <c r="H36" i="23"/>
  <c r="C36" i="23"/>
  <c r="AO35" i="23"/>
  <c r="AN35" i="23"/>
  <c r="AM35" i="23"/>
  <c r="AL35" i="23"/>
  <c r="AK35" i="23"/>
  <c r="AJ35" i="23"/>
  <c r="AI35" i="23"/>
  <c r="AH35" i="23"/>
  <c r="AG35" i="23"/>
  <c r="AF35" i="23"/>
  <c r="AE35" i="23"/>
  <c r="AD35" i="23"/>
  <c r="H35" i="23"/>
  <c r="C35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H34" i="23"/>
  <c r="C34" i="23"/>
  <c r="C33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H31" i="23"/>
  <c r="C31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H30" i="23"/>
  <c r="C30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H29" i="23"/>
  <c r="C29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H28" i="23"/>
  <c r="C28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H27" i="23"/>
  <c r="C27" i="23"/>
  <c r="AO26" i="23"/>
  <c r="AN26" i="23"/>
  <c r="AM26" i="23"/>
  <c r="AL26" i="23"/>
  <c r="AK26" i="23"/>
  <c r="AJ26" i="23"/>
  <c r="AI26" i="23"/>
  <c r="AH26" i="23"/>
  <c r="AG26" i="23"/>
  <c r="AF26" i="23"/>
  <c r="AE26" i="23"/>
  <c r="AD26" i="23"/>
  <c r="C26" i="23"/>
  <c r="C25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H23" i="23"/>
  <c r="C23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H22" i="23"/>
  <c r="C22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H21" i="23"/>
  <c r="C21" i="23"/>
  <c r="C20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H18" i="23"/>
  <c r="C18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H17" i="23"/>
  <c r="C17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H16" i="23"/>
  <c r="C16" i="23"/>
  <c r="AO15" i="23"/>
  <c r="AN15" i="23"/>
  <c r="AM15" i="23"/>
  <c r="AL15" i="23"/>
  <c r="AK15" i="23"/>
  <c r="AJ15" i="23"/>
  <c r="AI15" i="23"/>
  <c r="AH15" i="23"/>
  <c r="AG15" i="23"/>
  <c r="AF15" i="23"/>
  <c r="AE15" i="23"/>
  <c r="AD15" i="23"/>
  <c r="H15" i="23"/>
  <c r="C15" i="23"/>
  <c r="AO14" i="23"/>
  <c r="AN14" i="23"/>
  <c r="AM14" i="23"/>
  <c r="AL14" i="23"/>
  <c r="AK14" i="23"/>
  <c r="AJ14" i="23"/>
  <c r="AI14" i="23"/>
  <c r="AH14" i="23"/>
  <c r="AG14" i="23"/>
  <c r="AF14" i="23"/>
  <c r="AE14" i="23"/>
  <c r="AD14" i="23"/>
  <c r="H14" i="23"/>
  <c r="C14" i="23"/>
  <c r="AO13" i="23"/>
  <c r="AN13" i="23"/>
  <c r="AM13" i="23"/>
  <c r="AL13" i="23"/>
  <c r="AK13" i="23"/>
  <c r="AJ13" i="23"/>
  <c r="AI13" i="23"/>
  <c r="AH13" i="23"/>
  <c r="AG13" i="23"/>
  <c r="AF13" i="23"/>
  <c r="AE13" i="23"/>
  <c r="AD13" i="23"/>
  <c r="H13" i="23"/>
  <c r="C13" i="23"/>
  <c r="AO12" i="23"/>
  <c r="AN12" i="23"/>
  <c r="AM12" i="23"/>
  <c r="AL12" i="23"/>
  <c r="AK12" i="23"/>
  <c r="AJ12" i="23"/>
  <c r="AI12" i="23"/>
  <c r="AH12" i="23"/>
  <c r="AG12" i="23"/>
  <c r="AF12" i="23"/>
  <c r="AE12" i="23"/>
  <c r="AD12" i="23"/>
  <c r="H12" i="23"/>
  <c r="C12" i="23"/>
  <c r="C11" i="23"/>
  <c r="AO9" i="23"/>
  <c r="AN9" i="23"/>
  <c r="AM9" i="23"/>
  <c r="AL9" i="23"/>
  <c r="AK9" i="23"/>
  <c r="AJ9" i="23"/>
  <c r="AI9" i="23"/>
  <c r="AH9" i="23"/>
  <c r="AG9" i="23"/>
  <c r="AF9" i="23"/>
  <c r="AE9" i="23"/>
  <c r="AD9" i="23"/>
  <c r="H9" i="23"/>
  <c r="C9" i="23"/>
  <c r="AO8" i="23"/>
  <c r="AN8" i="23"/>
  <c r="AM8" i="23"/>
  <c r="AL8" i="23"/>
  <c r="AK8" i="23"/>
  <c r="AJ8" i="23"/>
  <c r="AI8" i="23"/>
  <c r="AH8" i="23"/>
  <c r="AG8" i="23"/>
  <c r="AF8" i="23"/>
  <c r="AE8" i="23"/>
  <c r="AD8" i="23"/>
  <c r="H8" i="23"/>
  <c r="C8" i="23"/>
  <c r="AO7" i="23"/>
  <c r="AN7" i="23"/>
  <c r="AM7" i="23"/>
  <c r="AL7" i="23"/>
  <c r="AK7" i="23"/>
  <c r="AJ7" i="23"/>
  <c r="AI7" i="23"/>
  <c r="AH7" i="23"/>
  <c r="AG7" i="23"/>
  <c r="AF7" i="23"/>
  <c r="AE7" i="23"/>
  <c r="AD7" i="23"/>
  <c r="H7" i="23"/>
  <c r="C7" i="23"/>
  <c r="H6" i="23"/>
  <c r="C6" i="23"/>
  <c r="C51" i="23" s="1"/>
  <c r="H125" i="24"/>
  <c r="Z138" i="24"/>
  <c r="Y138" i="24"/>
  <c r="Z137" i="24"/>
  <c r="Y137" i="24"/>
  <c r="Z136" i="24"/>
  <c r="Y136" i="24"/>
  <c r="Z135" i="24"/>
  <c r="Y135" i="24"/>
  <c r="Z134" i="24"/>
  <c r="Y134" i="24"/>
  <c r="Z133" i="24"/>
  <c r="Y133" i="24"/>
  <c r="AB39" i="24"/>
  <c r="V39" i="24"/>
  <c r="T39" i="24" s="1"/>
  <c r="U39" i="24"/>
  <c r="R39" i="24"/>
  <c r="Q39" i="24"/>
  <c r="O39" i="24"/>
  <c r="N39" i="24"/>
  <c r="M39" i="24"/>
  <c r="K39" i="24" s="1"/>
  <c r="L39" i="24"/>
  <c r="J39" i="24"/>
  <c r="I39" i="24"/>
  <c r="G39" i="24" s="1"/>
  <c r="H39" i="24"/>
  <c r="F39" i="24"/>
  <c r="E39" i="24"/>
  <c r="D39" i="24"/>
  <c r="V38" i="24"/>
  <c r="T38" i="24" s="1"/>
  <c r="U38" i="24"/>
  <c r="R38" i="24"/>
  <c r="Q38" i="24"/>
  <c r="O38" i="24"/>
  <c r="N38" i="24"/>
  <c r="M38" i="24"/>
  <c r="K38" i="24" s="1"/>
  <c r="L38" i="24"/>
  <c r="J38" i="24"/>
  <c r="I38" i="24"/>
  <c r="G38" i="24" s="1"/>
  <c r="H38" i="24"/>
  <c r="F38" i="24"/>
  <c r="E38" i="24"/>
  <c r="D38" i="24"/>
  <c r="AB37" i="24"/>
  <c r="V37" i="24"/>
  <c r="T37" i="24" s="1"/>
  <c r="U37" i="24"/>
  <c r="R37" i="24"/>
  <c r="Q37" i="24"/>
  <c r="O37" i="24"/>
  <c r="N37" i="24"/>
  <c r="L37" i="24"/>
  <c r="J37" i="24"/>
  <c r="I37" i="24"/>
  <c r="G37" i="24" s="1"/>
  <c r="H37" i="24"/>
  <c r="F37" i="24"/>
  <c r="E37" i="24"/>
  <c r="D37" i="24"/>
  <c r="U36" i="24"/>
  <c r="Q36" i="24"/>
  <c r="O36" i="24"/>
  <c r="N36" i="24"/>
  <c r="L36" i="24"/>
  <c r="H36" i="24"/>
  <c r="F36" i="24"/>
  <c r="E36" i="24"/>
  <c r="D36" i="24"/>
  <c r="U35" i="24"/>
  <c r="Q35" i="24"/>
  <c r="O35" i="24"/>
  <c r="N35" i="24"/>
  <c r="L35" i="24"/>
  <c r="J35" i="24"/>
  <c r="I35" i="24"/>
  <c r="G35" i="24" s="1"/>
  <c r="H35" i="24"/>
  <c r="F35" i="24"/>
  <c r="E35" i="24"/>
  <c r="D35" i="24"/>
  <c r="V34" i="24"/>
  <c r="T34" i="24" s="1"/>
  <c r="U34" i="24"/>
  <c r="Q34" i="24"/>
  <c r="O34" i="24"/>
  <c r="N34" i="24"/>
  <c r="L34" i="24"/>
  <c r="H34" i="24"/>
  <c r="F34" i="24"/>
  <c r="E34" i="24"/>
  <c r="D34" i="24"/>
  <c r="AB33" i="24"/>
  <c r="U33" i="24"/>
  <c r="Q33" i="24"/>
  <c r="O33" i="24"/>
  <c r="N33" i="24"/>
  <c r="L33" i="24"/>
  <c r="J33" i="24"/>
  <c r="I33" i="24"/>
  <c r="G33" i="24" s="1"/>
  <c r="H33" i="24"/>
  <c r="F33" i="24"/>
  <c r="E33" i="24"/>
  <c r="D33" i="24"/>
  <c r="V32" i="24"/>
  <c r="T32" i="24" s="1"/>
  <c r="U32" i="24"/>
  <c r="Q32" i="24"/>
  <c r="O32" i="24"/>
  <c r="N32" i="24"/>
  <c r="L32" i="24"/>
  <c r="J32" i="24"/>
  <c r="I32" i="24"/>
  <c r="G32" i="24" s="1"/>
  <c r="H32" i="24"/>
  <c r="F32" i="24"/>
  <c r="E32" i="24"/>
  <c r="D32" i="24"/>
  <c r="AB31" i="24"/>
  <c r="V31" i="24"/>
  <c r="T31" i="24" s="1"/>
  <c r="U31" i="24"/>
  <c r="O31" i="24"/>
  <c r="N31" i="24"/>
  <c r="L31" i="24"/>
  <c r="J31" i="24"/>
  <c r="I31" i="24"/>
  <c r="G31" i="24" s="1"/>
  <c r="H31" i="24"/>
  <c r="F31" i="24"/>
  <c r="E31" i="24"/>
  <c r="D31" i="24"/>
  <c r="V30" i="24"/>
  <c r="T30" i="24" s="1"/>
  <c r="U30" i="24"/>
  <c r="O30" i="24"/>
  <c r="N30" i="24"/>
  <c r="L30" i="24"/>
  <c r="J30" i="24"/>
  <c r="I30" i="24"/>
  <c r="G30" i="24" s="1"/>
  <c r="H30" i="24"/>
  <c r="F30" i="24"/>
  <c r="E30" i="24"/>
  <c r="D30" i="24"/>
  <c r="U29" i="24"/>
  <c r="Q29" i="24"/>
  <c r="O29" i="24"/>
  <c r="N29" i="24"/>
  <c r="L29" i="24"/>
  <c r="J29" i="24"/>
  <c r="I29" i="24"/>
  <c r="G29" i="24" s="1"/>
  <c r="H29" i="24"/>
  <c r="F29" i="24"/>
  <c r="E29" i="24"/>
  <c r="D29" i="24"/>
  <c r="AB28" i="24"/>
  <c r="U28" i="24"/>
  <c r="Q28" i="24"/>
  <c r="O28" i="24"/>
  <c r="N28" i="24"/>
  <c r="L28" i="24"/>
  <c r="J28" i="24"/>
  <c r="I28" i="24"/>
  <c r="G28" i="24" s="1"/>
  <c r="H28" i="24"/>
  <c r="F28" i="24"/>
  <c r="E28" i="24"/>
  <c r="D28" i="24"/>
  <c r="U27" i="24"/>
  <c r="Q27" i="24"/>
  <c r="O27" i="24"/>
  <c r="N27" i="24"/>
  <c r="M27" i="24"/>
  <c r="K27" i="24" s="1"/>
  <c r="L27" i="24"/>
  <c r="J27" i="24"/>
  <c r="I27" i="24"/>
  <c r="G27" i="24" s="1"/>
  <c r="H27" i="24"/>
  <c r="F27" i="24"/>
  <c r="E27" i="24"/>
  <c r="D27" i="24"/>
  <c r="U26" i="24"/>
  <c r="Q26" i="24"/>
  <c r="O26" i="24"/>
  <c r="N26" i="24"/>
  <c r="M26" i="24"/>
  <c r="K26" i="24" s="1"/>
  <c r="L26" i="24"/>
  <c r="J26" i="24"/>
  <c r="I26" i="24"/>
  <c r="G26" i="24" s="1"/>
  <c r="H26" i="24"/>
  <c r="F26" i="24"/>
  <c r="E26" i="24"/>
  <c r="D26" i="24"/>
  <c r="O25" i="24"/>
  <c r="N25" i="24"/>
  <c r="M25" i="24"/>
  <c r="K25" i="24" s="1"/>
  <c r="L25" i="24"/>
  <c r="J25" i="24"/>
  <c r="I25" i="24"/>
  <c r="G25" i="24" s="1"/>
  <c r="H25" i="24"/>
  <c r="F25" i="24"/>
  <c r="E25" i="24"/>
  <c r="D25" i="24"/>
  <c r="U24" i="24"/>
  <c r="Q24" i="24"/>
  <c r="O24" i="24"/>
  <c r="N24" i="24"/>
  <c r="M24" i="24"/>
  <c r="K24" i="24" s="1"/>
  <c r="L24" i="24"/>
  <c r="H24" i="24"/>
  <c r="F24" i="24"/>
  <c r="E24" i="24"/>
  <c r="D24" i="24"/>
  <c r="AB23" i="24"/>
  <c r="Q23" i="24"/>
  <c r="O23" i="24"/>
  <c r="N23" i="24"/>
  <c r="L23" i="24"/>
  <c r="H23" i="24"/>
  <c r="F23" i="24"/>
  <c r="E23" i="24"/>
  <c r="D23" i="24"/>
  <c r="V22" i="24"/>
  <c r="T22" i="24" s="1"/>
  <c r="U22" i="24"/>
  <c r="O22" i="24"/>
  <c r="N22" i="24"/>
  <c r="L22" i="24"/>
  <c r="H22" i="24"/>
  <c r="F22" i="24"/>
  <c r="E22" i="24"/>
  <c r="D22" i="24"/>
  <c r="U21" i="24"/>
  <c r="R21" i="24"/>
  <c r="Q21" i="24"/>
  <c r="O21" i="24"/>
  <c r="N21" i="24"/>
  <c r="M21" i="24"/>
  <c r="K21" i="24" s="1"/>
  <c r="L21" i="24"/>
  <c r="H21" i="24"/>
  <c r="F21" i="24"/>
  <c r="E21" i="24"/>
  <c r="D21" i="24"/>
  <c r="Q20" i="24"/>
  <c r="O20" i="24"/>
  <c r="N20" i="24"/>
  <c r="L20" i="24"/>
  <c r="J20" i="24"/>
  <c r="I20" i="24"/>
  <c r="G20" i="24" s="1"/>
  <c r="H20" i="24"/>
  <c r="F20" i="24"/>
  <c r="E20" i="24"/>
  <c r="D20" i="24"/>
  <c r="U19" i="24"/>
  <c r="R19" i="24"/>
  <c r="Q19" i="24"/>
  <c r="O19" i="24"/>
  <c r="N19" i="24"/>
  <c r="M19" i="24"/>
  <c r="K19" i="24" s="1"/>
  <c r="L19" i="24"/>
  <c r="J19" i="24"/>
  <c r="I19" i="24"/>
  <c r="G19" i="24" s="1"/>
  <c r="H19" i="24"/>
  <c r="F19" i="24"/>
  <c r="E19" i="24"/>
  <c r="D19" i="24"/>
  <c r="U18" i="24"/>
  <c r="Q18" i="24"/>
  <c r="O18" i="24"/>
  <c r="N18" i="24"/>
  <c r="L18" i="24"/>
  <c r="J18" i="24"/>
  <c r="I18" i="24"/>
  <c r="G18" i="24" s="1"/>
  <c r="H18" i="24"/>
  <c r="F18" i="24"/>
  <c r="E18" i="24"/>
  <c r="D18" i="24"/>
  <c r="V17" i="24"/>
  <c r="T17" i="24" s="1"/>
  <c r="U17" i="24"/>
  <c r="Q17" i="24"/>
  <c r="O17" i="24"/>
  <c r="N17" i="24"/>
  <c r="L17" i="24"/>
  <c r="J17" i="24"/>
  <c r="I17" i="24"/>
  <c r="G17" i="24" s="1"/>
  <c r="H17" i="24"/>
  <c r="F17" i="24"/>
  <c r="E17" i="24"/>
  <c r="D17" i="24"/>
  <c r="AB16" i="24"/>
  <c r="U16" i="24"/>
  <c r="Q16" i="24"/>
  <c r="O16" i="24"/>
  <c r="N16" i="24"/>
  <c r="L16" i="24"/>
  <c r="J16" i="24"/>
  <c r="I16" i="24"/>
  <c r="G16" i="24" s="1"/>
  <c r="H16" i="24"/>
  <c r="F16" i="24"/>
  <c r="E16" i="24"/>
  <c r="D16" i="24"/>
  <c r="U15" i="24"/>
  <c r="O15" i="24"/>
  <c r="N15" i="24"/>
  <c r="M15" i="24"/>
  <c r="K15" i="24" s="1"/>
  <c r="L15" i="24"/>
  <c r="J15" i="24"/>
  <c r="I15" i="24"/>
  <c r="G15" i="24" s="1"/>
  <c r="H15" i="24"/>
  <c r="F15" i="24"/>
  <c r="E15" i="24"/>
  <c r="D15" i="24"/>
  <c r="V14" i="24"/>
  <c r="T14" i="24" s="1"/>
  <c r="U14" i="24"/>
  <c r="R14" i="24"/>
  <c r="O14" i="24"/>
  <c r="N14" i="24"/>
  <c r="L14" i="24"/>
  <c r="J14" i="24"/>
  <c r="I14" i="24"/>
  <c r="G14" i="24" s="1"/>
  <c r="H14" i="24"/>
  <c r="F14" i="24"/>
  <c r="E14" i="24"/>
  <c r="D14" i="24"/>
  <c r="U13" i="24"/>
  <c r="Q13" i="24"/>
  <c r="O13" i="24"/>
  <c r="N13" i="24"/>
  <c r="M13" i="24"/>
  <c r="K13" i="24" s="1"/>
  <c r="L13" i="24"/>
  <c r="J13" i="24"/>
  <c r="I13" i="24"/>
  <c r="G13" i="24" s="1"/>
  <c r="H13" i="24"/>
  <c r="F13" i="24"/>
  <c r="E13" i="24"/>
  <c r="D13" i="24"/>
  <c r="U12" i="24"/>
  <c r="Q12" i="24"/>
  <c r="O12" i="24"/>
  <c r="N12" i="24"/>
  <c r="M12" i="24"/>
  <c r="K12" i="24" s="1"/>
  <c r="L12" i="24"/>
  <c r="J12" i="24"/>
  <c r="I12" i="24"/>
  <c r="G12" i="24" s="1"/>
  <c r="H12" i="24"/>
  <c r="F12" i="24"/>
  <c r="E12" i="24"/>
  <c r="D12" i="24"/>
  <c r="AB11" i="24"/>
  <c r="U11" i="24"/>
  <c r="Q11" i="24"/>
  <c r="O11" i="24"/>
  <c r="N11" i="24"/>
  <c r="M11" i="24"/>
  <c r="K11" i="24" s="1"/>
  <c r="L11" i="24"/>
  <c r="I11" i="24"/>
  <c r="G11" i="24" s="1"/>
  <c r="H11" i="24"/>
  <c r="F11" i="24"/>
  <c r="E11" i="24"/>
  <c r="D11" i="24"/>
  <c r="U10" i="24"/>
  <c r="Q10" i="24"/>
  <c r="O10" i="24"/>
  <c r="N10" i="24"/>
  <c r="L10" i="24"/>
  <c r="J10" i="24"/>
  <c r="I10" i="24"/>
  <c r="G10" i="24" s="1"/>
  <c r="H10" i="24"/>
  <c r="F10" i="24"/>
  <c r="E10" i="24"/>
  <c r="D10" i="24"/>
  <c r="U9" i="24"/>
  <c r="R9" i="24"/>
  <c r="O9" i="24"/>
  <c r="N9" i="24"/>
  <c r="L9" i="24"/>
  <c r="J9" i="24"/>
  <c r="I9" i="24"/>
  <c r="G9" i="24" s="1"/>
  <c r="H9" i="24"/>
  <c r="F9" i="24"/>
  <c r="E9" i="24"/>
  <c r="D9" i="24"/>
  <c r="AB8" i="24"/>
  <c r="U8" i="24"/>
  <c r="Q8" i="24"/>
  <c r="O8" i="24"/>
  <c r="N8" i="24"/>
  <c r="L8" i="24"/>
  <c r="J8" i="24"/>
  <c r="I8" i="24"/>
  <c r="G8" i="24" s="1"/>
  <c r="H8" i="24"/>
  <c r="F8" i="24"/>
  <c r="E8" i="24"/>
  <c r="D8" i="24"/>
  <c r="U7" i="24"/>
  <c r="Q7" i="24"/>
  <c r="O7" i="24"/>
  <c r="N7" i="24"/>
  <c r="L7" i="24"/>
  <c r="J7" i="24"/>
  <c r="I7" i="24"/>
  <c r="G7" i="24" s="1"/>
  <c r="H7" i="24"/>
  <c r="F7" i="24"/>
  <c r="E7" i="24"/>
  <c r="D7" i="24"/>
  <c r="V6" i="24"/>
  <c r="T6" i="24" s="1"/>
  <c r="U6" i="24"/>
  <c r="O6" i="24"/>
  <c r="N6" i="24"/>
  <c r="L6" i="24"/>
  <c r="J6" i="24"/>
  <c r="I6" i="24"/>
  <c r="G6" i="24" s="1"/>
  <c r="H6" i="24"/>
  <c r="F6" i="24"/>
  <c r="E6" i="24"/>
  <c r="D6" i="24"/>
  <c r="Q5" i="24"/>
  <c r="O5" i="24"/>
  <c r="J5" i="24"/>
  <c r="I5" i="24"/>
  <c r="G5" i="24" s="1"/>
  <c r="H5" i="24"/>
  <c r="F5" i="24"/>
  <c r="E5" i="24"/>
  <c r="D5" i="24"/>
  <c r="M32" i="24"/>
  <c r="K32" i="24" s="1"/>
  <c r="M29" i="24"/>
  <c r="K29" i="24" s="1"/>
  <c r="M30" i="24"/>
  <c r="K30" i="24" s="1"/>
  <c r="M33" i="24"/>
  <c r="K33" i="24" s="1"/>
  <c r="M34" i="24"/>
  <c r="K34" i="24" s="1"/>
  <c r="J34" i="24"/>
  <c r="J23" i="24"/>
  <c r="J22" i="24"/>
  <c r="J21" i="24"/>
  <c r="I24" i="24"/>
  <c r="G24" i="24" s="1"/>
  <c r="M36" i="24"/>
  <c r="K36" i="24" s="1"/>
  <c r="J36" i="24"/>
  <c r="M16" i="24"/>
  <c r="K16" i="24" s="1"/>
  <c r="J11" i="24"/>
  <c r="M8" i="24"/>
  <c r="K8" i="24" s="1"/>
  <c r="M7" i="24"/>
  <c r="K7" i="24" s="1"/>
  <c r="B18" i="31" l="1"/>
  <c r="B15" i="31"/>
  <c r="B13" i="31"/>
  <c r="B12" i="31"/>
  <c r="D21" i="31"/>
  <c r="B17" i="31"/>
  <c r="B14" i="31"/>
  <c r="B11" i="31"/>
  <c r="B47" i="31"/>
  <c r="B46" i="31"/>
  <c r="B45" i="31" s="1"/>
  <c r="D43" i="31"/>
  <c r="D42" i="31"/>
  <c r="D41" i="31"/>
  <c r="D40" i="31"/>
  <c r="D39" i="31"/>
  <c r="D38" i="31"/>
  <c r="D37" i="31"/>
  <c r="B34" i="31"/>
  <c r="B33" i="31"/>
  <c r="B32" i="31"/>
  <c r="B31" i="31"/>
  <c r="B30" i="31"/>
  <c r="B29" i="31" s="1"/>
  <c r="D27" i="31"/>
  <c r="D26" i="31"/>
  <c r="D25" i="31"/>
  <c r="D24" i="31"/>
  <c r="D23" i="31"/>
  <c r="D22" i="31"/>
  <c r="B16" i="31"/>
  <c r="B10" i="31"/>
  <c r="B9" i="31"/>
  <c r="B8" i="31"/>
  <c r="B7" i="31"/>
  <c r="B6" i="31" s="1"/>
  <c r="D47" i="31"/>
  <c r="B41" i="31"/>
  <c r="D33" i="31"/>
  <c r="B26" i="31"/>
  <c r="D12" i="31"/>
  <c r="D30" i="31"/>
  <c r="B25" i="31"/>
  <c r="D9" i="31"/>
  <c r="D14" i="31"/>
  <c r="D34" i="31"/>
  <c r="D46" i="31"/>
  <c r="D45" i="31" s="1"/>
  <c r="B38" i="31"/>
  <c r="D32" i="31"/>
  <c r="B23" i="31"/>
  <c r="D11" i="31"/>
  <c r="D17" i="31"/>
  <c r="D7" i="31"/>
  <c r="B21" i="31"/>
  <c r="B20" i="31" s="1"/>
  <c r="B43" i="31"/>
  <c r="D31" i="31"/>
  <c r="D18" i="31"/>
  <c r="D10" i="31"/>
  <c r="B40" i="31"/>
  <c r="B37" i="31"/>
  <c r="B36" i="31" s="1"/>
  <c r="B22" i="31"/>
  <c r="D16" i="31"/>
  <c r="D8" i="31"/>
  <c r="B42" i="31"/>
  <c r="B27" i="31"/>
  <c r="D15" i="31"/>
  <c r="B39" i="31"/>
  <c r="B24" i="31"/>
  <c r="D13" i="31"/>
  <c r="F47" i="28"/>
  <c r="F37" i="28"/>
  <c r="F25" i="28"/>
  <c r="F15" i="28"/>
  <c r="F7" i="28"/>
  <c r="F10" i="28"/>
  <c r="F46" i="28"/>
  <c r="F34" i="28"/>
  <c r="F24" i="28"/>
  <c r="F14" i="28"/>
  <c r="B7" i="28"/>
  <c r="B6" i="28" s="1"/>
  <c r="F30" i="28"/>
  <c r="F43" i="28"/>
  <c r="F33" i="28"/>
  <c r="F23" i="28"/>
  <c r="F13" i="28"/>
  <c r="F18" i="28"/>
  <c r="F42" i="28"/>
  <c r="F32" i="28"/>
  <c r="F22" i="28"/>
  <c r="F12" i="28"/>
  <c r="F41" i="28"/>
  <c r="F31" i="28"/>
  <c r="F21" i="28"/>
  <c r="F11" i="28"/>
  <c r="F40" i="28"/>
  <c r="F39" i="28"/>
  <c r="F27" i="28"/>
  <c r="F17" i="28"/>
  <c r="F9" i="28"/>
  <c r="F38" i="28"/>
  <c r="F26" i="28"/>
  <c r="F16" i="28"/>
  <c r="F8" i="28"/>
  <c r="G20" i="28"/>
  <c r="G6" i="28"/>
  <c r="G29" i="28"/>
  <c r="G45" i="28"/>
  <c r="G36" i="28"/>
  <c r="E11" i="15"/>
  <c r="E38" i="23" s="1"/>
  <c r="J6" i="23"/>
  <c r="L15" i="23"/>
  <c r="L34" i="23"/>
  <c r="L12" i="23"/>
  <c r="L16" i="23"/>
  <c r="L35" i="23"/>
  <c r="N35" i="23" s="1"/>
  <c r="L39" i="23"/>
  <c r="N39" i="23" s="1"/>
  <c r="L9" i="23"/>
  <c r="N9" i="23" s="1"/>
  <c r="L22" i="23"/>
  <c r="N22" i="23" s="1"/>
  <c r="L28" i="23"/>
  <c r="N28" i="23" s="1"/>
  <c r="L45" i="23"/>
  <c r="L49" i="23"/>
  <c r="L38" i="23"/>
  <c r="N38" i="23" s="1"/>
  <c r="L21" i="23"/>
  <c r="L37" i="23"/>
  <c r="N37" i="23" s="1"/>
  <c r="L8" i="23"/>
  <c r="N8" i="23" s="1"/>
  <c r="L7" i="23"/>
  <c r="L26" i="23"/>
  <c r="N26" i="23" s="1"/>
  <c r="L30" i="23"/>
  <c r="L43" i="23"/>
  <c r="N43" i="23" s="1"/>
  <c r="L47" i="23"/>
  <c r="L27" i="23"/>
  <c r="N27" i="23" s="1"/>
  <c r="L31" i="23"/>
  <c r="N31" i="23" s="1"/>
  <c r="L14" i="23"/>
  <c r="N14" i="23" s="1"/>
  <c r="L13" i="23"/>
  <c r="N13" i="23" s="1"/>
  <c r="L17" i="23"/>
  <c r="N17" i="23" s="1"/>
  <c r="L36" i="23"/>
  <c r="L44" i="23"/>
  <c r="N44" i="23" s="1"/>
  <c r="L48" i="23"/>
  <c r="N48" i="23" s="1"/>
  <c r="L18" i="23"/>
  <c r="N18" i="23" s="1"/>
  <c r="L23" i="23"/>
  <c r="N23" i="23" s="1"/>
  <c r="L29" i="23"/>
  <c r="N29" i="23" s="1"/>
  <c r="L42" i="23"/>
  <c r="L46" i="23"/>
  <c r="N46" i="23" s="1"/>
  <c r="KX40" i="22"/>
  <c r="KX11" i="22"/>
  <c r="KX19" i="22"/>
  <c r="KX33" i="22"/>
  <c r="KX35" i="22"/>
  <c r="KX37" i="22"/>
  <c r="KZ37" i="22" s="1"/>
  <c r="IP21" i="22"/>
  <c r="IP31" i="22"/>
  <c r="KX25" i="22"/>
  <c r="IP37" i="22"/>
  <c r="KX16" i="22"/>
  <c r="E27" i="27"/>
  <c r="C127" i="23"/>
  <c r="D127" i="23" s="1"/>
  <c r="E38" i="27"/>
  <c r="C138" i="23"/>
  <c r="D138" i="23" s="1"/>
  <c r="E16" i="27"/>
  <c r="C116" i="23"/>
  <c r="D116" i="23" s="1"/>
  <c r="E31" i="27"/>
  <c r="C131" i="23"/>
  <c r="D131" i="23" s="1"/>
  <c r="E21" i="27"/>
  <c r="C121" i="23"/>
  <c r="D121" i="23" s="1"/>
  <c r="IP14" i="22"/>
  <c r="E29" i="27"/>
  <c r="C129" i="23"/>
  <c r="D129" i="23" s="1"/>
  <c r="IP16" i="22"/>
  <c r="IP23" i="22"/>
  <c r="E14" i="27"/>
  <c r="C114" i="23"/>
  <c r="D114" i="23" s="1"/>
  <c r="IP38" i="22"/>
  <c r="E13" i="27"/>
  <c r="C113" i="23"/>
  <c r="D113" i="23" s="1"/>
  <c r="IP43" i="22"/>
  <c r="E40" i="28" s="1"/>
  <c r="K40" i="28" s="1"/>
  <c r="E30" i="27"/>
  <c r="C130" i="23"/>
  <c r="D130" i="23" s="1"/>
  <c r="IP27" i="22"/>
  <c r="E17" i="27"/>
  <c r="C117" i="23"/>
  <c r="D117" i="23" s="1"/>
  <c r="IP40" i="22"/>
  <c r="IP42" i="22"/>
  <c r="IP48" i="22"/>
  <c r="E37" i="27"/>
  <c r="C137" i="23"/>
  <c r="D137" i="23" s="1"/>
  <c r="E18" i="27"/>
  <c r="C118" i="23"/>
  <c r="D118" i="23" s="1"/>
  <c r="E26" i="27"/>
  <c r="C126" i="23"/>
  <c r="D126" i="23" s="1"/>
  <c r="IP13" i="22"/>
  <c r="IP39" i="22"/>
  <c r="E37" i="28" s="1"/>
  <c r="IP44" i="22"/>
  <c r="IP45" i="22"/>
  <c r="E42" i="28" s="1"/>
  <c r="K42" i="28" s="1"/>
  <c r="KX24" i="22"/>
  <c r="KX26" i="22"/>
  <c r="KX29" i="22"/>
  <c r="IP9" i="22"/>
  <c r="IP22" i="22"/>
  <c r="IP24" i="22"/>
  <c r="IP28" i="22"/>
  <c r="IP10" i="22"/>
  <c r="E28" i="27"/>
  <c r="C128" i="23"/>
  <c r="IP15" i="22"/>
  <c r="E34" i="27"/>
  <c r="C134" i="23"/>
  <c r="D134" i="23" s="1"/>
  <c r="E9" i="27"/>
  <c r="C109" i="23"/>
  <c r="D109" i="23" s="1"/>
  <c r="E39" i="27"/>
  <c r="C139" i="23"/>
  <c r="D139" i="23" s="1"/>
  <c r="IP49" i="22"/>
  <c r="E22" i="27"/>
  <c r="C122" i="23"/>
  <c r="D122" i="23" s="1"/>
  <c r="E8" i="27"/>
  <c r="C108" i="23"/>
  <c r="D108" i="23" s="1"/>
  <c r="IP18" i="22"/>
  <c r="IP20" i="22"/>
  <c r="IP26" i="22"/>
  <c r="E7" i="27"/>
  <c r="C107" i="23"/>
  <c r="IP12" i="22"/>
  <c r="E35" i="27"/>
  <c r="C135" i="23"/>
  <c r="D135" i="23" s="1"/>
  <c r="E36" i="27"/>
  <c r="C136" i="23"/>
  <c r="E12" i="27"/>
  <c r="C112" i="23"/>
  <c r="D112" i="23" s="1"/>
  <c r="E15" i="27"/>
  <c r="C115" i="23"/>
  <c r="IP46" i="22"/>
  <c r="KX23" i="22"/>
  <c r="KX27" i="22"/>
  <c r="KX34" i="22"/>
  <c r="KZ34" i="22" s="1"/>
  <c r="E23" i="27"/>
  <c r="C123" i="23"/>
  <c r="KW50" i="22"/>
  <c r="E49" i="27"/>
  <c r="C149" i="23"/>
  <c r="D149" i="23" s="1"/>
  <c r="E45" i="27"/>
  <c r="C145" i="23"/>
  <c r="D145" i="23" s="1"/>
  <c r="E47" i="27"/>
  <c r="C147" i="23"/>
  <c r="D147" i="23" s="1"/>
  <c r="E43" i="27"/>
  <c r="C143" i="23"/>
  <c r="D143" i="23" s="1"/>
  <c r="E44" i="27"/>
  <c r="C144" i="23"/>
  <c r="D144" i="23" s="1"/>
  <c r="E48" i="27"/>
  <c r="C148" i="23"/>
  <c r="D148" i="23" s="1"/>
  <c r="KX41" i="22"/>
  <c r="KZ41" i="22" s="1"/>
  <c r="IN50" i="22"/>
  <c r="E46" i="27"/>
  <c r="C146" i="23"/>
  <c r="D146" i="23" s="1"/>
  <c r="KX47" i="22"/>
  <c r="F147" i="23"/>
  <c r="G147" i="23" s="1"/>
  <c r="E42" i="27"/>
  <c r="C142" i="23"/>
  <c r="D142" i="23" s="1"/>
  <c r="KX36" i="22"/>
  <c r="KX38" i="22"/>
  <c r="ID29" i="22"/>
  <c r="IP29" i="22" s="1"/>
  <c r="AZ8" i="7"/>
  <c r="AZ10" i="7" s="1"/>
  <c r="BA11" i="8"/>
  <c r="BA13" i="8" s="1"/>
  <c r="BU9" i="22"/>
  <c r="BU50" i="22" s="1"/>
  <c r="II17" i="22"/>
  <c r="II19" i="22"/>
  <c r="IP19" i="22" s="1"/>
  <c r="II32" i="22"/>
  <c r="II54" i="22" s="1"/>
  <c r="BG50" i="22"/>
  <c r="BF9" i="22"/>
  <c r="BF50" i="22" s="1"/>
  <c r="FQ11" i="22"/>
  <c r="FQ50" i="22" s="1"/>
  <c r="HZ50" i="22"/>
  <c r="ID25" i="22"/>
  <c r="IP25" i="22" s="1"/>
  <c r="E25" i="28" s="1"/>
  <c r="K25" i="28" s="1"/>
  <c r="AV7" i="15"/>
  <c r="AY7" i="15" s="1"/>
  <c r="ID30" i="22"/>
  <c r="IP30" i="22" s="1"/>
  <c r="F146" i="23"/>
  <c r="G146" i="23" s="1"/>
  <c r="FM50" i="22"/>
  <c r="ID11" i="22"/>
  <c r="AB13" i="24"/>
  <c r="AB15" i="24"/>
  <c r="I9" i="9"/>
  <c r="I11" i="15"/>
  <c r="BF75" i="18"/>
  <c r="F9" i="9"/>
  <c r="F44" i="20" s="1"/>
  <c r="I7" i="1"/>
  <c r="D128" i="23"/>
  <c r="C8" i="16"/>
  <c r="F15" i="23"/>
  <c r="F17" i="20"/>
  <c r="E21" i="23"/>
  <c r="F48" i="20"/>
  <c r="F27" i="20"/>
  <c r="D48" i="23"/>
  <c r="F28" i="20"/>
  <c r="E26" i="23"/>
  <c r="L89" i="20"/>
  <c r="D45" i="23"/>
  <c r="F26" i="23"/>
  <c r="D47" i="20"/>
  <c r="L21" i="20"/>
  <c r="N21" i="20" s="1"/>
  <c r="H33" i="23"/>
  <c r="J33" i="23" s="1"/>
  <c r="F18" i="20"/>
  <c r="D29" i="20"/>
  <c r="F49" i="20"/>
  <c r="L61" i="20"/>
  <c r="L82" i="20"/>
  <c r="E46" i="20"/>
  <c r="F22" i="20"/>
  <c r="E29" i="20"/>
  <c r="D35" i="20"/>
  <c r="D37" i="20"/>
  <c r="AV41" i="18"/>
  <c r="V28" i="24"/>
  <c r="T28" i="24" s="1"/>
  <c r="V35" i="24"/>
  <c r="T35" i="24" s="1"/>
  <c r="AV5" i="18"/>
  <c r="R13" i="24"/>
  <c r="S13" i="24" s="1"/>
  <c r="R18" i="24"/>
  <c r="S18" i="24" s="1"/>
  <c r="AA133" i="24"/>
  <c r="R37" i="20"/>
  <c r="S37" i="20" s="1"/>
  <c r="II56" i="22"/>
  <c r="II53" i="22"/>
  <c r="II55" i="22"/>
  <c r="DS50" i="22"/>
  <c r="FG50" i="22"/>
  <c r="W50" i="22"/>
  <c r="AB50" i="22"/>
  <c r="BZ50" i="22"/>
  <c r="GU50" i="22"/>
  <c r="JT50" i="22"/>
  <c r="FL50" i="22"/>
  <c r="GF50" i="22"/>
  <c r="JO50" i="22"/>
  <c r="DN50" i="22"/>
  <c r="FB50" i="22"/>
  <c r="CE50" i="22"/>
  <c r="JY50" i="22"/>
  <c r="HT50" i="22"/>
  <c r="HE50" i="22"/>
  <c r="AQ50" i="22"/>
  <c r="BK50" i="22"/>
  <c r="CO50" i="22"/>
  <c r="IU50" i="22"/>
  <c r="CJ50" i="22"/>
  <c r="GP50" i="22"/>
  <c r="AG50" i="22"/>
  <c r="DD50" i="22"/>
  <c r="H50" i="22"/>
  <c r="AL50" i="22"/>
  <c r="EC50" i="22"/>
  <c r="CY50" i="22"/>
  <c r="EM50" i="22"/>
  <c r="GA50" i="22"/>
  <c r="HO50" i="22"/>
  <c r="EH50" i="22"/>
  <c r="GZ50" i="22"/>
  <c r="IZ50" i="22"/>
  <c r="AV50" i="22"/>
  <c r="KD50" i="22"/>
  <c r="M50" i="22"/>
  <c r="BA50" i="22"/>
  <c r="BP50" i="22"/>
  <c r="JE50" i="22"/>
  <c r="KI50" i="22"/>
  <c r="FV50" i="22"/>
  <c r="DX50" i="22"/>
  <c r="ER50" i="22"/>
  <c r="DI50" i="22"/>
  <c r="EW50" i="22"/>
  <c r="GK50" i="22"/>
  <c r="HY50" i="22"/>
  <c r="R50" i="22"/>
  <c r="JJ50" i="22"/>
  <c r="HJ50" i="22"/>
  <c r="D12" i="15"/>
  <c r="D39" i="20" s="1"/>
  <c r="D7" i="1"/>
  <c r="F9" i="6"/>
  <c r="F9" i="7"/>
  <c r="F7" i="15"/>
  <c r="F34" i="23" s="1"/>
  <c r="F7" i="9"/>
  <c r="J17" i="13"/>
  <c r="BA75" i="18"/>
  <c r="BB75" i="18" s="1"/>
  <c r="I10" i="9"/>
  <c r="AV67" i="18"/>
  <c r="V7" i="24"/>
  <c r="T7" i="24" s="1"/>
  <c r="BB5" i="18"/>
  <c r="R27" i="24"/>
  <c r="S27" i="24" s="1"/>
  <c r="V10" i="24"/>
  <c r="T10" i="24" s="1"/>
  <c r="AB22" i="24"/>
  <c r="V33" i="24"/>
  <c r="T33" i="24" s="1"/>
  <c r="AB35" i="24"/>
  <c r="AB138" i="24" s="1"/>
  <c r="I7" i="6"/>
  <c r="I14" i="6" s="1"/>
  <c r="AB17" i="24"/>
  <c r="F76" i="18"/>
  <c r="G76" i="18" s="1"/>
  <c r="H76" i="18" s="1"/>
  <c r="I76" i="18" s="1"/>
  <c r="J76" i="18" s="1"/>
  <c r="K76" i="18" s="1"/>
  <c r="L76" i="18" s="1"/>
  <c r="M76" i="18" s="1"/>
  <c r="N76" i="18" s="1"/>
  <c r="O76" i="18" s="1"/>
  <c r="P76" i="18" s="1"/>
  <c r="Q76" i="18" s="1"/>
  <c r="R76" i="18" s="1"/>
  <c r="S76" i="18" s="1"/>
  <c r="T76" i="18" s="1"/>
  <c r="U76" i="18" s="1"/>
  <c r="V76" i="18" s="1"/>
  <c r="W76" i="18" s="1"/>
  <c r="X76" i="18" s="1"/>
  <c r="Y76" i="18" s="1"/>
  <c r="Z76" i="18" s="1"/>
  <c r="AA76" i="18" s="1"/>
  <c r="AB76" i="18" s="1"/>
  <c r="AC76" i="18" s="1"/>
  <c r="AD76" i="18" s="1"/>
  <c r="AE76" i="18" s="1"/>
  <c r="AF76" i="18" s="1"/>
  <c r="AG76" i="18" s="1"/>
  <c r="AH76" i="18" s="1"/>
  <c r="AI76" i="18" s="1"/>
  <c r="AB6" i="24"/>
  <c r="AB133" i="24" s="1"/>
  <c r="L120" i="24" s="1"/>
  <c r="AB12" i="24"/>
  <c r="AB32" i="24"/>
  <c r="AV53" i="18"/>
  <c r="AV49" i="18"/>
  <c r="AV47" i="18"/>
  <c r="AV43" i="18"/>
  <c r="R36" i="24"/>
  <c r="S36" i="24" s="1"/>
  <c r="AP57" i="18"/>
  <c r="R29" i="24"/>
  <c r="S29" i="24" s="1"/>
  <c r="AP41" i="18"/>
  <c r="R22" i="24"/>
  <c r="S22" i="24" s="1"/>
  <c r="AP25" i="18"/>
  <c r="R12" i="24"/>
  <c r="S12" i="24" s="1"/>
  <c r="R10" i="24"/>
  <c r="S10" i="24" s="1"/>
  <c r="AV45" i="18"/>
  <c r="U23" i="24"/>
  <c r="W23" i="24" s="1"/>
  <c r="BE45" i="18"/>
  <c r="AQ75" i="18"/>
  <c r="AV35" i="18"/>
  <c r="BE23" i="18"/>
  <c r="AP55" i="18"/>
  <c r="Q15" i="24"/>
  <c r="S15" i="24" s="1"/>
  <c r="Q14" i="24"/>
  <c r="S14" i="24" s="1"/>
  <c r="Q6" i="24"/>
  <c r="Q133" i="24" s="1"/>
  <c r="BE55" i="18"/>
  <c r="BE57" i="18"/>
  <c r="BE7" i="18"/>
  <c r="AP45" i="18"/>
  <c r="BE39" i="18"/>
  <c r="AP9" i="18"/>
  <c r="AP61" i="18"/>
  <c r="AV17" i="18"/>
  <c r="V12" i="24"/>
  <c r="T12" i="24" s="1"/>
  <c r="V15" i="24"/>
  <c r="T15" i="24" s="1"/>
  <c r="V18" i="24"/>
  <c r="T18" i="24" s="1"/>
  <c r="AV11" i="18"/>
  <c r="AV27" i="18"/>
  <c r="AV33" i="18"/>
  <c r="AV37" i="18"/>
  <c r="AU75" i="18"/>
  <c r="V13" i="24"/>
  <c r="T13" i="24" s="1"/>
  <c r="V9" i="24"/>
  <c r="T9" i="24" s="1"/>
  <c r="R33" i="24"/>
  <c r="AP63" i="18"/>
  <c r="R17" i="24"/>
  <c r="S17" i="24" s="1"/>
  <c r="R11" i="24"/>
  <c r="AP51" i="18"/>
  <c r="AP5" i="18"/>
  <c r="AP27" i="18"/>
  <c r="AP43" i="18"/>
  <c r="AP59" i="18"/>
  <c r="AP7" i="18"/>
  <c r="R26" i="24"/>
  <c r="S26" i="24" s="1"/>
  <c r="AP11" i="18"/>
  <c r="R35" i="24"/>
  <c r="S35" i="24" s="1"/>
  <c r="R25" i="24"/>
  <c r="S25" i="24" s="1"/>
  <c r="AP35" i="18"/>
  <c r="AO75" i="18"/>
  <c r="AP75" i="18" s="1"/>
  <c r="I9" i="8"/>
  <c r="AB20" i="24"/>
  <c r="AB26" i="24"/>
  <c r="I8" i="7"/>
  <c r="I10" i="7" s="1"/>
  <c r="K6" i="16" s="1"/>
  <c r="I7" i="9"/>
  <c r="AB34" i="24"/>
  <c r="I8" i="8"/>
  <c r="I9" i="1"/>
  <c r="AB19" i="24"/>
  <c r="I96" i="20"/>
  <c r="I100" i="20"/>
  <c r="L95" i="20"/>
  <c r="N95" i="20" s="1"/>
  <c r="G93" i="20"/>
  <c r="L101" i="20"/>
  <c r="N101" i="20" s="1"/>
  <c r="I94" i="20"/>
  <c r="L97" i="20"/>
  <c r="N97" i="20" s="1"/>
  <c r="L96" i="20"/>
  <c r="N96" i="20" s="1"/>
  <c r="I98" i="20"/>
  <c r="I89" i="20"/>
  <c r="L87" i="20"/>
  <c r="I88" i="20"/>
  <c r="L43" i="20"/>
  <c r="N43" i="20" s="1"/>
  <c r="F8" i="1"/>
  <c r="F8" i="23" s="1"/>
  <c r="E9" i="6"/>
  <c r="J12" i="13"/>
  <c r="F7" i="6"/>
  <c r="E7" i="6"/>
  <c r="E13" i="6"/>
  <c r="F23" i="23"/>
  <c r="J31" i="13"/>
  <c r="J18" i="13"/>
  <c r="J24" i="13"/>
  <c r="D12" i="8"/>
  <c r="E11" i="6"/>
  <c r="D9" i="6"/>
  <c r="J13" i="13"/>
  <c r="KU15" i="22"/>
  <c r="KV22" i="22"/>
  <c r="KX22" i="22" s="1"/>
  <c r="KU18" i="22"/>
  <c r="KV18" i="22"/>
  <c r="F44" i="23"/>
  <c r="D7" i="8"/>
  <c r="D8" i="6"/>
  <c r="D10" i="6"/>
  <c r="KT20" i="22"/>
  <c r="E12" i="8"/>
  <c r="KT46" i="22"/>
  <c r="KV48" i="22"/>
  <c r="KU48" i="22"/>
  <c r="D9" i="8"/>
  <c r="KT17" i="22"/>
  <c r="KX17" i="22" s="1"/>
  <c r="KT21" i="22"/>
  <c r="KU46" i="22"/>
  <c r="F22" i="23"/>
  <c r="D37" i="23"/>
  <c r="D9" i="1"/>
  <c r="E8" i="8"/>
  <c r="F11" i="9"/>
  <c r="F30" i="20"/>
  <c r="F30" i="23"/>
  <c r="D44" i="20"/>
  <c r="D44" i="23"/>
  <c r="KU12" i="22"/>
  <c r="E9" i="1"/>
  <c r="D9" i="7"/>
  <c r="E9" i="15"/>
  <c r="KV12" i="22"/>
  <c r="KT42" i="22"/>
  <c r="KX42" i="22" s="1"/>
  <c r="E7" i="1"/>
  <c r="D12" i="6"/>
  <c r="D8" i="7"/>
  <c r="E7" i="15"/>
  <c r="F9" i="15"/>
  <c r="KV20" i="22"/>
  <c r="KT48" i="22"/>
  <c r="J29" i="13"/>
  <c r="KT14" i="22"/>
  <c r="KX14" i="22" s="1"/>
  <c r="KT44" i="22"/>
  <c r="KV13" i="22"/>
  <c r="KX13" i="22" s="1"/>
  <c r="E9" i="8"/>
  <c r="KU44" i="22"/>
  <c r="E48" i="20"/>
  <c r="E48" i="23"/>
  <c r="F31" i="20"/>
  <c r="F31" i="23"/>
  <c r="E37" i="20"/>
  <c r="E37" i="23"/>
  <c r="D46" i="20"/>
  <c r="D46" i="23"/>
  <c r="D30" i="20"/>
  <c r="D30" i="23"/>
  <c r="F45" i="20"/>
  <c r="F45" i="23"/>
  <c r="F38" i="20"/>
  <c r="F38" i="23"/>
  <c r="E42" i="20"/>
  <c r="E42" i="23"/>
  <c r="E23" i="20"/>
  <c r="E23" i="23"/>
  <c r="E22" i="20"/>
  <c r="E22" i="23"/>
  <c r="E15" i="20"/>
  <c r="E15" i="23"/>
  <c r="E45" i="20"/>
  <c r="E45" i="23"/>
  <c r="D49" i="20"/>
  <c r="D49" i="23"/>
  <c r="KT10" i="22"/>
  <c r="KU10" i="22"/>
  <c r="KU28" i="22"/>
  <c r="F49" i="23"/>
  <c r="E8" i="15"/>
  <c r="KV30" i="22"/>
  <c r="KX30" i="22" s="1"/>
  <c r="D29" i="23"/>
  <c r="E8" i="6"/>
  <c r="F28" i="23"/>
  <c r="E29" i="23"/>
  <c r="F8" i="6"/>
  <c r="D11" i="6"/>
  <c r="F7" i="7"/>
  <c r="F10" i="8"/>
  <c r="F10" i="15"/>
  <c r="E12" i="15"/>
  <c r="J32" i="13"/>
  <c r="KT15" i="22"/>
  <c r="KT31" i="22"/>
  <c r="KT43" i="22"/>
  <c r="KT45" i="22"/>
  <c r="KT49" i="22"/>
  <c r="F48" i="23"/>
  <c r="J15" i="13"/>
  <c r="F27" i="23"/>
  <c r="D13" i="6"/>
  <c r="KV9" i="22"/>
  <c r="KX9" i="22" s="1"/>
  <c r="KU21" i="22"/>
  <c r="KU39" i="22"/>
  <c r="KX39" i="22" s="1"/>
  <c r="KU43" i="22"/>
  <c r="KU45" i="22"/>
  <c r="KV28" i="22"/>
  <c r="KV32" i="22"/>
  <c r="F8" i="15"/>
  <c r="F9" i="1"/>
  <c r="F11" i="6"/>
  <c r="E9" i="9"/>
  <c r="KV31" i="22"/>
  <c r="KV43" i="22"/>
  <c r="KV49" i="22"/>
  <c r="D7" i="7"/>
  <c r="D35" i="23"/>
  <c r="AK10" i="7"/>
  <c r="AV10" i="7"/>
  <c r="AU7" i="1"/>
  <c r="AM8" i="6"/>
  <c r="O11" i="6"/>
  <c r="AU11" i="6"/>
  <c r="AI13" i="6"/>
  <c r="N10" i="7"/>
  <c r="O8" i="9"/>
  <c r="AU8" i="9"/>
  <c r="AI9" i="9"/>
  <c r="W13" i="9"/>
  <c r="BC13" i="9"/>
  <c r="S8" i="6"/>
  <c r="AM9" i="6"/>
  <c r="AM10" i="6"/>
  <c r="AA12" i="6"/>
  <c r="AM10" i="8"/>
  <c r="AQ7" i="15"/>
  <c r="AE9" i="15"/>
  <c r="S12" i="15"/>
  <c r="AY12" i="15"/>
  <c r="AI7" i="9"/>
  <c r="O10" i="9"/>
  <c r="AU10" i="9"/>
  <c r="AI11" i="9"/>
  <c r="AI13" i="9"/>
  <c r="O14" i="9"/>
  <c r="AU14" i="9"/>
  <c r="P41" i="20"/>
  <c r="Q41" i="20" s="1"/>
  <c r="U10" i="1"/>
  <c r="AP10" i="1"/>
  <c r="O10" i="6"/>
  <c r="AU10" i="6"/>
  <c r="AI11" i="6"/>
  <c r="AI12" i="6"/>
  <c r="M10" i="7"/>
  <c r="AS10" i="7"/>
  <c r="R6" i="16" s="1"/>
  <c r="BD10" i="7"/>
  <c r="BG8" i="7"/>
  <c r="S8" i="8"/>
  <c r="AE9" i="1"/>
  <c r="W12" i="6"/>
  <c r="AM8" i="8"/>
  <c r="AI10" i="8"/>
  <c r="W12" i="8"/>
  <c r="AE7" i="9"/>
  <c r="BA14" i="6"/>
  <c r="AM7" i="6"/>
  <c r="AA9" i="7"/>
  <c r="BG9" i="7"/>
  <c r="AK10" i="1"/>
  <c r="AU9" i="1"/>
  <c r="R14" i="6"/>
  <c r="AQ7" i="6"/>
  <c r="AE8" i="6"/>
  <c r="AM12" i="8"/>
  <c r="W7" i="15"/>
  <c r="AM8" i="9"/>
  <c r="AA10" i="9"/>
  <c r="BG10" i="9"/>
  <c r="AA12" i="9"/>
  <c r="BG12" i="9"/>
  <c r="AM7" i="8"/>
  <c r="AA9" i="15"/>
  <c r="AA11" i="8"/>
  <c r="BG11" i="15"/>
  <c r="Q10" i="1"/>
  <c r="W7" i="6"/>
  <c r="S12" i="6"/>
  <c r="R10" i="7"/>
  <c r="AC10" i="7"/>
  <c r="AN10" i="7"/>
  <c r="AX10" i="7"/>
  <c r="AQ8" i="7"/>
  <c r="W8" i="8"/>
  <c r="W9" i="8"/>
  <c r="BC9" i="8"/>
  <c r="AE11" i="8"/>
  <c r="AI7" i="15"/>
  <c r="BA13" i="15"/>
  <c r="W8" i="15"/>
  <c r="BC8" i="15"/>
  <c r="AQ11" i="15"/>
  <c r="AA13" i="9"/>
  <c r="BG13" i="9"/>
  <c r="AQ11" i="6"/>
  <c r="W7" i="7"/>
  <c r="AQ9" i="7"/>
  <c r="L13" i="8"/>
  <c r="V13" i="8"/>
  <c r="AM7" i="9"/>
  <c r="S9" i="9"/>
  <c r="AY9" i="9"/>
  <c r="AY10" i="9"/>
  <c r="S14" i="9"/>
  <c r="AY14" i="9"/>
  <c r="BG9" i="15"/>
  <c r="O7" i="6"/>
  <c r="AU7" i="6"/>
  <c r="W8" i="6"/>
  <c r="AQ12" i="6"/>
  <c r="U10" i="7"/>
  <c r="W10" i="8"/>
  <c r="BC10" i="8"/>
  <c r="W11" i="8"/>
  <c r="O7" i="15"/>
  <c r="O8" i="15"/>
  <c r="AU8" i="15"/>
  <c r="O9" i="15"/>
  <c r="AI11" i="15"/>
  <c r="S13" i="9"/>
  <c r="V14" i="6"/>
  <c r="AM7" i="1"/>
  <c r="AM9" i="1"/>
  <c r="AF10" i="7"/>
  <c r="W13" i="6"/>
  <c r="BC13" i="6"/>
  <c r="V10" i="7"/>
  <c r="AI9" i="7"/>
  <c r="AA8" i="8"/>
  <c r="O9" i="8"/>
  <c r="AQ11" i="8"/>
  <c r="AE12" i="8"/>
  <c r="BC7" i="15"/>
  <c r="W10" i="15"/>
  <c r="BC10" i="15"/>
  <c r="W12" i="15"/>
  <c r="BC12" i="15"/>
  <c r="N15" i="9"/>
  <c r="Y15" i="9"/>
  <c r="AS15" i="9"/>
  <c r="R9" i="16" s="1"/>
  <c r="BD15" i="9"/>
  <c r="AA9" i="9"/>
  <c r="BG9" i="9"/>
  <c r="O11" i="9"/>
  <c r="AA11" i="9"/>
  <c r="AU11" i="9"/>
  <c r="BG11" i="9"/>
  <c r="AU13" i="9"/>
  <c r="S11" i="15"/>
  <c r="BC8" i="8"/>
  <c r="AI8" i="7"/>
  <c r="AT15" i="9"/>
  <c r="S9" i="16" s="1"/>
  <c r="O13" i="9"/>
  <c r="BA10" i="1"/>
  <c r="V10" i="1"/>
  <c r="BB10" i="1"/>
  <c r="AI8" i="6"/>
  <c r="BC8" i="6"/>
  <c r="AM12" i="6"/>
  <c r="BG12" i="6"/>
  <c r="AU9" i="8"/>
  <c r="BG9" i="8"/>
  <c r="AM7" i="15"/>
  <c r="S8" i="9"/>
  <c r="AE10" i="9"/>
  <c r="AM11" i="9"/>
  <c r="AM12" i="9"/>
  <c r="AD10" i="7"/>
  <c r="S11" i="8"/>
  <c r="AH10" i="1"/>
  <c r="W9" i="6"/>
  <c r="BC9" i="6"/>
  <c r="AQ10" i="6"/>
  <c r="S11" i="6"/>
  <c r="P10" i="7"/>
  <c r="AA8" i="7"/>
  <c r="AY8" i="7"/>
  <c r="AY9" i="8"/>
  <c r="O10" i="8"/>
  <c r="AU10" i="8"/>
  <c r="O11" i="8"/>
  <c r="AM9" i="15"/>
  <c r="AI10" i="15"/>
  <c r="AA11" i="15"/>
  <c r="AQ9" i="9"/>
  <c r="AQ12" i="9"/>
  <c r="AM13" i="9"/>
  <c r="AE14" i="9"/>
  <c r="AY11" i="15"/>
  <c r="AJ10" i="1"/>
  <c r="N10" i="1"/>
  <c r="AM8" i="1"/>
  <c r="AT10" i="1"/>
  <c r="S4" i="16" s="1"/>
  <c r="AY7" i="6"/>
  <c r="O8" i="6"/>
  <c r="AA8" i="6"/>
  <c r="AU8" i="6"/>
  <c r="AE12" i="6"/>
  <c r="AY12" i="6"/>
  <c r="AM13" i="6"/>
  <c r="AE7" i="7"/>
  <c r="AE8" i="7"/>
  <c r="S9" i="7"/>
  <c r="AY9" i="7"/>
  <c r="AE9" i="8"/>
  <c r="S8" i="15"/>
  <c r="AY8" i="15"/>
  <c r="AM10" i="15"/>
  <c r="AM11" i="15"/>
  <c r="N13" i="15"/>
  <c r="AM12" i="15"/>
  <c r="W9" i="9"/>
  <c r="BC9" i="9"/>
  <c r="AE11" i="9"/>
  <c r="AQ11" i="9"/>
  <c r="AE13" i="9"/>
  <c r="AQ14" i="9"/>
  <c r="N87" i="20"/>
  <c r="Q48" i="20"/>
  <c r="Q9" i="20"/>
  <c r="Q15" i="20"/>
  <c r="N89" i="20"/>
  <c r="Q38" i="20"/>
  <c r="J43" i="20"/>
  <c r="N82" i="20"/>
  <c r="Q13" i="20"/>
  <c r="Q39" i="20"/>
  <c r="Q49" i="20"/>
  <c r="Q8" i="20"/>
  <c r="Q47" i="20"/>
  <c r="N61" i="20"/>
  <c r="M9" i="16"/>
  <c r="I10" i="16"/>
  <c r="J10" i="19"/>
  <c r="J10" i="16"/>
  <c r="G32" i="19"/>
  <c r="I10" i="19"/>
  <c r="M10" i="19" s="1"/>
  <c r="M10" i="16"/>
  <c r="F32" i="19"/>
  <c r="M7" i="19"/>
  <c r="M5" i="19"/>
  <c r="J47" i="23"/>
  <c r="J48" i="23"/>
  <c r="J49" i="23"/>
  <c r="J39" i="23"/>
  <c r="J31" i="23"/>
  <c r="J14" i="23"/>
  <c r="J15" i="23"/>
  <c r="C101" i="23"/>
  <c r="D101" i="23" s="1"/>
  <c r="J9" i="23"/>
  <c r="J16" i="23"/>
  <c r="J36" i="23"/>
  <c r="J43" i="23"/>
  <c r="J37" i="23"/>
  <c r="J42" i="23"/>
  <c r="J26" i="23"/>
  <c r="J8" i="23"/>
  <c r="J23" i="23"/>
  <c r="N45" i="23"/>
  <c r="J12" i="23"/>
  <c r="S7" i="24"/>
  <c r="W14" i="24"/>
  <c r="S32" i="24"/>
  <c r="S39" i="24"/>
  <c r="AA134" i="24"/>
  <c r="AA138" i="24"/>
  <c r="S20" i="24"/>
  <c r="W27" i="24"/>
  <c r="W32" i="24"/>
  <c r="AA135" i="24"/>
  <c r="S5" i="24"/>
  <c r="W6" i="24"/>
  <c r="S16" i="24"/>
  <c r="W17" i="24"/>
  <c r="W16" i="24"/>
  <c r="M20" i="24"/>
  <c r="K20" i="24" s="1"/>
  <c r="M23" i="24"/>
  <c r="K23" i="24" s="1"/>
  <c r="M35" i="24"/>
  <c r="K35" i="24" s="1"/>
  <c r="M18" i="24"/>
  <c r="K18" i="24" s="1"/>
  <c r="M37" i="24"/>
  <c r="K37" i="24" s="1"/>
  <c r="M10" i="24"/>
  <c r="K10" i="24" s="1"/>
  <c r="M9" i="24"/>
  <c r="K9" i="24" s="1"/>
  <c r="M14" i="24"/>
  <c r="K14" i="24" s="1"/>
  <c r="M17" i="24"/>
  <c r="K17" i="24" s="1"/>
  <c r="M22" i="24"/>
  <c r="K22" i="24" s="1"/>
  <c r="M28" i="24"/>
  <c r="K28" i="24" s="1"/>
  <c r="M31" i="24"/>
  <c r="K31" i="24" s="1"/>
  <c r="M132" i="24"/>
  <c r="Y139" i="24"/>
  <c r="AA136" i="24"/>
  <c r="H132" i="24"/>
  <c r="Z139" i="24"/>
  <c r="AA137" i="24"/>
  <c r="W21" i="24"/>
  <c r="S23" i="24"/>
  <c r="W24" i="24"/>
  <c r="W25" i="24"/>
  <c r="W26" i="24"/>
  <c r="U133" i="24"/>
  <c r="L132" i="24"/>
  <c r="S19" i="24"/>
  <c r="W19" i="24"/>
  <c r="S8" i="24"/>
  <c r="S38" i="24"/>
  <c r="E47" i="20"/>
  <c r="E47" i="23"/>
  <c r="J11" i="13"/>
  <c r="KN30" i="22"/>
  <c r="J29" i="23"/>
  <c r="P15" i="9"/>
  <c r="J9" i="13"/>
  <c r="E14" i="9"/>
  <c r="L13" i="20"/>
  <c r="N13" i="20" s="1"/>
  <c r="W11" i="24"/>
  <c r="S28" i="24"/>
  <c r="S30" i="24"/>
  <c r="S31" i="24"/>
  <c r="W34" i="24"/>
  <c r="J18" i="23"/>
  <c r="J27" i="23"/>
  <c r="AB13" i="15"/>
  <c r="AE7" i="15"/>
  <c r="KN28" i="22"/>
  <c r="E8" i="1"/>
  <c r="J6" i="13"/>
  <c r="KN24" i="22"/>
  <c r="D7" i="6"/>
  <c r="J8" i="13"/>
  <c r="KN27" i="22"/>
  <c r="F12" i="15"/>
  <c r="D8" i="9"/>
  <c r="F12" i="9"/>
  <c r="Q7" i="20"/>
  <c r="F15" i="20"/>
  <c r="Q12" i="20"/>
  <c r="P11" i="20"/>
  <c r="Q11" i="20" s="1"/>
  <c r="F18" i="23"/>
  <c r="J44" i="23"/>
  <c r="Z15" i="9"/>
  <c r="KN18" i="22"/>
  <c r="J4" i="13"/>
  <c r="D8" i="1"/>
  <c r="U134" i="24"/>
  <c r="W22" i="24"/>
  <c r="S24" i="24"/>
  <c r="Q137" i="24"/>
  <c r="N49" i="23"/>
  <c r="AC10" i="1"/>
  <c r="AE7" i="1"/>
  <c r="AB14" i="6"/>
  <c r="BC11" i="6"/>
  <c r="E12" i="6"/>
  <c r="AJ13" i="8"/>
  <c r="AT13" i="8"/>
  <c r="S7" i="16" s="1"/>
  <c r="O8" i="8"/>
  <c r="S9" i="15"/>
  <c r="AA12" i="15"/>
  <c r="BG12" i="15"/>
  <c r="KN12" i="22"/>
  <c r="J26" i="13"/>
  <c r="E8" i="9"/>
  <c r="L60" i="20"/>
  <c r="N60" i="20" s="1"/>
  <c r="Q136" i="24"/>
  <c r="D9" i="15"/>
  <c r="KN19" i="22"/>
  <c r="U137" i="24"/>
  <c r="W29" i="24"/>
  <c r="W30" i="24"/>
  <c r="W31" i="24"/>
  <c r="S37" i="24"/>
  <c r="J28" i="23"/>
  <c r="J30" i="23"/>
  <c r="N30" i="23"/>
  <c r="J34" i="23"/>
  <c r="N36" i="23"/>
  <c r="J45" i="23"/>
  <c r="E46" i="23"/>
  <c r="D47" i="23"/>
  <c r="AY11" i="8"/>
  <c r="AA12" i="8"/>
  <c r="BG12" i="8"/>
  <c r="U13" i="15"/>
  <c r="J25" i="13"/>
  <c r="D11" i="15"/>
  <c r="N12" i="23"/>
  <c r="N15" i="23"/>
  <c r="F17" i="23"/>
  <c r="N47" i="23"/>
  <c r="L10" i="1"/>
  <c r="O7" i="1"/>
  <c r="U14" i="6"/>
  <c r="E21" i="20"/>
  <c r="E11" i="8"/>
  <c r="AI8" i="9"/>
  <c r="KN22" i="22"/>
  <c r="KN13" i="22"/>
  <c r="D8" i="8"/>
  <c r="L44" i="20"/>
  <c r="N44" i="20" s="1"/>
  <c r="L45" i="20"/>
  <c r="N45" i="20" s="1"/>
  <c r="L83" i="20"/>
  <c r="N83" i="20" s="1"/>
  <c r="L88" i="20"/>
  <c r="N88" i="20" s="1"/>
  <c r="T10" i="1"/>
  <c r="W7" i="1"/>
  <c r="AT13" i="15"/>
  <c r="S8" i="16" s="1"/>
  <c r="D48" i="20"/>
  <c r="G13" i="9"/>
  <c r="D7" i="15"/>
  <c r="KN16" i="22"/>
  <c r="J21" i="13"/>
  <c r="V136" i="24"/>
  <c r="W20" i="24"/>
  <c r="S34" i="24"/>
  <c r="Q138" i="24"/>
  <c r="W36" i="24"/>
  <c r="W37" i="24"/>
  <c r="W38" i="24"/>
  <c r="J13" i="23"/>
  <c r="N16" i="23"/>
  <c r="J17" i="23"/>
  <c r="J21" i="23"/>
  <c r="J35" i="23"/>
  <c r="J46" i="23"/>
  <c r="O8" i="1"/>
  <c r="AU8" i="1"/>
  <c r="AQ9" i="1"/>
  <c r="BB14" i="6"/>
  <c r="AM9" i="8"/>
  <c r="AU7" i="15"/>
  <c r="AU7" i="9"/>
  <c r="BB15" i="9"/>
  <c r="J14" i="13"/>
  <c r="M10" i="1"/>
  <c r="W9" i="1"/>
  <c r="BC9" i="1"/>
  <c r="AE7" i="6"/>
  <c r="AO14" i="6"/>
  <c r="AX14" i="6"/>
  <c r="AE9" i="6"/>
  <c r="AA10" i="6"/>
  <c r="BG10" i="6"/>
  <c r="S8" i="7"/>
  <c r="AB13" i="8"/>
  <c r="AL13" i="8"/>
  <c r="AW13" i="8"/>
  <c r="AU8" i="8"/>
  <c r="AY9" i="15"/>
  <c r="AA10" i="15"/>
  <c r="BG10" i="15"/>
  <c r="Q15" i="9"/>
  <c r="AK15" i="9"/>
  <c r="BE15" i="9"/>
  <c r="W11" i="9"/>
  <c r="BC11" i="9"/>
  <c r="AE12" i="9"/>
  <c r="KN42" i="22"/>
  <c r="J23" i="13"/>
  <c r="KN40" i="22"/>
  <c r="Q18" i="20"/>
  <c r="Q22" i="20"/>
  <c r="L74" i="20"/>
  <c r="N74" i="20" s="1"/>
  <c r="L78" i="20"/>
  <c r="N78" i="20" s="1"/>
  <c r="L86" i="20"/>
  <c r="N86" i="20" s="1"/>
  <c r="L99" i="20"/>
  <c r="N99" i="20" s="1"/>
  <c r="L100" i="20"/>
  <c r="N100" i="20" s="1"/>
  <c r="AO10" i="1"/>
  <c r="S8" i="1"/>
  <c r="Z10" i="1"/>
  <c r="AY8" i="1"/>
  <c r="BF10" i="1"/>
  <c r="AI9" i="1"/>
  <c r="AI7" i="6"/>
  <c r="AP14" i="6"/>
  <c r="AZ14" i="6"/>
  <c r="O12" i="6"/>
  <c r="M14" i="6"/>
  <c r="AA13" i="6"/>
  <c r="AS14" i="6"/>
  <c r="R5" i="16" s="1"/>
  <c r="BG13" i="6"/>
  <c r="BA10" i="7"/>
  <c r="W8" i="7"/>
  <c r="AC13" i="8"/>
  <c r="AN13" i="8"/>
  <c r="S12" i="8"/>
  <c r="AY12" i="8"/>
  <c r="L13" i="15"/>
  <c r="BE13" i="15"/>
  <c r="AA8" i="15"/>
  <c r="BG8" i="15"/>
  <c r="AE10" i="15"/>
  <c r="BC11" i="15"/>
  <c r="AL13" i="15"/>
  <c r="AC15" i="9"/>
  <c r="AV15" i="9"/>
  <c r="AA8" i="9"/>
  <c r="BG8" i="9"/>
  <c r="S10" i="9"/>
  <c r="AI12" i="9"/>
  <c r="W14" i="9"/>
  <c r="KN14" i="22"/>
  <c r="KN17" i="22"/>
  <c r="KN21" i="22"/>
  <c r="KN26" i="22"/>
  <c r="J34" i="13"/>
  <c r="L7" i="20"/>
  <c r="N7" i="20" s="1"/>
  <c r="Q17" i="20"/>
  <c r="L91" i="20"/>
  <c r="N91" i="20" s="1"/>
  <c r="AG10" i="1"/>
  <c r="AZ10" i="1"/>
  <c r="AE8" i="1"/>
  <c r="AL10" i="1"/>
  <c r="O9" i="1"/>
  <c r="N14" i="6"/>
  <c r="AG14" i="6"/>
  <c r="S10" i="6"/>
  <c r="AE10" i="6"/>
  <c r="AY10" i="6"/>
  <c r="AA11" i="6"/>
  <c r="AM11" i="6"/>
  <c r="O7" i="7"/>
  <c r="BC9" i="7"/>
  <c r="T13" i="8"/>
  <c r="AD13" i="8"/>
  <c r="AZ13" i="8"/>
  <c r="AE8" i="8"/>
  <c r="BC12" i="8"/>
  <c r="AW13" i="15"/>
  <c r="BF13" i="15"/>
  <c r="AM8" i="15"/>
  <c r="W9" i="15"/>
  <c r="AQ9" i="15"/>
  <c r="BC9" i="15"/>
  <c r="S10" i="15"/>
  <c r="AY10" i="15"/>
  <c r="AQ12" i="15"/>
  <c r="M13" i="15"/>
  <c r="W7" i="9"/>
  <c r="AN15" i="9"/>
  <c r="AW15" i="9"/>
  <c r="AE8" i="9"/>
  <c r="W12" i="9"/>
  <c r="BC12" i="9"/>
  <c r="AI14" i="9"/>
  <c r="BC14" i="9"/>
  <c r="KN35" i="22"/>
  <c r="KN38" i="22"/>
  <c r="G36" i="13"/>
  <c r="E4" i="11" s="1"/>
  <c r="J20" i="13"/>
  <c r="Q16" i="20"/>
  <c r="L68" i="20"/>
  <c r="N68" i="20" s="1"/>
  <c r="L75" i="20"/>
  <c r="N75" i="20" s="1"/>
  <c r="AR10" i="1"/>
  <c r="Q4" i="16" s="1"/>
  <c r="R10" i="1"/>
  <c r="AX10" i="1"/>
  <c r="AA9" i="1"/>
  <c r="BG9" i="1"/>
  <c r="AA7" i="6"/>
  <c r="BC7" i="6"/>
  <c r="BG8" i="6"/>
  <c r="AE11" i="6"/>
  <c r="BG11" i="6"/>
  <c r="S13" i="6"/>
  <c r="AK14" i="6"/>
  <c r="AY13" i="6"/>
  <c r="O8" i="7"/>
  <c r="AU9" i="7"/>
  <c r="U13" i="8"/>
  <c r="AA9" i="8"/>
  <c r="AI9" i="8"/>
  <c r="AI11" i="8"/>
  <c r="AU11" i="8"/>
  <c r="AQ12" i="8"/>
  <c r="AO13" i="15"/>
  <c r="AX13" i="15"/>
  <c r="AS13" i="15"/>
  <c r="R8" i="16" s="1"/>
  <c r="AD13" i="15"/>
  <c r="U15" i="9"/>
  <c r="AF15" i="9"/>
  <c r="AO15" i="9"/>
  <c r="AY8" i="9"/>
  <c r="AU9" i="9"/>
  <c r="AQ10" i="9"/>
  <c r="KN20" i="22"/>
  <c r="KN48" i="22"/>
  <c r="L17" i="20"/>
  <c r="N17" i="20" s="1"/>
  <c r="L66" i="20"/>
  <c r="N66" i="20" s="1"/>
  <c r="L67" i="20"/>
  <c r="N67" i="20" s="1"/>
  <c r="L90" i="20"/>
  <c r="N90" i="20" s="1"/>
  <c r="AS10" i="1"/>
  <c r="R4" i="16" s="1"/>
  <c r="W8" i="1"/>
  <c r="AD10" i="1"/>
  <c r="BC8" i="1"/>
  <c r="S7" i="6"/>
  <c r="AJ14" i="6"/>
  <c r="AT14" i="6"/>
  <c r="S5" i="16" s="1"/>
  <c r="BG7" i="6"/>
  <c r="AY8" i="6"/>
  <c r="O9" i="6"/>
  <c r="AU9" i="6"/>
  <c r="W10" i="6"/>
  <c r="BC10" i="6"/>
  <c r="BC12" i="6"/>
  <c r="C10" i="7"/>
  <c r="C6" i="19" s="1"/>
  <c r="AM7" i="7"/>
  <c r="X10" i="7"/>
  <c r="AU8" i="7"/>
  <c r="AR13" i="8"/>
  <c r="Q7" i="16" s="1"/>
  <c r="BB13" i="8"/>
  <c r="S9" i="8"/>
  <c r="AE10" i="8"/>
  <c r="AM11" i="8"/>
  <c r="O12" i="8"/>
  <c r="AU12" i="8"/>
  <c r="AE8" i="15"/>
  <c r="AI9" i="15"/>
  <c r="AU9" i="15"/>
  <c r="AQ10" i="15"/>
  <c r="AE11" i="15"/>
  <c r="AK13" i="15"/>
  <c r="AI12" i="15"/>
  <c r="O7" i="9"/>
  <c r="V15" i="9"/>
  <c r="AG15" i="9"/>
  <c r="BC7" i="9"/>
  <c r="W8" i="9"/>
  <c r="BC8" i="9"/>
  <c r="AM9" i="9"/>
  <c r="W10" i="9"/>
  <c r="S11" i="9"/>
  <c r="AY11" i="9"/>
  <c r="O12" i="9"/>
  <c r="AU12" i="9"/>
  <c r="AY13" i="9"/>
  <c r="AA14" i="9"/>
  <c r="BG14" i="9"/>
  <c r="KL50" i="22"/>
  <c r="J22" i="13"/>
  <c r="Q14" i="20"/>
  <c r="L16" i="20"/>
  <c r="N16" i="20" s="1"/>
  <c r="Q43" i="20"/>
  <c r="Q45" i="20"/>
  <c r="Q46" i="20"/>
  <c r="L64" i="20"/>
  <c r="N64" i="20" s="1"/>
  <c r="L81" i="20"/>
  <c r="N81" i="20" s="1"/>
  <c r="AB10" i="1"/>
  <c r="BC7" i="1"/>
  <c r="AI8" i="1"/>
  <c r="S9" i="1"/>
  <c r="Z14" i="6"/>
  <c r="AQ8" i="6"/>
  <c r="AA9" i="6"/>
  <c r="BG9" i="6"/>
  <c r="W11" i="6"/>
  <c r="AY11" i="6"/>
  <c r="AU12" i="6"/>
  <c r="AC14" i="6"/>
  <c r="AQ13" i="6"/>
  <c r="BF10" i="7"/>
  <c r="AM8" i="7"/>
  <c r="M13" i="8"/>
  <c r="AS13" i="8"/>
  <c r="R7" i="16" s="1"/>
  <c r="AI8" i="8"/>
  <c r="BG11" i="8"/>
  <c r="AI12" i="8"/>
  <c r="S7" i="15"/>
  <c r="Y13" i="15"/>
  <c r="AQ8" i="15"/>
  <c r="O10" i="15"/>
  <c r="AU10" i="15"/>
  <c r="W11" i="15"/>
  <c r="AC13" i="15"/>
  <c r="O12" i="15"/>
  <c r="V13" i="15"/>
  <c r="AU12" i="15"/>
  <c r="BB13" i="15"/>
  <c r="X15" i="9"/>
  <c r="AH15" i="9"/>
  <c r="AQ7" i="9"/>
  <c r="BA15" i="9"/>
  <c r="AQ8" i="9"/>
  <c r="AI10" i="9"/>
  <c r="BC10" i="9"/>
  <c r="S12" i="9"/>
  <c r="AY12" i="9"/>
  <c r="AQ13" i="9"/>
  <c r="AM14" i="9"/>
  <c r="Q42" i="20"/>
  <c r="Q44" i="20"/>
  <c r="L48" i="20"/>
  <c r="N48" i="20" s="1"/>
  <c r="L65" i="20"/>
  <c r="N65" i="20" s="1"/>
  <c r="L70" i="20"/>
  <c r="N70" i="20" s="1"/>
  <c r="L98" i="20"/>
  <c r="N98" i="20" s="1"/>
  <c r="I34" i="24"/>
  <c r="G34" i="24" s="1"/>
  <c r="J24" i="24"/>
  <c r="I23" i="24"/>
  <c r="G23" i="24" s="1"/>
  <c r="I22" i="24"/>
  <c r="G22" i="24" s="1"/>
  <c r="I21" i="24"/>
  <c r="G21" i="24" s="1"/>
  <c r="I36" i="24"/>
  <c r="G36" i="24" s="1"/>
  <c r="L134" i="24"/>
  <c r="I132" i="24"/>
  <c r="W39" i="24"/>
  <c r="Q134" i="24"/>
  <c r="S9" i="24"/>
  <c r="S21" i="24"/>
  <c r="R133" i="24"/>
  <c r="U138" i="24"/>
  <c r="O134" i="24"/>
  <c r="F121" i="24" s="1"/>
  <c r="G121" i="24" s="1"/>
  <c r="E134" i="24"/>
  <c r="W5" i="24"/>
  <c r="U135" i="24"/>
  <c r="W8" i="24"/>
  <c r="T136" i="24"/>
  <c r="H135" i="24"/>
  <c r="E132" i="24"/>
  <c r="O132" i="24"/>
  <c r="F119" i="24" s="1"/>
  <c r="I134" i="24"/>
  <c r="H136" i="24"/>
  <c r="H137" i="24"/>
  <c r="D135" i="24"/>
  <c r="E135" i="24"/>
  <c r="O135" i="24"/>
  <c r="F122" i="24" s="1"/>
  <c r="D134" i="24"/>
  <c r="L136" i="24"/>
  <c r="L137" i="24"/>
  <c r="D136" i="24"/>
  <c r="D137" i="24"/>
  <c r="D132" i="24"/>
  <c r="H134" i="24"/>
  <c r="E136" i="24"/>
  <c r="O136" i="24"/>
  <c r="F123" i="24" s="1"/>
  <c r="G123" i="24" s="1"/>
  <c r="E137" i="24"/>
  <c r="O137" i="24"/>
  <c r="F124" i="24" s="1"/>
  <c r="L135" i="24"/>
  <c r="D40" i="24"/>
  <c r="E40" i="24"/>
  <c r="O40" i="24"/>
  <c r="H40" i="24"/>
  <c r="L40" i="24"/>
  <c r="J7" i="23"/>
  <c r="J22" i="23"/>
  <c r="J38" i="23"/>
  <c r="C4" i="19"/>
  <c r="H6" i="20"/>
  <c r="AF10" i="1"/>
  <c r="AI7" i="1"/>
  <c r="S9" i="6"/>
  <c r="AY9" i="6"/>
  <c r="O13" i="6"/>
  <c r="AU13" i="6"/>
  <c r="Q10" i="7"/>
  <c r="S7" i="7"/>
  <c r="AW10" i="7"/>
  <c r="AY7" i="7"/>
  <c r="X10" i="1"/>
  <c r="AA7" i="1"/>
  <c r="C4" i="16"/>
  <c r="P10" i="1"/>
  <c r="S7" i="1"/>
  <c r="Y10" i="1"/>
  <c r="Y14" i="6"/>
  <c r="AH14" i="6"/>
  <c r="AR14" i="6"/>
  <c r="Q5" i="16" s="1"/>
  <c r="AQ9" i="6"/>
  <c r="AO10" i="7"/>
  <c r="AQ7" i="7"/>
  <c r="AM9" i="7"/>
  <c r="AJ10" i="7"/>
  <c r="F7" i="20"/>
  <c r="AQ8" i="1"/>
  <c r="Q14" i="6"/>
  <c r="H70" i="20"/>
  <c r="J70" i="20" s="1"/>
  <c r="H18" i="20"/>
  <c r="J18" i="20" s="1"/>
  <c r="AD14" i="6"/>
  <c r="AP10" i="7"/>
  <c r="AE9" i="7"/>
  <c r="AB10" i="7"/>
  <c r="AI9" i="6"/>
  <c r="AE13" i="6"/>
  <c r="AG10" i="7"/>
  <c r="AI7" i="7"/>
  <c r="AR10" i="7"/>
  <c r="Q6" i="16" s="1"/>
  <c r="W9" i="7"/>
  <c r="T10" i="7"/>
  <c r="BD10" i="1"/>
  <c r="BG7" i="1"/>
  <c r="T14" i="6"/>
  <c r="C14" i="6"/>
  <c r="AL14" i="6"/>
  <c r="AH10" i="7"/>
  <c r="O9" i="7"/>
  <c r="L10" i="7"/>
  <c r="AV10" i="1"/>
  <c r="AY7" i="1"/>
  <c r="BE10" i="1"/>
  <c r="L14" i="6"/>
  <c r="BE14" i="6"/>
  <c r="Y10" i="7"/>
  <c r="AA7" i="7"/>
  <c r="BE10" i="7"/>
  <c r="BG7" i="7"/>
  <c r="AN10" i="1"/>
  <c r="AQ7" i="1"/>
  <c r="AW10" i="1"/>
  <c r="AA8" i="1"/>
  <c r="BG8" i="1"/>
  <c r="AY9" i="1"/>
  <c r="AW14" i="6"/>
  <c r="BF14" i="6"/>
  <c r="AI10" i="6"/>
  <c r="Z10" i="7"/>
  <c r="D45" i="20"/>
  <c r="G10" i="9"/>
  <c r="H26" i="20"/>
  <c r="J26" i="20" s="1"/>
  <c r="H78" i="20"/>
  <c r="J78" i="20" s="1"/>
  <c r="C13" i="8"/>
  <c r="AK13" i="8"/>
  <c r="H69" i="20"/>
  <c r="J69" i="20" s="1"/>
  <c r="H17" i="20"/>
  <c r="J17" i="20" s="1"/>
  <c r="H23" i="20"/>
  <c r="J23" i="20" s="1"/>
  <c r="H75" i="20"/>
  <c r="J75" i="20" s="1"/>
  <c r="N13" i="8"/>
  <c r="H33" i="20"/>
  <c r="J33" i="20" s="1"/>
  <c r="C8" i="19"/>
  <c r="R15" i="9"/>
  <c r="AA7" i="9"/>
  <c r="H98" i="20"/>
  <c r="J98" i="20" s="1"/>
  <c r="H46" i="20"/>
  <c r="J46" i="20" s="1"/>
  <c r="H16" i="20"/>
  <c r="J16" i="20" s="1"/>
  <c r="H68" i="20"/>
  <c r="J68" i="20" s="1"/>
  <c r="P14" i="6"/>
  <c r="X14" i="6"/>
  <c r="AF14" i="6"/>
  <c r="AN14" i="6"/>
  <c r="AV14" i="6"/>
  <c r="BD14" i="6"/>
  <c r="H74" i="20"/>
  <c r="J74" i="20" s="1"/>
  <c r="H22" i="20"/>
  <c r="J22" i="20" s="1"/>
  <c r="E26" i="20"/>
  <c r="O7" i="8"/>
  <c r="W7" i="8"/>
  <c r="AE7" i="8"/>
  <c r="AU7" i="8"/>
  <c r="BC7" i="8"/>
  <c r="AQ9" i="8"/>
  <c r="AA10" i="8"/>
  <c r="BG10" i="8"/>
  <c r="AA7" i="15"/>
  <c r="AG13" i="15"/>
  <c r="AP13" i="15"/>
  <c r="AZ13" i="15"/>
  <c r="O11" i="15"/>
  <c r="S7" i="9"/>
  <c r="AE9" i="9"/>
  <c r="H61" i="20"/>
  <c r="J61" i="20" s="1"/>
  <c r="H9" i="20"/>
  <c r="J9" i="20" s="1"/>
  <c r="H67" i="20"/>
  <c r="J67" i="20" s="1"/>
  <c r="H15" i="20"/>
  <c r="J15" i="20" s="1"/>
  <c r="H21" i="20"/>
  <c r="J21" i="20" s="1"/>
  <c r="H73" i="20"/>
  <c r="J73" i="20" s="1"/>
  <c r="E10" i="7"/>
  <c r="F26" i="20"/>
  <c r="P13" i="8"/>
  <c r="X13" i="8"/>
  <c r="AF13" i="8"/>
  <c r="AV13" i="8"/>
  <c r="BD13" i="8"/>
  <c r="AH13" i="15"/>
  <c r="AR13" i="15"/>
  <c r="Q8" i="16" s="1"/>
  <c r="AL15" i="9"/>
  <c r="H60" i="20"/>
  <c r="J60" i="20" s="1"/>
  <c r="H8" i="20"/>
  <c r="J8" i="20" s="1"/>
  <c r="H66" i="20"/>
  <c r="J66" i="20" s="1"/>
  <c r="H14" i="20"/>
  <c r="J14" i="20" s="1"/>
  <c r="AL10" i="7"/>
  <c r="AT10" i="7"/>
  <c r="S6" i="16" s="1"/>
  <c r="BB10" i="7"/>
  <c r="Q13" i="8"/>
  <c r="Y13" i="8"/>
  <c r="AG13" i="8"/>
  <c r="AO13" i="8"/>
  <c r="BE13" i="8"/>
  <c r="BG8" i="8"/>
  <c r="S10" i="8"/>
  <c r="AY10" i="8"/>
  <c r="Q13" i="15"/>
  <c r="Z13" i="15"/>
  <c r="AJ13" i="15"/>
  <c r="F35" i="20"/>
  <c r="H90" i="20"/>
  <c r="J90" i="20" s="1"/>
  <c r="H38" i="20"/>
  <c r="J38" i="20" s="1"/>
  <c r="AD15" i="9"/>
  <c r="BF15" i="9"/>
  <c r="O9" i="9"/>
  <c r="H59" i="20"/>
  <c r="J59" i="20" s="1"/>
  <c r="H7" i="20"/>
  <c r="J7" i="20" s="1"/>
  <c r="H65" i="20"/>
  <c r="J65" i="20" s="1"/>
  <c r="H13" i="20"/>
  <c r="J13" i="20" s="1"/>
  <c r="AU7" i="7"/>
  <c r="BC7" i="7"/>
  <c r="R13" i="8"/>
  <c r="Z13" i="8"/>
  <c r="AH13" i="8"/>
  <c r="AP13" i="8"/>
  <c r="AX13" i="8"/>
  <c r="BF13" i="8"/>
  <c r="AY8" i="8"/>
  <c r="R13" i="15"/>
  <c r="AI8" i="15"/>
  <c r="AE12" i="15"/>
  <c r="M15" i="9"/>
  <c r="AX15" i="9"/>
  <c r="BG7" i="9"/>
  <c r="AM10" i="9"/>
  <c r="H64" i="20"/>
  <c r="J64" i="20" s="1"/>
  <c r="H12" i="20"/>
  <c r="J12" i="20" s="1"/>
  <c r="G8" i="7"/>
  <c r="S7" i="8"/>
  <c r="AA7" i="8"/>
  <c r="AI7" i="8"/>
  <c r="AQ7" i="8"/>
  <c r="AY7" i="8"/>
  <c r="BG7" i="8"/>
  <c r="AQ8" i="8"/>
  <c r="AQ10" i="8"/>
  <c r="I13" i="15"/>
  <c r="T13" i="15"/>
  <c r="BG7" i="15"/>
  <c r="AU11" i="15"/>
  <c r="AP15" i="9"/>
  <c r="AY7" i="9"/>
  <c r="H96" i="20"/>
  <c r="J96" i="20" s="1"/>
  <c r="H44" i="20"/>
  <c r="J44" i="20" s="1"/>
  <c r="KN43" i="22"/>
  <c r="J30" i="13"/>
  <c r="H91" i="20"/>
  <c r="J91" i="20" s="1"/>
  <c r="H39" i="20"/>
  <c r="J39" i="20" s="1"/>
  <c r="H45" i="20"/>
  <c r="J45" i="20" s="1"/>
  <c r="H97" i="20"/>
  <c r="J97" i="20" s="1"/>
  <c r="KN33" i="22"/>
  <c r="KN36" i="22"/>
  <c r="F36" i="13"/>
  <c r="D4" i="11" s="1"/>
  <c r="J10" i="13"/>
  <c r="KN29" i="22"/>
  <c r="J28" i="13"/>
  <c r="Q21" i="20"/>
  <c r="P20" i="20"/>
  <c r="Q20" i="20" s="1"/>
  <c r="Q37" i="20"/>
  <c r="P33" i="20"/>
  <c r="Q33" i="20" s="1"/>
  <c r="KN39" i="22"/>
  <c r="J27" i="13"/>
  <c r="L8" i="20"/>
  <c r="N8" i="20" s="1"/>
  <c r="L14" i="20"/>
  <c r="N14" i="20" s="1"/>
  <c r="H83" i="20"/>
  <c r="J83" i="20" s="1"/>
  <c r="H31" i="20"/>
  <c r="J31" i="20" s="1"/>
  <c r="H37" i="20"/>
  <c r="J37" i="20" s="1"/>
  <c r="H89" i="20"/>
  <c r="J89" i="20" s="1"/>
  <c r="P13" i="15"/>
  <c r="X13" i="15"/>
  <c r="AF13" i="15"/>
  <c r="AN13" i="15"/>
  <c r="BD13" i="15"/>
  <c r="L15" i="9"/>
  <c r="T15" i="9"/>
  <c r="AB15" i="9"/>
  <c r="AJ15" i="9"/>
  <c r="AR15" i="9"/>
  <c r="Q9" i="16" s="1"/>
  <c r="AZ15" i="9"/>
  <c r="KM50" i="22"/>
  <c r="J7" i="13"/>
  <c r="KN25" i="22"/>
  <c r="H36" i="13"/>
  <c r="F4" i="11" s="1"/>
  <c r="L27" i="20"/>
  <c r="N27" i="20" s="1"/>
  <c r="H82" i="20"/>
  <c r="J82" i="20" s="1"/>
  <c r="H30" i="20"/>
  <c r="J30" i="20" s="1"/>
  <c r="H88" i="20"/>
  <c r="J88" i="20" s="1"/>
  <c r="H36" i="20"/>
  <c r="J36" i="20" s="1"/>
  <c r="H94" i="20"/>
  <c r="J94" i="20" s="1"/>
  <c r="H42" i="20"/>
  <c r="J42" i="20" s="1"/>
  <c r="G11" i="9"/>
  <c r="E36" i="13"/>
  <c r="J5" i="13"/>
  <c r="L18" i="20"/>
  <c r="N18" i="20" s="1"/>
  <c r="Q30" i="20"/>
  <c r="P25" i="20"/>
  <c r="Q25" i="20" s="1"/>
  <c r="H81" i="20"/>
  <c r="J81" i="20" s="1"/>
  <c r="H29" i="20"/>
  <c r="J29" i="20" s="1"/>
  <c r="H35" i="20"/>
  <c r="J35" i="20" s="1"/>
  <c r="H87" i="20"/>
  <c r="J87" i="20" s="1"/>
  <c r="D7" i="9"/>
  <c r="H101" i="20"/>
  <c r="J101" i="20" s="1"/>
  <c r="H49" i="20"/>
  <c r="J49" i="20" s="1"/>
  <c r="C15" i="9"/>
  <c r="KN10" i="22"/>
  <c r="L9" i="20"/>
  <c r="N9" i="20" s="1"/>
  <c r="L12" i="20"/>
  <c r="L15" i="20"/>
  <c r="N15" i="20" s="1"/>
  <c r="H80" i="20"/>
  <c r="J80" i="20" s="1"/>
  <c r="H28" i="20"/>
  <c r="J28" i="20" s="1"/>
  <c r="H86" i="20"/>
  <c r="J86" i="20" s="1"/>
  <c r="H34" i="20"/>
  <c r="J34" i="20" s="1"/>
  <c r="F8" i="9"/>
  <c r="H100" i="20"/>
  <c r="J100" i="20" s="1"/>
  <c r="H48" i="20"/>
  <c r="J48" i="20" s="1"/>
  <c r="KN45" i="22"/>
  <c r="J19" i="13"/>
  <c r="J35" i="13"/>
  <c r="H27" i="20"/>
  <c r="J27" i="20" s="1"/>
  <c r="H79" i="20"/>
  <c r="J79" i="20" s="1"/>
  <c r="H99" i="20"/>
  <c r="J99" i="20" s="1"/>
  <c r="H47" i="20"/>
  <c r="J47" i="20" s="1"/>
  <c r="KN47" i="22"/>
  <c r="J16" i="13"/>
  <c r="J33" i="13"/>
  <c r="L31" i="20"/>
  <c r="N31" i="20" s="1"/>
  <c r="L49" i="20"/>
  <c r="N49" i="20" s="1"/>
  <c r="L73" i="20"/>
  <c r="L80" i="20"/>
  <c r="N80" i="20" s="1"/>
  <c r="P6" i="20"/>
  <c r="L23" i="20"/>
  <c r="N23" i="20" s="1"/>
  <c r="L26" i="20"/>
  <c r="L35" i="20"/>
  <c r="N35" i="20" s="1"/>
  <c r="L79" i="20"/>
  <c r="N79" i="20" s="1"/>
  <c r="L94" i="20"/>
  <c r="L22" i="20"/>
  <c r="N22" i="20" s="1"/>
  <c r="Q29" i="20"/>
  <c r="Q34" i="20"/>
  <c r="L37" i="20"/>
  <c r="N37" i="20" s="1"/>
  <c r="L39" i="20"/>
  <c r="N39" i="20" s="1"/>
  <c r="L42" i="20"/>
  <c r="Q28" i="20"/>
  <c r="L30" i="20"/>
  <c r="N30" i="20" s="1"/>
  <c r="Q36" i="20"/>
  <c r="L34" i="20"/>
  <c r="Q27" i="20"/>
  <c r="L29" i="20"/>
  <c r="N29" i="20" s="1"/>
  <c r="Q31" i="20"/>
  <c r="L36" i="20"/>
  <c r="N36" i="20" s="1"/>
  <c r="L46" i="20"/>
  <c r="N46" i="20" s="1"/>
  <c r="C72" i="20"/>
  <c r="I73" i="20"/>
  <c r="J95" i="20"/>
  <c r="I95" i="20"/>
  <c r="J3" i="13"/>
  <c r="Q23" i="20"/>
  <c r="Q26" i="20"/>
  <c r="L28" i="20"/>
  <c r="N28" i="20" s="1"/>
  <c r="Q35" i="20"/>
  <c r="L38" i="20"/>
  <c r="N38" i="20" s="1"/>
  <c r="L47" i="20"/>
  <c r="N47" i="20" s="1"/>
  <c r="L59" i="20"/>
  <c r="L69" i="20"/>
  <c r="N69" i="20" s="1"/>
  <c r="D29" i="31" l="1"/>
  <c r="D20" i="31"/>
  <c r="D6" i="31"/>
  <c r="D36" i="31"/>
  <c r="I37" i="28"/>
  <c r="K37" i="28"/>
  <c r="M42" i="28"/>
  <c r="I42" i="28"/>
  <c r="M40" i="28"/>
  <c r="I40" i="28"/>
  <c r="M25" i="28"/>
  <c r="I25" i="28"/>
  <c r="E38" i="20"/>
  <c r="F117" i="23"/>
  <c r="G117" i="23" s="1"/>
  <c r="E32" i="28"/>
  <c r="K32" i="28" s="1"/>
  <c r="F136" i="23"/>
  <c r="E17" i="28"/>
  <c r="K17" i="28" s="1"/>
  <c r="F122" i="23"/>
  <c r="E16" i="28"/>
  <c r="K16" i="28" s="1"/>
  <c r="F115" i="23"/>
  <c r="G115" i="23" s="1"/>
  <c r="E30" i="28"/>
  <c r="F134" i="23"/>
  <c r="E14" i="28"/>
  <c r="K14" i="28" s="1"/>
  <c r="F112" i="23"/>
  <c r="E24" i="28"/>
  <c r="F118" i="23"/>
  <c r="E33" i="28"/>
  <c r="K33" i="28" s="1"/>
  <c r="F138" i="23"/>
  <c r="G138" i="23" s="1"/>
  <c r="E22" i="28"/>
  <c r="K22" i="28" s="1"/>
  <c r="F127" i="23"/>
  <c r="G127" i="23" s="1"/>
  <c r="E11" i="28"/>
  <c r="K11" i="28" s="1"/>
  <c r="F137" i="23"/>
  <c r="E21" i="28"/>
  <c r="F126" i="23"/>
  <c r="E10" i="28"/>
  <c r="K10" i="28" s="1"/>
  <c r="G7" i="27"/>
  <c r="E7" i="28"/>
  <c r="F128" i="23"/>
  <c r="G128" i="23" s="1"/>
  <c r="E12" i="28"/>
  <c r="K12" i="28" s="1"/>
  <c r="F129" i="23"/>
  <c r="E13" i="28"/>
  <c r="K13" i="28" s="1"/>
  <c r="G49" i="28"/>
  <c r="F116" i="23"/>
  <c r="G116" i="23" s="1"/>
  <c r="E31" i="28"/>
  <c r="K31" i="28" s="1"/>
  <c r="F114" i="23"/>
  <c r="G114" i="23" s="1"/>
  <c r="E26" i="28"/>
  <c r="K26" i="28" s="1"/>
  <c r="F139" i="23"/>
  <c r="E27" i="28"/>
  <c r="K27" i="28" s="1"/>
  <c r="F130" i="23"/>
  <c r="E18" i="28"/>
  <c r="K18" i="28" s="1"/>
  <c r="F121" i="23"/>
  <c r="E8" i="28"/>
  <c r="K8" i="28" s="1"/>
  <c r="F109" i="23"/>
  <c r="E23" i="28"/>
  <c r="K23" i="28" s="1"/>
  <c r="F123" i="23"/>
  <c r="G123" i="23" s="1"/>
  <c r="E41" i="28"/>
  <c r="K41" i="28" s="1"/>
  <c r="M37" i="28"/>
  <c r="F148" i="23"/>
  <c r="E46" i="28"/>
  <c r="G47" i="27"/>
  <c r="I47" i="27" s="1"/>
  <c r="E43" i="28"/>
  <c r="K43" i="28" s="1"/>
  <c r="F144" i="23"/>
  <c r="G144" i="23" s="1"/>
  <c r="E39" i="28"/>
  <c r="K39" i="28" s="1"/>
  <c r="F143" i="23"/>
  <c r="G143" i="23" s="1"/>
  <c r="E38" i="28"/>
  <c r="K38" i="28" s="1"/>
  <c r="F149" i="23"/>
  <c r="E47" i="28"/>
  <c r="K47" i="28" s="1"/>
  <c r="AB134" i="24"/>
  <c r="L121" i="24" s="1"/>
  <c r="M121" i="24" s="1"/>
  <c r="D22" i="27"/>
  <c r="D45" i="27"/>
  <c r="L33" i="23"/>
  <c r="N33" i="23" s="1"/>
  <c r="L41" i="23"/>
  <c r="N42" i="23"/>
  <c r="L11" i="23"/>
  <c r="H20" i="20"/>
  <c r="J20" i="20" s="1"/>
  <c r="G15" i="27"/>
  <c r="I15" i="27" s="1"/>
  <c r="KX28" i="22"/>
  <c r="KZ28" i="22" s="1"/>
  <c r="E30" i="31" s="1"/>
  <c r="H30" i="31" s="1"/>
  <c r="IP32" i="22"/>
  <c r="G22" i="27"/>
  <c r="I22" i="27" s="1"/>
  <c r="G29" i="27"/>
  <c r="I29" i="27" s="1"/>
  <c r="KX31" i="22"/>
  <c r="KZ31" i="22" s="1"/>
  <c r="E33" i="31" s="1"/>
  <c r="H33" i="31" s="1"/>
  <c r="II52" i="22"/>
  <c r="KX15" i="22"/>
  <c r="KZ15" i="22" s="1"/>
  <c r="E13" i="31" s="1"/>
  <c r="H13" i="31" s="1"/>
  <c r="KX44" i="22"/>
  <c r="KZ44" i="22" s="1"/>
  <c r="E41" i="31" s="1"/>
  <c r="H41" i="31" s="1"/>
  <c r="KX12" i="22"/>
  <c r="G30" i="27"/>
  <c r="I30" i="27" s="1"/>
  <c r="KX18" i="22"/>
  <c r="KZ18" i="22" s="1"/>
  <c r="E16" i="31" s="1"/>
  <c r="H16" i="31" s="1"/>
  <c r="KX21" i="22"/>
  <c r="KZ21" i="22" s="1"/>
  <c r="E21" i="31" s="1"/>
  <c r="H21" i="31" s="1"/>
  <c r="KX20" i="22"/>
  <c r="KZ20" i="22" s="1"/>
  <c r="E18" i="31" s="1"/>
  <c r="H18" i="31" s="1"/>
  <c r="G26" i="27"/>
  <c r="I26" i="27" s="1"/>
  <c r="BC8" i="7"/>
  <c r="BC10" i="7" s="1"/>
  <c r="F113" i="23"/>
  <c r="G113" i="23" s="1"/>
  <c r="G13" i="27"/>
  <c r="I13" i="27" s="1"/>
  <c r="KX10" i="22"/>
  <c r="KZ10" i="22" s="1"/>
  <c r="E8" i="31" s="1"/>
  <c r="H8" i="31" s="1"/>
  <c r="ID50" i="22"/>
  <c r="G48" i="27"/>
  <c r="I48" i="27" s="1"/>
  <c r="G38" i="27"/>
  <c r="I38" i="27" s="1"/>
  <c r="KX32" i="22"/>
  <c r="KZ32" i="22" s="1"/>
  <c r="E34" i="31" s="1"/>
  <c r="H34" i="31" s="1"/>
  <c r="KX46" i="22"/>
  <c r="II50" i="22"/>
  <c r="KV50" i="22"/>
  <c r="IP17" i="22"/>
  <c r="KX45" i="22"/>
  <c r="KZ45" i="22" s="1"/>
  <c r="E42" i="31" s="1"/>
  <c r="H42" i="31" s="1"/>
  <c r="KX48" i="22"/>
  <c r="KZ48" i="22" s="1"/>
  <c r="E46" i="31" s="1"/>
  <c r="H46" i="31" s="1"/>
  <c r="G12" i="27"/>
  <c r="I12" i="27" s="1"/>
  <c r="IP11" i="22"/>
  <c r="KX43" i="22"/>
  <c r="KZ43" i="22" s="1"/>
  <c r="E40" i="31" s="1"/>
  <c r="H40" i="31" s="1"/>
  <c r="R27" i="20"/>
  <c r="S27" i="20" s="1"/>
  <c r="G45" i="27"/>
  <c r="I45" i="27" s="1"/>
  <c r="F145" i="23"/>
  <c r="G145" i="23" s="1"/>
  <c r="G49" i="27"/>
  <c r="I49" i="27" s="1"/>
  <c r="KT50" i="22"/>
  <c r="KX49" i="22"/>
  <c r="G43" i="27"/>
  <c r="I43" i="27" s="1"/>
  <c r="BC11" i="8"/>
  <c r="BC13" i="8" s="1"/>
  <c r="G42" i="27"/>
  <c r="I42" i="27" s="1"/>
  <c r="F142" i="23"/>
  <c r="G142" i="23" s="1"/>
  <c r="AV13" i="15"/>
  <c r="KU50" i="22"/>
  <c r="D136" i="23"/>
  <c r="G36" i="27"/>
  <c r="I36" i="27" s="1"/>
  <c r="I10" i="1"/>
  <c r="K4" i="19" s="1"/>
  <c r="H26" i="19" s="1"/>
  <c r="J11" i="9"/>
  <c r="D46" i="27"/>
  <c r="G9" i="8"/>
  <c r="J13" i="9"/>
  <c r="D48" i="27"/>
  <c r="G126" i="23"/>
  <c r="C120" i="23"/>
  <c r="D120" i="23" s="1"/>
  <c r="G136" i="23"/>
  <c r="R29" i="20"/>
  <c r="S29" i="20" s="1"/>
  <c r="G129" i="23"/>
  <c r="R36" i="20"/>
  <c r="S36" i="20" s="1"/>
  <c r="R43" i="20"/>
  <c r="S43" i="20" s="1"/>
  <c r="R38" i="20"/>
  <c r="S38" i="20" s="1"/>
  <c r="C133" i="23"/>
  <c r="D133" i="23" s="1"/>
  <c r="E41" i="27"/>
  <c r="C125" i="23"/>
  <c r="D125" i="23" s="1"/>
  <c r="R45" i="20"/>
  <c r="S45" i="20" s="1"/>
  <c r="R15" i="20"/>
  <c r="S15" i="20" s="1"/>
  <c r="R30" i="20"/>
  <c r="S30" i="20" s="1"/>
  <c r="E6" i="27"/>
  <c r="G130" i="23"/>
  <c r="R49" i="20"/>
  <c r="S49" i="20" s="1"/>
  <c r="R21" i="20"/>
  <c r="S21" i="20" s="1"/>
  <c r="G21" i="27"/>
  <c r="R17" i="20"/>
  <c r="S17" i="20" s="1"/>
  <c r="G17" i="27"/>
  <c r="I17" i="27" s="1"/>
  <c r="E33" i="27"/>
  <c r="G23" i="27"/>
  <c r="I23" i="27" s="1"/>
  <c r="R16" i="20"/>
  <c r="S16" i="20" s="1"/>
  <c r="G16" i="27"/>
  <c r="I16" i="27" s="1"/>
  <c r="C106" i="23"/>
  <c r="D106" i="23" s="1"/>
  <c r="G14" i="27"/>
  <c r="I14" i="27" s="1"/>
  <c r="R48" i="20"/>
  <c r="S48" i="20" s="1"/>
  <c r="G112" i="23"/>
  <c r="F107" i="23"/>
  <c r="G139" i="23"/>
  <c r="G39" i="27"/>
  <c r="I39" i="27" s="1"/>
  <c r="R28" i="20"/>
  <c r="S28" i="20" s="1"/>
  <c r="G28" i="27"/>
  <c r="I28" i="27" s="1"/>
  <c r="E25" i="27"/>
  <c r="R14" i="20"/>
  <c r="S14" i="20" s="1"/>
  <c r="R34" i="20"/>
  <c r="S34" i="20" s="1"/>
  <c r="G34" i="27"/>
  <c r="R44" i="20"/>
  <c r="S44" i="20" s="1"/>
  <c r="G44" i="27"/>
  <c r="I44" i="27" s="1"/>
  <c r="R9" i="20"/>
  <c r="S9" i="20" s="1"/>
  <c r="G9" i="27"/>
  <c r="I9" i="27" s="1"/>
  <c r="G27" i="27"/>
  <c r="I27" i="27" s="1"/>
  <c r="R18" i="20"/>
  <c r="S18" i="20" s="1"/>
  <c r="G18" i="27"/>
  <c r="I18" i="27" s="1"/>
  <c r="G137" i="23"/>
  <c r="G37" i="27"/>
  <c r="I37" i="27" s="1"/>
  <c r="E11" i="27"/>
  <c r="E20" i="27"/>
  <c r="R12" i="20"/>
  <c r="S12" i="20" s="1"/>
  <c r="G122" i="23"/>
  <c r="R46" i="20"/>
  <c r="S46" i="20" s="1"/>
  <c r="G46" i="27"/>
  <c r="I46" i="27" s="1"/>
  <c r="C111" i="23"/>
  <c r="D111" i="23" s="1"/>
  <c r="KZ36" i="22"/>
  <c r="R22" i="20"/>
  <c r="S22" i="20" s="1"/>
  <c r="C141" i="23"/>
  <c r="D141" i="23" s="1"/>
  <c r="D115" i="23"/>
  <c r="E28" i="20"/>
  <c r="F10" i="1"/>
  <c r="F6" i="20" s="1"/>
  <c r="F10" i="7"/>
  <c r="F6" i="16" s="1"/>
  <c r="G8" i="15"/>
  <c r="E7" i="23"/>
  <c r="D13" i="20"/>
  <c r="F23" i="20"/>
  <c r="D15" i="20"/>
  <c r="G15" i="20" s="1"/>
  <c r="I15" i="20" s="1"/>
  <c r="F34" i="20"/>
  <c r="D12" i="23"/>
  <c r="F35" i="23"/>
  <c r="D26" i="23"/>
  <c r="G26" i="23" s="1"/>
  <c r="I26" i="23" s="1"/>
  <c r="E76" i="23" s="1"/>
  <c r="E18" i="20"/>
  <c r="F14" i="20"/>
  <c r="D14" i="23"/>
  <c r="E12" i="23"/>
  <c r="D7" i="20"/>
  <c r="D17" i="20"/>
  <c r="D7" i="23"/>
  <c r="E16" i="20"/>
  <c r="F12" i="20"/>
  <c r="D39" i="23"/>
  <c r="G10" i="8"/>
  <c r="E27" i="20"/>
  <c r="G14" i="9"/>
  <c r="G12" i="9"/>
  <c r="E13" i="15"/>
  <c r="E33" i="20" s="1"/>
  <c r="G12" i="8"/>
  <c r="D28" i="20"/>
  <c r="E13" i="23"/>
  <c r="E34" i="23"/>
  <c r="E14" i="20"/>
  <c r="F43" i="20"/>
  <c r="G9" i="9"/>
  <c r="G10" i="15"/>
  <c r="D22" i="20"/>
  <c r="G22" i="20" s="1"/>
  <c r="I22" i="20" s="1"/>
  <c r="F46" i="20"/>
  <c r="G46" i="20" s="1"/>
  <c r="I46" i="20" s="1"/>
  <c r="F8" i="20"/>
  <c r="F42" i="20"/>
  <c r="T133" i="24"/>
  <c r="V138" i="24"/>
  <c r="W138" i="24" s="1"/>
  <c r="W28" i="24"/>
  <c r="T138" i="24"/>
  <c r="W35" i="24"/>
  <c r="J10" i="9"/>
  <c r="I15" i="9"/>
  <c r="K9" i="16" s="1"/>
  <c r="W7" i="24"/>
  <c r="D123" i="23"/>
  <c r="R39" i="20"/>
  <c r="S39" i="20" s="1"/>
  <c r="G118" i="23"/>
  <c r="D107" i="23"/>
  <c r="KZ25" i="22"/>
  <c r="E25" i="31" s="1"/>
  <c r="H25" i="31" s="1"/>
  <c r="R23" i="20"/>
  <c r="S23" i="20" s="1"/>
  <c r="R47" i="20"/>
  <c r="S47" i="20" s="1"/>
  <c r="G149" i="23"/>
  <c r="G148" i="23"/>
  <c r="R26" i="20"/>
  <c r="S26" i="20" s="1"/>
  <c r="G109" i="23"/>
  <c r="KZ14" i="22"/>
  <c r="E12" i="31" s="1"/>
  <c r="H12" i="31" s="1"/>
  <c r="R42" i="20"/>
  <c r="S42" i="20" s="1"/>
  <c r="R13" i="20"/>
  <c r="S13" i="20" s="1"/>
  <c r="R7" i="20"/>
  <c r="D10" i="1"/>
  <c r="D4" i="19" s="1"/>
  <c r="G7" i="15"/>
  <c r="G12" i="15"/>
  <c r="G7" i="7"/>
  <c r="F42" i="23"/>
  <c r="E34" i="20"/>
  <c r="F13" i="8"/>
  <c r="E13" i="8"/>
  <c r="G9" i="7"/>
  <c r="F14" i="23"/>
  <c r="E27" i="23"/>
  <c r="E43" i="23"/>
  <c r="E43" i="20"/>
  <c r="G8" i="8"/>
  <c r="KZ47" i="22"/>
  <c r="D43" i="23"/>
  <c r="D43" i="20"/>
  <c r="E14" i="23"/>
  <c r="AB137" i="24"/>
  <c r="L124" i="24" s="1"/>
  <c r="M124" i="24" s="1"/>
  <c r="V133" i="24"/>
  <c r="J120" i="24" s="1"/>
  <c r="W33" i="24"/>
  <c r="AB136" i="24"/>
  <c r="L123" i="24" s="1"/>
  <c r="M123" i="24" s="1"/>
  <c r="U123" i="24" s="1"/>
  <c r="V137" i="24"/>
  <c r="W137" i="24" s="1"/>
  <c r="W10" i="24"/>
  <c r="AV75" i="18"/>
  <c r="R137" i="24"/>
  <c r="S137" i="24" s="1"/>
  <c r="Q135" i="24"/>
  <c r="Q139" i="24" s="1"/>
  <c r="R138" i="24"/>
  <c r="S138" i="24" s="1"/>
  <c r="R134" i="24"/>
  <c r="S134" i="24" s="1"/>
  <c r="Q40" i="24"/>
  <c r="U136" i="24"/>
  <c r="I123" i="24" s="1"/>
  <c r="U40" i="24"/>
  <c r="BE75" i="18"/>
  <c r="BE77" i="18" s="1"/>
  <c r="S6" i="24"/>
  <c r="W15" i="24"/>
  <c r="W12" i="24"/>
  <c r="R135" i="24"/>
  <c r="V134" i="24"/>
  <c r="S33" i="24"/>
  <c r="T135" i="24"/>
  <c r="V40" i="24"/>
  <c r="S11" i="24"/>
  <c r="V135" i="24"/>
  <c r="W9" i="24"/>
  <c r="AB135" i="24"/>
  <c r="L122" i="24" s="1"/>
  <c r="M122" i="24" s="1"/>
  <c r="J8" i="7"/>
  <c r="I13" i="8"/>
  <c r="K7" i="16" s="1"/>
  <c r="R40" i="24"/>
  <c r="W18" i="24"/>
  <c r="W13" i="24"/>
  <c r="K6" i="19"/>
  <c r="H28" i="19" s="1"/>
  <c r="R136" i="24"/>
  <c r="S136" i="24" s="1"/>
  <c r="K4" i="16"/>
  <c r="G45" i="23"/>
  <c r="I45" i="23" s="1"/>
  <c r="E95" i="23" s="1"/>
  <c r="AB40" i="24"/>
  <c r="I93" i="20"/>
  <c r="G103" i="20"/>
  <c r="L85" i="20"/>
  <c r="N85" i="20" s="1"/>
  <c r="G8" i="1"/>
  <c r="G9" i="6"/>
  <c r="G7" i="1"/>
  <c r="KZ29" i="22"/>
  <c r="E31" i="31" s="1"/>
  <c r="H31" i="31" s="1"/>
  <c r="E7" i="20"/>
  <c r="D14" i="20"/>
  <c r="E10" i="1"/>
  <c r="F14" i="6"/>
  <c r="E18" i="23"/>
  <c r="E16" i="23"/>
  <c r="F12" i="23"/>
  <c r="G8" i="6"/>
  <c r="KZ38" i="22"/>
  <c r="E14" i="6"/>
  <c r="E5" i="16" s="1"/>
  <c r="E12" i="20"/>
  <c r="G13" i="6"/>
  <c r="D26" i="20"/>
  <c r="G26" i="20" s="1"/>
  <c r="I26" i="20" s="1"/>
  <c r="G7" i="8"/>
  <c r="G48" i="23"/>
  <c r="I48" i="23" s="1"/>
  <c r="E98" i="23" s="1"/>
  <c r="G9" i="1"/>
  <c r="E15" i="9"/>
  <c r="F13" i="15"/>
  <c r="D13" i="8"/>
  <c r="D28" i="23"/>
  <c r="KZ16" i="22"/>
  <c r="E14" i="31" s="1"/>
  <c r="H14" i="31" s="1"/>
  <c r="KZ22" i="22"/>
  <c r="E22" i="31" s="1"/>
  <c r="H22" i="31" s="1"/>
  <c r="G45" i="20"/>
  <c r="I45" i="20" s="1"/>
  <c r="G48" i="20"/>
  <c r="I48" i="20" s="1"/>
  <c r="D31" i="20"/>
  <c r="D31" i="23"/>
  <c r="E13" i="20"/>
  <c r="D13" i="15"/>
  <c r="KZ39" i="22"/>
  <c r="E37" i="31" s="1"/>
  <c r="H37" i="31" s="1"/>
  <c r="D15" i="23"/>
  <c r="G15" i="23" s="1"/>
  <c r="I15" i="23" s="1"/>
  <c r="E65" i="23" s="1"/>
  <c r="D13" i="23"/>
  <c r="D14" i="6"/>
  <c r="KZ19" i="22"/>
  <c r="E17" i="31" s="1"/>
  <c r="H17" i="31" s="1"/>
  <c r="G10" i="6"/>
  <c r="KZ24" i="22"/>
  <c r="E24" i="31" s="1"/>
  <c r="H24" i="31" s="1"/>
  <c r="E31" i="20"/>
  <c r="E31" i="23"/>
  <c r="D12" i="20"/>
  <c r="D9" i="20"/>
  <c r="D9" i="23"/>
  <c r="KZ26" i="22"/>
  <c r="E26" i="31" s="1"/>
  <c r="H26" i="31" s="1"/>
  <c r="D22" i="23"/>
  <c r="G22" i="23" s="1"/>
  <c r="I22" i="23" s="1"/>
  <c r="E72" i="23" s="1"/>
  <c r="E28" i="23"/>
  <c r="F46" i="23"/>
  <c r="G46" i="23" s="1"/>
  <c r="I46" i="23" s="1"/>
  <c r="D17" i="23"/>
  <c r="D10" i="7"/>
  <c r="KZ42" i="22"/>
  <c r="E39" i="31" s="1"/>
  <c r="H39" i="31" s="1"/>
  <c r="KZ35" i="22"/>
  <c r="F36" i="20"/>
  <c r="F36" i="23"/>
  <c r="E36" i="20"/>
  <c r="E36" i="23"/>
  <c r="KZ33" i="22"/>
  <c r="KZ27" i="22"/>
  <c r="E27" i="31" s="1"/>
  <c r="H27" i="31" s="1"/>
  <c r="D23" i="20"/>
  <c r="D23" i="23"/>
  <c r="G23" i="23" s="1"/>
  <c r="I23" i="23" s="1"/>
  <c r="E9" i="20"/>
  <c r="E9" i="23"/>
  <c r="F13" i="20"/>
  <c r="F13" i="23"/>
  <c r="D16" i="20"/>
  <c r="D16" i="23"/>
  <c r="E35" i="20"/>
  <c r="G35" i="20" s="1"/>
  <c r="I35" i="20" s="1"/>
  <c r="E35" i="23"/>
  <c r="E44" i="20"/>
  <c r="G44" i="20" s="1"/>
  <c r="I44" i="20" s="1"/>
  <c r="E44" i="23"/>
  <c r="G44" i="23" s="1"/>
  <c r="I44" i="23" s="1"/>
  <c r="F16" i="20"/>
  <c r="F16" i="23"/>
  <c r="E39" i="20"/>
  <c r="E39" i="23"/>
  <c r="KZ40" i="22"/>
  <c r="E38" i="31" s="1"/>
  <c r="H38" i="31" s="1"/>
  <c r="KZ13" i="22"/>
  <c r="E11" i="31" s="1"/>
  <c r="H11" i="31" s="1"/>
  <c r="F9" i="20"/>
  <c r="F9" i="23"/>
  <c r="F37" i="20"/>
  <c r="G37" i="20" s="1"/>
  <c r="I37" i="20" s="1"/>
  <c r="F37" i="23"/>
  <c r="G37" i="23" s="1"/>
  <c r="I37" i="23" s="1"/>
  <c r="KZ30" i="22"/>
  <c r="E32" i="31" s="1"/>
  <c r="H32" i="31" s="1"/>
  <c r="D21" i="20"/>
  <c r="D21" i="23"/>
  <c r="D18" i="20"/>
  <c r="D18" i="23"/>
  <c r="F29" i="20"/>
  <c r="G29" i="20" s="1"/>
  <c r="I29" i="20" s="1"/>
  <c r="F29" i="23"/>
  <c r="G29" i="23" s="1"/>
  <c r="I29" i="23" s="1"/>
  <c r="G8" i="9"/>
  <c r="G11" i="15"/>
  <c r="G11" i="6"/>
  <c r="G7" i="6"/>
  <c r="KZ17" i="22"/>
  <c r="E15" i="31" s="1"/>
  <c r="H15" i="31" s="1"/>
  <c r="F21" i="20"/>
  <c r="F21" i="23"/>
  <c r="AA10" i="7"/>
  <c r="AM10" i="1"/>
  <c r="AE10" i="7"/>
  <c r="AU10" i="1"/>
  <c r="T9" i="16"/>
  <c r="AQ10" i="7"/>
  <c r="BG13" i="15"/>
  <c r="W10" i="7"/>
  <c r="S13" i="15"/>
  <c r="AE10" i="1"/>
  <c r="BG14" i="6"/>
  <c r="W13" i="8"/>
  <c r="BG10" i="7"/>
  <c r="T4" i="16"/>
  <c r="AY10" i="7"/>
  <c r="BG15" i="9"/>
  <c r="AI10" i="7"/>
  <c r="AE15" i="9"/>
  <c r="AQ10" i="1"/>
  <c r="S10" i="1"/>
  <c r="AY14" i="6"/>
  <c r="S10" i="7"/>
  <c r="AM13" i="15"/>
  <c r="AE13" i="8"/>
  <c r="AU14" i="6"/>
  <c r="AQ13" i="15"/>
  <c r="W15" i="9"/>
  <c r="AY13" i="15"/>
  <c r="S10" i="16"/>
  <c r="O14" i="6"/>
  <c r="AQ14" i="6"/>
  <c r="AA14" i="6"/>
  <c r="AM14" i="6"/>
  <c r="O13" i="15"/>
  <c r="AI15" i="9"/>
  <c r="S14" i="6"/>
  <c r="BC10" i="1"/>
  <c r="AI10" i="1"/>
  <c r="O15" i="9"/>
  <c r="BC13" i="15"/>
  <c r="AM13" i="8"/>
  <c r="AU10" i="7"/>
  <c r="O10" i="7"/>
  <c r="AI14" i="6"/>
  <c r="AM10" i="7"/>
  <c r="AU13" i="15"/>
  <c r="AA15" i="9"/>
  <c r="W14" i="6"/>
  <c r="W13" i="15"/>
  <c r="L125" i="24"/>
  <c r="M125" i="24" s="1"/>
  <c r="U125" i="24" s="1"/>
  <c r="M136" i="24"/>
  <c r="N136" i="24" s="1"/>
  <c r="I120" i="24"/>
  <c r="M134" i="24"/>
  <c r="D121" i="24" s="1"/>
  <c r="M135" i="24"/>
  <c r="N135" i="24" s="1"/>
  <c r="AA139" i="24"/>
  <c r="M137" i="24"/>
  <c r="N137" i="24" s="1"/>
  <c r="T134" i="24"/>
  <c r="I124" i="24"/>
  <c r="M40" i="24"/>
  <c r="N40" i="24" s="1"/>
  <c r="N132" i="24"/>
  <c r="J132" i="24"/>
  <c r="I136" i="24"/>
  <c r="J136" i="24" s="1"/>
  <c r="U121" i="24"/>
  <c r="R10" i="16"/>
  <c r="E17" i="20"/>
  <c r="E17" i="23"/>
  <c r="G4" i="11"/>
  <c r="BG13" i="8"/>
  <c r="AM15" i="9"/>
  <c r="AI13" i="15"/>
  <c r="KN23" i="22"/>
  <c r="KZ23" i="22" s="1"/>
  <c r="E23" i="31" s="1"/>
  <c r="H23" i="31" s="1"/>
  <c r="C6" i="16"/>
  <c r="H20" i="23"/>
  <c r="J20" i="23" s="1"/>
  <c r="AU15" i="9"/>
  <c r="D34" i="20"/>
  <c r="D34" i="23"/>
  <c r="D27" i="20"/>
  <c r="D27" i="23"/>
  <c r="D36" i="20"/>
  <c r="G9" i="15"/>
  <c r="D36" i="23"/>
  <c r="KN11" i="22"/>
  <c r="KZ11" i="22" s="1"/>
  <c r="E9" i="31" s="1"/>
  <c r="H9" i="31" s="1"/>
  <c r="W10" i="1"/>
  <c r="AY15" i="9"/>
  <c r="S15" i="9"/>
  <c r="T8" i="16"/>
  <c r="AU13" i="8"/>
  <c r="AY10" i="1"/>
  <c r="K5" i="19"/>
  <c r="H27" i="19" s="1"/>
  <c r="K5" i="16"/>
  <c r="D8" i="20"/>
  <c r="D8" i="23"/>
  <c r="F47" i="20"/>
  <c r="G47" i="20" s="1"/>
  <c r="I47" i="20" s="1"/>
  <c r="F47" i="23"/>
  <c r="G47" i="23" s="1"/>
  <c r="I47" i="23" s="1"/>
  <c r="O10" i="1"/>
  <c r="AI13" i="8"/>
  <c r="BC15" i="9"/>
  <c r="KN46" i="22"/>
  <c r="AE13" i="15"/>
  <c r="AA13" i="15"/>
  <c r="O13" i="8"/>
  <c r="L25" i="23"/>
  <c r="N25" i="23" s="1"/>
  <c r="I137" i="24"/>
  <c r="AQ15" i="9"/>
  <c r="E30" i="20"/>
  <c r="G30" i="20" s="1"/>
  <c r="I30" i="20" s="1"/>
  <c r="G11" i="8"/>
  <c r="E30" i="23"/>
  <c r="G30" i="23" s="1"/>
  <c r="I30" i="23" s="1"/>
  <c r="E8" i="20"/>
  <c r="E8" i="23"/>
  <c r="D38" i="20"/>
  <c r="G38" i="20" s="1"/>
  <c r="I38" i="20" s="1"/>
  <c r="D38" i="23"/>
  <c r="G38" i="23" s="1"/>
  <c r="I38" i="23" s="1"/>
  <c r="E88" i="23" s="1"/>
  <c r="N11" i="23"/>
  <c r="BC14" i="6"/>
  <c r="KN49" i="22"/>
  <c r="AA13" i="8"/>
  <c r="KK50" i="22"/>
  <c r="L63" i="20"/>
  <c r="N63" i="20" s="1"/>
  <c r="S13" i="8"/>
  <c r="G12" i="6"/>
  <c r="AE14" i="6"/>
  <c r="T7" i="16"/>
  <c r="F39" i="20"/>
  <c r="F39" i="23"/>
  <c r="E49" i="20"/>
  <c r="G49" i="20" s="1"/>
  <c r="I49" i="20" s="1"/>
  <c r="E49" i="23"/>
  <c r="G49" i="23" s="1"/>
  <c r="I49" i="23" s="1"/>
  <c r="J134" i="24"/>
  <c r="D119" i="24"/>
  <c r="I40" i="24"/>
  <c r="J40" i="24" s="1"/>
  <c r="I135" i="24"/>
  <c r="F137" i="24"/>
  <c r="C123" i="24"/>
  <c r="H123" i="24" s="1"/>
  <c r="F132" i="24"/>
  <c r="C122" i="24"/>
  <c r="G124" i="24"/>
  <c r="C119" i="24"/>
  <c r="I121" i="24"/>
  <c r="T137" i="24"/>
  <c r="S133" i="24"/>
  <c r="F134" i="24"/>
  <c r="C121" i="24"/>
  <c r="H121" i="24" s="1"/>
  <c r="T121" i="24"/>
  <c r="G122" i="24"/>
  <c r="L139" i="24"/>
  <c r="D139" i="24"/>
  <c r="M120" i="24"/>
  <c r="I125" i="24"/>
  <c r="F40" i="24"/>
  <c r="C124" i="24"/>
  <c r="F136" i="24"/>
  <c r="E139" i="24"/>
  <c r="F135" i="24"/>
  <c r="O139" i="24"/>
  <c r="H139" i="24"/>
  <c r="T120" i="24"/>
  <c r="F126" i="24"/>
  <c r="G119" i="24"/>
  <c r="N21" i="23"/>
  <c r="L20" i="23"/>
  <c r="P51" i="20"/>
  <c r="Q51" i="20" s="1"/>
  <c r="Q6" i="20"/>
  <c r="N12" i="20"/>
  <c r="L11" i="20"/>
  <c r="N11" i="20" s="1"/>
  <c r="N7" i="23"/>
  <c r="L6" i="23"/>
  <c r="T6" i="16"/>
  <c r="AA10" i="1"/>
  <c r="J6" i="20"/>
  <c r="L6" i="20"/>
  <c r="F20" i="23"/>
  <c r="F25" i="20"/>
  <c r="F7" i="19"/>
  <c r="F25" i="23"/>
  <c r="F7" i="16"/>
  <c r="D42" i="20"/>
  <c r="D15" i="9"/>
  <c r="G7" i="9"/>
  <c r="D42" i="23"/>
  <c r="J36" i="13"/>
  <c r="H11" i="20"/>
  <c r="J11" i="20" s="1"/>
  <c r="C5" i="19"/>
  <c r="C5" i="16"/>
  <c r="H11" i="23"/>
  <c r="N94" i="20"/>
  <c r="L93" i="20"/>
  <c r="N93" i="20" s="1"/>
  <c r="E6" i="19"/>
  <c r="C28" i="19" s="1"/>
  <c r="E20" i="20"/>
  <c r="E20" i="23"/>
  <c r="E6" i="16"/>
  <c r="F15" i="9"/>
  <c r="F43" i="23"/>
  <c r="KJ50" i="22"/>
  <c r="K8" i="19"/>
  <c r="H30" i="19" s="1"/>
  <c r="K8" i="16"/>
  <c r="C103" i="20"/>
  <c r="J72" i="20"/>
  <c r="I72" i="20"/>
  <c r="L20" i="20"/>
  <c r="N20" i="20" s="1"/>
  <c r="BG10" i="1"/>
  <c r="Q10" i="16"/>
  <c r="T5" i="16"/>
  <c r="L58" i="20"/>
  <c r="N59" i="20"/>
  <c r="L72" i="20"/>
  <c r="N72" i="20" s="1"/>
  <c r="N73" i="20"/>
  <c r="L41" i="20"/>
  <c r="N41" i="20" s="1"/>
  <c r="N42" i="20"/>
  <c r="L33" i="20"/>
  <c r="N33" i="20" s="1"/>
  <c r="N34" i="20"/>
  <c r="AY13" i="8"/>
  <c r="N34" i="23"/>
  <c r="H41" i="20"/>
  <c r="J41" i="20" s="1"/>
  <c r="C9" i="19"/>
  <c r="C9" i="16"/>
  <c r="H41" i="23"/>
  <c r="J41" i="23" s="1"/>
  <c r="L77" i="20"/>
  <c r="N77" i="20" s="1"/>
  <c r="L25" i="20"/>
  <c r="N25" i="20" s="1"/>
  <c r="N26" i="20"/>
  <c r="AQ13" i="8"/>
  <c r="H25" i="20"/>
  <c r="J25" i="20" s="1"/>
  <c r="C7" i="19"/>
  <c r="C7" i="16"/>
  <c r="H25" i="23"/>
  <c r="J25" i="23" s="1"/>
  <c r="D49" i="31" l="1"/>
  <c r="I42" i="31"/>
  <c r="I27" i="31"/>
  <c r="I38" i="31"/>
  <c r="I31" i="31"/>
  <c r="I25" i="31"/>
  <c r="I46" i="31"/>
  <c r="E20" i="31"/>
  <c r="H20" i="31" s="1"/>
  <c r="I21" i="31"/>
  <c r="I22" i="31"/>
  <c r="F20" i="20"/>
  <c r="I9" i="31"/>
  <c r="I37" i="31"/>
  <c r="I14" i="31"/>
  <c r="I30" i="31"/>
  <c r="E29" i="31"/>
  <c r="H29" i="31" s="1"/>
  <c r="I39" i="31"/>
  <c r="I8" i="31"/>
  <c r="F6" i="19"/>
  <c r="I41" i="31"/>
  <c r="I32" i="31"/>
  <c r="I24" i="31"/>
  <c r="I40" i="31"/>
  <c r="I13" i="31"/>
  <c r="I12" i="31"/>
  <c r="I23" i="31"/>
  <c r="I34" i="31"/>
  <c r="I16" i="31"/>
  <c r="I15" i="31"/>
  <c r="I11" i="31"/>
  <c r="I26" i="31"/>
  <c r="I17" i="31"/>
  <c r="I18" i="31"/>
  <c r="I33" i="31"/>
  <c r="I21" i="28"/>
  <c r="K21" i="28"/>
  <c r="I46" i="28"/>
  <c r="K46" i="28"/>
  <c r="I24" i="28"/>
  <c r="K24" i="28"/>
  <c r="I7" i="28"/>
  <c r="K7" i="28"/>
  <c r="I30" i="28"/>
  <c r="K30" i="28"/>
  <c r="M10" i="28"/>
  <c r="I10" i="28"/>
  <c r="M33" i="28"/>
  <c r="I33" i="28"/>
  <c r="M16" i="28"/>
  <c r="I16" i="28"/>
  <c r="M31" i="28"/>
  <c r="I31" i="28"/>
  <c r="M47" i="28"/>
  <c r="I47" i="28"/>
  <c r="M18" i="28"/>
  <c r="I18" i="28"/>
  <c r="M27" i="28"/>
  <c r="I27" i="28"/>
  <c r="M43" i="28"/>
  <c r="I43" i="28"/>
  <c r="M39" i="28"/>
  <c r="I39" i="28"/>
  <c r="M12" i="28"/>
  <c r="I12" i="28"/>
  <c r="M11" i="28"/>
  <c r="I11" i="28"/>
  <c r="M14" i="28"/>
  <c r="I14" i="28"/>
  <c r="M32" i="28"/>
  <c r="I32" i="28"/>
  <c r="M22" i="28"/>
  <c r="I22" i="28"/>
  <c r="M8" i="28"/>
  <c r="I8" i="28"/>
  <c r="M38" i="28"/>
  <c r="I38" i="28"/>
  <c r="M13" i="28"/>
  <c r="I13" i="28"/>
  <c r="M17" i="28"/>
  <c r="I17" i="28"/>
  <c r="M41" i="28"/>
  <c r="I41" i="28"/>
  <c r="M23" i="28"/>
  <c r="I23" i="28"/>
  <c r="M26" i="28"/>
  <c r="I26" i="28"/>
  <c r="M21" i="28"/>
  <c r="E20" i="28"/>
  <c r="M7" i="28"/>
  <c r="M30" i="28"/>
  <c r="M24" i="28"/>
  <c r="F135" i="23"/>
  <c r="G135" i="23" s="1"/>
  <c r="E15" i="28"/>
  <c r="K15" i="28" s="1"/>
  <c r="F131" i="23"/>
  <c r="G131" i="23" s="1"/>
  <c r="E34" i="28"/>
  <c r="K34" i="28" s="1"/>
  <c r="R31" i="20"/>
  <c r="S31" i="20" s="1"/>
  <c r="G31" i="27"/>
  <c r="I31" i="27" s="1"/>
  <c r="F108" i="23"/>
  <c r="G108" i="23" s="1"/>
  <c r="E9" i="28"/>
  <c r="K9" i="28" s="1"/>
  <c r="E45" i="28"/>
  <c r="M46" i="28"/>
  <c r="E36" i="28"/>
  <c r="K36" i="28" s="1"/>
  <c r="D12" i="28"/>
  <c r="J12" i="28" s="1"/>
  <c r="D25" i="28"/>
  <c r="J25" i="28" s="1"/>
  <c r="D34" i="28"/>
  <c r="J34" i="28" s="1"/>
  <c r="J9" i="8"/>
  <c r="F45" i="28"/>
  <c r="F80" i="23"/>
  <c r="G80" i="23" s="1"/>
  <c r="D18" i="28"/>
  <c r="J18" i="28" s="1"/>
  <c r="F67" i="23"/>
  <c r="D32" i="28"/>
  <c r="J32" i="28" s="1"/>
  <c r="F89" i="23"/>
  <c r="G89" i="23" s="1"/>
  <c r="D27" i="28"/>
  <c r="J27" i="28" s="1"/>
  <c r="F94" i="23"/>
  <c r="G94" i="23" s="1"/>
  <c r="D39" i="28"/>
  <c r="J39" i="28" s="1"/>
  <c r="F98" i="23"/>
  <c r="G98" i="23" s="1"/>
  <c r="D46" i="28"/>
  <c r="F87" i="23"/>
  <c r="G87" i="23" s="1"/>
  <c r="D21" i="28"/>
  <c r="F96" i="23"/>
  <c r="G96" i="23" s="1"/>
  <c r="D42" i="28"/>
  <c r="J42" i="28" s="1"/>
  <c r="D6" i="23"/>
  <c r="D42" i="27"/>
  <c r="D4" i="16"/>
  <c r="F58" i="23"/>
  <c r="G58" i="23" s="1"/>
  <c r="D9" i="28"/>
  <c r="J9" i="28" s="1"/>
  <c r="F88" i="23"/>
  <c r="D22" i="28"/>
  <c r="F66" i="23"/>
  <c r="G66" i="23" s="1"/>
  <c r="D31" i="28"/>
  <c r="J31" i="28" s="1"/>
  <c r="F68" i="23"/>
  <c r="G68" i="23" s="1"/>
  <c r="D33" i="28"/>
  <c r="J33" i="28" s="1"/>
  <c r="D6" i="20"/>
  <c r="F92" i="23"/>
  <c r="D37" i="28"/>
  <c r="F84" i="23"/>
  <c r="G84" i="23" s="1"/>
  <c r="D14" i="28"/>
  <c r="F71" i="23"/>
  <c r="G71" i="23" s="1"/>
  <c r="D8" i="28"/>
  <c r="F6" i="23"/>
  <c r="D28" i="27"/>
  <c r="F4" i="16"/>
  <c r="F59" i="23"/>
  <c r="G59" i="23" s="1"/>
  <c r="D23" i="28"/>
  <c r="J23" i="28" s="1"/>
  <c r="F62" i="23"/>
  <c r="D24" i="28"/>
  <c r="F72" i="23"/>
  <c r="G72" i="23" s="1"/>
  <c r="D16" i="28"/>
  <c r="F73" i="23"/>
  <c r="D41" i="28"/>
  <c r="J41" i="28" s="1"/>
  <c r="F4" i="19"/>
  <c r="F85" i="23"/>
  <c r="G85" i="23" s="1"/>
  <c r="D15" i="28"/>
  <c r="J15" i="28" s="1"/>
  <c r="F77" i="23"/>
  <c r="D11" i="28"/>
  <c r="J11" i="28" s="1"/>
  <c r="F65" i="23"/>
  <c r="G65" i="23" s="1"/>
  <c r="D30" i="28"/>
  <c r="F95" i="23"/>
  <c r="G95" i="23" s="1"/>
  <c r="D40" i="28"/>
  <c r="J40" i="28" s="1"/>
  <c r="F93" i="23"/>
  <c r="G93" i="23" s="1"/>
  <c r="D38" i="28"/>
  <c r="J38" i="28" s="1"/>
  <c r="F64" i="23"/>
  <c r="D26" i="28"/>
  <c r="J26" i="28" s="1"/>
  <c r="F86" i="23"/>
  <c r="G86" i="23" s="1"/>
  <c r="D17" i="28"/>
  <c r="J17" i="28" s="1"/>
  <c r="F79" i="23"/>
  <c r="G79" i="23" s="1"/>
  <c r="D13" i="28"/>
  <c r="J13" i="28" s="1"/>
  <c r="H51" i="23"/>
  <c r="J51" i="23" s="1"/>
  <c r="R8" i="20"/>
  <c r="S8" i="20" s="1"/>
  <c r="R35" i="20"/>
  <c r="S35" i="20" s="1"/>
  <c r="F81" i="23"/>
  <c r="G81" i="23" s="1"/>
  <c r="K31" i="20"/>
  <c r="M31" i="20" s="1"/>
  <c r="K83" i="20"/>
  <c r="M83" i="20" s="1"/>
  <c r="K31" i="23"/>
  <c r="M31" i="23" s="1"/>
  <c r="H131" i="23" s="1"/>
  <c r="F31" i="27"/>
  <c r="H31" i="27" s="1"/>
  <c r="K28" i="23"/>
  <c r="M28" i="23" s="1"/>
  <c r="H128" i="23" s="1"/>
  <c r="F78" i="23"/>
  <c r="G78" i="23" s="1"/>
  <c r="G35" i="27"/>
  <c r="I35" i="27" s="1"/>
  <c r="K65" i="20"/>
  <c r="M65" i="20" s="1"/>
  <c r="F63" i="23"/>
  <c r="G63" i="23" s="1"/>
  <c r="K13" i="23"/>
  <c r="M13" i="23" s="1"/>
  <c r="G8" i="27"/>
  <c r="I8" i="27" s="1"/>
  <c r="G28" i="20"/>
  <c r="I28" i="20" s="1"/>
  <c r="IP50" i="22"/>
  <c r="E8" i="16"/>
  <c r="G10" i="7"/>
  <c r="J13" i="7" s="1"/>
  <c r="J21" i="7" s="1"/>
  <c r="E33" i="23"/>
  <c r="E8" i="19"/>
  <c r="C30" i="19" s="1"/>
  <c r="G23" i="20"/>
  <c r="I23" i="20" s="1"/>
  <c r="J12" i="15"/>
  <c r="D39" i="27"/>
  <c r="J11" i="8"/>
  <c r="D30" i="27"/>
  <c r="J8" i="9"/>
  <c r="D43" i="27"/>
  <c r="J9" i="1"/>
  <c r="D9" i="27"/>
  <c r="J7" i="7"/>
  <c r="D21" i="27"/>
  <c r="J10" i="15"/>
  <c r="D37" i="27"/>
  <c r="J7" i="8"/>
  <c r="D26" i="27"/>
  <c r="J8" i="6"/>
  <c r="D13" i="27"/>
  <c r="J7" i="15"/>
  <c r="D34" i="27"/>
  <c r="J14" i="9"/>
  <c r="D49" i="27"/>
  <c r="J8" i="15"/>
  <c r="D35" i="27"/>
  <c r="J9" i="9"/>
  <c r="D44" i="27"/>
  <c r="J12" i="9"/>
  <c r="D47" i="27"/>
  <c r="J12" i="6"/>
  <c r="D17" i="27"/>
  <c r="J9" i="15"/>
  <c r="D36" i="27"/>
  <c r="J10" i="6"/>
  <c r="D15" i="27"/>
  <c r="J7" i="1"/>
  <c r="D7" i="27"/>
  <c r="J9" i="7"/>
  <c r="D23" i="27"/>
  <c r="G17" i="20"/>
  <c r="I17" i="20" s="1"/>
  <c r="G18" i="20"/>
  <c r="I18" i="20" s="1"/>
  <c r="J9" i="6"/>
  <c r="D14" i="27"/>
  <c r="J10" i="8"/>
  <c r="D29" i="27"/>
  <c r="J7" i="6"/>
  <c r="D12" i="27"/>
  <c r="J8" i="1"/>
  <c r="D8" i="27"/>
  <c r="J11" i="6"/>
  <c r="D16" i="27"/>
  <c r="J13" i="6"/>
  <c r="D18" i="27"/>
  <c r="J8" i="8"/>
  <c r="D27" i="27"/>
  <c r="J11" i="15"/>
  <c r="D38" i="27"/>
  <c r="J12" i="8"/>
  <c r="D31" i="27"/>
  <c r="K13" i="20"/>
  <c r="M13" i="20" s="1"/>
  <c r="K80" i="20"/>
  <c r="M80" i="20" s="1"/>
  <c r="G34" i="23"/>
  <c r="I34" i="23" s="1"/>
  <c r="E134" i="23" s="1"/>
  <c r="F120" i="23"/>
  <c r="G120" i="23" s="1"/>
  <c r="G27" i="20"/>
  <c r="I27" i="20" s="1"/>
  <c r="E51" i="27"/>
  <c r="G7" i="20"/>
  <c r="I7" i="20" s="1"/>
  <c r="F125" i="23"/>
  <c r="G125" i="23" s="1"/>
  <c r="G41" i="27"/>
  <c r="I41" i="27" s="1"/>
  <c r="C151" i="23"/>
  <c r="D151" i="23" s="1"/>
  <c r="I34" i="27"/>
  <c r="G11" i="27"/>
  <c r="I11" i="27" s="1"/>
  <c r="R20" i="20"/>
  <c r="S20" i="20" s="1"/>
  <c r="G42" i="20"/>
  <c r="I42" i="20" s="1"/>
  <c r="G14" i="20"/>
  <c r="I14" i="20" s="1"/>
  <c r="I7" i="27"/>
  <c r="G20" i="27"/>
  <c r="I20" i="27" s="1"/>
  <c r="I21" i="27"/>
  <c r="E126" i="23"/>
  <c r="G7" i="23"/>
  <c r="I7" i="23" s="1"/>
  <c r="E57" i="23" s="1"/>
  <c r="G12" i="23"/>
  <c r="I12" i="23" s="1"/>
  <c r="E62" i="23" s="1"/>
  <c r="G35" i="23"/>
  <c r="I35" i="23" s="1"/>
  <c r="E85" i="23" s="1"/>
  <c r="F8" i="27"/>
  <c r="H8" i="27" s="1"/>
  <c r="K79" i="20"/>
  <c r="M79" i="20" s="1"/>
  <c r="F27" i="27"/>
  <c r="H27" i="27" s="1"/>
  <c r="G77" i="23"/>
  <c r="F37" i="27"/>
  <c r="H37" i="27" s="1"/>
  <c r="K88" i="20"/>
  <c r="M88" i="20" s="1"/>
  <c r="F36" i="27"/>
  <c r="H36" i="27" s="1"/>
  <c r="F16" i="27"/>
  <c r="H16" i="27" s="1"/>
  <c r="F30" i="27"/>
  <c r="H30" i="27" s="1"/>
  <c r="K28" i="20"/>
  <c r="M28" i="20" s="1"/>
  <c r="F28" i="27"/>
  <c r="H28" i="27" s="1"/>
  <c r="F17" i="27"/>
  <c r="H17" i="27" s="1"/>
  <c r="K23" i="20"/>
  <c r="M23" i="20" s="1"/>
  <c r="F23" i="27"/>
  <c r="H23" i="27" s="1"/>
  <c r="G73" i="23"/>
  <c r="F33" i="23"/>
  <c r="F15" i="27"/>
  <c r="H15" i="27" s="1"/>
  <c r="K21" i="23"/>
  <c r="M21" i="23" s="1"/>
  <c r="F21" i="27"/>
  <c r="F9" i="27"/>
  <c r="H9" i="27" s="1"/>
  <c r="F29" i="27"/>
  <c r="H29" i="27" s="1"/>
  <c r="K74" i="20"/>
  <c r="M74" i="20" s="1"/>
  <c r="F22" i="27"/>
  <c r="H22" i="27" s="1"/>
  <c r="E25" i="20"/>
  <c r="F43" i="27"/>
  <c r="H43" i="27" s="1"/>
  <c r="D5" i="16"/>
  <c r="K39" i="20"/>
  <c r="M39" i="20" s="1"/>
  <c r="F39" i="27"/>
  <c r="H39" i="27" s="1"/>
  <c r="K42" i="20"/>
  <c r="M42" i="20" s="1"/>
  <c r="F42" i="27"/>
  <c r="G92" i="23"/>
  <c r="E9" i="19"/>
  <c r="C31" i="19" s="1"/>
  <c r="F11" i="20"/>
  <c r="F18" i="27"/>
  <c r="H18" i="27" s="1"/>
  <c r="D7" i="16"/>
  <c r="K46" i="23"/>
  <c r="M46" i="23" s="1"/>
  <c r="H146" i="23" s="1"/>
  <c r="F46" i="27"/>
  <c r="H46" i="27" s="1"/>
  <c r="K66" i="20"/>
  <c r="M66" i="20" s="1"/>
  <c r="F14" i="27"/>
  <c r="H14" i="27" s="1"/>
  <c r="G64" i="23"/>
  <c r="K64" i="20"/>
  <c r="M64" i="20" s="1"/>
  <c r="F12" i="27"/>
  <c r="G62" i="23"/>
  <c r="D8" i="16"/>
  <c r="K90" i="20"/>
  <c r="M90" i="20" s="1"/>
  <c r="F38" i="27"/>
  <c r="H38" i="27" s="1"/>
  <c r="G88" i="23"/>
  <c r="E4" i="19"/>
  <c r="F13" i="27"/>
  <c r="H13" i="27" s="1"/>
  <c r="F45" i="27"/>
  <c r="H45" i="27" s="1"/>
  <c r="K44" i="20"/>
  <c r="M44" i="20" s="1"/>
  <c r="F44" i="27"/>
  <c r="H44" i="27" s="1"/>
  <c r="F34" i="27"/>
  <c r="E5" i="19"/>
  <c r="C27" i="19" s="1"/>
  <c r="K87" i="20"/>
  <c r="M87" i="20" s="1"/>
  <c r="F35" i="27"/>
  <c r="H35" i="27" s="1"/>
  <c r="D6" i="16"/>
  <c r="G6" i="16" s="1"/>
  <c r="L6" i="16" s="1"/>
  <c r="F48" i="27"/>
  <c r="H48" i="27" s="1"/>
  <c r="E123" i="23"/>
  <c r="T124" i="24"/>
  <c r="T40" i="24"/>
  <c r="K9" i="19"/>
  <c r="H31" i="19" s="1"/>
  <c r="G34" i="20"/>
  <c r="I34" i="20" s="1"/>
  <c r="W133" i="24"/>
  <c r="U124" i="24"/>
  <c r="G121" i="23"/>
  <c r="R41" i="20"/>
  <c r="S41" i="20" s="1"/>
  <c r="F111" i="23"/>
  <c r="G111" i="23" s="1"/>
  <c r="G14" i="23"/>
  <c r="I14" i="23" s="1"/>
  <c r="E64" i="23" s="1"/>
  <c r="G126" i="24"/>
  <c r="D124" i="24"/>
  <c r="E124" i="24" s="1"/>
  <c r="R25" i="20"/>
  <c r="S25" i="20" s="1"/>
  <c r="G27" i="23"/>
  <c r="I27" i="23" s="1"/>
  <c r="E127" i="23" s="1"/>
  <c r="G43" i="20"/>
  <c r="I43" i="20" s="1"/>
  <c r="G134" i="23"/>
  <c r="F141" i="23"/>
  <c r="G141" i="23" s="1"/>
  <c r="K16" i="23"/>
  <c r="M16" i="23" s="1"/>
  <c r="H116" i="23" s="1"/>
  <c r="K16" i="20"/>
  <c r="M16" i="20" s="1"/>
  <c r="R11" i="20"/>
  <c r="S11" i="20" s="1"/>
  <c r="G42" i="23"/>
  <c r="I42" i="23" s="1"/>
  <c r="E142" i="23" s="1"/>
  <c r="S7" i="20"/>
  <c r="F106" i="23"/>
  <c r="G107" i="23"/>
  <c r="K68" i="20"/>
  <c r="M68" i="20" s="1"/>
  <c r="E25" i="23"/>
  <c r="E7" i="16"/>
  <c r="E7" i="19"/>
  <c r="C29" i="19" s="1"/>
  <c r="G43" i="23"/>
  <c r="I43" i="23" s="1"/>
  <c r="E143" i="23" s="1"/>
  <c r="K23" i="23"/>
  <c r="M23" i="23" s="1"/>
  <c r="H123" i="23" s="1"/>
  <c r="K43" i="23"/>
  <c r="M43" i="23" s="1"/>
  <c r="H143" i="23" s="1"/>
  <c r="K43" i="20"/>
  <c r="M43" i="20" s="1"/>
  <c r="K95" i="20"/>
  <c r="M95" i="20" s="1"/>
  <c r="K27" i="23"/>
  <c r="M27" i="23" s="1"/>
  <c r="H127" i="23" s="1"/>
  <c r="T123" i="24"/>
  <c r="J124" i="24"/>
  <c r="K124" i="24" s="1"/>
  <c r="J125" i="24"/>
  <c r="R125" i="24" s="1"/>
  <c r="G18" i="23"/>
  <c r="I18" i="23" s="1"/>
  <c r="E68" i="23" s="1"/>
  <c r="I122" i="24"/>
  <c r="Q122" i="24" s="1"/>
  <c r="S135" i="24"/>
  <c r="J123" i="24"/>
  <c r="K123" i="24" s="1"/>
  <c r="J121" i="24"/>
  <c r="R121" i="24" s="1"/>
  <c r="S40" i="24"/>
  <c r="U139" i="24"/>
  <c r="W136" i="24"/>
  <c r="W40" i="24"/>
  <c r="J122" i="24"/>
  <c r="K7" i="19"/>
  <c r="H29" i="19" s="1"/>
  <c r="AB139" i="24"/>
  <c r="E145" i="23"/>
  <c r="R139" i="24"/>
  <c r="S139" i="24" s="1"/>
  <c r="W134" i="24"/>
  <c r="W135" i="24"/>
  <c r="V139" i="24"/>
  <c r="G39" i="23"/>
  <c r="I39" i="23" s="1"/>
  <c r="E139" i="23" s="1"/>
  <c r="G10" i="1"/>
  <c r="J13" i="1" s="1"/>
  <c r="N4" i="16" s="1"/>
  <c r="F11" i="23"/>
  <c r="K44" i="23"/>
  <c r="M44" i="23" s="1"/>
  <c r="H144" i="23" s="1"/>
  <c r="K36" i="20"/>
  <c r="M36" i="20" s="1"/>
  <c r="E11" i="23"/>
  <c r="E6" i="23"/>
  <c r="E4" i="16"/>
  <c r="E11" i="20"/>
  <c r="E6" i="20"/>
  <c r="F5" i="19"/>
  <c r="D6" i="19"/>
  <c r="B28" i="19" s="1"/>
  <c r="E28" i="19" s="1"/>
  <c r="F5" i="16"/>
  <c r="K42" i="23"/>
  <c r="M42" i="23" s="1"/>
  <c r="K29" i="23"/>
  <c r="M29" i="23" s="1"/>
  <c r="H129" i="23" s="1"/>
  <c r="D33" i="23"/>
  <c r="E41" i="23"/>
  <c r="E122" i="23"/>
  <c r="D8" i="19"/>
  <c r="B30" i="19" s="1"/>
  <c r="E9" i="16"/>
  <c r="D33" i="20"/>
  <c r="E41" i="20"/>
  <c r="F33" i="20"/>
  <c r="G17" i="23"/>
  <c r="I17" i="23" s="1"/>
  <c r="E117" i="23" s="1"/>
  <c r="K36" i="23"/>
  <c r="M36" i="23" s="1"/>
  <c r="H136" i="23" s="1"/>
  <c r="K73" i="20"/>
  <c r="M73" i="20" s="1"/>
  <c r="E148" i="23"/>
  <c r="G39" i="20"/>
  <c r="I39" i="20" s="1"/>
  <c r="K30" i="23"/>
  <c r="M30" i="23" s="1"/>
  <c r="H130" i="23" s="1"/>
  <c r="K75" i="20"/>
  <c r="M75" i="20" s="1"/>
  <c r="K21" i="20"/>
  <c r="M21" i="20" s="1"/>
  <c r="K91" i="20"/>
  <c r="M91" i="20" s="1"/>
  <c r="K38" i="23"/>
  <c r="M38" i="23" s="1"/>
  <c r="H138" i="23" s="1"/>
  <c r="K22" i="20"/>
  <c r="M22" i="20" s="1"/>
  <c r="D25" i="23"/>
  <c r="F8" i="16"/>
  <c r="D7" i="19"/>
  <c r="B29" i="19" s="1"/>
  <c r="F8" i="19"/>
  <c r="D25" i="20"/>
  <c r="G25" i="20" s="1"/>
  <c r="I25" i="20" s="1"/>
  <c r="K30" i="20"/>
  <c r="M30" i="20" s="1"/>
  <c r="KZ46" i="22"/>
  <c r="E43" i="31" s="1"/>
  <c r="G12" i="20"/>
  <c r="I12" i="20" s="1"/>
  <c r="K38" i="20"/>
  <c r="M38" i="20" s="1"/>
  <c r="K18" i="20"/>
  <c r="M18" i="20" s="1"/>
  <c r="K70" i="20"/>
  <c r="M70" i="20" s="1"/>
  <c r="K81" i="20"/>
  <c r="M81" i="20" s="1"/>
  <c r="K18" i="23"/>
  <c r="M18" i="23" s="1"/>
  <c r="K29" i="20"/>
  <c r="M29" i="20" s="1"/>
  <c r="G9" i="23"/>
  <c r="I9" i="23" s="1"/>
  <c r="E59" i="23" s="1"/>
  <c r="G28" i="23"/>
  <c r="I28" i="23" s="1"/>
  <c r="E73" i="23"/>
  <c r="E87" i="23"/>
  <c r="E137" i="23"/>
  <c r="E94" i="23"/>
  <c r="E144" i="23"/>
  <c r="E79" i="23"/>
  <c r="E129" i="23"/>
  <c r="E96" i="23"/>
  <c r="E146" i="23"/>
  <c r="K100" i="20"/>
  <c r="M100" i="20" s="1"/>
  <c r="K48" i="23"/>
  <c r="M48" i="23" s="1"/>
  <c r="H148" i="23" s="1"/>
  <c r="N6" i="16"/>
  <c r="G16" i="20"/>
  <c r="I16" i="20" s="1"/>
  <c r="G13" i="23"/>
  <c r="I13" i="23" s="1"/>
  <c r="G36" i="23"/>
  <c r="I36" i="23" s="1"/>
  <c r="E136" i="23" s="1"/>
  <c r="G21" i="23"/>
  <c r="I21" i="23" s="1"/>
  <c r="G13" i="20"/>
  <c r="I13" i="20" s="1"/>
  <c r="G9" i="20"/>
  <c r="I9" i="20" s="1"/>
  <c r="K94" i="20"/>
  <c r="K34" i="20"/>
  <c r="M34" i="20" s="1"/>
  <c r="K86" i="20"/>
  <c r="M86" i="20" s="1"/>
  <c r="E115" i="23"/>
  <c r="K82" i="20"/>
  <c r="M82" i="20" s="1"/>
  <c r="K35" i="23"/>
  <c r="M35" i="23" s="1"/>
  <c r="K34" i="23"/>
  <c r="M34" i="23" s="1"/>
  <c r="G31" i="23"/>
  <c r="I31" i="23" s="1"/>
  <c r="G36" i="20"/>
  <c r="I36" i="20" s="1"/>
  <c r="G21" i="20"/>
  <c r="I21" i="20" s="1"/>
  <c r="D5" i="19"/>
  <c r="D11" i="20"/>
  <c r="K22" i="23"/>
  <c r="M22" i="23" s="1"/>
  <c r="H122" i="23" s="1"/>
  <c r="G16" i="23"/>
  <c r="I16" i="23" s="1"/>
  <c r="E66" i="23" s="1"/>
  <c r="G31" i="20"/>
  <c r="I31" i="20" s="1"/>
  <c r="KS50" i="22"/>
  <c r="K96" i="20"/>
  <c r="M96" i="20" s="1"/>
  <c r="K48" i="20"/>
  <c r="M48" i="20" s="1"/>
  <c r="KZ12" i="22"/>
  <c r="E10" i="31" s="1"/>
  <c r="H10" i="31" s="1"/>
  <c r="K89" i="20"/>
  <c r="M89" i="20" s="1"/>
  <c r="K37" i="20"/>
  <c r="M37" i="20" s="1"/>
  <c r="K37" i="23"/>
  <c r="M37" i="23" s="1"/>
  <c r="H137" i="23" s="1"/>
  <c r="D20" i="20"/>
  <c r="G20" i="20" s="1"/>
  <c r="I20" i="20" s="1"/>
  <c r="K98" i="20"/>
  <c r="M98" i="20" s="1"/>
  <c r="K12" i="20"/>
  <c r="M12" i="20" s="1"/>
  <c r="K46" i="20"/>
  <c r="M46" i="20" s="1"/>
  <c r="K12" i="23"/>
  <c r="M12" i="23" s="1"/>
  <c r="H112" i="23" s="1"/>
  <c r="K35" i="20"/>
  <c r="M35" i="20" s="1"/>
  <c r="D11" i="23"/>
  <c r="K39" i="23"/>
  <c r="M39" i="23" s="1"/>
  <c r="H139" i="23" s="1"/>
  <c r="D20" i="23"/>
  <c r="G20" i="23" s="1"/>
  <c r="I20" i="23" s="1"/>
  <c r="K14" i="23"/>
  <c r="M14" i="23" s="1"/>
  <c r="H114" i="23" s="1"/>
  <c r="K14" i="20"/>
  <c r="M14" i="20" s="1"/>
  <c r="N6" i="19"/>
  <c r="K28" i="19" s="1"/>
  <c r="KZ49" i="22"/>
  <c r="E47" i="31" s="1"/>
  <c r="K45" i="20"/>
  <c r="M45" i="20" s="1"/>
  <c r="K97" i="20"/>
  <c r="M97" i="20" s="1"/>
  <c r="K45" i="23"/>
  <c r="M45" i="23" s="1"/>
  <c r="K15" i="23"/>
  <c r="M15" i="23" s="1"/>
  <c r="H115" i="23" s="1"/>
  <c r="K69" i="20"/>
  <c r="M69" i="20" s="1"/>
  <c r="K17" i="20"/>
  <c r="M17" i="20" s="1"/>
  <c r="K67" i="20"/>
  <c r="M67" i="20" s="1"/>
  <c r="K27" i="20"/>
  <c r="M27" i="20" s="1"/>
  <c r="K15" i="20"/>
  <c r="M15" i="20" s="1"/>
  <c r="K17" i="23"/>
  <c r="M17" i="23" s="1"/>
  <c r="H117" i="23" s="1"/>
  <c r="G67" i="23"/>
  <c r="T10" i="16"/>
  <c r="T122" i="24"/>
  <c r="T125" i="24"/>
  <c r="L126" i="24"/>
  <c r="N20" i="23"/>
  <c r="L51" i="23"/>
  <c r="N51" i="23" s="1"/>
  <c r="N41" i="23"/>
  <c r="G8" i="23"/>
  <c r="I8" i="23" s="1"/>
  <c r="E58" i="23" s="1"/>
  <c r="E138" i="23"/>
  <c r="N120" i="24"/>
  <c r="U122" i="24"/>
  <c r="N134" i="24"/>
  <c r="D122" i="24"/>
  <c r="M139" i="24"/>
  <c r="N139" i="24" s="1"/>
  <c r="R120" i="24"/>
  <c r="T139" i="24"/>
  <c r="Q124" i="24"/>
  <c r="N124" i="24"/>
  <c r="J137" i="24"/>
  <c r="D123" i="24"/>
  <c r="J135" i="24"/>
  <c r="I139" i="24"/>
  <c r="J139" i="24" s="1"/>
  <c r="G40" i="24"/>
  <c r="K40" i="24"/>
  <c r="G14" i="6"/>
  <c r="J17" i="6" s="1"/>
  <c r="N5" i="19" s="1"/>
  <c r="K27" i="19" s="1"/>
  <c r="K8" i="23"/>
  <c r="M8" i="23" s="1"/>
  <c r="K8" i="20"/>
  <c r="M8" i="20" s="1"/>
  <c r="K60" i="20"/>
  <c r="M60" i="20" s="1"/>
  <c r="C10" i="16"/>
  <c r="E119" i="24"/>
  <c r="E99" i="23"/>
  <c r="E149" i="23"/>
  <c r="E97" i="23"/>
  <c r="E147" i="23"/>
  <c r="K9" i="23"/>
  <c r="M9" i="23" s="1"/>
  <c r="K61" i="20"/>
  <c r="M61" i="20" s="1"/>
  <c r="K9" i="20"/>
  <c r="M9" i="20" s="1"/>
  <c r="G13" i="15"/>
  <c r="J16" i="15" s="1"/>
  <c r="J24" i="15" s="1"/>
  <c r="G8" i="20"/>
  <c r="I8" i="20" s="1"/>
  <c r="E80" i="23"/>
  <c r="E130" i="23"/>
  <c r="C10" i="19"/>
  <c r="K10" i="16"/>
  <c r="KN50" i="22"/>
  <c r="H51" i="20"/>
  <c r="J51" i="20" s="1"/>
  <c r="G13" i="8"/>
  <c r="J16" i="8" s="1"/>
  <c r="N7" i="19" s="1"/>
  <c r="K29" i="19" s="1"/>
  <c r="Q120" i="24"/>
  <c r="H124" i="24"/>
  <c r="E121" i="24"/>
  <c r="H119" i="24"/>
  <c r="F139" i="24"/>
  <c r="C126" i="24"/>
  <c r="N121" i="24"/>
  <c r="H122" i="24"/>
  <c r="N123" i="24"/>
  <c r="K120" i="24"/>
  <c r="Q121" i="24"/>
  <c r="M126" i="24"/>
  <c r="Q123" i="24"/>
  <c r="Q125" i="24"/>
  <c r="N125" i="24"/>
  <c r="U120" i="24"/>
  <c r="N6" i="23"/>
  <c r="L103" i="20"/>
  <c r="N103" i="20" s="1"/>
  <c r="N58" i="20"/>
  <c r="J11" i="23"/>
  <c r="L51" i="20"/>
  <c r="N51" i="20" s="1"/>
  <c r="N6" i="20"/>
  <c r="O6" i="19"/>
  <c r="O6" i="16"/>
  <c r="I103" i="20"/>
  <c r="J103" i="20"/>
  <c r="G15" i="9"/>
  <c r="J18" i="9" s="1"/>
  <c r="J7" i="9"/>
  <c r="C26" i="19"/>
  <c r="F9" i="19"/>
  <c r="F41" i="20"/>
  <c r="F9" i="16"/>
  <c r="F41" i="23"/>
  <c r="D41" i="20"/>
  <c r="D9" i="19"/>
  <c r="D9" i="16"/>
  <c r="D41" i="23"/>
  <c r="B26" i="19"/>
  <c r="G4" i="19"/>
  <c r="E36" i="31" l="1"/>
  <c r="H36" i="31" s="1"/>
  <c r="H43" i="31"/>
  <c r="E45" i="31"/>
  <c r="H45" i="31" s="1"/>
  <c r="H47" i="31"/>
  <c r="I36" i="31"/>
  <c r="I45" i="31"/>
  <c r="G6" i="20"/>
  <c r="H135" i="23"/>
  <c r="I43" i="31"/>
  <c r="F133" i="23"/>
  <c r="G133" i="23" s="1"/>
  <c r="I20" i="31"/>
  <c r="G33" i="23"/>
  <c r="I33" i="23" s="1"/>
  <c r="I10" i="31"/>
  <c r="I47" i="31"/>
  <c r="G25" i="27"/>
  <c r="I25" i="27" s="1"/>
  <c r="I45" i="28"/>
  <c r="I29" i="31"/>
  <c r="H14" i="28"/>
  <c r="J14" i="28"/>
  <c r="H22" i="28"/>
  <c r="J22" i="28"/>
  <c r="M20" i="28"/>
  <c r="K20" i="28"/>
  <c r="H21" i="28"/>
  <c r="J21" i="28"/>
  <c r="H37" i="28"/>
  <c r="J37" i="28"/>
  <c r="H30" i="28"/>
  <c r="J30" i="28"/>
  <c r="H46" i="28"/>
  <c r="J46" i="28"/>
  <c r="H24" i="28"/>
  <c r="J24" i="28"/>
  <c r="H16" i="28"/>
  <c r="J16" i="28"/>
  <c r="M45" i="28"/>
  <c r="K45" i="28"/>
  <c r="H8" i="28"/>
  <c r="J8" i="28"/>
  <c r="I20" i="28"/>
  <c r="L40" i="28"/>
  <c r="H40" i="28"/>
  <c r="L12" i="28"/>
  <c r="H12" i="28"/>
  <c r="L41" i="28"/>
  <c r="H41" i="28"/>
  <c r="L9" i="28"/>
  <c r="H9" i="28"/>
  <c r="M34" i="28"/>
  <c r="I34" i="28"/>
  <c r="I29" i="28" s="1"/>
  <c r="L17" i="28"/>
  <c r="H17" i="28"/>
  <c r="M9" i="28"/>
  <c r="I9" i="28"/>
  <c r="L23" i="28"/>
  <c r="H23" i="28"/>
  <c r="L13" i="28"/>
  <c r="H13" i="28"/>
  <c r="L32" i="28"/>
  <c r="H32" i="28"/>
  <c r="L18" i="28"/>
  <c r="H18" i="28"/>
  <c r="L26" i="28"/>
  <c r="H26" i="28"/>
  <c r="L31" i="28"/>
  <c r="H31" i="28"/>
  <c r="M15" i="28"/>
  <c r="I15" i="28"/>
  <c r="L33" i="28"/>
  <c r="H33" i="28"/>
  <c r="L11" i="28"/>
  <c r="H11" i="28"/>
  <c r="L39" i="28"/>
  <c r="H39" i="28"/>
  <c r="I36" i="28"/>
  <c r="L38" i="28"/>
  <c r="H38" i="28"/>
  <c r="L15" i="28"/>
  <c r="H15" i="28"/>
  <c r="L42" i="28"/>
  <c r="H42" i="28"/>
  <c r="L27" i="28"/>
  <c r="H27" i="28"/>
  <c r="L34" i="28"/>
  <c r="H34" i="28"/>
  <c r="L25" i="28"/>
  <c r="H25" i="28"/>
  <c r="G6" i="23"/>
  <c r="G8" i="16"/>
  <c r="L8" i="16" s="1"/>
  <c r="L21" i="28"/>
  <c r="D20" i="28"/>
  <c r="E29" i="28"/>
  <c r="F20" i="28"/>
  <c r="F29" i="28"/>
  <c r="F6" i="28"/>
  <c r="R6" i="20"/>
  <c r="S6" i="20" s="1"/>
  <c r="E6" i="28"/>
  <c r="L22" i="28"/>
  <c r="L30" i="28"/>
  <c r="D29" i="28"/>
  <c r="L46" i="28"/>
  <c r="M36" i="28"/>
  <c r="G4" i="16"/>
  <c r="L4" i="16" s="1"/>
  <c r="H81" i="23"/>
  <c r="G7" i="16"/>
  <c r="L7" i="16" s="1"/>
  <c r="F36" i="28"/>
  <c r="L16" i="28"/>
  <c r="L14" i="28"/>
  <c r="F97" i="23"/>
  <c r="G97" i="23" s="1"/>
  <c r="D43" i="28"/>
  <c r="J43" i="28" s="1"/>
  <c r="L37" i="28"/>
  <c r="F76" i="23"/>
  <c r="G76" i="23" s="1"/>
  <c r="D10" i="28"/>
  <c r="L24" i="28"/>
  <c r="L8" i="28"/>
  <c r="F99" i="23"/>
  <c r="G99" i="23" s="1"/>
  <c r="D47" i="28"/>
  <c r="J47" i="28" s="1"/>
  <c r="E30" i="19"/>
  <c r="R33" i="20"/>
  <c r="S33" i="20" s="1"/>
  <c r="G33" i="27"/>
  <c r="I33" i="27" s="1"/>
  <c r="G6" i="27"/>
  <c r="I6" i="27" s="1"/>
  <c r="H78" i="23"/>
  <c r="E84" i="23"/>
  <c r="G25" i="23"/>
  <c r="I25" i="23" s="1"/>
  <c r="E75" i="23" s="1"/>
  <c r="D41" i="27"/>
  <c r="D25" i="27"/>
  <c r="C32" i="19"/>
  <c r="E10" i="19"/>
  <c r="F51" i="23"/>
  <c r="D11" i="27"/>
  <c r="D6" i="27"/>
  <c r="D33" i="27"/>
  <c r="D20" i="27"/>
  <c r="E29" i="19"/>
  <c r="E112" i="23"/>
  <c r="E135" i="23"/>
  <c r="K63" i="20"/>
  <c r="M63" i="20" s="1"/>
  <c r="E107" i="23"/>
  <c r="F20" i="27"/>
  <c r="H20" i="27" s="1"/>
  <c r="H96" i="23"/>
  <c r="D10" i="16"/>
  <c r="F11" i="27"/>
  <c r="H11" i="27" s="1"/>
  <c r="H12" i="27"/>
  <c r="H21" i="27"/>
  <c r="G5" i="16"/>
  <c r="L5" i="16" s="1"/>
  <c r="H68" i="23"/>
  <c r="K26" i="20"/>
  <c r="M26" i="20" s="1"/>
  <c r="F26" i="27"/>
  <c r="H34" i="27"/>
  <c r="F33" i="27"/>
  <c r="H33" i="27" s="1"/>
  <c r="H42" i="27"/>
  <c r="K49" i="20"/>
  <c r="M49" i="20" s="1"/>
  <c r="F49" i="27"/>
  <c r="H49" i="27" s="1"/>
  <c r="K99" i="20"/>
  <c r="M99" i="20" s="1"/>
  <c r="F47" i="27"/>
  <c r="H47" i="27" s="1"/>
  <c r="H32" i="19"/>
  <c r="E114" i="23"/>
  <c r="R124" i="24"/>
  <c r="H62" i="23"/>
  <c r="E77" i="23"/>
  <c r="H73" i="23"/>
  <c r="E92" i="23"/>
  <c r="E93" i="23"/>
  <c r="H66" i="23"/>
  <c r="G106" i="23"/>
  <c r="F151" i="23"/>
  <c r="G151" i="23" s="1"/>
  <c r="N4" i="19"/>
  <c r="K26" i="19" s="1"/>
  <c r="K47" i="23"/>
  <c r="M47" i="23" s="1"/>
  <c r="H147" i="23" s="1"/>
  <c r="J21" i="1"/>
  <c r="O4" i="16" s="1"/>
  <c r="G6" i="19"/>
  <c r="L6" i="19" s="1"/>
  <c r="J28" i="19" s="1"/>
  <c r="H93" i="23"/>
  <c r="G33" i="20"/>
  <c r="I33" i="20" s="1"/>
  <c r="E51" i="20"/>
  <c r="H77" i="23"/>
  <c r="G11" i="23"/>
  <c r="I11" i="23" s="1"/>
  <c r="E111" i="23" s="1"/>
  <c r="K125" i="24"/>
  <c r="S125" i="24" s="1"/>
  <c r="E118" i="23"/>
  <c r="I126" i="24"/>
  <c r="N126" i="24" s="1"/>
  <c r="N122" i="24"/>
  <c r="R123" i="24"/>
  <c r="W139" i="24"/>
  <c r="K121" i="24"/>
  <c r="S121" i="24" s="1"/>
  <c r="J126" i="24"/>
  <c r="K10" i="19"/>
  <c r="R122" i="24"/>
  <c r="K122" i="24"/>
  <c r="E89" i="23"/>
  <c r="H94" i="23"/>
  <c r="U126" i="24"/>
  <c r="H86" i="23"/>
  <c r="F51" i="20"/>
  <c r="H88" i="23"/>
  <c r="H79" i="23"/>
  <c r="G11" i="20"/>
  <c r="I11" i="20" s="1"/>
  <c r="H98" i="23"/>
  <c r="E51" i="23"/>
  <c r="E10" i="16"/>
  <c r="M94" i="20"/>
  <c r="F10" i="19"/>
  <c r="G8" i="19"/>
  <c r="L8" i="19" s="1"/>
  <c r="J30" i="19" s="1"/>
  <c r="G7" i="19"/>
  <c r="L7" i="19" s="1"/>
  <c r="J29" i="19" s="1"/>
  <c r="E67" i="23"/>
  <c r="K72" i="20"/>
  <c r="M72" i="20" s="1"/>
  <c r="H80" i="23"/>
  <c r="K85" i="20"/>
  <c r="M85" i="20" s="1"/>
  <c r="K20" i="20"/>
  <c r="M20" i="20" s="1"/>
  <c r="H118" i="23"/>
  <c r="K47" i="20"/>
  <c r="E109" i="23"/>
  <c r="D10" i="19"/>
  <c r="E86" i="23"/>
  <c r="F10" i="16"/>
  <c r="F70" i="23"/>
  <c r="G70" i="23" s="1"/>
  <c r="H85" i="23"/>
  <c r="H89" i="23"/>
  <c r="E78" i="23"/>
  <c r="E128" i="23"/>
  <c r="K78" i="20"/>
  <c r="M78" i="20" s="1"/>
  <c r="K26" i="23"/>
  <c r="M26" i="23" s="1"/>
  <c r="H126" i="23" s="1"/>
  <c r="E116" i="23"/>
  <c r="E63" i="23"/>
  <c r="E113" i="23"/>
  <c r="E71" i="23"/>
  <c r="E121" i="23"/>
  <c r="E131" i="23"/>
  <c r="E81" i="23"/>
  <c r="G5" i="19"/>
  <c r="L5" i="19" s="1"/>
  <c r="J27" i="19" s="1"/>
  <c r="B27" i="19"/>
  <c r="E27" i="19" s="1"/>
  <c r="K20" i="23"/>
  <c r="M20" i="23" s="1"/>
  <c r="H120" i="23" s="1"/>
  <c r="H72" i="23"/>
  <c r="H64" i="23"/>
  <c r="H87" i="23"/>
  <c r="D51" i="20"/>
  <c r="F83" i="23"/>
  <c r="G83" i="23" s="1"/>
  <c r="J25" i="6"/>
  <c r="O5" i="19" s="1"/>
  <c r="K33" i="23"/>
  <c r="M33" i="23" s="1"/>
  <c r="H133" i="23" s="1"/>
  <c r="N8" i="16"/>
  <c r="N8" i="19"/>
  <c r="K30" i="19" s="1"/>
  <c r="K33" i="20"/>
  <c r="M33" i="20" s="1"/>
  <c r="H95" i="23"/>
  <c r="K49" i="23"/>
  <c r="M49" i="23" s="1"/>
  <c r="H65" i="23"/>
  <c r="K101" i="20"/>
  <c r="M101" i="20" s="1"/>
  <c r="F61" i="23"/>
  <c r="G61" i="23" s="1"/>
  <c r="H67" i="23"/>
  <c r="H145" i="23"/>
  <c r="K11" i="23"/>
  <c r="M11" i="23" s="1"/>
  <c r="H111" i="23" s="1"/>
  <c r="K11" i="20"/>
  <c r="M11" i="20" s="1"/>
  <c r="T126" i="24"/>
  <c r="N7" i="16"/>
  <c r="J24" i="8"/>
  <c r="O7" i="19" s="1"/>
  <c r="N5" i="16"/>
  <c r="E108" i="23"/>
  <c r="S120" i="24"/>
  <c r="E122" i="24"/>
  <c r="E123" i="24"/>
  <c r="S123" i="24" s="1"/>
  <c r="S124" i="24"/>
  <c r="D126" i="24"/>
  <c r="E126" i="24" s="1"/>
  <c r="H59" i="23"/>
  <c r="H109" i="23"/>
  <c r="G41" i="23"/>
  <c r="I41" i="23" s="1"/>
  <c r="E141" i="23" s="1"/>
  <c r="H84" i="23"/>
  <c r="H134" i="23"/>
  <c r="H108" i="23"/>
  <c r="H58" i="23"/>
  <c r="H126" i="24"/>
  <c r="Q126" i="24"/>
  <c r="H113" i="23"/>
  <c r="H63" i="23"/>
  <c r="J26" i="9"/>
  <c r="N9" i="19"/>
  <c r="K31" i="19" s="1"/>
  <c r="N9" i="16"/>
  <c r="E120" i="23"/>
  <c r="E70" i="23"/>
  <c r="I6" i="23"/>
  <c r="H71" i="23"/>
  <c r="H121" i="23"/>
  <c r="B31" i="19"/>
  <c r="E31" i="19" s="1"/>
  <c r="G9" i="19"/>
  <c r="L9" i="19" s="1"/>
  <c r="J31" i="19" s="1"/>
  <c r="E26" i="19"/>
  <c r="I6" i="20"/>
  <c r="G9" i="16"/>
  <c r="L9" i="16" s="1"/>
  <c r="D51" i="23"/>
  <c r="G41" i="20"/>
  <c r="I41" i="20" s="1"/>
  <c r="E133" i="23"/>
  <c r="E83" i="23"/>
  <c r="H142" i="23"/>
  <c r="H92" i="23"/>
  <c r="L4" i="19"/>
  <c r="J26" i="19" s="1"/>
  <c r="O8" i="19"/>
  <c r="O8" i="16"/>
  <c r="E125" i="23" l="1"/>
  <c r="H10" i="28"/>
  <c r="J10" i="28"/>
  <c r="M6" i="28"/>
  <c r="K6" i="28"/>
  <c r="J29" i="28"/>
  <c r="M29" i="28"/>
  <c r="K29" i="28"/>
  <c r="J20" i="28"/>
  <c r="I6" i="28"/>
  <c r="I49" i="28" s="1"/>
  <c r="H20" i="28"/>
  <c r="H29" i="28"/>
  <c r="L47" i="28"/>
  <c r="H47" i="28"/>
  <c r="H45" i="28" s="1"/>
  <c r="L43" i="28"/>
  <c r="H43" i="28"/>
  <c r="H36" i="28" s="1"/>
  <c r="R51" i="20"/>
  <c r="S51" i="20" s="1"/>
  <c r="D36" i="28"/>
  <c r="E49" i="28"/>
  <c r="K49" i="28" s="1"/>
  <c r="D45" i="28"/>
  <c r="F49" i="28"/>
  <c r="G51" i="27"/>
  <c r="I51" i="27" s="1"/>
  <c r="L10" i="28"/>
  <c r="K25" i="20"/>
  <c r="M25" i="20" s="1"/>
  <c r="D51" i="27"/>
  <c r="F41" i="27"/>
  <c r="H41" i="27" s="1"/>
  <c r="O4" i="19"/>
  <c r="H26" i="27"/>
  <c r="F25" i="27"/>
  <c r="H25" i="27" s="1"/>
  <c r="E61" i="23"/>
  <c r="H97" i="23"/>
  <c r="K126" i="24"/>
  <c r="S126" i="24" s="1"/>
  <c r="R126" i="24"/>
  <c r="S122" i="24"/>
  <c r="K93" i="20"/>
  <c r="M93" i="20" s="1"/>
  <c r="M47" i="20"/>
  <c r="K41" i="20"/>
  <c r="M41" i="20" s="1"/>
  <c r="K25" i="23"/>
  <c r="M25" i="23" s="1"/>
  <c r="H125" i="23" s="1"/>
  <c r="K77" i="20"/>
  <c r="M77" i="20" s="1"/>
  <c r="H70" i="23"/>
  <c r="H76" i="23"/>
  <c r="G10" i="19"/>
  <c r="L10" i="19" s="1"/>
  <c r="B32" i="19"/>
  <c r="H61" i="23"/>
  <c r="F91" i="23"/>
  <c r="G91" i="23" s="1"/>
  <c r="O5" i="16"/>
  <c r="F75" i="23"/>
  <c r="G75" i="23" s="1"/>
  <c r="H83" i="23"/>
  <c r="H99" i="23"/>
  <c r="K41" i="23"/>
  <c r="M41" i="23" s="1"/>
  <c r="H141" i="23" s="1"/>
  <c r="H149" i="23"/>
  <c r="O7" i="16"/>
  <c r="G51" i="23"/>
  <c r="I51" i="23" s="1"/>
  <c r="E151" i="23" s="1"/>
  <c r="E91" i="23"/>
  <c r="E106" i="23"/>
  <c r="E56" i="23"/>
  <c r="G10" i="16"/>
  <c r="G51" i="20"/>
  <c r="I51" i="20" s="1"/>
  <c r="E32" i="19"/>
  <c r="O9" i="19"/>
  <c r="O9" i="16"/>
  <c r="L45" i="28" l="1"/>
  <c r="J45" i="28"/>
  <c r="L36" i="28"/>
  <c r="J36" i="28"/>
  <c r="M49" i="28"/>
  <c r="L29" i="28"/>
  <c r="H75" i="23"/>
  <c r="O10" i="19"/>
  <c r="N10" i="19"/>
  <c r="H91" i="23"/>
  <c r="E101" i="23"/>
  <c r="O10" i="16"/>
  <c r="N10" i="16"/>
  <c r="L10" i="16"/>
  <c r="KX50" i="22"/>
  <c r="KZ50" i="22" s="1"/>
  <c r="KZ9" i="22"/>
  <c r="E7" i="31" s="1"/>
  <c r="H7" i="31" s="1"/>
  <c r="I7" i="31" l="1"/>
  <c r="E6" i="31"/>
  <c r="D7" i="28"/>
  <c r="J7" i="28" s="1"/>
  <c r="L20" i="28"/>
  <c r="K7" i="20"/>
  <c r="M7" i="20" s="1"/>
  <c r="F57" i="23"/>
  <c r="F56" i="23" s="1"/>
  <c r="F7" i="27"/>
  <c r="K7" i="23"/>
  <c r="K59" i="20"/>
  <c r="H6" i="31" l="1"/>
  <c r="H49" i="31" s="1"/>
  <c r="E49" i="31"/>
  <c r="I6" i="31"/>
  <c r="D6" i="28"/>
  <c r="J6" i="28" s="1"/>
  <c r="H7" i="28"/>
  <c r="H6" i="28" s="1"/>
  <c r="H49" i="28" s="1"/>
  <c r="D49" i="28"/>
  <c r="J49" i="28" s="1"/>
  <c r="L6" i="28"/>
  <c r="L7" i="28"/>
  <c r="F101" i="23"/>
  <c r="G101" i="23" s="1"/>
  <c r="K6" i="20"/>
  <c r="K51" i="20" s="1"/>
  <c r="M51" i="20" s="1"/>
  <c r="G56" i="23"/>
  <c r="G57" i="23"/>
  <c r="K58" i="20"/>
  <c r="M59" i="20"/>
  <c r="K6" i="23"/>
  <c r="M7" i="23"/>
  <c r="H107" i="23" s="1"/>
  <c r="F6" i="27"/>
  <c r="H7" i="27"/>
  <c r="I49" i="31" l="1"/>
  <c r="L49" i="28"/>
  <c r="M6" i="20"/>
  <c r="F51" i="27"/>
  <c r="H51" i="27" s="1"/>
  <c r="H6" i="27"/>
  <c r="K51" i="23"/>
  <c r="M51" i="23" s="1"/>
  <c r="M6" i="23"/>
  <c r="K103" i="20"/>
  <c r="M103" i="20" s="1"/>
  <c r="M58" i="20"/>
  <c r="H57" i="23"/>
  <c r="H106" i="23" l="1"/>
  <c r="H56" i="23"/>
  <c r="H101" i="23"/>
  <c r="H151" i="23"/>
  <c r="B27" i="28"/>
  <c r="B47" i="28"/>
  <c r="B17" i="28"/>
  <c r="B13" i="28"/>
  <c r="B22" i="28"/>
  <c r="B31" i="28"/>
  <c r="B11" i="28"/>
  <c r="B18" i="28"/>
  <c r="B46" i="28"/>
  <c r="B45" i="28" s="1"/>
  <c r="B8" i="28"/>
  <c r="B30" i="28"/>
  <c r="B29" i="28" s="1"/>
  <c r="B23" i="28"/>
  <c r="B9" i="28"/>
  <c r="B10" i="28"/>
  <c r="B14" i="28"/>
  <c r="B32" i="28"/>
  <c r="B38" i="28"/>
  <c r="B42" i="28"/>
  <c r="B39" i="28"/>
  <c r="B15" i="28"/>
  <c r="B26" i="28"/>
  <c r="B16" i="28"/>
  <c r="B24" i="28"/>
  <c r="B34" i="28"/>
  <c r="B25" i="28"/>
  <c r="B12" i="28"/>
  <c r="B43" i="28"/>
  <c r="B41" i="28"/>
  <c r="B40" i="28"/>
  <c r="B33" i="28"/>
  <c r="B21" i="28"/>
  <c r="B20" i="28" s="1"/>
  <c r="B37" i="28"/>
  <c r="B36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tc={DE2298AD-78FA-4C0A-86B9-4C37DB0C0435}</author>
  </authors>
  <commentList>
    <comment ref="B5" authorId="0" shapeId="0" xr:uid="{DE2298AD-78FA-4C0A-86B9-4C37DB0C0435}">
      <text>
        <t>[Threaded comment]
Your version of Excel allows you to read this threaded comment; however, any edits to it will get removed if the file is opened in a newer version of Excel. Learn more: https://go.microsoft.com/fwlink/?linkid=870924
Comment:
    MIKHAEL &amp; SERAN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tc={B32DB91B-3C43-498A-9E5A-68FC742FABF6}</author>
  </authors>
  <commentList>
    <comment ref="C21" authorId="0" shapeId="0" xr:uid="{B32DB91B-3C43-498A-9E5A-68FC742FABF6}">
      <text>
        <t>[Threaded comment]
Your version of Excel allows you to read this threaded comment; however, any edits to it will get removed if the file is opened in a newer version of Excel. Learn more: https://go.microsoft.com/fwlink/?linkid=870924
Comment:
    MIKHAEL &amp; SERAN</t>
      </text>
    </comment>
  </commentList>
</comments>
</file>

<file path=xl/sharedStrings.xml><?xml version="1.0" encoding="utf-8"?>
<sst xmlns="http://schemas.openxmlformats.org/spreadsheetml/2006/main" count="2262" uniqueCount="285">
  <si>
    <t>Block</t>
  </si>
  <si>
    <t>HA per Block</t>
  </si>
  <si>
    <t>Budget 2025</t>
  </si>
  <si>
    <t>1st Round</t>
  </si>
  <si>
    <t>2nd Round</t>
  </si>
  <si>
    <t>3rd Round</t>
  </si>
  <si>
    <t>Total</t>
  </si>
  <si>
    <t>26A</t>
  </si>
  <si>
    <t>All Blocks</t>
  </si>
  <si>
    <t>HARVESTER TEAM: DARSO GANG</t>
  </si>
  <si>
    <t>HARVESTER TEAM: WENDERLINUS GANG</t>
  </si>
  <si>
    <t>OVERALL PERFORMANCE</t>
  </si>
  <si>
    <r>
      <t>Licensee:</t>
    </r>
    <r>
      <rPr>
        <sz val="11"/>
        <color theme="1"/>
        <rFont val="Calibri"/>
        <family val="2"/>
        <scheme val="minor"/>
      </rPr>
      <t xml:space="preserve"> Polima Forest Bintulu Sdn Bhd</t>
    </r>
  </si>
  <si>
    <r>
      <t>Subject:</t>
    </r>
    <r>
      <rPr>
        <sz val="11"/>
        <color theme="1"/>
        <rFont val="Calibri"/>
        <family val="2"/>
        <scheme val="minor"/>
      </rPr>
      <t xml:space="preserve"> Proposed FFB Estimate Production for Year 2025</t>
    </r>
  </si>
  <si>
    <t>PHASE</t>
  </si>
  <si>
    <t>BLK</t>
  </si>
  <si>
    <t>Age (mth)</t>
  </si>
  <si>
    <t>Harvest Yr.</t>
  </si>
  <si>
    <t>Mt/ha/yr</t>
  </si>
  <si>
    <t>Mt/ha/ mth</t>
  </si>
  <si>
    <t>HA</t>
  </si>
  <si>
    <t>Jan 
(5%)</t>
  </si>
  <si>
    <t>Feb 
(4%)</t>
  </si>
  <si>
    <t>Mar 
(7%)</t>
  </si>
  <si>
    <t>Apr 
(7%)</t>
  </si>
  <si>
    <t>May 
(7%)</t>
  </si>
  <si>
    <t>Jun 
(7%)</t>
  </si>
  <si>
    <t>Jul 
(8%)</t>
  </si>
  <si>
    <t>Aug (10%)</t>
  </si>
  <si>
    <t>Sep (10%)</t>
  </si>
  <si>
    <t>Oct 
(14%)</t>
  </si>
  <si>
    <t>Nov (11%)</t>
  </si>
  <si>
    <t>Dec (10%)</t>
  </si>
  <si>
    <t>Total (100%)</t>
  </si>
  <si>
    <t>OP2010</t>
  </si>
  <si>
    <t>156-168</t>
  </si>
  <si>
    <t>150-162</t>
  </si>
  <si>
    <t>144-156</t>
  </si>
  <si>
    <t>OP2011</t>
  </si>
  <si>
    <t>138-150</t>
  </si>
  <si>
    <t>OP2012</t>
  </si>
  <si>
    <t>132-144</t>
  </si>
  <si>
    <t>OP2015</t>
  </si>
  <si>
    <t>48-60</t>
  </si>
  <si>
    <t>26 A</t>
  </si>
  <si>
    <t>26 B</t>
  </si>
  <si>
    <t>FORESTRY RESERVED</t>
  </si>
  <si>
    <t>60-72</t>
  </si>
  <si>
    <t>30-48</t>
  </si>
  <si>
    <t>SH</t>
  </si>
  <si>
    <t>Not yet planted</t>
  </si>
  <si>
    <t>OP/T2016</t>
  </si>
  <si>
    <t>84-96</t>
  </si>
  <si>
    <t>HARVESTOR</t>
  </si>
  <si>
    <t>BLOCK</t>
  </si>
  <si>
    <t>HA PER BLOCK</t>
  </si>
  <si>
    <t>TOTAL BLOCKS HA</t>
  </si>
  <si>
    <t>BUDGET 2025</t>
  </si>
  <si>
    <t>1ST ROUND</t>
  </si>
  <si>
    <t>2ND ROUND</t>
  </si>
  <si>
    <t>3RD ROUND</t>
  </si>
  <si>
    <t>4TH ROUND</t>
  </si>
  <si>
    <t>TOTAL</t>
  </si>
  <si>
    <t>MIKHAEL GANG</t>
  </si>
  <si>
    <t>DARSO GANG</t>
  </si>
  <si>
    <t>ERDI GANG</t>
  </si>
  <si>
    <t>SERAN GANG</t>
  </si>
  <si>
    <t>NU AZANI GANG</t>
  </si>
  <si>
    <t xml:space="preserve">WENDERLINUS GANG </t>
  </si>
  <si>
    <t>PALM OIL TREE RECORD VS FFB BUDGET 2025 RECORD</t>
  </si>
  <si>
    <t>COUPE</t>
  </si>
  <si>
    <t>HA (REPORT)</t>
  </si>
  <si>
    <t>HA(BASED ON FFB BUDGET 2025</t>
  </si>
  <si>
    <t>OP/T2015</t>
  </si>
  <si>
    <t>33A</t>
  </si>
  <si>
    <t>HARVEST TEAM</t>
  </si>
  <si>
    <t xml:space="preserve"> </t>
  </si>
  <si>
    <t>HARVESTER TEAM: NU AZANI GANG</t>
  </si>
  <si>
    <t>OVERALL PERFORMANCE - BY HARVESTER GANG</t>
  </si>
  <si>
    <t>Gang</t>
  </si>
  <si>
    <t>Total HA</t>
  </si>
  <si>
    <t>MONTH :</t>
  </si>
  <si>
    <t>JULY</t>
  </si>
  <si>
    <t>GANG</t>
  </si>
  <si>
    <t>YEAR</t>
  </si>
  <si>
    <t xml:space="preserve">BLOCK </t>
  </si>
  <si>
    <t>TOTAL MANDAY</t>
  </si>
  <si>
    <t>1ST RD</t>
  </si>
  <si>
    <t>2ND RD</t>
  </si>
  <si>
    <t>3RD RD</t>
  </si>
  <si>
    <t>4TH RD</t>
  </si>
  <si>
    <t>FFB&amp;LF PRODUCTION</t>
  </si>
  <si>
    <t>NO</t>
  </si>
  <si>
    <t>FFB/MT</t>
  </si>
  <si>
    <t>LF/MT</t>
  </si>
  <si>
    <t>FERDINADUS SERAN GANG</t>
  </si>
  <si>
    <t>WENDELINUS</t>
  </si>
  <si>
    <t>TOTAL MANDAYS TODAY</t>
  </si>
  <si>
    <t>SUB TOTAL (MT)</t>
  </si>
  <si>
    <t>TOTAL MANDAYS TODATE</t>
  </si>
  <si>
    <t>AVERAGE HARVESTING INTERVAL</t>
  </si>
  <si>
    <t>GRAND TOTAL(MT) :</t>
  </si>
  <si>
    <t>REMARK</t>
  </si>
  <si>
    <t>Manday</t>
  </si>
  <si>
    <t>TOTAL MANPOWER:</t>
  </si>
  <si>
    <t>TOTAL ON LONG LEAVE:</t>
  </si>
  <si>
    <t>MT / Manday</t>
  </si>
  <si>
    <t>HA per person</t>
  </si>
  <si>
    <t>MT per person</t>
  </si>
  <si>
    <t>Total Manpower</t>
  </si>
  <si>
    <t>Total on Long Leave</t>
  </si>
  <si>
    <t>Ratio HA to MT per person</t>
  </si>
  <si>
    <t>YUVENTUS UN GANG - (PREVIOUSLY LED BY MIKHAEL)</t>
  </si>
  <si>
    <t>*MIKHAEL led the gang until end of June 2025</t>
  </si>
  <si>
    <t>In July 2025 the report continued using MIKHAEL's name as leader of the gang.</t>
  </si>
  <si>
    <t>Should be have YUVENTUS UN</t>
  </si>
  <si>
    <t>HARVESTER PERFORMANCE COMPARISON FOR CURRENT MONTH VS. PREVIOUS MONTH</t>
  </si>
  <si>
    <t>AUGUST 2025 (1st-15th)</t>
  </si>
  <si>
    <t>1st round differences is +57.57MT between July and August 2025 for period of 1st to 15th.</t>
  </si>
  <si>
    <t>2nd round differences is -30.52MT between July and August 2025 for period of 1st to 15th.</t>
  </si>
  <si>
    <t>Total differences is +27.05MT between July and August 2025 for period of 1st to 15th.</t>
  </si>
  <si>
    <t>SUMMARY</t>
  </si>
  <si>
    <t>Harvesting Round:</t>
  </si>
  <si>
    <t>Manpower:</t>
  </si>
  <si>
    <t>Total Manpower decreased by 9 persons, from 70 to 61 persons between July and August 2025 for period of 1st to 15th.</t>
  </si>
  <si>
    <t>The decreased of manpower suspected to be from the Total on Long Leave since July 2025 and resigned.</t>
  </si>
  <si>
    <t>Despite the manpower decreased, Manday has increase of 58 Mandays.</t>
  </si>
  <si>
    <t>*If there is increase in MT / Manday, this indicates more manpower required to harvest one MT.</t>
  </si>
  <si>
    <t>*If there is decrease in MT / Manday, this indicates less manpower required to harvest one MT.</t>
  </si>
  <si>
    <t>MT Ratio by Manday:</t>
  </si>
  <si>
    <t>MT Ratio by per Person</t>
  </si>
  <si>
    <t>*If there is increase in MT / per person, this indicates increase in harvest.</t>
  </si>
  <si>
    <t>From increasing to decreasing  MT / Manday by GANG between July and August 2025 for period of 1st to 15th..</t>
  </si>
  <si>
    <t>From increasing to decreasing  MT / per person by GANG between July and August 2025 for period of 1st to 15th..</t>
  </si>
  <si>
    <t>*If there is decrease in MT / per person, this indicates decrease in harvest.</t>
  </si>
  <si>
    <t>YUVENTUS GANG</t>
  </si>
  <si>
    <t>NU AZANI</t>
  </si>
  <si>
    <t xml:space="preserve">ERDI </t>
  </si>
  <si>
    <t>SEPTEMBER 2025 (1st-15th)</t>
  </si>
  <si>
    <t>1:0.65</t>
  </si>
  <si>
    <t>1:0.66</t>
  </si>
  <si>
    <t>1:0.42</t>
  </si>
  <si>
    <t>1:0.68</t>
  </si>
  <si>
    <t>1:0.52</t>
  </si>
  <si>
    <t>1:0.39</t>
  </si>
  <si>
    <t>1:0.58</t>
  </si>
  <si>
    <t>SEPTEMBER VS. AUGUST 2025 DIFFERENCES (1st-15th)</t>
  </si>
  <si>
    <t>JANUARY</t>
  </si>
  <si>
    <t>FEBRUARY</t>
  </si>
  <si>
    <t>MARCH</t>
  </si>
  <si>
    <t>MAY</t>
  </si>
  <si>
    <t>JUNE</t>
  </si>
  <si>
    <t>AUGUST</t>
  </si>
  <si>
    <t>SEPTEMBER</t>
  </si>
  <si>
    <t>OCTOBER</t>
  </si>
  <si>
    <t>NOVEMBER</t>
  </si>
  <si>
    <t>DECEMBER</t>
  </si>
  <si>
    <r>
      <t>POLIMA FOREST BINTULU SDN. BHD.</t>
    </r>
    <r>
      <rPr>
        <b/>
        <sz val="12"/>
        <color theme="1"/>
        <rFont val="Aptos Display"/>
        <family val="2"/>
      </rPr>
      <t xml:space="preserve">  (Company No. 749886-W)</t>
    </r>
  </si>
  <si>
    <t xml:space="preserve"> 4.4 Harvesting Round Record of  2025</t>
  </si>
  <si>
    <t>MONTH OF JULY</t>
  </si>
  <si>
    <t>APRIL</t>
  </si>
  <si>
    <t>OP/T2014</t>
  </si>
  <si>
    <t>PHASE 4,5,6</t>
  </si>
  <si>
    <t>OP2014</t>
  </si>
  <si>
    <t>OP2008</t>
  </si>
  <si>
    <t>26B</t>
  </si>
  <si>
    <t>Remarks:-</t>
  </si>
  <si>
    <t>1. Sick leave taken since raining when they worked.</t>
  </si>
  <si>
    <t>2. GT54 vehicle down since clucth lining on 21/10/2023 and they using GT53 at the same time.</t>
  </si>
  <si>
    <t>HARVESTER PERFORMANCE CHART FOR THE MONTH OF SEPT 2024 (1ST - 30TH)</t>
  </si>
  <si>
    <t>1st Round (MT)</t>
  </si>
  <si>
    <t>2nd Round (MT)</t>
  </si>
  <si>
    <t>3rd Round (MT)</t>
  </si>
  <si>
    <t>Budget 2025 (MT)</t>
  </si>
  <si>
    <t>Actual Total (MT)</t>
  </si>
  <si>
    <t xml:space="preserve">Actual 
</t>
  </si>
  <si>
    <t>MT / HA OF THE MONTH</t>
  </si>
  <si>
    <t xml:space="preserve">YTD </t>
  </si>
  <si>
    <t xml:space="preserve">Budget 2025 
</t>
  </si>
  <si>
    <t>YTD MT / HA</t>
  </si>
  <si>
    <t xml:space="preserve">Jan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</si>
  <si>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</si>
  <si>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</si>
  <si>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</si>
  <si>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</si>
  <si>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</si>
  <si>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</si>
  <si>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</si>
  <si>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</si>
  <si>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</si>
  <si>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</si>
  <si>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</si>
  <si>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 FFB BUDGET</t>
  </si>
  <si>
    <t>SEPT</t>
  </si>
  <si>
    <t>OCT</t>
  </si>
  <si>
    <t>NOV</t>
  </si>
  <si>
    <t>DEC</t>
  </si>
  <si>
    <t>2025 YTD</t>
  </si>
  <si>
    <t>YTD</t>
  </si>
  <si>
    <t>FFB PRODUCTION OF THE MONTH</t>
  </si>
  <si>
    <t>YTD ACTUAL</t>
  </si>
  <si>
    <t>YTD ACTUAL MT / HA</t>
  </si>
  <si>
    <t>2024 YTD</t>
  </si>
  <si>
    <t xml:space="preserve">ACTUAL FFB PRODUCTION OF THE MONTH (MT)
</t>
  </si>
  <si>
    <t xml:space="preserve">ACTUAL MT / HA OF THE MONTH
</t>
  </si>
  <si>
    <t>HARVESTER PERFORMANCE COMPARISON FOR CURRENT MONTH VS. PREVIOUS MONTH &amp; VS PAST YEAR'S MONTH</t>
  </si>
  <si>
    <t xml:space="preserve">Actual MT / HA OF THE MONTH
</t>
  </si>
  <si>
    <t xml:space="preserve">Actual  YTD  
</t>
  </si>
  <si>
    <t xml:space="preserve">Actual  YTD MT / HA 
</t>
  </si>
  <si>
    <t xml:space="preserve">Sept-25 vs Aug-25 Diff. (%)
</t>
  </si>
  <si>
    <t>Sept-25 vs Aug-25  Diff. (%)</t>
  </si>
  <si>
    <t xml:space="preserve">Sept-25 vs Sept-24
  Diff. (%)
</t>
  </si>
  <si>
    <t>Sept-25 vs Sept-24
  Diff. (%)</t>
  </si>
  <si>
    <t/>
  </si>
  <si>
    <t>1st round</t>
  </si>
  <si>
    <t>days taken</t>
  </si>
  <si>
    <t>average FFB per day</t>
  </si>
  <si>
    <t>2nd round</t>
  </si>
  <si>
    <t>3rd round</t>
  </si>
  <si>
    <t>manday</t>
  </si>
  <si>
    <t>2024 under Gang Darso</t>
  </si>
  <si>
    <t>2024 under Gang Wenderlinus</t>
  </si>
  <si>
    <t>2024 under Gang Mikhael</t>
  </si>
  <si>
    <t>Total blocks covered</t>
  </si>
  <si>
    <t>2025 vs 2024 Diff.</t>
  </si>
  <si>
    <t>FFB Output (MT)</t>
  </si>
  <si>
    <t>Days Taken</t>
  </si>
  <si>
    <t>manday per day (31-2)</t>
  </si>
  <si>
    <t>FFB Output / Manday per day</t>
  </si>
  <si>
    <t>START DATE</t>
  </si>
  <si>
    <t>END DATE DATE</t>
  </si>
  <si>
    <t>DAYS TAKEN</t>
  </si>
  <si>
    <t>AVG HARVEST PER DAY</t>
  </si>
  <si>
    <t>1st &amp; 2nd round interval</t>
  </si>
  <si>
    <t>2024 
1st &amp; 2nd round interval</t>
  </si>
  <si>
    <t>2025 
1st &amp; 2nd round interval</t>
  </si>
  <si>
    <t>2024 
2nd &amp; 3rd round interval</t>
  </si>
  <si>
    <t>SOFIO MODENTUS MISSA GANG</t>
  </si>
  <si>
    <t>YUVENTUS UN GANG</t>
  </si>
  <si>
    <t xml:space="preserve">YUVENTUS UN GANG </t>
  </si>
  <si>
    <t>SOFIO MODENTUS MISSA GANG - previously SERAN</t>
  </si>
  <si>
    <t>ERDI GANG - to be taken by YUDI</t>
  </si>
  <si>
    <t>ERDI GANG - not yet formed</t>
  </si>
  <si>
    <t>MIKHAEL GANG - continuing in 2024</t>
  </si>
  <si>
    <t>HARVESTER TEAM: YUVENTUS UN GANG</t>
  </si>
  <si>
    <t>HARVESTER TEAM: SOFIO MODENTUS MISSA GANG - previously SERAN</t>
  </si>
  <si>
    <t>ERDI  - to be taken by YUDI</t>
  </si>
  <si>
    <t>FFB INTERVAL 2025 VS 2024 FOR THE MONTH OF NOVEMBER</t>
  </si>
  <si>
    <t>2025 
2nd &amp; 3rd round interval</t>
  </si>
  <si>
    <t>YTD (MT)</t>
  </si>
  <si>
    <t>Budget (MT)</t>
  </si>
  <si>
    <t>JAN TOTAL</t>
  </si>
  <si>
    <t>FEB TOTAL</t>
  </si>
  <si>
    <t>MAR TOTAL</t>
  </si>
  <si>
    <t>APR TOTAL</t>
  </si>
  <si>
    <t>MAY TOTAL</t>
  </si>
  <si>
    <t>JUN TOTAL</t>
  </si>
  <si>
    <t>JUL TOTAL</t>
  </si>
  <si>
    <t>AUG TOTAL</t>
  </si>
  <si>
    <t>SEP TOTAL</t>
  </si>
  <si>
    <t>OCT TOTAL</t>
  </si>
  <si>
    <t>NOV TOTAL</t>
  </si>
  <si>
    <t>DEC TOTAL</t>
  </si>
  <si>
    <t>HARVESTER PERFORMANCE CHART FOR THE MONTH OF DEC 2025 (1ST - 31ST)</t>
  </si>
  <si>
    <t>YUDI</t>
  </si>
  <si>
    <t>Harvest for Dec (MT)</t>
  </si>
  <si>
    <t xml:space="preserve">Dec-25 vs Nov-25 Diff. (%)
</t>
  </si>
  <si>
    <t xml:space="preserve">Dec-25 vs Dec-24
  Diff. (%)
</t>
  </si>
  <si>
    <t>YUDI GANG -previously ERDI GANG</t>
  </si>
  <si>
    <t>*block 105, 0.15ton not included in YTD</t>
  </si>
  <si>
    <t>*block 114, 0.15ton not included in YTD</t>
  </si>
  <si>
    <t>HARVESTER TEAM: YUDI GANG - previously ERDI GANG</t>
  </si>
  <si>
    <t>year 2024</t>
  </si>
  <si>
    <t>O/P</t>
  </si>
  <si>
    <t>YIELD TO DATE OF CURRENT YEAR VS. PAST YEAR</t>
  </si>
  <si>
    <r>
      <t>Subject:</t>
    </r>
    <r>
      <rPr>
        <sz val="11"/>
        <color theme="1"/>
        <rFont val="Calibri"/>
        <family val="2"/>
        <scheme val="minor"/>
      </rPr>
      <t xml:space="preserve"> Proposed FFB Estimate Production for Year 2024</t>
    </r>
  </si>
  <si>
    <t>120-138</t>
  </si>
  <si>
    <t>114-126</t>
  </si>
  <si>
    <t>120-132</t>
  </si>
  <si>
    <t>108-120</t>
  </si>
  <si>
    <t>Variance (MT)</t>
  </si>
  <si>
    <t>Achievement (%)</t>
  </si>
  <si>
    <t>2025 vs 2024</t>
  </si>
  <si>
    <t>Actual Variance  (MT)</t>
  </si>
  <si>
    <t>YTD 
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</si>
</sst>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#,##0.000"/>
    <numFmt numFmtId="166" formatCode="#,##0.00;[Red]#,##0.00"/>
    <numFmt numFmtId="167" formatCode="_(* #,##0.00_);_(* \(#,##0.00\);_(* &quot;-&quot;??_);_(@_)"/>
  </numFmts>
  <fonts count="4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sz val="12"/>
      <name val="Times New Roman"/>
      <family val="1"/>
    </font>
    <font>
      <b/>
      <sz val="11"/>
      <name val="Aptos Display"/>
      <family val="2"/>
    </font>
    <font>
      <b/>
      <sz val="12"/>
      <color theme="1"/>
      <name val="Aptos Display"/>
      <family val="2"/>
    </font>
    <font>
      <sz val="11"/>
      <name val="Aptos Display"/>
      <family val="2"/>
    </font>
    <font>
      <sz val="12"/>
      <color theme="1"/>
      <name val="Aptos Display"/>
      <family val="2"/>
    </font>
    <font>
      <sz val="11"/>
      <color rgb="FFFF0000"/>
      <name val="Aptos Display"/>
      <family val="2"/>
    </font>
    <font>
      <b/>
      <u/>
      <sz val="11"/>
      <color theme="1"/>
      <name val="Aptos Display"/>
      <family val="2"/>
    </font>
    <font>
      <b/>
      <sz val="11"/>
      <color rgb="FFFF0000"/>
      <name val="Aptos Display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2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24"/>
      <name val="Calibri"/>
      <family val="2"/>
      <scheme val="minor"/>
    </font>
    <font>
      <sz val="1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2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rgb="FFFF0000"/>
      <name val="Aptos Display"/>
      <family val="2"/>
    </font>
    <font>
      <u/>
      <sz val="12"/>
      <color theme="1"/>
      <name val="Aptos Display"/>
      <family val="2"/>
    </font>
    <font>
      <b/>
      <sz val="14"/>
      <color theme="1"/>
      <name val="Aptos Display"/>
      <family val="2"/>
    </font>
    <font>
      <b/>
      <sz val="16"/>
      <color theme="1"/>
      <name val="Aptos Display"/>
      <family val="2"/>
    </font>
    <font>
      <b/>
      <sz val="16"/>
      <color rgb="FFFF0000"/>
      <name val="Aptos Display"/>
      <family val="2"/>
    </font>
    <font>
      <b/>
      <sz val="12"/>
      <name val="Aptos Display"/>
      <family val="2"/>
    </font>
    <font>
      <b/>
      <i/>
      <u/>
      <sz val="11"/>
      <color theme="1"/>
      <name val="Aptos Display"/>
      <family val="2"/>
    </font>
    <font>
      <b/>
      <u/>
      <sz val="11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6"/>
      <name val="Aptos Display"/>
      <family val="2"/>
    </font>
  </fonts>
  <fills count="3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Trellis">
        <fgColor theme="7" tint="0.39994506668294322"/>
        <bgColor theme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9" tint="-0.249977111117893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/>
      <diagonal/>
    </border>
    <border>
      <left style="thick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6">
    <xf numFmtId="0" fontId="0" fillId="0" borderId="0"/>
    <xf numFmtId="0" fontId="3" fillId="0" borderId="0"/>
    <xf numFmtId="0" fontId="7" fillId="0" borderId="0">
      <alignment vertical="center"/>
    </xf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43" fillId="0" borderId="0"/>
    <xf numFmtId="0" fontId="3" fillId="26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108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right"/>
    </xf>
    <xf numFmtId="0" fontId="2" fillId="0" borderId="0" xfId="0" applyFont="1"/>
    <xf numFmtId="2" fontId="1" fillId="0" borderId="0" xfId="0" applyNumberFormat="1" applyFont="1"/>
    <xf numFmtId="0" fontId="1" fillId="0" borderId="0" xfId="0" applyFont="1"/>
    <xf numFmtId="2" fontId="0" fillId="0" borderId="0" xfId="0" applyNumberFormat="1"/>
    <xf numFmtId="0" fontId="1" fillId="0" borderId="1" xfId="0" applyFont="1" applyBorder="1" applyAlignment="1">
      <alignment vertical="top" wrapText="1"/>
    </xf>
    <xf numFmtId="2" fontId="1" fillId="0" borderId="1" xfId="0" applyNumberFormat="1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2" fontId="0" fillId="0" borderId="1" xfId="0" applyNumberFormat="1" applyBorder="1"/>
    <xf numFmtId="3" fontId="0" fillId="2" borderId="1" xfId="0" applyNumberFormat="1" applyFill="1" applyBorder="1"/>
    <xf numFmtId="3" fontId="1" fillId="2" borderId="0" xfId="0" applyNumberFormat="1" applyFont="1" applyFill="1"/>
    <xf numFmtId="3" fontId="1" fillId="3" borderId="0" xfId="0" applyNumberFormat="1" applyFont="1" applyFill="1"/>
    <xf numFmtId="3" fontId="4" fillId="2" borderId="1" xfId="0" applyNumberFormat="1" applyFont="1" applyFill="1" applyBorder="1"/>
    <xf numFmtId="0" fontId="0" fillId="4" borderId="1" xfId="0" applyFill="1" applyBorder="1" applyAlignment="1">
      <alignment horizontal="right"/>
    </xf>
    <xf numFmtId="0" fontId="5" fillId="0" borderId="0" xfId="1" applyFont="1" applyAlignment="1">
      <alignment horizontal="center"/>
    </xf>
    <xf numFmtId="0" fontId="5" fillId="0" borderId="0" xfId="1" applyFont="1"/>
    <xf numFmtId="0" fontId="6" fillId="0" borderId="0" xfId="1" applyFont="1"/>
    <xf numFmtId="0" fontId="6" fillId="0" borderId="1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8" fillId="5" borderId="7" xfId="2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center" vertical="center" wrapText="1"/>
    </xf>
    <xf numFmtId="0" fontId="8" fillId="7" borderId="8" xfId="2" applyFont="1" applyFill="1" applyBorder="1" applyAlignment="1">
      <alignment horizontal="center" vertical="center" wrapText="1"/>
    </xf>
    <xf numFmtId="0" fontId="8" fillId="8" borderId="9" xfId="2" applyFont="1" applyFill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6" fillId="0" borderId="0" xfId="1" applyFont="1" applyAlignment="1">
      <alignment wrapText="1"/>
    </xf>
    <xf numFmtId="0" fontId="5" fillId="9" borderId="1" xfId="1" applyFont="1" applyFill="1" applyBorder="1" applyAlignment="1">
      <alignment horizontal="center"/>
    </xf>
    <xf numFmtId="2" fontId="5" fillId="0" borderId="1" xfId="1" applyNumberFormat="1" applyFont="1" applyBorder="1" applyAlignment="1">
      <alignment horizontal="center"/>
    </xf>
    <xf numFmtId="164" fontId="5" fillId="0" borderId="13" xfId="1" applyNumberFormat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164" fontId="5" fillId="0" borderId="14" xfId="1" applyNumberFormat="1" applyFont="1" applyBorder="1" applyAlignment="1">
      <alignment horizontal="center" vertical="center"/>
    </xf>
    <xf numFmtId="164" fontId="6" fillId="0" borderId="10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10" borderId="1" xfId="1" applyFont="1" applyFill="1" applyBorder="1" applyAlignment="1">
      <alignment horizontal="center"/>
    </xf>
    <xf numFmtId="0" fontId="5" fillId="11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0" fontId="5" fillId="12" borderId="1" xfId="1" applyFont="1" applyFill="1" applyBorder="1" applyAlignment="1">
      <alignment horizontal="center"/>
    </xf>
    <xf numFmtId="0" fontId="5" fillId="13" borderId="1" xfId="1" applyFont="1" applyFill="1" applyBorder="1" applyAlignment="1">
      <alignment horizontal="center"/>
    </xf>
    <xf numFmtId="164" fontId="10" fillId="0" borderId="1" xfId="1" applyNumberFormat="1" applyFont="1" applyBorder="1" applyAlignment="1">
      <alignment horizontal="center" vertical="center"/>
    </xf>
    <xf numFmtId="0" fontId="11" fillId="0" borderId="0" xfId="1" applyFont="1"/>
    <xf numFmtId="4" fontId="9" fillId="0" borderId="1" xfId="1" applyNumberFormat="1" applyFont="1" applyBorder="1" applyAlignment="1">
      <alignment horizontal="center"/>
    </xf>
    <xf numFmtId="165" fontId="6" fillId="0" borderId="19" xfId="1" applyNumberFormat="1" applyFont="1" applyBorder="1" applyAlignment="1">
      <alignment horizontal="center" vertical="center"/>
    </xf>
    <xf numFmtId="165" fontId="6" fillId="0" borderId="20" xfId="1" applyNumberFormat="1" applyFont="1" applyBorder="1" applyAlignment="1">
      <alignment horizontal="center" vertical="center"/>
    </xf>
    <xf numFmtId="165" fontId="6" fillId="0" borderId="21" xfId="1" applyNumberFormat="1" applyFont="1" applyBorder="1" applyAlignment="1">
      <alignment horizontal="center" vertical="center"/>
    </xf>
    <xf numFmtId="4" fontId="6" fillId="0" borderId="10" xfId="1" applyNumberFormat="1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12" fillId="0" borderId="0" xfId="1" applyFont="1"/>
    <xf numFmtId="0" fontId="10" fillId="0" borderId="0" xfId="1" applyFont="1"/>
    <xf numFmtId="0" fontId="13" fillId="0" borderId="0" xfId="1" applyFont="1"/>
    <xf numFmtId="0" fontId="13" fillId="0" borderId="0" xfId="1" applyFont="1" applyAlignment="1">
      <alignment horizontal="center"/>
    </xf>
    <xf numFmtId="0" fontId="13" fillId="0" borderId="0" xfId="1" applyFont="1" applyAlignment="1">
      <alignment horizontal="right"/>
    </xf>
    <xf numFmtId="0" fontId="6" fillId="0" borderId="1" xfId="1" applyFont="1" applyBorder="1" applyAlignment="1">
      <alignment vertical="center" wrapText="1"/>
    </xf>
    <xf numFmtId="2" fontId="5" fillId="0" borderId="1" xfId="1" applyNumberFormat="1" applyFont="1" applyBorder="1" applyAlignment="1">
      <alignment horizontal="right"/>
    </xf>
    <xf numFmtId="0" fontId="5" fillId="0" borderId="1" xfId="1" applyFont="1" applyBorder="1"/>
    <xf numFmtId="0" fontId="5" fillId="0" borderId="0" xfId="1" applyFont="1" applyAlignment="1">
      <alignment vertical="center"/>
    </xf>
    <xf numFmtId="1" fontId="5" fillId="0" borderId="0" xfId="1" applyNumberFormat="1" applyFont="1" applyAlignment="1">
      <alignment horizontal="center"/>
    </xf>
    <xf numFmtId="2" fontId="5" fillId="0" borderId="0" xfId="1" applyNumberFormat="1" applyFont="1" applyAlignment="1">
      <alignment horizontal="right"/>
    </xf>
    <xf numFmtId="2" fontId="6" fillId="0" borderId="0" xfId="1" applyNumberFormat="1" applyFont="1"/>
    <xf numFmtId="0" fontId="5" fillId="0" borderId="0" xfId="1" applyFont="1" applyAlignment="1">
      <alignment horizontal="right"/>
    </xf>
    <xf numFmtId="0" fontId="5" fillId="0" borderId="1" xfId="1" applyFont="1" applyBorder="1" applyAlignment="1">
      <alignment horizontal="right"/>
    </xf>
    <xf numFmtId="0" fontId="5" fillId="0" borderId="1" xfId="1" applyFont="1" applyBorder="1" applyAlignment="1">
      <alignment horizontal="center"/>
    </xf>
    <xf numFmtId="0" fontId="11" fillId="0" borderId="0" xfId="1" applyFont="1" applyAlignment="1">
      <alignment horizontal="right"/>
    </xf>
    <xf numFmtId="0" fontId="14" fillId="0" borderId="0" xfId="1" applyFont="1"/>
    <xf numFmtId="0" fontId="8" fillId="0" borderId="1" xfId="1" applyFont="1" applyBorder="1" applyAlignment="1">
      <alignment horizontal="center" vertical="top" wrapText="1"/>
    </xf>
    <xf numFmtId="0" fontId="8" fillId="0" borderId="1" xfId="1" applyFont="1" applyBorder="1" applyAlignment="1">
      <alignment vertical="top" wrapText="1"/>
    </xf>
    <xf numFmtId="0" fontId="5" fillId="10" borderId="22" xfId="1" applyFont="1" applyFill="1" applyBorder="1" applyAlignment="1">
      <alignment horizontal="center"/>
    </xf>
    <xf numFmtId="0" fontId="10" fillId="0" borderId="1" xfId="1" applyFont="1" applyBorder="1" applyAlignment="1">
      <alignment horizontal="center" wrapText="1"/>
    </xf>
    <xf numFmtId="0" fontId="10" fillId="0" borderId="1" xfId="1" applyFont="1" applyBorder="1"/>
    <xf numFmtId="0" fontId="5" fillId="11" borderId="22" xfId="1" applyFont="1" applyFill="1" applyBorder="1" applyAlignment="1">
      <alignment horizontal="center"/>
    </xf>
    <xf numFmtId="0" fontId="5" fillId="9" borderId="22" xfId="1" applyFont="1" applyFill="1" applyBorder="1" applyAlignment="1">
      <alignment horizontal="center"/>
    </xf>
    <xf numFmtId="0" fontId="5" fillId="12" borderId="22" xfId="1" applyFont="1" applyFill="1" applyBorder="1" applyAlignment="1">
      <alignment horizontal="center"/>
    </xf>
    <xf numFmtId="0" fontId="5" fillId="2" borderId="22" xfId="1" applyFont="1" applyFill="1" applyBorder="1" applyAlignment="1">
      <alignment horizontal="center"/>
    </xf>
    <xf numFmtId="0" fontId="5" fillId="13" borderId="22" xfId="1" applyFont="1" applyFill="1" applyBorder="1" applyAlignment="1">
      <alignment horizontal="center"/>
    </xf>
    <xf numFmtId="0" fontId="15" fillId="0" borderId="0" xfId="0" applyFont="1"/>
    <xf numFmtId="0" fontId="16" fillId="0" borderId="1" xfId="0" applyFont="1" applyBorder="1" applyAlignment="1">
      <alignment vertical="top" wrapText="1"/>
    </xf>
    <xf numFmtId="3" fontId="15" fillId="2" borderId="1" xfId="0" applyNumberFormat="1" applyFont="1" applyFill="1" applyBorder="1"/>
    <xf numFmtId="3" fontId="16" fillId="2" borderId="0" xfId="0" applyNumberFormat="1" applyFont="1" applyFill="1"/>
    <xf numFmtId="0" fontId="4" fillId="0" borderId="0" xfId="0" applyFont="1"/>
    <xf numFmtId="0" fontId="17" fillId="0" borderId="1" xfId="0" applyFont="1" applyBorder="1" applyAlignment="1">
      <alignment vertical="top" wrapText="1"/>
    </xf>
    <xf numFmtId="3" fontId="17" fillId="2" borderId="0" xfId="0" applyNumberFormat="1" applyFont="1" applyFill="1"/>
    <xf numFmtId="3" fontId="17" fillId="3" borderId="0" xfId="0" applyNumberFormat="1" applyFont="1" applyFill="1"/>
    <xf numFmtId="0" fontId="12" fillId="13" borderId="1" xfId="1" applyFont="1" applyFill="1" applyBorder="1" applyAlignment="1">
      <alignment horizontal="center"/>
    </xf>
    <xf numFmtId="2" fontId="12" fillId="0" borderId="1" xfId="1" applyNumberFormat="1" applyFont="1" applyBorder="1" applyAlignment="1">
      <alignment horizontal="center"/>
    </xf>
    <xf numFmtId="164" fontId="12" fillId="0" borderId="13" xfId="1" applyNumberFormat="1" applyFont="1" applyBorder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164" fontId="12" fillId="0" borderId="14" xfId="1" applyNumberFormat="1" applyFont="1" applyBorder="1" applyAlignment="1">
      <alignment horizontal="center" vertical="center"/>
    </xf>
    <xf numFmtId="164" fontId="14" fillId="0" borderId="10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4" fontId="0" fillId="0" borderId="1" xfId="0" applyNumberFormat="1" applyBorder="1"/>
    <xf numFmtId="3" fontId="4" fillId="0" borderId="0" xfId="0" applyNumberFormat="1" applyFont="1"/>
    <xf numFmtId="2" fontId="15" fillId="0" borderId="0" xfId="0" applyNumberFormat="1" applyFont="1"/>
    <xf numFmtId="3" fontId="15" fillId="0" borderId="0" xfId="0" applyNumberFormat="1" applyFont="1"/>
    <xf numFmtId="2" fontId="1" fillId="0" borderId="1" xfId="0" applyNumberFormat="1" applyFont="1" applyBorder="1"/>
    <xf numFmtId="2" fontId="0" fillId="0" borderId="1" xfId="0" applyNumberFormat="1" applyBorder="1" applyAlignment="1">
      <alignment wrapText="1"/>
    </xf>
    <xf numFmtId="0" fontId="1" fillId="0" borderId="1" xfId="0" applyFont="1" applyBorder="1"/>
    <xf numFmtId="0" fontId="18" fillId="0" borderId="1" xfId="0" applyFont="1" applyBorder="1" applyAlignment="1">
      <alignment wrapText="1"/>
    </xf>
    <xf numFmtId="0" fontId="19" fillId="14" borderId="0" xfId="0" applyFont="1" applyFill="1" applyAlignment="1">
      <alignment horizontal="center"/>
    </xf>
    <xf numFmtId="0" fontId="20" fillId="14" borderId="0" xfId="0" applyFont="1" applyFill="1"/>
    <xf numFmtId="0" fontId="20" fillId="14" borderId="0" xfId="0" applyFont="1" applyFill="1" applyAlignment="1">
      <alignment horizontal="center"/>
    </xf>
    <xf numFmtId="0" fontId="21" fillId="14" borderId="0" xfId="0" applyFont="1" applyFill="1" applyAlignment="1">
      <alignment horizontal="center"/>
    </xf>
    <xf numFmtId="0" fontId="21" fillId="14" borderId="0" xfId="0" applyFont="1" applyFill="1"/>
    <xf numFmtId="0" fontId="20" fillId="14" borderId="2" xfId="0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20" fillId="14" borderId="4" xfId="0" applyFont="1" applyFill="1" applyBorder="1" applyAlignment="1">
      <alignment horizontal="center"/>
    </xf>
    <xf numFmtId="0" fontId="20" fillId="14" borderId="23" xfId="0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0" fillId="7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/>
    </xf>
    <xf numFmtId="0" fontId="20" fillId="15" borderId="1" xfId="0" applyFont="1" applyFill="1" applyBorder="1" applyAlignment="1">
      <alignment horizontal="center"/>
    </xf>
    <xf numFmtId="0" fontId="20" fillId="15" borderId="4" xfId="0" applyFont="1" applyFill="1" applyBorder="1" applyAlignment="1">
      <alignment horizontal="center"/>
    </xf>
    <xf numFmtId="0" fontId="20" fillId="14" borderId="1" xfId="0" applyFont="1" applyFill="1" applyBorder="1" applyAlignment="1">
      <alignment horizontal="center"/>
    </xf>
    <xf numFmtId="164" fontId="20" fillId="14" borderId="0" xfId="0" applyNumberFormat="1" applyFont="1" applyFill="1"/>
    <xf numFmtId="164" fontId="22" fillId="14" borderId="0" xfId="0" applyNumberFormat="1" applyFont="1" applyFill="1"/>
    <xf numFmtId="0" fontId="20" fillId="14" borderId="3" xfId="0" applyFont="1" applyFill="1" applyBorder="1" applyAlignment="1">
      <alignment horizontal="center"/>
    </xf>
    <xf numFmtId="164" fontId="20" fillId="8" borderId="4" xfId="0" applyNumberFormat="1" applyFont="1" applyFill="1" applyBorder="1" applyAlignment="1">
      <alignment vertical="center"/>
    </xf>
    <xf numFmtId="1" fontId="20" fillId="14" borderId="1" xfId="0" applyNumberFormat="1" applyFont="1" applyFill="1" applyBorder="1" applyAlignment="1">
      <alignment horizontal="center"/>
    </xf>
    <xf numFmtId="0" fontId="19" fillId="14" borderId="26" xfId="0" applyFont="1" applyFill="1" applyBorder="1" applyAlignment="1">
      <alignment vertical="top" textRotation="255" wrapText="1"/>
    </xf>
    <xf numFmtId="0" fontId="23" fillId="14" borderId="0" xfId="0" applyFont="1" applyFill="1" applyAlignment="1">
      <alignment horizontal="center" vertical="top" textRotation="255"/>
    </xf>
    <xf numFmtId="0" fontId="20" fillId="14" borderId="0" xfId="0" applyFont="1" applyFill="1" applyAlignment="1">
      <alignment horizontal="center" vertical="top" textRotation="180" wrapText="1"/>
    </xf>
    <xf numFmtId="0" fontId="20" fillId="14" borderId="0" xfId="0" applyFont="1" applyFill="1" applyAlignment="1">
      <alignment horizontal="center" textRotation="180" wrapText="1"/>
    </xf>
    <xf numFmtId="0" fontId="20" fillId="14" borderId="26" xfId="0" applyFont="1" applyFill="1" applyBorder="1" applyAlignment="1">
      <alignment vertical="top" textRotation="255" wrapText="1"/>
    </xf>
    <xf numFmtId="0" fontId="20" fillId="14" borderId="0" xfId="0" applyFont="1" applyFill="1" applyAlignment="1">
      <alignment vertical="top" textRotation="255" wrapText="1"/>
    </xf>
    <xf numFmtId="0" fontId="19" fillId="14" borderId="0" xfId="0" applyFont="1" applyFill="1" applyAlignment="1">
      <alignment vertical="top" textRotation="255" wrapText="1"/>
    </xf>
    <xf numFmtId="0" fontId="25" fillId="0" borderId="0" xfId="0" applyFont="1"/>
    <xf numFmtId="0" fontId="20" fillId="14" borderId="0" xfId="0" applyFont="1" applyFill="1" applyAlignment="1">
      <alignment vertical="top"/>
    </xf>
    <xf numFmtId="0" fontId="26" fillId="0" borderId="0" xfId="0" applyFont="1"/>
    <xf numFmtId="0" fontId="20" fillId="14" borderId="0" xfId="0" applyFont="1" applyFill="1" applyAlignment="1">
      <alignment horizontal="left"/>
    </xf>
    <xf numFmtId="0" fontId="27" fillId="14" borderId="0" xfId="0" applyFont="1" applyFill="1" applyAlignment="1">
      <alignment vertical="top" textRotation="255" wrapText="1"/>
    </xf>
    <xf numFmtId="0" fontId="28" fillId="14" borderId="0" xfId="0" applyFont="1" applyFill="1"/>
    <xf numFmtId="0" fontId="20" fillId="14" borderId="0" xfId="0" quotePrefix="1" applyFont="1" applyFill="1"/>
    <xf numFmtId="0" fontId="20" fillId="14" borderId="5" xfId="0" applyFont="1" applyFill="1" applyBorder="1"/>
    <xf numFmtId="0" fontId="20" fillId="14" borderId="6" xfId="0" applyFont="1" applyFill="1" applyBorder="1"/>
    <xf numFmtId="0" fontId="19" fillId="14" borderId="1" xfId="0" applyFont="1" applyFill="1" applyBorder="1"/>
    <xf numFmtId="0" fontId="24" fillId="7" borderId="0" xfId="0" applyFont="1" applyFill="1" applyAlignment="1">
      <alignment textRotation="255" wrapText="1"/>
    </xf>
    <xf numFmtId="164" fontId="20" fillId="7" borderId="2" xfId="0" applyNumberFormat="1" applyFont="1" applyFill="1" applyBorder="1" applyAlignment="1">
      <alignment vertical="center"/>
    </xf>
    <xf numFmtId="164" fontId="20" fillId="7" borderId="4" xfId="0" applyNumberFormat="1" applyFont="1" applyFill="1" applyBorder="1" applyAlignment="1">
      <alignment vertical="center"/>
    </xf>
    <xf numFmtId="164" fontId="20" fillId="8" borderId="2" xfId="0" applyNumberFormat="1" applyFont="1" applyFill="1" applyBorder="1" applyAlignment="1">
      <alignment vertical="center"/>
    </xf>
    <xf numFmtId="0" fontId="19" fillId="14" borderId="2" xfId="0" applyFont="1" applyFill="1" applyBorder="1" applyAlignment="1">
      <alignment vertical="center" wrapText="1"/>
    </xf>
    <xf numFmtId="0" fontId="19" fillId="14" borderId="4" xfId="0" applyFont="1" applyFill="1" applyBorder="1" applyAlignment="1">
      <alignment vertical="center" wrapText="1"/>
    </xf>
    <xf numFmtId="164" fontId="20" fillId="5" borderId="2" xfId="0" applyNumberFormat="1" applyFont="1" applyFill="1" applyBorder="1" applyAlignment="1">
      <alignment vertical="center"/>
    </xf>
    <xf numFmtId="164" fontId="20" fillId="5" borderId="4" xfId="0" applyNumberFormat="1" applyFont="1" applyFill="1" applyBorder="1" applyAlignment="1">
      <alignment vertical="center"/>
    </xf>
    <xf numFmtId="164" fontId="20" fillId="3" borderId="2" xfId="0" applyNumberFormat="1" applyFont="1" applyFill="1" applyBorder="1" applyAlignment="1">
      <alignment vertical="center"/>
    </xf>
    <xf numFmtId="164" fontId="20" fillId="3" borderId="4" xfId="0" applyNumberFormat="1" applyFont="1" applyFill="1" applyBorder="1" applyAlignment="1">
      <alignment vertical="center"/>
    </xf>
    <xf numFmtId="0" fontId="20" fillId="21" borderId="2" xfId="0" applyFont="1" applyFill="1" applyBorder="1" applyAlignment="1">
      <alignment vertical="center" wrapText="1"/>
    </xf>
    <xf numFmtId="0" fontId="20" fillId="21" borderId="4" xfId="0" applyFont="1" applyFill="1" applyBorder="1" applyAlignment="1">
      <alignment vertical="center" wrapText="1"/>
    </xf>
    <xf numFmtId="0" fontId="20" fillId="14" borderId="2" xfId="0" applyFont="1" applyFill="1" applyBorder="1" applyAlignment="1">
      <alignment vertical="center"/>
    </xf>
    <xf numFmtId="0" fontId="20" fillId="14" borderId="4" xfId="0" applyFont="1" applyFill="1" applyBorder="1" applyAlignment="1">
      <alignment vertical="center"/>
    </xf>
    <xf numFmtId="1" fontId="19" fillId="14" borderId="2" xfId="0" applyNumberFormat="1" applyFont="1" applyFill="1" applyBorder="1" applyAlignment="1">
      <alignment vertical="center"/>
    </xf>
    <xf numFmtId="1" fontId="19" fillId="14" borderId="4" xfId="0" applyNumberFormat="1" applyFont="1" applyFill="1" applyBorder="1" applyAlignment="1">
      <alignment vertical="center"/>
    </xf>
    <xf numFmtId="0" fontId="20" fillId="21" borderId="3" xfId="0" applyFont="1" applyFill="1" applyBorder="1" applyAlignment="1">
      <alignment vertical="center" wrapText="1"/>
    </xf>
    <xf numFmtId="1" fontId="19" fillId="14" borderId="2" xfId="0" applyNumberFormat="1" applyFont="1" applyFill="1" applyBorder="1"/>
    <xf numFmtId="1" fontId="19" fillId="14" borderId="4" xfId="0" applyNumberFormat="1" applyFont="1" applyFill="1" applyBorder="1"/>
    <xf numFmtId="0" fontId="19" fillId="14" borderId="0" xfId="0" applyFont="1" applyFill="1"/>
    <xf numFmtId="0" fontId="21" fillId="14" borderId="23" xfId="0" applyFont="1" applyFill="1" applyBorder="1"/>
    <xf numFmtId="0" fontId="20" fillId="5" borderId="5" xfId="0" applyFont="1" applyFill="1" applyBorder="1" applyAlignment="1">
      <alignment vertical="center" wrapText="1"/>
    </xf>
    <xf numFmtId="0" fontId="20" fillId="5" borderId="10" xfId="0" applyFont="1" applyFill="1" applyBorder="1" applyAlignment="1">
      <alignment vertical="center" wrapText="1"/>
    </xf>
    <xf numFmtId="0" fontId="20" fillId="3" borderId="5" xfId="0" applyFont="1" applyFill="1" applyBorder="1" applyAlignment="1">
      <alignment vertical="center" wrapText="1"/>
    </xf>
    <xf numFmtId="0" fontId="20" fillId="3" borderId="10" xfId="0" applyFont="1" applyFill="1" applyBorder="1" applyAlignment="1">
      <alignment vertical="center" wrapText="1"/>
    </xf>
    <xf numFmtId="0" fontId="20" fillId="7" borderId="5" xfId="0" applyFont="1" applyFill="1" applyBorder="1" applyAlignment="1">
      <alignment vertical="center" wrapText="1"/>
    </xf>
    <xf numFmtId="0" fontId="20" fillId="7" borderId="10" xfId="0" applyFont="1" applyFill="1" applyBorder="1" applyAlignment="1">
      <alignment vertical="center" wrapText="1"/>
    </xf>
    <xf numFmtId="0" fontId="20" fillId="8" borderId="5" xfId="0" applyFont="1" applyFill="1" applyBorder="1" applyAlignment="1">
      <alignment vertical="center" wrapText="1"/>
    </xf>
    <xf numFmtId="0" fontId="20" fillId="8" borderId="10" xfId="0" applyFont="1" applyFill="1" applyBorder="1" applyAlignment="1">
      <alignment vertical="center" wrapText="1"/>
    </xf>
    <xf numFmtId="0" fontId="20" fillId="14" borderId="10" xfId="0" applyFont="1" applyFill="1" applyBorder="1"/>
    <xf numFmtId="0" fontId="19" fillId="14" borderId="5" xfId="0" applyFont="1" applyFill="1" applyBorder="1"/>
    <xf numFmtId="0" fontId="19" fillId="14" borderId="6" xfId="0" applyFont="1" applyFill="1" applyBorder="1"/>
    <xf numFmtId="0" fontId="19" fillId="14" borderId="10" xfId="0" applyFont="1" applyFill="1" applyBorder="1"/>
    <xf numFmtId="164" fontId="19" fillId="14" borderId="1" xfId="0" applyNumberFormat="1" applyFont="1" applyFill="1" applyBorder="1"/>
    <xf numFmtId="164" fontId="20" fillId="8" borderId="27" xfId="0" applyNumberFormat="1" applyFont="1" applyFill="1" applyBorder="1" applyAlignment="1">
      <alignment vertical="center"/>
    </xf>
    <xf numFmtId="164" fontId="20" fillId="8" borderId="28" xfId="0" applyNumberFormat="1" applyFont="1" applyFill="1" applyBorder="1" applyAlignment="1">
      <alignment vertical="center"/>
    </xf>
    <xf numFmtId="164" fontId="19" fillId="15" borderId="24" xfId="0" applyNumberFormat="1" applyFont="1" applyFill="1" applyBorder="1" applyAlignment="1">
      <alignment vertical="center"/>
    </xf>
    <xf numFmtId="164" fontId="19" fillId="15" borderId="25" xfId="0" applyNumberFormat="1" applyFont="1" applyFill="1" applyBorder="1" applyAlignment="1">
      <alignment vertical="center"/>
    </xf>
    <xf numFmtId="164" fontId="19" fillId="15" borderId="2" xfId="0" applyNumberFormat="1" applyFont="1" applyFill="1" applyBorder="1" applyAlignment="1">
      <alignment vertical="center"/>
    </xf>
    <xf numFmtId="164" fontId="19" fillId="15" borderId="4" xfId="0" applyNumberFormat="1" applyFont="1" applyFill="1" applyBorder="1" applyAlignment="1">
      <alignment vertical="center"/>
    </xf>
    <xf numFmtId="0" fontId="20" fillId="22" borderId="2" xfId="0" applyFont="1" applyFill="1" applyBorder="1" applyAlignment="1">
      <alignment vertical="center"/>
    </xf>
    <xf numFmtId="0" fontId="20" fillId="22" borderId="4" xfId="0" applyFont="1" applyFill="1" applyBorder="1" applyAlignment="1">
      <alignment vertical="center"/>
    </xf>
    <xf numFmtId="0" fontId="20" fillId="20" borderId="2" xfId="0" applyFont="1" applyFill="1" applyBorder="1" applyAlignment="1">
      <alignment vertical="center"/>
    </xf>
    <xf numFmtId="0" fontId="20" fillId="20" borderId="4" xfId="0" applyFont="1" applyFill="1" applyBorder="1" applyAlignment="1">
      <alignment vertical="center"/>
    </xf>
    <xf numFmtId="0" fontId="20" fillId="19" borderId="2" xfId="0" applyFont="1" applyFill="1" applyBorder="1" applyAlignment="1">
      <alignment vertical="center"/>
    </xf>
    <xf numFmtId="0" fontId="20" fillId="19" borderId="4" xfId="0" applyFont="1" applyFill="1" applyBorder="1" applyAlignment="1">
      <alignment vertical="center"/>
    </xf>
    <xf numFmtId="0" fontId="20" fillId="18" borderId="2" xfId="0" applyFont="1" applyFill="1" applyBorder="1" applyAlignment="1">
      <alignment vertical="center"/>
    </xf>
    <xf numFmtId="0" fontId="20" fillId="18" borderId="4" xfId="0" applyFont="1" applyFill="1" applyBorder="1" applyAlignment="1">
      <alignment vertical="center"/>
    </xf>
    <xf numFmtId="0" fontId="19" fillId="15" borderId="4" xfId="0" applyFont="1" applyFill="1" applyBorder="1" applyAlignment="1">
      <alignment vertical="center"/>
    </xf>
    <xf numFmtId="0" fontId="20" fillId="17" borderId="2" xfId="0" applyFont="1" applyFill="1" applyBorder="1" applyAlignment="1">
      <alignment vertical="center"/>
    </xf>
    <xf numFmtId="0" fontId="20" fillId="17" borderId="4" xfId="0" applyFont="1" applyFill="1" applyBorder="1" applyAlignment="1">
      <alignment vertical="center"/>
    </xf>
    <xf numFmtId="0" fontId="20" fillId="15" borderId="5" xfId="0" applyFont="1" applyFill="1" applyBorder="1" applyAlignment="1">
      <alignment vertical="center" wrapText="1"/>
    </xf>
    <xf numFmtId="0" fontId="20" fillId="15" borderId="10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2" fontId="2" fillId="0" borderId="0" xfId="0" applyNumberFormat="1" applyFont="1"/>
    <xf numFmtId="2" fontId="1" fillId="0" borderId="1" xfId="0" applyNumberFormat="1" applyFont="1" applyBorder="1" applyAlignment="1">
      <alignment wrapText="1"/>
    </xf>
    <xf numFmtId="2" fontId="1" fillId="0" borderId="29" xfId="0" applyNumberFormat="1" applyFont="1" applyBorder="1" applyAlignment="1">
      <alignment wrapText="1"/>
    </xf>
    <xf numFmtId="2" fontId="0" fillId="0" borderId="30" xfId="0" applyNumberFormat="1" applyBorder="1"/>
    <xf numFmtId="1" fontId="0" fillId="0" borderId="1" xfId="0" applyNumberFormat="1" applyBorder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2" fontId="1" fillId="0" borderId="8" xfId="0" applyNumberFormat="1" applyFont="1" applyBorder="1" applyAlignment="1">
      <alignment wrapText="1"/>
    </xf>
    <xf numFmtId="2" fontId="1" fillId="0" borderId="9" xfId="0" applyNumberFormat="1" applyFont="1" applyBorder="1" applyAlignment="1">
      <alignment wrapText="1"/>
    </xf>
    <xf numFmtId="1" fontId="0" fillId="0" borderId="13" xfId="0" applyNumberFormat="1" applyBorder="1"/>
    <xf numFmtId="2" fontId="0" fillId="0" borderId="14" xfId="0" applyNumberFormat="1" applyBorder="1"/>
    <xf numFmtId="2" fontId="1" fillId="0" borderId="19" xfId="0" applyNumberFormat="1" applyFont="1" applyBorder="1"/>
    <xf numFmtId="2" fontId="1" fillId="0" borderId="20" xfId="0" applyNumberFormat="1" applyFont="1" applyBorder="1"/>
    <xf numFmtId="0" fontId="1" fillId="0" borderId="23" xfId="0" applyFont="1" applyBorder="1" applyAlignment="1">
      <alignment wrapText="1"/>
    </xf>
    <xf numFmtId="0" fontId="0" fillId="0" borderId="6" xfId="0" applyBorder="1"/>
    <xf numFmtId="2" fontId="1" fillId="0" borderId="26" xfId="0" applyNumberFormat="1" applyFont="1" applyBorder="1"/>
    <xf numFmtId="0" fontId="1" fillId="0" borderId="21" xfId="0" applyFont="1" applyBorder="1"/>
    <xf numFmtId="0" fontId="29" fillId="3" borderId="1" xfId="0" applyFont="1" applyFill="1" applyBorder="1" applyAlignment="1">
      <alignment horizontal="left" wrapText="1"/>
    </xf>
    <xf numFmtId="0" fontId="18" fillId="0" borderId="0" xfId="0" applyFont="1"/>
    <xf numFmtId="0" fontId="30" fillId="0" borderId="0" xfId="0" applyFont="1"/>
    <xf numFmtId="2" fontId="18" fillId="0" borderId="0" xfId="0" applyNumberFormat="1" applyFont="1"/>
    <xf numFmtId="0" fontId="30" fillId="0" borderId="1" xfId="0" applyFont="1" applyBorder="1" applyAlignment="1">
      <alignment wrapText="1"/>
    </xf>
    <xf numFmtId="2" fontId="30" fillId="0" borderId="1" xfId="0" applyNumberFormat="1" applyFont="1" applyBorder="1" applyAlignment="1">
      <alignment wrapText="1"/>
    </xf>
    <xf numFmtId="2" fontId="18" fillId="0" borderId="1" xfId="0" applyNumberFormat="1" applyFont="1" applyBorder="1"/>
    <xf numFmtId="0" fontId="31" fillId="0" borderId="0" xfId="0" applyFont="1" applyAlignment="1">
      <alignment vertical="top" wrapText="1"/>
    </xf>
    <xf numFmtId="0" fontId="31" fillId="0" borderId="0" xfId="0" applyFont="1" applyAlignment="1">
      <alignment vertical="top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34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35" fillId="0" borderId="0" xfId="1" applyFont="1"/>
    <xf numFmtId="0" fontId="36" fillId="0" borderId="0" xfId="1" applyFont="1"/>
    <xf numFmtId="0" fontId="9" fillId="4" borderId="0" xfId="1" applyFont="1" applyFill="1" applyAlignment="1">
      <alignment vertical="center"/>
    </xf>
    <xf numFmtId="0" fontId="32" fillId="4" borderId="0" xfId="1" applyFont="1" applyFill="1" applyAlignment="1">
      <alignment vertical="center"/>
    </xf>
    <xf numFmtId="0" fontId="6" fillId="0" borderId="42" xfId="1" applyFont="1" applyBorder="1" applyAlignment="1">
      <alignment vertical="center"/>
    </xf>
    <xf numFmtId="0" fontId="6" fillId="0" borderId="44" xfId="1" applyFont="1" applyBorder="1" applyAlignment="1">
      <alignment vertical="center"/>
    </xf>
    <xf numFmtId="0" fontId="6" fillId="0" borderId="24" xfId="1" applyFont="1" applyBorder="1" applyAlignment="1">
      <alignment vertical="center"/>
    </xf>
    <xf numFmtId="0" fontId="6" fillId="0" borderId="31" xfId="1" applyFont="1" applyBorder="1" applyAlignment="1">
      <alignment vertical="center"/>
    </xf>
    <xf numFmtId="0" fontId="6" fillId="0" borderId="32" xfId="1" applyFont="1" applyBorder="1" applyAlignment="1">
      <alignment vertical="center"/>
    </xf>
    <xf numFmtId="0" fontId="9" fillId="0" borderId="33" xfId="1" applyFont="1" applyBorder="1" applyAlignment="1">
      <alignment vertical="center"/>
    </xf>
    <xf numFmtId="0" fontId="9" fillId="0" borderId="31" xfId="1" applyFont="1" applyBorder="1" applyAlignment="1">
      <alignment vertical="center"/>
    </xf>
    <xf numFmtId="0" fontId="9" fillId="0" borderId="32" xfId="1" applyFont="1" applyBorder="1" applyAlignment="1">
      <alignment vertical="center"/>
    </xf>
    <xf numFmtId="0" fontId="9" fillId="0" borderId="31" xfId="1" applyFont="1" applyBorder="1" applyAlignment="1">
      <alignment horizontal="center" vertical="center"/>
    </xf>
    <xf numFmtId="0" fontId="6" fillId="0" borderId="52" xfId="1" applyFont="1" applyBorder="1" applyAlignment="1">
      <alignment vertical="center"/>
    </xf>
    <xf numFmtId="0" fontId="6" fillId="0" borderId="16" xfId="1" applyFont="1" applyBorder="1" applyAlignment="1">
      <alignment vertical="center"/>
    </xf>
    <xf numFmtId="0" fontId="6" fillId="0" borderId="25" xfId="1" applyFont="1" applyBorder="1" applyAlignment="1">
      <alignment vertical="center"/>
    </xf>
    <xf numFmtId="0" fontId="6" fillId="0" borderId="38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40" xfId="1" applyFont="1" applyBorder="1" applyAlignment="1">
      <alignment vertical="center"/>
    </xf>
    <xf numFmtId="0" fontId="6" fillId="0" borderId="33" xfId="1" applyFont="1" applyBorder="1" applyAlignment="1">
      <alignment vertical="center"/>
    </xf>
    <xf numFmtId="0" fontId="6" fillId="0" borderId="43" xfId="1" applyFont="1" applyBorder="1" applyAlignment="1">
      <alignment vertical="center"/>
    </xf>
    <xf numFmtId="0" fontId="9" fillId="0" borderId="42" xfId="1" applyFont="1" applyBorder="1" applyAlignment="1">
      <alignment vertical="center"/>
    </xf>
    <xf numFmtId="0" fontId="9" fillId="0" borderId="43" xfId="1" applyFont="1" applyBorder="1" applyAlignment="1">
      <alignment vertical="center"/>
    </xf>
    <xf numFmtId="0" fontId="9" fillId="0" borderId="24" xfId="1" applyFont="1" applyBorder="1" applyAlignment="1">
      <alignment vertical="center"/>
    </xf>
    <xf numFmtId="0" fontId="37" fillId="0" borderId="42" xfId="2" applyFont="1" applyBorder="1">
      <alignment vertical="center"/>
    </xf>
    <xf numFmtId="0" fontId="37" fillId="0" borderId="43" xfId="2" applyFont="1" applyBorder="1">
      <alignment vertical="center"/>
    </xf>
    <xf numFmtId="0" fontId="9" fillId="0" borderId="24" xfId="2" applyFont="1" applyBorder="1">
      <alignment vertical="center"/>
    </xf>
    <xf numFmtId="0" fontId="9" fillId="0" borderId="42" xfId="2" applyFont="1" applyBorder="1">
      <alignment vertical="center"/>
    </xf>
    <xf numFmtId="0" fontId="9" fillId="0" borderId="53" xfId="1" applyFont="1" applyBorder="1" applyAlignment="1">
      <alignment vertical="center"/>
    </xf>
    <xf numFmtId="0" fontId="9" fillId="0" borderId="54" xfId="1" applyFont="1" applyBorder="1" applyAlignment="1">
      <alignment vertical="center"/>
    </xf>
    <xf numFmtId="0" fontId="9" fillId="0" borderId="55" xfId="1" applyFont="1" applyBorder="1" applyAlignment="1">
      <alignment vertical="center"/>
    </xf>
    <xf numFmtId="0" fontId="32" fillId="0" borderId="29" xfId="1" applyFont="1" applyBorder="1" applyAlignment="1">
      <alignment vertical="center"/>
    </xf>
    <xf numFmtId="0" fontId="9" fillId="0" borderId="29" xfId="1" applyFont="1" applyBorder="1" applyAlignment="1">
      <alignment vertical="center"/>
    </xf>
    <xf numFmtId="0" fontId="6" fillId="0" borderId="46" xfId="1" applyFont="1" applyBorder="1" applyAlignment="1">
      <alignment vertical="center"/>
    </xf>
    <xf numFmtId="0" fontId="6" fillId="0" borderId="48" xfId="1" applyFont="1" applyBorder="1" applyAlignment="1">
      <alignment vertical="center"/>
    </xf>
    <xf numFmtId="0" fontId="6" fillId="0" borderId="36" xfId="1" applyFont="1" applyBorder="1" applyAlignment="1">
      <alignment vertical="center"/>
    </xf>
    <xf numFmtId="0" fontId="5" fillId="5" borderId="56" xfId="1" applyFont="1" applyFill="1" applyBorder="1" applyAlignment="1">
      <alignment horizontal="center" vertical="center"/>
    </xf>
    <xf numFmtId="0" fontId="5" fillId="3" borderId="57" xfId="1" applyFont="1" applyFill="1" applyBorder="1" applyAlignment="1">
      <alignment horizontal="center" vertical="center"/>
    </xf>
    <xf numFmtId="0" fontId="5" fillId="7" borderId="57" xfId="1" applyFont="1" applyFill="1" applyBorder="1" applyAlignment="1">
      <alignment horizontal="center" vertical="center"/>
    </xf>
    <xf numFmtId="0" fontId="5" fillId="8" borderId="58" xfId="1" applyFont="1" applyFill="1" applyBorder="1" applyAlignment="1">
      <alignment horizontal="center" vertical="center"/>
    </xf>
    <xf numFmtId="0" fontId="5" fillId="5" borderId="59" xfId="1" applyFont="1" applyFill="1" applyBorder="1" applyAlignment="1">
      <alignment horizontal="center" vertical="center"/>
    </xf>
    <xf numFmtId="0" fontId="9" fillId="0" borderId="36" xfId="1" applyFont="1" applyBorder="1" applyAlignment="1">
      <alignment vertical="center"/>
    </xf>
    <xf numFmtId="0" fontId="10" fillId="5" borderId="59" xfId="2" applyFont="1" applyFill="1" applyBorder="1" applyAlignment="1">
      <alignment horizontal="center" vertical="center"/>
    </xf>
    <xf numFmtId="0" fontId="10" fillId="3" borderId="57" xfId="2" applyFont="1" applyFill="1" applyBorder="1" applyAlignment="1">
      <alignment horizontal="center" vertical="center"/>
    </xf>
    <xf numFmtId="0" fontId="10" fillId="7" borderId="57" xfId="2" applyFont="1" applyFill="1" applyBorder="1" applyAlignment="1">
      <alignment horizontal="center" vertical="center"/>
    </xf>
    <xf numFmtId="0" fontId="10" fillId="8" borderId="58" xfId="2" applyFont="1" applyFill="1" applyBorder="1" applyAlignment="1">
      <alignment horizontal="center" vertical="center"/>
    </xf>
    <xf numFmtId="0" fontId="9" fillId="0" borderId="36" xfId="2" applyFont="1" applyBorder="1">
      <alignment vertical="center"/>
    </xf>
    <xf numFmtId="0" fontId="10" fillId="5" borderId="53" xfId="2" applyFont="1" applyFill="1" applyBorder="1" applyAlignment="1">
      <alignment horizontal="center" vertical="center"/>
    </xf>
    <xf numFmtId="0" fontId="10" fillId="3" borderId="54" xfId="2" applyFont="1" applyFill="1" applyBorder="1" applyAlignment="1">
      <alignment horizontal="center" vertical="center"/>
    </xf>
    <xf numFmtId="0" fontId="10" fillId="7" borderId="54" xfId="2" applyFont="1" applyFill="1" applyBorder="1" applyAlignment="1">
      <alignment horizontal="center" vertical="center"/>
    </xf>
    <xf numFmtId="0" fontId="10" fillId="8" borderId="55" xfId="2" applyFont="1" applyFill="1" applyBorder="1" applyAlignment="1">
      <alignment horizontal="center" vertical="center"/>
    </xf>
    <xf numFmtId="0" fontId="9" fillId="0" borderId="25" xfId="2" applyFont="1" applyBorder="1">
      <alignment vertical="center"/>
    </xf>
    <xf numFmtId="0" fontId="10" fillId="8" borderId="32" xfId="2" applyFont="1" applyFill="1" applyBorder="1" applyAlignment="1">
      <alignment horizontal="center" vertical="center"/>
    </xf>
    <xf numFmtId="0" fontId="9" fillId="0" borderId="48" xfId="2" applyFont="1" applyBorder="1">
      <alignment vertical="center"/>
    </xf>
    <xf numFmtId="0" fontId="9" fillId="0" borderId="47" xfId="2" applyFont="1" applyBorder="1">
      <alignment vertical="center"/>
    </xf>
    <xf numFmtId="0" fontId="32" fillId="0" borderId="30" xfId="1" applyFont="1" applyBorder="1" applyAlignment="1">
      <alignment vertical="center"/>
    </xf>
    <xf numFmtId="0" fontId="12" fillId="5" borderId="53" xfId="2" applyFont="1" applyFill="1" applyBorder="1" applyAlignment="1">
      <alignment horizontal="center" vertical="center"/>
    </xf>
    <xf numFmtId="0" fontId="12" fillId="3" borderId="54" xfId="2" applyFont="1" applyFill="1" applyBorder="1" applyAlignment="1">
      <alignment horizontal="center" vertical="center"/>
    </xf>
    <xf numFmtId="0" fontId="12" fillId="7" borderId="54" xfId="2" applyFont="1" applyFill="1" applyBorder="1" applyAlignment="1">
      <alignment horizontal="center" vertical="center"/>
    </xf>
    <xf numFmtId="0" fontId="12" fillId="8" borderId="43" xfId="2" applyFont="1" applyFill="1" applyBorder="1" applyAlignment="1">
      <alignment horizontal="center" vertical="center"/>
    </xf>
    <xf numFmtId="0" fontId="10" fillId="8" borderId="43" xfId="2" applyFont="1" applyFill="1" applyBorder="1" applyAlignment="1">
      <alignment horizontal="center" vertical="center"/>
    </xf>
    <xf numFmtId="0" fontId="12" fillId="6" borderId="54" xfId="2" applyFont="1" applyFill="1" applyBorder="1" applyAlignment="1">
      <alignment horizontal="center" vertical="center"/>
    </xf>
    <xf numFmtId="0" fontId="10" fillId="6" borderId="54" xfId="2" applyFont="1" applyFill="1" applyBorder="1" applyAlignment="1">
      <alignment horizontal="center" vertical="center"/>
    </xf>
    <xf numFmtId="0" fontId="9" fillId="0" borderId="30" xfId="1" applyFont="1" applyBorder="1" applyAlignment="1">
      <alignment vertical="center"/>
    </xf>
    <xf numFmtId="0" fontId="5" fillId="0" borderId="42" xfId="1" applyFont="1" applyBorder="1" applyAlignment="1">
      <alignment vertical="center"/>
    </xf>
    <xf numFmtId="0" fontId="5" fillId="0" borderId="29" xfId="1" applyFont="1" applyBorder="1" applyAlignment="1">
      <alignment horizontal="center"/>
    </xf>
    <xf numFmtId="2" fontId="5" fillId="0" borderId="29" xfId="1" applyNumberFormat="1" applyFont="1" applyBorder="1" applyAlignment="1">
      <alignment horizontal="center"/>
    </xf>
    <xf numFmtId="2" fontId="11" fillId="0" borderId="38" xfId="1" applyNumberFormat="1" applyFont="1" applyBorder="1" applyAlignment="1">
      <alignment horizontal="center"/>
    </xf>
    <xf numFmtId="2" fontId="11" fillId="0" borderId="8" xfId="1" applyNumberFormat="1" applyFont="1" applyBorder="1" applyAlignment="1">
      <alignment horizontal="center"/>
    </xf>
    <xf numFmtId="0" fontId="11" fillId="0" borderId="8" xfId="1" applyFont="1" applyBorder="1" applyAlignment="1">
      <alignment horizontal="center"/>
    </xf>
    <xf numFmtId="0" fontId="11" fillId="0" borderId="40" xfId="1" applyFont="1" applyBorder="1" applyAlignment="1">
      <alignment horizontal="center"/>
    </xf>
    <xf numFmtId="164" fontId="11" fillId="0" borderId="29" xfId="1" applyNumberFormat="1" applyFont="1" applyBorder="1" applyAlignment="1">
      <alignment horizontal="center"/>
    </xf>
    <xf numFmtId="2" fontId="5" fillId="0" borderId="17" xfId="1" applyNumberFormat="1" applyFont="1" applyBorder="1" applyAlignment="1">
      <alignment horizontal="center" vertical="center"/>
    </xf>
    <xf numFmtId="0" fontId="5" fillId="0" borderId="50" xfId="1" applyFont="1" applyBorder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2" fontId="10" fillId="0" borderId="17" xfId="2" applyNumberFormat="1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10" fillId="0" borderId="50" xfId="2" applyFont="1" applyBorder="1" applyAlignment="1">
      <alignment horizontal="center" vertical="center"/>
    </xf>
    <xf numFmtId="0" fontId="10" fillId="0" borderId="39" xfId="2" applyFont="1" applyBorder="1" applyAlignment="1">
      <alignment horizontal="center" vertical="center"/>
    </xf>
    <xf numFmtId="2" fontId="10" fillId="0" borderId="4" xfId="2" applyNumberFormat="1" applyFont="1" applyBorder="1" applyAlignment="1">
      <alignment horizontal="center" vertical="center"/>
    </xf>
    <xf numFmtId="2" fontId="10" fillId="0" borderId="39" xfId="2" applyNumberFormat="1" applyFont="1" applyBorder="1" applyAlignment="1">
      <alignment horizontal="center" vertical="center"/>
    </xf>
    <xf numFmtId="164" fontId="5" fillId="0" borderId="7" xfId="1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64" fontId="5" fillId="0" borderId="42" xfId="1" applyNumberFormat="1" applyFont="1" applyBorder="1" applyAlignment="1">
      <alignment horizontal="center" vertical="center"/>
    </xf>
    <xf numFmtId="164" fontId="5" fillId="0" borderId="40" xfId="1" applyNumberFormat="1" applyFont="1" applyBorder="1" applyAlignment="1">
      <alignment horizontal="center" vertical="center"/>
    </xf>
    <xf numFmtId="164" fontId="5" fillId="0" borderId="29" xfId="1" applyNumberFormat="1" applyFont="1" applyBorder="1" applyAlignment="1">
      <alignment horizontal="center" vertical="center"/>
    </xf>
    <xf numFmtId="164" fontId="5" fillId="0" borderId="41" xfId="1" applyNumberFormat="1" applyFont="1" applyBorder="1" applyAlignment="1">
      <alignment horizontal="center" vertical="center"/>
    </xf>
    <xf numFmtId="164" fontId="5" fillId="0" borderId="44" xfId="1" applyNumberFormat="1" applyFont="1" applyBorder="1" applyAlignment="1">
      <alignment horizontal="center" vertical="center"/>
    </xf>
    <xf numFmtId="164" fontId="5" fillId="0" borderId="43" xfId="1" applyNumberFormat="1" applyFont="1" applyBorder="1" applyAlignment="1">
      <alignment horizontal="center" vertical="center"/>
    </xf>
    <xf numFmtId="164" fontId="5" fillId="0" borderId="49" xfId="1" applyNumberFormat="1" applyFont="1" applyBorder="1" applyAlignment="1">
      <alignment horizontal="center" vertical="center"/>
    </xf>
    <xf numFmtId="164" fontId="12" fillId="0" borderId="29" xfId="1" applyNumberFormat="1" applyFont="1" applyBorder="1" applyAlignment="1">
      <alignment horizontal="center" vertical="center"/>
    </xf>
    <xf numFmtId="2" fontId="12" fillId="0" borderId="7" xfId="1" applyNumberFormat="1" applyFont="1" applyBorder="1" applyAlignment="1">
      <alignment horizontal="center" vertical="center"/>
    </xf>
    <xf numFmtId="2" fontId="12" fillId="0" borderId="8" xfId="1" applyNumberFormat="1" applyFont="1" applyBorder="1" applyAlignment="1">
      <alignment horizontal="center" vertical="center"/>
    </xf>
    <xf numFmtId="2" fontId="12" fillId="0" borderId="40" xfId="1" applyNumberFormat="1" applyFont="1" applyBorder="1" applyAlignment="1">
      <alignment horizontal="center" vertical="center"/>
    </xf>
    <xf numFmtId="2" fontId="12" fillId="0" borderId="29" xfId="1" applyNumberFormat="1" applyFont="1" applyBorder="1" applyAlignment="1">
      <alignment horizontal="center" vertical="center"/>
    </xf>
    <xf numFmtId="164" fontId="12" fillId="0" borderId="7" xfId="1" applyNumberFormat="1" applyFont="1" applyBorder="1" applyAlignment="1">
      <alignment horizontal="center" vertical="center"/>
    </xf>
    <xf numFmtId="164" fontId="12" fillId="0" borderId="8" xfId="1" applyNumberFormat="1" applyFont="1" applyBorder="1" applyAlignment="1">
      <alignment horizontal="center" vertical="center"/>
    </xf>
    <xf numFmtId="164" fontId="12" fillId="0" borderId="40" xfId="1" applyNumberFormat="1" applyFont="1" applyBorder="1" applyAlignment="1">
      <alignment horizontal="center" vertical="center"/>
    </xf>
    <xf numFmtId="0" fontId="5" fillId="0" borderId="52" xfId="1" applyFont="1" applyBorder="1" applyAlignment="1">
      <alignment vertical="center"/>
    </xf>
    <xf numFmtId="0" fontId="5" fillId="0" borderId="62" xfId="1" applyFont="1" applyBorder="1" applyAlignment="1">
      <alignment horizontal="center"/>
    </xf>
    <xf numFmtId="2" fontId="5" fillId="0" borderId="62" xfId="1" applyNumberFormat="1" applyFont="1" applyBorder="1" applyAlignment="1">
      <alignment horizontal="center"/>
    </xf>
    <xf numFmtId="2" fontId="11" fillId="0" borderId="10" xfId="1" applyNumberFormat="1" applyFont="1" applyBorder="1" applyAlignment="1">
      <alignment horizontal="center"/>
    </xf>
    <xf numFmtId="2" fontId="11" fillId="0" borderId="1" xfId="1" applyNumberFormat="1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164" fontId="11" fillId="0" borderId="62" xfId="1" applyNumberFormat="1" applyFont="1" applyBorder="1" applyAlignment="1">
      <alignment horizontal="center"/>
    </xf>
    <xf numFmtId="2" fontId="5" fillId="0" borderId="10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2" fontId="10" fillId="0" borderId="10" xfId="2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2" fontId="10" fillId="0" borderId="63" xfId="2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164" fontId="5" fillId="0" borderId="22" xfId="1" applyNumberFormat="1" applyFont="1" applyBorder="1" applyAlignment="1">
      <alignment horizontal="center" vertical="center"/>
    </xf>
    <xf numFmtId="164" fontId="5" fillId="0" borderId="62" xfId="1" applyNumberFormat="1" applyFont="1" applyBorder="1" applyAlignment="1">
      <alignment horizontal="center" vertical="center"/>
    </xf>
    <xf numFmtId="164" fontId="5" fillId="0" borderId="51" xfId="1" applyNumberFormat="1" applyFont="1" applyBorder="1" applyAlignment="1">
      <alignment horizontal="center" vertical="center"/>
    </xf>
    <xf numFmtId="164" fontId="12" fillId="0" borderId="62" xfId="1" applyNumberFormat="1" applyFont="1" applyBorder="1" applyAlignment="1">
      <alignment horizontal="center" vertical="center"/>
    </xf>
    <xf numFmtId="164" fontId="12" fillId="0" borderId="5" xfId="1" applyNumberFormat="1" applyFont="1" applyBorder="1" applyAlignment="1">
      <alignment horizontal="center" vertical="center"/>
    </xf>
    <xf numFmtId="2" fontId="12" fillId="0" borderId="13" xfId="1" applyNumberFormat="1" applyFont="1" applyBorder="1" applyAlignment="1">
      <alignment horizontal="center" vertical="center"/>
    </xf>
    <xf numFmtId="2" fontId="12" fillId="0" borderId="1" xfId="1" applyNumberFormat="1" applyFont="1" applyBorder="1" applyAlignment="1">
      <alignment horizontal="center" vertical="center"/>
    </xf>
    <xf numFmtId="2" fontId="12" fillId="0" borderId="5" xfId="1" applyNumberFormat="1" applyFont="1" applyBorder="1" applyAlignment="1">
      <alignment horizontal="center" vertical="center"/>
    </xf>
    <xf numFmtId="2" fontId="12" fillId="0" borderId="62" xfId="1" applyNumberFormat="1" applyFont="1" applyBorder="1" applyAlignment="1">
      <alignment horizontal="center" vertical="center"/>
    </xf>
    <xf numFmtId="2" fontId="5" fillId="0" borderId="13" xfId="1" applyNumberFormat="1" applyFont="1" applyBorder="1" applyAlignment="1">
      <alignment horizontal="center" vertical="center"/>
    </xf>
    <xf numFmtId="2" fontId="5" fillId="0" borderId="1" xfId="1" applyNumberFormat="1" applyFont="1" applyBorder="1" applyAlignment="1">
      <alignment horizontal="center" vertical="center"/>
    </xf>
    <xf numFmtId="2" fontId="12" fillId="6" borderId="1" xfId="1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2" fontId="12" fillId="3" borderId="1" xfId="1" applyNumberFormat="1" applyFont="1" applyFill="1" applyBorder="1" applyAlignment="1">
      <alignment horizontal="center" vertical="center"/>
    </xf>
    <xf numFmtId="164" fontId="12" fillId="6" borderId="1" xfId="1" applyNumberFormat="1" applyFont="1" applyFill="1" applyBorder="1" applyAlignment="1">
      <alignment horizontal="center" vertical="center"/>
    </xf>
    <xf numFmtId="4" fontId="12" fillId="0" borderId="0" xfId="1" applyNumberFormat="1" applyFont="1" applyAlignment="1">
      <alignment horizontal="center"/>
    </xf>
    <xf numFmtId="164" fontId="12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0" fontId="5" fillId="0" borderId="46" xfId="1" applyFont="1" applyBorder="1" applyAlignment="1">
      <alignment vertical="center"/>
    </xf>
    <xf numFmtId="0" fontId="5" fillId="0" borderId="30" xfId="1" applyFont="1" applyBorder="1" applyAlignment="1">
      <alignment horizontal="center"/>
    </xf>
    <xf numFmtId="2" fontId="5" fillId="0" borderId="30" xfId="1" applyNumberFormat="1" applyFont="1" applyBorder="1" applyAlignment="1">
      <alignment horizontal="center"/>
    </xf>
    <xf numFmtId="0" fontId="5" fillId="0" borderId="39" xfId="1" applyFont="1" applyBorder="1" applyAlignment="1">
      <alignment horizontal="center"/>
    </xf>
    <xf numFmtId="2" fontId="5" fillId="0" borderId="39" xfId="1" applyNumberFormat="1" applyFont="1" applyBorder="1" applyAlignment="1">
      <alignment horizontal="center"/>
    </xf>
    <xf numFmtId="2" fontId="10" fillId="0" borderId="1" xfId="2" applyNumberFormat="1" applyFont="1" applyBorder="1" applyAlignment="1">
      <alignment horizontal="center" vertical="center"/>
    </xf>
    <xf numFmtId="0" fontId="5" fillId="0" borderId="60" xfId="1" applyFont="1" applyBorder="1" applyAlignment="1">
      <alignment horizontal="center"/>
    </xf>
    <xf numFmtId="0" fontId="5" fillId="0" borderId="24" xfId="1" applyFont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5" fillId="0" borderId="36" xfId="1" applyFont="1" applyBorder="1" applyAlignment="1">
      <alignment vertical="center"/>
    </xf>
    <xf numFmtId="2" fontId="5" fillId="0" borderId="25" xfId="1" applyNumberFormat="1" applyFont="1" applyBorder="1" applyAlignment="1">
      <alignment horizontal="center"/>
    </xf>
    <xf numFmtId="2" fontId="11" fillId="0" borderId="15" xfId="1" applyNumberFormat="1" applyFont="1" applyBorder="1" applyAlignment="1">
      <alignment horizontal="center" vertical="center"/>
    </xf>
    <xf numFmtId="2" fontId="11" fillId="0" borderId="3" xfId="1" applyNumberFormat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64" xfId="1" applyFont="1" applyBorder="1" applyAlignment="1">
      <alignment horizontal="center" vertical="center"/>
    </xf>
    <xf numFmtId="2" fontId="10" fillId="0" borderId="13" xfId="2" applyNumberFormat="1" applyFont="1" applyBorder="1" applyAlignment="1">
      <alignment horizontal="center" vertical="center"/>
    </xf>
    <xf numFmtId="2" fontId="5" fillId="0" borderId="60" xfId="1" applyNumberFormat="1" applyFont="1" applyBorder="1" applyAlignment="1">
      <alignment horizontal="center"/>
    </xf>
    <xf numFmtId="2" fontId="11" fillId="0" borderId="11" xfId="1" applyNumberFormat="1" applyFont="1" applyBorder="1" applyAlignment="1">
      <alignment horizontal="center" vertical="center"/>
    </xf>
    <xf numFmtId="2" fontId="11" fillId="0" borderId="2" xfId="1" applyNumberFormat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65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/>
    </xf>
    <xf numFmtId="164" fontId="11" fillId="0" borderId="60" xfId="1" applyNumberFormat="1" applyFont="1" applyBorder="1" applyAlignment="1">
      <alignment horizontal="center"/>
    </xf>
    <xf numFmtId="2" fontId="5" fillId="0" borderId="11" xfId="1" applyNumberFormat="1" applyFont="1" applyBorder="1" applyAlignment="1">
      <alignment horizontal="center" vertical="center"/>
    </xf>
    <xf numFmtId="0" fontId="5" fillId="0" borderId="65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2" fontId="10" fillId="0" borderId="11" xfId="2" applyNumberFormat="1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10" fillId="0" borderId="65" xfId="2" applyFont="1" applyBorder="1" applyAlignment="1">
      <alignment horizontal="center" vertical="center"/>
    </xf>
    <xf numFmtId="2" fontId="10" fillId="0" borderId="52" xfId="2" applyNumberFormat="1" applyFont="1" applyBorder="1" applyAlignment="1">
      <alignment horizontal="center" vertical="center"/>
    </xf>
    <xf numFmtId="164" fontId="5" fillId="0" borderId="66" xfId="1" applyNumberFormat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164" fontId="5" fillId="0" borderId="61" xfId="1" applyNumberFormat="1" applyFont="1" applyBorder="1" applyAlignment="1">
      <alignment horizontal="center" vertical="center"/>
    </xf>
    <xf numFmtId="164" fontId="5" fillId="0" borderId="65" xfId="1" applyNumberFormat="1" applyFont="1" applyBorder="1" applyAlignment="1">
      <alignment horizontal="center" vertical="center"/>
    </xf>
    <xf numFmtId="0" fontId="5" fillId="0" borderId="24" xfId="1" applyFont="1" applyBorder="1" applyAlignment="1">
      <alignment horizontal="center"/>
    </xf>
    <xf numFmtId="2" fontId="5" fillId="0" borderId="66" xfId="1" applyNumberFormat="1" applyFont="1" applyBorder="1" applyAlignment="1">
      <alignment horizontal="center" vertical="center"/>
    </xf>
    <xf numFmtId="2" fontId="10" fillId="0" borderId="66" xfId="2" applyNumberFormat="1" applyFont="1" applyBorder="1" applyAlignment="1">
      <alignment horizontal="center" vertical="center"/>
    </xf>
    <xf numFmtId="2" fontId="10" fillId="0" borderId="25" xfId="2" applyNumberFormat="1" applyFont="1" applyBorder="1" applyAlignment="1">
      <alignment horizontal="center" vertical="center"/>
    </xf>
    <xf numFmtId="2" fontId="12" fillId="24" borderId="13" xfId="1" applyNumberFormat="1" applyFont="1" applyFill="1" applyBorder="1" applyAlignment="1">
      <alignment horizontal="center" vertical="center"/>
    </xf>
    <xf numFmtId="2" fontId="12" fillId="24" borderId="1" xfId="1" applyNumberFormat="1" applyFont="1" applyFill="1" applyBorder="1" applyAlignment="1">
      <alignment horizontal="center" vertical="center"/>
    </xf>
    <xf numFmtId="2" fontId="12" fillId="24" borderId="5" xfId="1" applyNumberFormat="1" applyFont="1" applyFill="1" applyBorder="1" applyAlignment="1">
      <alignment horizontal="center" vertical="center"/>
    </xf>
    <xf numFmtId="0" fontId="5" fillId="0" borderId="67" xfId="1" applyFont="1" applyBorder="1" applyAlignment="1">
      <alignment vertical="center"/>
    </xf>
    <xf numFmtId="164" fontId="11" fillId="0" borderId="25" xfId="1" applyNumberFormat="1" applyFont="1" applyBorder="1" applyAlignment="1">
      <alignment horizontal="center"/>
    </xf>
    <xf numFmtId="2" fontId="5" fillId="0" borderId="68" xfId="1" applyNumberFormat="1" applyFont="1" applyBorder="1" applyAlignment="1">
      <alignment horizontal="center" vertical="center"/>
    </xf>
    <xf numFmtId="0" fontId="5" fillId="0" borderId="64" xfId="1" applyFont="1" applyBorder="1" applyAlignment="1">
      <alignment horizontal="center" vertical="center"/>
    </xf>
    <xf numFmtId="2" fontId="10" fillId="0" borderId="68" xfId="2" applyNumberFormat="1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0" fillId="0" borderId="26" xfId="2" applyFont="1" applyBorder="1" applyAlignment="1">
      <alignment horizontal="center" vertical="center"/>
    </xf>
    <xf numFmtId="164" fontId="5" fillId="0" borderId="39" xfId="1" applyNumberFormat="1" applyFont="1" applyBorder="1" applyAlignment="1">
      <alignment horizontal="center" vertical="center"/>
    </xf>
    <xf numFmtId="2" fontId="5" fillId="0" borderId="13" xfId="1" applyNumberFormat="1" applyFont="1" applyBorder="1" applyAlignment="1">
      <alignment horizontal="center"/>
    </xf>
    <xf numFmtId="2" fontId="10" fillId="0" borderId="1" xfId="1" applyNumberFormat="1" applyFont="1" applyBorder="1" applyAlignment="1">
      <alignment horizontal="center" vertical="center"/>
    </xf>
    <xf numFmtId="164" fontId="10" fillId="6" borderId="1" xfId="1" applyNumberFormat="1" applyFont="1" applyFill="1" applyBorder="1" applyAlignment="1">
      <alignment horizontal="center" vertical="center"/>
    </xf>
    <xf numFmtId="164" fontId="12" fillId="0" borderId="66" xfId="1" applyNumberFormat="1" applyFont="1" applyBorder="1" applyAlignment="1">
      <alignment horizontal="center" vertical="center"/>
    </xf>
    <xf numFmtId="164" fontId="12" fillId="0" borderId="2" xfId="1" applyNumberFormat="1" applyFont="1" applyBorder="1" applyAlignment="1">
      <alignment horizontal="center" vertical="center"/>
    </xf>
    <xf numFmtId="164" fontId="12" fillId="0" borderId="65" xfId="1" applyNumberFormat="1" applyFont="1" applyBorder="1" applyAlignment="1">
      <alignment horizontal="center" vertical="center"/>
    </xf>
    <xf numFmtId="2" fontId="5" fillId="0" borderId="36" xfId="1" applyNumberFormat="1" applyFont="1" applyBorder="1" applyAlignment="1">
      <alignment horizontal="center"/>
    </xf>
    <xf numFmtId="2" fontId="11" fillId="0" borderId="10" xfId="1" applyNumberFormat="1" applyFont="1" applyBorder="1" applyAlignment="1">
      <alignment horizontal="center" vertical="center"/>
    </xf>
    <xf numFmtId="2" fontId="11" fillId="0" borderId="1" xfId="1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5" fillId="0" borderId="62" xfId="1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2" fontId="10" fillId="0" borderId="6" xfId="2" applyNumberFormat="1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2" fontId="10" fillId="0" borderId="62" xfId="2" applyNumberFormat="1" applyFont="1" applyBorder="1" applyAlignment="1">
      <alignment horizontal="center" vertical="center"/>
    </xf>
    <xf numFmtId="164" fontId="5" fillId="0" borderId="6" xfId="1" applyNumberFormat="1" applyFont="1" applyBorder="1" applyAlignment="1">
      <alignment horizontal="center" vertical="center"/>
    </xf>
    <xf numFmtId="0" fontId="10" fillId="0" borderId="16" xfId="2" applyFont="1" applyBorder="1" applyAlignment="1">
      <alignment horizontal="center" vertical="center"/>
    </xf>
    <xf numFmtId="2" fontId="10" fillId="0" borderId="60" xfId="2" applyNumberFormat="1" applyFont="1" applyBorder="1" applyAlignment="1">
      <alignment horizontal="center" vertical="center"/>
    </xf>
    <xf numFmtId="164" fontId="5" fillId="0" borderId="68" xfId="1" applyNumberFormat="1" applyFont="1" applyBorder="1" applyAlignment="1">
      <alignment horizontal="center" vertical="center"/>
    </xf>
    <xf numFmtId="164" fontId="5" fillId="0" borderId="3" xfId="1" applyNumberFormat="1" applyFont="1" applyBorder="1" applyAlignment="1">
      <alignment horizontal="center" vertical="center"/>
    </xf>
    <xf numFmtId="164" fontId="5" fillId="0" borderId="64" xfId="1" applyNumberFormat="1" applyFont="1" applyBorder="1" applyAlignment="1">
      <alignment horizontal="center" vertical="center"/>
    </xf>
    <xf numFmtId="164" fontId="5" fillId="0" borderId="25" xfId="1" applyNumberFormat="1" applyFont="1" applyBorder="1" applyAlignment="1">
      <alignment horizontal="center" vertical="center"/>
    </xf>
    <xf numFmtId="164" fontId="5" fillId="0" borderId="16" xfId="1" applyNumberFormat="1" applyFont="1" applyBorder="1" applyAlignment="1">
      <alignment horizontal="center" vertical="center"/>
    </xf>
    <xf numFmtId="2" fontId="12" fillId="0" borderId="66" xfId="1" applyNumberFormat="1" applyFont="1" applyBorder="1" applyAlignment="1">
      <alignment horizontal="center" vertical="center"/>
    </xf>
    <xf numFmtId="2" fontId="12" fillId="0" borderId="2" xfId="1" applyNumberFormat="1" applyFont="1" applyBorder="1" applyAlignment="1">
      <alignment horizontal="center" vertical="center"/>
    </xf>
    <xf numFmtId="2" fontId="12" fillId="0" borderId="65" xfId="1" applyNumberFormat="1" applyFont="1" applyBorder="1" applyAlignment="1">
      <alignment horizontal="center" vertical="center"/>
    </xf>
    <xf numFmtId="2" fontId="12" fillId="0" borderId="30" xfId="1" applyNumberFormat="1" applyFont="1" applyBorder="1" applyAlignment="1">
      <alignment horizontal="center" vertical="center"/>
    </xf>
    <xf numFmtId="2" fontId="12" fillId="3" borderId="2" xfId="1" applyNumberFormat="1" applyFont="1" applyFill="1" applyBorder="1" applyAlignment="1">
      <alignment horizontal="center" vertical="center"/>
    </xf>
    <xf numFmtId="2" fontId="12" fillId="3" borderId="66" xfId="1" applyNumberFormat="1" applyFont="1" applyFill="1" applyBorder="1" applyAlignment="1">
      <alignment horizontal="center" vertical="center"/>
    </xf>
    <xf numFmtId="2" fontId="12" fillId="6" borderId="2" xfId="1" applyNumberFormat="1" applyFont="1" applyFill="1" applyBorder="1" applyAlignment="1">
      <alignment horizontal="center" vertical="center"/>
    </xf>
    <xf numFmtId="164" fontId="12" fillId="0" borderId="30" xfId="1" applyNumberFormat="1" applyFont="1" applyBorder="1" applyAlignment="1">
      <alignment horizontal="center" vertical="center"/>
    </xf>
    <xf numFmtId="164" fontId="5" fillId="6" borderId="2" xfId="1" applyNumberFormat="1" applyFont="1" applyFill="1" applyBorder="1" applyAlignment="1">
      <alignment horizontal="center" vertical="center"/>
    </xf>
    <xf numFmtId="164" fontId="5" fillId="0" borderId="30" xfId="1" applyNumberFormat="1" applyFont="1" applyBorder="1" applyAlignment="1">
      <alignment horizontal="center" vertical="center"/>
    </xf>
    <xf numFmtId="0" fontId="9" fillId="0" borderId="33" xfId="1" applyFont="1" applyBorder="1"/>
    <xf numFmtId="0" fontId="9" fillId="0" borderId="32" xfId="1" applyFont="1" applyBorder="1"/>
    <xf numFmtId="4" fontId="9" fillId="0" borderId="67" xfId="1" applyNumberFormat="1" applyFont="1" applyBorder="1" applyAlignment="1">
      <alignment horizontal="center"/>
    </xf>
    <xf numFmtId="4" fontId="9" fillId="0" borderId="56" xfId="1" applyNumberFormat="1" applyFont="1" applyBorder="1" applyAlignment="1">
      <alignment horizontal="center" vertical="center"/>
    </xf>
    <xf numFmtId="4" fontId="9" fillId="0" borderId="57" xfId="1" applyNumberFormat="1" applyFont="1" applyBorder="1" applyAlignment="1">
      <alignment horizontal="center" vertical="center"/>
    </xf>
    <xf numFmtId="4" fontId="9" fillId="0" borderId="58" xfId="1" applyNumberFormat="1" applyFont="1" applyBorder="1" applyAlignment="1">
      <alignment horizontal="center" vertical="center"/>
    </xf>
    <xf numFmtId="4" fontId="9" fillId="0" borderId="59" xfId="1" applyNumberFormat="1" applyFont="1" applyBorder="1" applyAlignment="1">
      <alignment horizontal="center" vertical="center"/>
    </xf>
    <xf numFmtId="4" fontId="9" fillId="0" borderId="67" xfId="1" applyNumberFormat="1" applyFont="1" applyBorder="1" applyAlignment="1">
      <alignment horizontal="center" vertical="center"/>
    </xf>
    <xf numFmtId="4" fontId="9" fillId="0" borderId="59" xfId="2" applyNumberFormat="1" applyFont="1" applyBorder="1" applyAlignment="1">
      <alignment horizontal="center" vertical="center"/>
    </xf>
    <xf numFmtId="4" fontId="9" fillId="0" borderId="57" xfId="2" applyNumberFormat="1" applyFont="1" applyBorder="1" applyAlignment="1">
      <alignment horizontal="center" vertical="center"/>
    </xf>
    <xf numFmtId="4" fontId="9" fillId="0" borderId="32" xfId="2" applyNumberFormat="1" applyFont="1" applyBorder="1" applyAlignment="1">
      <alignment horizontal="center" vertical="center"/>
    </xf>
    <xf numFmtId="4" fontId="9" fillId="0" borderId="31" xfId="1" applyNumberFormat="1" applyFont="1" applyBorder="1" applyAlignment="1">
      <alignment horizontal="center" vertical="center"/>
    </xf>
    <xf numFmtId="4" fontId="9" fillId="0" borderId="33" xfId="1" applyNumberFormat="1" applyFont="1" applyBorder="1" applyAlignment="1">
      <alignment horizontal="center" vertical="center"/>
    </xf>
    <xf numFmtId="4" fontId="6" fillId="0" borderId="59" xfId="1" applyNumberFormat="1" applyFont="1" applyBorder="1" applyAlignment="1">
      <alignment horizontal="center" vertical="center"/>
    </xf>
    <xf numFmtId="4" fontId="6" fillId="0" borderId="57" xfId="1" applyNumberFormat="1" applyFont="1" applyBorder="1" applyAlignment="1">
      <alignment horizontal="center" vertical="center"/>
    </xf>
    <xf numFmtId="4" fontId="6" fillId="0" borderId="32" xfId="1" applyNumberFormat="1" applyFont="1" applyBorder="1" applyAlignment="1">
      <alignment horizontal="center" vertical="center"/>
    </xf>
    <xf numFmtId="4" fontId="6" fillId="0" borderId="31" xfId="1" applyNumberFormat="1" applyFont="1" applyBorder="1" applyAlignment="1">
      <alignment horizontal="center" vertical="center"/>
    </xf>
    <xf numFmtId="4" fontId="6" fillId="0" borderId="33" xfId="1" applyNumberFormat="1" applyFont="1" applyBorder="1" applyAlignment="1">
      <alignment horizontal="center" vertical="center"/>
    </xf>
    <xf numFmtId="4" fontId="14" fillId="0" borderId="67" xfId="1" applyNumberFormat="1" applyFont="1" applyBorder="1" applyAlignment="1">
      <alignment horizontal="center" vertical="center"/>
    </xf>
    <xf numFmtId="4" fontId="14" fillId="0" borderId="59" xfId="1" applyNumberFormat="1" applyFont="1" applyBorder="1" applyAlignment="1">
      <alignment horizontal="center" vertical="center"/>
    </xf>
    <xf numFmtId="4" fontId="14" fillId="0" borderId="57" xfId="1" applyNumberFormat="1" applyFont="1" applyBorder="1" applyAlignment="1">
      <alignment horizontal="center" vertical="center"/>
    </xf>
    <xf numFmtId="165" fontId="14" fillId="0" borderId="59" xfId="1" applyNumberFormat="1" applyFont="1" applyBorder="1" applyAlignment="1">
      <alignment horizontal="center" vertical="center"/>
    </xf>
    <xf numFmtId="165" fontId="14" fillId="0" borderId="57" xfId="1" applyNumberFormat="1" applyFont="1" applyBorder="1" applyAlignment="1">
      <alignment horizontal="center" vertical="center"/>
    </xf>
    <xf numFmtId="165" fontId="6" fillId="0" borderId="59" xfId="1" applyNumberFormat="1" applyFont="1" applyBorder="1" applyAlignment="1">
      <alignment horizontal="center" vertical="center"/>
    </xf>
    <xf numFmtId="165" fontId="6" fillId="0" borderId="57" xfId="1" applyNumberFormat="1" applyFont="1" applyBorder="1" applyAlignment="1">
      <alignment horizontal="center" vertical="center"/>
    </xf>
    <xf numFmtId="4" fontId="6" fillId="0" borderId="67" xfId="1" applyNumberFormat="1" applyFont="1" applyBorder="1" applyAlignment="1">
      <alignment horizontal="center" vertical="center"/>
    </xf>
    <xf numFmtId="166" fontId="5" fillId="0" borderId="0" xfId="1" applyNumberFormat="1" applyFont="1"/>
    <xf numFmtId="0" fontId="38" fillId="0" borderId="0" xfId="1" applyFont="1"/>
    <xf numFmtId="4" fontId="1" fillId="0" borderId="0" xfId="0" applyNumberFormat="1" applyFont="1"/>
    <xf numFmtId="0" fontId="39" fillId="0" borderId="0" xfId="0" applyFont="1"/>
    <xf numFmtId="17" fontId="1" fillId="0" borderId="0" xfId="0" applyNumberFormat="1" applyFont="1" applyAlignment="1">
      <alignment horizontal="left"/>
    </xf>
    <xf numFmtId="0" fontId="1" fillId="0" borderId="5" xfId="0" applyFont="1" applyBorder="1" applyAlignment="1">
      <alignment wrapText="1"/>
    </xf>
    <xf numFmtId="4" fontId="0" fillId="0" borderId="5" xfId="0" applyNumberFormat="1" applyBorder="1"/>
    <xf numFmtId="0" fontId="1" fillId="0" borderId="10" xfId="0" applyFont="1" applyBorder="1" applyAlignment="1">
      <alignment wrapText="1"/>
    </xf>
    <xf numFmtId="4" fontId="0" fillId="0" borderId="10" xfId="0" applyNumberFormat="1" applyBorder="1"/>
    <xf numFmtId="0" fontId="1" fillId="0" borderId="29" xfId="0" applyFont="1" applyBorder="1" applyAlignment="1">
      <alignment wrapText="1"/>
    </xf>
    <xf numFmtId="4" fontId="1" fillId="0" borderId="62" xfId="0" applyNumberFormat="1" applyFont="1" applyBorder="1"/>
    <xf numFmtId="4" fontId="1" fillId="0" borderId="36" xfId="0" applyNumberFormat="1" applyFont="1" applyBorder="1"/>
    <xf numFmtId="4" fontId="0" fillId="0" borderId="62" xfId="0" applyNumberFormat="1" applyBorder="1"/>
    <xf numFmtId="0" fontId="18" fillId="0" borderId="0" xfId="0" applyFont="1" applyAlignment="1">
      <alignment wrapText="1"/>
    </xf>
    <xf numFmtId="4" fontId="0" fillId="0" borderId="0" xfId="0" applyNumberFormat="1"/>
    <xf numFmtId="0" fontId="1" fillId="0" borderId="0" xfId="0" applyFont="1" applyAlignment="1">
      <alignment horizontal="center"/>
    </xf>
    <xf numFmtId="0" fontId="12" fillId="7" borderId="55" xfId="2" applyFont="1" applyFill="1" applyBorder="1" applyAlignment="1">
      <alignment horizontal="center" vertical="center"/>
    </xf>
    <xf numFmtId="165" fontId="14" fillId="0" borderId="58" xfId="1" applyNumberFormat="1" applyFont="1" applyBorder="1" applyAlignment="1">
      <alignment horizontal="center" vertical="center"/>
    </xf>
    <xf numFmtId="0" fontId="32" fillId="0" borderId="0" xfId="1" applyFont="1" applyAlignment="1">
      <alignment vertical="center"/>
    </xf>
    <xf numFmtId="0" fontId="32" fillId="0" borderId="34" xfId="1" applyFont="1" applyBorder="1" applyAlignment="1">
      <alignment vertical="center"/>
    </xf>
    <xf numFmtId="0" fontId="32" fillId="0" borderId="37" xfId="1" applyFont="1" applyBorder="1" applyAlignment="1">
      <alignment vertical="center"/>
    </xf>
    <xf numFmtId="164" fontId="12" fillId="0" borderId="34" xfId="1" applyNumberFormat="1" applyFont="1" applyBorder="1" applyAlignment="1">
      <alignment horizontal="center" vertical="center"/>
    </xf>
    <xf numFmtId="164" fontId="12" fillId="0" borderId="6" xfId="1" applyNumberFormat="1" applyFont="1" applyBorder="1" applyAlignment="1">
      <alignment horizontal="center" vertical="center"/>
    </xf>
    <xf numFmtId="164" fontId="12" fillId="0" borderId="37" xfId="1" applyNumberFormat="1" applyFont="1" applyBorder="1" applyAlignment="1">
      <alignment horizontal="center" vertical="center"/>
    </xf>
    <xf numFmtId="4" fontId="14" fillId="0" borderId="31" xfId="1" applyNumberFormat="1" applyFont="1" applyBorder="1" applyAlignment="1">
      <alignment horizontal="center" vertical="center"/>
    </xf>
    <xf numFmtId="0" fontId="5" fillId="0" borderId="71" xfId="1" applyFont="1" applyBorder="1"/>
    <xf numFmtId="0" fontId="35" fillId="0" borderId="71" xfId="1" applyFont="1" applyBorder="1"/>
    <xf numFmtId="0" fontId="9" fillId="4" borderId="71" xfId="1" applyFont="1" applyFill="1" applyBorder="1" applyAlignment="1">
      <alignment vertical="center"/>
    </xf>
    <xf numFmtId="0" fontId="9" fillId="0" borderId="73" xfId="1" applyFont="1" applyBorder="1" applyAlignment="1">
      <alignment vertical="center"/>
    </xf>
    <xf numFmtId="0" fontId="10" fillId="5" borderId="73" xfId="2" applyFont="1" applyFill="1" applyBorder="1" applyAlignment="1">
      <alignment horizontal="center" vertical="center"/>
    </xf>
    <xf numFmtId="164" fontId="5" fillId="0" borderId="74" xfId="1" applyNumberFormat="1" applyFont="1" applyBorder="1" applyAlignment="1">
      <alignment horizontal="center" vertical="center"/>
    </xf>
    <xf numFmtId="164" fontId="5" fillId="0" borderId="75" xfId="1" applyNumberFormat="1" applyFont="1" applyBorder="1" applyAlignment="1">
      <alignment horizontal="center" vertical="center"/>
    </xf>
    <xf numFmtId="164" fontId="5" fillId="0" borderId="76" xfId="1" applyNumberFormat="1" applyFont="1" applyBorder="1" applyAlignment="1">
      <alignment horizontal="center" vertical="center"/>
    </xf>
    <xf numFmtId="165" fontId="6" fillId="0" borderId="72" xfId="1" applyNumberFormat="1" applyFont="1" applyBorder="1" applyAlignment="1">
      <alignment horizontal="center" vertical="center"/>
    </xf>
    <xf numFmtId="0" fontId="22" fillId="14" borderId="1" xfId="0" applyFont="1" applyFill="1" applyBorder="1" applyAlignment="1">
      <alignment horizontal="center"/>
    </xf>
    <xf numFmtId="0" fontId="20" fillId="5" borderId="4" xfId="0" applyFont="1" applyFill="1" applyBorder="1" applyAlignment="1">
      <alignment horizontal="center"/>
    </xf>
    <xf numFmtId="0" fontId="20" fillId="3" borderId="4" xfId="0" applyFont="1" applyFill="1" applyBorder="1" applyAlignment="1">
      <alignment horizontal="center"/>
    </xf>
    <xf numFmtId="4" fontId="5" fillId="0" borderId="0" xfId="1" applyNumberFormat="1" applyFont="1"/>
    <xf numFmtId="164" fontId="20" fillId="7" borderId="3" xfId="0" applyNumberFormat="1" applyFont="1" applyFill="1" applyBorder="1" applyAlignment="1">
      <alignment horizontal="center" vertical="center"/>
    </xf>
    <xf numFmtId="164" fontId="20" fillId="8" borderId="3" xfId="0" applyNumberFormat="1" applyFont="1" applyFill="1" applyBorder="1" applyAlignment="1">
      <alignment horizontal="center" vertical="center"/>
    </xf>
    <xf numFmtId="164" fontId="20" fillId="8" borderId="3" xfId="0" applyNumberFormat="1" applyFont="1" applyFill="1" applyBorder="1" applyAlignment="1">
      <alignment vertical="center"/>
    </xf>
    <xf numFmtId="0" fontId="0" fillId="0" borderId="4" xfId="0" applyBorder="1"/>
    <xf numFmtId="0" fontId="0" fillId="0" borderId="0" xfId="0" applyAlignment="1">
      <alignment horizontal="center" vertical="center"/>
    </xf>
    <xf numFmtId="164" fontId="20" fillId="8" borderId="2" xfId="0" applyNumberFormat="1" applyFont="1" applyFill="1" applyBorder="1" applyAlignment="1">
      <alignment horizontal="center" vertical="center"/>
    </xf>
    <xf numFmtId="164" fontId="20" fillId="8" borderId="4" xfId="0" applyNumberFormat="1" applyFont="1" applyFill="1" applyBorder="1" applyAlignment="1">
      <alignment horizontal="center" vertical="center"/>
    </xf>
    <xf numFmtId="164" fontId="20" fillId="7" borderId="2" xfId="0" applyNumberFormat="1" applyFont="1" applyFill="1" applyBorder="1" applyAlignment="1">
      <alignment horizontal="center" vertical="center"/>
    </xf>
    <xf numFmtId="164" fontId="20" fillId="7" borderId="4" xfId="0" applyNumberFormat="1" applyFont="1" applyFill="1" applyBorder="1" applyAlignment="1">
      <alignment horizontal="center" vertical="center"/>
    </xf>
    <xf numFmtId="164" fontId="20" fillId="7" borderId="1" xfId="0" applyNumberFormat="1" applyFont="1" applyFill="1" applyBorder="1" applyAlignment="1">
      <alignment horizontal="center" vertical="center"/>
    </xf>
    <xf numFmtId="164" fontId="20" fillId="8" borderId="1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wrapText="1"/>
    </xf>
    <xf numFmtId="0" fontId="32" fillId="0" borderId="43" xfId="1" applyFont="1" applyBorder="1" applyAlignment="1">
      <alignment vertical="center"/>
    </xf>
    <xf numFmtId="164" fontId="12" fillId="0" borderId="26" xfId="1" applyNumberFormat="1" applyFont="1" applyBorder="1" applyAlignment="1">
      <alignment horizontal="center" vertical="center"/>
    </xf>
    <xf numFmtId="4" fontId="2" fillId="0" borderId="0" xfId="0" applyNumberFormat="1" applyFont="1"/>
    <xf numFmtId="4" fontId="0" fillId="0" borderId="5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4" fontId="0" fillId="0" borderId="4" xfId="0" applyNumberFormat="1" applyBorder="1" applyAlignment="1">
      <alignment wrapText="1"/>
    </xf>
    <xf numFmtId="4" fontId="0" fillId="0" borderId="4" xfId="0" applyNumberFormat="1" applyBorder="1"/>
    <xf numFmtId="2" fontId="1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wrapText="1"/>
    </xf>
    <xf numFmtId="4" fontId="0" fillId="0" borderId="50" xfId="0" applyNumberFormat="1" applyBorder="1" applyAlignment="1">
      <alignment wrapText="1"/>
    </xf>
    <xf numFmtId="0" fontId="1" fillId="0" borderId="65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2" fontId="1" fillId="0" borderId="27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wrapText="1"/>
    </xf>
    <xf numFmtId="4" fontId="1" fillId="0" borderId="58" xfId="0" applyNumberFormat="1" applyFont="1" applyBorder="1" applyAlignment="1">
      <alignment wrapText="1"/>
    </xf>
    <xf numFmtId="4" fontId="1" fillId="0" borderId="59" xfId="0" applyNumberFormat="1" applyFont="1" applyBorder="1" applyAlignment="1">
      <alignment wrapText="1"/>
    </xf>
    <xf numFmtId="4" fontId="1" fillId="0" borderId="57" xfId="0" applyNumberFormat="1" applyFont="1" applyBorder="1" applyAlignment="1">
      <alignment wrapText="1"/>
    </xf>
    <xf numFmtId="4" fontId="1" fillId="0" borderId="57" xfId="0" applyNumberFormat="1" applyFont="1" applyBorder="1"/>
    <xf numFmtId="4" fontId="1" fillId="0" borderId="69" xfId="0" applyNumberFormat="1" applyFont="1" applyBorder="1" applyAlignment="1">
      <alignment wrapText="1"/>
    </xf>
    <xf numFmtId="4" fontId="1" fillId="0" borderId="69" xfId="0" applyNumberFormat="1" applyFont="1" applyBorder="1"/>
    <xf numFmtId="4" fontId="1" fillId="0" borderId="31" xfId="0" applyNumberFormat="1" applyFont="1" applyBorder="1"/>
    <xf numFmtId="2" fontId="1" fillId="0" borderId="57" xfId="0" applyNumberFormat="1" applyFont="1" applyBorder="1" applyAlignment="1">
      <alignment wrapText="1"/>
    </xf>
    <xf numFmtId="0" fontId="1" fillId="23" borderId="2" xfId="0" applyFont="1" applyFill="1" applyBorder="1" applyAlignment="1">
      <alignment horizontal="center" vertical="center" wrapText="1"/>
    </xf>
    <xf numFmtId="4" fontId="1" fillId="23" borderId="59" xfId="0" applyNumberFormat="1" applyFont="1" applyFill="1" applyBorder="1"/>
    <xf numFmtId="4" fontId="0" fillId="23" borderId="4" xfId="0" applyNumberFormat="1" applyFill="1" applyBorder="1"/>
    <xf numFmtId="4" fontId="0" fillId="23" borderId="1" xfId="0" applyNumberFormat="1" applyFill="1" applyBorder="1"/>
    <xf numFmtId="0" fontId="1" fillId="27" borderId="66" xfId="0" applyFont="1" applyFill="1" applyBorder="1" applyAlignment="1">
      <alignment horizontal="center" vertical="center" wrapText="1"/>
    </xf>
    <xf numFmtId="4" fontId="1" fillId="27" borderId="59" xfId="0" applyNumberFormat="1" applyFont="1" applyFill="1" applyBorder="1"/>
    <xf numFmtId="4" fontId="0" fillId="27" borderId="4" xfId="0" applyNumberFormat="1" applyFill="1" applyBorder="1"/>
    <xf numFmtId="4" fontId="0" fillId="27" borderId="1" xfId="0" applyNumberFormat="1" applyFill="1" applyBorder="1"/>
    <xf numFmtId="4" fontId="1" fillId="27" borderId="69" xfId="0" applyNumberFormat="1" applyFont="1" applyFill="1" applyBorder="1"/>
    <xf numFmtId="0" fontId="1" fillId="28" borderId="66" xfId="0" applyFont="1" applyFill="1" applyBorder="1" applyAlignment="1">
      <alignment horizontal="center" vertical="center" wrapText="1"/>
    </xf>
    <xf numFmtId="4" fontId="1" fillId="28" borderId="59" xfId="0" applyNumberFormat="1" applyFont="1" applyFill="1" applyBorder="1"/>
    <xf numFmtId="4" fontId="0" fillId="28" borderId="4" xfId="0" applyNumberFormat="1" applyFill="1" applyBorder="1"/>
    <xf numFmtId="4" fontId="0" fillId="28" borderId="1" xfId="0" applyNumberFormat="1" applyFill="1" applyBorder="1"/>
    <xf numFmtId="4" fontId="1" fillId="25" borderId="69" xfId="0" applyNumberFormat="1" applyFont="1" applyFill="1" applyBorder="1"/>
    <xf numFmtId="4" fontId="0" fillId="25" borderId="4" xfId="0" applyNumberFormat="1" applyFill="1" applyBorder="1"/>
    <xf numFmtId="4" fontId="0" fillId="25" borderId="1" xfId="0" applyNumberFormat="1" applyFill="1" applyBorder="1"/>
    <xf numFmtId="0" fontId="1" fillId="25" borderId="66" xfId="0" applyFont="1" applyFill="1" applyBorder="1" applyAlignment="1">
      <alignment horizontal="center" vertical="center" wrapText="1"/>
    </xf>
    <xf numFmtId="4" fontId="1" fillId="25" borderId="59" xfId="0" applyNumberFormat="1" applyFont="1" applyFill="1" applyBorder="1"/>
    <xf numFmtId="0" fontId="30" fillId="0" borderId="0" xfId="0" applyFont="1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/>
    <xf numFmtId="10" fontId="0" fillId="0" borderId="0" xfId="0" applyNumberFormat="1"/>
    <xf numFmtId="10" fontId="0" fillId="0" borderId="31" xfId="0" applyNumberFormat="1" applyBorder="1"/>
    <xf numFmtId="10" fontId="0" fillId="0" borderId="32" xfId="0" applyNumberFormat="1" applyBorder="1"/>
    <xf numFmtId="0" fontId="1" fillId="23" borderId="57" xfId="0" applyFont="1" applyFill="1" applyBorder="1" applyAlignment="1">
      <alignment horizontal="center" vertical="center" wrapText="1"/>
    </xf>
    <xf numFmtId="0" fontId="1" fillId="27" borderId="59" xfId="0" applyFont="1" applyFill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28" borderId="59" xfId="0" applyFont="1" applyFill="1" applyBorder="1" applyAlignment="1">
      <alignment horizontal="center" vertical="center" wrapText="1"/>
    </xf>
    <xf numFmtId="0" fontId="1" fillId="25" borderId="59" xfId="0" applyFont="1" applyFill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10" fontId="0" fillId="0" borderId="2" xfId="0" applyNumberFormat="1" applyBorder="1"/>
    <xf numFmtId="10" fontId="0" fillId="0" borderId="4" xfId="0" applyNumberFormat="1" applyBorder="1"/>
    <xf numFmtId="10" fontId="0" fillId="0" borderId="1" xfId="0" applyNumberFormat="1" applyBorder="1"/>
    <xf numFmtId="10" fontId="0" fillId="0" borderId="57" xfId="0" applyNumberFormat="1" applyBorder="1"/>
    <xf numFmtId="4" fontId="1" fillId="28" borderId="57" xfId="0" applyNumberFormat="1" applyFont="1" applyFill="1" applyBorder="1"/>
    <xf numFmtId="4" fontId="1" fillId="25" borderId="57" xfId="0" applyNumberFormat="1" applyFont="1" applyFill="1" applyBorder="1"/>
    <xf numFmtId="10" fontId="0" fillId="0" borderId="69" xfId="0" applyNumberFormat="1" applyBorder="1"/>
    <xf numFmtId="4" fontId="1" fillId="27" borderId="57" xfId="0" applyNumberFormat="1" applyFont="1" applyFill="1" applyBorder="1"/>
    <xf numFmtId="4" fontId="0" fillId="0" borderId="2" xfId="0" applyNumberFormat="1" applyBorder="1"/>
    <xf numFmtId="4" fontId="0" fillId="27" borderId="2" xfId="0" applyNumberFormat="1" applyFill="1" applyBorder="1"/>
    <xf numFmtId="4" fontId="0" fillId="28" borderId="2" xfId="0" applyNumberFormat="1" applyFill="1" applyBorder="1"/>
    <xf numFmtId="4" fontId="0" fillId="25" borderId="2" xfId="0" applyNumberFormat="1" applyFill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3" fontId="0" fillId="0" borderId="1" xfId="0" applyNumberFormat="1" applyBorder="1"/>
    <xf numFmtId="3" fontId="0" fillId="0" borderId="0" xfId="0" applyNumberFormat="1"/>
    <xf numFmtId="0" fontId="1" fillId="0" borderId="35" xfId="0" applyFont="1" applyBorder="1"/>
    <xf numFmtId="0" fontId="1" fillId="0" borderId="34" xfId="0" applyFont="1" applyBorder="1"/>
    <xf numFmtId="0" fontId="1" fillId="0" borderId="38" xfId="0" applyFont="1" applyBorder="1"/>
    <xf numFmtId="0" fontId="1" fillId="0" borderId="70" xfId="0" applyFont="1" applyBorder="1" applyAlignment="1">
      <alignment wrapText="1"/>
    </xf>
    <xf numFmtId="0" fontId="1" fillId="0" borderId="77" xfId="0" applyFont="1" applyBorder="1" applyAlignment="1">
      <alignment wrapText="1"/>
    </xf>
    <xf numFmtId="164" fontId="20" fillId="5" borderId="2" xfId="0" applyNumberFormat="1" applyFont="1" applyFill="1" applyBorder="1" applyAlignment="1">
      <alignment horizontal="center" vertical="center"/>
    </xf>
    <xf numFmtId="164" fontId="20" fillId="5" borderId="4" xfId="0" applyNumberFormat="1" applyFont="1" applyFill="1" applyBorder="1" applyAlignment="1">
      <alignment horizontal="center" vertical="center"/>
    </xf>
    <xf numFmtId="164" fontId="20" fillId="3" borderId="2" xfId="0" applyNumberFormat="1" applyFont="1" applyFill="1" applyBorder="1" applyAlignment="1">
      <alignment horizontal="center" vertical="center"/>
    </xf>
    <xf numFmtId="164" fontId="20" fillId="3" borderId="4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wrapText="1"/>
    </xf>
    <xf numFmtId="1" fontId="1" fillId="0" borderId="65" xfId="0" applyNumberFormat="1" applyFont="1" applyBorder="1" applyAlignment="1">
      <alignment horizontal="center" wrapText="1"/>
    </xf>
    <xf numFmtId="4" fontId="1" fillId="29" borderId="66" xfId="0" applyNumberFormat="1" applyFont="1" applyFill="1" applyBorder="1" applyAlignment="1">
      <alignment horizontal="center" wrapText="1"/>
    </xf>
    <xf numFmtId="1" fontId="1" fillId="29" borderId="2" xfId="0" applyNumberFormat="1" applyFont="1" applyFill="1" applyBorder="1" applyAlignment="1">
      <alignment horizontal="center" wrapText="1"/>
    </xf>
    <xf numFmtId="4" fontId="1" fillId="29" borderId="2" xfId="0" applyNumberFormat="1" applyFont="1" applyFill="1" applyBorder="1" applyAlignment="1">
      <alignment horizontal="center" wrapText="1"/>
    </xf>
    <xf numFmtId="4" fontId="1" fillId="23" borderId="2" xfId="0" applyNumberFormat="1" applyFont="1" applyFill="1" applyBorder="1" applyAlignment="1">
      <alignment horizontal="center" wrapText="1"/>
    </xf>
    <xf numFmtId="1" fontId="1" fillId="23" borderId="2" xfId="0" applyNumberFormat="1" applyFont="1" applyFill="1" applyBorder="1" applyAlignment="1">
      <alignment horizontal="center" wrapText="1"/>
    </xf>
    <xf numFmtId="4" fontId="1" fillId="0" borderId="2" xfId="0" applyNumberFormat="1" applyFont="1" applyBorder="1" applyAlignment="1">
      <alignment horizontal="center" wrapText="1"/>
    </xf>
    <xf numFmtId="1" fontId="1" fillId="0" borderId="2" xfId="0" applyNumberFormat="1" applyFont="1" applyBorder="1" applyAlignment="1">
      <alignment horizontal="center" wrapText="1"/>
    </xf>
    <xf numFmtId="1" fontId="1" fillId="0" borderId="27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3" fontId="1" fillId="29" borderId="2" xfId="0" applyNumberFormat="1" applyFont="1" applyFill="1" applyBorder="1" applyAlignment="1">
      <alignment horizontal="center" wrapText="1"/>
    </xf>
    <xf numFmtId="3" fontId="1" fillId="23" borderId="2" xfId="0" applyNumberFormat="1" applyFont="1" applyFill="1" applyBorder="1" applyAlignment="1">
      <alignment horizontal="center" wrapText="1"/>
    </xf>
    <xf numFmtId="0" fontId="0" fillId="0" borderId="8" xfId="0" applyBorder="1" applyAlignment="1">
      <alignment horizontal="center" vertical="center"/>
    </xf>
    <xf numFmtId="1" fontId="0" fillId="0" borderId="40" xfId="0" applyNumberFormat="1" applyBorder="1" applyAlignment="1">
      <alignment horizontal="center"/>
    </xf>
    <xf numFmtId="4" fontId="0" fillId="29" borderId="7" xfId="0" applyNumberFormat="1" applyFill="1" applyBorder="1"/>
    <xf numFmtId="1" fontId="0" fillId="29" borderId="8" xfId="0" applyNumberFormat="1" applyFill="1" applyBorder="1" applyAlignment="1">
      <alignment horizontal="center"/>
    </xf>
    <xf numFmtId="4" fontId="0" fillId="29" borderId="8" xfId="0" applyNumberFormat="1" applyFill="1" applyBorder="1"/>
    <xf numFmtId="4" fontId="0" fillId="23" borderId="8" xfId="0" applyNumberFormat="1" applyFill="1" applyBorder="1"/>
    <xf numFmtId="1" fontId="0" fillId="23" borderId="8" xfId="0" applyNumberFormat="1" applyFill="1" applyBorder="1" applyAlignment="1">
      <alignment horizontal="center"/>
    </xf>
    <xf numFmtId="4" fontId="0" fillId="0" borderId="8" xfId="0" applyNumberFormat="1" applyBorder="1"/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43" xfId="0" applyBorder="1"/>
    <xf numFmtId="3" fontId="0" fillId="29" borderId="8" xfId="0" applyNumberFormat="1" applyFill="1" applyBorder="1" applyAlignment="1">
      <alignment horizontal="center"/>
    </xf>
    <xf numFmtId="3" fontId="0" fillId="23" borderId="8" xfId="0" applyNumberForma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5" xfId="0" applyNumberFormat="1" applyBorder="1" applyAlignment="1">
      <alignment horizontal="center"/>
    </xf>
    <xf numFmtId="4" fontId="0" fillId="29" borderId="13" xfId="0" applyNumberFormat="1" applyFill="1" applyBorder="1"/>
    <xf numFmtId="1" fontId="0" fillId="29" borderId="1" xfId="0" applyNumberFormat="1" applyFill="1" applyBorder="1" applyAlignment="1">
      <alignment horizontal="center"/>
    </xf>
    <xf numFmtId="4" fontId="0" fillId="29" borderId="1" xfId="0" applyNumberFormat="1" applyFill="1" applyBorder="1"/>
    <xf numFmtId="1" fontId="0" fillId="23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3" fontId="0" fillId="29" borderId="1" xfId="0" applyNumberFormat="1" applyFill="1" applyBorder="1" applyAlignment="1">
      <alignment horizontal="center"/>
    </xf>
    <xf numFmtId="3" fontId="0" fillId="23" borderId="1" xfId="0" applyNumberForma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1" fontId="0" fillId="0" borderId="45" xfId="0" applyNumberFormat="1" applyBorder="1" applyAlignment="1">
      <alignment horizontal="center"/>
    </xf>
    <xf numFmtId="4" fontId="0" fillId="29" borderId="19" xfId="0" applyNumberFormat="1" applyFill="1" applyBorder="1"/>
    <xf numFmtId="1" fontId="0" fillId="29" borderId="20" xfId="0" applyNumberFormat="1" applyFill="1" applyBorder="1" applyAlignment="1">
      <alignment horizontal="center"/>
    </xf>
    <xf numFmtId="4" fontId="0" fillId="29" borderId="20" xfId="0" applyNumberFormat="1" applyFill="1" applyBorder="1"/>
    <xf numFmtId="4" fontId="0" fillId="23" borderId="20" xfId="0" applyNumberFormat="1" applyFill="1" applyBorder="1"/>
    <xf numFmtId="1" fontId="0" fillId="23" borderId="20" xfId="0" applyNumberFormat="1" applyFill="1" applyBorder="1" applyAlignment="1">
      <alignment horizontal="center"/>
    </xf>
    <xf numFmtId="4" fontId="0" fillId="0" borderId="20" xfId="0" applyNumberFormat="1" applyBorder="1"/>
    <xf numFmtId="1" fontId="0" fillId="0" borderId="20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0" fontId="0" fillId="0" borderId="47" xfId="0" applyBorder="1"/>
    <xf numFmtId="3" fontId="0" fillId="29" borderId="20" xfId="0" applyNumberFormat="1" applyFill="1" applyBorder="1" applyAlignment="1">
      <alignment horizontal="center"/>
    </xf>
    <xf numFmtId="3" fontId="0" fillId="23" borderId="20" xfId="0" applyNumberForma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8" xfId="0" applyBorder="1" applyAlignment="1">
      <alignment horizontal="center"/>
    </xf>
    <xf numFmtId="1" fontId="0" fillId="7" borderId="40" xfId="0" applyNumberFormat="1" applyFill="1" applyBorder="1" applyAlignment="1">
      <alignment horizontal="center"/>
    </xf>
    <xf numFmtId="1" fontId="0" fillId="7" borderId="5" xfId="0" applyNumberFormat="1" applyFill="1" applyBorder="1" applyAlignment="1">
      <alignment horizontal="center"/>
    </xf>
    <xf numFmtId="1" fontId="0" fillId="7" borderId="45" xfId="0" applyNumberFormat="1" applyFill="1" applyBorder="1" applyAlignment="1">
      <alignment horizontal="center"/>
    </xf>
    <xf numFmtId="0" fontId="1" fillId="0" borderId="4" xfId="0" applyFont="1" applyBorder="1"/>
    <xf numFmtId="0" fontId="0" fillId="0" borderId="4" xfId="0" applyBorder="1" applyAlignment="1">
      <alignment horizontal="center"/>
    </xf>
    <xf numFmtId="1" fontId="0" fillId="0" borderId="50" xfId="0" applyNumberFormat="1" applyBorder="1" applyAlignment="1">
      <alignment horizontal="center"/>
    </xf>
    <xf numFmtId="4" fontId="0" fillId="29" borderId="49" xfId="0" applyNumberFormat="1" applyFill="1" applyBorder="1"/>
    <xf numFmtId="1" fontId="0" fillId="29" borderId="4" xfId="0" applyNumberFormat="1" applyFill="1" applyBorder="1" applyAlignment="1">
      <alignment horizontal="center"/>
    </xf>
    <xf numFmtId="4" fontId="0" fillId="29" borderId="4" xfId="0" applyNumberFormat="1" applyFill="1" applyBorder="1"/>
    <xf numFmtId="1" fontId="0" fillId="23" borderId="4" xfId="0" applyNumberForma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28" xfId="0" applyNumberFormat="1" applyBorder="1" applyAlignment="1">
      <alignment horizontal="center"/>
    </xf>
    <xf numFmtId="3" fontId="0" fillId="29" borderId="4" xfId="0" applyNumberFormat="1" applyFill="1" applyBorder="1" applyAlignment="1">
      <alignment horizontal="center"/>
    </xf>
    <xf numFmtId="3" fontId="0" fillId="23" borderId="4" xfId="0" applyNumberFormat="1" applyFill="1" applyBorder="1" applyAlignment="1">
      <alignment horizontal="center"/>
    </xf>
    <xf numFmtId="0" fontId="0" fillId="0" borderId="28" xfId="0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4" fontId="1" fillId="29" borderId="7" xfId="0" applyNumberFormat="1" applyFont="1" applyFill="1" applyBorder="1" applyAlignment="1">
      <alignment horizontal="center" wrapText="1"/>
    </xf>
    <xf numFmtId="1" fontId="1" fillId="29" borderId="8" xfId="0" applyNumberFormat="1" applyFont="1" applyFill="1" applyBorder="1" applyAlignment="1">
      <alignment horizontal="center" wrapText="1"/>
    </xf>
    <xf numFmtId="4" fontId="1" fillId="29" borderId="9" xfId="0" applyNumberFormat="1" applyFont="1" applyFill="1" applyBorder="1" applyAlignment="1">
      <alignment horizontal="center" wrapText="1"/>
    </xf>
    <xf numFmtId="4" fontId="1" fillId="23" borderId="7" xfId="0" applyNumberFormat="1" applyFont="1" applyFill="1" applyBorder="1" applyAlignment="1">
      <alignment horizontal="center" wrapText="1"/>
    </xf>
    <xf numFmtId="1" fontId="1" fillId="23" borderId="8" xfId="0" applyNumberFormat="1" applyFont="1" applyFill="1" applyBorder="1" applyAlignment="1">
      <alignment horizontal="center" wrapText="1"/>
    </xf>
    <xf numFmtId="4" fontId="1" fillId="23" borderId="9" xfId="0" applyNumberFormat="1" applyFont="1" applyFill="1" applyBorder="1" applyAlignment="1">
      <alignment horizontal="center" wrapText="1"/>
    </xf>
    <xf numFmtId="4" fontId="1" fillId="0" borderId="7" xfId="0" applyNumberFormat="1" applyFont="1" applyBorder="1" applyAlignment="1">
      <alignment horizontal="center" wrapText="1"/>
    </xf>
    <xf numFmtId="1" fontId="1" fillId="0" borderId="8" xfId="0" applyNumberFormat="1" applyFont="1" applyBorder="1" applyAlignment="1">
      <alignment horizontal="center" wrapText="1"/>
    </xf>
    <xf numFmtId="4" fontId="1" fillId="0" borderId="9" xfId="0" applyNumberFormat="1" applyFont="1" applyBorder="1" applyAlignment="1">
      <alignment horizontal="center" wrapText="1"/>
    </xf>
    <xf numFmtId="1" fontId="1" fillId="0" borderId="29" xfId="0" applyNumberFormat="1" applyFont="1" applyBorder="1" applyAlignment="1">
      <alignment horizontal="center" wrapText="1"/>
    </xf>
    <xf numFmtId="3" fontId="1" fillId="29" borderId="8" xfId="0" applyNumberFormat="1" applyFont="1" applyFill="1" applyBorder="1" applyAlignment="1">
      <alignment horizontal="center" wrapText="1"/>
    </xf>
    <xf numFmtId="3" fontId="1" fillId="23" borderId="8" xfId="0" applyNumberFormat="1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/>
    </xf>
    <xf numFmtId="4" fontId="0" fillId="0" borderId="13" xfId="0" applyNumberFormat="1" applyBorder="1"/>
    <xf numFmtId="4" fontId="0" fillId="0" borderId="14" xfId="0" applyNumberFormat="1" applyBorder="1"/>
    <xf numFmtId="4" fontId="0" fillId="30" borderId="13" xfId="0" applyNumberFormat="1" applyFill="1" applyBorder="1"/>
    <xf numFmtId="3" fontId="0" fillId="30" borderId="1" xfId="0" applyNumberFormat="1" applyFill="1" applyBorder="1" applyAlignment="1">
      <alignment horizontal="center"/>
    </xf>
    <xf numFmtId="4" fontId="0" fillId="30" borderId="14" xfId="0" applyNumberFormat="1" applyFill="1" applyBorder="1"/>
    <xf numFmtId="0" fontId="0" fillId="30" borderId="13" xfId="0" applyFill="1" applyBorder="1"/>
    <xf numFmtId="0" fontId="0" fillId="30" borderId="14" xfId="0" applyFill="1" applyBorder="1"/>
    <xf numFmtId="0" fontId="0" fillId="30" borderId="62" xfId="0" applyFill="1" applyBorder="1" applyAlignment="1">
      <alignment horizontal="center"/>
    </xf>
    <xf numFmtId="1" fontId="0" fillId="30" borderId="1" xfId="0" applyNumberFormat="1" applyFill="1" applyBorder="1" applyAlignment="1">
      <alignment horizontal="center"/>
    </xf>
    <xf numFmtId="1" fontId="0" fillId="30" borderId="62" xfId="0" applyNumberForma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4" fontId="1" fillId="0" borderId="46" xfId="0" applyNumberFormat="1" applyFont="1" applyBorder="1"/>
    <xf numFmtId="4" fontId="1" fillId="0" borderId="47" xfId="0" applyNumberFormat="1" applyFont="1" applyBorder="1"/>
    <xf numFmtId="4" fontId="1" fillId="0" borderId="48" xfId="0" applyNumberFormat="1" applyFont="1" applyBorder="1"/>
    <xf numFmtId="0" fontId="1" fillId="31" borderId="13" xfId="0" applyFont="1" applyFill="1" applyBorder="1" applyAlignment="1">
      <alignment horizontal="center" wrapText="1"/>
    </xf>
    <xf numFmtId="0" fontId="1" fillId="31" borderId="1" xfId="0" applyFont="1" applyFill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31" borderId="14" xfId="0" applyFont="1" applyFill="1" applyBorder="1" applyAlignment="1">
      <alignment horizontal="center" wrapText="1"/>
    </xf>
    <xf numFmtId="4" fontId="4" fillId="31" borderId="13" xfId="0" applyNumberFormat="1" applyFont="1" applyFill="1" applyBorder="1"/>
    <xf numFmtId="4" fontId="4" fillId="0" borderId="1" xfId="0" applyNumberFormat="1" applyFont="1" applyBorder="1"/>
    <xf numFmtId="4" fontId="4" fillId="31" borderId="1" xfId="0" applyNumberFormat="1" applyFont="1" applyFill="1" applyBorder="1"/>
    <xf numFmtId="1" fontId="4" fillId="31" borderId="1" xfId="0" applyNumberFormat="1" applyFont="1" applyFill="1" applyBorder="1" applyAlignment="1">
      <alignment horizontal="center"/>
    </xf>
    <xf numFmtId="4" fontId="17" fillId="0" borderId="14" xfId="0" applyNumberFormat="1" applyFont="1" applyBorder="1"/>
    <xf numFmtId="0" fontId="4" fillId="30" borderId="13" xfId="0" applyFont="1" applyFill="1" applyBorder="1"/>
    <xf numFmtId="0" fontId="4" fillId="30" borderId="1" xfId="0" applyFont="1" applyFill="1" applyBorder="1"/>
    <xf numFmtId="1" fontId="4" fillId="30" borderId="1" xfId="0" applyNumberFormat="1" applyFont="1" applyFill="1" applyBorder="1" applyAlignment="1">
      <alignment horizontal="center"/>
    </xf>
    <xf numFmtId="4" fontId="17" fillId="30" borderId="14" xfId="0" applyNumberFormat="1" applyFont="1" applyFill="1" applyBorder="1"/>
    <xf numFmtId="4" fontId="17" fillId="30" borderId="13" xfId="0" applyNumberFormat="1" applyFont="1" applyFill="1" applyBorder="1"/>
    <xf numFmtId="4" fontId="17" fillId="30" borderId="1" xfId="0" applyNumberFormat="1" applyFont="1" applyFill="1" applyBorder="1"/>
    <xf numFmtId="4" fontId="4" fillId="30" borderId="1" xfId="0" applyNumberFormat="1" applyFont="1" applyFill="1" applyBorder="1"/>
    <xf numFmtId="0" fontId="17" fillId="30" borderId="14" xfId="0" applyFont="1" applyFill="1" applyBorder="1" applyAlignment="1">
      <alignment horizontal="center"/>
    </xf>
    <xf numFmtId="4" fontId="4" fillId="30" borderId="13" xfId="0" applyNumberFormat="1" applyFont="1" applyFill="1" applyBorder="1"/>
    <xf numFmtId="1" fontId="4" fillId="31" borderId="14" xfId="0" applyNumberFormat="1" applyFont="1" applyFill="1" applyBorder="1" applyAlignment="1">
      <alignment horizontal="center"/>
    </xf>
    <xf numFmtId="4" fontId="0" fillId="31" borderId="13" xfId="0" applyNumberFormat="1" applyFill="1" applyBorder="1"/>
    <xf numFmtId="4" fontId="0" fillId="31" borderId="1" xfId="0" applyNumberFormat="1" applyFill="1" applyBorder="1"/>
    <xf numFmtId="1" fontId="15" fillId="31" borderId="1" xfId="0" applyNumberFormat="1" applyFont="1" applyFill="1" applyBorder="1" applyAlignment="1">
      <alignment horizontal="center"/>
    </xf>
    <xf numFmtId="4" fontId="1" fillId="0" borderId="14" xfId="0" applyNumberFormat="1" applyFont="1" applyBorder="1"/>
    <xf numFmtId="1" fontId="0" fillId="31" borderId="14" xfId="0" applyNumberFormat="1" applyFill="1" applyBorder="1" applyAlignment="1">
      <alignment horizontal="center"/>
    </xf>
    <xf numFmtId="4" fontId="0" fillId="30" borderId="19" xfId="0" applyNumberFormat="1" applyFill="1" applyBorder="1"/>
    <xf numFmtId="4" fontId="0" fillId="30" borderId="20" xfId="0" applyNumberFormat="1" applyFill="1" applyBorder="1"/>
    <xf numFmtId="1" fontId="0" fillId="30" borderId="20" xfId="0" applyNumberFormat="1" applyFill="1" applyBorder="1" applyAlignment="1">
      <alignment horizontal="center"/>
    </xf>
    <xf numFmtId="4" fontId="1" fillId="30" borderId="21" xfId="0" applyNumberFormat="1" applyFont="1" applyFill="1" applyBorder="1"/>
    <xf numFmtId="4" fontId="0" fillId="31" borderId="66" xfId="0" applyNumberFormat="1" applyFill="1" applyBorder="1"/>
    <xf numFmtId="4" fontId="0" fillId="31" borderId="2" xfId="0" applyNumberFormat="1" applyFill="1" applyBorder="1"/>
    <xf numFmtId="1" fontId="15" fillId="31" borderId="2" xfId="0" applyNumberFormat="1" applyFont="1" applyFill="1" applyBorder="1" applyAlignment="1">
      <alignment horizontal="center"/>
    </xf>
    <xf numFmtId="4" fontId="1" fillId="0" borderId="27" xfId="0" applyNumberFormat="1" applyFont="1" applyBorder="1"/>
    <xf numFmtId="4" fontId="0" fillId="31" borderId="19" xfId="0" applyNumberFormat="1" applyFill="1" applyBorder="1"/>
    <xf numFmtId="4" fontId="0" fillId="31" borderId="20" xfId="0" applyNumberFormat="1" applyFill="1" applyBorder="1"/>
    <xf numFmtId="1" fontId="0" fillId="31" borderId="21" xfId="0" applyNumberFormat="1" applyFill="1" applyBorder="1" applyAlignment="1">
      <alignment horizontal="center"/>
    </xf>
    <xf numFmtId="4" fontId="1" fillId="31" borderId="46" xfId="0" applyNumberFormat="1" applyFont="1" applyFill="1" applyBorder="1" applyAlignment="1">
      <alignment horizontal="center"/>
    </xf>
    <xf numFmtId="4" fontId="1" fillId="0" borderId="47" xfId="0" applyNumberFormat="1" applyFont="1" applyBorder="1" applyAlignment="1">
      <alignment horizontal="center"/>
    </xf>
    <xf numFmtId="4" fontId="1" fillId="31" borderId="47" xfId="0" applyNumberFormat="1" applyFont="1" applyFill="1" applyBorder="1"/>
    <xf numFmtId="1" fontId="1" fillId="31" borderId="47" xfId="0" applyNumberFormat="1" applyFont="1" applyFill="1" applyBorder="1" applyAlignment="1">
      <alignment horizontal="center"/>
    </xf>
    <xf numFmtId="4" fontId="1" fillId="0" borderId="48" xfId="0" applyNumberFormat="1" applyFont="1" applyBorder="1" applyAlignment="1">
      <alignment horizontal="center"/>
    </xf>
    <xf numFmtId="4" fontId="1" fillId="31" borderId="33" xfId="0" applyNumberFormat="1" applyFont="1" applyFill="1" applyBorder="1" applyAlignment="1">
      <alignment horizontal="center"/>
    </xf>
    <xf numFmtId="4" fontId="1" fillId="0" borderId="31" xfId="0" applyNumberFormat="1" applyFont="1" applyBorder="1" applyAlignment="1">
      <alignment horizontal="center"/>
    </xf>
    <xf numFmtId="4" fontId="1" fillId="31" borderId="31" xfId="0" applyNumberFormat="1" applyFont="1" applyFill="1" applyBorder="1"/>
    <xf numFmtId="1" fontId="1" fillId="31" borderId="31" xfId="0" applyNumberFormat="1" applyFont="1" applyFill="1" applyBorder="1" applyAlignment="1">
      <alignment horizontal="center"/>
    </xf>
    <xf numFmtId="4" fontId="1" fillId="0" borderId="32" xfId="0" applyNumberFormat="1" applyFont="1" applyBorder="1" applyAlignment="1">
      <alignment horizontal="center"/>
    </xf>
    <xf numFmtId="1" fontId="1" fillId="31" borderId="48" xfId="0" applyNumberFormat="1" applyFont="1" applyFill="1" applyBorder="1" applyAlignment="1">
      <alignment horizontal="center"/>
    </xf>
    <xf numFmtId="3" fontId="19" fillId="14" borderId="0" xfId="0" applyNumberFormat="1" applyFont="1" applyFill="1" applyAlignment="1">
      <alignment horizontal="center"/>
    </xf>
    <xf numFmtId="3" fontId="20" fillId="14" borderId="0" xfId="0" applyNumberFormat="1" applyFont="1" applyFill="1"/>
    <xf numFmtId="0" fontId="20" fillId="5" borderId="6" xfId="0" applyFont="1" applyFill="1" applyBorder="1" applyAlignment="1">
      <alignment horizontal="center" vertical="center" wrapText="1"/>
    </xf>
    <xf numFmtId="0" fontId="20" fillId="5" borderId="10" xfId="0" applyFont="1" applyFill="1" applyBorder="1" applyAlignment="1">
      <alignment horizontal="center" vertical="center" wrapText="1"/>
    </xf>
    <xf numFmtId="3" fontId="20" fillId="5" borderId="1" xfId="0" applyNumberFormat="1" applyFont="1" applyFill="1" applyBorder="1" applyAlignment="1">
      <alignment horizontal="center"/>
    </xf>
    <xf numFmtId="3" fontId="20" fillId="5" borderId="1" xfId="0" applyNumberFormat="1" applyFont="1" applyFill="1" applyBorder="1" applyAlignment="1">
      <alignment horizontal="center" vertical="center"/>
    </xf>
    <xf numFmtId="3" fontId="20" fillId="5" borderId="2" xfId="0" applyNumberFormat="1" applyFont="1" applyFill="1" applyBorder="1" applyAlignment="1">
      <alignment horizontal="center" vertical="center"/>
    </xf>
    <xf numFmtId="3" fontId="20" fillId="5" borderId="4" xfId="0" applyNumberFormat="1" applyFont="1" applyFill="1" applyBorder="1" applyAlignment="1">
      <alignment horizontal="center" vertical="center"/>
    </xf>
    <xf numFmtId="3" fontId="20" fillId="5" borderId="3" xfId="0" applyNumberFormat="1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right"/>
    </xf>
    <xf numFmtId="0" fontId="21" fillId="14" borderId="23" xfId="0" applyFont="1" applyFill="1" applyBorder="1" applyAlignment="1">
      <alignment horizontal="center"/>
    </xf>
    <xf numFmtId="0" fontId="20" fillId="3" borderId="10" xfId="0" applyFont="1" applyFill="1" applyBorder="1" applyAlignment="1">
      <alignment horizontal="center" vertical="center" wrapText="1"/>
    </xf>
    <xf numFmtId="3" fontId="20" fillId="3" borderId="2" xfId="0" applyNumberFormat="1" applyFont="1" applyFill="1" applyBorder="1" applyAlignment="1">
      <alignment vertical="center"/>
    </xf>
    <xf numFmtId="3" fontId="20" fillId="3" borderId="1" xfId="0" applyNumberFormat="1" applyFont="1" applyFill="1" applyBorder="1" applyAlignment="1">
      <alignment horizontal="center"/>
    </xf>
    <xf numFmtId="3" fontId="20" fillId="3" borderId="4" xfId="0" applyNumberFormat="1" applyFont="1" applyFill="1" applyBorder="1" applyAlignment="1">
      <alignment vertical="center"/>
    </xf>
    <xf numFmtId="3" fontId="20" fillId="3" borderId="2" xfId="0" applyNumberFormat="1" applyFont="1" applyFill="1" applyBorder="1" applyAlignment="1">
      <alignment horizontal="center" vertical="center"/>
    </xf>
    <xf numFmtId="3" fontId="20" fillId="3" borderId="4" xfId="0" applyNumberFormat="1" applyFont="1" applyFill="1" applyBorder="1" applyAlignment="1">
      <alignment horizontal="center" vertical="center"/>
    </xf>
    <xf numFmtId="3" fontId="20" fillId="21" borderId="2" xfId="0" applyNumberFormat="1" applyFont="1" applyFill="1" applyBorder="1" applyAlignment="1">
      <alignment horizontal="center" vertical="center"/>
    </xf>
    <xf numFmtId="164" fontId="20" fillId="21" borderId="2" xfId="0" applyNumberFormat="1" applyFont="1" applyFill="1" applyBorder="1" applyAlignment="1">
      <alignment horizontal="center" vertical="center"/>
    </xf>
    <xf numFmtId="3" fontId="20" fillId="21" borderId="4" xfId="0" applyNumberFormat="1" applyFont="1" applyFill="1" applyBorder="1" applyAlignment="1">
      <alignment horizontal="center" vertical="center"/>
    </xf>
    <xf numFmtId="164" fontId="20" fillId="21" borderId="4" xfId="0" applyNumberFormat="1" applyFont="1" applyFill="1" applyBorder="1" applyAlignment="1">
      <alignment horizontal="center" vertical="center"/>
    </xf>
    <xf numFmtId="4" fontId="0" fillId="0" borderId="6" xfId="0" applyNumberFormat="1" applyBorder="1"/>
    <xf numFmtId="0" fontId="20" fillId="3" borderId="6" xfId="0" applyFont="1" applyFill="1" applyBorder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 wrapText="1"/>
    </xf>
    <xf numFmtId="3" fontId="20" fillId="7" borderId="1" xfId="0" applyNumberFormat="1" applyFont="1" applyFill="1" applyBorder="1" applyAlignment="1">
      <alignment horizontal="center"/>
    </xf>
    <xf numFmtId="3" fontId="20" fillId="5" borderId="1" xfId="0" applyNumberFormat="1" applyFont="1" applyFill="1" applyBorder="1" applyAlignment="1">
      <alignment vertical="center"/>
    </xf>
    <xf numFmtId="164" fontId="20" fillId="5" borderId="1" xfId="0" applyNumberFormat="1" applyFont="1" applyFill="1" applyBorder="1" applyAlignment="1">
      <alignment vertical="center"/>
    </xf>
    <xf numFmtId="3" fontId="20" fillId="3" borderId="1" xfId="0" applyNumberFormat="1" applyFont="1" applyFill="1" applyBorder="1" applyAlignment="1">
      <alignment vertical="center"/>
    </xf>
    <xf numFmtId="164" fontId="20" fillId="3" borderId="1" xfId="0" applyNumberFormat="1" applyFont="1" applyFill="1" applyBorder="1" applyAlignment="1">
      <alignment vertical="center"/>
    </xf>
    <xf numFmtId="3" fontId="20" fillId="7" borderId="1" xfId="0" applyNumberFormat="1" applyFont="1" applyFill="1" applyBorder="1" applyAlignment="1">
      <alignment vertical="center"/>
    </xf>
    <xf numFmtId="164" fontId="20" fillId="7" borderId="1" xfId="0" applyNumberFormat="1" applyFont="1" applyFill="1" applyBorder="1" applyAlignment="1">
      <alignment vertical="center"/>
    </xf>
    <xf numFmtId="3" fontId="20" fillId="5" borderId="2" xfId="0" applyNumberFormat="1" applyFont="1" applyFill="1" applyBorder="1" applyAlignment="1">
      <alignment vertical="center"/>
    </xf>
    <xf numFmtId="3" fontId="20" fillId="7" borderId="2" xfId="0" applyNumberFormat="1" applyFont="1" applyFill="1" applyBorder="1" applyAlignment="1">
      <alignment vertical="center"/>
    </xf>
    <xf numFmtId="3" fontId="20" fillId="5" borderId="4" xfId="0" applyNumberFormat="1" applyFont="1" applyFill="1" applyBorder="1" applyAlignment="1">
      <alignment vertical="center"/>
    </xf>
    <xf numFmtId="3" fontId="20" fillId="7" borderId="4" xfId="0" applyNumberFormat="1" applyFont="1" applyFill="1" applyBorder="1" applyAlignment="1">
      <alignment vertical="center"/>
    </xf>
    <xf numFmtId="164" fontId="20" fillId="5" borderId="3" xfId="0" applyNumberFormat="1" applyFont="1" applyFill="1" applyBorder="1" applyAlignment="1">
      <alignment vertical="center"/>
    </xf>
    <xf numFmtId="3" fontId="20" fillId="5" borderId="3" xfId="0" applyNumberFormat="1" applyFont="1" applyFill="1" applyBorder="1" applyAlignment="1">
      <alignment vertical="center"/>
    </xf>
    <xf numFmtId="3" fontId="20" fillId="3" borderId="3" xfId="0" applyNumberFormat="1" applyFont="1" applyFill="1" applyBorder="1" applyAlignment="1">
      <alignment vertical="center"/>
    </xf>
    <xf numFmtId="3" fontId="20" fillId="7" borderId="3" xfId="0" applyNumberFormat="1" applyFont="1" applyFill="1" applyBorder="1" applyAlignment="1">
      <alignment vertical="center"/>
    </xf>
    <xf numFmtId="164" fontId="20" fillId="8" borderId="1" xfId="0" applyNumberFormat="1" applyFont="1" applyFill="1" applyBorder="1" applyAlignment="1">
      <alignment vertical="center"/>
    </xf>
    <xf numFmtId="0" fontId="20" fillId="21" borderId="3" xfId="0" applyFont="1" applyFill="1" applyBorder="1" applyAlignment="1">
      <alignment horizontal="center" vertical="center" wrapText="1"/>
    </xf>
    <xf numFmtId="3" fontId="20" fillId="7" borderId="2" xfId="0" applyNumberFormat="1" applyFont="1" applyFill="1" applyBorder="1" applyAlignment="1">
      <alignment horizontal="center" vertical="center"/>
    </xf>
    <xf numFmtId="3" fontId="20" fillId="7" borderId="4" xfId="0" applyNumberFormat="1" applyFont="1" applyFill="1" applyBorder="1" applyAlignment="1">
      <alignment horizontal="center" vertical="center"/>
    </xf>
    <xf numFmtId="4" fontId="1" fillId="29" borderId="34" xfId="0" applyNumberFormat="1" applyFont="1" applyFill="1" applyBorder="1" applyAlignment="1">
      <alignment horizontal="center" wrapText="1"/>
    </xf>
    <xf numFmtId="4" fontId="0" fillId="30" borderId="6" xfId="0" applyNumberFormat="1" applyFill="1" applyBorder="1"/>
    <xf numFmtId="4" fontId="1" fillId="31" borderId="47" xfId="0" applyNumberFormat="1" applyFont="1" applyFill="1" applyBorder="1" applyAlignment="1">
      <alignment horizontal="center"/>
    </xf>
    <xf numFmtId="0" fontId="20" fillId="32" borderId="2" xfId="0" applyFont="1" applyFill="1" applyBorder="1" applyAlignment="1">
      <alignment horizontal="center" vertical="center"/>
    </xf>
    <xf numFmtId="0" fontId="20" fillId="32" borderId="4" xfId="0" applyFont="1" applyFill="1" applyBorder="1" applyAlignment="1">
      <alignment horizontal="center" vertical="center"/>
    </xf>
    <xf numFmtId="0" fontId="20" fillId="32" borderId="3" xfId="0" applyFont="1" applyFill="1" applyBorder="1" applyAlignment="1">
      <alignment horizontal="center" vertical="center"/>
    </xf>
    <xf numFmtId="164" fontId="12" fillId="0" borderId="0" xfId="1" applyNumberFormat="1" applyFont="1"/>
    <xf numFmtId="3" fontId="16" fillId="3" borderId="0" xfId="0" applyNumberFormat="1" applyFont="1" applyFill="1"/>
    <xf numFmtId="0" fontId="29" fillId="3" borderId="1" xfId="0" applyFont="1" applyFill="1" applyBorder="1" applyAlignment="1">
      <alignment wrapText="1"/>
    </xf>
    <xf numFmtId="4" fontId="0" fillId="0" borderId="1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1" xfId="0" applyNumberFormat="1" applyBorder="1" applyAlignment="1">
      <alignment horizontal="right"/>
    </xf>
    <xf numFmtId="4" fontId="0" fillId="0" borderId="20" xfId="0" applyNumberFormat="1" applyBorder="1" applyAlignment="1">
      <alignment horizontal="right"/>
    </xf>
    <xf numFmtId="4" fontId="0" fillId="0" borderId="8" xfId="0" applyNumberFormat="1" applyBorder="1" applyAlignment="1">
      <alignment horizontal="right"/>
    </xf>
    <xf numFmtId="4" fontId="0" fillId="0" borderId="4" xfId="0" applyNumberFormat="1" applyBorder="1" applyAlignment="1">
      <alignment horizontal="right"/>
    </xf>
    <xf numFmtId="4" fontId="1" fillId="23" borderId="34" xfId="0" applyNumberFormat="1" applyFont="1" applyFill="1" applyBorder="1" applyAlignment="1">
      <alignment horizontal="center" wrapText="1"/>
    </xf>
    <xf numFmtId="1" fontId="1" fillId="0" borderId="0" xfId="0" applyNumberFormat="1" applyFont="1"/>
    <xf numFmtId="1" fontId="1" fillId="0" borderId="0" xfId="0" applyNumberFormat="1" applyFont="1" applyAlignment="1">
      <alignment horizontal="center" wrapText="1"/>
    </xf>
    <xf numFmtId="1" fontId="0" fillId="30" borderId="1" xfId="0" applyNumberFormat="1" applyFill="1" applyBorder="1"/>
    <xf numFmtId="1" fontId="1" fillId="0" borderId="47" xfId="0" applyNumberFormat="1" applyFont="1" applyBorder="1"/>
    <xf numFmtId="4" fontId="1" fillId="0" borderId="59" xfId="0" applyNumberFormat="1" applyFont="1" applyBorder="1"/>
    <xf numFmtId="2" fontId="1" fillId="0" borderId="58" xfId="0" applyNumberFormat="1" applyFont="1" applyBorder="1" applyAlignment="1">
      <alignment wrapText="1"/>
    </xf>
    <xf numFmtId="0" fontId="1" fillId="0" borderId="12" xfId="0" applyFont="1" applyBorder="1" applyAlignment="1">
      <alignment horizontal="center" vertical="center" wrapText="1"/>
    </xf>
    <xf numFmtId="4" fontId="0" fillId="0" borderId="49" xfId="0" applyNumberFormat="1" applyBorder="1"/>
    <xf numFmtId="4" fontId="0" fillId="0" borderId="28" xfId="0" applyNumberFormat="1" applyBorder="1"/>
    <xf numFmtId="0" fontId="0" fillId="0" borderId="52" xfId="0" applyBorder="1"/>
    <xf numFmtId="0" fontId="0" fillId="0" borderId="16" xfId="0" applyBorder="1"/>
    <xf numFmtId="2" fontId="0" fillId="0" borderId="52" xfId="0" applyNumberFormat="1" applyBorder="1"/>
    <xf numFmtId="2" fontId="0" fillId="0" borderId="16" xfId="0" applyNumberFormat="1" applyBorder="1"/>
    <xf numFmtId="0" fontId="10" fillId="0" borderId="0" xfId="1" applyFont="1" applyAlignment="1">
      <alignment horizontal="center" vertical="center"/>
    </xf>
    <xf numFmtId="0" fontId="45" fillId="0" borderId="0" xfId="1" applyFont="1"/>
    <xf numFmtId="0" fontId="45" fillId="0" borderId="0" xfId="1" applyFont="1" applyAlignment="1">
      <alignment horizontal="center" vertical="center"/>
    </xf>
    <xf numFmtId="0" fontId="37" fillId="4" borderId="0" xfId="1" applyFont="1" applyFill="1" applyAlignment="1">
      <alignment vertical="center"/>
    </xf>
    <xf numFmtId="0" fontId="37" fillId="0" borderId="54" xfId="1" applyFont="1" applyBorder="1" applyAlignment="1">
      <alignment vertical="center"/>
    </xf>
    <xf numFmtId="0" fontId="37" fillId="0" borderId="55" xfId="1" applyFont="1" applyBorder="1" applyAlignment="1">
      <alignment vertical="center"/>
    </xf>
    <xf numFmtId="0" fontId="37" fillId="0" borderId="29" xfId="1" applyFont="1" applyBorder="1" applyAlignment="1">
      <alignment vertical="center"/>
    </xf>
    <xf numFmtId="0" fontId="37" fillId="0" borderId="53" xfId="1" applyFont="1" applyBorder="1" applyAlignment="1">
      <alignment vertical="center"/>
    </xf>
    <xf numFmtId="0" fontId="37" fillId="0" borderId="35" xfId="1" applyFont="1" applyBorder="1" applyAlignment="1">
      <alignment vertical="center"/>
    </xf>
    <xf numFmtId="0" fontId="37" fillId="0" borderId="30" xfId="1" applyFont="1" applyBorder="1" applyAlignment="1">
      <alignment vertical="center"/>
    </xf>
    <xf numFmtId="0" fontId="37" fillId="0" borderId="60" xfId="1" applyFont="1" applyBorder="1" applyAlignment="1">
      <alignment vertical="center"/>
    </xf>
    <xf numFmtId="0" fontId="37" fillId="0" borderId="61" xfId="1" applyFont="1" applyBorder="1" applyAlignment="1">
      <alignment vertical="center"/>
    </xf>
    <xf numFmtId="164" fontId="10" fillId="0" borderId="4" xfId="1" applyNumberFormat="1" applyFont="1" applyBorder="1" applyAlignment="1">
      <alignment horizontal="center" vertical="center"/>
    </xf>
    <xf numFmtId="164" fontId="10" fillId="0" borderId="50" xfId="1" applyNumberFormat="1" applyFont="1" applyBorder="1" applyAlignment="1">
      <alignment horizontal="center" vertical="center"/>
    </xf>
    <xf numFmtId="164" fontId="10" fillId="0" borderId="29" xfId="1" applyNumberFormat="1" applyFont="1" applyBorder="1" applyAlignment="1">
      <alignment horizontal="center" vertical="center"/>
    </xf>
    <xf numFmtId="164" fontId="10" fillId="0" borderId="49" xfId="1" applyNumberFormat="1" applyFont="1" applyBorder="1" applyAlignment="1">
      <alignment horizontal="center" vertical="center"/>
    </xf>
    <xf numFmtId="164" fontId="10" fillId="0" borderId="35" xfId="1" applyNumberFormat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40" xfId="1" applyFont="1" applyBorder="1" applyAlignment="1">
      <alignment horizontal="center" vertical="center"/>
    </xf>
    <xf numFmtId="0" fontId="10" fillId="0" borderId="29" xfId="1" applyFont="1" applyBorder="1" applyAlignment="1">
      <alignment horizontal="center" vertical="center"/>
    </xf>
    <xf numFmtId="2" fontId="10" fillId="0" borderId="7" xfId="1" applyNumberFormat="1" applyFont="1" applyBorder="1" applyAlignment="1">
      <alignment horizontal="center" vertical="center"/>
    </xf>
    <xf numFmtId="2" fontId="10" fillId="0" borderId="8" xfId="1" applyNumberFormat="1" applyFont="1" applyBorder="1" applyAlignment="1">
      <alignment horizontal="center" vertical="center"/>
    </xf>
    <xf numFmtId="2" fontId="10" fillId="0" borderId="40" xfId="1" applyNumberFormat="1" applyFont="1" applyBorder="1" applyAlignment="1">
      <alignment horizontal="center" vertical="center"/>
    </xf>
    <xf numFmtId="2" fontId="10" fillId="0" borderId="29" xfId="1" applyNumberFormat="1" applyFont="1" applyBorder="1" applyAlignment="1">
      <alignment horizontal="center" vertical="center"/>
    </xf>
    <xf numFmtId="164" fontId="10" fillId="0" borderId="5" xfId="1" applyNumberFormat="1" applyFont="1" applyBorder="1" applyAlignment="1">
      <alignment horizontal="center" vertical="center"/>
    </xf>
    <xf numFmtId="164" fontId="10" fillId="0" borderId="62" xfId="1" applyNumberFormat="1" applyFont="1" applyBorder="1" applyAlignment="1">
      <alignment horizontal="center" vertical="center"/>
    </xf>
    <xf numFmtId="164" fontId="10" fillId="0" borderId="13" xfId="1" applyNumberFormat="1" applyFont="1" applyBorder="1" applyAlignment="1">
      <alignment horizontal="center" vertical="center"/>
    </xf>
    <xf numFmtId="164" fontId="10" fillId="0" borderId="22" xfId="1" applyNumberFormat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62" xfId="1" applyFont="1" applyBorder="1" applyAlignment="1">
      <alignment horizontal="center" vertical="center"/>
    </xf>
    <xf numFmtId="2" fontId="10" fillId="0" borderId="13" xfId="1" applyNumberFormat="1" applyFont="1" applyBorder="1" applyAlignment="1">
      <alignment horizontal="center" vertical="center"/>
    </xf>
    <xf numFmtId="2" fontId="10" fillId="0" borderId="5" xfId="1" applyNumberFormat="1" applyFont="1" applyBorder="1" applyAlignment="1">
      <alignment horizontal="center" vertical="center"/>
    </xf>
    <xf numFmtId="2" fontId="10" fillId="0" borderId="62" xfId="1" applyNumberFormat="1" applyFont="1" applyBorder="1" applyAlignment="1">
      <alignment horizontal="center" vertical="center"/>
    </xf>
    <xf numFmtId="164" fontId="10" fillId="0" borderId="2" xfId="1" applyNumberFormat="1" applyFont="1" applyBorder="1" applyAlignment="1">
      <alignment horizontal="center" vertical="center"/>
    </xf>
    <xf numFmtId="164" fontId="10" fillId="0" borderId="65" xfId="1" applyNumberFormat="1" applyFont="1" applyBorder="1" applyAlignment="1">
      <alignment horizontal="center" vertical="center"/>
    </xf>
    <xf numFmtId="164" fontId="10" fillId="0" borderId="66" xfId="1" applyNumberFormat="1" applyFont="1" applyBorder="1" applyAlignment="1">
      <alignment horizontal="center" vertical="center"/>
    </xf>
    <xf numFmtId="0" fontId="10" fillId="0" borderId="66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65" xfId="1" applyFont="1" applyBorder="1" applyAlignment="1">
      <alignment horizontal="center" vertical="center"/>
    </xf>
    <xf numFmtId="0" fontId="10" fillId="0" borderId="60" xfId="1" applyFont="1" applyBorder="1" applyAlignment="1">
      <alignment horizontal="center" vertical="center"/>
    </xf>
    <xf numFmtId="2" fontId="10" fillId="0" borderId="66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/>
    </xf>
    <xf numFmtId="2" fontId="10" fillId="0" borderId="65" xfId="1" applyNumberFormat="1" applyFont="1" applyBorder="1" applyAlignment="1">
      <alignment horizontal="center" vertical="center"/>
    </xf>
    <xf numFmtId="2" fontId="10" fillId="0" borderId="30" xfId="1" applyNumberFormat="1" applyFont="1" applyBorder="1" applyAlignment="1">
      <alignment horizontal="center" vertical="center"/>
    </xf>
    <xf numFmtId="4" fontId="8" fillId="0" borderId="58" xfId="1" applyNumberFormat="1" applyFont="1" applyBorder="1" applyAlignment="1">
      <alignment horizontal="center" vertical="center"/>
    </xf>
    <xf numFmtId="4" fontId="8" fillId="0" borderId="69" xfId="1" applyNumberFormat="1" applyFont="1" applyBorder="1" applyAlignment="1">
      <alignment horizontal="center" vertical="center"/>
    </xf>
    <xf numFmtId="4" fontId="8" fillId="0" borderId="67" xfId="1" applyNumberFormat="1" applyFont="1" applyBorder="1" applyAlignment="1">
      <alignment horizontal="center" vertical="center"/>
    </xf>
    <xf numFmtId="4" fontId="8" fillId="0" borderId="33" xfId="1" applyNumberFormat="1" applyFont="1" applyBorder="1" applyAlignment="1">
      <alignment horizontal="center" vertical="center"/>
    </xf>
    <xf numFmtId="4" fontId="8" fillId="0" borderId="59" xfId="1" applyNumberFormat="1" applyFont="1" applyBorder="1" applyAlignment="1">
      <alignment horizontal="center" vertical="center"/>
    </xf>
    <xf numFmtId="4" fontId="8" fillId="0" borderId="57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2" fontId="10" fillId="3" borderId="1" xfId="1" applyNumberFormat="1" applyFont="1" applyFill="1" applyBorder="1" applyAlignment="1">
      <alignment horizontal="center" vertical="center"/>
    </xf>
    <xf numFmtId="4" fontId="10" fillId="0" borderId="0" xfId="1" applyNumberFormat="1" applyFont="1" applyAlignment="1">
      <alignment horizontal="center"/>
    </xf>
    <xf numFmtId="2" fontId="10" fillId="3" borderId="2" xfId="1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4" fontId="5" fillId="3" borderId="0" xfId="1" applyNumberFormat="1" applyFont="1" applyFill="1"/>
    <xf numFmtId="1" fontId="2" fillId="0" borderId="0" xfId="0" applyNumberFormat="1" applyFont="1"/>
    <xf numFmtId="1" fontId="1" fillId="0" borderId="1" xfId="0" applyNumberFormat="1" applyFont="1" applyBorder="1"/>
    <xf numFmtId="3" fontId="2" fillId="0" borderId="0" xfId="0" applyNumberFormat="1" applyFont="1"/>
    <xf numFmtId="3" fontId="1" fillId="0" borderId="0" xfId="0" applyNumberFormat="1" applyFont="1"/>
    <xf numFmtId="3" fontId="1" fillId="0" borderId="27" xfId="0" applyNumberFormat="1" applyFont="1" applyBorder="1" applyAlignment="1">
      <alignment horizontal="center" vertical="center" wrapText="1"/>
    </xf>
    <xf numFmtId="3" fontId="1" fillId="0" borderId="69" xfId="0" applyNumberFormat="1" applyFont="1" applyBorder="1"/>
    <xf numFmtId="3" fontId="0" fillId="0" borderId="4" xfId="0" applyNumberFormat="1" applyBorder="1"/>
    <xf numFmtId="0" fontId="18" fillId="0" borderId="50" xfId="0" applyFont="1" applyBorder="1" applyAlignment="1">
      <alignment wrapText="1"/>
    </xf>
    <xf numFmtId="0" fontId="30" fillId="0" borderId="59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16" fillId="0" borderId="33" xfId="0" applyFont="1" applyBorder="1" applyAlignment="1">
      <alignment horizontal="left" wrapText="1"/>
    </xf>
    <xf numFmtId="4" fontId="1" fillId="0" borderId="56" xfId="0" applyNumberFormat="1" applyFont="1" applyBorder="1"/>
    <xf numFmtId="0" fontId="16" fillId="0" borderId="59" xfId="0" applyFont="1" applyBorder="1" applyAlignment="1">
      <alignment horizontal="left" wrapText="1"/>
    </xf>
    <xf numFmtId="4" fontId="1" fillId="0" borderId="32" xfId="0" applyNumberFormat="1" applyFont="1" applyBorder="1"/>
    <xf numFmtId="10" fontId="1" fillId="0" borderId="0" xfId="0" applyNumberFormat="1" applyFont="1"/>
    <xf numFmtId="0" fontId="1" fillId="0" borderId="0" xfId="0" applyFont="1" applyAlignment="1">
      <alignment horizontal="center" vertical="center"/>
    </xf>
    <xf numFmtId="4" fontId="1" fillId="0" borderId="67" xfId="0" applyNumberFormat="1" applyFont="1" applyBorder="1"/>
    <xf numFmtId="2" fontId="1" fillId="0" borderId="33" xfId="0" applyNumberFormat="1" applyFont="1" applyBorder="1" applyAlignment="1">
      <alignment wrapText="1"/>
    </xf>
    <xf numFmtId="2" fontId="1" fillId="0" borderId="69" xfId="0" applyNumberFormat="1" applyFont="1" applyBorder="1" applyAlignment="1">
      <alignment wrapText="1"/>
    </xf>
    <xf numFmtId="10" fontId="1" fillId="0" borderId="59" xfId="0" applyNumberFormat="1" applyFont="1" applyBorder="1"/>
    <xf numFmtId="10" fontId="1" fillId="0" borderId="69" xfId="0" applyNumberFormat="1" applyFont="1" applyBorder="1"/>
    <xf numFmtId="10" fontId="0" fillId="0" borderId="49" xfId="0" applyNumberFormat="1" applyBorder="1"/>
    <xf numFmtId="10" fontId="0" fillId="0" borderId="28" xfId="0" applyNumberFormat="1" applyBorder="1"/>
    <xf numFmtId="10" fontId="0" fillId="0" borderId="13" xfId="0" applyNumberFormat="1" applyBorder="1"/>
    <xf numFmtId="10" fontId="0" fillId="0" borderId="14" xfId="0" applyNumberFormat="1" applyBorder="1"/>
    <xf numFmtId="0" fontId="0" fillId="0" borderId="2" xfId="0" applyBorder="1"/>
    <xf numFmtId="0" fontId="18" fillId="0" borderId="5" xfId="0" applyFont="1" applyBorder="1" applyAlignment="1">
      <alignment wrapText="1"/>
    </xf>
    <xf numFmtId="0" fontId="1" fillId="33" borderId="29" xfId="0" applyFont="1" applyFill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4" fontId="0" fillId="0" borderId="39" xfId="0" applyNumberFormat="1" applyBorder="1"/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27" xfId="0" applyFont="1" applyBorder="1" applyAlignment="1">
      <alignment horizontal="center" wrapText="1"/>
    </xf>
    <xf numFmtId="0" fontId="41" fillId="0" borderId="7" xfId="0" applyFont="1" applyBorder="1" applyAlignment="1">
      <alignment horizontal="center"/>
    </xf>
    <xf numFmtId="0" fontId="4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4" fillId="0" borderId="59" xfId="0" applyFont="1" applyBorder="1" applyAlignment="1">
      <alignment horizontal="left" wrapText="1"/>
    </xf>
    <xf numFmtId="0" fontId="44" fillId="0" borderId="57" xfId="0" applyFont="1" applyBorder="1" applyAlignment="1">
      <alignment horizontal="left" wrapText="1"/>
    </xf>
    <xf numFmtId="0" fontId="30" fillId="0" borderId="59" xfId="0" applyFont="1" applyBorder="1" applyAlignment="1">
      <alignment horizontal="left" wrapText="1"/>
    </xf>
    <xf numFmtId="0" fontId="30" fillId="0" borderId="57" xfId="0" applyFont="1" applyBorder="1" applyAlignment="1">
      <alignment horizontal="left" wrapText="1"/>
    </xf>
    <xf numFmtId="0" fontId="40" fillId="3" borderId="59" xfId="0" applyFont="1" applyFill="1" applyBorder="1" applyAlignment="1">
      <alignment horizontal="left" wrapText="1"/>
    </xf>
    <xf numFmtId="0" fontId="40" fillId="3" borderId="57" xfId="0" applyFont="1" applyFill="1" applyBorder="1" applyAlignment="1">
      <alignment horizontal="left" wrapText="1"/>
    </xf>
    <xf numFmtId="0" fontId="40" fillId="3" borderId="59" xfId="0" applyFont="1" applyFill="1" applyBorder="1" applyAlignment="1">
      <alignment horizontal="left" vertical="center" wrapText="1"/>
    </xf>
    <xf numFmtId="0" fontId="40" fillId="3" borderId="57" xfId="0" applyFont="1" applyFill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/>
    </xf>
    <xf numFmtId="0" fontId="40" fillId="3" borderId="33" xfId="0" applyFont="1" applyFill="1" applyBorder="1" applyAlignment="1">
      <alignment horizontal="left" wrapText="1"/>
    </xf>
    <xf numFmtId="0" fontId="40" fillId="3" borderId="56" xfId="0" applyFont="1" applyFill="1" applyBorder="1" applyAlignment="1">
      <alignment horizontal="left" wrapText="1"/>
    </xf>
    <xf numFmtId="0" fontId="30" fillId="0" borderId="33" xfId="0" applyFont="1" applyBorder="1" applyAlignment="1">
      <alignment horizontal="left" wrapText="1"/>
    </xf>
    <xf numFmtId="0" fontId="30" fillId="0" borderId="56" xfId="0" applyFont="1" applyBorder="1" applyAlignment="1">
      <alignment horizontal="left" wrapText="1"/>
    </xf>
    <xf numFmtId="0" fontId="1" fillId="25" borderId="7" xfId="0" applyFont="1" applyFill="1" applyBorder="1" applyAlignment="1">
      <alignment horizontal="center" vertical="center" wrapText="1"/>
    </xf>
    <xf numFmtId="0" fontId="1" fillId="25" borderId="9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3" borderId="35" xfId="0" applyFont="1" applyFill="1" applyBorder="1" applyAlignment="1">
      <alignment horizontal="center" vertical="center" wrapText="1"/>
    </xf>
    <xf numFmtId="0" fontId="1" fillId="23" borderId="41" xfId="0" applyFont="1" applyFill="1" applyBorder="1" applyAlignment="1">
      <alignment horizontal="center" vertical="center" wrapText="1"/>
    </xf>
    <xf numFmtId="0" fontId="1" fillId="28" borderId="35" xfId="0" applyFont="1" applyFill="1" applyBorder="1" applyAlignment="1">
      <alignment horizontal="center" vertical="center" wrapText="1"/>
    </xf>
    <xf numFmtId="0" fontId="1" fillId="28" borderId="41" xfId="0" applyFont="1" applyFill="1" applyBorder="1" applyAlignment="1">
      <alignment horizontal="center" vertical="center" wrapText="1"/>
    </xf>
    <xf numFmtId="0" fontId="1" fillId="25" borderId="35" xfId="0" applyFont="1" applyFill="1" applyBorder="1" applyAlignment="1">
      <alignment horizontal="center" vertical="center" wrapText="1"/>
    </xf>
    <xf numFmtId="0" fontId="1" fillId="25" borderId="41" xfId="0" applyFont="1" applyFill="1" applyBorder="1" applyAlignment="1">
      <alignment horizontal="center" vertical="center" wrapText="1"/>
    </xf>
    <xf numFmtId="0" fontId="1" fillId="33" borderId="35" xfId="0" applyFont="1" applyFill="1" applyBorder="1" applyAlignment="1">
      <alignment horizontal="center" vertical="center" wrapText="1"/>
    </xf>
    <xf numFmtId="0" fontId="1" fillId="33" borderId="41" xfId="0" applyFont="1" applyFill="1" applyBorder="1" applyAlignment="1">
      <alignment horizontal="center" vertical="center" wrapText="1"/>
    </xf>
    <xf numFmtId="0" fontId="1" fillId="10" borderId="35" xfId="0" applyFont="1" applyFill="1" applyBorder="1" applyAlignment="1">
      <alignment horizontal="center" vertical="center" wrapText="1"/>
    </xf>
    <xf numFmtId="0" fontId="1" fillId="10" borderId="41" xfId="0" applyFont="1" applyFill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/>
    </xf>
    <xf numFmtId="17" fontId="1" fillId="0" borderId="2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17" fillId="3" borderId="19" xfId="0" applyFont="1" applyFill="1" applyBorder="1" applyAlignment="1">
      <alignment horizontal="center" vertical="center"/>
    </xf>
    <xf numFmtId="1" fontId="1" fillId="0" borderId="53" xfId="0" applyNumberFormat="1" applyFont="1" applyBorder="1" applyAlignment="1">
      <alignment horizontal="center"/>
    </xf>
    <xf numFmtId="1" fontId="1" fillId="0" borderId="54" xfId="0" applyNumberFormat="1" applyFont="1" applyBorder="1" applyAlignment="1">
      <alignment horizontal="center"/>
    </xf>
    <xf numFmtId="1" fontId="1" fillId="0" borderId="70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51" xfId="0" applyFont="1" applyBorder="1" applyAlignment="1">
      <alignment horizontal="left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35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3" borderId="5" xfId="0" applyFont="1" applyFill="1" applyBorder="1" applyAlignment="1">
      <alignment horizontal="left"/>
    </xf>
    <xf numFmtId="0" fontId="1" fillId="3" borderId="51" xfId="0" applyFont="1" applyFill="1" applyBorder="1" applyAlignment="1">
      <alignment horizontal="left"/>
    </xf>
    <xf numFmtId="0" fontId="1" fillId="0" borderId="5" xfId="0" applyFont="1" applyBorder="1" applyAlignment="1">
      <alignment horizontal="left" wrapText="1"/>
    </xf>
    <xf numFmtId="0" fontId="1" fillId="0" borderId="51" xfId="0" applyFont="1" applyBorder="1" applyAlignment="1">
      <alignment horizontal="left" wrapText="1"/>
    </xf>
    <xf numFmtId="0" fontId="1" fillId="0" borderId="65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20" fillId="14" borderId="26" xfId="0" applyFont="1" applyFill="1" applyBorder="1" applyAlignment="1">
      <alignment horizontal="center"/>
    </xf>
    <xf numFmtId="0" fontId="20" fillId="14" borderId="0" xfId="0" applyFont="1" applyFill="1" applyAlignment="1">
      <alignment horizontal="center"/>
    </xf>
    <xf numFmtId="164" fontId="19" fillId="15" borderId="2" xfId="0" applyNumberFormat="1" applyFont="1" applyFill="1" applyBorder="1" applyAlignment="1">
      <alignment horizontal="center" vertical="center"/>
    </xf>
    <xf numFmtId="164" fontId="19" fillId="15" borderId="78" xfId="0" applyNumberFormat="1" applyFont="1" applyFill="1" applyBorder="1" applyAlignment="1">
      <alignment horizontal="center" vertical="center"/>
    </xf>
    <xf numFmtId="0" fontId="20" fillId="22" borderId="2" xfId="0" applyFont="1" applyFill="1" applyBorder="1" applyAlignment="1">
      <alignment horizontal="center" vertical="center"/>
    </xf>
    <xf numFmtId="0" fontId="20" fillId="22" borderId="4" xfId="0" applyFont="1" applyFill="1" applyBorder="1" applyAlignment="1">
      <alignment horizontal="center" vertical="center"/>
    </xf>
    <xf numFmtId="164" fontId="19" fillId="15" borderId="24" xfId="0" applyNumberFormat="1" applyFont="1" applyFill="1" applyBorder="1" applyAlignment="1">
      <alignment horizontal="center" vertical="center"/>
    </xf>
    <xf numFmtId="164" fontId="19" fillId="15" borderId="39" xfId="0" applyNumberFormat="1" applyFont="1" applyFill="1" applyBorder="1" applyAlignment="1">
      <alignment horizontal="center" vertical="center"/>
    </xf>
    <xf numFmtId="164" fontId="19" fillId="14" borderId="5" xfId="0" applyNumberFormat="1" applyFont="1" applyFill="1" applyBorder="1" applyAlignment="1">
      <alignment horizontal="center"/>
    </xf>
    <xf numFmtId="164" fontId="19" fillId="14" borderId="10" xfId="0" applyNumberFormat="1" applyFont="1" applyFill="1" applyBorder="1" applyAlignment="1">
      <alignment horizontal="center"/>
    </xf>
    <xf numFmtId="164" fontId="19" fillId="15" borderId="4" xfId="0" applyNumberFormat="1" applyFont="1" applyFill="1" applyBorder="1" applyAlignment="1">
      <alignment horizontal="center" vertical="center"/>
    </xf>
    <xf numFmtId="0" fontId="20" fillId="20" borderId="2" xfId="0" applyFont="1" applyFill="1" applyBorder="1" applyAlignment="1">
      <alignment horizontal="center" vertical="center"/>
    </xf>
    <xf numFmtId="0" fontId="20" fillId="20" borderId="4" xfId="0" applyFont="1" applyFill="1" applyBorder="1" applyAlignment="1">
      <alignment horizontal="center" vertical="center"/>
    </xf>
    <xf numFmtId="0" fontId="20" fillId="19" borderId="2" xfId="0" applyFont="1" applyFill="1" applyBorder="1" applyAlignment="1">
      <alignment horizontal="center" vertical="center"/>
    </xf>
    <xf numFmtId="0" fontId="20" fillId="19" borderId="4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20" fillId="18" borderId="4" xfId="0" applyFont="1" applyFill="1" applyBorder="1" applyAlignment="1">
      <alignment horizontal="center" vertical="center"/>
    </xf>
    <xf numFmtId="0" fontId="20" fillId="17" borderId="2" xfId="0" applyFont="1" applyFill="1" applyBorder="1" applyAlignment="1">
      <alignment horizontal="center" vertical="center"/>
    </xf>
    <xf numFmtId="0" fontId="20" fillId="17" borderId="4" xfId="0" applyFont="1" applyFill="1" applyBorder="1" applyAlignment="1">
      <alignment horizontal="center" vertical="center"/>
    </xf>
    <xf numFmtId="0" fontId="20" fillId="15" borderId="5" xfId="0" applyFont="1" applyFill="1" applyBorder="1" applyAlignment="1">
      <alignment horizontal="center" vertical="center" wrapText="1"/>
    </xf>
    <xf numFmtId="0" fontId="20" fillId="15" borderId="10" xfId="0" applyFont="1" applyFill="1" applyBorder="1" applyAlignment="1">
      <alignment horizontal="center" vertical="center" wrapText="1"/>
    </xf>
    <xf numFmtId="0" fontId="20" fillId="14" borderId="2" xfId="0" applyFont="1" applyFill="1" applyBorder="1" applyAlignment="1">
      <alignment horizontal="center" vertical="center"/>
    </xf>
    <xf numFmtId="0" fontId="20" fillId="14" borderId="4" xfId="0" applyFont="1" applyFill="1" applyBorder="1" applyAlignment="1">
      <alignment horizontal="center" vertical="center"/>
    </xf>
    <xf numFmtId="0" fontId="20" fillId="14" borderId="6" xfId="0" applyFont="1" applyFill="1" applyBorder="1" applyAlignment="1">
      <alignment horizontal="center"/>
    </xf>
    <xf numFmtId="0" fontId="20" fillId="16" borderId="1" xfId="0" applyFont="1" applyFill="1" applyBorder="1" applyAlignment="1">
      <alignment horizontal="center" vertical="center" wrapText="1"/>
    </xf>
    <xf numFmtId="0" fontId="20" fillId="14" borderId="3" xfId="0" applyFont="1" applyFill="1" applyBorder="1" applyAlignment="1">
      <alignment horizontal="center" vertical="center"/>
    </xf>
    <xf numFmtId="0" fontId="20" fillId="16" borderId="3" xfId="0" applyFont="1" applyFill="1" applyBorder="1" applyAlignment="1">
      <alignment horizontal="center" vertical="center" wrapText="1"/>
    </xf>
    <xf numFmtId="0" fontId="20" fillId="16" borderId="4" xfId="0" applyFont="1" applyFill="1" applyBorder="1" applyAlignment="1">
      <alignment horizontal="center" vertical="center" wrapText="1"/>
    </xf>
    <xf numFmtId="0" fontId="20" fillId="16" borderId="2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20" fillId="21" borderId="2" xfId="0" applyFont="1" applyFill="1" applyBorder="1" applyAlignment="1">
      <alignment horizontal="center" vertical="center" wrapText="1"/>
    </xf>
    <xf numFmtId="0" fontId="20" fillId="21" borderId="3" xfId="0" applyFont="1" applyFill="1" applyBorder="1" applyAlignment="1">
      <alignment horizontal="center" vertical="center" wrapText="1"/>
    </xf>
    <xf numFmtId="0" fontId="20" fillId="21" borderId="4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/>
    </xf>
    <xf numFmtId="0" fontId="22" fillId="14" borderId="4" xfId="0" applyFont="1" applyFill="1" applyBorder="1" applyAlignment="1">
      <alignment horizontal="center" vertical="center"/>
    </xf>
    <xf numFmtId="164" fontId="20" fillId="5" borderId="2" xfId="0" applyNumberFormat="1" applyFont="1" applyFill="1" applyBorder="1" applyAlignment="1">
      <alignment horizontal="center" vertical="center"/>
    </xf>
    <xf numFmtId="164" fontId="20" fillId="5" borderId="4" xfId="0" applyNumberFormat="1" applyFont="1" applyFill="1" applyBorder="1" applyAlignment="1">
      <alignment horizontal="center" vertical="center"/>
    </xf>
    <xf numFmtId="164" fontId="20" fillId="3" borderId="2" xfId="0" applyNumberFormat="1" applyFont="1" applyFill="1" applyBorder="1" applyAlignment="1">
      <alignment horizontal="center" vertical="center"/>
    </xf>
    <xf numFmtId="164" fontId="20" fillId="3" borderId="4" xfId="0" applyNumberFormat="1" applyFont="1" applyFill="1" applyBorder="1" applyAlignment="1">
      <alignment horizontal="center" vertical="center"/>
    </xf>
    <xf numFmtId="164" fontId="20" fillId="5" borderId="3" xfId="0" applyNumberFormat="1" applyFont="1" applyFill="1" applyBorder="1" applyAlignment="1">
      <alignment horizontal="center" vertical="center"/>
    </xf>
    <xf numFmtId="164" fontId="20" fillId="3" borderId="3" xfId="0" applyNumberFormat="1" applyFont="1" applyFill="1" applyBorder="1" applyAlignment="1">
      <alignment horizontal="center" vertical="center"/>
    </xf>
    <xf numFmtId="164" fontId="20" fillId="7" borderId="2" xfId="0" applyNumberFormat="1" applyFont="1" applyFill="1" applyBorder="1" applyAlignment="1">
      <alignment horizontal="center" vertical="center"/>
    </xf>
    <xf numFmtId="164" fontId="20" fillId="7" borderId="4" xfId="0" applyNumberFormat="1" applyFont="1" applyFill="1" applyBorder="1" applyAlignment="1">
      <alignment horizontal="center" vertical="center"/>
    </xf>
    <xf numFmtId="164" fontId="20" fillId="7" borderId="1" xfId="0" applyNumberFormat="1" applyFont="1" applyFill="1" applyBorder="1" applyAlignment="1">
      <alignment horizontal="center" vertical="center"/>
    </xf>
    <xf numFmtId="0" fontId="22" fillId="14" borderId="3" xfId="0" applyFont="1" applyFill="1" applyBorder="1" applyAlignment="1">
      <alignment horizontal="center" vertical="center"/>
    </xf>
    <xf numFmtId="0" fontId="20" fillId="32" borderId="2" xfId="0" applyFont="1" applyFill="1" applyBorder="1" applyAlignment="1">
      <alignment horizontal="center" vertical="center"/>
    </xf>
    <xf numFmtId="0" fontId="20" fillId="32" borderId="4" xfId="0" applyFont="1" applyFill="1" applyBorder="1" applyAlignment="1">
      <alignment horizontal="center" vertical="center"/>
    </xf>
    <xf numFmtId="0" fontId="20" fillId="32" borderId="3" xfId="0" applyFont="1" applyFill="1" applyBorder="1" applyAlignment="1">
      <alignment horizontal="center" vertical="center"/>
    </xf>
    <xf numFmtId="0" fontId="10" fillId="0" borderId="11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2" fontId="5" fillId="0" borderId="12" xfId="1" applyNumberFormat="1" applyFont="1" applyBorder="1" applyAlignment="1">
      <alignment horizontal="center" vertical="center"/>
    </xf>
    <xf numFmtId="2" fontId="5" fillId="0" borderId="16" xfId="1" applyNumberFormat="1" applyFont="1" applyBorder="1" applyAlignment="1">
      <alignment horizontal="center" vertical="center"/>
    </xf>
    <xf numFmtId="2" fontId="5" fillId="0" borderId="18" xfId="1" applyNumberFormat="1" applyFont="1" applyBorder="1" applyAlignment="1">
      <alignment horizontal="center" vertical="center"/>
    </xf>
    <xf numFmtId="0" fontId="32" fillId="0" borderId="33" xfId="1" applyFont="1" applyBorder="1" applyAlignment="1">
      <alignment horizontal="center" vertical="center"/>
    </xf>
    <xf numFmtId="0" fontId="32" fillId="0" borderId="31" xfId="1" applyFont="1" applyBorder="1" applyAlignment="1">
      <alignment horizontal="center" vertical="center"/>
    </xf>
    <xf numFmtId="0" fontId="9" fillId="0" borderId="53" xfId="1" applyFont="1" applyBorder="1" applyAlignment="1">
      <alignment horizontal="center" vertical="center"/>
    </xf>
    <xf numFmtId="0" fontId="9" fillId="0" borderId="54" xfId="1" applyFont="1" applyBorder="1" applyAlignment="1">
      <alignment horizontal="center" vertical="center"/>
    </xf>
    <xf numFmtId="0" fontId="9" fillId="0" borderId="55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30" xfId="1" applyFont="1" applyBorder="1" applyAlignment="1">
      <alignment horizontal="center" vertical="center"/>
    </xf>
    <xf numFmtId="0" fontId="9" fillId="0" borderId="33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/>
    </xf>
    <xf numFmtId="0" fontId="9" fillId="0" borderId="32" xfId="1" applyFont="1" applyBorder="1" applyAlignment="1">
      <alignment horizontal="center" vertical="center"/>
    </xf>
    <xf numFmtId="0" fontId="37" fillId="0" borderId="31" xfId="1" applyFont="1" applyBorder="1" applyAlignment="1">
      <alignment horizontal="center" vertical="center"/>
    </xf>
    <xf numFmtId="0" fontId="37" fillId="0" borderId="32" xfId="1" applyFont="1" applyBorder="1" applyAlignment="1">
      <alignment horizontal="center" vertical="center"/>
    </xf>
    <xf numFmtId="0" fontId="32" fillId="0" borderId="32" xfId="1" applyFont="1" applyBorder="1" applyAlignment="1">
      <alignment horizontal="center" vertical="center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27" borderId="9" xfId="0" applyFont="1" applyFill="1" applyBorder="1" applyAlignment="1">
      <alignment horizontal="center" wrapText="1"/>
    </xf>
    <xf numFmtId="0" fontId="1" fillId="27" borderId="27" xfId="0" applyFont="1" applyFill="1" applyBorder="1" applyAlignment="1">
      <alignment horizontal="center" wrapText="1"/>
    </xf>
    <xf numFmtId="0" fontId="1" fillId="23" borderId="7" xfId="0" applyFont="1" applyFill="1" applyBorder="1" applyAlignment="1">
      <alignment horizontal="center" wrapText="1"/>
    </xf>
    <xf numFmtId="0" fontId="1" fillId="23" borderId="66" xfId="0" applyFont="1" applyFill="1" applyBorder="1" applyAlignment="1">
      <alignment horizontal="center" wrapText="1"/>
    </xf>
    <xf numFmtId="4" fontId="1" fillId="28" borderId="7" xfId="0" applyNumberFormat="1" applyFont="1" applyFill="1" applyBorder="1" applyAlignment="1">
      <alignment horizontal="center" wrapText="1"/>
    </xf>
    <xf numFmtId="4" fontId="1" fillId="28" borderId="66" xfId="0" applyNumberFormat="1" applyFont="1" applyFill="1" applyBorder="1" applyAlignment="1">
      <alignment horizontal="center" wrapText="1"/>
    </xf>
    <xf numFmtId="4" fontId="1" fillId="25" borderId="9" xfId="0" applyNumberFormat="1" applyFont="1" applyFill="1" applyBorder="1" applyAlignment="1">
      <alignment horizontal="center" wrapText="1"/>
    </xf>
    <xf numFmtId="4" fontId="1" fillId="25" borderId="27" xfId="0" applyNumberFormat="1" applyFont="1" applyFill="1" applyBorder="1" applyAlignment="1">
      <alignment horizontal="center" wrapText="1"/>
    </xf>
    <xf numFmtId="0" fontId="1" fillId="0" borderId="53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</cellXfs>
  <cellStyles count="26">
    <cellStyle name="Comma 2" xfId="4" xr:uid="{AE1D15C7-B693-47C7-89BE-09094E93CD8E}"/>
    <cellStyle name="Comma 2 2" xfId="12" xr:uid="{12034F36-D256-42AF-B866-7B232468BFFF}"/>
    <cellStyle name="Comma 2 2 2" xfId="16" xr:uid="{EBF0C091-4036-4290-B486-429E3E7D104E}"/>
    <cellStyle name="Comma 2 2 2 2" xfId="24" xr:uid="{5969A770-7E00-490D-A2AC-E8649AD8EDF7}"/>
    <cellStyle name="Comma 2 2 3" xfId="20" xr:uid="{3BE22733-2AFC-4B14-A49A-4004B0D15E5E}"/>
    <cellStyle name="Comma 2 3" xfId="14" xr:uid="{455BD4D8-3DB6-4135-A684-421E55CF465C}"/>
    <cellStyle name="Comma 2 3 2" xfId="22" xr:uid="{CEB1BB31-9E05-4C23-B664-F06806114AB1}"/>
    <cellStyle name="Comma 2 4" xfId="18" xr:uid="{82276E65-92AA-4892-8415-C71E0CB3C2DB}"/>
    <cellStyle name="Comma 2 5" xfId="10" xr:uid="{72D2A882-A21F-45C9-BDBD-A09318392203}"/>
    <cellStyle name="Comma 3" xfId="11" xr:uid="{DB2D6A2C-3167-492A-AB0C-EFDBF072696A}"/>
    <cellStyle name="Comma 3 2" xfId="15" xr:uid="{74557129-3060-4701-9118-CE98CFDAF3BA}"/>
    <cellStyle name="Comma 3 2 2" xfId="23" xr:uid="{A6745582-A230-4B9C-A490-1CAF79AD6FEC}"/>
    <cellStyle name="Comma 3 3" xfId="19" xr:uid="{6CA2DF1B-00FE-4DBC-B002-4BDDEB98CDB1}"/>
    <cellStyle name="Comma 4" xfId="13" xr:uid="{F10E3EBF-FF3A-41D0-AD5F-F8B729213CA8}"/>
    <cellStyle name="Comma 4 2" xfId="21" xr:uid="{D7C7EAF1-B248-4235-BCC8-744BA1023D19}"/>
    <cellStyle name="Comma 5" xfId="17" xr:uid="{25FB7336-9BC3-48B8-9A4B-8EE530848E25}"/>
    <cellStyle name="Comma 6" xfId="9" xr:uid="{079478C6-51E7-4948-8349-36E63209A830}"/>
    <cellStyle name="flooded" xfId="8" xr:uid="{EC4A63AF-01B9-45C6-84DD-E207DDF60F82}"/>
    <cellStyle name="Normal" xfId="0" builtinId="0"/>
    <cellStyle name="Normal 10 2" xfId="2" xr:uid="{28F82ED1-C6D5-43B4-956B-137B885BE704}"/>
    <cellStyle name="Normal 11" xfId="1" xr:uid="{3F51B78A-C212-4107-98B6-D858D354DE2F}"/>
    <cellStyle name="Normal 2" xfId="6" xr:uid="{1166D958-D605-4048-BDF8-C43E9C869F91}"/>
    <cellStyle name="Normal 2 2" xfId="5" xr:uid="{F765F5ED-B8BA-4939-BFEE-BF86DE35E183}"/>
    <cellStyle name="Normal 3" xfId="7" xr:uid="{D9754DA4-9AFA-46A9-B536-18C05DDF9AB5}"/>
    <cellStyle name="Normal 6" xfId="3" xr:uid="{6B91D7A2-CD3D-4A6C-BA4E-B9C8879469D2}"/>
    <cellStyle name="Normal 8" xfId="25" xr:uid="{99C8A016-C4BA-4502-9206-C01D5504D9FC}"/>
  </cellStyles>
  <dxfs count="176"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 sz="1800" b="1" i="0" u="none" strike="noStrike" kern="1200" baseline="0">
                <a:solidFill>
                  <a:sysClr val="windowText" lastClr="000000"/>
                </a:solidFill>
              </a:rPr>
              <a:t>OVERALL PERFORMANCE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OVERALL!$D$3</c:f>
              <c:strCache>
                <c:ptCount val="1"/>
                <c:pt idx="0">
                  <c:v>1st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OVERALL!$A$4</c:f>
              <c:strCache>
                <c:ptCount val="1"/>
                <c:pt idx="0">
                  <c:v>All Blocks</c:v>
                </c:pt>
              </c:strCache>
            </c:strRef>
          </c:cat>
          <c:val>
            <c:numRef>
              <c:f>OVERALL!$D$4</c:f>
              <c:numCache>
                <c:formatCode>General</c:formatCode>
                <c:ptCount val="1"/>
                <c:pt idx="0">
                  <c:v>1311.06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0-4057-8639-3AF1F07C101D}"/>
            </c:ext>
          </c:extLst>
        </c:ser>
        <c:ser>
          <c:idx val="1"/>
          <c:order val="1"/>
          <c:tx>
            <c:strRef>
              <c:f>OVERALL!$E$3</c:f>
              <c:strCache>
                <c:ptCount val="1"/>
                <c:pt idx="0">
                  <c:v>2nd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OVERALL!$A$4</c:f>
              <c:strCache>
                <c:ptCount val="1"/>
                <c:pt idx="0">
                  <c:v>All Blocks</c:v>
                </c:pt>
              </c:strCache>
            </c:strRef>
          </c:cat>
          <c:val>
            <c:numRef>
              <c:f>OVERALL!$E$4</c:f>
              <c:numCache>
                <c:formatCode>General</c:formatCode>
                <c:ptCount val="1"/>
                <c:pt idx="0">
                  <c:v>659.64999999999986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80-4057-8639-3AF1F07C101D}"/>
            </c:ext>
          </c:extLst>
        </c:ser>
        <c:ser>
          <c:idx val="2"/>
          <c:order val="2"/>
          <c:tx>
            <c:strRef>
              <c:f>OVERALL!$F$3</c:f>
              <c:strCache>
                <c:ptCount val="1"/>
                <c:pt idx="0">
                  <c:v>3rd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OVERALL!$A$4</c:f>
              <c:strCache>
                <c:ptCount val="1"/>
                <c:pt idx="0">
                  <c:v>All Blocks</c:v>
                </c:pt>
              </c:strCache>
            </c:strRef>
          </c:cat>
          <c:val>
            <c:numRef>
              <c:f>OVERALL!$F$4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80-4057-8639-3AF1F07C10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3"/>
          <c:order val="3"/>
          <c:tx>
            <c:strRef>
              <c:f>OVERALL!$C$3</c:f>
              <c:strCache>
                <c:ptCount val="1"/>
                <c:pt idx="0">
                  <c:v>Budget 2025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square"/>
            <c:size val="10"/>
            <c:spPr>
              <a:ln w="9525"/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OVERALL!$A$4</c:f>
              <c:strCache>
                <c:ptCount val="1"/>
                <c:pt idx="0">
                  <c:v>All Blocks</c:v>
                </c:pt>
              </c:strCache>
            </c:strRef>
          </c:cat>
          <c:val>
            <c:numRef>
              <c:f>OVERALL!$C$4</c:f>
              <c:numCache>
                <c:formatCode>#,##0</c:formatCode>
                <c:ptCount val="1"/>
                <c:pt idx="0">
                  <c:v>2591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80-4057-8639-3AF1F07C101D}"/>
            </c:ext>
          </c:extLst>
        </c:ser>
        <c:ser>
          <c:idx val="4"/>
          <c:order val="4"/>
          <c:tx>
            <c:strRef>
              <c:f>OVERALL!$G$3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11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OVERALL!$A$4</c:f>
              <c:strCache>
                <c:ptCount val="1"/>
                <c:pt idx="0">
                  <c:v>All Blocks</c:v>
                </c:pt>
              </c:strCache>
            </c:strRef>
          </c:cat>
          <c:val>
            <c:numRef>
              <c:f>OVERALL!$G$4</c:f>
              <c:numCache>
                <c:formatCode>General</c:formatCode>
                <c:ptCount val="1"/>
                <c:pt idx="0">
                  <c:v>1970.7099999999998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80-4057-8639-3AF1F07C10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 sz="1000" b="1" i="0" u="none" strike="noStrike" kern="1200" baseline="0">
                    <a:solidFill>
                      <a:sysClr val="windowText" lastClr="000000"/>
                    </a:solidFill>
                  </a:rPr>
                  <a:t>Block Harvested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37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Harvest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 sz="1800" b="1" i="0" u="none" strike="noStrike" kern="1200" baseline="0">
                <a:solidFill>
                  <a:sysClr val="windowText" lastClr="000000"/>
                </a:solidFill>
              </a:rPr>
              <a:t>OVERALL PERFORMANCE - BY HARVESTER GANG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'OVERALL BY GANG'!$D$3</c:f>
              <c:strCache>
                <c:ptCount val="1"/>
                <c:pt idx="0">
                  <c:v>1st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'OVERALL BY GANG'!$A$4:$A$9</c:f>
              <c:strCache>
                <c:ptCount val="6"/>
                <c:pt idx="0">
                  <c:v>YUVENTUS UN GANG</c:v>
                </c:pt>
                <c:pt idx="1">
                  <c:v>DARSO GANG</c:v>
                </c:pt>
                <c:pt idx="2">
                  <c:v>ERDI GANG - to be taken by YUDI</c:v>
                </c:pt>
                <c:pt idx="3">
                  <c:v>SOFIO MODENTUS MISSA GANG - previously SERAN</c:v>
                </c:pt>
                <c:pt idx="4">
                  <c:v>NU AZANI GANG</c:v>
                </c:pt>
                <c:pt idx="5">
                  <c:v>WENDERLINUS GANG </c:v>
                </c:pt>
              </c:strCache>
            </c:strRef>
          </c:cat>
          <c:val>
            <c:numRef>
              <c:f>'OVERALL BY GANG'!$D$4:$D$9</c:f>
              <c:numCache>
                <c:formatCode>0.00</c:formatCode>
                <c:ptCount val="6"/>
                <c:pt idx="0">
                  <c:v>106.52</c:v>
                </c:pt>
                <c:pt idx="1">
                  <c:v>473.61</c:v>
                </c:pt>
                <c:pt idx="2">
                  <c:v>94.469999999999985</c:v>
                </c:pt>
                <c:pt idx="3">
                  <c:v>267.13</c:v>
                </c:pt>
                <c:pt idx="4">
                  <c:v>259.99</c:v>
                </c:pt>
                <c:pt idx="5">
                  <c:v>109.33999999999999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3-40DD-9392-E3012101C9C7}"/>
            </c:ext>
          </c:extLst>
        </c:ser>
        <c:ser>
          <c:idx val="1"/>
          <c:order val="1"/>
          <c:tx>
            <c:strRef>
              <c:f>'OVERALL BY GANG'!$E$3</c:f>
              <c:strCache>
                <c:ptCount val="1"/>
                <c:pt idx="0">
                  <c:v>2nd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'OVERALL BY GANG'!$A$4:$A$9</c:f>
              <c:strCache>
                <c:ptCount val="6"/>
                <c:pt idx="0">
                  <c:v>YUVENTUS UN GANG</c:v>
                </c:pt>
                <c:pt idx="1">
                  <c:v>DARSO GANG</c:v>
                </c:pt>
                <c:pt idx="2">
                  <c:v>ERDI GANG - to be taken by YUDI</c:v>
                </c:pt>
                <c:pt idx="3">
                  <c:v>SOFIO MODENTUS MISSA GANG - previously SERAN</c:v>
                </c:pt>
                <c:pt idx="4">
                  <c:v>NU AZANI GANG</c:v>
                </c:pt>
                <c:pt idx="5">
                  <c:v>WENDERLINUS GANG </c:v>
                </c:pt>
              </c:strCache>
            </c:strRef>
          </c:cat>
          <c:val>
            <c:numRef>
              <c:f>'OVERALL BY GANG'!$E$4:$E$9</c:f>
              <c:numCache>
                <c:formatCode>0.00</c:formatCode>
                <c:ptCount val="6"/>
                <c:pt idx="0">
                  <c:v>125.98</c:v>
                </c:pt>
                <c:pt idx="1">
                  <c:v>218.56</c:v>
                </c:pt>
                <c:pt idx="2">
                  <c:v>10.379999999999999</c:v>
                </c:pt>
                <c:pt idx="3">
                  <c:v>97</c:v>
                </c:pt>
                <c:pt idx="4">
                  <c:v>145.63</c:v>
                </c:pt>
                <c:pt idx="5">
                  <c:v>62.099999999999994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93-40DD-9392-E3012101C9C7}"/>
            </c:ext>
          </c:extLst>
        </c:ser>
        <c:ser>
          <c:idx val="2"/>
          <c:order val="2"/>
          <c:tx>
            <c:strRef>
              <c:f>'OVERALL BY GANG'!$F$3</c:f>
              <c:strCache>
                <c:ptCount val="1"/>
                <c:pt idx="0">
                  <c:v>3rd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'OVERALL BY GANG'!$A$4:$A$9</c:f>
              <c:strCache>
                <c:ptCount val="6"/>
                <c:pt idx="0">
                  <c:v>YUVENTUS UN GANG</c:v>
                </c:pt>
                <c:pt idx="1">
                  <c:v>DARSO GANG</c:v>
                </c:pt>
                <c:pt idx="2">
                  <c:v>ERDI GANG - to be taken by YUDI</c:v>
                </c:pt>
                <c:pt idx="3">
                  <c:v>SOFIO MODENTUS MISSA GANG - previously SERAN</c:v>
                </c:pt>
                <c:pt idx="4">
                  <c:v>NU AZANI GANG</c:v>
                </c:pt>
                <c:pt idx="5">
                  <c:v>WENDERLINUS GANG </c:v>
                </c:pt>
              </c:strCache>
            </c:strRef>
          </c:cat>
          <c:val>
            <c:numRef>
              <c:f>'OVERALL BY GANG'!$F$10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93-40DD-9392-E3012101C9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3"/>
          <c:order val="3"/>
          <c:tx>
            <c:strRef>
              <c:f>'OVERALL BY GANG'!$C$3</c:f>
              <c:strCache>
                <c:ptCount val="1"/>
                <c:pt idx="0">
                  <c:v>Budget 2025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square"/>
            <c:size val="10"/>
            <c:spPr>
              <a:ln w="9525"/>
            </c:spPr>
          </c:marker>
          <c:dLbls>
            <c:delete val="1"/>
          </c:dLbls>
          <c:cat>
            <c:strRef>
              <c:f>'OVERALL BY GANG'!$A$4:$A$9</c:f>
              <c:strCache>
                <c:ptCount val="6"/>
                <c:pt idx="0">
                  <c:v>YUVENTUS UN GANG</c:v>
                </c:pt>
                <c:pt idx="1">
                  <c:v>DARSO GANG</c:v>
                </c:pt>
                <c:pt idx="2">
                  <c:v>ERDI GANG - to be taken by YUDI</c:v>
                </c:pt>
                <c:pt idx="3">
                  <c:v>SOFIO MODENTUS MISSA GANG - previously SERAN</c:v>
                </c:pt>
                <c:pt idx="4">
                  <c:v>NU AZANI GANG</c:v>
                </c:pt>
                <c:pt idx="5">
                  <c:v>WENDERLINUS GANG </c:v>
                </c:pt>
              </c:strCache>
            </c:strRef>
          </c:cat>
          <c:val>
            <c:numRef>
              <c:f>'OVERALL BY GANG'!$C$4:$C$9</c:f>
              <c:numCache>
                <c:formatCode>0.00</c:formatCode>
                <c:ptCount val="6"/>
                <c:pt idx="0">
                  <c:v>331</c:v>
                </c:pt>
                <c:pt idx="1">
                  <c:v>818</c:v>
                </c:pt>
                <c:pt idx="2">
                  <c:v>213</c:v>
                </c:pt>
                <c:pt idx="3">
                  <c:v>511</c:v>
                </c:pt>
                <c:pt idx="4">
                  <c:v>594</c:v>
                </c:pt>
                <c:pt idx="5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93-40DD-9392-E3012101C9C7}"/>
            </c:ext>
          </c:extLst>
        </c:ser>
        <c:ser>
          <c:idx val="4"/>
          <c:order val="4"/>
          <c:tx>
            <c:strRef>
              <c:f>'OVERALL BY GANG'!$G$3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11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'OVERALL BY GANG'!$A$4:$A$9</c:f>
              <c:strCache>
                <c:ptCount val="6"/>
                <c:pt idx="0">
                  <c:v>YUVENTUS UN GANG</c:v>
                </c:pt>
                <c:pt idx="1">
                  <c:v>DARSO GANG</c:v>
                </c:pt>
                <c:pt idx="2">
                  <c:v>ERDI GANG - to be taken by YUDI</c:v>
                </c:pt>
                <c:pt idx="3">
                  <c:v>SOFIO MODENTUS MISSA GANG - previously SERAN</c:v>
                </c:pt>
                <c:pt idx="4">
                  <c:v>NU AZANI GANG</c:v>
                </c:pt>
                <c:pt idx="5">
                  <c:v>WENDERLINUS GANG </c:v>
                </c:pt>
              </c:strCache>
            </c:strRef>
          </c:cat>
          <c:val>
            <c:numRef>
              <c:f>'OVERALL BY GANG'!$G$4:$G$9</c:f>
              <c:numCache>
                <c:formatCode>General</c:formatCode>
                <c:ptCount val="6"/>
                <c:pt idx="0">
                  <c:v>232.5</c:v>
                </c:pt>
                <c:pt idx="1">
                  <c:v>692.17000000000007</c:v>
                </c:pt>
                <c:pt idx="2">
                  <c:v>104.84999999999998</c:v>
                </c:pt>
                <c:pt idx="3">
                  <c:v>364.13</c:v>
                </c:pt>
                <c:pt idx="4">
                  <c:v>405.62</c:v>
                </c:pt>
                <c:pt idx="5">
                  <c:v>171.44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93-40DD-9392-E3012101C9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 sz="1000" b="1" i="0" u="none" strike="noStrike" kern="1200" baseline="0">
                    <a:solidFill>
                      <a:sysClr val="windowText" lastClr="000000"/>
                    </a:solidFill>
                  </a:rPr>
                  <a:t>HARVESTER GANG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12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Harvest Amount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MIKHAEL GANG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'YUVENTUS UN GANG'!$D$6</c:f>
              <c:strCache>
                <c:ptCount val="1"/>
                <c:pt idx="0">
                  <c:v>1st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'YUVENTUS UN GANG'!$A$7:$A$9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14</c:v>
                </c:pt>
              </c:numCache>
            </c:numRef>
          </c:cat>
          <c:val>
            <c:numRef>
              <c:f>'YUVENTUS UN GANG'!$D$7:$D$9</c:f>
              <c:numCache>
                <c:formatCode>General</c:formatCode>
                <c:ptCount val="3"/>
                <c:pt idx="0">
                  <c:v>45.47</c:v>
                </c:pt>
                <c:pt idx="1">
                  <c:v>15.21</c:v>
                </c:pt>
                <c:pt idx="2">
                  <c:v>45.839999999999996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3-4DD4-8080-514D1789C30D}"/>
            </c:ext>
          </c:extLst>
        </c:ser>
        <c:ser>
          <c:idx val="1"/>
          <c:order val="1"/>
          <c:tx>
            <c:strRef>
              <c:f>'YUVENTUS UN GANG'!$E$6</c:f>
              <c:strCache>
                <c:ptCount val="1"/>
                <c:pt idx="0">
                  <c:v>2nd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'YUVENTUS UN GANG'!$A$7:$A$9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14</c:v>
                </c:pt>
              </c:numCache>
            </c:numRef>
          </c:cat>
          <c:val>
            <c:numRef>
              <c:f>'YUVENTUS UN GANG'!$E$7:$E$9</c:f>
              <c:numCache>
                <c:formatCode>General</c:formatCode>
                <c:ptCount val="3"/>
                <c:pt idx="0">
                  <c:v>61.180000000000007</c:v>
                </c:pt>
                <c:pt idx="1">
                  <c:v>64.8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73-4DD4-8080-514D1789C30D}"/>
            </c:ext>
          </c:extLst>
        </c:ser>
        <c:ser>
          <c:idx val="2"/>
          <c:order val="2"/>
          <c:tx>
            <c:strRef>
              <c:f>'YUVENTUS UN GANG'!$F$6</c:f>
              <c:strCache>
                <c:ptCount val="1"/>
                <c:pt idx="0">
                  <c:v>3rd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'YUVENTUS UN GANG'!$A$7:$A$9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14</c:v>
                </c:pt>
              </c:numCache>
            </c:numRef>
          </c:cat>
          <c:val>
            <c:numRef>
              <c:f>'YUVENTUS UN GANG'!$F$7:$F$9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73-4DD4-8080-514D1789C3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3"/>
          <c:order val="3"/>
          <c:tx>
            <c:strRef>
              <c:f>'YUVENTUS UN GANG'!$C$6</c:f>
              <c:strCache>
                <c:ptCount val="1"/>
                <c:pt idx="0">
                  <c:v>Budget 2025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square"/>
            <c:size val="10"/>
            <c:spPr>
              <a:ln w="9525"/>
            </c:spPr>
          </c:marker>
          <c:dLbls>
            <c:delete val="1"/>
          </c:dLbls>
          <c:cat>
            <c:numRef>
              <c:f>'YUVENTUS UN GANG'!$A$7:$A$9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14</c:v>
                </c:pt>
              </c:numCache>
            </c:numRef>
          </c:cat>
          <c:val>
            <c:numRef>
              <c:f>'YUVENTUS UN GANG'!$C$7:$C$9</c:f>
              <c:numCache>
                <c:formatCode>General</c:formatCode>
                <c:ptCount val="3"/>
                <c:pt idx="0">
                  <c:v>106</c:v>
                </c:pt>
                <c:pt idx="1">
                  <c:v>138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73-4DD4-8080-514D1789C30D}"/>
            </c:ext>
          </c:extLst>
        </c:ser>
        <c:ser>
          <c:idx val="4"/>
          <c:order val="4"/>
          <c:tx>
            <c:strRef>
              <c:f>'YUVENTUS UN GANG'!$G$6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11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'YUVENTUS UN GANG'!$G$7:$G$9</c:f>
              <c:numCache>
                <c:formatCode>General</c:formatCode>
                <c:ptCount val="3"/>
                <c:pt idx="0">
                  <c:v>106.65</c:v>
                </c:pt>
                <c:pt idx="1">
                  <c:v>80.009999999999991</c:v>
                </c:pt>
                <c:pt idx="2">
                  <c:v>45.839999999999996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69-47D3-B919-3A4C9D49D1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Block Harvested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16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Harvest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 sz="1800" b="1" i="0" u="none" strike="noStrike" kern="1200" baseline="0">
                <a:solidFill>
                  <a:sysClr val="windowText" lastClr="000000"/>
                </a:solidFill>
              </a:rPr>
              <a:t>DARSO GANG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'DARSO GANG'!$D$6</c:f>
              <c:strCache>
                <c:ptCount val="1"/>
                <c:pt idx="0">
                  <c:v>1st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'DARSO GANG'!$A$7:$A$13</c:f>
              <c:numCache>
                <c:formatCode>General</c:formatCode>
                <c:ptCount val="7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</c:numCache>
            </c:numRef>
          </c:cat>
          <c:val>
            <c:numRef>
              <c:f>'DARSO GANG'!$D$7:$D$13</c:f>
              <c:numCache>
                <c:formatCode>General</c:formatCode>
                <c:ptCount val="7"/>
                <c:pt idx="0">
                  <c:v>70.900000000000006</c:v>
                </c:pt>
                <c:pt idx="1">
                  <c:v>53.38</c:v>
                </c:pt>
                <c:pt idx="2">
                  <c:v>43.17</c:v>
                </c:pt>
                <c:pt idx="3">
                  <c:v>56.22</c:v>
                </c:pt>
                <c:pt idx="4">
                  <c:v>84.19</c:v>
                </c:pt>
                <c:pt idx="5">
                  <c:v>101.30000000000001</c:v>
                </c:pt>
                <c:pt idx="6">
                  <c:v>64.45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0-4DC5-A278-ECB63AF931E1}"/>
            </c:ext>
          </c:extLst>
        </c:ser>
        <c:ser>
          <c:idx val="1"/>
          <c:order val="1"/>
          <c:tx>
            <c:strRef>
              <c:f>'DARSO GANG'!$E$6</c:f>
              <c:strCache>
                <c:ptCount val="1"/>
                <c:pt idx="0">
                  <c:v>2nd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'DARSO GANG'!$A$7:$A$13</c:f>
              <c:numCache>
                <c:formatCode>General</c:formatCode>
                <c:ptCount val="7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</c:numCache>
            </c:numRef>
          </c:cat>
          <c:val>
            <c:numRef>
              <c:f>'DARSO GANG'!$E$7:$E$13</c:f>
              <c:numCache>
                <c:formatCode>General</c:formatCode>
                <c:ptCount val="7"/>
                <c:pt idx="0">
                  <c:v>53.16</c:v>
                </c:pt>
                <c:pt idx="1">
                  <c:v>58.28</c:v>
                </c:pt>
                <c:pt idx="2">
                  <c:v>0</c:v>
                </c:pt>
                <c:pt idx="3">
                  <c:v>33.75</c:v>
                </c:pt>
                <c:pt idx="4">
                  <c:v>52.47</c:v>
                </c:pt>
                <c:pt idx="5">
                  <c:v>20.9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30-4DC5-A278-ECB63AF931E1}"/>
            </c:ext>
          </c:extLst>
        </c:ser>
        <c:ser>
          <c:idx val="2"/>
          <c:order val="2"/>
          <c:tx>
            <c:strRef>
              <c:f>'DARSO GANG'!$F$6</c:f>
              <c:strCache>
                <c:ptCount val="1"/>
                <c:pt idx="0">
                  <c:v>3rd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'DARSO GANG'!$A$7:$A$13</c:f>
              <c:numCache>
                <c:formatCode>General</c:formatCode>
                <c:ptCount val="7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</c:numCache>
            </c:numRef>
          </c:cat>
          <c:val>
            <c:numRef>
              <c:f>'DARSO GANG'!$F$7:$F$13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30-4DC5-A278-ECB63AF931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3"/>
          <c:order val="3"/>
          <c:tx>
            <c:strRef>
              <c:f>'DARSO GANG'!$C$6</c:f>
              <c:strCache>
                <c:ptCount val="1"/>
                <c:pt idx="0">
                  <c:v>Budget 2025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square"/>
            <c:size val="10"/>
            <c:spPr>
              <a:ln w="9525"/>
            </c:spPr>
          </c:marker>
          <c:dLbls>
            <c:delete val="1"/>
          </c:dLbls>
          <c:cat>
            <c:numRef>
              <c:f>'DARSO GANG'!$A$7:$A$13</c:f>
              <c:numCache>
                <c:formatCode>General</c:formatCode>
                <c:ptCount val="7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</c:numCache>
            </c:numRef>
          </c:cat>
          <c:val>
            <c:numRef>
              <c:f>'DARSO GANG'!$C$7:$C$13</c:f>
              <c:numCache>
                <c:formatCode>General</c:formatCode>
                <c:ptCount val="7"/>
                <c:pt idx="0">
                  <c:v>99</c:v>
                </c:pt>
                <c:pt idx="1">
                  <c:v>106</c:v>
                </c:pt>
                <c:pt idx="2">
                  <c:v>101</c:v>
                </c:pt>
                <c:pt idx="3">
                  <c:v>106</c:v>
                </c:pt>
                <c:pt idx="4">
                  <c:v>130</c:v>
                </c:pt>
                <c:pt idx="5">
                  <c:v>166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30-4DC5-A278-ECB63AF931E1}"/>
            </c:ext>
          </c:extLst>
        </c:ser>
        <c:ser>
          <c:idx val="4"/>
          <c:order val="4"/>
          <c:tx>
            <c:strRef>
              <c:f>'DARSO GANG'!$G$6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11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'DARSO GANG'!$A$7:$A$13</c:f>
              <c:numCache>
                <c:formatCode>General</c:formatCode>
                <c:ptCount val="7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</c:numCache>
            </c:numRef>
          </c:cat>
          <c:val>
            <c:numRef>
              <c:f>'DARSO GANG'!$G$7:$G$13</c:f>
              <c:numCache>
                <c:formatCode>General</c:formatCode>
                <c:ptCount val="7"/>
                <c:pt idx="0">
                  <c:v>124.06</c:v>
                </c:pt>
                <c:pt idx="1">
                  <c:v>111.66</c:v>
                </c:pt>
                <c:pt idx="2">
                  <c:v>43.17</c:v>
                </c:pt>
                <c:pt idx="3">
                  <c:v>89.97</c:v>
                </c:pt>
                <c:pt idx="4">
                  <c:v>136.66</c:v>
                </c:pt>
                <c:pt idx="5">
                  <c:v>122.20000000000002</c:v>
                </c:pt>
                <c:pt idx="6">
                  <c:v>64.45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30-4DC5-A278-ECB63AF931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 sz="1000" b="1" i="0" u="none" strike="noStrike" kern="1200" baseline="0">
                    <a:solidFill>
                      <a:sysClr val="windowText" lastClr="000000"/>
                    </a:solidFill>
                  </a:rPr>
                  <a:t>Block Harvested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19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Harvest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 sz="1800" b="1" i="0" u="none" strike="noStrike" kern="1200" baseline="0">
                <a:solidFill>
                  <a:sysClr val="windowText" lastClr="000000"/>
                </a:solidFill>
              </a:rPr>
              <a:t>ERDI GANG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'YUDI GANG'!$D$6</c:f>
              <c:strCache>
                <c:ptCount val="1"/>
                <c:pt idx="0">
                  <c:v>1st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'YUDI GANG'!$A$7:$A$9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29</c:v>
                </c:pt>
              </c:numCache>
            </c:numRef>
          </c:cat>
          <c:val>
            <c:numRef>
              <c:f>'YUDI GANG'!$D$7:$D$9</c:f>
              <c:numCache>
                <c:formatCode>General</c:formatCode>
                <c:ptCount val="3"/>
                <c:pt idx="0">
                  <c:v>57.309999999999995</c:v>
                </c:pt>
                <c:pt idx="1">
                  <c:v>32.42</c:v>
                </c:pt>
                <c:pt idx="2">
                  <c:v>4.74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F-45D1-8DE5-7EBFBE1DAE6F}"/>
            </c:ext>
          </c:extLst>
        </c:ser>
        <c:ser>
          <c:idx val="1"/>
          <c:order val="1"/>
          <c:tx>
            <c:strRef>
              <c:f>'YUDI GANG'!$E$6</c:f>
              <c:strCache>
                <c:ptCount val="1"/>
                <c:pt idx="0">
                  <c:v>2nd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'YUDI GANG'!$A$7:$A$9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29</c:v>
                </c:pt>
              </c:numCache>
            </c:numRef>
          </c:cat>
          <c:val>
            <c:numRef>
              <c:f>'YUDI GANG'!$E$7:$E$9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10.379999999999999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F-45D1-8DE5-7EBFBE1DAE6F}"/>
            </c:ext>
          </c:extLst>
        </c:ser>
        <c:ser>
          <c:idx val="2"/>
          <c:order val="2"/>
          <c:tx>
            <c:strRef>
              <c:f>'YUDI GANG'!$F$6</c:f>
              <c:strCache>
                <c:ptCount val="1"/>
                <c:pt idx="0">
                  <c:v>3rd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'YUDI GANG'!$A$7:$A$9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29</c:v>
                </c:pt>
              </c:numCache>
            </c:numRef>
          </c:cat>
          <c:val>
            <c:numRef>
              <c:f>'YUDI GANG'!$F$7:$F$9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DF-45D1-8DE5-7EBFBE1DAE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3"/>
          <c:order val="3"/>
          <c:tx>
            <c:strRef>
              <c:f>'YUDI GANG'!$C$6</c:f>
              <c:strCache>
                <c:ptCount val="1"/>
                <c:pt idx="0">
                  <c:v>Budget 2025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square"/>
            <c:size val="10"/>
            <c:spPr>
              <a:ln w="9525"/>
            </c:spPr>
          </c:marker>
          <c:dLbls>
            <c:delete val="1"/>
          </c:dLbls>
          <c:cat>
            <c:numRef>
              <c:f>'YUDI GANG'!$A$7:$A$9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29</c:v>
                </c:pt>
              </c:numCache>
            </c:numRef>
          </c:cat>
          <c:val>
            <c:numRef>
              <c:f>'YUDI GANG'!$C$7:$C$9</c:f>
              <c:numCache>
                <c:formatCode>General</c:formatCode>
                <c:ptCount val="3"/>
                <c:pt idx="0">
                  <c:v>121</c:v>
                </c:pt>
                <c:pt idx="1">
                  <c:v>85</c:v>
                </c:pt>
                <c:pt idx="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DF-45D1-8DE5-7EBFBE1DAE6F}"/>
            </c:ext>
          </c:extLst>
        </c:ser>
        <c:ser>
          <c:idx val="4"/>
          <c:order val="4"/>
          <c:tx>
            <c:strRef>
              <c:f>'YUDI GANG'!$G$6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11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'YUDI GANG'!$A$7:$A$9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29</c:v>
                </c:pt>
              </c:numCache>
            </c:numRef>
          </c:cat>
          <c:val>
            <c:numRef>
              <c:f>'YUDI GANG'!$G$7:$G$9</c:f>
              <c:numCache>
                <c:formatCode>General</c:formatCode>
                <c:ptCount val="3"/>
                <c:pt idx="0">
                  <c:v>57.309999999999995</c:v>
                </c:pt>
                <c:pt idx="1">
                  <c:v>32.42</c:v>
                </c:pt>
                <c:pt idx="2">
                  <c:v>15.12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DF-45D1-8DE5-7EBFBE1DAE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 sz="1000" b="1" i="0" u="none" strike="noStrike" kern="1200" baseline="0">
                    <a:solidFill>
                      <a:sysClr val="windowText" lastClr="000000"/>
                    </a:solidFill>
                  </a:rPr>
                  <a:t>Block Harvested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17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Harvest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 sz="1800" b="1" i="0" u="none" strike="noStrike" kern="1200" baseline="0">
                <a:solidFill>
                  <a:sysClr val="windowText" lastClr="000000"/>
                </a:solidFill>
              </a:rPr>
              <a:t>SERAN GANG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'SOFIO GANG'!$D$6</c:f>
              <c:strCache>
                <c:ptCount val="1"/>
                <c:pt idx="0">
                  <c:v>1st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'SOFIO GANG'!$A$7:$A$13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23</c:v>
                </c:pt>
                <c:pt idx="5">
                  <c:v>24</c:v>
                </c:pt>
              </c:numCache>
            </c:numRef>
          </c:cat>
          <c:val>
            <c:numRef>
              <c:f>'SOFIO GANG'!$D$7:$D$12</c:f>
              <c:numCache>
                <c:formatCode>General</c:formatCode>
                <c:ptCount val="6"/>
                <c:pt idx="0">
                  <c:v>65.040000000000006</c:v>
                </c:pt>
                <c:pt idx="1">
                  <c:v>47.44</c:v>
                </c:pt>
                <c:pt idx="2">
                  <c:v>60.33</c:v>
                </c:pt>
                <c:pt idx="3">
                  <c:v>19.149999999999999</c:v>
                </c:pt>
                <c:pt idx="4">
                  <c:v>25.259999999999998</c:v>
                </c:pt>
                <c:pt idx="5">
                  <c:v>49.910000000000004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E-4B34-9951-6713D4A66AD4}"/>
            </c:ext>
          </c:extLst>
        </c:ser>
        <c:ser>
          <c:idx val="1"/>
          <c:order val="1"/>
          <c:tx>
            <c:strRef>
              <c:f>'SOFIO GANG'!$E$6</c:f>
              <c:strCache>
                <c:ptCount val="1"/>
                <c:pt idx="0">
                  <c:v>2nd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'SOFIO GANG'!$A$7:$A$13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23</c:v>
                </c:pt>
                <c:pt idx="5">
                  <c:v>24</c:v>
                </c:pt>
              </c:numCache>
            </c:numRef>
          </c:cat>
          <c:val>
            <c:numRef>
              <c:f>'SOFIO GANG'!$E$7:$E$12</c:f>
              <c:numCache>
                <c:formatCode>General</c:formatCode>
                <c:ptCount val="6"/>
                <c:pt idx="0">
                  <c:v>0</c:v>
                </c:pt>
                <c:pt idx="1">
                  <c:v>32.090000000000003</c:v>
                </c:pt>
                <c:pt idx="2">
                  <c:v>64.91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E-4B34-9951-6713D4A66AD4}"/>
            </c:ext>
          </c:extLst>
        </c:ser>
        <c:ser>
          <c:idx val="2"/>
          <c:order val="2"/>
          <c:tx>
            <c:strRef>
              <c:f>'SOFIO GANG'!$F$6</c:f>
              <c:strCache>
                <c:ptCount val="1"/>
                <c:pt idx="0">
                  <c:v>3rd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'SOFIO GANG'!$A$7:$A$13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23</c:v>
                </c:pt>
                <c:pt idx="5">
                  <c:v>24</c:v>
                </c:pt>
              </c:numCache>
            </c:numRef>
          </c:cat>
          <c:val>
            <c:numRef>
              <c:f>'SOFIO GANG'!$F$7:$F$12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9E-4B34-9951-6713D4A66A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3"/>
          <c:order val="3"/>
          <c:tx>
            <c:strRef>
              <c:f>'SOFIO GANG'!$C$6</c:f>
              <c:strCache>
                <c:ptCount val="1"/>
                <c:pt idx="0">
                  <c:v>Budget 2025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square"/>
            <c:size val="10"/>
            <c:spPr>
              <a:ln w="9525"/>
            </c:spPr>
          </c:marker>
          <c:dLbls>
            <c:delete val="1"/>
          </c:dLbls>
          <c:cat>
            <c:numRef>
              <c:f>'SOFIO GANG'!$A$7:$A$13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23</c:v>
                </c:pt>
                <c:pt idx="5">
                  <c:v>24</c:v>
                </c:pt>
              </c:numCache>
            </c:numRef>
          </c:cat>
          <c:val>
            <c:numRef>
              <c:f>'SOFIO GANG'!$C$7:$C$12</c:f>
              <c:numCache>
                <c:formatCode>General</c:formatCode>
                <c:ptCount val="6"/>
                <c:pt idx="0">
                  <c:v>141</c:v>
                </c:pt>
                <c:pt idx="1">
                  <c:v>101</c:v>
                </c:pt>
                <c:pt idx="2">
                  <c:v>117</c:v>
                </c:pt>
                <c:pt idx="3">
                  <c:v>40</c:v>
                </c:pt>
                <c:pt idx="4">
                  <c:v>31</c:v>
                </c:pt>
                <c:pt idx="5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9E-4B34-9951-6713D4A66AD4}"/>
            </c:ext>
          </c:extLst>
        </c:ser>
        <c:ser>
          <c:idx val="4"/>
          <c:order val="4"/>
          <c:tx>
            <c:strRef>
              <c:f>'SOFIO GANG'!$G$6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11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'SOFIO GANG'!$A$7:$A$13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23</c:v>
                </c:pt>
                <c:pt idx="5">
                  <c:v>24</c:v>
                </c:pt>
              </c:numCache>
            </c:numRef>
          </c:cat>
          <c:val>
            <c:numRef>
              <c:f>'SOFIO GANG'!$G$7:$G$12</c:f>
              <c:numCache>
                <c:formatCode>General</c:formatCode>
                <c:ptCount val="6"/>
                <c:pt idx="0">
                  <c:v>65.040000000000006</c:v>
                </c:pt>
                <c:pt idx="1">
                  <c:v>79.53</c:v>
                </c:pt>
                <c:pt idx="2">
                  <c:v>125.24</c:v>
                </c:pt>
                <c:pt idx="3">
                  <c:v>19.149999999999999</c:v>
                </c:pt>
                <c:pt idx="4">
                  <c:v>25.259999999999998</c:v>
                </c:pt>
                <c:pt idx="5">
                  <c:v>49.910000000000004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9E-4B34-9951-6713D4A66A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 sz="1000" b="1" i="0" u="none" strike="noStrike" kern="1200" baseline="0">
                    <a:solidFill>
                      <a:sysClr val="windowText" lastClr="000000"/>
                    </a:solidFill>
                  </a:rPr>
                  <a:t>Block Harvested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2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Harvest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 sz="1800" b="1" i="0" u="none" strike="noStrike" kern="1200" baseline="0">
                <a:solidFill>
                  <a:sysClr val="windowText" lastClr="000000"/>
                </a:solidFill>
              </a:rPr>
              <a:t>NU AZANI GANG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 AZANI GANG'!$D$6</c:f>
              <c:strCache>
                <c:ptCount val="1"/>
                <c:pt idx="0">
                  <c:v>1st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'NU AZANI GANG'!$A$7:$A$13</c:f>
              <c:numCache>
                <c:formatCode>General</c:formatCode>
                <c:ptCount val="7"/>
                <c:pt idx="0">
                  <c:v>8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18</c:v>
                </c:pt>
              </c:numCache>
            </c:numRef>
          </c:cat>
          <c:val>
            <c:numRef>
              <c:f>'NU AZANI GANG'!$D$7:$D$12</c:f>
              <c:numCache>
                <c:formatCode>General</c:formatCode>
                <c:ptCount val="6"/>
                <c:pt idx="0">
                  <c:v>59.31</c:v>
                </c:pt>
                <c:pt idx="1">
                  <c:v>33.010000000000005</c:v>
                </c:pt>
                <c:pt idx="2">
                  <c:v>49.47</c:v>
                </c:pt>
                <c:pt idx="3">
                  <c:v>13.41</c:v>
                </c:pt>
                <c:pt idx="4">
                  <c:v>59.580000000000005</c:v>
                </c:pt>
                <c:pt idx="5">
                  <c:v>45.21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E-4A85-9E42-C74344522A75}"/>
            </c:ext>
          </c:extLst>
        </c:ser>
        <c:ser>
          <c:idx val="1"/>
          <c:order val="1"/>
          <c:tx>
            <c:strRef>
              <c:f>'NU AZANI GANG'!$E$6</c:f>
              <c:strCache>
                <c:ptCount val="1"/>
                <c:pt idx="0">
                  <c:v>2nd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'NU AZANI GANG'!$A$7:$A$13</c:f>
              <c:numCache>
                <c:formatCode>General</c:formatCode>
                <c:ptCount val="7"/>
                <c:pt idx="0">
                  <c:v>8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18</c:v>
                </c:pt>
              </c:numCache>
            </c:numRef>
          </c:cat>
          <c:val>
            <c:numRef>
              <c:f>'NU AZANI GANG'!$E$7:$E$12</c:f>
              <c:numCache>
                <c:formatCode>General</c:formatCode>
                <c:ptCount val="6"/>
                <c:pt idx="0">
                  <c:v>7.63</c:v>
                </c:pt>
                <c:pt idx="1">
                  <c:v>0</c:v>
                </c:pt>
                <c:pt idx="2">
                  <c:v>43.91</c:v>
                </c:pt>
                <c:pt idx="3">
                  <c:v>0</c:v>
                </c:pt>
                <c:pt idx="4">
                  <c:v>53.370000000000005</c:v>
                </c:pt>
                <c:pt idx="5">
                  <c:v>40.72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3E-4A85-9E42-C74344522A75}"/>
            </c:ext>
          </c:extLst>
        </c:ser>
        <c:ser>
          <c:idx val="2"/>
          <c:order val="2"/>
          <c:tx>
            <c:strRef>
              <c:f>'NU AZANI GANG'!$F$6</c:f>
              <c:strCache>
                <c:ptCount val="1"/>
                <c:pt idx="0">
                  <c:v>3rd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'NU AZANI GANG'!$A$7:$A$13</c:f>
              <c:numCache>
                <c:formatCode>General</c:formatCode>
                <c:ptCount val="7"/>
                <c:pt idx="0">
                  <c:v>8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18</c:v>
                </c:pt>
              </c:numCache>
            </c:numRef>
          </c:cat>
          <c:val>
            <c:numRef>
              <c:f>'NU AZANI GANG'!$F$7:$F$12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3E-4A85-9E42-C74344522A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3"/>
          <c:order val="3"/>
          <c:tx>
            <c:strRef>
              <c:f>'NU AZANI GANG'!$C$6</c:f>
              <c:strCache>
                <c:ptCount val="1"/>
                <c:pt idx="0">
                  <c:v>Budget 2025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square"/>
            <c:size val="10"/>
            <c:spPr>
              <a:ln w="9525"/>
            </c:spPr>
          </c:marker>
          <c:dLbls>
            <c:delete val="1"/>
          </c:dLbls>
          <c:cat>
            <c:numRef>
              <c:f>'NU AZANI GANG'!$A$7:$A$13</c:f>
              <c:numCache>
                <c:formatCode>General</c:formatCode>
                <c:ptCount val="7"/>
                <c:pt idx="0">
                  <c:v>8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18</c:v>
                </c:pt>
              </c:numCache>
            </c:numRef>
          </c:cat>
          <c:val>
            <c:numRef>
              <c:f>'NU AZANI GANG'!$C$7:$C$12</c:f>
              <c:numCache>
                <c:formatCode>General</c:formatCode>
                <c:ptCount val="6"/>
                <c:pt idx="0">
                  <c:v>123</c:v>
                </c:pt>
                <c:pt idx="1">
                  <c:v>69</c:v>
                </c:pt>
                <c:pt idx="2">
                  <c:v>142</c:v>
                </c:pt>
                <c:pt idx="3">
                  <c:v>36</c:v>
                </c:pt>
                <c:pt idx="4">
                  <c:v>134</c:v>
                </c:pt>
                <c:pt idx="5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3E-4A85-9E42-C74344522A75}"/>
            </c:ext>
          </c:extLst>
        </c:ser>
        <c:ser>
          <c:idx val="4"/>
          <c:order val="4"/>
          <c:tx>
            <c:strRef>
              <c:f>'NU AZANI GANG'!$G$6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11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'NU AZANI GANG'!$A$7:$A$13</c:f>
              <c:numCache>
                <c:formatCode>General</c:formatCode>
                <c:ptCount val="7"/>
                <c:pt idx="0">
                  <c:v>8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18</c:v>
                </c:pt>
              </c:numCache>
            </c:numRef>
          </c:cat>
          <c:val>
            <c:numRef>
              <c:f>'NU AZANI GANG'!$G$7:$G$12</c:f>
              <c:numCache>
                <c:formatCode>General</c:formatCode>
                <c:ptCount val="6"/>
                <c:pt idx="0">
                  <c:v>66.94</c:v>
                </c:pt>
                <c:pt idx="1">
                  <c:v>33.010000000000005</c:v>
                </c:pt>
                <c:pt idx="2">
                  <c:v>93.38</c:v>
                </c:pt>
                <c:pt idx="3">
                  <c:v>13.41</c:v>
                </c:pt>
                <c:pt idx="4">
                  <c:v>112.95000000000002</c:v>
                </c:pt>
                <c:pt idx="5">
                  <c:v>85.93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3E-4A85-9E42-C74344522A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 sz="1000" b="1" i="0" u="none" strike="noStrike" kern="1200" baseline="0">
                    <a:solidFill>
                      <a:sysClr val="windowText" lastClr="000000"/>
                    </a:solidFill>
                  </a:rPr>
                  <a:t>Block Harvested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2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Harvest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 sz="1800" b="1" i="0" u="none" strike="noStrike" kern="1200" baseline="0">
                <a:solidFill>
                  <a:sysClr val="windowText" lastClr="000000"/>
                </a:solidFill>
              </a:rPr>
              <a:t>WENDERLINUS GANG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'WENDERLINUS GANG '!$D$6</c:f>
              <c:strCache>
                <c:ptCount val="1"/>
                <c:pt idx="0">
                  <c:v>1st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'WENDERLINUS GANG '!$A$7:$A$12</c:f>
              <c:strCache>
                <c:ptCount val="6"/>
                <c:pt idx="0">
                  <c:v>25</c:v>
                </c:pt>
                <c:pt idx="1">
                  <c:v>26A</c:v>
                </c:pt>
                <c:pt idx="2">
                  <c:v>27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</c:strCache>
            </c:strRef>
          </c:cat>
          <c:val>
            <c:numRef>
              <c:f>'WENDERLINUS GANG '!$D$7:$D$11</c:f>
              <c:numCache>
                <c:formatCode>General</c:formatCode>
                <c:ptCount val="5"/>
                <c:pt idx="0">
                  <c:v>12.27</c:v>
                </c:pt>
                <c:pt idx="1">
                  <c:v>10.02</c:v>
                </c:pt>
                <c:pt idx="2">
                  <c:v>10</c:v>
                </c:pt>
                <c:pt idx="3">
                  <c:v>23.75</c:v>
                </c:pt>
                <c:pt idx="4">
                  <c:v>12.309999999999999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2-4C21-8DAB-153FBC0DB9B2}"/>
            </c:ext>
          </c:extLst>
        </c:ser>
        <c:ser>
          <c:idx val="1"/>
          <c:order val="1"/>
          <c:tx>
            <c:strRef>
              <c:f>'WENDERLINUS GANG '!$E$6</c:f>
              <c:strCache>
                <c:ptCount val="1"/>
                <c:pt idx="0">
                  <c:v>2nd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'WENDERLINUS GANG '!$A$7:$A$12</c:f>
              <c:strCache>
                <c:ptCount val="6"/>
                <c:pt idx="0">
                  <c:v>25</c:v>
                </c:pt>
                <c:pt idx="1">
                  <c:v>26A</c:v>
                </c:pt>
                <c:pt idx="2">
                  <c:v>27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</c:strCache>
            </c:strRef>
          </c:cat>
          <c:val>
            <c:numRef>
              <c:f>'WENDERLINUS GANG '!$E$7:$E$11</c:f>
              <c:numCache>
                <c:formatCode>General</c:formatCode>
                <c:ptCount val="5"/>
                <c:pt idx="0">
                  <c:v>9.43</c:v>
                </c:pt>
                <c:pt idx="1">
                  <c:v>18.229999999999997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22-4C21-8DAB-153FBC0DB9B2}"/>
            </c:ext>
          </c:extLst>
        </c:ser>
        <c:ser>
          <c:idx val="2"/>
          <c:order val="2"/>
          <c:tx>
            <c:strRef>
              <c:f>'WENDERLINUS GANG '!$F$6</c:f>
              <c:strCache>
                <c:ptCount val="1"/>
                <c:pt idx="0">
                  <c:v>3rd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'WENDERLINUS GANG '!$A$7:$A$12</c:f>
              <c:strCache>
                <c:ptCount val="6"/>
                <c:pt idx="0">
                  <c:v>25</c:v>
                </c:pt>
                <c:pt idx="1">
                  <c:v>26A</c:v>
                </c:pt>
                <c:pt idx="2">
                  <c:v>27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</c:strCache>
            </c:strRef>
          </c:cat>
          <c:val>
            <c:numRef>
              <c:f>'WENDERLINUS GANG '!$F$7:$F$11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22-4C21-8DAB-153FBC0DB9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3"/>
          <c:order val="3"/>
          <c:tx>
            <c:strRef>
              <c:f>'WENDERLINUS GANG '!$C$6</c:f>
              <c:strCache>
                <c:ptCount val="1"/>
                <c:pt idx="0">
                  <c:v>Budget 2025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square"/>
            <c:size val="10"/>
            <c:spPr>
              <a:ln w="9525"/>
            </c:spPr>
          </c:marker>
          <c:dLbls>
            <c:delete val="1"/>
          </c:dLbls>
          <c:cat>
            <c:strRef>
              <c:f>'WENDERLINUS GANG '!$A$7:$A$12</c:f>
              <c:strCache>
                <c:ptCount val="6"/>
                <c:pt idx="0">
                  <c:v>25</c:v>
                </c:pt>
                <c:pt idx="1">
                  <c:v>26A</c:v>
                </c:pt>
                <c:pt idx="2">
                  <c:v>27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</c:strCache>
            </c:strRef>
          </c:cat>
          <c:val>
            <c:numRef>
              <c:f>'WENDERLINUS GANG '!$C$7:$C$11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9</c:v>
                </c:pt>
                <c:pt idx="3">
                  <c:v>26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22-4C21-8DAB-153FBC0DB9B2}"/>
            </c:ext>
          </c:extLst>
        </c:ser>
        <c:ser>
          <c:idx val="4"/>
          <c:order val="4"/>
          <c:tx>
            <c:strRef>
              <c:f>'WENDERLINUS GANG '!$G$6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11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'WENDERLINUS GANG '!$A$7:$A$12</c:f>
              <c:strCache>
                <c:ptCount val="6"/>
                <c:pt idx="0">
                  <c:v>25</c:v>
                </c:pt>
                <c:pt idx="1">
                  <c:v>26A</c:v>
                </c:pt>
                <c:pt idx="2">
                  <c:v>27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</c:strCache>
            </c:strRef>
          </c:cat>
          <c:val>
            <c:numRef>
              <c:f>'WENDERLINUS GANG '!$G$7:$G$11</c:f>
              <c:numCache>
                <c:formatCode>General</c:formatCode>
                <c:ptCount val="5"/>
                <c:pt idx="0">
                  <c:v>21.7</c:v>
                </c:pt>
                <c:pt idx="1">
                  <c:v>28.249999999999996</c:v>
                </c:pt>
                <c:pt idx="2">
                  <c:v>19</c:v>
                </c:pt>
                <c:pt idx="3">
                  <c:v>23.75</c:v>
                </c:pt>
                <c:pt idx="4">
                  <c:v>12.309999999999999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22-4C21-8DAB-153FBC0DB9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 sz="1000" b="1" i="0" u="none" strike="noStrike" kern="1200" baseline="0">
                    <a:solidFill>
                      <a:sysClr val="windowText" lastClr="000000"/>
                    </a:solidFill>
                  </a:rPr>
                  <a:t>Block Harvested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6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Harvest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FFB INTERVAL 2025 VS 2024 FOR THE MONTH OF OCTOBER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'FFB interval 2024 vs 2025'!$G$4</c:f>
              <c:strCache>
                <c:ptCount val="1"/>
                <c:pt idx="0">
                  <c:v>2024 
1st &amp; 2nd round interval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'FFB interval 2024 vs 2025'!$C$5:$C$37</c:f>
              <c:strCache>
                <c:ptCount val="33"/>
                <c:pt idx="0">
                  <c:v>1</c:v>
                </c:pt>
                <c:pt idx="1">
                  <c:v>3</c:v>
                </c:pt>
                <c:pt idx="2">
                  <c:v>14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23</c:v>
                </c:pt>
                <c:pt idx="8">
                  <c:v>24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8</c:v>
                </c:pt>
                <c:pt idx="17">
                  <c:v>9</c:v>
                </c:pt>
                <c:pt idx="18">
                  <c:v>12</c:v>
                </c:pt>
                <c:pt idx="19">
                  <c:v>10</c:v>
                </c:pt>
                <c:pt idx="20">
                  <c:v>13</c:v>
                </c:pt>
                <c:pt idx="21">
                  <c:v>18</c:v>
                </c:pt>
                <c:pt idx="22">
                  <c:v>25</c:v>
                </c:pt>
                <c:pt idx="23">
                  <c:v>26A</c:v>
                </c:pt>
                <c:pt idx="24">
                  <c:v>27</c:v>
                </c:pt>
                <c:pt idx="25">
                  <c:v>28</c:v>
                </c:pt>
                <c:pt idx="26">
                  <c:v>30</c:v>
                </c:pt>
                <c:pt idx="27">
                  <c:v>31</c:v>
                </c:pt>
                <c:pt idx="28">
                  <c:v>33</c:v>
                </c:pt>
                <c:pt idx="29">
                  <c:v>39</c:v>
                </c:pt>
                <c:pt idx="30">
                  <c:v>2</c:v>
                </c:pt>
                <c:pt idx="31">
                  <c:v>11</c:v>
                </c:pt>
                <c:pt idx="32">
                  <c:v>29</c:v>
                </c:pt>
              </c:strCache>
              <c:extLst/>
            </c:strRef>
          </c:cat>
          <c:val>
            <c:numRef>
              <c:f>'FFB interval 2024 vs 2025'!$G$5:$G$37</c:f>
              <c:numCache>
                <c:formatCode>#,##0.00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431E-475D-A5A9-EBC85F086894}"/>
            </c:ext>
          </c:extLst>
        </c:ser>
        <c:ser>
          <c:idx val="1"/>
          <c:order val="1"/>
          <c:tx>
            <c:strRef>
              <c:f>'FFB interval 2024 vs 2025'!$T$4</c:f>
              <c:strCache>
                <c:ptCount val="1"/>
                <c:pt idx="0">
                  <c:v>2025 
1st &amp; 2nd round interval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'FFB interval 2024 vs 2025'!$C$5:$C$37</c:f>
              <c:strCache>
                <c:ptCount val="33"/>
                <c:pt idx="0">
                  <c:v>1</c:v>
                </c:pt>
                <c:pt idx="1">
                  <c:v>3</c:v>
                </c:pt>
                <c:pt idx="2">
                  <c:v>14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23</c:v>
                </c:pt>
                <c:pt idx="8">
                  <c:v>24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8</c:v>
                </c:pt>
                <c:pt idx="17">
                  <c:v>9</c:v>
                </c:pt>
                <c:pt idx="18">
                  <c:v>12</c:v>
                </c:pt>
                <c:pt idx="19">
                  <c:v>10</c:v>
                </c:pt>
                <c:pt idx="20">
                  <c:v>13</c:v>
                </c:pt>
                <c:pt idx="21">
                  <c:v>18</c:v>
                </c:pt>
                <c:pt idx="22">
                  <c:v>25</c:v>
                </c:pt>
                <c:pt idx="23">
                  <c:v>26A</c:v>
                </c:pt>
                <c:pt idx="24">
                  <c:v>27</c:v>
                </c:pt>
                <c:pt idx="25">
                  <c:v>28</c:v>
                </c:pt>
                <c:pt idx="26">
                  <c:v>30</c:v>
                </c:pt>
                <c:pt idx="27">
                  <c:v>31</c:v>
                </c:pt>
                <c:pt idx="28">
                  <c:v>33</c:v>
                </c:pt>
                <c:pt idx="29">
                  <c:v>39</c:v>
                </c:pt>
                <c:pt idx="30">
                  <c:v>2</c:v>
                </c:pt>
                <c:pt idx="31">
                  <c:v>11</c:v>
                </c:pt>
                <c:pt idx="32">
                  <c:v>29</c:v>
                </c:pt>
              </c:strCache>
              <c:extLst/>
            </c:strRef>
          </c:cat>
          <c:val>
            <c:numRef>
              <c:f>'FFB interval 2024 vs 2025'!$T$5:$T$37</c:f>
              <c:numCache>
                <c:formatCode>#,##0.00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431E-475D-A5A9-EBC85F086894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'FFB interval 2024 vs 2025'!$C$5:$C$37</c:f>
              <c:strCache>
                <c:ptCount val="33"/>
                <c:pt idx="0">
                  <c:v>1</c:v>
                </c:pt>
                <c:pt idx="1">
                  <c:v>3</c:v>
                </c:pt>
                <c:pt idx="2">
                  <c:v>14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23</c:v>
                </c:pt>
                <c:pt idx="8">
                  <c:v>24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8</c:v>
                </c:pt>
                <c:pt idx="17">
                  <c:v>9</c:v>
                </c:pt>
                <c:pt idx="18">
                  <c:v>12</c:v>
                </c:pt>
                <c:pt idx="19">
                  <c:v>10</c:v>
                </c:pt>
                <c:pt idx="20">
                  <c:v>13</c:v>
                </c:pt>
                <c:pt idx="21">
                  <c:v>18</c:v>
                </c:pt>
                <c:pt idx="22">
                  <c:v>25</c:v>
                </c:pt>
                <c:pt idx="23">
                  <c:v>26A</c:v>
                </c:pt>
                <c:pt idx="24">
                  <c:v>27</c:v>
                </c:pt>
                <c:pt idx="25">
                  <c:v>28</c:v>
                </c:pt>
                <c:pt idx="26">
                  <c:v>30</c:v>
                </c:pt>
                <c:pt idx="27">
                  <c:v>31</c:v>
                </c:pt>
                <c:pt idx="28">
                  <c:v>33</c:v>
                </c:pt>
                <c:pt idx="29">
                  <c:v>39</c:v>
                </c:pt>
                <c:pt idx="30">
                  <c:v>2</c:v>
                </c:pt>
                <c:pt idx="31">
                  <c:v>11</c:v>
                </c:pt>
                <c:pt idx="32">
                  <c:v>29</c:v>
                </c:pt>
              </c:strCache>
              <c:extLst/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431E-475D-A5A9-EBC85F086894}"/>
            </c:ext>
          </c:extLst>
        </c:ser>
        <c:ser>
          <c:idx val="4"/>
          <c:order val="4"/>
          <c:tx>
            <c:strRef>
              <c:f>'FFB interval 2024 vs 2025'!$K$4</c:f>
              <c:strCache>
                <c:ptCount val="1"/>
                <c:pt idx="0">
                  <c:v>2024 
2nd &amp; 3rd round interval</c:v>
                </c:pt>
              </c:strCache>
            </c:strRef>
          </c:tx>
          <c:spPr>
            <a:ln w="28575">
              <a:noFill/>
            </a:ln>
          </c:spPr>
          <c:invertIfNegative val="0"/>
          <c:dPt>
            <c:idx val="14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431E-475D-A5A9-EBC85F086894}"/>
              </c:ext>
            </c:extLst>
          </c:dPt>
          <c:cat>
            <c:strLit>
              <c:ptCount val="33"/>
              <c:pt idx="0">
                <c:v>1</c:v>
              </c:pt>
              <c:pt idx="1">
                <c:v>3</c:v>
              </c:pt>
              <c:pt idx="2">
                <c:v>14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23</c:v>
              </c:pt>
              <c:pt idx="8">
                <c:v>24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19</c:v>
              </c:pt>
              <c:pt idx="13">
                <c:v>20</c:v>
              </c:pt>
              <c:pt idx="14">
                <c:v>21</c:v>
              </c:pt>
              <c:pt idx="15">
                <c:v>22</c:v>
              </c:pt>
              <c:pt idx="16">
                <c:v>8</c:v>
              </c:pt>
              <c:pt idx="17">
                <c:v>9</c:v>
              </c:pt>
              <c:pt idx="18">
                <c:v>12</c:v>
              </c:pt>
              <c:pt idx="19">
                <c:v>10</c:v>
              </c:pt>
              <c:pt idx="20">
                <c:v>13</c:v>
              </c:pt>
              <c:pt idx="21">
                <c:v>18</c:v>
              </c:pt>
              <c:pt idx="22">
                <c:v>25</c:v>
              </c:pt>
              <c:pt idx="23">
                <c:v>26A</c:v>
              </c:pt>
              <c:pt idx="24">
                <c:v>27</c:v>
              </c:pt>
              <c:pt idx="25">
                <c:v>28</c:v>
              </c:pt>
              <c:pt idx="26">
                <c:v>30</c:v>
              </c:pt>
              <c:pt idx="27">
                <c:v>31</c:v>
              </c:pt>
              <c:pt idx="28">
                <c:v>33</c:v>
              </c:pt>
              <c:pt idx="29">
                <c:v>39</c:v>
              </c:pt>
              <c:pt idx="30">
                <c:v>2</c:v>
              </c:pt>
              <c:pt idx="31">
                <c:v>11</c:v>
              </c:pt>
              <c:pt idx="32">
                <c:v>29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'FFB interval 2024 vs 2025'!$K$5:$K$37</c:f>
              <c:numCache>
                <c:formatCode>#,##0.00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431E-475D-A5A9-EBC85F086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square"/>
            <c:size val="10"/>
            <c:spPr>
              <a:ln w="9525"/>
            </c:spPr>
          </c:marker>
          <c:dLbls>
            <c:delete val="1"/>
          </c:dLbls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31E-475D-A5A9-EBC85F0868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BLOCKS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At val="0"/>
        <c:auto val="1"/>
        <c:lblAlgn val="ctr"/>
        <c:lblOffset val="100"/>
        <c:noMultiLvlLbl val="0"/>
      </c:catAx>
      <c:valAx>
        <c:axId val="100"/>
        <c:scaling>
          <c:orientation val="minMax"/>
          <c:max val="2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INTERVAL</a:t>
                </a:r>
                <a:r>
                  <a:rPr lang="en-MY" baseline="0"/>
                  <a:t> IN DAYS</a:t>
                </a:r>
                <a:endParaRPr lang="en-MY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  <c:majorUnit val="5"/>
      </c:valAx>
    </c:plotArea>
    <c:legend>
      <c:legendPos val="b"/>
      <c:legendEntry>
        <c:idx val="2"/>
        <c:delete val="1"/>
      </c:legendEntry>
      <c:legendEntry>
        <c:idx val="4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28576</xdr:colOff>
      <xdr:row>4</xdr:row>
      <xdr:rowOff>190499</xdr:rowOff>
    </xdr:from>
    <xdr:ext cx="4171950" cy="30384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8F565B-4DEB-4CB9-88D9-D0F5D9F7BB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10</xdr:row>
      <xdr:rowOff>190498</xdr:rowOff>
    </xdr:from>
    <xdr:ext cx="9239250" cy="377190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A6B490-0F10-47E5-94FE-F87465647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10</xdr:row>
      <xdr:rowOff>180974</xdr:rowOff>
    </xdr:from>
    <xdr:ext cx="4276725" cy="305752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15</xdr:row>
      <xdr:rowOff>0</xdr:rowOff>
    </xdr:from>
    <xdr:ext cx="4219575" cy="3086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E42CD1-63AD-475C-A76C-7C361BB79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10</xdr:row>
      <xdr:rowOff>180975</xdr:rowOff>
    </xdr:from>
    <xdr:ext cx="4200525" cy="3333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8F796E-016F-4A25-BE22-11C973ACA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14</xdr:row>
      <xdr:rowOff>19050</xdr:rowOff>
    </xdr:from>
    <xdr:ext cx="4219575" cy="34480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122FB-99CC-4D3C-B393-CA45F61A1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14</xdr:row>
      <xdr:rowOff>19050</xdr:rowOff>
    </xdr:from>
    <xdr:ext cx="4219575" cy="34480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49862D-6050-4BE3-9E44-11ED10870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16</xdr:row>
      <xdr:rowOff>9525</xdr:rowOff>
    </xdr:from>
    <xdr:ext cx="4210050" cy="3638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5FB03D-1441-4A50-82F1-42A56AEE1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55</xdr:row>
      <xdr:rowOff>114298</xdr:rowOff>
    </xdr:from>
    <xdr:ext cx="16983074" cy="11125201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810065-C145-4846-A48C-562B6E888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46</xdr:row>
      <xdr:rowOff>85725</xdr:rowOff>
    </xdr:from>
    <xdr:to>
      <xdr:col>2</xdr:col>
      <xdr:colOff>285750</xdr:colOff>
      <xdr:row>51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B3E42E3-B023-D021-7453-9DEDAA1ACB5C}"/>
            </a:ext>
          </a:extLst>
        </xdr:cNvPr>
        <xdr:cNvCxnSpPr/>
      </xdr:nvCxnSpPr>
      <xdr:spPr>
        <a:xfrm>
          <a:off x="1885950" y="11306175"/>
          <a:ext cx="0" cy="1104900"/>
        </a:xfrm>
        <a:prstGeom prst="straightConnector1">
          <a:avLst/>
        </a:prstGeom>
        <a:ln w="444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55</xdr:row>
      <xdr:rowOff>85725</xdr:rowOff>
    </xdr:from>
    <xdr:to>
      <xdr:col>2</xdr:col>
      <xdr:colOff>285750</xdr:colOff>
      <xdr:row>60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267F2D9-78E3-4050-AD86-DD49C8A443DB}"/>
            </a:ext>
          </a:extLst>
        </xdr:cNvPr>
        <xdr:cNvCxnSpPr/>
      </xdr:nvCxnSpPr>
      <xdr:spPr>
        <a:xfrm>
          <a:off x="1885950" y="11220450"/>
          <a:ext cx="0" cy="1038225"/>
        </a:xfrm>
        <a:prstGeom prst="straightConnector1">
          <a:avLst/>
        </a:prstGeom>
        <a:ln w="444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KEVIN\2025\DAILY%20REPORT\Summary%20Report%20June%202025.xlsx" TargetMode="External"/><Relationship Id="rId1" Type="http://schemas.openxmlformats.org/officeDocument/2006/relationships/externalLinkPath" Target="/KEVIN/2025/DAILY%20REPORT/Summary%20Report%20June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KEVIN\2025\3.%20MONTHLY%20HARVESTING%20&amp;%20MANURING%20REPORT\interval%20calculation.xlsx" TargetMode="External"/><Relationship Id="rId1" Type="http://schemas.openxmlformats.org/officeDocument/2006/relationships/externalLinkPath" Target="/KEVIN/2025/3.%20MONTHLY%20HARVESTING%20&amp;%20MANURING%20REPORT/interval%20calcul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KEVIN\2025\3.%20MONTHLY%20HARVESTING%20&amp;%20MANURING%20REPORT\9.%20Sept%202025\Havesting%20Performance%20Sept%202025.xlsx" TargetMode="External"/><Relationship Id="rId1" Type="http://schemas.openxmlformats.org/officeDocument/2006/relationships/externalLinkPath" Target="/KEVIN/2025/3.%20MONTHLY%20HARVESTING%20&amp;%20MANURING%20REPORT/9.%20Sept%202025/Havesting%20Performance%20Sep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TOWED BY QAF 2292"/>
      <sheetName val="MACHINE-CONDEM"/>
      <sheetName val="MACHINE-SOLD"/>
      <sheetName val="IRON HORSE - SENT BACK TO SIBU"/>
      <sheetName val="1. Total Cost in Harvesting"/>
      <sheetName val="2. Blocks and Wages "/>
      <sheetName val="3. Iron Horse Details &amp; Status"/>
      <sheetName val="4. Findings"/>
      <sheetName val="REPORT DIESEL"/>
      <sheetName val="DAILY MACHINE REPORT"/>
      <sheetName val="MACHINE - KOTA MURUDU"/>
      <sheetName val="Sheet4"/>
      <sheetName val="WORKERS MOVEMENT ( NOVEMBER )"/>
      <sheetName val="Sheet3"/>
      <sheetName val="PERMIT-NON PERMIT"/>
      <sheetName val="workers time card &amp; movement"/>
      <sheetName val="worker's without document"/>
      <sheetName val="SECURITY DUTY ROSTER(JUNE)"/>
      <sheetName val="DAILY EMPLOYEE STATISTIC"/>
      <sheetName val="RAINFALL (JUNE)"/>
      <sheetName val="PHASE 1,2,3"/>
      <sheetName val="Muster CHIT (END OF MONTH)"/>
      <sheetName val="Muster CHIT (JUNE)"/>
      <sheetName val="FFB TICKET(DAY BY DAY)"/>
      <sheetName val="FFB TICKET(DAY BY DAY) (2)"/>
      <sheetName val="TRANBILITY JUNE 25 (2)"/>
      <sheetName val="HARVESTING INTERVAL- JUNE"/>
      <sheetName val="TRANBILITY MAR 25"/>
      <sheetName val="TRANBILITY JUNE 25"/>
      <sheetName val="Sheet5"/>
      <sheetName val="Sheet1"/>
      <sheetName val="LOOSE FRUIT SUMMARY"/>
      <sheetName val="CHECK BY BLOCK VS PH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97">
          <cell r="B97" t="str">
            <v>GT01</v>
          </cell>
          <cell r="C97" t="str">
            <v>WORKSHOP</v>
          </cell>
          <cell r="D97" t="str">
            <v xml:space="preserve">Iron Horse </v>
          </cell>
          <cell r="K97">
            <v>0</v>
          </cell>
          <cell r="S97">
            <v>0</v>
          </cell>
          <cell r="AA97">
            <v>0</v>
          </cell>
          <cell r="AI97">
            <v>0</v>
          </cell>
          <cell r="AN97">
            <v>0</v>
          </cell>
          <cell r="AO97">
            <v>0</v>
          </cell>
        </row>
        <row r="98">
          <cell r="B98" t="str">
            <v>GT02</v>
          </cell>
          <cell r="C98" t="str">
            <v>SERAN GANG</v>
          </cell>
          <cell r="D98" t="str">
            <v xml:space="preserve">Iron Horse </v>
          </cell>
          <cell r="K98">
            <v>0</v>
          </cell>
          <cell r="S98">
            <v>0</v>
          </cell>
          <cell r="AA98">
            <v>0</v>
          </cell>
          <cell r="AI98">
            <v>0</v>
          </cell>
          <cell r="AN98">
            <v>0</v>
          </cell>
          <cell r="AO98">
            <v>0</v>
          </cell>
        </row>
        <row r="99">
          <cell r="B99" t="str">
            <v>GT03</v>
          </cell>
          <cell r="C99" t="str">
            <v>WORKSHOP</v>
          </cell>
          <cell r="D99" t="str">
            <v>Iron Horse</v>
          </cell>
          <cell r="K99">
            <v>0</v>
          </cell>
          <cell r="S99">
            <v>0</v>
          </cell>
          <cell r="AA99">
            <v>0</v>
          </cell>
          <cell r="AI99">
            <v>0</v>
          </cell>
          <cell r="AN99">
            <v>0</v>
          </cell>
          <cell r="AO99">
            <v>0</v>
          </cell>
        </row>
        <row r="100">
          <cell r="B100" t="str">
            <v>GT04</v>
          </cell>
          <cell r="C100" t="str">
            <v>MIKHAEL GANG</v>
          </cell>
          <cell r="D100" t="str">
            <v xml:space="preserve">Iron Horse </v>
          </cell>
          <cell r="K100">
            <v>0</v>
          </cell>
          <cell r="O100">
            <v>20</v>
          </cell>
          <cell r="S100">
            <v>20</v>
          </cell>
          <cell r="Z100">
            <v>20</v>
          </cell>
          <cell r="AA100">
            <v>20</v>
          </cell>
          <cell r="AG100">
            <v>20</v>
          </cell>
          <cell r="AI100">
            <v>20</v>
          </cell>
          <cell r="AN100">
            <v>0</v>
          </cell>
          <cell r="AO100">
            <v>60</v>
          </cell>
        </row>
        <row r="101">
          <cell r="B101" t="str">
            <v>GT05</v>
          </cell>
          <cell r="C101" t="str">
            <v>SERAN GANG</v>
          </cell>
          <cell r="D101" t="str">
            <v xml:space="preserve">Iron Horse </v>
          </cell>
          <cell r="E101">
            <v>20</v>
          </cell>
          <cell r="K101">
            <v>20</v>
          </cell>
          <cell r="N101">
            <v>25</v>
          </cell>
          <cell r="S101">
            <v>25</v>
          </cell>
          <cell r="X101">
            <v>20</v>
          </cell>
          <cell r="AA101">
            <v>20</v>
          </cell>
          <cell r="AI101">
            <v>0</v>
          </cell>
          <cell r="AN101">
            <v>0</v>
          </cell>
          <cell r="AO101">
            <v>65</v>
          </cell>
        </row>
        <row r="102">
          <cell r="B102" t="str">
            <v>GT06</v>
          </cell>
          <cell r="C102" t="str">
            <v>SERAN GANG</v>
          </cell>
          <cell r="D102" t="str">
            <v xml:space="preserve">Iron Horse </v>
          </cell>
          <cell r="E102">
            <v>20</v>
          </cell>
          <cell r="K102">
            <v>20</v>
          </cell>
          <cell r="N102">
            <v>25</v>
          </cell>
          <cell r="S102">
            <v>25</v>
          </cell>
          <cell r="X102">
            <v>20</v>
          </cell>
          <cell r="AA102">
            <v>20</v>
          </cell>
          <cell r="AI102">
            <v>0</v>
          </cell>
          <cell r="AN102">
            <v>0</v>
          </cell>
          <cell r="AO102">
            <v>65</v>
          </cell>
        </row>
        <row r="103">
          <cell r="B103" t="str">
            <v>GT07</v>
          </cell>
          <cell r="C103" t="str">
            <v>KARTONO GANG</v>
          </cell>
          <cell r="D103" t="str">
            <v xml:space="preserve">Iron Horse </v>
          </cell>
          <cell r="K103">
            <v>0</v>
          </cell>
          <cell r="S103">
            <v>0</v>
          </cell>
          <cell r="AA103">
            <v>0</v>
          </cell>
          <cell r="AI103">
            <v>0</v>
          </cell>
          <cell r="AN103">
            <v>0</v>
          </cell>
          <cell r="AO103">
            <v>0</v>
          </cell>
        </row>
        <row r="104">
          <cell r="B104" t="str">
            <v>GT08</v>
          </cell>
          <cell r="C104" t="str">
            <v>DARSO GANG</v>
          </cell>
          <cell r="D104" t="str">
            <v xml:space="preserve">Iron Horse </v>
          </cell>
          <cell r="K104">
            <v>0</v>
          </cell>
          <cell r="O104">
            <v>25</v>
          </cell>
          <cell r="S104">
            <v>25</v>
          </cell>
          <cell r="AA104">
            <v>0</v>
          </cell>
          <cell r="AI104">
            <v>0</v>
          </cell>
          <cell r="AJ104">
            <v>20</v>
          </cell>
          <cell r="AN104">
            <v>20</v>
          </cell>
          <cell r="AO104">
            <v>45</v>
          </cell>
        </row>
        <row r="105">
          <cell r="B105" t="str">
            <v>GT09</v>
          </cell>
          <cell r="C105" t="str">
            <v>NU AZANI GANG</v>
          </cell>
          <cell r="D105" t="str">
            <v xml:space="preserve">Iron Horse </v>
          </cell>
          <cell r="F105">
            <v>35</v>
          </cell>
          <cell r="K105">
            <v>35</v>
          </cell>
          <cell r="S105">
            <v>0</v>
          </cell>
          <cell r="X105">
            <v>45</v>
          </cell>
          <cell r="AA105">
            <v>45</v>
          </cell>
          <cell r="AI105">
            <v>0</v>
          </cell>
          <cell r="AN105">
            <v>0</v>
          </cell>
          <cell r="AO105">
            <v>80</v>
          </cell>
        </row>
        <row r="106">
          <cell r="B106" t="str">
            <v>GT10</v>
          </cell>
          <cell r="C106" t="str">
            <v xml:space="preserve">WENDERLINUS GANG </v>
          </cell>
          <cell r="D106" t="str">
            <v xml:space="preserve">Iron Horse </v>
          </cell>
          <cell r="K106">
            <v>0</v>
          </cell>
          <cell r="L106">
            <v>25</v>
          </cell>
          <cell r="O106">
            <v>20</v>
          </cell>
          <cell r="S106">
            <v>45</v>
          </cell>
          <cell r="Z106">
            <v>20</v>
          </cell>
          <cell r="AA106">
            <v>20</v>
          </cell>
          <cell r="AG106">
            <v>20</v>
          </cell>
          <cell r="AI106">
            <v>20</v>
          </cell>
          <cell r="AN106">
            <v>0</v>
          </cell>
          <cell r="AO106">
            <v>85</v>
          </cell>
        </row>
        <row r="107">
          <cell r="B107" t="str">
            <v>GT11</v>
          </cell>
          <cell r="C107" t="str">
            <v>MIKHAEL GANG</v>
          </cell>
          <cell r="D107" t="str">
            <v xml:space="preserve">Iron Horse </v>
          </cell>
          <cell r="K107">
            <v>0</v>
          </cell>
          <cell r="S107">
            <v>0</v>
          </cell>
          <cell r="AA107">
            <v>0</v>
          </cell>
          <cell r="AI107">
            <v>0</v>
          </cell>
          <cell r="AN107">
            <v>0</v>
          </cell>
          <cell r="AO107">
            <v>0</v>
          </cell>
        </row>
        <row r="108">
          <cell r="B108" t="str">
            <v>GT12</v>
          </cell>
          <cell r="C108" t="str">
            <v>DARSO GANG</v>
          </cell>
          <cell r="D108" t="str">
            <v xml:space="preserve">Iron Horse </v>
          </cell>
          <cell r="K108">
            <v>0</v>
          </cell>
          <cell r="O108">
            <v>25</v>
          </cell>
          <cell r="S108">
            <v>25</v>
          </cell>
          <cell r="Y108">
            <v>20</v>
          </cell>
          <cell r="AA108">
            <v>20</v>
          </cell>
          <cell r="AI108">
            <v>0</v>
          </cell>
          <cell r="AJ108">
            <v>20</v>
          </cell>
          <cell r="AN108">
            <v>20</v>
          </cell>
          <cell r="AO108">
            <v>65</v>
          </cell>
        </row>
        <row r="109">
          <cell r="B109" t="str">
            <v>GT13</v>
          </cell>
          <cell r="C109" t="str">
            <v>DARSO GANG</v>
          </cell>
          <cell r="D109" t="str">
            <v xml:space="preserve">Iron Horse </v>
          </cell>
          <cell r="K109">
            <v>0</v>
          </cell>
          <cell r="S109">
            <v>0</v>
          </cell>
          <cell r="Y109">
            <v>20</v>
          </cell>
          <cell r="AA109">
            <v>20</v>
          </cell>
          <cell r="AI109">
            <v>0</v>
          </cell>
          <cell r="AJ109">
            <v>20</v>
          </cell>
          <cell r="AN109">
            <v>20</v>
          </cell>
          <cell r="AO109">
            <v>40</v>
          </cell>
        </row>
        <row r="110">
          <cell r="B110" t="str">
            <v>GT14</v>
          </cell>
          <cell r="C110" t="str">
            <v>NU AZANI GANG</v>
          </cell>
          <cell r="D110" t="str">
            <v xml:space="preserve">Iron Horse </v>
          </cell>
          <cell r="K110">
            <v>0</v>
          </cell>
          <cell r="S110">
            <v>0</v>
          </cell>
          <cell r="AA110">
            <v>0</v>
          </cell>
          <cell r="AI110">
            <v>0</v>
          </cell>
          <cell r="AN110">
            <v>0</v>
          </cell>
          <cell r="AO110">
            <v>0</v>
          </cell>
        </row>
        <row r="111">
          <cell r="B111" t="str">
            <v>GT15</v>
          </cell>
          <cell r="C111" t="str">
            <v>DARSO GANG</v>
          </cell>
          <cell r="D111" t="str">
            <v xml:space="preserve">Iron Horse </v>
          </cell>
          <cell r="K111">
            <v>0</v>
          </cell>
          <cell r="S111">
            <v>0</v>
          </cell>
          <cell r="AA111">
            <v>0</v>
          </cell>
          <cell r="AI111">
            <v>0</v>
          </cell>
          <cell r="AN111">
            <v>0</v>
          </cell>
          <cell r="AO111">
            <v>0</v>
          </cell>
        </row>
        <row r="112">
          <cell r="B112" t="str">
            <v>GT16</v>
          </cell>
          <cell r="C112" t="str">
            <v xml:space="preserve">WENDERLINUS GANG </v>
          </cell>
          <cell r="D112" t="str">
            <v xml:space="preserve">Iron Horse </v>
          </cell>
          <cell r="K112">
            <v>0</v>
          </cell>
          <cell r="L112">
            <v>25</v>
          </cell>
          <cell r="O112">
            <v>20</v>
          </cell>
          <cell r="S112">
            <v>45</v>
          </cell>
          <cell r="Z112">
            <v>20</v>
          </cell>
          <cell r="AA112">
            <v>20</v>
          </cell>
          <cell r="AG112">
            <v>20</v>
          </cell>
          <cell r="AI112">
            <v>20</v>
          </cell>
          <cell r="AN112">
            <v>0</v>
          </cell>
          <cell r="AO112">
            <v>85</v>
          </cell>
        </row>
        <row r="113">
          <cell r="B113" t="str">
            <v>GT17</v>
          </cell>
          <cell r="C113" t="str">
            <v>NU AZANI GANG</v>
          </cell>
          <cell r="D113" t="str">
            <v xml:space="preserve">Iron Horse </v>
          </cell>
          <cell r="F113">
            <v>35</v>
          </cell>
          <cell r="K113">
            <v>35</v>
          </cell>
          <cell r="S113">
            <v>0</v>
          </cell>
          <cell r="X113">
            <v>45</v>
          </cell>
          <cell r="AA113">
            <v>45</v>
          </cell>
          <cell r="AI113">
            <v>0</v>
          </cell>
          <cell r="AN113">
            <v>0</v>
          </cell>
          <cell r="AO113">
            <v>80</v>
          </cell>
        </row>
        <row r="114">
          <cell r="B114" t="str">
            <v>GT18</v>
          </cell>
          <cell r="C114" t="str">
            <v>ERDI GANG</v>
          </cell>
          <cell r="D114" t="str">
            <v xml:space="preserve">Iron Horse </v>
          </cell>
          <cell r="K114">
            <v>0</v>
          </cell>
          <cell r="N114">
            <v>20</v>
          </cell>
          <cell r="O114">
            <v>25</v>
          </cell>
          <cell r="S114">
            <v>45</v>
          </cell>
          <cell r="Y114">
            <v>20</v>
          </cell>
          <cell r="AA114">
            <v>20</v>
          </cell>
          <cell r="AI114">
            <v>0</v>
          </cell>
          <cell r="AJ114">
            <v>20</v>
          </cell>
          <cell r="AN114">
            <v>20</v>
          </cell>
          <cell r="AO114">
            <v>85</v>
          </cell>
        </row>
        <row r="115">
          <cell r="B115" t="str">
            <v>GT19</v>
          </cell>
          <cell r="C115" t="str">
            <v>WORKSHOP</v>
          </cell>
          <cell r="D115" t="str">
            <v xml:space="preserve">Iron Horse </v>
          </cell>
          <cell r="K115">
            <v>0</v>
          </cell>
          <cell r="S115">
            <v>0</v>
          </cell>
          <cell r="AA115">
            <v>0</v>
          </cell>
          <cell r="AI115">
            <v>0</v>
          </cell>
          <cell r="AN115">
            <v>0</v>
          </cell>
          <cell r="AO115">
            <v>0</v>
          </cell>
        </row>
        <row r="116">
          <cell r="B116" t="str">
            <v>GT20</v>
          </cell>
          <cell r="C116" t="str">
            <v>DARSO GANG</v>
          </cell>
          <cell r="D116" t="str">
            <v xml:space="preserve">Iron Horse </v>
          </cell>
          <cell r="K116">
            <v>0</v>
          </cell>
          <cell r="O116">
            <v>25</v>
          </cell>
          <cell r="S116">
            <v>25</v>
          </cell>
          <cell r="Y116">
            <v>20</v>
          </cell>
          <cell r="AA116">
            <v>20</v>
          </cell>
          <cell r="AI116">
            <v>0</v>
          </cell>
          <cell r="AJ116">
            <v>20</v>
          </cell>
          <cell r="AN116">
            <v>20</v>
          </cell>
          <cell r="AO116">
            <v>65</v>
          </cell>
        </row>
        <row r="117">
          <cell r="B117" t="str">
            <v>GT21</v>
          </cell>
          <cell r="C117" t="str">
            <v>WORKSHOP</v>
          </cell>
          <cell r="D117" t="str">
            <v>Iron Horse</v>
          </cell>
          <cell r="K117">
            <v>0</v>
          </cell>
          <cell r="S117">
            <v>0</v>
          </cell>
          <cell r="AA117">
            <v>0</v>
          </cell>
          <cell r="AI117">
            <v>0</v>
          </cell>
          <cell r="AN117">
            <v>0</v>
          </cell>
          <cell r="AO117">
            <v>0</v>
          </cell>
        </row>
        <row r="118">
          <cell r="B118" t="str">
            <v>GT22</v>
          </cell>
          <cell r="C118" t="str">
            <v>MIKHAEL GANG</v>
          </cell>
          <cell r="D118" t="str">
            <v xml:space="preserve">Iron Horse </v>
          </cell>
          <cell r="K118">
            <v>0</v>
          </cell>
          <cell r="S118">
            <v>0</v>
          </cell>
          <cell r="Z118">
            <v>20</v>
          </cell>
          <cell r="AA118">
            <v>20</v>
          </cell>
          <cell r="AG118">
            <v>20</v>
          </cell>
          <cell r="AI118">
            <v>20</v>
          </cell>
          <cell r="AN118">
            <v>0</v>
          </cell>
          <cell r="AO118">
            <v>40</v>
          </cell>
        </row>
        <row r="119">
          <cell r="D119" t="str">
            <v>SUB TOTAL (L):</v>
          </cell>
          <cell r="E119">
            <v>40</v>
          </cell>
          <cell r="F119">
            <v>70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110</v>
          </cell>
          <cell r="L119">
            <v>50</v>
          </cell>
          <cell r="M119">
            <v>0</v>
          </cell>
          <cell r="N119">
            <v>70</v>
          </cell>
          <cell r="O119">
            <v>160</v>
          </cell>
          <cell r="P119">
            <v>0</v>
          </cell>
          <cell r="Q119">
            <v>0</v>
          </cell>
          <cell r="R119">
            <v>0</v>
          </cell>
          <cell r="S119">
            <v>280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130</v>
          </cell>
          <cell r="Y119">
            <v>80</v>
          </cell>
          <cell r="Z119">
            <v>80</v>
          </cell>
          <cell r="AA119">
            <v>290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80</v>
          </cell>
          <cell r="AH119">
            <v>0</v>
          </cell>
          <cell r="AI119">
            <v>80</v>
          </cell>
          <cell r="AJ119">
            <v>100</v>
          </cell>
          <cell r="AK119">
            <v>0</v>
          </cell>
          <cell r="AL119">
            <v>0</v>
          </cell>
          <cell r="AM119">
            <v>0</v>
          </cell>
          <cell r="AN119">
            <v>100</v>
          </cell>
          <cell r="AO119">
            <v>860</v>
          </cell>
        </row>
      </sheetData>
      <sheetData sheetId="10">
        <row r="76">
          <cell r="B76" t="str">
            <v>GT01</v>
          </cell>
          <cell r="C76" t="str">
            <v>WORKSHOP</v>
          </cell>
          <cell r="D76" t="str">
            <v xml:space="preserve">Iron Horse </v>
          </cell>
          <cell r="E76" t="str">
            <v>-</v>
          </cell>
          <cell r="L76" t="str">
            <v>OB</v>
          </cell>
          <cell r="M76" t="str">
            <v>OB</v>
          </cell>
          <cell r="N76" t="str">
            <v>OB</v>
          </cell>
          <cell r="O76" t="str">
            <v>OB</v>
          </cell>
          <cell r="P76" t="str">
            <v>OB</v>
          </cell>
          <cell r="Q76" t="str">
            <v>OB</v>
          </cell>
          <cell r="R76" t="str">
            <v>OB</v>
          </cell>
          <cell r="S76" t="str">
            <v>OB</v>
          </cell>
          <cell r="T76" t="str">
            <v>OB</v>
          </cell>
          <cell r="U76" t="str">
            <v>OB</v>
          </cell>
          <cell r="V76" t="str">
            <v>OB</v>
          </cell>
          <cell r="W76" t="str">
            <v>OB</v>
          </cell>
          <cell r="X76" t="str">
            <v>OB</v>
          </cell>
          <cell r="Y76" t="str">
            <v>OB</v>
          </cell>
          <cell r="Z76" t="str">
            <v>OB</v>
          </cell>
          <cell r="AA76" t="str">
            <v>OB</v>
          </cell>
          <cell r="AB76" t="str">
            <v>OB</v>
          </cell>
          <cell r="AC76" t="str">
            <v>OB</v>
          </cell>
          <cell r="AD76" t="str">
            <v>OB</v>
          </cell>
          <cell r="AE76" t="str">
            <v>OB</v>
          </cell>
          <cell r="AF76" t="str">
            <v>OB</v>
          </cell>
          <cell r="AG76" t="str">
            <v>OB</v>
          </cell>
          <cell r="AH76" t="str">
            <v>OB</v>
          </cell>
          <cell r="AI76" t="str">
            <v>OB</v>
          </cell>
          <cell r="AJ76" t="str">
            <v>OB</v>
          </cell>
          <cell r="AK76" t="str">
            <v>OB</v>
          </cell>
          <cell r="AL76" t="str">
            <v>OB</v>
          </cell>
          <cell r="AM76" t="str">
            <v>OB</v>
          </cell>
          <cell r="AN76" t="str">
            <v>OB</v>
          </cell>
          <cell r="AO76" t="str">
            <v>OB</v>
          </cell>
        </row>
        <row r="77">
          <cell r="B77" t="str">
            <v>GT02</v>
          </cell>
          <cell r="C77" t="str">
            <v>SERAN GANG</v>
          </cell>
          <cell r="D77" t="str">
            <v xml:space="preserve">Iron Horse </v>
          </cell>
          <cell r="E77" t="str">
            <v>-</v>
          </cell>
          <cell r="L77" t="str">
            <v>S/B</v>
          </cell>
          <cell r="M77" t="str">
            <v>S/B</v>
          </cell>
          <cell r="N77" t="str">
            <v>S/B</v>
          </cell>
          <cell r="O77" t="str">
            <v>S/B</v>
          </cell>
          <cell r="P77" t="str">
            <v>S/B</v>
          </cell>
          <cell r="Q77" t="str">
            <v>S/B</v>
          </cell>
          <cell r="R77" t="str">
            <v>S/B</v>
          </cell>
          <cell r="S77" t="str">
            <v>S/B</v>
          </cell>
          <cell r="T77" t="str">
            <v>S/B</v>
          </cell>
          <cell r="U77" t="str">
            <v>S/B</v>
          </cell>
          <cell r="V77" t="str">
            <v>S/B</v>
          </cell>
          <cell r="W77" t="str">
            <v>S/B</v>
          </cell>
          <cell r="X77" t="str">
            <v>S/B</v>
          </cell>
          <cell r="Y77" t="str">
            <v>S/B</v>
          </cell>
          <cell r="Z77" t="str">
            <v>S/B</v>
          </cell>
          <cell r="AA77" t="str">
            <v>S/B</v>
          </cell>
          <cell r="AB77" t="str">
            <v>S/B</v>
          </cell>
          <cell r="AC77" t="str">
            <v>S/B</v>
          </cell>
          <cell r="AD77" t="str">
            <v>S/B</v>
          </cell>
          <cell r="AE77" t="str">
            <v>S/B</v>
          </cell>
          <cell r="AF77" t="str">
            <v>S/B</v>
          </cell>
          <cell r="AG77" t="str">
            <v>S/B</v>
          </cell>
          <cell r="AH77" t="str">
            <v>S/B</v>
          </cell>
          <cell r="AI77" t="str">
            <v>S/B</v>
          </cell>
          <cell r="AJ77" t="str">
            <v>S/B</v>
          </cell>
          <cell r="AK77" t="str">
            <v>S/B</v>
          </cell>
          <cell r="AL77" t="str">
            <v>S/B</v>
          </cell>
          <cell r="AM77" t="str">
            <v>S/B</v>
          </cell>
          <cell r="AN77" t="str">
            <v>S/B</v>
          </cell>
          <cell r="AO77" t="str">
            <v>S/B</v>
          </cell>
        </row>
        <row r="78">
          <cell r="B78" t="str">
            <v>GT03</v>
          </cell>
          <cell r="C78" t="str">
            <v>WORKSHOP</v>
          </cell>
          <cell r="D78" t="str">
            <v>Iron Horse (PETROL)</v>
          </cell>
          <cell r="L78" t="str">
            <v>OB</v>
          </cell>
          <cell r="M78" t="str">
            <v>OB</v>
          </cell>
          <cell r="N78" t="str">
            <v>OB</v>
          </cell>
          <cell r="O78" t="str">
            <v>OB</v>
          </cell>
          <cell r="P78" t="str">
            <v>OB</v>
          </cell>
          <cell r="Q78" t="str">
            <v>OB</v>
          </cell>
          <cell r="R78" t="str">
            <v>OB</v>
          </cell>
          <cell r="S78" t="str">
            <v>OB</v>
          </cell>
          <cell r="T78" t="str">
            <v>OB</v>
          </cell>
          <cell r="U78" t="str">
            <v>OB</v>
          </cell>
          <cell r="V78" t="str">
            <v>OB</v>
          </cell>
          <cell r="W78" t="str">
            <v>OB</v>
          </cell>
          <cell r="X78" t="str">
            <v>OB</v>
          </cell>
          <cell r="Y78" t="str">
            <v>OB</v>
          </cell>
          <cell r="Z78" t="str">
            <v>OB</v>
          </cell>
          <cell r="AA78" t="str">
            <v>OB</v>
          </cell>
          <cell r="AB78" t="str">
            <v>OB</v>
          </cell>
          <cell r="AC78" t="str">
            <v>OB</v>
          </cell>
          <cell r="AD78" t="str">
            <v>OB</v>
          </cell>
          <cell r="AE78" t="str">
            <v>OB</v>
          </cell>
          <cell r="AF78" t="str">
            <v>OB</v>
          </cell>
          <cell r="AG78" t="str">
            <v>OB</v>
          </cell>
          <cell r="AH78" t="str">
            <v>OB</v>
          </cell>
          <cell r="AI78" t="str">
            <v>OB</v>
          </cell>
          <cell r="AJ78" t="str">
            <v>OB</v>
          </cell>
          <cell r="AK78" t="str">
            <v>OB</v>
          </cell>
          <cell r="AL78" t="str">
            <v>OB</v>
          </cell>
          <cell r="AM78" t="str">
            <v>OB</v>
          </cell>
          <cell r="AN78" t="str">
            <v>OB</v>
          </cell>
          <cell r="AO78" t="str">
            <v>OB</v>
          </cell>
        </row>
        <row r="79">
          <cell r="B79" t="str">
            <v>GT04</v>
          </cell>
          <cell r="C79" t="str">
            <v>MIKHAEL GANG</v>
          </cell>
          <cell r="D79" t="str">
            <v xml:space="preserve">Iron Horse </v>
          </cell>
          <cell r="L79" t="str">
            <v>O</v>
          </cell>
          <cell r="M79" t="str">
            <v>O</v>
          </cell>
          <cell r="N79" t="str">
            <v>O</v>
          </cell>
          <cell r="O79" t="str">
            <v>O</v>
          </cell>
          <cell r="P79" t="str">
            <v>O</v>
          </cell>
          <cell r="Q79" t="str">
            <v>O</v>
          </cell>
          <cell r="R79" t="str">
            <v>O</v>
          </cell>
          <cell r="S79" t="str">
            <v>O</v>
          </cell>
          <cell r="T79" t="str">
            <v>O</v>
          </cell>
          <cell r="U79" t="str">
            <v>O</v>
          </cell>
          <cell r="V79" t="str">
            <v>O</v>
          </cell>
          <cell r="W79" t="str">
            <v>O</v>
          </cell>
          <cell r="X79" t="str">
            <v>O</v>
          </cell>
          <cell r="Y79" t="str">
            <v>O</v>
          </cell>
          <cell r="Z79" t="str">
            <v>O</v>
          </cell>
          <cell r="AA79" t="str">
            <v>O</v>
          </cell>
          <cell r="AB79" t="str">
            <v>O</v>
          </cell>
          <cell r="AC79" t="str">
            <v>O</v>
          </cell>
          <cell r="AD79" t="str">
            <v>O</v>
          </cell>
          <cell r="AE79" t="str">
            <v>O</v>
          </cell>
          <cell r="AF79" t="str">
            <v>O</v>
          </cell>
          <cell r="AG79" t="str">
            <v>O</v>
          </cell>
          <cell r="AH79" t="str">
            <v>O</v>
          </cell>
          <cell r="AI79" t="str">
            <v>O</v>
          </cell>
          <cell r="AJ79" t="str">
            <v>O</v>
          </cell>
          <cell r="AK79" t="str">
            <v>O</v>
          </cell>
          <cell r="AL79" t="str">
            <v>O</v>
          </cell>
          <cell r="AM79" t="str">
            <v>O</v>
          </cell>
          <cell r="AN79" t="str">
            <v>O</v>
          </cell>
          <cell r="AO79" t="str">
            <v>O</v>
          </cell>
        </row>
        <row r="80">
          <cell r="B80" t="str">
            <v>GT05</v>
          </cell>
          <cell r="C80" t="str">
            <v>SERAN GANG</v>
          </cell>
          <cell r="D80" t="str">
            <v xml:space="preserve">Iron Horse </v>
          </cell>
          <cell r="L80" t="str">
            <v>O</v>
          </cell>
          <cell r="M80" t="str">
            <v>O</v>
          </cell>
          <cell r="N80" t="str">
            <v>O</v>
          </cell>
          <cell r="O80" t="str">
            <v>O</v>
          </cell>
          <cell r="P80" t="str">
            <v>O</v>
          </cell>
          <cell r="Q80" t="str">
            <v>O</v>
          </cell>
          <cell r="R80" t="str">
            <v>O</v>
          </cell>
          <cell r="S80" t="str">
            <v>O</v>
          </cell>
          <cell r="T80" t="str">
            <v>O</v>
          </cell>
          <cell r="U80" t="str">
            <v>O</v>
          </cell>
          <cell r="V80" t="str">
            <v>O</v>
          </cell>
          <cell r="W80" t="str">
            <v>O</v>
          </cell>
          <cell r="X80" t="str">
            <v>O</v>
          </cell>
          <cell r="Y80" t="str">
            <v>O</v>
          </cell>
          <cell r="Z80" t="str">
            <v>O</v>
          </cell>
          <cell r="AA80" t="str">
            <v>O</v>
          </cell>
          <cell r="AB80" t="str">
            <v>O</v>
          </cell>
          <cell r="AC80" t="str">
            <v>O</v>
          </cell>
          <cell r="AD80" t="str">
            <v>O</v>
          </cell>
          <cell r="AE80" t="str">
            <v>O</v>
          </cell>
          <cell r="AF80" t="str">
            <v>O</v>
          </cell>
          <cell r="AG80" t="str">
            <v>O</v>
          </cell>
          <cell r="AH80" t="str">
            <v>O</v>
          </cell>
          <cell r="AI80" t="str">
            <v>O</v>
          </cell>
          <cell r="AJ80" t="str">
            <v>O</v>
          </cell>
          <cell r="AK80" t="str">
            <v>O</v>
          </cell>
          <cell r="AL80" t="str">
            <v>O</v>
          </cell>
          <cell r="AM80" t="str">
            <v>O</v>
          </cell>
          <cell r="AN80" t="str">
            <v>O</v>
          </cell>
          <cell r="AO80" t="str">
            <v>O</v>
          </cell>
        </row>
        <row r="81">
          <cell r="B81" t="str">
            <v>GT06</v>
          </cell>
          <cell r="C81" t="str">
            <v>SERAN GANG</v>
          </cell>
          <cell r="D81" t="str">
            <v xml:space="preserve">Iron Horse </v>
          </cell>
          <cell r="L81" t="str">
            <v>O</v>
          </cell>
          <cell r="M81" t="str">
            <v>O</v>
          </cell>
          <cell r="N81" t="str">
            <v>O</v>
          </cell>
          <cell r="O81" t="str">
            <v>O</v>
          </cell>
          <cell r="P81" t="str">
            <v>O</v>
          </cell>
          <cell r="Q81" t="str">
            <v>O</v>
          </cell>
          <cell r="R81" t="str">
            <v>O</v>
          </cell>
          <cell r="S81" t="str">
            <v>O</v>
          </cell>
          <cell r="T81" t="str">
            <v>O</v>
          </cell>
          <cell r="U81" t="str">
            <v>O</v>
          </cell>
          <cell r="V81" t="str">
            <v>O</v>
          </cell>
          <cell r="W81" t="str">
            <v>O</v>
          </cell>
          <cell r="X81" t="str">
            <v>O</v>
          </cell>
          <cell r="Y81" t="str">
            <v>O</v>
          </cell>
          <cell r="Z81" t="str">
            <v>O</v>
          </cell>
          <cell r="AA81" t="str">
            <v>O</v>
          </cell>
          <cell r="AB81" t="str">
            <v>O</v>
          </cell>
          <cell r="AC81" t="str">
            <v>O</v>
          </cell>
          <cell r="AD81" t="str">
            <v>O</v>
          </cell>
          <cell r="AE81" t="str">
            <v>O</v>
          </cell>
          <cell r="AF81" t="str">
            <v>O</v>
          </cell>
          <cell r="AG81" t="str">
            <v>O</v>
          </cell>
          <cell r="AH81" t="str">
            <v>O</v>
          </cell>
          <cell r="AI81" t="str">
            <v>O</v>
          </cell>
          <cell r="AJ81" t="str">
            <v>O</v>
          </cell>
          <cell r="AK81" t="str">
            <v>O</v>
          </cell>
          <cell r="AL81" t="str">
            <v>O</v>
          </cell>
          <cell r="AM81" t="str">
            <v>O</v>
          </cell>
          <cell r="AN81" t="str">
            <v>O</v>
          </cell>
          <cell r="AO81" t="str">
            <v>O</v>
          </cell>
        </row>
        <row r="82">
          <cell r="B82" t="str">
            <v>GT07</v>
          </cell>
          <cell r="C82" t="str">
            <v>NU AZANI GANG</v>
          </cell>
          <cell r="D82" t="str">
            <v xml:space="preserve">Iron Horse </v>
          </cell>
          <cell r="L82" t="str">
            <v>OB</v>
          </cell>
          <cell r="M82" t="str">
            <v>OB</v>
          </cell>
          <cell r="N82" t="str">
            <v>OB</v>
          </cell>
          <cell r="O82" t="str">
            <v>OB</v>
          </cell>
          <cell r="P82" t="str">
            <v>OB</v>
          </cell>
          <cell r="Q82" t="str">
            <v>OB</v>
          </cell>
          <cell r="R82" t="str">
            <v>OB</v>
          </cell>
          <cell r="S82" t="str">
            <v>OB</v>
          </cell>
          <cell r="T82" t="str">
            <v>OB</v>
          </cell>
          <cell r="U82" t="str">
            <v>OB</v>
          </cell>
          <cell r="V82" t="str">
            <v>OB</v>
          </cell>
          <cell r="W82" t="str">
            <v>OB</v>
          </cell>
          <cell r="X82" t="str">
            <v>OB</v>
          </cell>
          <cell r="Y82" t="str">
            <v>OB</v>
          </cell>
          <cell r="Z82" t="str">
            <v>OB</v>
          </cell>
          <cell r="AA82" t="str">
            <v>OB</v>
          </cell>
          <cell r="AB82" t="str">
            <v>OB</v>
          </cell>
          <cell r="AC82" t="str">
            <v>OB</v>
          </cell>
          <cell r="AD82" t="str">
            <v>OB</v>
          </cell>
          <cell r="AE82" t="str">
            <v>OB</v>
          </cell>
          <cell r="AF82" t="str">
            <v>OB</v>
          </cell>
          <cell r="AG82" t="str">
            <v>OB</v>
          </cell>
          <cell r="AH82" t="str">
            <v>OB</v>
          </cell>
          <cell r="AI82" t="str">
            <v>OB</v>
          </cell>
          <cell r="AJ82" t="str">
            <v>OB</v>
          </cell>
          <cell r="AK82" t="str">
            <v>OB</v>
          </cell>
          <cell r="AL82" t="str">
            <v>OB</v>
          </cell>
          <cell r="AM82" t="str">
            <v>OB</v>
          </cell>
          <cell r="AN82" t="str">
            <v>OB</v>
          </cell>
          <cell r="AO82" t="str">
            <v>OB</v>
          </cell>
        </row>
        <row r="83">
          <cell r="B83" t="str">
            <v>GT08</v>
          </cell>
          <cell r="C83" t="str">
            <v>DARSO GANG</v>
          </cell>
          <cell r="D83" t="str">
            <v xml:space="preserve">Iron Horse </v>
          </cell>
          <cell r="L83" t="str">
            <v>O</v>
          </cell>
          <cell r="M83" t="str">
            <v>O</v>
          </cell>
          <cell r="N83" t="str">
            <v>O</v>
          </cell>
          <cell r="O83" t="str">
            <v>O</v>
          </cell>
          <cell r="P83" t="str">
            <v>O</v>
          </cell>
          <cell r="Q83" t="str">
            <v>O</v>
          </cell>
          <cell r="R83" t="str">
            <v>O</v>
          </cell>
          <cell r="S83" t="str">
            <v>O</v>
          </cell>
          <cell r="T83" t="str">
            <v>O</v>
          </cell>
          <cell r="U83" t="str">
            <v>O</v>
          </cell>
          <cell r="V83" t="str">
            <v>O</v>
          </cell>
          <cell r="W83" t="str">
            <v>O</v>
          </cell>
          <cell r="X83" t="str">
            <v>O</v>
          </cell>
          <cell r="Y83" t="str">
            <v>O</v>
          </cell>
          <cell r="Z83" t="str">
            <v>O</v>
          </cell>
          <cell r="AA83" t="str">
            <v>O</v>
          </cell>
          <cell r="AB83" t="str">
            <v>O</v>
          </cell>
          <cell r="AC83" t="str">
            <v>O</v>
          </cell>
          <cell r="AD83" t="str">
            <v>O</v>
          </cell>
          <cell r="AE83" t="str">
            <v>O</v>
          </cell>
          <cell r="AF83" t="str">
            <v>O</v>
          </cell>
          <cell r="AG83" t="str">
            <v>O</v>
          </cell>
          <cell r="AH83" t="str">
            <v>O</v>
          </cell>
          <cell r="AI83" t="str">
            <v>O</v>
          </cell>
          <cell r="AJ83" t="str">
            <v>O</v>
          </cell>
          <cell r="AK83" t="str">
            <v>O</v>
          </cell>
          <cell r="AL83" t="str">
            <v>O</v>
          </cell>
          <cell r="AM83" t="str">
            <v>O</v>
          </cell>
          <cell r="AN83" t="str">
            <v>O</v>
          </cell>
          <cell r="AO83" t="str">
            <v>O</v>
          </cell>
        </row>
        <row r="84">
          <cell r="B84" t="str">
            <v>GT09</v>
          </cell>
          <cell r="C84" t="str">
            <v>NU AZANI GANG</v>
          </cell>
          <cell r="D84" t="str">
            <v xml:space="preserve">Iron Horse </v>
          </cell>
          <cell r="L84" t="str">
            <v>O</v>
          </cell>
          <cell r="M84" t="str">
            <v>O</v>
          </cell>
          <cell r="N84" t="str">
            <v>O</v>
          </cell>
          <cell r="O84" t="str">
            <v>O</v>
          </cell>
          <cell r="P84" t="str">
            <v>O</v>
          </cell>
          <cell r="Q84" t="str">
            <v>O</v>
          </cell>
          <cell r="R84" t="str">
            <v>O</v>
          </cell>
          <cell r="S84" t="str">
            <v>O</v>
          </cell>
          <cell r="T84" t="str">
            <v>O</v>
          </cell>
          <cell r="U84" t="str">
            <v>O</v>
          </cell>
          <cell r="V84" t="str">
            <v>O</v>
          </cell>
          <cell r="W84" t="str">
            <v>O</v>
          </cell>
          <cell r="X84" t="str">
            <v>O</v>
          </cell>
          <cell r="Y84" t="str">
            <v>O</v>
          </cell>
          <cell r="Z84" t="str">
            <v>O</v>
          </cell>
          <cell r="AA84" t="str">
            <v>O</v>
          </cell>
          <cell r="AB84" t="str">
            <v>O</v>
          </cell>
          <cell r="AC84" t="str">
            <v>O</v>
          </cell>
          <cell r="AD84" t="str">
            <v>O</v>
          </cell>
          <cell r="AE84" t="str">
            <v>O</v>
          </cell>
          <cell r="AF84" t="str">
            <v>O</v>
          </cell>
          <cell r="AG84" t="str">
            <v>O</v>
          </cell>
          <cell r="AH84" t="str">
            <v>O</v>
          </cell>
          <cell r="AI84" t="str">
            <v>O</v>
          </cell>
          <cell r="AJ84" t="str">
            <v>O</v>
          </cell>
          <cell r="AK84" t="str">
            <v>O</v>
          </cell>
          <cell r="AL84" t="str">
            <v>O</v>
          </cell>
          <cell r="AM84" t="str">
            <v>O</v>
          </cell>
          <cell r="AN84" t="str">
            <v>O</v>
          </cell>
          <cell r="AO84" t="str">
            <v>O</v>
          </cell>
        </row>
        <row r="85">
          <cell r="B85" t="str">
            <v>GT10</v>
          </cell>
          <cell r="C85" t="str">
            <v xml:space="preserve">WENDERLINUS GANG </v>
          </cell>
          <cell r="D85" t="str">
            <v xml:space="preserve">Iron Horse </v>
          </cell>
          <cell r="L85" t="str">
            <v>O</v>
          </cell>
          <cell r="M85" t="str">
            <v>O</v>
          </cell>
          <cell r="N85" t="str">
            <v>O</v>
          </cell>
          <cell r="O85" t="str">
            <v>O</v>
          </cell>
          <cell r="P85" t="str">
            <v>O</v>
          </cell>
          <cell r="Q85" t="str">
            <v>O</v>
          </cell>
          <cell r="R85" t="str">
            <v>O</v>
          </cell>
          <cell r="S85" t="str">
            <v>O</v>
          </cell>
          <cell r="T85" t="str">
            <v>O</v>
          </cell>
          <cell r="U85" t="str">
            <v>O</v>
          </cell>
          <cell r="V85" t="str">
            <v>O</v>
          </cell>
          <cell r="W85" t="str">
            <v>O</v>
          </cell>
          <cell r="X85" t="str">
            <v>O</v>
          </cell>
          <cell r="Y85" t="str">
            <v>O</v>
          </cell>
          <cell r="Z85" t="str">
            <v>O</v>
          </cell>
          <cell r="AA85" t="str">
            <v>O</v>
          </cell>
          <cell r="AB85" t="str">
            <v>O</v>
          </cell>
          <cell r="AC85" t="str">
            <v>O</v>
          </cell>
          <cell r="AD85" t="str">
            <v>O</v>
          </cell>
          <cell r="AE85" t="str">
            <v>O</v>
          </cell>
          <cell r="AF85" t="str">
            <v>O</v>
          </cell>
          <cell r="AG85" t="str">
            <v>O</v>
          </cell>
          <cell r="AH85" t="str">
            <v>O</v>
          </cell>
          <cell r="AI85" t="str">
            <v>O</v>
          </cell>
          <cell r="AJ85" t="str">
            <v>O</v>
          </cell>
          <cell r="AK85" t="str">
            <v>O</v>
          </cell>
          <cell r="AL85" t="str">
            <v>O</v>
          </cell>
          <cell r="AM85" t="str">
            <v>O</v>
          </cell>
          <cell r="AN85" t="str">
            <v>O</v>
          </cell>
          <cell r="AO85" t="str">
            <v>O</v>
          </cell>
        </row>
        <row r="86">
          <cell r="B86" t="str">
            <v>GT11</v>
          </cell>
          <cell r="C86" t="str">
            <v>MIKHAEL GANG</v>
          </cell>
          <cell r="D86" t="str">
            <v xml:space="preserve">Iron Horse </v>
          </cell>
          <cell r="E86" t="str">
            <v>-</v>
          </cell>
          <cell r="L86" t="str">
            <v>OB</v>
          </cell>
          <cell r="M86" t="str">
            <v>OB</v>
          </cell>
          <cell r="N86" t="str">
            <v>OB</v>
          </cell>
          <cell r="O86" t="str">
            <v>OB</v>
          </cell>
          <cell r="P86" t="str">
            <v>OB</v>
          </cell>
          <cell r="Q86" t="str">
            <v>OB</v>
          </cell>
          <cell r="R86" t="str">
            <v>OB</v>
          </cell>
          <cell r="S86" t="str">
            <v>OB</v>
          </cell>
          <cell r="T86" t="str">
            <v>OB</v>
          </cell>
          <cell r="U86" t="str">
            <v>OB</v>
          </cell>
          <cell r="V86" t="str">
            <v>OB</v>
          </cell>
          <cell r="W86" t="str">
            <v>OB</v>
          </cell>
          <cell r="X86" t="str">
            <v>OB</v>
          </cell>
          <cell r="Y86" t="str">
            <v>OB</v>
          </cell>
          <cell r="Z86" t="str">
            <v>OB</v>
          </cell>
          <cell r="AA86" t="str">
            <v>OB</v>
          </cell>
          <cell r="AB86" t="str">
            <v>OB</v>
          </cell>
          <cell r="AC86" t="str">
            <v>OB</v>
          </cell>
          <cell r="AD86" t="str">
            <v>OB</v>
          </cell>
          <cell r="AE86" t="str">
            <v>OB</v>
          </cell>
          <cell r="AF86" t="str">
            <v>OB</v>
          </cell>
          <cell r="AG86" t="str">
            <v>OB</v>
          </cell>
          <cell r="AH86" t="str">
            <v>OB</v>
          </cell>
          <cell r="AI86" t="str">
            <v>OB</v>
          </cell>
          <cell r="AJ86" t="str">
            <v>OB</v>
          </cell>
          <cell r="AK86" t="str">
            <v>OB</v>
          </cell>
          <cell r="AL86" t="str">
            <v>OB</v>
          </cell>
          <cell r="AM86" t="str">
            <v>OB</v>
          </cell>
          <cell r="AN86" t="str">
            <v>OB</v>
          </cell>
          <cell r="AO86" t="str">
            <v>OB</v>
          </cell>
        </row>
        <row r="87">
          <cell r="B87" t="str">
            <v>GT12</v>
          </cell>
          <cell r="C87" t="str">
            <v>DARSO GANG</v>
          </cell>
          <cell r="D87" t="str">
            <v xml:space="preserve">Iron Horse </v>
          </cell>
          <cell r="E87" t="str">
            <v>-</v>
          </cell>
          <cell r="L87" t="str">
            <v>O</v>
          </cell>
          <cell r="M87" t="str">
            <v>O</v>
          </cell>
          <cell r="N87" t="str">
            <v>O</v>
          </cell>
          <cell r="O87" t="str">
            <v>O</v>
          </cell>
          <cell r="P87" t="str">
            <v>O</v>
          </cell>
          <cell r="Q87" t="str">
            <v>O</v>
          </cell>
          <cell r="R87" t="str">
            <v>O</v>
          </cell>
          <cell r="S87" t="str">
            <v>O</v>
          </cell>
          <cell r="T87" t="str">
            <v>O</v>
          </cell>
          <cell r="U87" t="str">
            <v>O</v>
          </cell>
          <cell r="V87" t="str">
            <v>O</v>
          </cell>
          <cell r="W87" t="str">
            <v>O</v>
          </cell>
          <cell r="X87" t="str">
            <v>O</v>
          </cell>
          <cell r="Y87" t="str">
            <v>O</v>
          </cell>
          <cell r="Z87" t="str">
            <v>O</v>
          </cell>
          <cell r="AA87" t="str">
            <v>O</v>
          </cell>
          <cell r="AB87" t="str">
            <v>O</v>
          </cell>
          <cell r="AC87" t="str">
            <v>O</v>
          </cell>
          <cell r="AD87" t="str">
            <v>O</v>
          </cell>
          <cell r="AE87" t="str">
            <v>O</v>
          </cell>
          <cell r="AF87" t="str">
            <v>O</v>
          </cell>
          <cell r="AG87" t="str">
            <v>O</v>
          </cell>
          <cell r="AH87" t="str">
            <v>O</v>
          </cell>
          <cell r="AI87" t="str">
            <v>O</v>
          </cell>
          <cell r="AJ87" t="str">
            <v>O</v>
          </cell>
          <cell r="AK87" t="str">
            <v>O</v>
          </cell>
          <cell r="AL87" t="str">
            <v>O</v>
          </cell>
          <cell r="AM87" t="str">
            <v>O</v>
          </cell>
          <cell r="AN87" t="str">
            <v>O</v>
          </cell>
          <cell r="AO87" t="str">
            <v>O</v>
          </cell>
        </row>
        <row r="88">
          <cell r="B88" t="str">
            <v>GT13</v>
          </cell>
          <cell r="C88" t="str">
            <v>DARSO GANG</v>
          </cell>
          <cell r="D88" t="str">
            <v xml:space="preserve">Iron Horse </v>
          </cell>
          <cell r="L88" t="str">
            <v>O</v>
          </cell>
          <cell r="M88" t="str">
            <v>O</v>
          </cell>
          <cell r="N88" t="str">
            <v>O</v>
          </cell>
          <cell r="O88" t="str">
            <v>O</v>
          </cell>
          <cell r="P88" t="str">
            <v>O</v>
          </cell>
          <cell r="Q88" t="str">
            <v>O</v>
          </cell>
          <cell r="R88" t="str">
            <v>O</v>
          </cell>
          <cell r="S88" t="str">
            <v>O</v>
          </cell>
          <cell r="T88" t="str">
            <v>O</v>
          </cell>
          <cell r="U88" t="str">
            <v>O</v>
          </cell>
          <cell r="V88" t="str">
            <v>O</v>
          </cell>
          <cell r="W88" t="str">
            <v>O</v>
          </cell>
          <cell r="X88" t="str">
            <v>O</v>
          </cell>
          <cell r="Y88" t="str">
            <v>O</v>
          </cell>
          <cell r="Z88" t="str">
            <v>O</v>
          </cell>
          <cell r="AA88" t="str">
            <v>O</v>
          </cell>
          <cell r="AB88" t="str">
            <v>O</v>
          </cell>
          <cell r="AC88" t="str">
            <v>O</v>
          </cell>
          <cell r="AD88" t="str">
            <v>O</v>
          </cell>
          <cell r="AE88" t="str">
            <v>O</v>
          </cell>
          <cell r="AF88" t="str">
            <v>O</v>
          </cell>
          <cell r="AG88" t="str">
            <v>O</v>
          </cell>
          <cell r="AH88" t="str">
            <v>O</v>
          </cell>
          <cell r="AI88" t="str">
            <v>O</v>
          </cell>
          <cell r="AJ88" t="str">
            <v>O</v>
          </cell>
          <cell r="AK88" t="str">
            <v>O</v>
          </cell>
          <cell r="AL88" t="str">
            <v>O</v>
          </cell>
          <cell r="AM88" t="str">
            <v>O</v>
          </cell>
          <cell r="AN88" t="str">
            <v>O</v>
          </cell>
          <cell r="AO88" t="str">
            <v>O</v>
          </cell>
        </row>
        <row r="89">
          <cell r="B89" t="str">
            <v>GT14</v>
          </cell>
          <cell r="C89" t="str">
            <v>NU AZANI GANG</v>
          </cell>
          <cell r="D89" t="str">
            <v xml:space="preserve">Iron Horse </v>
          </cell>
          <cell r="E89" t="str">
            <v>-</v>
          </cell>
          <cell r="L89" t="str">
            <v>S/B</v>
          </cell>
          <cell r="M89" t="str">
            <v>S/B</v>
          </cell>
          <cell r="N89" t="str">
            <v>S/B</v>
          </cell>
          <cell r="O89" t="str">
            <v>S/B</v>
          </cell>
          <cell r="P89" t="str">
            <v>S/B</v>
          </cell>
          <cell r="Q89" t="str">
            <v>S/B</v>
          </cell>
          <cell r="R89" t="str">
            <v>S/B</v>
          </cell>
          <cell r="S89" t="str">
            <v>S/B</v>
          </cell>
          <cell r="T89" t="str">
            <v>S/B</v>
          </cell>
          <cell r="U89" t="str">
            <v>S/B</v>
          </cell>
          <cell r="V89" t="str">
            <v>S/B</v>
          </cell>
          <cell r="W89" t="str">
            <v>S/B</v>
          </cell>
          <cell r="X89" t="str">
            <v>S/B</v>
          </cell>
          <cell r="Y89" t="str">
            <v>S/B</v>
          </cell>
          <cell r="Z89" t="str">
            <v>S/B</v>
          </cell>
          <cell r="AA89" t="str">
            <v>S/B</v>
          </cell>
          <cell r="AB89" t="str">
            <v>S/B</v>
          </cell>
          <cell r="AC89" t="str">
            <v>S/B</v>
          </cell>
          <cell r="AD89" t="str">
            <v>S/B</v>
          </cell>
          <cell r="AE89" t="str">
            <v>S/B</v>
          </cell>
          <cell r="AF89" t="str">
            <v>S/B</v>
          </cell>
          <cell r="AG89" t="str">
            <v>S/B</v>
          </cell>
          <cell r="AH89" t="str">
            <v>S/B</v>
          </cell>
          <cell r="AI89" t="str">
            <v>S/B</v>
          </cell>
          <cell r="AJ89" t="str">
            <v>S/B</v>
          </cell>
          <cell r="AK89" t="str">
            <v>S/B</v>
          </cell>
          <cell r="AL89" t="str">
            <v>S/B</v>
          </cell>
          <cell r="AM89" t="str">
            <v>S/B</v>
          </cell>
          <cell r="AN89" t="str">
            <v>S/B</v>
          </cell>
          <cell r="AO89" t="str">
            <v>S/B</v>
          </cell>
        </row>
        <row r="90">
          <cell r="B90" t="str">
            <v>GT15</v>
          </cell>
          <cell r="C90" t="str">
            <v>DARSO GANG</v>
          </cell>
          <cell r="D90" t="str">
            <v xml:space="preserve">Iron Horse </v>
          </cell>
          <cell r="L90" t="str">
            <v>S/B</v>
          </cell>
          <cell r="M90" t="str">
            <v>S/B</v>
          </cell>
          <cell r="N90" t="str">
            <v>S/B</v>
          </cell>
          <cell r="O90" t="str">
            <v>S/B</v>
          </cell>
          <cell r="P90" t="str">
            <v>S/B</v>
          </cell>
          <cell r="Q90" t="str">
            <v>S/B</v>
          </cell>
          <cell r="R90" t="str">
            <v>S/B</v>
          </cell>
          <cell r="S90" t="str">
            <v>S/B</v>
          </cell>
          <cell r="T90" t="str">
            <v>S/B</v>
          </cell>
          <cell r="U90" t="str">
            <v>S/B</v>
          </cell>
          <cell r="V90" t="str">
            <v>S/B</v>
          </cell>
          <cell r="W90" t="str">
            <v>S/B</v>
          </cell>
          <cell r="X90" t="str">
            <v>S/B</v>
          </cell>
          <cell r="Y90" t="str">
            <v>S/B</v>
          </cell>
          <cell r="Z90" t="str">
            <v>S/B</v>
          </cell>
          <cell r="AA90" t="str">
            <v>S/B</v>
          </cell>
          <cell r="AB90" t="str">
            <v>S/B</v>
          </cell>
          <cell r="AC90" t="str">
            <v>S/B</v>
          </cell>
          <cell r="AD90" t="str">
            <v>S/B</v>
          </cell>
          <cell r="AE90" t="str">
            <v>S/B</v>
          </cell>
          <cell r="AF90" t="str">
            <v>S/B</v>
          </cell>
          <cell r="AG90" t="str">
            <v>S/B</v>
          </cell>
          <cell r="AH90" t="str">
            <v>S/B</v>
          </cell>
          <cell r="AI90" t="str">
            <v>S/B</v>
          </cell>
          <cell r="AJ90" t="str">
            <v>S/B</v>
          </cell>
          <cell r="AK90" t="str">
            <v>S/B</v>
          </cell>
          <cell r="AL90" t="str">
            <v>S/B</v>
          </cell>
          <cell r="AM90" t="str">
            <v>S/B</v>
          </cell>
          <cell r="AN90" t="str">
            <v>S/B</v>
          </cell>
          <cell r="AO90" t="str">
            <v>S/B</v>
          </cell>
        </row>
        <row r="91">
          <cell r="B91" t="str">
            <v>GT16</v>
          </cell>
          <cell r="C91" t="str">
            <v xml:space="preserve">WENDERLINUS GANG </v>
          </cell>
          <cell r="D91" t="str">
            <v xml:space="preserve">Iron Horse </v>
          </cell>
          <cell r="L91" t="str">
            <v>O</v>
          </cell>
          <cell r="M91" t="str">
            <v>O</v>
          </cell>
          <cell r="N91" t="str">
            <v>O</v>
          </cell>
          <cell r="O91" t="str">
            <v>O</v>
          </cell>
          <cell r="P91" t="str">
            <v>O</v>
          </cell>
          <cell r="Q91" t="str">
            <v>O</v>
          </cell>
          <cell r="R91" t="str">
            <v>O</v>
          </cell>
          <cell r="S91" t="str">
            <v>O</v>
          </cell>
          <cell r="T91" t="str">
            <v>O</v>
          </cell>
          <cell r="U91" t="str">
            <v>O</v>
          </cell>
          <cell r="V91" t="str">
            <v>O</v>
          </cell>
          <cell r="W91" t="str">
            <v>O</v>
          </cell>
          <cell r="X91" t="str">
            <v>O</v>
          </cell>
          <cell r="Y91" t="str">
            <v>O</v>
          </cell>
          <cell r="Z91" t="str">
            <v>O</v>
          </cell>
          <cell r="AA91" t="str">
            <v>O</v>
          </cell>
          <cell r="AB91" t="str">
            <v>O</v>
          </cell>
          <cell r="AC91" t="str">
            <v>O</v>
          </cell>
          <cell r="AD91" t="str">
            <v>O</v>
          </cell>
          <cell r="AE91" t="str">
            <v>O</v>
          </cell>
          <cell r="AF91" t="str">
            <v>O</v>
          </cell>
          <cell r="AG91" t="str">
            <v>O</v>
          </cell>
          <cell r="AH91" t="str">
            <v>O</v>
          </cell>
          <cell r="AI91" t="str">
            <v>O</v>
          </cell>
          <cell r="AJ91" t="str">
            <v>O</v>
          </cell>
          <cell r="AK91" t="str">
            <v>O</v>
          </cell>
          <cell r="AL91" t="str">
            <v>O</v>
          </cell>
          <cell r="AM91" t="str">
            <v>O</v>
          </cell>
          <cell r="AN91" t="str">
            <v>O</v>
          </cell>
          <cell r="AO91" t="str">
            <v>O</v>
          </cell>
        </row>
        <row r="92">
          <cell r="B92" t="str">
            <v>GT17</v>
          </cell>
          <cell r="C92" t="str">
            <v>NU AZANI GANG</v>
          </cell>
          <cell r="D92" t="str">
            <v xml:space="preserve">Iron Horse </v>
          </cell>
          <cell r="L92" t="str">
            <v>O</v>
          </cell>
          <cell r="M92" t="str">
            <v>O</v>
          </cell>
          <cell r="N92" t="str">
            <v>O</v>
          </cell>
          <cell r="O92" t="str">
            <v>O</v>
          </cell>
          <cell r="P92" t="str">
            <v>O</v>
          </cell>
          <cell r="Q92" t="str">
            <v>O</v>
          </cell>
          <cell r="R92" t="str">
            <v>O</v>
          </cell>
          <cell r="S92" t="str">
            <v>O</v>
          </cell>
          <cell r="T92" t="str">
            <v>O</v>
          </cell>
          <cell r="U92" t="str">
            <v>O</v>
          </cell>
          <cell r="V92" t="str">
            <v>O</v>
          </cell>
          <cell r="W92" t="str">
            <v>O</v>
          </cell>
          <cell r="X92" t="str">
            <v>O</v>
          </cell>
          <cell r="Y92" t="str">
            <v>O</v>
          </cell>
          <cell r="Z92" t="str">
            <v>O</v>
          </cell>
          <cell r="AA92" t="str">
            <v>O</v>
          </cell>
          <cell r="AB92" t="str">
            <v>O</v>
          </cell>
          <cell r="AC92" t="str">
            <v>O</v>
          </cell>
          <cell r="AD92" t="str">
            <v>O</v>
          </cell>
          <cell r="AE92" t="str">
            <v>O</v>
          </cell>
          <cell r="AF92" t="str">
            <v>O</v>
          </cell>
          <cell r="AG92" t="str">
            <v>O</v>
          </cell>
          <cell r="AH92" t="str">
            <v>O</v>
          </cell>
          <cell r="AI92" t="str">
            <v>O</v>
          </cell>
          <cell r="AJ92" t="str">
            <v>O</v>
          </cell>
          <cell r="AK92" t="str">
            <v>O</v>
          </cell>
          <cell r="AL92" t="str">
            <v>O</v>
          </cell>
          <cell r="AM92" t="str">
            <v>O</v>
          </cell>
          <cell r="AN92" t="str">
            <v>O</v>
          </cell>
          <cell r="AO92" t="str">
            <v>O</v>
          </cell>
        </row>
        <row r="93">
          <cell r="B93" t="str">
            <v>GT18</v>
          </cell>
          <cell r="C93" t="str">
            <v>ERDI GANG</v>
          </cell>
          <cell r="D93" t="str">
            <v xml:space="preserve">Iron Horse </v>
          </cell>
          <cell r="L93" t="str">
            <v>O</v>
          </cell>
          <cell r="M93" t="str">
            <v>O</v>
          </cell>
          <cell r="N93" t="str">
            <v>O</v>
          </cell>
          <cell r="O93" t="str">
            <v>O</v>
          </cell>
          <cell r="P93" t="str">
            <v>O</v>
          </cell>
          <cell r="Q93" t="str">
            <v>O</v>
          </cell>
          <cell r="R93" t="str">
            <v>O</v>
          </cell>
          <cell r="S93" t="str">
            <v>O</v>
          </cell>
          <cell r="T93" t="str">
            <v>O</v>
          </cell>
          <cell r="U93" t="str">
            <v>O</v>
          </cell>
          <cell r="V93" t="str">
            <v>O</v>
          </cell>
          <cell r="W93" t="str">
            <v>O</v>
          </cell>
          <cell r="X93" t="str">
            <v>O</v>
          </cell>
          <cell r="Y93" t="str">
            <v>O</v>
          </cell>
          <cell r="Z93" t="str">
            <v>O</v>
          </cell>
          <cell r="AA93" t="str">
            <v>O</v>
          </cell>
          <cell r="AB93" t="str">
            <v>O</v>
          </cell>
          <cell r="AC93" t="str">
            <v>O</v>
          </cell>
          <cell r="AD93" t="str">
            <v>O</v>
          </cell>
          <cell r="AE93" t="str">
            <v>O</v>
          </cell>
          <cell r="AF93" t="str">
            <v>O</v>
          </cell>
          <cell r="AG93" t="str">
            <v>O</v>
          </cell>
          <cell r="AH93" t="str">
            <v>O</v>
          </cell>
          <cell r="AI93" t="str">
            <v>O</v>
          </cell>
          <cell r="AJ93" t="str">
            <v>O</v>
          </cell>
          <cell r="AK93" t="str">
            <v>O</v>
          </cell>
          <cell r="AL93" t="str">
            <v>O</v>
          </cell>
          <cell r="AM93" t="str">
            <v>O</v>
          </cell>
          <cell r="AN93" t="str">
            <v>O</v>
          </cell>
          <cell r="AO93" t="str">
            <v>O</v>
          </cell>
        </row>
        <row r="94">
          <cell r="B94" t="str">
            <v>GT19</v>
          </cell>
          <cell r="C94" t="str">
            <v>WORKSHOP</v>
          </cell>
          <cell r="D94" t="str">
            <v xml:space="preserve">Iron Horse </v>
          </cell>
          <cell r="L94" t="str">
            <v>OB</v>
          </cell>
          <cell r="M94" t="str">
            <v>OB</v>
          </cell>
          <cell r="N94" t="str">
            <v>OB</v>
          </cell>
          <cell r="O94" t="str">
            <v>OB</v>
          </cell>
          <cell r="P94" t="str">
            <v>OB</v>
          </cell>
          <cell r="Q94" t="str">
            <v>OB</v>
          </cell>
          <cell r="R94" t="str">
            <v>OB</v>
          </cell>
          <cell r="S94" t="str">
            <v>OB</v>
          </cell>
          <cell r="T94" t="str">
            <v>OB</v>
          </cell>
          <cell r="U94" t="str">
            <v>OB</v>
          </cell>
          <cell r="V94" t="str">
            <v>OB</v>
          </cell>
          <cell r="W94" t="str">
            <v>OB</v>
          </cell>
          <cell r="X94" t="str">
            <v>OB</v>
          </cell>
          <cell r="Y94" t="str">
            <v>OB</v>
          </cell>
          <cell r="Z94" t="str">
            <v>OB</v>
          </cell>
          <cell r="AA94" t="str">
            <v>OB</v>
          </cell>
          <cell r="AB94" t="str">
            <v>OB</v>
          </cell>
          <cell r="AC94" t="str">
            <v>OB</v>
          </cell>
          <cell r="AD94" t="str">
            <v>OB</v>
          </cell>
          <cell r="AE94" t="str">
            <v>OB</v>
          </cell>
          <cell r="AF94" t="str">
            <v>OB</v>
          </cell>
          <cell r="AG94" t="str">
            <v>OB</v>
          </cell>
          <cell r="AH94" t="str">
            <v>OB</v>
          </cell>
          <cell r="AI94" t="str">
            <v>OB</v>
          </cell>
          <cell r="AJ94" t="str">
            <v>OB</v>
          </cell>
          <cell r="AK94" t="str">
            <v>OB</v>
          </cell>
          <cell r="AL94" t="str">
            <v>OB</v>
          </cell>
          <cell r="AM94" t="str">
            <v>OB</v>
          </cell>
          <cell r="AN94" t="str">
            <v>OB</v>
          </cell>
          <cell r="AO94" t="str">
            <v>OB</v>
          </cell>
        </row>
        <row r="95">
          <cell r="B95" t="str">
            <v>GT20</v>
          </cell>
          <cell r="C95" t="str">
            <v>DARSO GANG</v>
          </cell>
          <cell r="D95" t="str">
            <v xml:space="preserve">Iron Horse </v>
          </cell>
          <cell r="L95" t="str">
            <v>O</v>
          </cell>
          <cell r="M95" t="str">
            <v>O</v>
          </cell>
          <cell r="N95" t="str">
            <v>O</v>
          </cell>
          <cell r="O95" t="str">
            <v>O</v>
          </cell>
          <cell r="P95" t="str">
            <v>O</v>
          </cell>
          <cell r="Q95" t="str">
            <v>O</v>
          </cell>
          <cell r="R95" t="str">
            <v>O</v>
          </cell>
          <cell r="S95" t="str">
            <v>O</v>
          </cell>
          <cell r="T95" t="str">
            <v>O</v>
          </cell>
          <cell r="U95" t="str">
            <v>O</v>
          </cell>
          <cell r="V95" t="str">
            <v>O</v>
          </cell>
          <cell r="W95" t="str">
            <v>O</v>
          </cell>
          <cell r="X95" t="str">
            <v>O</v>
          </cell>
          <cell r="Y95" t="str">
            <v>O</v>
          </cell>
          <cell r="Z95" t="str">
            <v>O</v>
          </cell>
          <cell r="AA95" t="str">
            <v>O</v>
          </cell>
          <cell r="AB95" t="str">
            <v>O</v>
          </cell>
          <cell r="AC95" t="str">
            <v>O</v>
          </cell>
          <cell r="AD95" t="str">
            <v>O</v>
          </cell>
          <cell r="AE95" t="str">
            <v>O</v>
          </cell>
          <cell r="AF95" t="str">
            <v>O</v>
          </cell>
          <cell r="AG95" t="str">
            <v>O</v>
          </cell>
          <cell r="AH95" t="str">
            <v>O</v>
          </cell>
          <cell r="AI95" t="str">
            <v>O</v>
          </cell>
          <cell r="AJ95" t="str">
            <v>O</v>
          </cell>
          <cell r="AK95" t="str">
            <v>O</v>
          </cell>
          <cell r="AL95" t="str">
            <v>O</v>
          </cell>
          <cell r="AM95" t="str">
            <v>O</v>
          </cell>
          <cell r="AN95" t="str">
            <v>O</v>
          </cell>
          <cell r="AO95" t="str">
            <v>O</v>
          </cell>
        </row>
        <row r="96">
          <cell r="B96" t="str">
            <v>GT21</v>
          </cell>
          <cell r="C96" t="str">
            <v>WORKSHOP</v>
          </cell>
          <cell r="D96" t="str">
            <v>IRON HORSE(DATO)</v>
          </cell>
          <cell r="L96" t="str">
            <v>OB</v>
          </cell>
          <cell r="M96" t="str">
            <v>OB</v>
          </cell>
          <cell r="N96" t="str">
            <v>OB</v>
          </cell>
          <cell r="O96" t="str">
            <v>OB</v>
          </cell>
          <cell r="P96" t="str">
            <v>OB</v>
          </cell>
          <cell r="Q96" t="str">
            <v>OB</v>
          </cell>
          <cell r="R96" t="str">
            <v>OB</v>
          </cell>
          <cell r="S96" t="str">
            <v>OB</v>
          </cell>
          <cell r="T96" t="str">
            <v>OB</v>
          </cell>
          <cell r="U96" t="str">
            <v>OB</v>
          </cell>
          <cell r="V96" t="str">
            <v>OB</v>
          </cell>
          <cell r="W96" t="str">
            <v>OB</v>
          </cell>
          <cell r="X96" t="str">
            <v>OB</v>
          </cell>
          <cell r="Y96" t="str">
            <v>OB</v>
          </cell>
          <cell r="Z96" t="str">
            <v>OB</v>
          </cell>
          <cell r="AA96" t="str">
            <v>OB</v>
          </cell>
          <cell r="AB96" t="str">
            <v>OB</v>
          </cell>
          <cell r="AC96" t="str">
            <v>OB</v>
          </cell>
          <cell r="AD96" t="str">
            <v>OB</v>
          </cell>
          <cell r="AE96" t="str">
            <v>OB</v>
          </cell>
          <cell r="AF96" t="str">
            <v>OB</v>
          </cell>
          <cell r="AG96" t="str">
            <v>OB</v>
          </cell>
          <cell r="AH96" t="str">
            <v>OB</v>
          </cell>
          <cell r="AI96" t="str">
            <v>OB</v>
          </cell>
          <cell r="AJ96" t="str">
            <v>OB</v>
          </cell>
          <cell r="AK96" t="str">
            <v>OB</v>
          </cell>
          <cell r="AL96" t="str">
            <v>OB</v>
          </cell>
          <cell r="AM96" t="str">
            <v>OB</v>
          </cell>
          <cell r="AN96" t="str">
            <v>OB</v>
          </cell>
          <cell r="AO96" t="str">
            <v>OB</v>
          </cell>
        </row>
        <row r="97">
          <cell r="B97" t="str">
            <v>GT22</v>
          </cell>
          <cell r="C97" t="str">
            <v>MIKHAEL GANG</v>
          </cell>
          <cell r="D97" t="str">
            <v xml:space="preserve">Iron Horse </v>
          </cell>
          <cell r="E97" t="str">
            <v>-</v>
          </cell>
          <cell r="L97" t="str">
            <v>S/B</v>
          </cell>
          <cell r="M97" t="str">
            <v>S/B</v>
          </cell>
          <cell r="N97" t="str">
            <v>S/B</v>
          </cell>
          <cell r="O97" t="str">
            <v>S/B</v>
          </cell>
          <cell r="P97" t="str">
            <v>S/B</v>
          </cell>
          <cell r="Q97" t="str">
            <v>S/B</v>
          </cell>
          <cell r="R97" t="str">
            <v>S/B</v>
          </cell>
          <cell r="S97" t="str">
            <v>S/B</v>
          </cell>
          <cell r="T97" t="str">
            <v>S/B</v>
          </cell>
          <cell r="U97" t="str">
            <v>S/B</v>
          </cell>
          <cell r="V97" t="str">
            <v>S/B</v>
          </cell>
          <cell r="W97" t="str">
            <v>S/B</v>
          </cell>
          <cell r="X97" t="str">
            <v>S/B</v>
          </cell>
          <cell r="Y97" t="str">
            <v>S/B</v>
          </cell>
          <cell r="Z97" t="str">
            <v>S/B</v>
          </cell>
          <cell r="AA97" t="str">
            <v>S/B</v>
          </cell>
          <cell r="AB97" t="str">
            <v>S/B</v>
          </cell>
          <cell r="AC97" t="str">
            <v>S/B</v>
          </cell>
          <cell r="AD97" t="str">
            <v>S/B</v>
          </cell>
          <cell r="AE97" t="str">
            <v>S/B</v>
          </cell>
          <cell r="AF97" t="str">
            <v>S/B</v>
          </cell>
          <cell r="AG97" t="str">
            <v>S/B</v>
          </cell>
          <cell r="AH97" t="str">
            <v>S/B</v>
          </cell>
          <cell r="AI97" t="str">
            <v>S/B</v>
          </cell>
          <cell r="AJ97" t="str">
            <v>S/B</v>
          </cell>
          <cell r="AK97" t="str">
            <v>S/B</v>
          </cell>
          <cell r="AL97" t="str">
            <v>S/B</v>
          </cell>
          <cell r="AM97" t="str">
            <v>S/B</v>
          </cell>
          <cell r="AN97" t="str">
            <v>S/B</v>
          </cell>
          <cell r="AO97" t="str">
            <v>S/B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6">
          <cell r="G6" t="str">
            <v>GT-2610</v>
          </cell>
          <cell r="H6" t="str">
            <v>QSR5028</v>
          </cell>
          <cell r="I6" t="str">
            <v>DARSO</v>
          </cell>
          <cell r="J6">
            <v>22</v>
          </cell>
          <cell r="K6">
            <v>36860</v>
          </cell>
          <cell r="L6">
            <v>21400</v>
          </cell>
          <cell r="M6">
            <v>0</v>
          </cell>
          <cell r="N6">
            <v>11.74</v>
          </cell>
          <cell r="O6">
            <v>859</v>
          </cell>
          <cell r="Q6">
            <v>15.46</v>
          </cell>
          <cell r="R6">
            <v>44.86</v>
          </cell>
        </row>
        <row r="7">
          <cell r="I7" t="str">
            <v>NUAZANI</v>
          </cell>
          <cell r="J7">
            <v>8</v>
          </cell>
          <cell r="N7">
            <v>3.72</v>
          </cell>
          <cell r="O7">
            <v>268</v>
          </cell>
        </row>
        <row r="8">
          <cell r="G8" t="str">
            <v>GT-2605</v>
          </cell>
          <cell r="H8" t="str">
            <v>QSR5028</v>
          </cell>
          <cell r="I8" t="str">
            <v>FERDINADUS</v>
          </cell>
          <cell r="J8">
            <v>14</v>
          </cell>
          <cell r="K8">
            <v>37260</v>
          </cell>
          <cell r="L8">
            <v>21420</v>
          </cell>
          <cell r="M8">
            <v>0</v>
          </cell>
          <cell r="N8">
            <v>7.88</v>
          </cell>
          <cell r="O8">
            <v>545</v>
          </cell>
          <cell r="Q8">
            <v>15.84</v>
          </cell>
        </row>
        <row r="9">
          <cell r="I9" t="str">
            <v>WENDELINUS</v>
          </cell>
          <cell r="J9">
            <v>28</v>
          </cell>
          <cell r="N9">
            <v>7.96</v>
          </cell>
          <cell r="O9">
            <v>940</v>
          </cell>
        </row>
        <row r="10">
          <cell r="G10" t="str">
            <v>GT-2617</v>
          </cell>
          <cell r="H10" t="str">
            <v>QSR5028</v>
          </cell>
          <cell r="I10" t="str">
            <v>NUAZANI</v>
          </cell>
          <cell r="J10">
            <v>8</v>
          </cell>
          <cell r="K10">
            <v>35000</v>
          </cell>
          <cell r="L10">
            <v>21440</v>
          </cell>
          <cell r="M10">
            <v>0</v>
          </cell>
          <cell r="N10">
            <v>3.54</v>
          </cell>
          <cell r="O10">
            <v>243</v>
          </cell>
          <cell r="Q10">
            <v>13.559999999999999</v>
          </cell>
        </row>
        <row r="11">
          <cell r="I11" t="str">
            <v>WENDELINUS</v>
          </cell>
          <cell r="J11">
            <v>26</v>
          </cell>
          <cell r="N11">
            <v>5.55</v>
          </cell>
          <cell r="O11">
            <v>393</v>
          </cell>
        </row>
        <row r="12">
          <cell r="I12" t="str">
            <v>DARSO</v>
          </cell>
          <cell r="J12">
            <v>22</v>
          </cell>
          <cell r="N12">
            <v>4.47</v>
          </cell>
          <cell r="O12">
            <v>307</v>
          </cell>
        </row>
        <row r="13">
          <cell r="G13" t="str">
            <v>GT-2620</v>
          </cell>
          <cell r="H13" t="str">
            <v>QSR5028</v>
          </cell>
          <cell r="I13" t="str">
            <v>NUAZANI</v>
          </cell>
          <cell r="J13">
            <v>8</v>
          </cell>
          <cell r="K13">
            <v>35720</v>
          </cell>
          <cell r="L13">
            <v>21340</v>
          </cell>
          <cell r="M13">
            <v>0</v>
          </cell>
          <cell r="N13">
            <v>7.39</v>
          </cell>
          <cell r="O13">
            <v>531</v>
          </cell>
          <cell r="Q13">
            <v>14.379999999999999</v>
          </cell>
          <cell r="R13">
            <v>46.099999999999994</v>
          </cell>
        </row>
        <row r="14">
          <cell r="I14" t="str">
            <v>DARSO</v>
          </cell>
          <cell r="J14">
            <v>22</v>
          </cell>
          <cell r="N14">
            <v>2.78</v>
          </cell>
          <cell r="O14">
            <v>208</v>
          </cell>
        </row>
        <row r="15">
          <cell r="I15" t="str">
            <v>ERDI</v>
          </cell>
          <cell r="J15">
            <v>11</v>
          </cell>
          <cell r="N15">
            <v>4.21</v>
          </cell>
          <cell r="O15">
            <v>307</v>
          </cell>
        </row>
        <row r="16">
          <cell r="G16" t="str">
            <v>GT-2633</v>
          </cell>
          <cell r="H16" t="str">
            <v>QSR5028</v>
          </cell>
          <cell r="I16" t="str">
            <v>NUAZANI</v>
          </cell>
          <cell r="J16">
            <v>9</v>
          </cell>
          <cell r="K16">
            <v>37800</v>
          </cell>
          <cell r="L16">
            <v>21300</v>
          </cell>
          <cell r="M16">
            <v>0</v>
          </cell>
          <cell r="N16">
            <v>2.66</v>
          </cell>
          <cell r="O16">
            <v>189</v>
          </cell>
          <cell r="Q16">
            <v>16.5</v>
          </cell>
        </row>
        <row r="17">
          <cell r="I17" t="str">
            <v>FERDINADUS</v>
          </cell>
          <cell r="J17">
            <v>14</v>
          </cell>
          <cell r="N17">
            <v>10.01</v>
          </cell>
          <cell r="O17">
            <v>660</v>
          </cell>
        </row>
        <row r="18">
          <cell r="I18" t="str">
            <v>DARSO</v>
          </cell>
          <cell r="J18">
            <v>17</v>
          </cell>
          <cell r="N18">
            <v>3.83</v>
          </cell>
          <cell r="O18">
            <v>284</v>
          </cell>
        </row>
        <row r="19">
          <cell r="G19" t="str">
            <v>GT-2625</v>
          </cell>
          <cell r="H19" t="str">
            <v>QSR5028</v>
          </cell>
          <cell r="I19" t="str">
            <v>MIKHAEL</v>
          </cell>
          <cell r="J19">
            <v>3</v>
          </cell>
          <cell r="K19">
            <v>36540</v>
          </cell>
          <cell r="L19">
            <v>21320</v>
          </cell>
          <cell r="M19">
            <v>0</v>
          </cell>
          <cell r="N19">
            <v>4.47</v>
          </cell>
          <cell r="O19">
            <v>338</v>
          </cell>
          <cell r="Q19">
            <v>15.219999999999999</v>
          </cell>
        </row>
        <row r="20">
          <cell r="I20" t="str">
            <v>DARSO</v>
          </cell>
          <cell r="J20">
            <v>22</v>
          </cell>
          <cell r="N20">
            <v>4.45</v>
          </cell>
          <cell r="O20">
            <v>318</v>
          </cell>
        </row>
        <row r="21">
          <cell r="I21" t="str">
            <v>DARSO</v>
          </cell>
          <cell r="J21">
            <v>17</v>
          </cell>
          <cell r="N21">
            <v>3.68</v>
          </cell>
          <cell r="O21">
            <v>263</v>
          </cell>
        </row>
        <row r="22">
          <cell r="I22" t="str">
            <v>NUAZANI</v>
          </cell>
          <cell r="J22">
            <v>9</v>
          </cell>
          <cell r="N22">
            <v>2.62</v>
          </cell>
          <cell r="O22">
            <v>177</v>
          </cell>
        </row>
        <row r="23">
          <cell r="G23" t="str">
            <v>GT-2638</v>
          </cell>
          <cell r="H23" t="str">
            <v>QSR5028</v>
          </cell>
          <cell r="I23" t="str">
            <v>FERDINADUS</v>
          </cell>
          <cell r="J23">
            <v>14</v>
          </cell>
          <cell r="K23">
            <v>37100</v>
          </cell>
          <cell r="L23">
            <v>21280</v>
          </cell>
          <cell r="M23">
            <v>0</v>
          </cell>
          <cell r="N23">
            <v>8.26</v>
          </cell>
          <cell r="O23">
            <v>578</v>
          </cell>
          <cell r="Q23">
            <v>15.82</v>
          </cell>
          <cell r="R23">
            <v>65.12</v>
          </cell>
        </row>
        <row r="24">
          <cell r="I24" t="str">
            <v>DARSO</v>
          </cell>
          <cell r="J24">
            <v>17</v>
          </cell>
          <cell r="N24">
            <v>7.56</v>
          </cell>
          <cell r="O24">
            <v>558</v>
          </cell>
        </row>
        <row r="25">
          <cell r="G25" t="str">
            <v>GT-2647</v>
          </cell>
          <cell r="H25" t="str">
            <v>QSR5028</v>
          </cell>
          <cell r="I25" t="str">
            <v>MIKHAEL</v>
          </cell>
          <cell r="J25">
            <v>3</v>
          </cell>
          <cell r="K25">
            <v>37700</v>
          </cell>
          <cell r="L25">
            <v>21260</v>
          </cell>
          <cell r="M25">
            <v>0</v>
          </cell>
          <cell r="N25">
            <v>4.79</v>
          </cell>
          <cell r="O25">
            <v>371</v>
          </cell>
          <cell r="Q25">
            <v>16.440000000000001</v>
          </cell>
        </row>
        <row r="26">
          <cell r="I26" t="str">
            <v>DARSO</v>
          </cell>
          <cell r="J26">
            <v>17</v>
          </cell>
          <cell r="N26">
            <v>7.72</v>
          </cell>
          <cell r="O26">
            <v>568</v>
          </cell>
        </row>
        <row r="27">
          <cell r="I27" t="str">
            <v>WENDELINUS</v>
          </cell>
          <cell r="J27">
            <v>27</v>
          </cell>
          <cell r="N27">
            <v>3.93</v>
          </cell>
          <cell r="O27">
            <v>347</v>
          </cell>
        </row>
        <row r="28">
          <cell r="G28" t="str">
            <v>GT-2641</v>
          </cell>
          <cell r="H28" t="str">
            <v>QSR5028</v>
          </cell>
          <cell r="I28" t="str">
            <v>ERDI</v>
          </cell>
          <cell r="J28">
            <v>11</v>
          </cell>
          <cell r="K28">
            <v>39000</v>
          </cell>
          <cell r="L28">
            <v>21280</v>
          </cell>
          <cell r="M28">
            <v>0</v>
          </cell>
          <cell r="N28">
            <v>8.27</v>
          </cell>
          <cell r="O28">
            <v>576</v>
          </cell>
          <cell r="Q28">
            <v>17.72</v>
          </cell>
        </row>
        <row r="29">
          <cell r="I29" t="str">
            <v>MIKHAEL</v>
          </cell>
          <cell r="J29">
            <v>3</v>
          </cell>
          <cell r="N29">
            <v>4.2699999999999996</v>
          </cell>
          <cell r="O29">
            <v>297</v>
          </cell>
        </row>
        <row r="30">
          <cell r="I30" t="str">
            <v>FERDINADUS</v>
          </cell>
          <cell r="J30">
            <v>14</v>
          </cell>
          <cell r="N30">
            <v>5.18</v>
          </cell>
          <cell r="O30">
            <v>346</v>
          </cell>
        </row>
        <row r="31">
          <cell r="G31" t="str">
            <v>GT-2652</v>
          </cell>
          <cell r="H31" t="str">
            <v>QSR5028</v>
          </cell>
          <cell r="I31" t="str">
            <v>WENDELINUS</v>
          </cell>
          <cell r="J31">
            <v>27</v>
          </cell>
          <cell r="K31">
            <v>36380</v>
          </cell>
          <cell r="L31">
            <v>21240</v>
          </cell>
          <cell r="M31">
            <v>0</v>
          </cell>
          <cell r="N31">
            <v>2.97</v>
          </cell>
          <cell r="O31">
            <v>319</v>
          </cell>
          <cell r="Q31">
            <v>15.14</v>
          </cell>
        </row>
        <row r="32">
          <cell r="I32" t="str">
            <v>FERDINADUS</v>
          </cell>
          <cell r="J32">
            <v>24</v>
          </cell>
          <cell r="N32">
            <v>4</v>
          </cell>
          <cell r="O32">
            <v>285</v>
          </cell>
        </row>
        <row r="33">
          <cell r="I33" t="str">
            <v>NUAZANI</v>
          </cell>
          <cell r="J33">
            <v>9</v>
          </cell>
          <cell r="N33">
            <v>4.25</v>
          </cell>
          <cell r="O33">
            <v>309</v>
          </cell>
        </row>
        <row r="34">
          <cell r="I34" t="str">
            <v>DARSO</v>
          </cell>
          <cell r="J34">
            <v>17</v>
          </cell>
          <cell r="N34">
            <v>3.92</v>
          </cell>
          <cell r="O34">
            <v>287</v>
          </cell>
        </row>
        <row r="35">
          <cell r="G35" t="str">
            <v>GT-2659</v>
          </cell>
          <cell r="H35" t="str">
            <v>QSR5028</v>
          </cell>
          <cell r="I35" t="str">
            <v>NUAZANI</v>
          </cell>
          <cell r="J35">
            <v>9</v>
          </cell>
          <cell r="K35">
            <v>37180</v>
          </cell>
          <cell r="L35">
            <v>21280</v>
          </cell>
          <cell r="M35">
            <v>0</v>
          </cell>
          <cell r="N35">
            <v>7.87</v>
          </cell>
          <cell r="O35">
            <v>565</v>
          </cell>
          <cell r="Q35">
            <v>15.9</v>
          </cell>
          <cell r="R35">
            <v>65.38</v>
          </cell>
        </row>
        <row r="36">
          <cell r="I36" t="str">
            <v>DARSO</v>
          </cell>
          <cell r="J36">
            <v>16</v>
          </cell>
          <cell r="N36">
            <v>4.21</v>
          </cell>
          <cell r="O36">
            <v>305</v>
          </cell>
        </row>
        <row r="37">
          <cell r="I37" t="str">
            <v>MIKHAEL</v>
          </cell>
          <cell r="J37">
            <v>3</v>
          </cell>
          <cell r="N37">
            <v>3.82</v>
          </cell>
          <cell r="O37">
            <v>292</v>
          </cell>
        </row>
        <row r="38">
          <cell r="G38" t="str">
            <v>GT-2673</v>
          </cell>
          <cell r="H38" t="str">
            <v>QSR5028</v>
          </cell>
          <cell r="I38" t="str">
            <v>NUAZANI</v>
          </cell>
          <cell r="J38">
            <v>10</v>
          </cell>
          <cell r="K38">
            <v>38560</v>
          </cell>
          <cell r="L38">
            <v>21220</v>
          </cell>
          <cell r="M38">
            <v>0</v>
          </cell>
          <cell r="N38">
            <v>4.2</v>
          </cell>
          <cell r="O38">
            <v>301</v>
          </cell>
          <cell r="Q38">
            <v>17.34</v>
          </cell>
        </row>
        <row r="39">
          <cell r="I39" t="str">
            <v>DARSO</v>
          </cell>
          <cell r="J39">
            <v>16</v>
          </cell>
          <cell r="N39">
            <v>8.83</v>
          </cell>
          <cell r="O39">
            <v>680</v>
          </cell>
        </row>
        <row r="40">
          <cell r="I40" t="str">
            <v>MIKHAEL</v>
          </cell>
          <cell r="J40">
            <v>3</v>
          </cell>
          <cell r="N40">
            <v>4.3099999999999996</v>
          </cell>
          <cell r="O40">
            <v>320</v>
          </cell>
        </row>
        <row r="41">
          <cell r="G41" t="str">
            <v>GT-2664</v>
          </cell>
          <cell r="H41" t="str">
            <v>QSR5028</v>
          </cell>
          <cell r="I41" t="str">
            <v>DARSO</v>
          </cell>
          <cell r="J41">
            <v>16</v>
          </cell>
          <cell r="K41">
            <v>37620</v>
          </cell>
          <cell r="L41">
            <v>21260</v>
          </cell>
          <cell r="M41">
            <v>0</v>
          </cell>
          <cell r="N41">
            <v>3.21</v>
          </cell>
          <cell r="O41">
            <v>232</v>
          </cell>
          <cell r="Q41">
            <v>16.36</v>
          </cell>
        </row>
        <row r="42">
          <cell r="I42" t="str">
            <v>FERDINADUS</v>
          </cell>
          <cell r="J42">
            <v>24</v>
          </cell>
          <cell r="N42">
            <v>3.74</v>
          </cell>
          <cell r="O42">
            <v>263</v>
          </cell>
        </row>
        <row r="43">
          <cell r="I43" t="str">
            <v>NUAZANI</v>
          </cell>
          <cell r="J43">
            <v>10</v>
          </cell>
          <cell r="N43">
            <v>4.2</v>
          </cell>
          <cell r="O43">
            <v>310</v>
          </cell>
        </row>
        <row r="44">
          <cell r="I44" t="str">
            <v>MIKHAEL</v>
          </cell>
          <cell r="J44">
            <v>3</v>
          </cell>
          <cell r="N44">
            <v>5.21</v>
          </cell>
          <cell r="O44">
            <v>351</v>
          </cell>
        </row>
        <row r="45">
          <cell r="G45" t="str">
            <v>GT-2668</v>
          </cell>
          <cell r="H45" t="str">
            <v>QSR5028</v>
          </cell>
          <cell r="I45" t="str">
            <v>NUAZANI</v>
          </cell>
          <cell r="J45">
            <v>10</v>
          </cell>
          <cell r="K45">
            <v>37020</v>
          </cell>
          <cell r="L45">
            <v>21240</v>
          </cell>
          <cell r="M45">
            <v>0</v>
          </cell>
          <cell r="N45">
            <v>2.87</v>
          </cell>
          <cell r="O45">
            <v>186</v>
          </cell>
          <cell r="Q45">
            <v>15.780000000000001</v>
          </cell>
        </row>
        <row r="46">
          <cell r="I46" t="str">
            <v>ERDI</v>
          </cell>
          <cell r="J46">
            <v>11</v>
          </cell>
          <cell r="N46">
            <v>3.47</v>
          </cell>
          <cell r="O46">
            <v>231</v>
          </cell>
        </row>
        <row r="47">
          <cell r="I47" t="str">
            <v>FERDINADUS</v>
          </cell>
          <cell r="J47">
            <v>24</v>
          </cell>
          <cell r="N47">
            <v>5.53</v>
          </cell>
          <cell r="O47">
            <v>326</v>
          </cell>
        </row>
        <row r="48">
          <cell r="I48" t="str">
            <v>DARSO</v>
          </cell>
          <cell r="J48">
            <v>16</v>
          </cell>
          <cell r="N48">
            <v>3.91</v>
          </cell>
          <cell r="O48">
            <v>236</v>
          </cell>
        </row>
        <row r="49">
          <cell r="G49" t="str">
            <v>GT-2680</v>
          </cell>
          <cell r="H49" t="str">
            <v>QSR5028</v>
          </cell>
          <cell r="I49" t="str">
            <v>FERDINADUS</v>
          </cell>
          <cell r="J49">
            <v>24</v>
          </cell>
          <cell r="K49">
            <v>37000</v>
          </cell>
          <cell r="L49">
            <v>21200</v>
          </cell>
          <cell r="M49">
            <v>0</v>
          </cell>
          <cell r="N49">
            <v>4.0199999999999996</v>
          </cell>
          <cell r="O49">
            <v>292</v>
          </cell>
          <cell r="Q49">
            <v>15.799999999999999</v>
          </cell>
          <cell r="R49">
            <v>65.72</v>
          </cell>
        </row>
        <row r="50">
          <cell r="I50" t="str">
            <v>NUAZANI</v>
          </cell>
          <cell r="J50">
            <v>12</v>
          </cell>
          <cell r="N50">
            <v>8.34</v>
          </cell>
          <cell r="O50">
            <v>619</v>
          </cell>
        </row>
        <row r="51">
          <cell r="I51" t="str">
            <v>MIKHAEL</v>
          </cell>
          <cell r="J51">
            <v>3</v>
          </cell>
          <cell r="N51">
            <v>3.44</v>
          </cell>
          <cell r="O51">
            <v>297</v>
          </cell>
        </row>
        <row r="52">
          <cell r="G52" t="str">
            <v>GT-2691</v>
          </cell>
          <cell r="H52" t="str">
            <v>QSR5028</v>
          </cell>
          <cell r="I52" t="str">
            <v>WENDELINUS</v>
          </cell>
          <cell r="J52">
            <v>25</v>
          </cell>
          <cell r="K52">
            <v>36640</v>
          </cell>
          <cell r="L52">
            <v>21400</v>
          </cell>
          <cell r="M52">
            <v>0</v>
          </cell>
          <cell r="N52">
            <v>6.84</v>
          </cell>
          <cell r="O52">
            <v>865</v>
          </cell>
          <cell r="Q52">
            <v>15.239999999999998</v>
          </cell>
        </row>
        <row r="53">
          <cell r="I53" t="str">
            <v>MIKHAEL</v>
          </cell>
          <cell r="J53">
            <v>3</v>
          </cell>
          <cell r="N53">
            <v>4.3600000000000003</v>
          </cell>
          <cell r="O53">
            <v>351</v>
          </cell>
        </row>
        <row r="54">
          <cell r="I54" t="str">
            <v>FERDINADUS</v>
          </cell>
          <cell r="J54">
            <v>24</v>
          </cell>
          <cell r="N54">
            <v>4.04</v>
          </cell>
          <cell r="O54">
            <v>290</v>
          </cell>
        </row>
        <row r="55">
          <cell r="G55" t="str">
            <v>GT-2694</v>
          </cell>
          <cell r="H55" t="str">
            <v>QSR5028</v>
          </cell>
          <cell r="I55" t="str">
            <v>FERDINADUS</v>
          </cell>
          <cell r="J55">
            <v>24</v>
          </cell>
          <cell r="K55">
            <v>39040</v>
          </cell>
          <cell r="L55">
            <v>21420</v>
          </cell>
          <cell r="M55">
            <v>0</v>
          </cell>
          <cell r="N55">
            <v>4.08</v>
          </cell>
          <cell r="O55">
            <v>301</v>
          </cell>
          <cell r="Q55">
            <v>17.62</v>
          </cell>
        </row>
        <row r="56">
          <cell r="I56" t="str">
            <v>DARSO</v>
          </cell>
          <cell r="J56">
            <v>15</v>
          </cell>
          <cell r="N56">
            <v>10.25</v>
          </cell>
          <cell r="O56">
            <v>334</v>
          </cell>
        </row>
        <row r="57">
          <cell r="I57" t="str">
            <v>ERDI</v>
          </cell>
          <cell r="J57">
            <v>2</v>
          </cell>
          <cell r="N57">
            <v>3.29</v>
          </cell>
          <cell r="O57">
            <v>442</v>
          </cell>
        </row>
        <row r="58">
          <cell r="G58" t="str">
            <v>GT-2687</v>
          </cell>
          <cell r="H58" t="str">
            <v>QSR5028</v>
          </cell>
          <cell r="I58" t="str">
            <v>FERDINADUS</v>
          </cell>
          <cell r="J58">
            <v>24</v>
          </cell>
          <cell r="K58">
            <v>38460</v>
          </cell>
          <cell r="L58">
            <v>21400</v>
          </cell>
          <cell r="M58">
            <v>0</v>
          </cell>
          <cell r="N58">
            <v>7.1</v>
          </cell>
          <cell r="O58">
            <v>520</v>
          </cell>
          <cell r="Q58">
            <v>17.059999999999999</v>
          </cell>
        </row>
        <row r="59">
          <cell r="I59" t="str">
            <v>DARSO</v>
          </cell>
          <cell r="J59">
            <v>16</v>
          </cell>
          <cell r="N59">
            <v>3.9</v>
          </cell>
          <cell r="O59">
            <v>292</v>
          </cell>
        </row>
        <row r="60">
          <cell r="I60" t="str">
            <v>DARSO</v>
          </cell>
          <cell r="J60">
            <v>15</v>
          </cell>
          <cell r="N60">
            <v>3.92</v>
          </cell>
          <cell r="O60">
            <v>294</v>
          </cell>
        </row>
        <row r="61">
          <cell r="I61" t="str">
            <v>ERDI</v>
          </cell>
          <cell r="J61">
            <v>11</v>
          </cell>
          <cell r="N61">
            <v>2.14</v>
          </cell>
          <cell r="O61">
            <v>158</v>
          </cell>
        </row>
        <row r="62">
          <cell r="G62" t="str">
            <v>GT-2717</v>
          </cell>
          <cell r="H62" t="str">
            <v>QSR5028</v>
          </cell>
          <cell r="I62" t="str">
            <v>NUAZANI</v>
          </cell>
          <cell r="J62">
            <v>12</v>
          </cell>
          <cell r="K62">
            <v>36980</v>
          </cell>
          <cell r="L62">
            <v>21380</v>
          </cell>
          <cell r="M62">
            <v>0</v>
          </cell>
          <cell r="N62">
            <v>11.43</v>
          </cell>
          <cell r="O62">
            <v>303</v>
          </cell>
          <cell r="Q62">
            <v>15.6</v>
          </cell>
          <cell r="R62">
            <v>66.240000000000009</v>
          </cell>
        </row>
        <row r="63">
          <cell r="I63" t="str">
            <v>FERDINADUS</v>
          </cell>
          <cell r="J63">
            <v>23</v>
          </cell>
          <cell r="N63">
            <v>4.17</v>
          </cell>
          <cell r="O63">
            <v>811</v>
          </cell>
        </row>
        <row r="64">
          <cell r="G64" t="str">
            <v>GT-2712</v>
          </cell>
          <cell r="H64" t="str">
            <v>QSR5028</v>
          </cell>
          <cell r="I64" t="str">
            <v>FERDINADUS</v>
          </cell>
          <cell r="J64">
            <v>24</v>
          </cell>
          <cell r="K64">
            <v>38120</v>
          </cell>
          <cell r="L64">
            <v>21400</v>
          </cell>
          <cell r="M64">
            <v>0</v>
          </cell>
          <cell r="N64">
            <v>12.66</v>
          </cell>
          <cell r="O64">
            <v>884</v>
          </cell>
          <cell r="Q64">
            <v>16.72</v>
          </cell>
        </row>
        <row r="65">
          <cell r="I65" t="str">
            <v>ERDI</v>
          </cell>
          <cell r="J65">
            <v>2</v>
          </cell>
          <cell r="N65">
            <v>4.0599999999999996</v>
          </cell>
          <cell r="O65">
            <v>296</v>
          </cell>
        </row>
        <row r="66">
          <cell r="G66" t="str">
            <v>GT-2701</v>
          </cell>
          <cell r="H66" t="str">
            <v>QSR5028</v>
          </cell>
          <cell r="I66" t="str">
            <v>WENDELINUS</v>
          </cell>
          <cell r="J66">
            <v>25</v>
          </cell>
          <cell r="K66">
            <v>36940</v>
          </cell>
          <cell r="L66">
            <v>21440</v>
          </cell>
          <cell r="M66">
            <v>0</v>
          </cell>
          <cell r="N66">
            <v>2.95</v>
          </cell>
          <cell r="O66">
            <v>429</v>
          </cell>
          <cell r="Q66">
            <v>15.5</v>
          </cell>
        </row>
        <row r="67">
          <cell r="I67" t="str">
            <v>DARSO</v>
          </cell>
          <cell r="J67">
            <v>15</v>
          </cell>
          <cell r="N67">
            <v>4.12</v>
          </cell>
          <cell r="O67">
            <v>395</v>
          </cell>
        </row>
        <row r="68">
          <cell r="I68" t="str">
            <v>WENDELINUS</v>
          </cell>
          <cell r="J68">
            <v>33</v>
          </cell>
          <cell r="N68">
            <v>4.6399999999999997</v>
          </cell>
          <cell r="O68">
            <v>462</v>
          </cell>
        </row>
        <row r="69">
          <cell r="I69" t="str">
            <v>NUAZANI</v>
          </cell>
          <cell r="J69">
            <v>12</v>
          </cell>
          <cell r="N69">
            <v>3.79</v>
          </cell>
          <cell r="O69">
            <v>266</v>
          </cell>
        </row>
        <row r="70">
          <cell r="G70" t="str">
            <v>GT-2705</v>
          </cell>
          <cell r="H70" t="str">
            <v>QSR5028</v>
          </cell>
          <cell r="I70" t="str">
            <v>DARSO</v>
          </cell>
          <cell r="J70">
            <v>15</v>
          </cell>
          <cell r="K70">
            <v>39860</v>
          </cell>
          <cell r="L70">
            <v>21440</v>
          </cell>
          <cell r="M70">
            <v>0</v>
          </cell>
          <cell r="N70">
            <v>2.91</v>
          </cell>
          <cell r="O70">
            <v>214</v>
          </cell>
          <cell r="Q70">
            <v>18.420000000000002</v>
          </cell>
        </row>
        <row r="71">
          <cell r="I71" t="str">
            <v>MIKHAEL</v>
          </cell>
          <cell r="J71">
            <v>3</v>
          </cell>
          <cell r="N71">
            <v>9.1999999999999993</v>
          </cell>
          <cell r="O71">
            <v>844</v>
          </cell>
        </row>
        <row r="72">
          <cell r="I72" t="str">
            <v>NUAZANI</v>
          </cell>
          <cell r="J72">
            <v>12</v>
          </cell>
          <cell r="N72">
            <v>3.22</v>
          </cell>
          <cell r="O72">
            <v>253</v>
          </cell>
        </row>
        <row r="73">
          <cell r="I73" t="str">
            <v>WENDELINUS</v>
          </cell>
          <cell r="J73">
            <v>31</v>
          </cell>
          <cell r="N73">
            <v>3.09</v>
          </cell>
          <cell r="O73">
            <v>284</v>
          </cell>
        </row>
        <row r="74">
          <cell r="G74" t="str">
            <v>GT-2722</v>
          </cell>
          <cell r="H74" t="str">
            <v>QSR3707</v>
          </cell>
          <cell r="I74" t="str">
            <v>FERDINADUS</v>
          </cell>
          <cell r="J74">
            <v>23</v>
          </cell>
          <cell r="K74">
            <v>47350</v>
          </cell>
          <cell r="L74">
            <v>25200</v>
          </cell>
          <cell r="M74">
            <v>0</v>
          </cell>
          <cell r="N74">
            <v>12.97</v>
          </cell>
          <cell r="O74">
            <v>820</v>
          </cell>
          <cell r="Q74">
            <v>22.15</v>
          </cell>
          <cell r="R74">
            <v>41.620000000000005</v>
          </cell>
        </row>
        <row r="75">
          <cell r="I75" t="str">
            <v>FERDINADUS</v>
          </cell>
          <cell r="J75">
            <v>6</v>
          </cell>
          <cell r="N75">
            <v>4.32</v>
          </cell>
          <cell r="O75">
            <v>270</v>
          </cell>
        </row>
        <row r="76">
          <cell r="I76" t="str">
            <v>MIKHAEL</v>
          </cell>
          <cell r="J76">
            <v>1</v>
          </cell>
          <cell r="N76">
            <v>4.8600000000000003</v>
          </cell>
          <cell r="O76">
            <v>385</v>
          </cell>
        </row>
        <row r="77">
          <cell r="G77" t="str">
            <v>GT-2728</v>
          </cell>
          <cell r="H77" t="str">
            <v>QSR3707</v>
          </cell>
          <cell r="I77" t="str">
            <v>DARSO</v>
          </cell>
          <cell r="J77">
            <v>19</v>
          </cell>
          <cell r="K77">
            <v>44650</v>
          </cell>
          <cell r="L77">
            <v>25180</v>
          </cell>
          <cell r="M77">
            <v>0</v>
          </cell>
          <cell r="N77">
            <v>7.97</v>
          </cell>
          <cell r="O77">
            <v>537</v>
          </cell>
          <cell r="Q77">
            <v>19.470000000000002</v>
          </cell>
        </row>
        <row r="78">
          <cell r="I78" t="str">
            <v>WENDELINUS</v>
          </cell>
          <cell r="J78">
            <v>30</v>
          </cell>
          <cell r="N78">
            <v>3.33</v>
          </cell>
          <cell r="O78">
            <v>277</v>
          </cell>
        </row>
        <row r="79">
          <cell r="I79" t="str">
            <v>WENDELINUS</v>
          </cell>
          <cell r="J79">
            <v>31</v>
          </cell>
          <cell r="N79">
            <v>3.46</v>
          </cell>
          <cell r="O79">
            <v>317</v>
          </cell>
        </row>
        <row r="80">
          <cell r="I80" t="str">
            <v>MIKHAEL</v>
          </cell>
          <cell r="J80">
            <v>1</v>
          </cell>
          <cell r="N80">
            <v>4.71</v>
          </cell>
          <cell r="O80">
            <v>345</v>
          </cell>
        </row>
        <row r="81">
          <cell r="G81" t="str">
            <v>GT-2740</v>
          </cell>
          <cell r="H81" t="str">
            <v>QSR3707</v>
          </cell>
          <cell r="I81" t="str">
            <v>FERDINADUS</v>
          </cell>
          <cell r="J81">
            <v>6</v>
          </cell>
          <cell r="K81">
            <v>45600</v>
          </cell>
          <cell r="L81">
            <v>25140</v>
          </cell>
          <cell r="M81">
            <v>0</v>
          </cell>
          <cell r="N81">
            <v>12.22</v>
          </cell>
          <cell r="O81">
            <v>820</v>
          </cell>
          <cell r="Q81">
            <v>20.46</v>
          </cell>
          <cell r="R81">
            <v>40.5</v>
          </cell>
        </row>
        <row r="82">
          <cell r="I82" t="str">
            <v>DARSO</v>
          </cell>
          <cell r="J82">
            <v>19</v>
          </cell>
          <cell r="N82">
            <v>4.59</v>
          </cell>
          <cell r="O82">
            <v>328</v>
          </cell>
        </row>
        <row r="83">
          <cell r="I83" t="str">
            <v>WENDELINUS</v>
          </cell>
          <cell r="J83">
            <v>30</v>
          </cell>
          <cell r="N83">
            <v>3.65</v>
          </cell>
          <cell r="O83">
            <v>323</v>
          </cell>
        </row>
        <row r="84">
          <cell r="G84" t="str">
            <v>GT-2734</v>
          </cell>
          <cell r="H84" t="str">
            <v>QSR3707</v>
          </cell>
          <cell r="I84" t="str">
            <v>FERDINADUS</v>
          </cell>
          <cell r="J84">
            <v>6</v>
          </cell>
          <cell r="K84">
            <v>45200</v>
          </cell>
          <cell r="L84">
            <v>25160</v>
          </cell>
          <cell r="M84">
            <v>0</v>
          </cell>
          <cell r="N84">
            <v>11.89</v>
          </cell>
          <cell r="O84">
            <v>850</v>
          </cell>
          <cell r="Q84">
            <v>20.04</v>
          </cell>
        </row>
        <row r="85">
          <cell r="I85" t="str">
            <v>DARSO</v>
          </cell>
          <cell r="J85">
            <v>19</v>
          </cell>
          <cell r="N85">
            <v>4.34</v>
          </cell>
          <cell r="O85">
            <v>323</v>
          </cell>
        </row>
        <row r="86">
          <cell r="I86" t="str">
            <v>MIKHAEL</v>
          </cell>
          <cell r="J86">
            <v>1</v>
          </cell>
          <cell r="N86">
            <v>3.81</v>
          </cell>
          <cell r="O86">
            <v>285</v>
          </cell>
        </row>
        <row r="87">
          <cell r="G87" t="str">
            <v>GT-2746</v>
          </cell>
          <cell r="H87" t="str">
            <v>QSR3707</v>
          </cell>
          <cell r="I87" t="str">
            <v>DARSO</v>
          </cell>
          <cell r="J87">
            <v>19</v>
          </cell>
          <cell r="K87">
            <v>45350</v>
          </cell>
          <cell r="L87">
            <v>25120</v>
          </cell>
          <cell r="M87">
            <v>0</v>
          </cell>
          <cell r="N87">
            <v>11.91</v>
          </cell>
          <cell r="O87">
            <v>870</v>
          </cell>
          <cell r="Q87">
            <v>20.23</v>
          </cell>
          <cell r="R87">
            <v>78.069999999999993</v>
          </cell>
        </row>
        <row r="88">
          <cell r="I88" t="str">
            <v>MIKHAEL</v>
          </cell>
          <cell r="J88">
            <v>14</v>
          </cell>
          <cell r="N88">
            <v>3.71</v>
          </cell>
          <cell r="O88">
            <v>281</v>
          </cell>
        </row>
        <row r="89">
          <cell r="I89" t="str">
            <v>NUAZANI</v>
          </cell>
          <cell r="J89">
            <v>12</v>
          </cell>
          <cell r="N89">
            <v>4.6100000000000003</v>
          </cell>
          <cell r="O89">
            <v>333</v>
          </cell>
        </row>
        <row r="90">
          <cell r="G90" t="str">
            <v>GT-2758</v>
          </cell>
          <cell r="H90" t="str">
            <v>QSR3707</v>
          </cell>
          <cell r="I90" t="str">
            <v>FERDINADUS</v>
          </cell>
          <cell r="J90">
            <v>6</v>
          </cell>
          <cell r="K90">
            <v>44300</v>
          </cell>
          <cell r="L90">
            <v>25080</v>
          </cell>
          <cell r="M90">
            <v>0</v>
          </cell>
          <cell r="N90">
            <v>4.4000000000000004</v>
          </cell>
          <cell r="O90">
            <v>290</v>
          </cell>
          <cell r="Q90">
            <v>19.22</v>
          </cell>
        </row>
        <row r="91">
          <cell r="I91" t="str">
            <v>DARSO</v>
          </cell>
          <cell r="J91">
            <v>20</v>
          </cell>
          <cell r="N91">
            <v>3.84</v>
          </cell>
          <cell r="O91">
            <v>270</v>
          </cell>
        </row>
        <row r="92">
          <cell r="I92" t="str">
            <v>NUAZANI</v>
          </cell>
          <cell r="J92">
            <v>18</v>
          </cell>
          <cell r="N92">
            <v>8.24</v>
          </cell>
          <cell r="O92">
            <v>547</v>
          </cell>
        </row>
        <row r="93">
          <cell r="I93" t="str">
            <v>MIKHAEL</v>
          </cell>
          <cell r="J93">
            <v>14</v>
          </cell>
          <cell r="N93">
            <v>2.74</v>
          </cell>
          <cell r="O93">
            <v>237</v>
          </cell>
        </row>
        <row r="94">
          <cell r="G94" t="str">
            <v>GT-2752</v>
          </cell>
          <cell r="H94" t="str">
            <v>QSR3707</v>
          </cell>
          <cell r="I94" t="str">
            <v>FERDINADUS</v>
          </cell>
          <cell r="J94">
            <v>6</v>
          </cell>
          <cell r="K94">
            <v>44400</v>
          </cell>
          <cell r="L94">
            <v>25100</v>
          </cell>
          <cell r="M94">
            <v>0</v>
          </cell>
          <cell r="N94">
            <v>4.38</v>
          </cell>
          <cell r="O94">
            <v>310</v>
          </cell>
          <cell r="Q94">
            <v>19.3</v>
          </cell>
        </row>
        <row r="95">
          <cell r="I95" t="str">
            <v>NUAZANI</v>
          </cell>
          <cell r="J95">
            <v>12</v>
          </cell>
          <cell r="N95">
            <v>3.56</v>
          </cell>
          <cell r="O95">
            <v>261</v>
          </cell>
        </row>
        <row r="96">
          <cell r="I96" t="str">
            <v>DARSO</v>
          </cell>
          <cell r="J96">
            <v>20</v>
          </cell>
          <cell r="N96">
            <v>7.63</v>
          </cell>
          <cell r="O96">
            <v>574</v>
          </cell>
        </row>
        <row r="97">
          <cell r="I97" t="str">
            <v>DARSO</v>
          </cell>
          <cell r="J97">
            <v>19</v>
          </cell>
          <cell r="N97">
            <v>3.73</v>
          </cell>
          <cell r="O97">
            <v>279</v>
          </cell>
        </row>
        <row r="98">
          <cell r="G98" t="str">
            <v>GT-2764</v>
          </cell>
          <cell r="H98" t="str">
            <v>QSR3707</v>
          </cell>
          <cell r="I98" t="str">
            <v>FERDINADUS</v>
          </cell>
          <cell r="J98">
            <v>6</v>
          </cell>
          <cell r="K98">
            <v>44400</v>
          </cell>
          <cell r="L98">
            <v>25080</v>
          </cell>
          <cell r="M98">
            <v>0</v>
          </cell>
          <cell r="N98">
            <v>4.2</v>
          </cell>
          <cell r="O98">
            <v>297</v>
          </cell>
          <cell r="Q98">
            <v>19.32</v>
          </cell>
        </row>
        <row r="99">
          <cell r="I99" t="str">
            <v>WENDELINUS</v>
          </cell>
          <cell r="J99">
            <v>30</v>
          </cell>
          <cell r="N99">
            <v>2.4300000000000002</v>
          </cell>
          <cell r="O99">
            <v>298</v>
          </cell>
        </row>
        <row r="100">
          <cell r="I100" t="str">
            <v>ERDI</v>
          </cell>
          <cell r="J100">
            <v>2</v>
          </cell>
          <cell r="N100">
            <v>4.1900000000000004</v>
          </cell>
          <cell r="O100">
            <v>311</v>
          </cell>
        </row>
        <row r="101">
          <cell r="I101" t="str">
            <v>NUAZANI</v>
          </cell>
          <cell r="J101">
            <v>18</v>
          </cell>
          <cell r="N101">
            <v>4.3</v>
          </cell>
          <cell r="O101">
            <v>325</v>
          </cell>
        </row>
        <row r="102">
          <cell r="I102" t="str">
            <v>DARSO</v>
          </cell>
          <cell r="J102">
            <v>20</v>
          </cell>
          <cell r="N102">
            <v>4.2</v>
          </cell>
          <cell r="O102">
            <v>316</v>
          </cell>
        </row>
        <row r="103">
          <cell r="G103" t="str">
            <v>GT-2789</v>
          </cell>
          <cell r="H103" t="str">
            <v>QSR3707</v>
          </cell>
          <cell r="I103" t="str">
            <v>FERDINADUS</v>
          </cell>
          <cell r="J103">
            <v>6</v>
          </cell>
          <cell r="K103">
            <v>48000</v>
          </cell>
          <cell r="L103">
            <v>25200</v>
          </cell>
          <cell r="M103">
            <v>0</v>
          </cell>
          <cell r="N103">
            <v>9.65</v>
          </cell>
          <cell r="O103">
            <v>720</v>
          </cell>
          <cell r="Q103">
            <v>22.800000000000004</v>
          </cell>
          <cell r="R103">
            <v>84.330000000000013</v>
          </cell>
        </row>
        <row r="104">
          <cell r="I104" t="str">
            <v>WENDELINUS</v>
          </cell>
          <cell r="J104">
            <v>28</v>
          </cell>
          <cell r="N104">
            <v>8.91</v>
          </cell>
          <cell r="O104">
            <v>1043</v>
          </cell>
        </row>
        <row r="105">
          <cell r="I105" t="str">
            <v>FERDINADUS</v>
          </cell>
          <cell r="J105">
            <v>5</v>
          </cell>
          <cell r="N105">
            <v>4.24</v>
          </cell>
          <cell r="O105">
            <v>315</v>
          </cell>
        </row>
        <row r="106">
          <cell r="G106" t="str">
            <v>GT-2776</v>
          </cell>
          <cell r="H106" t="str">
            <v>QSR3707</v>
          </cell>
          <cell r="I106" t="str">
            <v>WENDELINUS</v>
          </cell>
          <cell r="J106">
            <v>30</v>
          </cell>
          <cell r="K106">
            <v>46450</v>
          </cell>
          <cell r="L106">
            <v>25160</v>
          </cell>
          <cell r="M106">
            <v>0</v>
          </cell>
          <cell r="N106">
            <v>1.34</v>
          </cell>
          <cell r="O106">
            <v>134</v>
          </cell>
          <cell r="Q106">
            <v>21.29</v>
          </cell>
        </row>
        <row r="107">
          <cell r="I107" t="str">
            <v>DARSO</v>
          </cell>
          <cell r="J107">
            <v>20</v>
          </cell>
          <cell r="N107">
            <v>7.02</v>
          </cell>
          <cell r="O107">
            <v>576</v>
          </cell>
        </row>
        <row r="108">
          <cell r="I108" t="str">
            <v>NUAZANI</v>
          </cell>
          <cell r="J108">
            <v>18</v>
          </cell>
          <cell r="N108">
            <v>4.0999999999999996</v>
          </cell>
          <cell r="O108">
            <v>333</v>
          </cell>
        </row>
        <row r="109">
          <cell r="I109" t="str">
            <v>FERDINADUS</v>
          </cell>
          <cell r="J109">
            <v>6</v>
          </cell>
          <cell r="N109">
            <v>8.83</v>
          </cell>
          <cell r="O109">
            <v>680</v>
          </cell>
        </row>
        <row r="110">
          <cell r="G110" t="str">
            <v>GT-2783</v>
          </cell>
          <cell r="H110" t="str">
            <v>QSR3707</v>
          </cell>
          <cell r="I110" t="str">
            <v>NUAZANI</v>
          </cell>
          <cell r="J110">
            <v>18</v>
          </cell>
          <cell r="K110">
            <v>45650</v>
          </cell>
          <cell r="L110">
            <v>25160</v>
          </cell>
          <cell r="M110">
            <v>0</v>
          </cell>
          <cell r="N110">
            <v>3.89</v>
          </cell>
          <cell r="O110">
            <v>316</v>
          </cell>
          <cell r="Q110">
            <v>20.490000000000002</v>
          </cell>
        </row>
        <row r="111">
          <cell r="I111" t="str">
            <v>DARSO</v>
          </cell>
          <cell r="J111">
            <v>21</v>
          </cell>
          <cell r="N111">
            <v>7.51</v>
          </cell>
          <cell r="O111">
            <v>608</v>
          </cell>
        </row>
        <row r="112">
          <cell r="I112" t="str">
            <v>WENDELINUS</v>
          </cell>
          <cell r="J112">
            <v>28</v>
          </cell>
          <cell r="N112">
            <v>5.08</v>
          </cell>
          <cell r="O112">
            <v>427</v>
          </cell>
        </row>
        <row r="113">
          <cell r="I113" t="str">
            <v>ERDI</v>
          </cell>
          <cell r="J113">
            <v>2</v>
          </cell>
          <cell r="N113">
            <v>4.01</v>
          </cell>
          <cell r="O113">
            <v>313</v>
          </cell>
        </row>
        <row r="114">
          <cell r="G114" t="str">
            <v>GT-2770</v>
          </cell>
          <cell r="H114" t="str">
            <v>QSR3707</v>
          </cell>
          <cell r="I114" t="str">
            <v>DARSO</v>
          </cell>
          <cell r="J114">
            <v>20</v>
          </cell>
          <cell r="K114">
            <v>44950</v>
          </cell>
          <cell r="L114">
            <v>25200</v>
          </cell>
          <cell r="M114">
            <v>0</v>
          </cell>
          <cell r="N114">
            <v>7.11</v>
          </cell>
          <cell r="O114">
            <v>566</v>
          </cell>
          <cell r="Q114">
            <v>19.75</v>
          </cell>
        </row>
        <row r="115">
          <cell r="I115" t="str">
            <v>NUAZANI</v>
          </cell>
          <cell r="J115">
            <v>18</v>
          </cell>
          <cell r="N115">
            <v>4.25</v>
          </cell>
          <cell r="O115">
            <v>320</v>
          </cell>
        </row>
        <row r="116">
          <cell r="I116" t="str">
            <v>FERDINADUS</v>
          </cell>
          <cell r="J116">
            <v>6</v>
          </cell>
          <cell r="N116">
            <v>8.39</v>
          </cell>
          <cell r="O116">
            <v>601</v>
          </cell>
        </row>
        <row r="117">
          <cell r="G117" t="str">
            <v>GT-2808</v>
          </cell>
          <cell r="H117" t="str">
            <v>QSR3707</v>
          </cell>
          <cell r="I117" t="str">
            <v>FERDINADUS</v>
          </cell>
          <cell r="J117">
            <v>5</v>
          </cell>
          <cell r="K117">
            <v>45150</v>
          </cell>
          <cell r="L117">
            <v>25100</v>
          </cell>
          <cell r="M117">
            <v>0</v>
          </cell>
          <cell r="N117">
            <v>3.67</v>
          </cell>
          <cell r="O117">
            <v>248</v>
          </cell>
          <cell r="Q117">
            <v>20.049999999999997</v>
          </cell>
          <cell r="R117">
            <v>59.45</v>
          </cell>
        </row>
        <row r="118">
          <cell r="I118" t="str">
            <v>WENDELINUS</v>
          </cell>
          <cell r="J118">
            <v>26</v>
          </cell>
          <cell r="N118">
            <v>4.42</v>
          </cell>
          <cell r="O118">
            <v>539</v>
          </cell>
        </row>
        <row r="119">
          <cell r="I119" t="str">
            <v>DARSO</v>
          </cell>
          <cell r="J119">
            <v>21</v>
          </cell>
          <cell r="N119">
            <v>3.95</v>
          </cell>
          <cell r="O119">
            <v>287</v>
          </cell>
        </row>
        <row r="120">
          <cell r="I120" t="str">
            <v>NUAZANI</v>
          </cell>
          <cell r="J120">
            <v>13</v>
          </cell>
          <cell r="N120">
            <v>8.01</v>
          </cell>
          <cell r="O120">
            <v>560</v>
          </cell>
        </row>
        <row r="121">
          <cell r="G121" t="str">
            <v>GT-2801</v>
          </cell>
          <cell r="H121" t="str">
            <v>QSR3707</v>
          </cell>
          <cell r="I121" t="str">
            <v>NUAZANI</v>
          </cell>
          <cell r="J121">
            <v>18</v>
          </cell>
          <cell r="K121">
            <v>44850</v>
          </cell>
          <cell r="L121">
            <v>25120</v>
          </cell>
          <cell r="M121">
            <v>0</v>
          </cell>
          <cell r="N121">
            <v>7.42</v>
          </cell>
          <cell r="O121">
            <v>504</v>
          </cell>
          <cell r="Q121">
            <v>19.73</v>
          </cell>
        </row>
        <row r="122">
          <cell r="I122" t="str">
            <v>DARSO</v>
          </cell>
          <cell r="J122">
            <v>21</v>
          </cell>
          <cell r="N122">
            <v>12.31</v>
          </cell>
          <cell r="O122">
            <v>877</v>
          </cell>
        </row>
        <row r="123">
          <cell r="G123" t="str">
            <v>GT-2795</v>
          </cell>
          <cell r="H123" t="str">
            <v>QSR3707</v>
          </cell>
          <cell r="I123" t="str">
            <v>ERDI</v>
          </cell>
          <cell r="J123">
            <v>2</v>
          </cell>
          <cell r="K123">
            <v>45620</v>
          </cell>
          <cell r="L123">
            <v>25230</v>
          </cell>
          <cell r="M123">
            <v>720</v>
          </cell>
          <cell r="N123">
            <v>7.55</v>
          </cell>
          <cell r="O123">
            <v>577</v>
          </cell>
          <cell r="Q123">
            <v>19.670000000000002</v>
          </cell>
        </row>
        <row r="124">
          <cell r="I124" t="str">
            <v>DARSO</v>
          </cell>
          <cell r="J124">
            <v>21</v>
          </cell>
          <cell r="N124">
            <v>4.25</v>
          </cell>
          <cell r="O124">
            <v>337</v>
          </cell>
        </row>
        <row r="125">
          <cell r="I125" t="str">
            <v>FERDINADUS</v>
          </cell>
          <cell r="J125">
            <v>6</v>
          </cell>
          <cell r="N125">
            <v>3.8</v>
          </cell>
          <cell r="O125">
            <v>280</v>
          </cell>
        </row>
        <row r="126">
          <cell r="I126" t="str">
            <v>FERDINADUS</v>
          </cell>
          <cell r="J126">
            <v>5</v>
          </cell>
          <cell r="N126">
            <v>4.07</v>
          </cell>
          <cell r="O126">
            <v>301</v>
          </cell>
        </row>
        <row r="127">
          <cell r="G127" t="str">
            <v>GT-2820</v>
          </cell>
          <cell r="H127" t="str">
            <v>QSR3707</v>
          </cell>
          <cell r="I127" t="str">
            <v>FERDINADUS</v>
          </cell>
          <cell r="J127">
            <v>5</v>
          </cell>
          <cell r="K127">
            <v>45850</v>
          </cell>
          <cell r="L127">
            <v>25100</v>
          </cell>
          <cell r="M127">
            <v>0</v>
          </cell>
          <cell r="N127">
            <v>16.420000000000002</v>
          </cell>
          <cell r="O127">
            <v>1140</v>
          </cell>
          <cell r="Q127">
            <v>20.75</v>
          </cell>
          <cell r="R127">
            <v>37.980000000000004</v>
          </cell>
        </row>
        <row r="128">
          <cell r="I128" t="str">
            <v>ERDI</v>
          </cell>
          <cell r="J128">
            <v>2</v>
          </cell>
          <cell r="N128">
            <v>4.33</v>
          </cell>
          <cell r="O128">
            <v>315</v>
          </cell>
        </row>
        <row r="129">
          <cell r="G129" t="str">
            <v>GT-2813</v>
          </cell>
          <cell r="H129" t="str">
            <v>QSR3707</v>
          </cell>
          <cell r="I129" t="str">
            <v>WENDELINUS</v>
          </cell>
          <cell r="J129">
            <v>26</v>
          </cell>
          <cell r="K129">
            <v>43460</v>
          </cell>
          <cell r="L129">
            <v>25200</v>
          </cell>
          <cell r="M129">
            <v>1030</v>
          </cell>
          <cell r="N129">
            <v>6.15</v>
          </cell>
          <cell r="O129">
            <v>818</v>
          </cell>
          <cell r="Q129">
            <v>17.23</v>
          </cell>
        </row>
        <row r="130">
          <cell r="I130" t="str">
            <v>DARSO</v>
          </cell>
          <cell r="J130">
            <v>21</v>
          </cell>
          <cell r="N130">
            <v>6.83</v>
          </cell>
          <cell r="O130">
            <v>540</v>
          </cell>
        </row>
        <row r="131">
          <cell r="I131" t="str">
            <v>FERDINADUS</v>
          </cell>
          <cell r="J131">
            <v>5</v>
          </cell>
          <cell r="N131">
            <v>4.25</v>
          </cell>
          <cell r="O131">
            <v>312</v>
          </cell>
        </row>
        <row r="132">
          <cell r="G132" t="str">
            <v>GT-2826</v>
          </cell>
          <cell r="H132" t="str">
            <v>QSR3707</v>
          </cell>
          <cell r="I132" t="str">
            <v>FERDINADUS</v>
          </cell>
          <cell r="J132">
            <v>5</v>
          </cell>
          <cell r="K132">
            <v>45150</v>
          </cell>
          <cell r="L132">
            <v>25180</v>
          </cell>
          <cell r="M132">
            <v>0</v>
          </cell>
          <cell r="N132">
            <v>12.74</v>
          </cell>
          <cell r="O132">
            <v>859</v>
          </cell>
          <cell r="Q132">
            <v>19.97</v>
          </cell>
          <cell r="R132">
            <v>38.82</v>
          </cell>
        </row>
        <row r="133">
          <cell r="I133" t="str">
            <v>DARSO</v>
          </cell>
          <cell r="J133">
            <v>22</v>
          </cell>
          <cell r="N133">
            <v>3.96</v>
          </cell>
          <cell r="O133">
            <v>284</v>
          </cell>
        </row>
        <row r="134">
          <cell r="I134" t="str">
            <v>NUAZANI</v>
          </cell>
          <cell r="J134">
            <v>13</v>
          </cell>
          <cell r="N134">
            <v>3.27</v>
          </cell>
          <cell r="O134">
            <v>235</v>
          </cell>
        </row>
        <row r="135">
          <cell r="G135" t="str">
            <v>GT-2832</v>
          </cell>
          <cell r="H135" t="str">
            <v>QSR3707</v>
          </cell>
          <cell r="I135" t="str">
            <v>DARSO</v>
          </cell>
          <cell r="J135">
            <v>22</v>
          </cell>
          <cell r="K135">
            <v>44050</v>
          </cell>
          <cell r="L135">
            <v>25200</v>
          </cell>
          <cell r="M135">
            <v>0</v>
          </cell>
          <cell r="N135">
            <v>14.7</v>
          </cell>
          <cell r="O135">
            <v>1091</v>
          </cell>
          <cell r="Q135">
            <v>18.850000000000001</v>
          </cell>
        </row>
        <row r="136">
          <cell r="I136" t="str">
            <v>FERDINADUS</v>
          </cell>
          <cell r="J136">
            <v>5</v>
          </cell>
          <cell r="N136">
            <v>4.1500000000000004</v>
          </cell>
          <cell r="O136">
            <v>288</v>
          </cell>
        </row>
        <row r="137">
          <cell r="G137" t="str">
            <v>GT-2844</v>
          </cell>
          <cell r="H137" t="str">
            <v>QAY1415</v>
          </cell>
          <cell r="I137" t="str">
            <v>DARSO</v>
          </cell>
          <cell r="J137">
            <v>22</v>
          </cell>
          <cell r="K137">
            <v>19960</v>
          </cell>
          <cell r="L137">
            <v>12220</v>
          </cell>
          <cell r="M137">
            <v>0</v>
          </cell>
          <cell r="N137">
            <v>3.71</v>
          </cell>
          <cell r="O137">
            <v>254</v>
          </cell>
          <cell r="Q137">
            <v>7.74</v>
          </cell>
          <cell r="R137">
            <v>50.900000000000006</v>
          </cell>
        </row>
        <row r="138">
          <cell r="I138" t="str">
            <v>DARSO</v>
          </cell>
          <cell r="J138">
            <v>17</v>
          </cell>
          <cell r="N138">
            <v>4.03</v>
          </cell>
          <cell r="O138">
            <v>277</v>
          </cell>
        </row>
        <row r="139">
          <cell r="G139" t="str">
            <v>GT-1250</v>
          </cell>
          <cell r="H139" t="str">
            <v>QSR3707</v>
          </cell>
          <cell r="I139" t="str">
            <v>ERDI</v>
          </cell>
          <cell r="J139">
            <v>11</v>
          </cell>
          <cell r="K139">
            <v>44400</v>
          </cell>
          <cell r="L139">
            <v>25160</v>
          </cell>
          <cell r="M139">
            <v>0</v>
          </cell>
          <cell r="N139">
            <v>4.42</v>
          </cell>
          <cell r="O139">
            <v>316</v>
          </cell>
          <cell r="Q139">
            <v>19.240000000000002</v>
          </cell>
        </row>
        <row r="140">
          <cell r="I140" t="str">
            <v>FERDINADUS</v>
          </cell>
          <cell r="J140">
            <v>5</v>
          </cell>
          <cell r="N140">
            <v>8.93</v>
          </cell>
          <cell r="O140">
            <v>592</v>
          </cell>
        </row>
        <row r="141">
          <cell r="I141" t="str">
            <v>WENDELINUS</v>
          </cell>
          <cell r="J141">
            <v>29</v>
          </cell>
          <cell r="N141">
            <v>1.41</v>
          </cell>
          <cell r="O141">
            <v>212</v>
          </cell>
        </row>
        <row r="142">
          <cell r="I142" t="str">
            <v>NUAZANI</v>
          </cell>
          <cell r="J142">
            <v>13</v>
          </cell>
          <cell r="N142">
            <v>4.4800000000000004</v>
          </cell>
          <cell r="O142">
            <v>300</v>
          </cell>
        </row>
        <row r="143">
          <cell r="G143" t="str">
            <v>GT-2853</v>
          </cell>
          <cell r="H143" t="str">
            <v>QAY1415</v>
          </cell>
          <cell r="I143" t="str">
            <v>DARSO</v>
          </cell>
          <cell r="J143">
            <v>17</v>
          </cell>
          <cell r="K143">
            <v>19260</v>
          </cell>
          <cell r="L143">
            <v>12200</v>
          </cell>
          <cell r="M143">
            <v>0</v>
          </cell>
          <cell r="N143">
            <v>3.33</v>
          </cell>
          <cell r="O143">
            <v>243</v>
          </cell>
          <cell r="Q143">
            <v>7.0600000000000005</v>
          </cell>
        </row>
        <row r="144">
          <cell r="I144" t="str">
            <v>FERDINADUS</v>
          </cell>
          <cell r="J144">
            <v>5</v>
          </cell>
          <cell r="N144">
            <v>3.73</v>
          </cell>
          <cell r="O144">
            <v>253</v>
          </cell>
        </row>
        <row r="145">
          <cell r="G145" t="str">
            <v>GT-2847</v>
          </cell>
          <cell r="H145" t="str">
            <v>QSR3707</v>
          </cell>
          <cell r="I145" t="str">
            <v>DARSO</v>
          </cell>
          <cell r="J145">
            <v>17</v>
          </cell>
          <cell r="K145">
            <v>42000</v>
          </cell>
          <cell r="L145">
            <v>25140</v>
          </cell>
          <cell r="M145">
            <v>0</v>
          </cell>
          <cell r="N145">
            <v>3.07</v>
          </cell>
          <cell r="O145">
            <v>218</v>
          </cell>
          <cell r="Q145">
            <v>16.86</v>
          </cell>
        </row>
        <row r="146">
          <cell r="I146" t="str">
            <v>NUAZANI</v>
          </cell>
          <cell r="J146">
            <v>13</v>
          </cell>
          <cell r="N146">
            <v>13.79</v>
          </cell>
          <cell r="O146">
            <v>973</v>
          </cell>
        </row>
        <row r="147">
          <cell r="G147" t="str">
            <v>GT-2862</v>
          </cell>
          <cell r="H147" t="str">
            <v>QAY1415</v>
          </cell>
          <cell r="I147" t="str">
            <v>DARSO</v>
          </cell>
          <cell r="J147">
            <v>17</v>
          </cell>
          <cell r="K147">
            <v>20600</v>
          </cell>
          <cell r="L147">
            <v>12180</v>
          </cell>
          <cell r="M147">
            <v>0</v>
          </cell>
          <cell r="N147">
            <v>4.1399999999999997</v>
          </cell>
          <cell r="O147">
            <v>299</v>
          </cell>
          <cell r="Q147">
            <v>8.42</v>
          </cell>
          <cell r="R147">
            <v>49.65</v>
          </cell>
        </row>
        <row r="148">
          <cell r="I148" t="str">
            <v>FERDINADUS</v>
          </cell>
          <cell r="J148">
            <v>7</v>
          </cell>
          <cell r="N148">
            <v>4.28</v>
          </cell>
          <cell r="O148">
            <v>287</v>
          </cell>
        </row>
        <row r="149">
          <cell r="G149" t="str">
            <v>GT-2856</v>
          </cell>
          <cell r="H149" t="str">
            <v>QSR3707</v>
          </cell>
          <cell r="I149" t="str">
            <v>FERDINADUS</v>
          </cell>
          <cell r="J149">
            <v>7</v>
          </cell>
          <cell r="K149">
            <v>46750</v>
          </cell>
          <cell r="L149">
            <v>25120</v>
          </cell>
          <cell r="M149">
            <v>0</v>
          </cell>
          <cell r="N149">
            <v>8.59</v>
          </cell>
          <cell r="O149">
            <v>537</v>
          </cell>
          <cell r="Q149">
            <v>21.63</v>
          </cell>
        </row>
        <row r="150">
          <cell r="I150" t="str">
            <v>WENDELINUS</v>
          </cell>
          <cell r="J150">
            <v>27</v>
          </cell>
          <cell r="N150">
            <v>3.08</v>
          </cell>
          <cell r="O150">
            <v>403</v>
          </cell>
        </row>
        <row r="151">
          <cell r="I151" t="str">
            <v>FERDINADUS</v>
          </cell>
          <cell r="J151">
            <v>5</v>
          </cell>
          <cell r="N151">
            <v>7.87</v>
          </cell>
          <cell r="O151">
            <v>537</v>
          </cell>
        </row>
        <row r="152">
          <cell r="I152" t="str">
            <v>WENDELINUS</v>
          </cell>
          <cell r="J152">
            <v>29</v>
          </cell>
          <cell r="N152">
            <v>2.09</v>
          </cell>
          <cell r="O152">
            <v>305</v>
          </cell>
        </row>
        <row r="153">
          <cell r="G153" t="str">
            <v>GT-2866</v>
          </cell>
          <cell r="H153" t="str">
            <v>QSR3707</v>
          </cell>
          <cell r="I153" t="str">
            <v>NUAZANI</v>
          </cell>
          <cell r="J153">
            <v>8</v>
          </cell>
          <cell r="K153">
            <v>44700</v>
          </cell>
          <cell r="L153">
            <v>25100</v>
          </cell>
          <cell r="M153">
            <v>0</v>
          </cell>
          <cell r="N153">
            <v>8.1199999999999992</v>
          </cell>
          <cell r="O153">
            <v>585</v>
          </cell>
          <cell r="Q153">
            <v>19.600000000000001</v>
          </cell>
        </row>
        <row r="154">
          <cell r="I154" t="str">
            <v>DARSO</v>
          </cell>
          <cell r="J154">
            <v>17</v>
          </cell>
          <cell r="N154">
            <v>7.23</v>
          </cell>
          <cell r="O154">
            <v>544</v>
          </cell>
        </row>
        <row r="155">
          <cell r="I155" t="str">
            <v>ERDI</v>
          </cell>
          <cell r="J155">
            <v>11</v>
          </cell>
          <cell r="N155">
            <v>4.25</v>
          </cell>
          <cell r="O155">
            <v>311</v>
          </cell>
        </row>
        <row r="156">
          <cell r="G156" t="str">
            <v>GT-2871</v>
          </cell>
          <cell r="H156" t="str">
            <v>QAY1415</v>
          </cell>
          <cell r="I156" t="str">
            <v>NUAZANI</v>
          </cell>
          <cell r="J156">
            <v>8</v>
          </cell>
          <cell r="K156">
            <v>19840</v>
          </cell>
          <cell r="L156">
            <v>12180</v>
          </cell>
          <cell r="M156">
            <v>0</v>
          </cell>
          <cell r="N156">
            <v>3.9</v>
          </cell>
          <cell r="O156">
            <v>313</v>
          </cell>
          <cell r="Q156">
            <v>7.66</v>
          </cell>
          <cell r="R156">
            <v>92.93</v>
          </cell>
        </row>
        <row r="157">
          <cell r="I157" t="str">
            <v>DARSO</v>
          </cell>
          <cell r="J157">
            <v>17</v>
          </cell>
          <cell r="N157">
            <v>3.76</v>
          </cell>
          <cell r="O157">
            <v>297</v>
          </cell>
        </row>
        <row r="158">
          <cell r="G158" t="str">
            <v>GT-2890</v>
          </cell>
          <cell r="H158" t="str">
            <v>QAY1415</v>
          </cell>
          <cell r="I158" t="str">
            <v>NUAZANI</v>
          </cell>
          <cell r="J158">
            <v>8</v>
          </cell>
          <cell r="K158">
            <v>20040</v>
          </cell>
          <cell r="L158">
            <v>12180</v>
          </cell>
          <cell r="M158">
            <v>0</v>
          </cell>
          <cell r="N158">
            <v>4.1500000000000004</v>
          </cell>
          <cell r="O158">
            <v>292</v>
          </cell>
          <cell r="Q158">
            <v>7.86</v>
          </cell>
        </row>
        <row r="159">
          <cell r="I159" t="str">
            <v>FERDINADUS</v>
          </cell>
          <cell r="J159">
            <v>4</v>
          </cell>
          <cell r="N159">
            <v>3.71</v>
          </cell>
          <cell r="O159">
            <v>202</v>
          </cell>
        </row>
        <row r="160">
          <cell r="G160" t="str">
            <v>GT-2881</v>
          </cell>
          <cell r="H160" t="str">
            <v>QAY1415</v>
          </cell>
          <cell r="I160" t="str">
            <v>FERDINADUS</v>
          </cell>
          <cell r="J160">
            <v>4</v>
          </cell>
          <cell r="K160">
            <v>19540</v>
          </cell>
          <cell r="L160">
            <v>12160</v>
          </cell>
          <cell r="M160">
            <v>0</v>
          </cell>
          <cell r="N160">
            <v>3.46</v>
          </cell>
          <cell r="O160">
            <v>203</v>
          </cell>
          <cell r="Q160">
            <v>7.38</v>
          </cell>
        </row>
        <row r="161">
          <cell r="I161" t="str">
            <v>NUAZANI</v>
          </cell>
          <cell r="J161">
            <v>8</v>
          </cell>
          <cell r="N161">
            <v>3.92</v>
          </cell>
          <cell r="O161">
            <v>289</v>
          </cell>
        </row>
        <row r="162">
          <cell r="G162" t="str">
            <v>GT-2900</v>
          </cell>
          <cell r="H162" t="str">
            <v>QAY1415</v>
          </cell>
          <cell r="I162" t="str">
            <v>WENDELINUS</v>
          </cell>
          <cell r="J162">
            <v>27</v>
          </cell>
          <cell r="K162">
            <v>19460</v>
          </cell>
          <cell r="L162">
            <v>12140</v>
          </cell>
          <cell r="M162">
            <v>0</v>
          </cell>
          <cell r="N162">
            <v>3.75</v>
          </cell>
          <cell r="O162">
            <v>506</v>
          </cell>
          <cell r="Q162">
            <v>7.32</v>
          </cell>
        </row>
        <row r="163">
          <cell r="I163" t="str">
            <v>DARSO</v>
          </cell>
          <cell r="J163">
            <v>16</v>
          </cell>
          <cell r="N163">
            <v>3.57</v>
          </cell>
          <cell r="O163">
            <v>258</v>
          </cell>
        </row>
        <row r="164">
          <cell r="G164" t="str">
            <v>GT-2875</v>
          </cell>
          <cell r="H164" t="str">
            <v>QSR3707</v>
          </cell>
          <cell r="I164" t="str">
            <v>DARSO</v>
          </cell>
          <cell r="J164">
            <v>16</v>
          </cell>
          <cell r="K164">
            <v>46950</v>
          </cell>
          <cell r="L164">
            <v>25160</v>
          </cell>
          <cell r="M164">
            <v>0</v>
          </cell>
          <cell r="N164">
            <v>3.95</v>
          </cell>
          <cell r="O164">
            <v>292</v>
          </cell>
          <cell r="Q164">
            <v>21.79</v>
          </cell>
        </row>
        <row r="165">
          <cell r="I165" t="str">
            <v>FERDINADUS</v>
          </cell>
          <cell r="J165">
            <v>7</v>
          </cell>
          <cell r="N165">
            <v>13.41</v>
          </cell>
          <cell r="O165">
            <v>917</v>
          </cell>
        </row>
        <row r="166">
          <cell r="I166" t="str">
            <v>MIKHAEL</v>
          </cell>
          <cell r="J166">
            <v>3</v>
          </cell>
          <cell r="N166">
            <v>4.43</v>
          </cell>
          <cell r="O166">
            <v>315</v>
          </cell>
        </row>
        <row r="167">
          <cell r="G167" t="str">
            <v>GT-2884</v>
          </cell>
          <cell r="H167" t="str">
            <v>QSR3707</v>
          </cell>
          <cell r="I167" t="str">
            <v>NUAZANI</v>
          </cell>
          <cell r="J167">
            <v>8</v>
          </cell>
          <cell r="K167">
            <v>44250</v>
          </cell>
          <cell r="L167">
            <v>25140</v>
          </cell>
          <cell r="M167">
            <v>0</v>
          </cell>
          <cell r="N167">
            <v>3.32</v>
          </cell>
          <cell r="O167">
            <v>231</v>
          </cell>
          <cell r="Q167">
            <v>19.11</v>
          </cell>
        </row>
        <row r="168">
          <cell r="I168" t="str">
            <v>DARSO</v>
          </cell>
          <cell r="J168">
            <v>16</v>
          </cell>
          <cell r="N168">
            <v>13.03</v>
          </cell>
          <cell r="O168">
            <v>943</v>
          </cell>
        </row>
        <row r="169">
          <cell r="I169" t="str">
            <v>ERDI</v>
          </cell>
          <cell r="J169">
            <v>11</v>
          </cell>
          <cell r="N169">
            <v>2.76</v>
          </cell>
          <cell r="O169">
            <v>195</v>
          </cell>
        </row>
        <row r="170">
          <cell r="G170" t="str">
            <v>GT-2893</v>
          </cell>
          <cell r="H170" t="str">
            <v>QSR3707</v>
          </cell>
          <cell r="I170" t="str">
            <v>MIKHAEL</v>
          </cell>
          <cell r="J170">
            <v>3</v>
          </cell>
          <cell r="K170">
            <v>46950</v>
          </cell>
          <cell r="L170">
            <v>25140</v>
          </cell>
          <cell r="M170">
            <v>0</v>
          </cell>
          <cell r="N170">
            <v>8.67</v>
          </cell>
          <cell r="O170">
            <v>638</v>
          </cell>
          <cell r="Q170">
            <v>21.81</v>
          </cell>
        </row>
        <row r="171">
          <cell r="I171" t="str">
            <v>FERDINADUS</v>
          </cell>
          <cell r="J171">
            <v>4</v>
          </cell>
          <cell r="N171">
            <v>7.81</v>
          </cell>
          <cell r="O171">
            <v>448</v>
          </cell>
        </row>
        <row r="172">
          <cell r="I172" t="str">
            <v>NUAZANI</v>
          </cell>
          <cell r="J172">
            <v>9</v>
          </cell>
          <cell r="N172">
            <v>3.11</v>
          </cell>
          <cell r="O172">
            <v>211</v>
          </cell>
        </row>
        <row r="173">
          <cell r="I173" t="str">
            <v>ERDI</v>
          </cell>
          <cell r="J173">
            <v>11</v>
          </cell>
          <cell r="N173">
            <v>2.2200000000000002</v>
          </cell>
          <cell r="O173">
            <v>150</v>
          </cell>
        </row>
        <row r="174">
          <cell r="G174" t="str">
            <v>GT-2916</v>
          </cell>
          <cell r="H174" t="str">
            <v>QAY1415</v>
          </cell>
          <cell r="I174" t="str">
            <v>WENDELINUS</v>
          </cell>
          <cell r="J174">
            <v>25</v>
          </cell>
          <cell r="K174">
            <v>19040</v>
          </cell>
          <cell r="L174">
            <v>12240</v>
          </cell>
          <cell r="M174">
            <v>0</v>
          </cell>
          <cell r="N174">
            <v>3.32</v>
          </cell>
          <cell r="O174">
            <v>420</v>
          </cell>
          <cell r="Q174">
            <v>6.8</v>
          </cell>
          <cell r="R174">
            <v>47.33</v>
          </cell>
        </row>
        <row r="175">
          <cell r="I175" t="str">
            <v>NUAZANI</v>
          </cell>
          <cell r="J175">
            <v>9</v>
          </cell>
          <cell r="N175">
            <v>3.48</v>
          </cell>
          <cell r="O175">
            <v>259</v>
          </cell>
        </row>
        <row r="176">
          <cell r="G176" t="str">
            <v>GT-2910</v>
          </cell>
          <cell r="H176" t="str">
            <v>QSR3707</v>
          </cell>
          <cell r="I176" t="str">
            <v>DARSO</v>
          </cell>
          <cell r="J176">
            <v>15</v>
          </cell>
          <cell r="K176">
            <v>44250</v>
          </cell>
          <cell r="L176">
            <v>25100</v>
          </cell>
          <cell r="M176">
            <v>0</v>
          </cell>
          <cell r="N176">
            <v>10.45</v>
          </cell>
          <cell r="O176">
            <v>761</v>
          </cell>
          <cell r="Q176">
            <v>19.149999999999999</v>
          </cell>
        </row>
        <row r="177">
          <cell r="I177" t="str">
            <v>FERDINADUS</v>
          </cell>
          <cell r="J177">
            <v>4</v>
          </cell>
          <cell r="N177">
            <v>8.6999999999999993</v>
          </cell>
          <cell r="O177">
            <v>592</v>
          </cell>
        </row>
        <row r="178">
          <cell r="G178" t="str">
            <v>GT-2903</v>
          </cell>
          <cell r="H178" t="str">
            <v>QSR3707</v>
          </cell>
          <cell r="I178" t="str">
            <v>ERDI</v>
          </cell>
          <cell r="J178">
            <v>2</v>
          </cell>
          <cell r="K178">
            <v>46500</v>
          </cell>
          <cell r="L178">
            <v>25120</v>
          </cell>
          <cell r="M178">
            <v>0</v>
          </cell>
          <cell r="N178">
            <v>2.96</v>
          </cell>
          <cell r="O178">
            <v>234</v>
          </cell>
          <cell r="Q178">
            <v>21.38</v>
          </cell>
        </row>
        <row r="179">
          <cell r="I179" t="str">
            <v>FERDINADUS</v>
          </cell>
          <cell r="J179">
            <v>4</v>
          </cell>
          <cell r="N179">
            <v>3.1</v>
          </cell>
          <cell r="O179">
            <v>225</v>
          </cell>
        </row>
        <row r="180">
          <cell r="I180" t="str">
            <v>WENDELINUS</v>
          </cell>
          <cell r="J180">
            <v>25</v>
          </cell>
          <cell r="N180">
            <v>3.74</v>
          </cell>
          <cell r="O180">
            <v>534</v>
          </cell>
        </row>
        <row r="181">
          <cell r="I181" t="str">
            <v>NUAZANI</v>
          </cell>
          <cell r="J181">
            <v>9</v>
          </cell>
          <cell r="N181">
            <v>3.76</v>
          </cell>
          <cell r="O181">
            <v>285</v>
          </cell>
        </row>
        <row r="182">
          <cell r="I182" t="str">
            <v>DARSO</v>
          </cell>
          <cell r="J182">
            <v>15</v>
          </cell>
          <cell r="N182">
            <v>3.96</v>
          </cell>
          <cell r="O182">
            <v>303</v>
          </cell>
        </row>
        <row r="183">
          <cell r="I183" t="str">
            <v>MIKHAEL</v>
          </cell>
          <cell r="J183">
            <v>3</v>
          </cell>
          <cell r="N183">
            <v>3.86</v>
          </cell>
          <cell r="O183">
            <v>251</v>
          </cell>
        </row>
        <row r="184">
          <cell r="G184" t="str">
            <v>GT-2929</v>
          </cell>
          <cell r="H184" t="str">
            <v>QAY1415</v>
          </cell>
          <cell r="I184" t="str">
            <v>ERDI</v>
          </cell>
          <cell r="J184">
            <v>2</v>
          </cell>
          <cell r="K184">
            <v>19920</v>
          </cell>
          <cell r="L184">
            <v>12220</v>
          </cell>
          <cell r="M184">
            <v>0</v>
          </cell>
          <cell r="N184">
            <v>3.9</v>
          </cell>
          <cell r="O184">
            <v>281</v>
          </cell>
          <cell r="Q184">
            <v>7.6999999999999993</v>
          </cell>
          <cell r="R184">
            <v>63.8</v>
          </cell>
        </row>
        <row r="185">
          <cell r="I185" t="str">
            <v>DARSO</v>
          </cell>
          <cell r="J185">
            <v>19</v>
          </cell>
          <cell r="N185">
            <v>3.8</v>
          </cell>
          <cell r="O185">
            <v>286</v>
          </cell>
        </row>
        <row r="186">
          <cell r="G186" t="str">
            <v>GT-2932</v>
          </cell>
          <cell r="H186" t="str">
            <v>QAY1415</v>
          </cell>
          <cell r="I186" t="str">
            <v>NUAZANI</v>
          </cell>
          <cell r="J186">
            <v>12</v>
          </cell>
          <cell r="K186">
            <v>20140</v>
          </cell>
          <cell r="L186">
            <v>12220</v>
          </cell>
          <cell r="M186">
            <v>0</v>
          </cell>
          <cell r="N186">
            <v>3.72</v>
          </cell>
          <cell r="O186">
            <v>217</v>
          </cell>
          <cell r="Q186">
            <v>7.92</v>
          </cell>
        </row>
        <row r="187">
          <cell r="I187" t="str">
            <v>FERDINADUS</v>
          </cell>
          <cell r="J187">
            <v>4</v>
          </cell>
          <cell r="N187">
            <v>4.2</v>
          </cell>
          <cell r="O187">
            <v>273</v>
          </cell>
        </row>
        <row r="188">
          <cell r="G188" t="str">
            <v>GT-2919</v>
          </cell>
          <cell r="H188" t="str">
            <v>QAY1415</v>
          </cell>
          <cell r="I188" t="str">
            <v>NUAZANI</v>
          </cell>
          <cell r="J188">
            <v>9</v>
          </cell>
          <cell r="K188">
            <v>20100</v>
          </cell>
          <cell r="L188">
            <v>12220</v>
          </cell>
          <cell r="M188">
            <v>0</v>
          </cell>
          <cell r="N188">
            <v>3.18</v>
          </cell>
          <cell r="O188">
            <v>250</v>
          </cell>
          <cell r="Q188">
            <v>7.8800000000000008</v>
          </cell>
        </row>
        <row r="189">
          <cell r="I189" t="str">
            <v>MIKHAEL</v>
          </cell>
          <cell r="J189">
            <v>3</v>
          </cell>
          <cell r="N189">
            <v>2.1</v>
          </cell>
          <cell r="O189">
            <v>136</v>
          </cell>
        </row>
        <row r="190">
          <cell r="I190" t="str">
            <v>NUAZANI</v>
          </cell>
          <cell r="J190">
            <v>10</v>
          </cell>
          <cell r="N190">
            <v>2.6</v>
          </cell>
          <cell r="O190">
            <v>186</v>
          </cell>
        </row>
        <row r="191">
          <cell r="G191" t="str">
            <v>GT-2923</v>
          </cell>
          <cell r="H191" t="str">
            <v>QSR3707</v>
          </cell>
          <cell r="I191" t="str">
            <v>WENDELINUS</v>
          </cell>
          <cell r="J191">
            <v>25</v>
          </cell>
          <cell r="K191">
            <v>45150</v>
          </cell>
          <cell r="L191">
            <v>25100</v>
          </cell>
          <cell r="M191">
            <v>0</v>
          </cell>
          <cell r="N191">
            <v>7.58</v>
          </cell>
          <cell r="O191">
            <v>1037</v>
          </cell>
          <cell r="Q191">
            <v>20.049999999999997</v>
          </cell>
        </row>
        <row r="192">
          <cell r="I192" t="str">
            <v>FERDINADUS</v>
          </cell>
          <cell r="J192">
            <v>4</v>
          </cell>
          <cell r="N192">
            <v>4.34</v>
          </cell>
          <cell r="O192">
            <v>283</v>
          </cell>
        </row>
        <row r="193">
          <cell r="I193" t="str">
            <v>DARSO</v>
          </cell>
          <cell r="J193">
            <v>19</v>
          </cell>
          <cell r="N193">
            <v>4.1399999999999997</v>
          </cell>
          <cell r="O193">
            <v>299</v>
          </cell>
        </row>
        <row r="194">
          <cell r="I194" t="str">
            <v>NUAZANI</v>
          </cell>
          <cell r="J194">
            <v>10</v>
          </cell>
          <cell r="N194">
            <v>3.99</v>
          </cell>
          <cell r="O194">
            <v>282</v>
          </cell>
        </row>
        <row r="195">
          <cell r="G195" t="str">
            <v>GT-2935</v>
          </cell>
          <cell r="H195" t="str">
            <v>QSR3707</v>
          </cell>
          <cell r="I195" t="str">
            <v>DARSO</v>
          </cell>
          <cell r="J195">
            <v>19</v>
          </cell>
          <cell r="K195">
            <v>45350</v>
          </cell>
          <cell r="L195">
            <v>25100</v>
          </cell>
          <cell r="M195">
            <v>0</v>
          </cell>
          <cell r="N195">
            <v>8.0500000000000007</v>
          </cell>
          <cell r="O195">
            <v>600</v>
          </cell>
          <cell r="Q195">
            <v>20.25</v>
          </cell>
        </row>
        <row r="196">
          <cell r="I196" t="str">
            <v>NUAZANI</v>
          </cell>
          <cell r="J196">
            <v>10</v>
          </cell>
          <cell r="N196">
            <v>3.01</v>
          </cell>
          <cell r="O196">
            <v>273</v>
          </cell>
        </row>
        <row r="197">
          <cell r="I197" t="str">
            <v>MIKHAEL</v>
          </cell>
          <cell r="J197">
            <v>1</v>
          </cell>
          <cell r="N197">
            <v>4.87</v>
          </cell>
          <cell r="O197">
            <v>314</v>
          </cell>
        </row>
        <row r="198">
          <cell r="I198" t="str">
            <v>FERDINADUS</v>
          </cell>
          <cell r="J198">
            <v>4</v>
          </cell>
          <cell r="N198">
            <v>4.32</v>
          </cell>
          <cell r="O198">
            <v>281</v>
          </cell>
        </row>
        <row r="199">
          <cell r="G199" t="str">
            <v>GT-2948</v>
          </cell>
          <cell r="H199" t="str">
            <v>QSR3707</v>
          </cell>
          <cell r="I199" t="str">
            <v>DARSO</v>
          </cell>
          <cell r="J199">
            <v>19</v>
          </cell>
          <cell r="K199">
            <v>45800</v>
          </cell>
          <cell r="L199">
            <v>25180</v>
          </cell>
          <cell r="M199">
            <v>0</v>
          </cell>
          <cell r="N199">
            <v>4.17</v>
          </cell>
          <cell r="O199">
            <v>307</v>
          </cell>
          <cell r="Q199">
            <v>20.619999999999997</v>
          </cell>
          <cell r="R199">
            <v>60.64</v>
          </cell>
        </row>
        <row r="200">
          <cell r="I200" t="str">
            <v>DARSO</v>
          </cell>
          <cell r="J200">
            <v>20</v>
          </cell>
          <cell r="N200">
            <v>9.02</v>
          </cell>
          <cell r="O200">
            <v>687</v>
          </cell>
        </row>
        <row r="201">
          <cell r="I201" t="str">
            <v>NUAZANI</v>
          </cell>
          <cell r="J201">
            <v>12</v>
          </cell>
          <cell r="N201">
            <v>7.43</v>
          </cell>
          <cell r="O201">
            <v>528</v>
          </cell>
        </row>
        <row r="202">
          <cell r="G202" t="str">
            <v>GT-2956</v>
          </cell>
          <cell r="H202" t="str">
            <v>QSR3707</v>
          </cell>
          <cell r="I202" t="str">
            <v>DARSO</v>
          </cell>
          <cell r="J202">
            <v>20</v>
          </cell>
          <cell r="K202">
            <v>44700</v>
          </cell>
          <cell r="L202">
            <v>25160</v>
          </cell>
          <cell r="M202">
            <v>0</v>
          </cell>
          <cell r="N202">
            <v>3.7</v>
          </cell>
          <cell r="O202">
            <v>275</v>
          </cell>
          <cell r="Q202">
            <v>19.54</v>
          </cell>
        </row>
        <row r="203">
          <cell r="I203" t="str">
            <v>NUAZANI</v>
          </cell>
          <cell r="J203">
            <v>12</v>
          </cell>
          <cell r="N203">
            <v>4.24</v>
          </cell>
          <cell r="O203">
            <v>312</v>
          </cell>
        </row>
        <row r="204">
          <cell r="I204" t="str">
            <v>FERDINADUS</v>
          </cell>
          <cell r="J204">
            <v>24</v>
          </cell>
          <cell r="N204">
            <v>11.6</v>
          </cell>
          <cell r="O204">
            <v>807</v>
          </cell>
        </row>
        <row r="205">
          <cell r="G205" t="str">
            <v>GT-2941</v>
          </cell>
          <cell r="H205" t="str">
            <v>QSR3707</v>
          </cell>
          <cell r="I205" t="str">
            <v>ERDI</v>
          </cell>
          <cell r="J205">
            <v>2</v>
          </cell>
          <cell r="K205">
            <v>45700</v>
          </cell>
          <cell r="L205">
            <v>25220</v>
          </cell>
          <cell r="M205">
            <v>0</v>
          </cell>
          <cell r="N205">
            <v>5.27</v>
          </cell>
          <cell r="O205">
            <v>366</v>
          </cell>
          <cell r="Q205">
            <v>20.48</v>
          </cell>
        </row>
        <row r="206">
          <cell r="I206" t="str">
            <v>FERDINADUS</v>
          </cell>
          <cell r="J206">
            <v>4</v>
          </cell>
          <cell r="N206">
            <v>3.95</v>
          </cell>
          <cell r="O206">
            <v>261</v>
          </cell>
        </row>
        <row r="207">
          <cell r="I207" t="str">
            <v>MIKHAEL</v>
          </cell>
          <cell r="J207">
            <v>1</v>
          </cell>
          <cell r="N207">
            <v>4.92</v>
          </cell>
          <cell r="O207">
            <v>342</v>
          </cell>
        </row>
        <row r="208">
          <cell r="I208" t="str">
            <v>WENDELINUS</v>
          </cell>
          <cell r="J208">
            <v>33</v>
          </cell>
          <cell r="N208">
            <v>2.86</v>
          </cell>
          <cell r="O208">
            <v>302</v>
          </cell>
        </row>
        <row r="209">
          <cell r="I209" t="str">
            <v>NUAZANI</v>
          </cell>
          <cell r="J209">
            <v>12</v>
          </cell>
          <cell r="N209">
            <v>3.48</v>
          </cell>
          <cell r="O209">
            <v>248</v>
          </cell>
        </row>
        <row r="210">
          <cell r="G210" t="str">
            <v>GT-2962</v>
          </cell>
          <cell r="H210" t="str">
            <v>QSR3707</v>
          </cell>
          <cell r="I210" t="str">
            <v>MIKHAEL</v>
          </cell>
          <cell r="J210">
            <v>1</v>
          </cell>
          <cell r="K210">
            <v>45680</v>
          </cell>
          <cell r="L210">
            <v>25260</v>
          </cell>
          <cell r="M210">
            <v>0</v>
          </cell>
          <cell r="N210">
            <v>3</v>
          </cell>
          <cell r="O210">
            <v>291</v>
          </cell>
          <cell r="Q210">
            <v>19.599999999999998</v>
          </cell>
          <cell r="R210">
            <v>42.01</v>
          </cell>
        </row>
        <row r="211">
          <cell r="I211" t="str">
            <v>WENDELINUS</v>
          </cell>
          <cell r="J211">
            <v>33</v>
          </cell>
          <cell r="N211">
            <v>8.8699999999999992</v>
          </cell>
          <cell r="O211">
            <v>996</v>
          </cell>
        </row>
        <row r="212">
          <cell r="I212" t="str">
            <v>DARSO</v>
          </cell>
          <cell r="J212">
            <v>20</v>
          </cell>
          <cell r="N212">
            <v>4.05</v>
          </cell>
          <cell r="O212">
            <v>307</v>
          </cell>
        </row>
        <row r="213">
          <cell r="I213" t="str">
            <v>NUAZANI</v>
          </cell>
          <cell r="J213">
            <v>12</v>
          </cell>
          <cell r="N213">
            <v>3.68</v>
          </cell>
          <cell r="O213">
            <v>262</v>
          </cell>
        </row>
        <row r="214">
          <cell r="G214" t="str">
            <v>GT-2966</v>
          </cell>
          <cell r="H214" t="str">
            <v>QSR3707</v>
          </cell>
          <cell r="I214" t="str">
            <v>NUAZANI</v>
          </cell>
          <cell r="J214">
            <v>12</v>
          </cell>
          <cell r="K214">
            <v>47550</v>
          </cell>
          <cell r="L214">
            <v>25140</v>
          </cell>
          <cell r="M214">
            <v>0</v>
          </cell>
          <cell r="N214">
            <v>6.95</v>
          </cell>
          <cell r="O214">
            <v>515</v>
          </cell>
          <cell r="Q214">
            <v>22.41</v>
          </cell>
        </row>
        <row r="215">
          <cell r="I215" t="str">
            <v>DARSO</v>
          </cell>
          <cell r="J215">
            <v>20</v>
          </cell>
          <cell r="N215">
            <v>4.5599999999999996</v>
          </cell>
          <cell r="O215">
            <v>339</v>
          </cell>
        </row>
        <row r="216">
          <cell r="I216" t="str">
            <v>FERDINADUS</v>
          </cell>
          <cell r="J216">
            <v>24</v>
          </cell>
          <cell r="N216">
            <v>3.72</v>
          </cell>
          <cell r="O216">
            <v>270</v>
          </cell>
        </row>
        <row r="217">
          <cell r="I217" t="str">
            <v>DARSO</v>
          </cell>
          <cell r="J217">
            <v>21</v>
          </cell>
          <cell r="N217">
            <v>4.13</v>
          </cell>
          <cell r="O217">
            <v>309</v>
          </cell>
        </row>
        <row r="218">
          <cell r="I218" t="str">
            <v>WENDELINUS</v>
          </cell>
          <cell r="J218">
            <v>33</v>
          </cell>
          <cell r="N218">
            <v>3.05</v>
          </cell>
          <cell r="O218">
            <v>336</v>
          </cell>
        </row>
        <row r="219">
          <cell r="G219" t="str">
            <v>GT-2979</v>
          </cell>
          <cell r="H219" t="str">
            <v>QSR3707</v>
          </cell>
          <cell r="I219" t="str">
            <v>WENDELINUS</v>
          </cell>
          <cell r="J219">
            <v>33</v>
          </cell>
          <cell r="K219">
            <v>45900</v>
          </cell>
          <cell r="L219">
            <v>25120</v>
          </cell>
          <cell r="M219">
            <v>0</v>
          </cell>
          <cell r="N219">
            <v>4.7300000000000004</v>
          </cell>
          <cell r="O219">
            <v>497</v>
          </cell>
          <cell r="Q219">
            <v>20.78</v>
          </cell>
          <cell r="R219">
            <v>39.17</v>
          </cell>
        </row>
        <row r="220">
          <cell r="I220" t="str">
            <v>DARSO</v>
          </cell>
          <cell r="J220">
            <v>21</v>
          </cell>
          <cell r="N220">
            <v>11.84</v>
          </cell>
          <cell r="O220">
            <v>844</v>
          </cell>
        </row>
        <row r="221">
          <cell r="I221" t="str">
            <v>NUAZANI</v>
          </cell>
          <cell r="J221">
            <v>18</v>
          </cell>
          <cell r="N221">
            <v>4.21</v>
          </cell>
          <cell r="O221">
            <v>282</v>
          </cell>
        </row>
        <row r="222">
          <cell r="G222" t="str">
            <v>GT-2975</v>
          </cell>
          <cell r="H222" t="str">
            <v>QSR3707</v>
          </cell>
          <cell r="I222" t="str">
            <v>FERDINADUS</v>
          </cell>
          <cell r="J222">
            <v>24</v>
          </cell>
          <cell r="K222">
            <v>43550</v>
          </cell>
          <cell r="L222">
            <v>25160</v>
          </cell>
          <cell r="M222">
            <v>0</v>
          </cell>
          <cell r="N222">
            <v>3.82</v>
          </cell>
          <cell r="O222">
            <v>262</v>
          </cell>
          <cell r="Q222">
            <v>18.39</v>
          </cell>
        </row>
        <row r="223">
          <cell r="I223" t="str">
            <v>WENDELINUS</v>
          </cell>
          <cell r="J223">
            <v>33</v>
          </cell>
          <cell r="N223">
            <v>2.98</v>
          </cell>
          <cell r="O223">
            <v>310</v>
          </cell>
        </row>
        <row r="224">
          <cell r="I224" t="str">
            <v>DARSO</v>
          </cell>
          <cell r="J224">
            <v>21</v>
          </cell>
          <cell r="N224">
            <v>3.87</v>
          </cell>
          <cell r="O224">
            <v>273</v>
          </cell>
        </row>
        <row r="225">
          <cell r="I225" t="str">
            <v>MIKHAEL</v>
          </cell>
          <cell r="J225">
            <v>1</v>
          </cell>
          <cell r="N225">
            <v>7.72</v>
          </cell>
          <cell r="O225">
            <v>641</v>
          </cell>
        </row>
        <row r="226">
          <cell r="G226" t="str">
            <v>GT-3002</v>
          </cell>
          <cell r="H226" t="str">
            <v>QSR3707</v>
          </cell>
          <cell r="I226" t="str">
            <v>FERDINADUS</v>
          </cell>
          <cell r="J226">
            <v>6</v>
          </cell>
          <cell r="K226">
            <v>45520</v>
          </cell>
          <cell r="L226">
            <v>25180</v>
          </cell>
          <cell r="M226">
            <v>0</v>
          </cell>
          <cell r="N226">
            <v>9.4700000000000006</v>
          </cell>
          <cell r="O226">
            <v>641</v>
          </cell>
          <cell r="Q226">
            <v>20.34</v>
          </cell>
          <cell r="R226">
            <v>69.81</v>
          </cell>
        </row>
        <row r="227">
          <cell r="I227" t="str">
            <v>DARSO</v>
          </cell>
          <cell r="J227">
            <v>22</v>
          </cell>
          <cell r="N227">
            <v>4.26</v>
          </cell>
          <cell r="O227">
            <v>305</v>
          </cell>
        </row>
        <row r="228">
          <cell r="I228" t="str">
            <v>NUAZANI</v>
          </cell>
          <cell r="J228">
            <v>18</v>
          </cell>
          <cell r="N228">
            <v>3.38</v>
          </cell>
          <cell r="O228">
            <v>240</v>
          </cell>
        </row>
        <row r="229">
          <cell r="I229" t="str">
            <v>MIKHAEL</v>
          </cell>
          <cell r="J229">
            <v>1</v>
          </cell>
          <cell r="N229">
            <v>3.23</v>
          </cell>
          <cell r="O229">
            <v>208</v>
          </cell>
        </row>
        <row r="230">
          <cell r="G230" t="str">
            <v>GT-2990</v>
          </cell>
          <cell r="H230" t="str">
            <v>QAY1415</v>
          </cell>
          <cell r="I230" t="str">
            <v>NUAZANI</v>
          </cell>
          <cell r="J230">
            <v>18</v>
          </cell>
          <cell r="K230">
            <v>20240</v>
          </cell>
          <cell r="L230">
            <v>12120</v>
          </cell>
          <cell r="M230">
            <v>0</v>
          </cell>
          <cell r="N230">
            <v>3.44</v>
          </cell>
          <cell r="O230">
            <v>248</v>
          </cell>
          <cell r="Q230">
            <v>8.1199999999999992</v>
          </cell>
        </row>
        <row r="231">
          <cell r="I231" t="str">
            <v>MIKHAEL</v>
          </cell>
          <cell r="J231">
            <v>1</v>
          </cell>
          <cell r="N231">
            <v>4.68</v>
          </cell>
          <cell r="O231">
            <v>295</v>
          </cell>
        </row>
        <row r="232">
          <cell r="G232" t="str">
            <v>GT-2987</v>
          </cell>
          <cell r="H232" t="str">
            <v>QAY1415</v>
          </cell>
          <cell r="I232" t="str">
            <v>NUAZANI</v>
          </cell>
          <cell r="J232">
            <v>18</v>
          </cell>
          <cell r="K232">
            <v>22280</v>
          </cell>
          <cell r="L232">
            <v>12120</v>
          </cell>
          <cell r="M232">
            <v>0</v>
          </cell>
          <cell r="N232">
            <v>3.5</v>
          </cell>
          <cell r="O232">
            <v>247</v>
          </cell>
          <cell r="Q232">
            <v>10.16</v>
          </cell>
        </row>
        <row r="233">
          <cell r="I233" t="str">
            <v>DARSO</v>
          </cell>
          <cell r="J233">
            <v>21</v>
          </cell>
          <cell r="N233">
            <v>6.66</v>
          </cell>
          <cell r="O233">
            <v>490</v>
          </cell>
        </row>
        <row r="234">
          <cell r="G234" t="str">
            <v>GT-2994</v>
          </cell>
          <cell r="H234" t="str">
            <v>QAY1415</v>
          </cell>
          <cell r="I234" t="str">
            <v>WENDELINUS</v>
          </cell>
          <cell r="J234">
            <v>31</v>
          </cell>
          <cell r="K234">
            <v>23140</v>
          </cell>
          <cell r="L234">
            <v>12100</v>
          </cell>
          <cell r="M234">
            <v>0</v>
          </cell>
          <cell r="N234">
            <v>3.67</v>
          </cell>
          <cell r="O234">
            <v>657</v>
          </cell>
          <cell r="Q234">
            <v>11.04</v>
          </cell>
        </row>
        <row r="235">
          <cell r="I235" t="str">
            <v>NUAZANI</v>
          </cell>
          <cell r="J235">
            <v>18</v>
          </cell>
          <cell r="N235">
            <v>3</v>
          </cell>
          <cell r="O235">
            <v>192</v>
          </cell>
        </row>
        <row r="236">
          <cell r="I236" t="str">
            <v>FERDINADUS</v>
          </cell>
          <cell r="J236">
            <v>23</v>
          </cell>
          <cell r="N236">
            <v>4.37</v>
          </cell>
          <cell r="O236">
            <v>275</v>
          </cell>
        </row>
        <row r="237">
          <cell r="G237" t="str">
            <v>GT-2997</v>
          </cell>
          <cell r="H237" t="str">
            <v>QSR3707</v>
          </cell>
          <cell r="I237" t="str">
            <v>MIKHAEL</v>
          </cell>
          <cell r="J237">
            <v>1</v>
          </cell>
          <cell r="K237">
            <v>45250</v>
          </cell>
          <cell r="L237">
            <v>25100</v>
          </cell>
          <cell r="M237">
            <v>0</v>
          </cell>
          <cell r="N237">
            <v>3.85</v>
          </cell>
          <cell r="O237">
            <v>290</v>
          </cell>
          <cell r="Q237">
            <v>20.149999999999999</v>
          </cell>
        </row>
        <row r="238">
          <cell r="I238" t="str">
            <v>DARSO</v>
          </cell>
          <cell r="J238">
            <v>21</v>
          </cell>
          <cell r="N238">
            <v>8.2200000000000006</v>
          </cell>
          <cell r="O238">
            <v>645</v>
          </cell>
        </row>
        <row r="239">
          <cell r="I239" t="str">
            <v>FERDINADUS</v>
          </cell>
          <cell r="J239">
            <v>6</v>
          </cell>
          <cell r="N239">
            <v>4.66</v>
          </cell>
          <cell r="O239">
            <v>340</v>
          </cell>
        </row>
        <row r="240">
          <cell r="I240" t="str">
            <v>NUAZANI</v>
          </cell>
          <cell r="J240">
            <v>18</v>
          </cell>
          <cell r="N240">
            <v>3.42</v>
          </cell>
          <cell r="O240">
            <v>272</v>
          </cell>
        </row>
        <row r="241">
          <cell r="G241" t="str">
            <v>GT-3026</v>
          </cell>
          <cell r="H241" t="str">
            <v>QAY1415</v>
          </cell>
          <cell r="I241" t="str">
            <v>FERDINADUS</v>
          </cell>
          <cell r="J241">
            <v>5</v>
          </cell>
          <cell r="K241">
            <v>17440</v>
          </cell>
          <cell r="L241">
            <v>12200</v>
          </cell>
          <cell r="M241">
            <v>0</v>
          </cell>
          <cell r="N241">
            <v>2.82</v>
          </cell>
          <cell r="O241">
            <v>187</v>
          </cell>
          <cell r="Q241">
            <v>5.24</v>
          </cell>
          <cell r="R241">
            <v>55.629999999999995</v>
          </cell>
        </row>
        <row r="242">
          <cell r="I242" t="str">
            <v>NUAZANI</v>
          </cell>
          <cell r="J242">
            <v>13</v>
          </cell>
          <cell r="N242">
            <v>2.42</v>
          </cell>
          <cell r="O242">
            <v>158</v>
          </cell>
        </row>
        <row r="243">
          <cell r="G243" t="str">
            <v>GT-3022</v>
          </cell>
          <cell r="H243" t="str">
            <v>QAY1415</v>
          </cell>
          <cell r="I243" t="str">
            <v>FERDINADUS</v>
          </cell>
          <cell r="J243">
            <v>5</v>
          </cell>
          <cell r="K243">
            <v>19640</v>
          </cell>
          <cell r="L243">
            <v>12200</v>
          </cell>
          <cell r="M243">
            <v>0</v>
          </cell>
          <cell r="N243">
            <v>3.37</v>
          </cell>
          <cell r="O243">
            <v>225</v>
          </cell>
          <cell r="Q243">
            <v>7.44</v>
          </cell>
        </row>
        <row r="244">
          <cell r="I244" t="str">
            <v>DARSO</v>
          </cell>
          <cell r="J244">
            <v>17</v>
          </cell>
          <cell r="N244">
            <v>4.07</v>
          </cell>
          <cell r="O244">
            <v>353</v>
          </cell>
        </row>
        <row r="245">
          <cell r="G245" t="str">
            <v>GT-3011</v>
          </cell>
          <cell r="H245" t="str">
            <v>QSR3707</v>
          </cell>
          <cell r="I245" t="str">
            <v>DARSO</v>
          </cell>
          <cell r="J245">
            <v>22</v>
          </cell>
          <cell r="K245">
            <v>48150</v>
          </cell>
          <cell r="L245">
            <v>25200</v>
          </cell>
          <cell r="M245">
            <v>0</v>
          </cell>
          <cell r="N245">
            <v>7.56</v>
          </cell>
          <cell r="O245">
            <v>561</v>
          </cell>
          <cell r="Q245">
            <v>22.95</v>
          </cell>
        </row>
        <row r="246">
          <cell r="I246" t="str">
            <v>MIKHAEL</v>
          </cell>
          <cell r="J246">
            <v>1</v>
          </cell>
          <cell r="N246">
            <v>4.13</v>
          </cell>
          <cell r="O246">
            <v>315</v>
          </cell>
        </row>
        <row r="247">
          <cell r="I247" t="str">
            <v>FERDINADUS</v>
          </cell>
          <cell r="J247">
            <v>6</v>
          </cell>
          <cell r="N247">
            <v>4.54</v>
          </cell>
          <cell r="O247">
            <v>315</v>
          </cell>
        </row>
        <row r="248">
          <cell r="I248" t="str">
            <v>WENDELINUS</v>
          </cell>
          <cell r="J248">
            <v>31</v>
          </cell>
          <cell r="N248">
            <v>6.72</v>
          </cell>
          <cell r="O248">
            <v>1304</v>
          </cell>
        </row>
        <row r="249">
          <cell r="G249" t="str">
            <v>GT-3015</v>
          </cell>
          <cell r="H249" t="str">
            <v>QSR3707</v>
          </cell>
          <cell r="I249" t="str">
            <v>FERDINADUS</v>
          </cell>
          <cell r="J249">
            <v>6</v>
          </cell>
          <cell r="K249">
            <v>45200</v>
          </cell>
          <cell r="L249">
            <v>25200</v>
          </cell>
          <cell r="M249">
            <v>0</v>
          </cell>
          <cell r="N249">
            <v>2.74</v>
          </cell>
          <cell r="O249">
            <v>205</v>
          </cell>
          <cell r="Q249">
            <v>20</v>
          </cell>
        </row>
        <row r="250">
          <cell r="I250" t="str">
            <v>NUAZANI</v>
          </cell>
          <cell r="J250">
            <v>13</v>
          </cell>
          <cell r="N250">
            <v>7.15</v>
          </cell>
          <cell r="O250">
            <v>468</v>
          </cell>
        </row>
        <row r="251">
          <cell r="I251" t="str">
            <v>DARSO</v>
          </cell>
          <cell r="J251">
            <v>22</v>
          </cell>
          <cell r="N251">
            <v>7.37</v>
          </cell>
          <cell r="O251">
            <v>599</v>
          </cell>
        </row>
        <row r="252">
          <cell r="I252" t="str">
            <v>MIKHAEL</v>
          </cell>
          <cell r="J252">
            <v>1</v>
          </cell>
          <cell r="N252">
            <v>2.74</v>
          </cell>
          <cell r="O252">
            <v>285</v>
          </cell>
        </row>
        <row r="253">
          <cell r="G253" t="str">
            <v>GT-3029</v>
          </cell>
          <cell r="H253" t="str">
            <v>QSR3707</v>
          </cell>
          <cell r="I253" t="str">
            <v>WENDELINUS</v>
          </cell>
          <cell r="J253">
            <v>30</v>
          </cell>
          <cell r="K253">
            <v>47450</v>
          </cell>
          <cell r="L253">
            <v>25180</v>
          </cell>
          <cell r="M253">
            <v>0</v>
          </cell>
          <cell r="N253">
            <v>3.45</v>
          </cell>
          <cell r="O253">
            <v>712</v>
          </cell>
          <cell r="Q253">
            <v>22.27</v>
          </cell>
          <cell r="R253">
            <v>38.909999999999997</v>
          </cell>
        </row>
        <row r="254">
          <cell r="I254" t="str">
            <v>NUAZANI</v>
          </cell>
          <cell r="J254">
            <v>13</v>
          </cell>
          <cell r="N254">
            <v>7.3</v>
          </cell>
          <cell r="O254">
            <v>573</v>
          </cell>
        </row>
        <row r="255">
          <cell r="I255" t="str">
            <v>DARSO</v>
          </cell>
          <cell r="J255">
            <v>17</v>
          </cell>
          <cell r="N255">
            <v>11.52</v>
          </cell>
          <cell r="O255">
            <v>925</v>
          </cell>
        </row>
        <row r="256">
          <cell r="G256" t="str">
            <v>GT-3035</v>
          </cell>
          <cell r="H256" t="str">
            <v>QSR3707</v>
          </cell>
          <cell r="I256" t="str">
            <v>NUAZANI</v>
          </cell>
          <cell r="J256">
            <v>13</v>
          </cell>
          <cell r="K256">
            <v>41800</v>
          </cell>
          <cell r="L256">
            <v>25160</v>
          </cell>
          <cell r="M256">
            <v>0</v>
          </cell>
          <cell r="N256">
            <v>6.6</v>
          </cell>
          <cell r="O256">
            <v>515</v>
          </cell>
          <cell r="Q256">
            <v>16.64</v>
          </cell>
        </row>
        <row r="257">
          <cell r="I257" t="str">
            <v>DARSO</v>
          </cell>
          <cell r="J257">
            <v>17</v>
          </cell>
          <cell r="N257">
            <v>3.98</v>
          </cell>
          <cell r="O257">
            <v>317</v>
          </cell>
        </row>
        <row r="258">
          <cell r="I258" t="str">
            <v>FERDINADUS</v>
          </cell>
          <cell r="J258">
            <v>5</v>
          </cell>
          <cell r="N258">
            <v>2.81</v>
          </cell>
          <cell r="O258">
            <v>187</v>
          </cell>
        </row>
        <row r="259">
          <cell r="I259" t="str">
            <v>FERDINADUS</v>
          </cell>
          <cell r="J259">
            <v>7</v>
          </cell>
          <cell r="N259">
            <v>3.25</v>
          </cell>
          <cell r="O259">
            <v>219</v>
          </cell>
        </row>
        <row r="260">
          <cell r="G260" t="str">
            <v>GT-3047</v>
          </cell>
          <cell r="H260" t="str">
            <v>QSR3707</v>
          </cell>
          <cell r="I260" t="str">
            <v>MIKHAEL</v>
          </cell>
          <cell r="J260">
            <v>14</v>
          </cell>
          <cell r="K260">
            <v>45150</v>
          </cell>
          <cell r="L260">
            <v>25140</v>
          </cell>
          <cell r="M260">
            <v>0</v>
          </cell>
          <cell r="N260">
            <v>4.09</v>
          </cell>
          <cell r="O260">
            <v>305</v>
          </cell>
          <cell r="Q260">
            <v>20.009999999999998</v>
          </cell>
          <cell r="R260">
            <v>36.97</v>
          </cell>
        </row>
        <row r="261">
          <cell r="I261" t="str">
            <v>NUAZANI</v>
          </cell>
          <cell r="J261">
            <v>8</v>
          </cell>
          <cell r="N261">
            <v>7.77</v>
          </cell>
          <cell r="O261">
            <v>564</v>
          </cell>
        </row>
        <row r="262">
          <cell r="I262" t="str">
            <v>DARSO</v>
          </cell>
          <cell r="J262">
            <v>16</v>
          </cell>
          <cell r="N262">
            <v>8.15</v>
          </cell>
          <cell r="O262">
            <v>604</v>
          </cell>
        </row>
        <row r="263">
          <cell r="G263" t="str">
            <v>GT-3041</v>
          </cell>
          <cell r="H263" t="str">
            <v>QSR3707</v>
          </cell>
          <cell r="I263" t="str">
            <v>MIKHAEL</v>
          </cell>
          <cell r="J263">
            <v>14</v>
          </cell>
          <cell r="K263">
            <v>42100</v>
          </cell>
          <cell r="L263">
            <v>25140</v>
          </cell>
          <cell r="M263">
            <v>0</v>
          </cell>
          <cell r="N263">
            <v>3.71</v>
          </cell>
          <cell r="O263">
            <v>284</v>
          </cell>
          <cell r="Q263">
            <v>16.959999999999997</v>
          </cell>
        </row>
        <row r="264">
          <cell r="I264" t="str">
            <v>WENDELINUS</v>
          </cell>
          <cell r="J264">
            <v>30</v>
          </cell>
          <cell r="N264">
            <v>5.67</v>
          </cell>
          <cell r="O264">
            <v>1075</v>
          </cell>
        </row>
        <row r="265">
          <cell r="I265" t="str">
            <v>DARSO</v>
          </cell>
          <cell r="J265">
            <v>16</v>
          </cell>
          <cell r="N265">
            <v>4.38</v>
          </cell>
          <cell r="O265">
            <v>323</v>
          </cell>
        </row>
        <row r="266">
          <cell r="I266" t="str">
            <v>NUAZANI</v>
          </cell>
          <cell r="J266">
            <v>13</v>
          </cell>
          <cell r="N266">
            <v>3.2</v>
          </cell>
          <cell r="O266">
            <v>231</v>
          </cell>
        </row>
        <row r="267">
          <cell r="G267" t="str">
            <v>GT-3060</v>
          </cell>
          <cell r="H267" t="str">
            <v>QSR3707</v>
          </cell>
          <cell r="I267" t="str">
            <v>DARSO</v>
          </cell>
          <cell r="J267">
            <v>16</v>
          </cell>
          <cell r="K267">
            <v>42960</v>
          </cell>
          <cell r="L267">
            <v>25210</v>
          </cell>
          <cell r="M267">
            <v>0</v>
          </cell>
          <cell r="N267">
            <v>8.6300000000000008</v>
          </cell>
          <cell r="O267">
            <v>630</v>
          </cell>
          <cell r="Q267">
            <v>17.75</v>
          </cell>
          <cell r="R267">
            <v>36.58</v>
          </cell>
        </row>
        <row r="268">
          <cell r="I268" t="str">
            <v>NUAZANI</v>
          </cell>
          <cell r="J268">
            <v>8</v>
          </cell>
          <cell r="N268">
            <v>9.1199999999999992</v>
          </cell>
          <cell r="O268">
            <v>652</v>
          </cell>
        </row>
        <row r="269">
          <cell r="G269" t="str">
            <v>GT-3055</v>
          </cell>
          <cell r="H269" t="str">
            <v>QSR3707</v>
          </cell>
          <cell r="I269" t="str">
            <v>MIKHAEL</v>
          </cell>
          <cell r="J269">
            <v>14</v>
          </cell>
          <cell r="K269">
            <v>43950</v>
          </cell>
          <cell r="L269">
            <v>25120</v>
          </cell>
          <cell r="M269">
            <v>0</v>
          </cell>
          <cell r="N269">
            <v>9.58</v>
          </cell>
          <cell r="O269">
            <v>688</v>
          </cell>
          <cell r="Q269">
            <v>18.829999999999998</v>
          </cell>
        </row>
        <row r="270">
          <cell r="I270" t="str">
            <v>WENDELINUS</v>
          </cell>
          <cell r="J270">
            <v>39</v>
          </cell>
          <cell r="N270">
            <v>1.56</v>
          </cell>
          <cell r="O270">
            <v>153</v>
          </cell>
        </row>
        <row r="271">
          <cell r="I271" t="str">
            <v>DARSO</v>
          </cell>
          <cell r="J271">
            <v>16</v>
          </cell>
          <cell r="N271">
            <v>4.0999999999999996</v>
          </cell>
          <cell r="O271">
            <v>301</v>
          </cell>
        </row>
        <row r="272">
          <cell r="I272" t="str">
            <v>NUAZANI</v>
          </cell>
          <cell r="J272">
            <v>8</v>
          </cell>
          <cell r="N272">
            <v>3.59</v>
          </cell>
          <cell r="O272">
            <v>257</v>
          </cell>
        </row>
        <row r="273">
          <cell r="G273" t="str">
            <v>GT-3066</v>
          </cell>
          <cell r="H273" t="str">
            <v>QSR3707</v>
          </cell>
          <cell r="I273" t="str">
            <v>DARSO</v>
          </cell>
          <cell r="J273">
            <v>15</v>
          </cell>
          <cell r="K273">
            <v>44820</v>
          </cell>
          <cell r="L273">
            <v>25030</v>
          </cell>
          <cell r="M273">
            <v>0</v>
          </cell>
          <cell r="N273">
            <v>4.7300000000000004</v>
          </cell>
          <cell r="O273">
            <v>343</v>
          </cell>
          <cell r="Q273">
            <v>19.790000000000003</v>
          </cell>
          <cell r="R273">
            <v>19.790000000000003</v>
          </cell>
        </row>
        <row r="274">
          <cell r="I274" t="str">
            <v>MIKHAEL</v>
          </cell>
          <cell r="J274">
            <v>14</v>
          </cell>
          <cell r="N274">
            <v>7.62</v>
          </cell>
          <cell r="O274">
            <v>642</v>
          </cell>
        </row>
        <row r="275">
          <cell r="I275" t="str">
            <v>WENDELINUS</v>
          </cell>
          <cell r="J275">
            <v>28</v>
          </cell>
          <cell r="N275">
            <v>7.44</v>
          </cell>
          <cell r="O275">
            <v>902</v>
          </cell>
        </row>
        <row r="276">
          <cell r="G276" t="str">
            <v>GT-3072</v>
          </cell>
          <cell r="H276" t="str">
            <v>QSR3707</v>
          </cell>
          <cell r="I276" t="str">
            <v>FERDINADUS</v>
          </cell>
          <cell r="J276">
            <v>4</v>
          </cell>
          <cell r="K276">
            <v>46650</v>
          </cell>
          <cell r="L276">
            <v>25080</v>
          </cell>
          <cell r="M276">
            <v>0</v>
          </cell>
          <cell r="N276">
            <v>5.94</v>
          </cell>
          <cell r="O276">
            <v>399</v>
          </cell>
          <cell r="Q276">
            <v>21.57</v>
          </cell>
          <cell r="R276">
            <v>45.32</v>
          </cell>
        </row>
        <row r="277">
          <cell r="I277" t="str">
            <v>MIKHAEL</v>
          </cell>
          <cell r="J277">
            <v>14</v>
          </cell>
          <cell r="N277">
            <v>7.25</v>
          </cell>
          <cell r="O277">
            <v>634</v>
          </cell>
        </row>
        <row r="278">
          <cell r="I278" t="str">
            <v>WENDELINUS</v>
          </cell>
          <cell r="J278">
            <v>28</v>
          </cell>
          <cell r="N278">
            <v>8.3800000000000008</v>
          </cell>
          <cell r="O278">
            <v>1004</v>
          </cell>
        </row>
        <row r="279">
          <cell r="G279" t="str">
            <v>GT-3079</v>
          </cell>
          <cell r="H279" t="str">
            <v>QSR3707</v>
          </cell>
          <cell r="I279" t="str">
            <v>DARSO</v>
          </cell>
          <cell r="J279">
            <v>15</v>
          </cell>
          <cell r="K279">
            <v>48950</v>
          </cell>
          <cell r="L279">
            <v>25200</v>
          </cell>
          <cell r="M279">
            <v>0</v>
          </cell>
          <cell r="N279">
            <v>14.52</v>
          </cell>
          <cell r="O279">
            <v>1063</v>
          </cell>
          <cell r="Q279">
            <v>23.75</v>
          </cell>
        </row>
        <row r="280">
          <cell r="I280" t="str">
            <v>FERDINADUS</v>
          </cell>
          <cell r="J280">
            <v>4</v>
          </cell>
          <cell r="N280">
            <v>2.87</v>
          </cell>
          <cell r="O280">
            <v>195</v>
          </cell>
        </row>
        <row r="281">
          <cell r="I281" t="str">
            <v>NUAZANI</v>
          </cell>
          <cell r="J281">
            <v>9</v>
          </cell>
          <cell r="N281">
            <v>2.75</v>
          </cell>
          <cell r="O281">
            <v>147</v>
          </cell>
        </row>
        <row r="282">
          <cell r="I282" t="str">
            <v>MIKHAEL</v>
          </cell>
          <cell r="J282">
            <v>14</v>
          </cell>
          <cell r="N282">
            <v>3.61</v>
          </cell>
          <cell r="O282">
            <v>387</v>
          </cell>
        </row>
        <row r="283">
          <cell r="G283" t="str">
            <v>GT-3105</v>
          </cell>
          <cell r="H283" t="str">
            <v>QSR3707</v>
          </cell>
          <cell r="I283" t="str">
            <v>MIKHAEL</v>
          </cell>
          <cell r="J283">
            <v>14</v>
          </cell>
          <cell r="K283">
            <v>43700</v>
          </cell>
          <cell r="L283">
            <v>25200</v>
          </cell>
          <cell r="M283">
            <v>0</v>
          </cell>
          <cell r="N283">
            <v>3.31</v>
          </cell>
          <cell r="O283">
            <v>289</v>
          </cell>
          <cell r="Q283">
            <v>18.5</v>
          </cell>
          <cell r="R283">
            <v>36.64</v>
          </cell>
        </row>
        <row r="284">
          <cell r="I284" t="str">
            <v>NUAZANI</v>
          </cell>
          <cell r="J284">
            <v>9</v>
          </cell>
          <cell r="N284">
            <v>10.77</v>
          </cell>
          <cell r="O284">
            <v>765</v>
          </cell>
        </row>
        <row r="285">
          <cell r="I285" t="str">
            <v>ERDI</v>
          </cell>
          <cell r="J285">
            <v>11</v>
          </cell>
          <cell r="N285">
            <v>4.42</v>
          </cell>
          <cell r="O285">
            <v>309</v>
          </cell>
        </row>
        <row r="286">
          <cell r="G286" t="str">
            <v>GT-3113</v>
          </cell>
          <cell r="H286" t="str">
            <v>QSR3707</v>
          </cell>
          <cell r="I286" t="str">
            <v>WENDELINUS</v>
          </cell>
          <cell r="J286">
            <v>26</v>
          </cell>
          <cell r="K286">
            <v>43440</v>
          </cell>
          <cell r="L286">
            <v>25300</v>
          </cell>
          <cell r="M286">
            <v>0</v>
          </cell>
          <cell r="N286">
            <v>8.6199999999999992</v>
          </cell>
          <cell r="O286">
            <v>1148</v>
          </cell>
          <cell r="Q286">
            <v>18.14</v>
          </cell>
        </row>
        <row r="287">
          <cell r="I287" t="str">
            <v>NUAZANI</v>
          </cell>
          <cell r="J287">
            <v>9</v>
          </cell>
          <cell r="N287">
            <v>3.6</v>
          </cell>
          <cell r="O287">
            <v>264</v>
          </cell>
        </row>
        <row r="288">
          <cell r="I288" t="str">
            <v>NUAZANI</v>
          </cell>
          <cell r="J288">
            <v>10</v>
          </cell>
          <cell r="N288">
            <v>5.92</v>
          </cell>
          <cell r="O288">
            <v>436</v>
          </cell>
        </row>
        <row r="289">
          <cell r="G289" t="str">
            <v>GT-3115</v>
          </cell>
          <cell r="H289" t="str">
            <v>QSR3707</v>
          </cell>
          <cell r="I289" t="str">
            <v>NUAZANI</v>
          </cell>
          <cell r="J289">
            <v>10</v>
          </cell>
          <cell r="K289">
            <v>42650</v>
          </cell>
          <cell r="L289">
            <v>25160</v>
          </cell>
          <cell r="M289">
            <v>0</v>
          </cell>
          <cell r="N289">
            <v>2.88</v>
          </cell>
          <cell r="O289">
            <v>211</v>
          </cell>
          <cell r="Q289">
            <v>17.490000000000002</v>
          </cell>
          <cell r="R289">
            <v>34.010000000000005</v>
          </cell>
        </row>
        <row r="290">
          <cell r="I290" t="str">
            <v>ERDI</v>
          </cell>
          <cell r="J290">
            <v>11</v>
          </cell>
          <cell r="N290">
            <v>7.94</v>
          </cell>
          <cell r="O290">
            <v>558</v>
          </cell>
        </row>
        <row r="291">
          <cell r="I291" t="str">
            <v>FERDINADUS</v>
          </cell>
          <cell r="J291">
            <v>4</v>
          </cell>
          <cell r="N291">
            <v>2.98</v>
          </cell>
          <cell r="O291">
            <v>204</v>
          </cell>
        </row>
        <row r="292">
          <cell r="I292" t="str">
            <v>WENDELINUS</v>
          </cell>
          <cell r="J292">
            <v>29</v>
          </cell>
          <cell r="N292">
            <v>3.69</v>
          </cell>
          <cell r="O292">
            <v>575</v>
          </cell>
        </row>
        <row r="293">
          <cell r="G293" t="str">
            <v>GT-3121</v>
          </cell>
          <cell r="H293" t="str">
            <v>QSR3707</v>
          </cell>
          <cell r="I293" t="str">
            <v>MIKHAEL</v>
          </cell>
          <cell r="J293">
            <v>3</v>
          </cell>
          <cell r="K293">
            <v>41780</v>
          </cell>
          <cell r="L293">
            <v>25260</v>
          </cell>
          <cell r="M293">
            <v>0</v>
          </cell>
          <cell r="N293">
            <v>2.64</v>
          </cell>
          <cell r="O293">
            <v>171</v>
          </cell>
          <cell r="Q293">
            <v>16.52</v>
          </cell>
        </row>
        <row r="294">
          <cell r="I294" t="str">
            <v>WENDELINUS</v>
          </cell>
          <cell r="J294">
            <v>29</v>
          </cell>
          <cell r="N294">
            <v>2.04</v>
          </cell>
          <cell r="O294">
            <v>332</v>
          </cell>
        </row>
        <row r="295">
          <cell r="I295" t="str">
            <v>NUAZANI</v>
          </cell>
          <cell r="J295">
            <v>12</v>
          </cell>
          <cell r="N295">
            <v>7.98</v>
          </cell>
          <cell r="O295">
            <v>600</v>
          </cell>
        </row>
        <row r="296">
          <cell r="I296" t="str">
            <v>FERDINADUS</v>
          </cell>
          <cell r="J296">
            <v>4</v>
          </cell>
          <cell r="N296">
            <v>3.86</v>
          </cell>
          <cell r="O296">
            <v>270</v>
          </cell>
        </row>
        <row r="302">
          <cell r="N302">
            <v>76.95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RVESTING INTERVAL- OCTOBER 24"/>
      <sheetName val="HARVESTING INTERVAL- OCT 2025"/>
      <sheetName val="FFB interval 2024 vs 2025"/>
    </sheetNames>
    <sheetDataSet>
      <sheetData sheetId="0">
        <row r="2">
          <cell r="Q2" t="str">
            <v xml:space="preserve"> </v>
          </cell>
          <cell r="AQ2" t="str">
            <v>MONTH :</v>
          </cell>
          <cell r="BC2" t="str">
            <v>OCTOBER</v>
          </cell>
        </row>
        <row r="3">
          <cell r="A3" t="str">
            <v>GANG</v>
          </cell>
          <cell r="B3" t="str">
            <v>YEAR</v>
          </cell>
          <cell r="C3" t="str">
            <v xml:space="preserve">BLOCK </v>
          </cell>
          <cell r="D3" t="str">
            <v>HA</v>
          </cell>
          <cell r="E3">
            <v>1</v>
          </cell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6</v>
          </cell>
          <cell r="K3">
            <v>7</v>
          </cell>
          <cell r="L3">
            <v>8</v>
          </cell>
          <cell r="M3">
            <v>9</v>
          </cell>
          <cell r="N3">
            <v>10</v>
          </cell>
          <cell r="O3">
            <v>11</v>
          </cell>
          <cell r="P3">
            <v>12</v>
          </cell>
          <cell r="Q3">
            <v>13</v>
          </cell>
          <cell r="R3">
            <v>14</v>
          </cell>
          <cell r="S3">
            <v>15</v>
          </cell>
          <cell r="T3">
            <v>16</v>
          </cell>
          <cell r="U3">
            <v>17</v>
          </cell>
          <cell r="V3">
            <v>18</v>
          </cell>
          <cell r="W3">
            <v>19</v>
          </cell>
          <cell r="X3">
            <v>20</v>
          </cell>
          <cell r="Y3">
            <v>21</v>
          </cell>
          <cell r="Z3">
            <v>22</v>
          </cell>
          <cell r="AA3">
            <v>23</v>
          </cell>
          <cell r="AB3">
            <v>24</v>
          </cell>
          <cell r="AC3">
            <v>25</v>
          </cell>
          <cell r="AD3">
            <v>26</v>
          </cell>
          <cell r="AE3">
            <v>27</v>
          </cell>
          <cell r="AF3">
            <v>28</v>
          </cell>
          <cell r="AG3">
            <v>29</v>
          </cell>
          <cell r="AH3">
            <v>30</v>
          </cell>
          <cell r="AI3">
            <v>31</v>
          </cell>
          <cell r="AJ3" t="str">
            <v>TOTAL MANDAY</v>
          </cell>
          <cell r="AK3" t="str">
            <v>1ST RD</v>
          </cell>
          <cell r="AQ3" t="str">
            <v>2ND RD</v>
          </cell>
          <cell r="AW3" t="str">
            <v>3RD RD</v>
          </cell>
          <cell r="BC3" t="str">
            <v>4TH RD</v>
          </cell>
          <cell r="BE3" t="str">
            <v>FFB&amp;LF PRODUCTION</v>
          </cell>
          <cell r="BG3" t="str">
            <v xml:space="preserve">BLOCK </v>
          </cell>
        </row>
        <row r="4">
          <cell r="C4" t="str">
            <v>NO</v>
          </cell>
          <cell r="AK4" t="str">
            <v>FFB/MT</v>
          </cell>
          <cell r="AL4" t="str">
            <v>LF/MT</v>
          </cell>
          <cell r="AM4" t="str">
            <v>START DATE</v>
          </cell>
          <cell r="AN4" t="str">
            <v>END DATE DATE</v>
          </cell>
          <cell r="AO4" t="str">
            <v>DAYS TAKEN</v>
          </cell>
          <cell r="AP4" t="str">
            <v>AVG HARVEST PER DAY</v>
          </cell>
          <cell r="AQ4" t="str">
            <v>FFB/MT</v>
          </cell>
          <cell r="AR4" t="str">
            <v>LF/MT</v>
          </cell>
          <cell r="AS4" t="str">
            <v>START DATE</v>
          </cell>
          <cell r="AT4" t="str">
            <v>END DATE DATE</v>
          </cell>
          <cell r="AU4" t="str">
            <v>DAYS TAKEN</v>
          </cell>
          <cell r="AV4" t="str">
            <v>AVG HARVEST PER DAY</v>
          </cell>
          <cell r="AW4" t="str">
            <v>FFB/MT</v>
          </cell>
          <cell r="AX4" t="str">
            <v>LF/MT</v>
          </cell>
          <cell r="AY4" t="str">
            <v>START DATE</v>
          </cell>
          <cell r="AZ4" t="str">
            <v>END DATE DATE</v>
          </cell>
          <cell r="BA4" t="str">
            <v>DAYS TAKEN</v>
          </cell>
          <cell r="BB4" t="str">
            <v>AVG HARVEST PER DAY</v>
          </cell>
          <cell r="BC4" t="str">
            <v>FFB/MT</v>
          </cell>
          <cell r="BD4" t="str">
            <v>LF/MT</v>
          </cell>
          <cell r="BE4" t="str">
            <v>FFB/MT</v>
          </cell>
          <cell r="BF4" t="str">
            <v>LF/MT</v>
          </cell>
          <cell r="BG4" t="str">
            <v>NO</v>
          </cell>
        </row>
        <row r="5">
          <cell r="A5" t="str">
            <v>MIKHAEL GANG</v>
          </cell>
          <cell r="B5">
            <v>2010</v>
          </cell>
          <cell r="C5">
            <v>3</v>
          </cell>
          <cell r="D5">
            <v>69.2</v>
          </cell>
          <cell r="E5">
            <v>15</v>
          </cell>
          <cell r="F5">
            <v>16</v>
          </cell>
          <cell r="G5">
            <v>17</v>
          </cell>
          <cell r="H5">
            <v>18</v>
          </cell>
          <cell r="I5">
            <v>19</v>
          </cell>
          <cell r="J5">
            <v>20</v>
          </cell>
          <cell r="K5">
            <v>21</v>
          </cell>
          <cell r="L5">
            <v>22</v>
          </cell>
          <cell r="M5">
            <v>23</v>
          </cell>
          <cell r="N5">
            <v>24</v>
          </cell>
          <cell r="O5">
            <v>25</v>
          </cell>
          <cell r="P5">
            <v>26</v>
          </cell>
          <cell r="Q5">
            <v>27</v>
          </cell>
          <cell r="R5">
            <v>1</v>
          </cell>
          <cell r="S5">
            <v>2</v>
          </cell>
          <cell r="T5">
            <v>3</v>
          </cell>
          <cell r="U5">
            <v>4</v>
          </cell>
          <cell r="V5">
            <v>5</v>
          </cell>
          <cell r="W5">
            <v>6</v>
          </cell>
          <cell r="X5">
            <v>7</v>
          </cell>
          <cell r="Y5">
            <v>8</v>
          </cell>
          <cell r="Z5">
            <v>9</v>
          </cell>
          <cell r="AA5">
            <v>10</v>
          </cell>
          <cell r="AB5">
            <v>11</v>
          </cell>
          <cell r="AC5">
            <v>12</v>
          </cell>
          <cell r="AD5">
            <v>13</v>
          </cell>
          <cell r="AE5">
            <v>14</v>
          </cell>
          <cell r="AF5">
            <v>15</v>
          </cell>
          <cell r="AG5">
            <v>16</v>
          </cell>
          <cell r="AH5">
            <v>1</v>
          </cell>
          <cell r="AI5">
            <v>2</v>
          </cell>
          <cell r="AJ5">
            <v>123</v>
          </cell>
          <cell r="AK5">
            <v>121.01</v>
          </cell>
          <cell r="AL5">
            <v>9.6999999999999993</v>
          </cell>
          <cell r="AM5">
            <v>14</v>
          </cell>
          <cell r="AN5">
            <v>22</v>
          </cell>
          <cell r="AO5">
            <v>9</v>
          </cell>
          <cell r="AP5">
            <v>14.523333333333333</v>
          </cell>
          <cell r="AQ5">
            <v>16.11</v>
          </cell>
          <cell r="AS5">
            <v>30</v>
          </cell>
          <cell r="AT5">
            <v>31</v>
          </cell>
          <cell r="AU5">
            <v>2</v>
          </cell>
          <cell r="AV5">
            <v>8.0549999999999997</v>
          </cell>
          <cell r="BA5" t="str">
            <v>0</v>
          </cell>
          <cell r="BB5">
            <v>0</v>
          </cell>
          <cell r="BE5">
            <v>137.12</v>
          </cell>
          <cell r="BF5">
            <v>9.6999999999999993</v>
          </cell>
          <cell r="BG5">
            <v>3</v>
          </cell>
        </row>
        <row r="6">
          <cell r="R6">
            <v>11</v>
          </cell>
          <cell r="S6">
            <v>12</v>
          </cell>
          <cell r="T6">
            <v>4</v>
          </cell>
          <cell r="U6">
            <v>12</v>
          </cell>
          <cell r="V6">
            <v>12</v>
          </cell>
          <cell r="W6">
            <v>12</v>
          </cell>
          <cell r="X6">
            <v>12</v>
          </cell>
          <cell r="Y6">
            <v>12</v>
          </cell>
          <cell r="Z6">
            <v>12</v>
          </cell>
          <cell r="AH6">
            <v>12</v>
          </cell>
          <cell r="AI6">
            <v>12</v>
          </cell>
        </row>
        <row r="7">
          <cell r="B7">
            <v>2010</v>
          </cell>
          <cell r="C7">
            <v>1</v>
          </cell>
          <cell r="D7">
            <v>53.2</v>
          </cell>
          <cell r="E7">
            <v>17</v>
          </cell>
          <cell r="F7">
            <v>18</v>
          </cell>
          <cell r="G7">
            <v>19</v>
          </cell>
          <cell r="H7">
            <v>20</v>
          </cell>
          <cell r="I7">
            <v>1</v>
          </cell>
          <cell r="J7">
            <v>2</v>
          </cell>
          <cell r="K7">
            <v>3</v>
          </cell>
          <cell r="L7">
            <v>4</v>
          </cell>
          <cell r="M7">
            <v>5</v>
          </cell>
          <cell r="N7">
            <v>6</v>
          </cell>
          <cell r="O7">
            <v>7</v>
          </cell>
          <cell r="P7">
            <v>8</v>
          </cell>
          <cell r="Q7">
            <v>9</v>
          </cell>
          <cell r="R7">
            <v>10</v>
          </cell>
          <cell r="S7">
            <v>11</v>
          </cell>
          <cell r="T7">
            <v>12</v>
          </cell>
          <cell r="U7">
            <v>13</v>
          </cell>
          <cell r="V7">
            <v>14</v>
          </cell>
          <cell r="W7">
            <v>15</v>
          </cell>
          <cell r="X7">
            <v>16</v>
          </cell>
          <cell r="Y7">
            <v>17</v>
          </cell>
          <cell r="Z7">
            <v>18</v>
          </cell>
          <cell r="AA7">
            <v>19</v>
          </cell>
          <cell r="AB7">
            <v>20</v>
          </cell>
          <cell r="AC7">
            <v>21</v>
          </cell>
          <cell r="AD7">
            <v>22</v>
          </cell>
          <cell r="AE7">
            <v>1</v>
          </cell>
          <cell r="AF7">
            <v>2</v>
          </cell>
          <cell r="AG7">
            <v>3</v>
          </cell>
          <cell r="AH7">
            <v>4</v>
          </cell>
          <cell r="AI7">
            <v>5</v>
          </cell>
          <cell r="AJ7">
            <v>65</v>
          </cell>
          <cell r="AK7">
            <v>68.66</v>
          </cell>
          <cell r="AM7">
            <v>5</v>
          </cell>
          <cell r="AN7">
            <v>8</v>
          </cell>
          <cell r="AO7">
            <v>4</v>
          </cell>
          <cell r="AP7">
            <v>17.164999999999999</v>
          </cell>
          <cell r="AQ7">
            <v>39.69</v>
          </cell>
          <cell r="AS7">
            <v>27</v>
          </cell>
          <cell r="AT7">
            <v>29</v>
          </cell>
          <cell r="AU7">
            <v>3</v>
          </cell>
          <cell r="AV7">
            <v>13.229999999999999</v>
          </cell>
          <cell r="BA7" t="str">
            <v>0</v>
          </cell>
          <cell r="BB7">
            <v>0</v>
          </cell>
          <cell r="BE7">
            <v>108.35</v>
          </cell>
          <cell r="BF7">
            <v>0</v>
          </cell>
          <cell r="BG7">
            <v>1</v>
          </cell>
        </row>
        <row r="8">
          <cell r="I8">
            <v>8</v>
          </cell>
          <cell r="J8">
            <v>8</v>
          </cell>
          <cell r="K8">
            <v>8</v>
          </cell>
          <cell r="L8">
            <v>8</v>
          </cell>
          <cell r="AE8">
            <v>11</v>
          </cell>
          <cell r="AF8">
            <v>11</v>
          </cell>
          <cell r="AG8">
            <v>11</v>
          </cell>
        </row>
        <row r="9">
          <cell r="B9">
            <v>2011</v>
          </cell>
          <cell r="C9">
            <v>14</v>
          </cell>
          <cell r="D9">
            <v>41.6</v>
          </cell>
          <cell r="E9">
            <v>1</v>
          </cell>
          <cell r="F9">
            <v>2</v>
          </cell>
          <cell r="G9">
            <v>3</v>
          </cell>
          <cell r="H9">
            <v>4</v>
          </cell>
          <cell r="I9">
            <v>5</v>
          </cell>
          <cell r="J9">
            <v>6</v>
          </cell>
          <cell r="K9">
            <v>7</v>
          </cell>
          <cell r="L9">
            <v>8</v>
          </cell>
          <cell r="M9">
            <v>9</v>
          </cell>
          <cell r="N9">
            <v>10</v>
          </cell>
          <cell r="O9">
            <v>11</v>
          </cell>
          <cell r="P9">
            <v>12</v>
          </cell>
          <cell r="Q9">
            <v>13</v>
          </cell>
          <cell r="R9">
            <v>14</v>
          </cell>
          <cell r="S9">
            <v>15</v>
          </cell>
          <cell r="T9">
            <v>16</v>
          </cell>
          <cell r="U9">
            <v>17</v>
          </cell>
          <cell r="V9">
            <v>18</v>
          </cell>
          <cell r="W9">
            <v>19</v>
          </cell>
          <cell r="X9">
            <v>20</v>
          </cell>
          <cell r="Y9">
            <v>21</v>
          </cell>
          <cell r="Z9">
            <v>22</v>
          </cell>
          <cell r="AA9">
            <v>1</v>
          </cell>
          <cell r="AB9">
            <v>2</v>
          </cell>
          <cell r="AC9">
            <v>3</v>
          </cell>
          <cell r="AD9">
            <v>4</v>
          </cell>
          <cell r="AE9">
            <v>5</v>
          </cell>
          <cell r="AF9">
            <v>6</v>
          </cell>
          <cell r="AG9">
            <v>7</v>
          </cell>
          <cell r="AH9">
            <v>8</v>
          </cell>
          <cell r="AI9">
            <v>9</v>
          </cell>
          <cell r="AJ9">
            <v>71</v>
          </cell>
          <cell r="AK9">
            <v>32.299999999999997</v>
          </cell>
          <cell r="AM9">
            <v>1</v>
          </cell>
          <cell r="AN9">
            <v>4</v>
          </cell>
          <cell r="AO9">
            <v>4</v>
          </cell>
          <cell r="AP9">
            <v>8.0749999999999993</v>
          </cell>
          <cell r="AQ9">
            <v>63.890000000000008</v>
          </cell>
          <cell r="AS9">
            <v>23</v>
          </cell>
          <cell r="AT9">
            <v>26</v>
          </cell>
          <cell r="AU9">
            <v>4</v>
          </cell>
          <cell r="AV9">
            <v>15.972500000000002</v>
          </cell>
          <cell r="BA9" t="str">
            <v>0</v>
          </cell>
          <cell r="BB9">
            <v>0</v>
          </cell>
          <cell r="BE9">
            <v>96.19</v>
          </cell>
          <cell r="BF9">
            <v>0</v>
          </cell>
          <cell r="BG9">
            <v>14</v>
          </cell>
        </row>
        <row r="10">
          <cell r="E10">
            <v>7</v>
          </cell>
          <cell r="G10">
            <v>8</v>
          </cell>
          <cell r="H10">
            <v>8</v>
          </cell>
          <cell r="AA10">
            <v>12</v>
          </cell>
          <cell r="AB10">
            <v>12</v>
          </cell>
          <cell r="AC10">
            <v>12</v>
          </cell>
          <cell r="AD10">
            <v>12</v>
          </cell>
        </row>
        <row r="11">
          <cell r="A11" t="str">
            <v>FERDINADUS SERAN GANG</v>
          </cell>
          <cell r="B11">
            <v>2010</v>
          </cell>
          <cell r="C11">
            <v>4</v>
          </cell>
          <cell r="D11">
            <v>70.599999999999994</v>
          </cell>
          <cell r="E11">
            <v>1</v>
          </cell>
          <cell r="F11">
            <v>2</v>
          </cell>
          <cell r="G11">
            <v>3</v>
          </cell>
          <cell r="H11">
            <v>4</v>
          </cell>
          <cell r="I11">
            <v>5</v>
          </cell>
          <cell r="J11">
            <v>6</v>
          </cell>
          <cell r="K11">
            <v>7</v>
          </cell>
          <cell r="L11">
            <v>8</v>
          </cell>
          <cell r="M11">
            <v>9</v>
          </cell>
          <cell r="N11">
            <v>10</v>
          </cell>
          <cell r="O11">
            <v>11</v>
          </cell>
          <cell r="P11">
            <v>12</v>
          </cell>
          <cell r="Q11">
            <v>13</v>
          </cell>
          <cell r="R11">
            <v>14</v>
          </cell>
          <cell r="S11">
            <v>15</v>
          </cell>
          <cell r="T11">
            <v>16</v>
          </cell>
          <cell r="U11">
            <v>17</v>
          </cell>
          <cell r="V11">
            <v>18</v>
          </cell>
          <cell r="W11">
            <v>19</v>
          </cell>
          <cell r="X11">
            <v>20</v>
          </cell>
          <cell r="Y11">
            <v>21</v>
          </cell>
          <cell r="Z11">
            <v>22</v>
          </cell>
          <cell r="AA11">
            <v>1</v>
          </cell>
          <cell r="AB11">
            <v>2</v>
          </cell>
          <cell r="AC11">
            <v>4</v>
          </cell>
          <cell r="AD11">
            <v>5</v>
          </cell>
          <cell r="AE11">
            <v>6</v>
          </cell>
          <cell r="AF11">
            <v>7</v>
          </cell>
          <cell r="AG11">
            <v>8</v>
          </cell>
          <cell r="AH11">
            <v>9</v>
          </cell>
          <cell r="AI11">
            <v>10</v>
          </cell>
          <cell r="AJ11">
            <v>73</v>
          </cell>
          <cell r="AK11">
            <v>66.59</v>
          </cell>
          <cell r="AM11">
            <v>1</v>
          </cell>
          <cell r="AN11">
            <v>5</v>
          </cell>
          <cell r="AO11">
            <v>5</v>
          </cell>
          <cell r="AP11">
            <v>13.318000000000001</v>
          </cell>
          <cell r="AQ11">
            <v>77.31</v>
          </cell>
          <cell r="AS11">
            <v>23</v>
          </cell>
          <cell r="AT11">
            <v>26</v>
          </cell>
          <cell r="AU11">
            <v>4</v>
          </cell>
          <cell r="AV11">
            <v>19.327500000000001</v>
          </cell>
          <cell r="BA11" t="str">
            <v>0</v>
          </cell>
          <cell r="BB11">
            <v>0</v>
          </cell>
          <cell r="BE11">
            <v>143.9</v>
          </cell>
          <cell r="BF11">
            <v>0</v>
          </cell>
          <cell r="BG11">
            <v>4</v>
          </cell>
        </row>
        <row r="12">
          <cell r="E12">
            <v>9</v>
          </cell>
          <cell r="G12">
            <v>10</v>
          </cell>
          <cell r="H12">
            <v>11</v>
          </cell>
          <cell r="I12">
            <v>6</v>
          </cell>
          <cell r="AA12">
            <v>9</v>
          </cell>
          <cell r="AB12">
            <v>9</v>
          </cell>
          <cell r="AC12">
            <v>8</v>
          </cell>
          <cell r="AD12">
            <v>11</v>
          </cell>
        </row>
        <row r="13">
          <cell r="B13">
            <v>2010</v>
          </cell>
          <cell r="C13">
            <v>5</v>
          </cell>
          <cell r="D13">
            <v>54.3</v>
          </cell>
          <cell r="E13">
            <v>8</v>
          </cell>
          <cell r="F13">
            <v>9</v>
          </cell>
          <cell r="G13">
            <v>10</v>
          </cell>
          <cell r="H13">
            <v>11</v>
          </cell>
          <cell r="I13">
            <v>12</v>
          </cell>
          <cell r="J13">
            <v>13</v>
          </cell>
          <cell r="K13">
            <v>14</v>
          </cell>
          <cell r="L13">
            <v>15</v>
          </cell>
          <cell r="M13">
            <v>16</v>
          </cell>
          <cell r="N13">
            <v>17</v>
          </cell>
          <cell r="O13">
            <v>18</v>
          </cell>
          <cell r="P13">
            <v>19</v>
          </cell>
          <cell r="Q13">
            <v>20</v>
          </cell>
          <cell r="R13">
            <v>21</v>
          </cell>
          <cell r="S13">
            <v>22</v>
          </cell>
          <cell r="T13">
            <v>23</v>
          </cell>
          <cell r="U13">
            <v>1</v>
          </cell>
          <cell r="V13">
            <v>2</v>
          </cell>
          <cell r="W13">
            <v>3</v>
          </cell>
          <cell r="X13">
            <v>4</v>
          </cell>
          <cell r="Y13">
            <v>5</v>
          </cell>
          <cell r="Z13">
            <v>6</v>
          </cell>
          <cell r="AA13">
            <v>7</v>
          </cell>
          <cell r="AB13">
            <v>8</v>
          </cell>
          <cell r="AC13">
            <v>9</v>
          </cell>
          <cell r="AD13">
            <v>10</v>
          </cell>
          <cell r="AE13">
            <v>11</v>
          </cell>
          <cell r="AF13">
            <v>12</v>
          </cell>
          <cell r="AG13">
            <v>13</v>
          </cell>
          <cell r="AH13">
            <v>14</v>
          </cell>
          <cell r="AI13">
            <v>15</v>
          </cell>
          <cell r="AJ13">
            <v>43</v>
          </cell>
          <cell r="AK13">
            <v>90.27000000000001</v>
          </cell>
          <cell r="AL13">
            <v>14.85</v>
          </cell>
          <cell r="AM13">
            <v>17</v>
          </cell>
          <cell r="AN13">
            <v>21</v>
          </cell>
          <cell r="AO13">
            <v>5</v>
          </cell>
          <cell r="AP13">
            <v>21.024000000000001</v>
          </cell>
          <cell r="AU13" t="str">
            <v>0</v>
          </cell>
          <cell r="AV13">
            <v>0</v>
          </cell>
          <cell r="BA13" t="str">
            <v>0</v>
          </cell>
          <cell r="BB13">
            <v>0</v>
          </cell>
          <cell r="BE13">
            <v>90.27000000000001</v>
          </cell>
          <cell r="BF13">
            <v>14.85</v>
          </cell>
          <cell r="BG13">
            <v>5</v>
          </cell>
        </row>
        <row r="14">
          <cell r="U14">
            <v>11</v>
          </cell>
          <cell r="V14">
            <v>11</v>
          </cell>
          <cell r="W14">
            <v>11</v>
          </cell>
          <cell r="Y14">
            <v>10</v>
          </cell>
        </row>
        <row r="15">
          <cell r="B15">
            <v>2010</v>
          </cell>
          <cell r="C15">
            <v>6</v>
          </cell>
          <cell r="D15">
            <v>58.6</v>
          </cell>
          <cell r="E15">
            <v>12</v>
          </cell>
          <cell r="F15">
            <v>13</v>
          </cell>
          <cell r="G15">
            <v>14</v>
          </cell>
          <cell r="H15">
            <v>15</v>
          </cell>
          <cell r="I15">
            <v>16</v>
          </cell>
          <cell r="J15">
            <v>17</v>
          </cell>
          <cell r="K15">
            <v>18</v>
          </cell>
          <cell r="L15">
            <v>19</v>
          </cell>
          <cell r="M15">
            <v>20</v>
          </cell>
          <cell r="N15">
            <v>21</v>
          </cell>
          <cell r="O15">
            <v>1</v>
          </cell>
          <cell r="P15">
            <v>2</v>
          </cell>
          <cell r="Q15">
            <v>3</v>
          </cell>
          <cell r="R15">
            <v>4</v>
          </cell>
          <cell r="S15">
            <v>5</v>
          </cell>
          <cell r="T15">
            <v>6</v>
          </cell>
          <cell r="U15">
            <v>7</v>
          </cell>
          <cell r="V15">
            <v>8</v>
          </cell>
          <cell r="W15">
            <v>9</v>
          </cell>
          <cell r="X15">
            <v>10</v>
          </cell>
          <cell r="Y15">
            <v>11</v>
          </cell>
          <cell r="Z15">
            <v>12</v>
          </cell>
          <cell r="AA15">
            <v>13</v>
          </cell>
          <cell r="AB15">
            <v>14</v>
          </cell>
          <cell r="AC15">
            <v>15</v>
          </cell>
          <cell r="AD15">
            <v>16</v>
          </cell>
          <cell r="AE15">
            <v>17</v>
          </cell>
          <cell r="AF15">
            <v>18</v>
          </cell>
          <cell r="AG15">
            <v>1</v>
          </cell>
          <cell r="AH15">
            <v>2</v>
          </cell>
          <cell r="AI15">
            <v>3</v>
          </cell>
          <cell r="AJ15">
            <v>85</v>
          </cell>
          <cell r="AK15">
            <v>84.71</v>
          </cell>
          <cell r="AL15">
            <v>4.25</v>
          </cell>
          <cell r="AM15">
            <v>11</v>
          </cell>
          <cell r="AN15">
            <v>16</v>
          </cell>
          <cell r="AO15">
            <v>6</v>
          </cell>
          <cell r="AP15">
            <v>14.826666666666666</v>
          </cell>
          <cell r="AQ15">
            <v>26.25</v>
          </cell>
          <cell r="AS15">
            <v>29</v>
          </cell>
          <cell r="AT15">
            <v>31</v>
          </cell>
          <cell r="AU15">
            <v>3</v>
          </cell>
          <cell r="AV15">
            <v>8.75</v>
          </cell>
          <cell r="BA15" t="str">
            <v>0</v>
          </cell>
          <cell r="BB15">
            <v>0</v>
          </cell>
          <cell r="BE15">
            <v>110.96</v>
          </cell>
          <cell r="BF15">
            <v>4.25</v>
          </cell>
          <cell r="BG15">
            <v>6</v>
          </cell>
        </row>
        <row r="16">
          <cell r="O16">
            <v>11</v>
          </cell>
          <cell r="P16">
            <v>8</v>
          </cell>
          <cell r="Q16">
            <v>9</v>
          </cell>
          <cell r="R16">
            <v>9</v>
          </cell>
          <cell r="S16">
            <v>11</v>
          </cell>
          <cell r="T16">
            <v>4</v>
          </cell>
          <cell r="AG16">
            <v>11</v>
          </cell>
          <cell r="AH16">
            <v>11</v>
          </cell>
          <cell r="AI16">
            <v>11</v>
          </cell>
        </row>
        <row r="17">
          <cell r="B17">
            <v>2010</v>
          </cell>
          <cell r="C17">
            <v>7</v>
          </cell>
          <cell r="D17">
            <v>23.6</v>
          </cell>
          <cell r="E17">
            <v>5</v>
          </cell>
          <cell r="F17">
            <v>6</v>
          </cell>
          <cell r="G17">
            <v>7</v>
          </cell>
          <cell r="H17">
            <v>8</v>
          </cell>
          <cell r="I17">
            <v>9</v>
          </cell>
          <cell r="J17">
            <v>10</v>
          </cell>
          <cell r="K17">
            <v>11</v>
          </cell>
          <cell r="L17">
            <v>12</v>
          </cell>
          <cell r="M17">
            <v>13</v>
          </cell>
          <cell r="N17">
            <v>14</v>
          </cell>
          <cell r="O17">
            <v>15</v>
          </cell>
          <cell r="P17">
            <v>16</v>
          </cell>
          <cell r="Q17">
            <v>17</v>
          </cell>
          <cell r="R17">
            <v>18</v>
          </cell>
          <cell r="S17">
            <v>19</v>
          </cell>
          <cell r="T17">
            <v>20</v>
          </cell>
          <cell r="U17">
            <v>21</v>
          </cell>
          <cell r="V17">
            <v>22</v>
          </cell>
          <cell r="W17">
            <v>23</v>
          </cell>
          <cell r="X17">
            <v>24</v>
          </cell>
          <cell r="Y17">
            <v>25</v>
          </cell>
          <cell r="Z17">
            <v>1</v>
          </cell>
          <cell r="AA17">
            <v>2</v>
          </cell>
          <cell r="AB17">
            <v>3</v>
          </cell>
          <cell r="AC17">
            <v>4</v>
          </cell>
          <cell r="AD17">
            <v>5</v>
          </cell>
          <cell r="AE17">
            <v>6</v>
          </cell>
          <cell r="AF17">
            <v>7</v>
          </cell>
          <cell r="AG17">
            <v>8</v>
          </cell>
          <cell r="AH17">
            <v>9</v>
          </cell>
          <cell r="AI17">
            <v>10</v>
          </cell>
          <cell r="AJ17">
            <v>11</v>
          </cell>
          <cell r="AK17">
            <v>33.08</v>
          </cell>
          <cell r="AM17">
            <v>22</v>
          </cell>
          <cell r="AN17">
            <v>22</v>
          </cell>
          <cell r="AO17">
            <v>1</v>
          </cell>
          <cell r="AP17">
            <v>33.08</v>
          </cell>
          <cell r="AU17" t="str">
            <v>0</v>
          </cell>
          <cell r="AV17">
            <v>0</v>
          </cell>
          <cell r="BA17" t="str">
            <v>0</v>
          </cell>
          <cell r="BB17">
            <v>0</v>
          </cell>
          <cell r="BE17">
            <v>33.08</v>
          </cell>
          <cell r="BF17">
            <v>0</v>
          </cell>
          <cell r="BG17">
            <v>7</v>
          </cell>
        </row>
        <row r="18">
          <cell r="Z18">
            <v>11</v>
          </cell>
        </row>
        <row r="19">
          <cell r="B19">
            <v>2010</v>
          </cell>
          <cell r="C19">
            <v>23</v>
          </cell>
          <cell r="D19">
            <v>14.6</v>
          </cell>
          <cell r="E19">
            <v>14</v>
          </cell>
          <cell r="F19">
            <v>15</v>
          </cell>
          <cell r="G19">
            <v>16</v>
          </cell>
          <cell r="H19">
            <v>17</v>
          </cell>
          <cell r="I19">
            <v>18</v>
          </cell>
          <cell r="J19">
            <v>19</v>
          </cell>
          <cell r="K19">
            <v>20</v>
          </cell>
          <cell r="L19">
            <v>21</v>
          </cell>
          <cell r="M19">
            <v>1</v>
          </cell>
          <cell r="N19">
            <v>2</v>
          </cell>
          <cell r="O19">
            <v>3</v>
          </cell>
          <cell r="P19">
            <v>4</v>
          </cell>
          <cell r="Q19">
            <v>5</v>
          </cell>
          <cell r="R19">
            <v>6</v>
          </cell>
          <cell r="S19">
            <v>7</v>
          </cell>
          <cell r="T19">
            <v>8</v>
          </cell>
          <cell r="U19">
            <v>9</v>
          </cell>
          <cell r="V19">
            <v>10</v>
          </cell>
          <cell r="W19">
            <v>11</v>
          </cell>
          <cell r="X19">
            <v>12</v>
          </cell>
          <cell r="Y19">
            <v>13</v>
          </cell>
          <cell r="Z19">
            <v>14</v>
          </cell>
          <cell r="AA19">
            <v>15</v>
          </cell>
          <cell r="AB19">
            <v>16</v>
          </cell>
          <cell r="AC19">
            <v>17</v>
          </cell>
          <cell r="AD19">
            <v>18</v>
          </cell>
          <cell r="AE19">
            <v>19</v>
          </cell>
          <cell r="AF19">
            <v>1</v>
          </cell>
          <cell r="AG19">
            <v>2</v>
          </cell>
          <cell r="AH19">
            <v>3</v>
          </cell>
          <cell r="AI19">
            <v>4</v>
          </cell>
          <cell r="AJ19">
            <v>36</v>
          </cell>
          <cell r="AK19">
            <v>22.74</v>
          </cell>
          <cell r="AL19">
            <v>0.47</v>
          </cell>
          <cell r="AM19">
            <v>9</v>
          </cell>
          <cell r="AN19">
            <v>10</v>
          </cell>
          <cell r="AO19">
            <v>2</v>
          </cell>
          <cell r="AP19">
            <v>11.604999999999999</v>
          </cell>
          <cell r="AQ19">
            <v>19.519999999999996</v>
          </cell>
          <cell r="AS19">
            <v>28</v>
          </cell>
          <cell r="AT19">
            <v>31</v>
          </cell>
          <cell r="AU19">
            <v>4</v>
          </cell>
          <cell r="AV19">
            <v>4.879999999999999</v>
          </cell>
          <cell r="BA19" t="str">
            <v>0</v>
          </cell>
          <cell r="BB19">
            <v>0</v>
          </cell>
          <cell r="BE19">
            <v>42.259999999999991</v>
          </cell>
          <cell r="BF19">
            <v>0.47</v>
          </cell>
          <cell r="BG19">
            <v>23</v>
          </cell>
        </row>
        <row r="20">
          <cell r="M20">
            <v>5</v>
          </cell>
          <cell r="N20">
            <v>11</v>
          </cell>
          <cell r="AF20">
            <v>5</v>
          </cell>
          <cell r="AG20">
            <v>5</v>
          </cell>
          <cell r="AH20">
            <v>5</v>
          </cell>
          <cell r="AI20">
            <v>5</v>
          </cell>
        </row>
        <row r="21">
          <cell r="B21">
            <v>2012</v>
          </cell>
          <cell r="C21">
            <v>24</v>
          </cell>
          <cell r="D21">
            <v>44.7</v>
          </cell>
          <cell r="E21">
            <v>19</v>
          </cell>
          <cell r="F21">
            <v>20</v>
          </cell>
          <cell r="G21">
            <v>21</v>
          </cell>
          <cell r="H21">
            <v>22</v>
          </cell>
          <cell r="I21">
            <v>1</v>
          </cell>
          <cell r="J21">
            <v>2</v>
          </cell>
          <cell r="K21">
            <v>3</v>
          </cell>
          <cell r="L21">
            <v>4</v>
          </cell>
          <cell r="M21">
            <v>5</v>
          </cell>
          <cell r="N21">
            <v>6</v>
          </cell>
          <cell r="O21">
            <v>7</v>
          </cell>
          <cell r="P21">
            <v>8</v>
          </cell>
          <cell r="Q21">
            <v>9</v>
          </cell>
          <cell r="R21">
            <v>10</v>
          </cell>
          <cell r="S21">
            <v>11</v>
          </cell>
          <cell r="T21">
            <v>12</v>
          </cell>
          <cell r="U21">
            <v>13</v>
          </cell>
          <cell r="V21">
            <v>14</v>
          </cell>
          <cell r="W21">
            <v>15</v>
          </cell>
          <cell r="X21">
            <v>16</v>
          </cell>
          <cell r="Y21">
            <v>17</v>
          </cell>
          <cell r="Z21">
            <v>18</v>
          </cell>
          <cell r="AA21">
            <v>19</v>
          </cell>
          <cell r="AB21">
            <v>20</v>
          </cell>
          <cell r="AC21">
            <v>21</v>
          </cell>
          <cell r="AD21">
            <v>22</v>
          </cell>
          <cell r="AE21">
            <v>1</v>
          </cell>
          <cell r="AF21">
            <v>2</v>
          </cell>
          <cell r="AG21">
            <v>3</v>
          </cell>
          <cell r="AH21">
            <v>4</v>
          </cell>
          <cell r="AI21">
            <v>5</v>
          </cell>
          <cell r="AJ21">
            <v>61</v>
          </cell>
          <cell r="AK21">
            <v>86.78</v>
          </cell>
          <cell r="AM21">
            <v>5</v>
          </cell>
          <cell r="AN21">
            <v>9</v>
          </cell>
          <cell r="AO21">
            <v>5</v>
          </cell>
          <cell r="AP21">
            <v>17.356000000000002</v>
          </cell>
          <cell r="AQ21">
            <v>44.96</v>
          </cell>
          <cell r="AS21">
            <v>27</v>
          </cell>
          <cell r="AT21">
            <v>28</v>
          </cell>
          <cell r="AU21">
            <v>2</v>
          </cell>
          <cell r="AV21">
            <v>22.48</v>
          </cell>
          <cell r="BA21" t="str">
            <v>0</v>
          </cell>
          <cell r="BB21">
            <v>0</v>
          </cell>
          <cell r="BE21">
            <v>131.74</v>
          </cell>
          <cell r="BF21">
            <v>0</v>
          </cell>
          <cell r="BG21">
            <v>24</v>
          </cell>
        </row>
        <row r="22">
          <cell r="I22">
            <v>5</v>
          </cell>
          <cell r="J22">
            <v>9</v>
          </cell>
          <cell r="K22">
            <v>9</v>
          </cell>
          <cell r="L22">
            <v>11</v>
          </cell>
          <cell r="M22">
            <v>6</v>
          </cell>
          <cell r="AE22">
            <v>10</v>
          </cell>
          <cell r="AF22">
            <v>11</v>
          </cell>
        </row>
        <row r="23">
          <cell r="A23" t="str">
            <v>DARSO GANG</v>
          </cell>
          <cell r="B23">
            <v>2010</v>
          </cell>
          <cell r="C23">
            <v>2</v>
          </cell>
          <cell r="D23">
            <v>60.4</v>
          </cell>
          <cell r="E23">
            <v>11</v>
          </cell>
          <cell r="F23">
            <v>12</v>
          </cell>
          <cell r="G23">
            <v>13</v>
          </cell>
          <cell r="H23">
            <v>14</v>
          </cell>
          <cell r="I23">
            <v>15</v>
          </cell>
          <cell r="J23">
            <v>16</v>
          </cell>
          <cell r="K23">
            <v>17</v>
          </cell>
          <cell r="L23">
            <v>18</v>
          </cell>
          <cell r="M23">
            <v>1</v>
          </cell>
          <cell r="N23">
            <v>2</v>
          </cell>
          <cell r="O23">
            <v>3</v>
          </cell>
          <cell r="P23">
            <v>4</v>
          </cell>
          <cell r="Q23">
            <v>5</v>
          </cell>
          <cell r="R23">
            <v>6</v>
          </cell>
          <cell r="S23">
            <v>7</v>
          </cell>
          <cell r="T23">
            <v>8</v>
          </cell>
          <cell r="U23">
            <v>9</v>
          </cell>
          <cell r="V23">
            <v>10</v>
          </cell>
          <cell r="W23">
            <v>11</v>
          </cell>
          <cell r="X23">
            <v>12</v>
          </cell>
          <cell r="Y23">
            <v>13</v>
          </cell>
          <cell r="Z23">
            <v>14</v>
          </cell>
          <cell r="AA23">
            <v>1</v>
          </cell>
          <cell r="AB23">
            <v>2</v>
          </cell>
          <cell r="AC23">
            <v>3</v>
          </cell>
          <cell r="AD23">
            <v>4</v>
          </cell>
          <cell r="AE23">
            <v>5</v>
          </cell>
          <cell r="AF23">
            <v>6</v>
          </cell>
          <cell r="AG23">
            <v>7</v>
          </cell>
          <cell r="AH23">
            <v>8</v>
          </cell>
          <cell r="AI23">
            <v>9</v>
          </cell>
          <cell r="AJ23">
            <v>65</v>
          </cell>
          <cell r="AK23">
            <v>52.94</v>
          </cell>
          <cell r="AL23">
            <v>2.0699999999999998</v>
          </cell>
          <cell r="AM23">
            <v>9</v>
          </cell>
          <cell r="AN23">
            <v>13</v>
          </cell>
          <cell r="AO23">
            <v>5</v>
          </cell>
          <cell r="AP23">
            <v>11.001999999999999</v>
          </cell>
          <cell r="AQ23">
            <v>29.299999999999997</v>
          </cell>
          <cell r="AS23">
            <v>23</v>
          </cell>
          <cell r="AT23">
            <v>27</v>
          </cell>
          <cell r="AU23">
            <v>5</v>
          </cell>
          <cell r="AV23">
            <v>5.8599999999999994</v>
          </cell>
          <cell r="BA23" t="str">
            <v>0</v>
          </cell>
          <cell r="BB23">
            <v>0</v>
          </cell>
          <cell r="BE23">
            <v>82.24</v>
          </cell>
          <cell r="BF23">
            <v>2.0699999999999998</v>
          </cell>
          <cell r="BG23">
            <v>2</v>
          </cell>
        </row>
        <row r="24">
          <cell r="M24">
            <v>8</v>
          </cell>
          <cell r="N24">
            <v>8</v>
          </cell>
          <cell r="O24">
            <v>8</v>
          </cell>
          <cell r="P24">
            <v>8</v>
          </cell>
          <cell r="Q24">
            <v>8</v>
          </cell>
          <cell r="AA24">
            <v>5</v>
          </cell>
          <cell r="AB24">
            <v>5</v>
          </cell>
          <cell r="AC24">
            <v>5</v>
          </cell>
          <cell r="AD24">
            <v>5</v>
          </cell>
          <cell r="AE24">
            <v>5</v>
          </cell>
        </row>
        <row r="25">
          <cell r="B25">
            <v>2011</v>
          </cell>
          <cell r="C25">
            <v>15</v>
          </cell>
          <cell r="D25">
            <v>49.3</v>
          </cell>
          <cell r="E25">
            <v>11</v>
          </cell>
          <cell r="F25">
            <v>12</v>
          </cell>
          <cell r="G25">
            <v>13</v>
          </cell>
          <cell r="H25">
            <v>14</v>
          </cell>
          <cell r="I25">
            <v>15</v>
          </cell>
          <cell r="J25">
            <v>16</v>
          </cell>
          <cell r="K25">
            <v>17</v>
          </cell>
          <cell r="L25">
            <v>18</v>
          </cell>
          <cell r="M25">
            <v>19</v>
          </cell>
          <cell r="N25">
            <v>20</v>
          </cell>
          <cell r="O25">
            <v>1</v>
          </cell>
          <cell r="P25">
            <v>2</v>
          </cell>
          <cell r="Q25">
            <v>3</v>
          </cell>
          <cell r="R25">
            <v>4</v>
          </cell>
          <cell r="S25">
            <v>5</v>
          </cell>
          <cell r="T25">
            <v>6</v>
          </cell>
          <cell r="U25">
            <v>7</v>
          </cell>
          <cell r="V25">
            <v>8</v>
          </cell>
          <cell r="W25">
            <v>9</v>
          </cell>
          <cell r="X25">
            <v>10</v>
          </cell>
          <cell r="Y25">
            <v>11</v>
          </cell>
          <cell r="Z25">
            <v>12</v>
          </cell>
          <cell r="AA25">
            <v>13</v>
          </cell>
          <cell r="AB25">
            <v>14</v>
          </cell>
          <cell r="AC25">
            <v>15</v>
          </cell>
          <cell r="AD25">
            <v>1</v>
          </cell>
          <cell r="AE25">
            <v>2</v>
          </cell>
          <cell r="AF25">
            <v>3</v>
          </cell>
          <cell r="AG25">
            <v>4</v>
          </cell>
          <cell r="AH25">
            <v>5</v>
          </cell>
          <cell r="AI25">
            <v>6</v>
          </cell>
          <cell r="AJ25">
            <v>75</v>
          </cell>
          <cell r="AK25">
            <v>69.240000000000009</v>
          </cell>
          <cell r="AL25">
            <v>0.55000000000000004</v>
          </cell>
          <cell r="AM25">
            <v>10</v>
          </cell>
          <cell r="AN25">
            <v>13</v>
          </cell>
          <cell r="AO25">
            <v>4</v>
          </cell>
          <cell r="AP25">
            <v>17.447500000000002</v>
          </cell>
          <cell r="AQ25">
            <v>37.230000000000004</v>
          </cell>
          <cell r="AS25">
            <v>26</v>
          </cell>
          <cell r="AT25">
            <v>27</v>
          </cell>
          <cell r="AU25">
            <v>2</v>
          </cell>
          <cell r="AV25">
            <v>18.615000000000002</v>
          </cell>
          <cell r="BA25" t="str">
            <v>0</v>
          </cell>
          <cell r="BB25">
            <v>0</v>
          </cell>
          <cell r="BE25">
            <v>106.47000000000001</v>
          </cell>
          <cell r="BF25">
            <v>0.55000000000000004</v>
          </cell>
          <cell r="BG25">
            <v>15</v>
          </cell>
        </row>
        <row r="26">
          <cell r="O26">
            <v>19</v>
          </cell>
          <cell r="P26">
            <v>14</v>
          </cell>
          <cell r="Q26">
            <v>16</v>
          </cell>
          <cell r="AD26">
            <v>7</v>
          </cell>
          <cell r="AE26">
            <v>19</v>
          </cell>
        </row>
        <row r="27">
          <cell r="B27">
            <v>2011</v>
          </cell>
          <cell r="C27">
            <v>16</v>
          </cell>
          <cell r="D27">
            <v>50.4</v>
          </cell>
          <cell r="E27">
            <v>14</v>
          </cell>
          <cell r="F27">
            <v>15</v>
          </cell>
          <cell r="G27">
            <v>16</v>
          </cell>
          <cell r="H27">
            <v>17</v>
          </cell>
          <cell r="I27">
            <v>18</v>
          </cell>
          <cell r="J27">
            <v>19</v>
          </cell>
          <cell r="K27">
            <v>20</v>
          </cell>
          <cell r="L27">
            <v>21</v>
          </cell>
          <cell r="M27">
            <v>1</v>
          </cell>
          <cell r="N27">
            <v>2</v>
          </cell>
          <cell r="O27">
            <v>3</v>
          </cell>
          <cell r="P27">
            <v>4</v>
          </cell>
          <cell r="Q27">
            <v>5</v>
          </cell>
          <cell r="R27">
            <v>6</v>
          </cell>
          <cell r="S27">
            <v>7</v>
          </cell>
          <cell r="T27">
            <v>8</v>
          </cell>
          <cell r="U27">
            <v>9</v>
          </cell>
          <cell r="V27">
            <v>10</v>
          </cell>
          <cell r="W27">
            <v>11</v>
          </cell>
          <cell r="X27">
            <v>12</v>
          </cell>
          <cell r="Y27">
            <v>13</v>
          </cell>
          <cell r="Z27">
            <v>14</v>
          </cell>
          <cell r="AA27">
            <v>15</v>
          </cell>
          <cell r="AB27">
            <v>16</v>
          </cell>
          <cell r="AC27">
            <v>1</v>
          </cell>
          <cell r="AD27">
            <v>2</v>
          </cell>
          <cell r="AE27">
            <v>3</v>
          </cell>
          <cell r="AF27">
            <v>4</v>
          </cell>
          <cell r="AG27">
            <v>5</v>
          </cell>
          <cell r="AH27">
            <v>6</v>
          </cell>
          <cell r="AI27">
            <v>7</v>
          </cell>
          <cell r="AJ27">
            <v>61</v>
          </cell>
          <cell r="AK27">
            <v>75.240000000000009</v>
          </cell>
          <cell r="AL27">
            <v>1.1499999999999999</v>
          </cell>
          <cell r="AM27">
            <v>9</v>
          </cell>
          <cell r="AN27">
            <v>10</v>
          </cell>
          <cell r="AO27">
            <v>2</v>
          </cell>
          <cell r="AP27">
            <v>38.195000000000007</v>
          </cell>
          <cell r="AQ27">
            <v>39.22</v>
          </cell>
          <cell r="AS27">
            <v>25</v>
          </cell>
          <cell r="AT27">
            <v>26</v>
          </cell>
          <cell r="AU27">
            <v>2</v>
          </cell>
          <cell r="AV27">
            <v>19.61</v>
          </cell>
          <cell r="BA27" t="str">
            <v>0</v>
          </cell>
          <cell r="BB27">
            <v>0</v>
          </cell>
          <cell r="BE27">
            <v>114.46000000000001</v>
          </cell>
          <cell r="BF27">
            <v>1.1499999999999999</v>
          </cell>
          <cell r="BG27">
            <v>16</v>
          </cell>
        </row>
        <row r="28">
          <cell r="M28">
            <v>18</v>
          </cell>
          <cell r="N28">
            <v>19</v>
          </cell>
          <cell r="AC28">
            <v>17</v>
          </cell>
          <cell r="AD28">
            <v>7</v>
          </cell>
        </row>
        <row r="29">
          <cell r="B29">
            <v>2011</v>
          </cell>
          <cell r="C29">
            <v>17</v>
          </cell>
          <cell r="D29">
            <v>45.7</v>
          </cell>
          <cell r="E29">
            <v>16</v>
          </cell>
          <cell r="F29">
            <v>17</v>
          </cell>
          <cell r="G29">
            <v>18</v>
          </cell>
          <cell r="H29">
            <v>19</v>
          </cell>
          <cell r="I29">
            <v>20</v>
          </cell>
          <cell r="J29">
            <v>21</v>
          </cell>
          <cell r="K29">
            <v>1</v>
          </cell>
          <cell r="L29">
            <v>2</v>
          </cell>
          <cell r="M29">
            <v>3</v>
          </cell>
          <cell r="N29">
            <v>4</v>
          </cell>
          <cell r="O29">
            <v>5</v>
          </cell>
          <cell r="P29">
            <v>6</v>
          </cell>
          <cell r="Q29">
            <v>7</v>
          </cell>
          <cell r="R29">
            <v>8</v>
          </cell>
          <cell r="S29">
            <v>9</v>
          </cell>
          <cell r="T29">
            <v>10</v>
          </cell>
          <cell r="U29">
            <v>11</v>
          </cell>
          <cell r="V29">
            <v>12</v>
          </cell>
          <cell r="W29">
            <v>13</v>
          </cell>
          <cell r="X29">
            <v>14</v>
          </cell>
          <cell r="Y29">
            <v>15</v>
          </cell>
          <cell r="Z29">
            <v>16</v>
          </cell>
          <cell r="AA29">
            <v>1</v>
          </cell>
          <cell r="AB29">
            <v>2</v>
          </cell>
          <cell r="AC29">
            <v>3</v>
          </cell>
          <cell r="AD29">
            <v>4</v>
          </cell>
          <cell r="AE29">
            <v>5</v>
          </cell>
          <cell r="AF29">
            <v>6</v>
          </cell>
          <cell r="AG29">
            <v>7</v>
          </cell>
          <cell r="AH29">
            <v>8</v>
          </cell>
          <cell r="AI29">
            <v>9</v>
          </cell>
          <cell r="AJ29">
            <v>61</v>
          </cell>
          <cell r="AK29">
            <v>74.97</v>
          </cell>
          <cell r="AM29">
            <v>7</v>
          </cell>
          <cell r="AN29">
            <v>8</v>
          </cell>
          <cell r="AO29">
            <v>2</v>
          </cell>
          <cell r="AP29">
            <v>37.484999999999999</v>
          </cell>
          <cell r="AQ29">
            <v>45.7</v>
          </cell>
          <cell r="AS29">
            <v>23</v>
          </cell>
          <cell r="AT29">
            <v>24</v>
          </cell>
          <cell r="AU29">
            <v>2</v>
          </cell>
          <cell r="AV29">
            <v>22.85</v>
          </cell>
          <cell r="BA29" t="str">
            <v>0</v>
          </cell>
          <cell r="BB29">
            <v>0</v>
          </cell>
          <cell r="BE29">
            <v>120.67</v>
          </cell>
          <cell r="BF29">
            <v>0</v>
          </cell>
          <cell r="BG29">
            <v>17</v>
          </cell>
        </row>
        <row r="30">
          <cell r="K30">
            <v>17</v>
          </cell>
          <cell r="L30">
            <v>18</v>
          </cell>
          <cell r="AA30">
            <v>9</v>
          </cell>
          <cell r="AB30">
            <v>17</v>
          </cell>
        </row>
        <row r="31">
          <cell r="B31">
            <v>2012</v>
          </cell>
          <cell r="C31">
            <v>19</v>
          </cell>
          <cell r="D31">
            <v>50.6</v>
          </cell>
          <cell r="E31">
            <v>7</v>
          </cell>
          <cell r="F31">
            <v>8</v>
          </cell>
          <cell r="G31">
            <v>9</v>
          </cell>
          <cell r="H31">
            <v>10</v>
          </cell>
          <cell r="I31">
            <v>11</v>
          </cell>
          <cell r="J31">
            <v>12</v>
          </cell>
          <cell r="K31">
            <v>13</v>
          </cell>
          <cell r="L31">
            <v>14</v>
          </cell>
          <cell r="M31">
            <v>15</v>
          </cell>
          <cell r="N31">
            <v>16</v>
          </cell>
          <cell r="O31">
            <v>17</v>
          </cell>
          <cell r="P31">
            <v>18</v>
          </cell>
          <cell r="Q31">
            <v>19</v>
          </cell>
          <cell r="R31">
            <v>1</v>
          </cell>
          <cell r="S31">
            <v>2</v>
          </cell>
          <cell r="T31">
            <v>3</v>
          </cell>
          <cell r="U31">
            <v>4</v>
          </cell>
          <cell r="V31">
            <v>5</v>
          </cell>
          <cell r="W31">
            <v>6</v>
          </cell>
          <cell r="X31">
            <v>7</v>
          </cell>
          <cell r="Y31">
            <v>8</v>
          </cell>
          <cell r="Z31">
            <v>9</v>
          </cell>
          <cell r="AA31">
            <v>10</v>
          </cell>
          <cell r="AB31">
            <v>11</v>
          </cell>
          <cell r="AC31">
            <v>12</v>
          </cell>
          <cell r="AD31">
            <v>13</v>
          </cell>
          <cell r="AE31">
            <v>14</v>
          </cell>
          <cell r="AF31">
            <v>1</v>
          </cell>
          <cell r="AG31">
            <v>2</v>
          </cell>
          <cell r="AH31">
            <v>3</v>
          </cell>
          <cell r="AI31">
            <v>4</v>
          </cell>
          <cell r="AJ31">
            <v>65</v>
          </cell>
          <cell r="AK31">
            <v>58.68</v>
          </cell>
          <cell r="AL31">
            <v>3.08</v>
          </cell>
          <cell r="AM31">
            <v>14</v>
          </cell>
          <cell r="AN31">
            <v>16</v>
          </cell>
          <cell r="AO31">
            <v>3</v>
          </cell>
          <cell r="AP31">
            <v>20.586666666666666</v>
          </cell>
          <cell r="AQ31">
            <v>27.95</v>
          </cell>
          <cell r="AS31">
            <v>28</v>
          </cell>
          <cell r="AT31">
            <v>28</v>
          </cell>
          <cell r="AU31">
            <v>1</v>
          </cell>
          <cell r="AV31">
            <v>27.95</v>
          </cell>
          <cell r="BA31" t="str">
            <v>0</v>
          </cell>
          <cell r="BB31">
            <v>0</v>
          </cell>
          <cell r="BE31">
            <v>86.63</v>
          </cell>
          <cell r="BF31">
            <v>3.08</v>
          </cell>
          <cell r="BG31">
            <v>19</v>
          </cell>
        </row>
        <row r="32">
          <cell r="R32">
            <v>19</v>
          </cell>
          <cell r="S32">
            <v>17</v>
          </cell>
          <cell r="T32">
            <v>12</v>
          </cell>
          <cell r="AF32">
            <v>17</v>
          </cell>
        </row>
        <row r="33">
          <cell r="B33">
            <v>2012</v>
          </cell>
          <cell r="C33">
            <v>20</v>
          </cell>
          <cell r="D33">
            <v>62.1</v>
          </cell>
          <cell r="E33">
            <v>5</v>
          </cell>
          <cell r="F33">
            <v>6</v>
          </cell>
          <cell r="G33">
            <v>7</v>
          </cell>
          <cell r="H33">
            <v>8</v>
          </cell>
          <cell r="I33">
            <v>9</v>
          </cell>
          <cell r="J33">
            <v>10</v>
          </cell>
          <cell r="K33">
            <v>11</v>
          </cell>
          <cell r="L33">
            <v>12</v>
          </cell>
          <cell r="M33">
            <v>13</v>
          </cell>
          <cell r="N33">
            <v>14</v>
          </cell>
          <cell r="O33">
            <v>15</v>
          </cell>
          <cell r="P33">
            <v>16</v>
          </cell>
          <cell r="Q33">
            <v>17</v>
          </cell>
          <cell r="R33">
            <v>18</v>
          </cell>
          <cell r="S33">
            <v>19</v>
          </cell>
          <cell r="T33">
            <v>20</v>
          </cell>
          <cell r="U33">
            <v>1</v>
          </cell>
          <cell r="V33">
            <v>2</v>
          </cell>
          <cell r="W33">
            <v>3</v>
          </cell>
          <cell r="X33">
            <v>4</v>
          </cell>
          <cell r="Y33">
            <v>5</v>
          </cell>
          <cell r="Z33">
            <v>6</v>
          </cell>
          <cell r="AA33">
            <v>7</v>
          </cell>
          <cell r="AB33">
            <v>8</v>
          </cell>
          <cell r="AC33">
            <v>9</v>
          </cell>
          <cell r="AD33">
            <v>10</v>
          </cell>
          <cell r="AE33">
            <v>11</v>
          </cell>
          <cell r="AF33">
            <v>12</v>
          </cell>
          <cell r="AG33">
            <v>1</v>
          </cell>
          <cell r="AH33">
            <v>2</v>
          </cell>
          <cell r="AI33">
            <v>3</v>
          </cell>
          <cell r="AJ33">
            <v>67</v>
          </cell>
          <cell r="AK33">
            <v>75.929999999999993</v>
          </cell>
          <cell r="AL33">
            <v>1.59</v>
          </cell>
          <cell r="AM33">
            <v>17</v>
          </cell>
          <cell r="AN33">
            <v>19</v>
          </cell>
          <cell r="AO33">
            <v>3</v>
          </cell>
          <cell r="AP33">
            <v>25.84</v>
          </cell>
          <cell r="AQ33">
            <v>37.82</v>
          </cell>
          <cell r="AS33">
            <v>29</v>
          </cell>
          <cell r="AT33">
            <v>30</v>
          </cell>
          <cell r="AU33">
            <v>2</v>
          </cell>
          <cell r="AV33">
            <v>18.91</v>
          </cell>
          <cell r="BA33" t="str">
            <v>0</v>
          </cell>
          <cell r="BB33">
            <v>0</v>
          </cell>
          <cell r="BE33">
            <v>113.75</v>
          </cell>
          <cell r="BF33">
            <v>1.59</v>
          </cell>
          <cell r="BG33">
            <v>20</v>
          </cell>
        </row>
        <row r="34">
          <cell r="U34">
            <v>15</v>
          </cell>
          <cell r="V34">
            <v>18</v>
          </cell>
          <cell r="W34">
            <v>7</v>
          </cell>
          <cell r="AG34">
            <v>18</v>
          </cell>
          <cell r="AH34">
            <v>9</v>
          </cell>
        </row>
        <row r="35">
          <cell r="B35">
            <v>2012</v>
          </cell>
          <cell r="C35">
            <v>21</v>
          </cell>
          <cell r="D35">
            <v>72.2</v>
          </cell>
          <cell r="E35">
            <v>2</v>
          </cell>
          <cell r="F35">
            <v>3</v>
          </cell>
          <cell r="G35">
            <v>4</v>
          </cell>
          <cell r="H35">
            <v>5</v>
          </cell>
          <cell r="I35">
            <v>6</v>
          </cell>
          <cell r="J35">
            <v>7</v>
          </cell>
          <cell r="K35">
            <v>8</v>
          </cell>
          <cell r="L35">
            <v>9</v>
          </cell>
          <cell r="M35">
            <v>10</v>
          </cell>
          <cell r="N35">
            <v>11</v>
          </cell>
          <cell r="O35">
            <v>12</v>
          </cell>
          <cell r="P35">
            <v>13</v>
          </cell>
          <cell r="Q35">
            <v>14</v>
          </cell>
          <cell r="R35">
            <v>15</v>
          </cell>
          <cell r="S35">
            <v>16</v>
          </cell>
          <cell r="T35">
            <v>17</v>
          </cell>
          <cell r="U35">
            <v>18</v>
          </cell>
          <cell r="V35">
            <v>19</v>
          </cell>
          <cell r="W35">
            <v>1</v>
          </cell>
          <cell r="X35">
            <v>2</v>
          </cell>
          <cell r="Y35">
            <v>3</v>
          </cell>
          <cell r="Z35">
            <v>4</v>
          </cell>
          <cell r="AA35">
            <v>5</v>
          </cell>
          <cell r="AB35">
            <v>6</v>
          </cell>
          <cell r="AC35">
            <v>7</v>
          </cell>
          <cell r="AD35">
            <v>8</v>
          </cell>
          <cell r="AE35">
            <v>9</v>
          </cell>
          <cell r="AF35">
            <v>10</v>
          </cell>
          <cell r="AG35">
            <v>11</v>
          </cell>
          <cell r="AH35">
            <v>1</v>
          </cell>
          <cell r="AI35">
            <v>2</v>
          </cell>
          <cell r="AJ35">
            <v>100</v>
          </cell>
          <cell r="AK35">
            <v>108.95</v>
          </cell>
          <cell r="AM35">
            <v>2</v>
          </cell>
          <cell r="AN35">
            <v>4</v>
          </cell>
          <cell r="AO35">
            <v>3</v>
          </cell>
          <cell r="AP35">
            <v>36.31666666666667</v>
          </cell>
          <cell r="AQ35">
            <v>81.06</v>
          </cell>
          <cell r="AR35">
            <v>1.0900000000000001</v>
          </cell>
          <cell r="AS35">
            <v>19</v>
          </cell>
          <cell r="AT35">
            <v>21</v>
          </cell>
          <cell r="AU35">
            <v>3</v>
          </cell>
          <cell r="AV35">
            <v>27.383333333333336</v>
          </cell>
          <cell r="AW35">
            <v>8.81</v>
          </cell>
          <cell r="AY35">
            <v>30</v>
          </cell>
          <cell r="AZ35">
            <v>30</v>
          </cell>
          <cell r="BA35">
            <v>1</v>
          </cell>
          <cell r="BB35">
            <v>8.81</v>
          </cell>
          <cell r="BE35">
            <v>198.82</v>
          </cell>
          <cell r="BF35">
            <v>1.0900000000000001</v>
          </cell>
          <cell r="BG35">
            <v>21</v>
          </cell>
        </row>
        <row r="36">
          <cell r="F36">
            <v>17</v>
          </cell>
          <cell r="G36">
            <v>19</v>
          </cell>
          <cell r="H36">
            <v>10</v>
          </cell>
          <cell r="W36">
            <v>10</v>
          </cell>
          <cell r="X36">
            <v>15</v>
          </cell>
          <cell r="Y36">
            <v>19</v>
          </cell>
          <cell r="AH36">
            <v>10</v>
          </cell>
        </row>
        <row r="37">
          <cell r="B37">
            <v>2010</v>
          </cell>
          <cell r="C37">
            <v>11</v>
          </cell>
          <cell r="D37">
            <v>44.5</v>
          </cell>
          <cell r="E37">
            <v>8</v>
          </cell>
          <cell r="F37">
            <v>9</v>
          </cell>
          <cell r="G37">
            <v>10</v>
          </cell>
          <cell r="H37">
            <v>11</v>
          </cell>
          <cell r="I37">
            <v>12</v>
          </cell>
          <cell r="J37">
            <v>13</v>
          </cell>
          <cell r="K37">
            <v>14</v>
          </cell>
          <cell r="L37">
            <v>15</v>
          </cell>
          <cell r="M37">
            <v>16</v>
          </cell>
          <cell r="N37">
            <v>17</v>
          </cell>
          <cell r="O37">
            <v>18</v>
          </cell>
          <cell r="P37">
            <v>19</v>
          </cell>
          <cell r="Q37">
            <v>20</v>
          </cell>
          <cell r="R37">
            <v>21</v>
          </cell>
          <cell r="S37">
            <v>22</v>
          </cell>
          <cell r="T37">
            <v>1</v>
          </cell>
          <cell r="U37">
            <v>2</v>
          </cell>
          <cell r="V37">
            <v>3</v>
          </cell>
          <cell r="W37">
            <v>4</v>
          </cell>
          <cell r="X37">
            <v>5</v>
          </cell>
          <cell r="Y37">
            <v>6</v>
          </cell>
          <cell r="Z37">
            <v>7</v>
          </cell>
          <cell r="AA37">
            <v>8</v>
          </cell>
          <cell r="AB37">
            <v>9</v>
          </cell>
          <cell r="AC37">
            <v>10</v>
          </cell>
          <cell r="AD37">
            <v>11</v>
          </cell>
          <cell r="AE37">
            <v>12</v>
          </cell>
          <cell r="AF37">
            <v>13</v>
          </cell>
          <cell r="AG37">
            <v>14</v>
          </cell>
          <cell r="AH37">
            <v>15</v>
          </cell>
          <cell r="AI37">
            <v>16</v>
          </cell>
          <cell r="AJ37">
            <v>35</v>
          </cell>
          <cell r="AK37">
            <v>43.64</v>
          </cell>
          <cell r="AL37">
            <v>1.69</v>
          </cell>
          <cell r="AM37">
            <v>16</v>
          </cell>
          <cell r="AN37">
            <v>22</v>
          </cell>
          <cell r="AO37">
            <v>7</v>
          </cell>
          <cell r="AP37">
            <v>6.4757142857142851</v>
          </cell>
          <cell r="AU37" t="str">
            <v>0</v>
          </cell>
          <cell r="AV37">
            <v>0</v>
          </cell>
          <cell r="BA37" t="str">
            <v>0</v>
          </cell>
          <cell r="BB37">
            <v>0</v>
          </cell>
          <cell r="BE37">
            <v>43.64</v>
          </cell>
          <cell r="BF37">
            <v>1.69</v>
          </cell>
          <cell r="BG37">
            <v>11</v>
          </cell>
        </row>
        <row r="38">
          <cell r="T38">
            <v>5</v>
          </cell>
          <cell r="U38">
            <v>5</v>
          </cell>
          <cell r="V38">
            <v>5</v>
          </cell>
          <cell r="W38">
            <v>5</v>
          </cell>
          <cell r="X38">
            <v>5</v>
          </cell>
          <cell r="Y38">
            <v>5</v>
          </cell>
          <cell r="Z38">
            <v>5</v>
          </cell>
        </row>
        <row r="39">
          <cell r="B39">
            <v>2012</v>
          </cell>
          <cell r="C39">
            <v>22</v>
          </cell>
          <cell r="D39">
            <v>52.3</v>
          </cell>
          <cell r="E39">
            <v>21</v>
          </cell>
          <cell r="F39">
            <v>22</v>
          </cell>
          <cell r="G39">
            <v>23</v>
          </cell>
          <cell r="H39">
            <v>1</v>
          </cell>
          <cell r="I39">
            <v>2</v>
          </cell>
          <cell r="J39">
            <v>3</v>
          </cell>
          <cell r="K39">
            <v>4</v>
          </cell>
          <cell r="L39">
            <v>5</v>
          </cell>
          <cell r="M39">
            <v>6</v>
          </cell>
          <cell r="N39">
            <v>7</v>
          </cell>
          <cell r="O39">
            <v>8</v>
          </cell>
          <cell r="P39">
            <v>9</v>
          </cell>
          <cell r="Q39">
            <v>10</v>
          </cell>
          <cell r="R39">
            <v>11</v>
          </cell>
          <cell r="S39">
            <v>12</v>
          </cell>
          <cell r="T39">
            <v>13</v>
          </cell>
          <cell r="U39">
            <v>14</v>
          </cell>
          <cell r="V39">
            <v>15</v>
          </cell>
          <cell r="W39">
            <v>16</v>
          </cell>
          <cell r="X39">
            <v>17</v>
          </cell>
          <cell r="Y39">
            <v>18</v>
          </cell>
          <cell r="Z39">
            <v>1</v>
          </cell>
          <cell r="AA39">
            <v>2</v>
          </cell>
          <cell r="AB39">
            <v>3</v>
          </cell>
          <cell r="AC39">
            <v>4</v>
          </cell>
          <cell r="AD39">
            <v>5</v>
          </cell>
          <cell r="AE39">
            <v>6</v>
          </cell>
          <cell r="AF39">
            <v>7</v>
          </cell>
          <cell r="AG39">
            <v>8</v>
          </cell>
          <cell r="AH39">
            <v>9</v>
          </cell>
          <cell r="AI39">
            <v>10</v>
          </cell>
          <cell r="AJ39">
            <v>66</v>
          </cell>
          <cell r="AK39">
            <v>83.04</v>
          </cell>
          <cell r="AM39">
            <v>4</v>
          </cell>
          <cell r="AN39">
            <v>6</v>
          </cell>
          <cell r="AO39">
            <v>3</v>
          </cell>
          <cell r="AP39">
            <v>27.680000000000003</v>
          </cell>
          <cell r="AQ39">
            <v>50.38</v>
          </cell>
          <cell r="AS39">
            <v>22</v>
          </cell>
          <cell r="AT39">
            <v>23</v>
          </cell>
          <cell r="AU39">
            <v>2</v>
          </cell>
          <cell r="AV39">
            <v>25.19</v>
          </cell>
          <cell r="BA39" t="str">
            <v>0</v>
          </cell>
          <cell r="BB39">
            <v>0</v>
          </cell>
          <cell r="BE39">
            <v>133.42000000000002</v>
          </cell>
          <cell r="BF39">
            <v>0</v>
          </cell>
          <cell r="BG39">
            <v>22</v>
          </cell>
        </row>
        <row r="40">
          <cell r="H40">
            <v>7</v>
          </cell>
          <cell r="I40">
            <v>16</v>
          </cell>
          <cell r="J40">
            <v>16</v>
          </cell>
          <cell r="Z40">
            <v>17</v>
          </cell>
          <cell r="AA40">
            <v>10</v>
          </cell>
        </row>
        <row r="41">
          <cell r="A41" t="str">
            <v>NU AZANI GANG</v>
          </cell>
          <cell r="B41">
            <v>2011</v>
          </cell>
          <cell r="C41">
            <v>10</v>
          </cell>
          <cell r="D41">
            <v>19.100000000000001</v>
          </cell>
          <cell r="E41">
            <v>9</v>
          </cell>
          <cell r="F41">
            <v>10</v>
          </cell>
          <cell r="G41">
            <v>11</v>
          </cell>
          <cell r="H41">
            <v>12</v>
          </cell>
          <cell r="I41">
            <v>13</v>
          </cell>
          <cell r="J41">
            <v>14</v>
          </cell>
          <cell r="K41">
            <v>15</v>
          </cell>
          <cell r="L41">
            <v>16</v>
          </cell>
          <cell r="M41">
            <v>17</v>
          </cell>
          <cell r="N41">
            <v>18</v>
          </cell>
          <cell r="O41">
            <v>19</v>
          </cell>
          <cell r="P41">
            <v>20</v>
          </cell>
          <cell r="Q41">
            <v>21</v>
          </cell>
          <cell r="R41">
            <v>22</v>
          </cell>
          <cell r="S41">
            <v>23</v>
          </cell>
          <cell r="T41">
            <v>24</v>
          </cell>
          <cell r="U41">
            <v>25</v>
          </cell>
          <cell r="V41">
            <v>26</v>
          </cell>
          <cell r="W41">
            <v>1</v>
          </cell>
          <cell r="X41">
            <v>2</v>
          </cell>
          <cell r="Y41">
            <v>3</v>
          </cell>
          <cell r="Z41">
            <v>4</v>
          </cell>
          <cell r="AA41">
            <v>5</v>
          </cell>
          <cell r="AB41">
            <v>6</v>
          </cell>
          <cell r="AC41">
            <v>7</v>
          </cell>
          <cell r="AD41">
            <v>8</v>
          </cell>
          <cell r="AE41">
            <v>9</v>
          </cell>
          <cell r="AF41">
            <v>10</v>
          </cell>
          <cell r="AG41">
            <v>11</v>
          </cell>
          <cell r="AH41">
            <v>12</v>
          </cell>
          <cell r="AI41">
            <v>13</v>
          </cell>
          <cell r="AJ41">
            <v>9</v>
          </cell>
          <cell r="AK41">
            <v>28.14</v>
          </cell>
          <cell r="AM41">
            <v>19</v>
          </cell>
          <cell r="AN41">
            <v>19</v>
          </cell>
          <cell r="AO41">
            <v>1</v>
          </cell>
          <cell r="AP41">
            <v>28.14</v>
          </cell>
          <cell r="AU41" t="str">
            <v>0</v>
          </cell>
          <cell r="AV41">
            <v>0</v>
          </cell>
          <cell r="BA41" t="str">
            <v>0</v>
          </cell>
          <cell r="BB41">
            <v>0</v>
          </cell>
          <cell r="BE41">
            <v>28.14</v>
          </cell>
          <cell r="BF41">
            <v>0</v>
          </cell>
          <cell r="BG41">
            <v>10</v>
          </cell>
        </row>
        <row r="42">
          <cell r="W42">
            <v>9</v>
          </cell>
        </row>
        <row r="43">
          <cell r="B43">
            <v>2010</v>
          </cell>
          <cell r="C43">
            <v>8</v>
          </cell>
          <cell r="D43">
            <v>61.6</v>
          </cell>
          <cell r="E43">
            <v>16</v>
          </cell>
          <cell r="F43">
            <v>17</v>
          </cell>
          <cell r="G43">
            <v>18</v>
          </cell>
          <cell r="H43">
            <v>19</v>
          </cell>
          <cell r="I43">
            <v>20</v>
          </cell>
          <cell r="J43">
            <v>21</v>
          </cell>
          <cell r="K43">
            <v>22</v>
          </cell>
          <cell r="L43">
            <v>23</v>
          </cell>
          <cell r="M43">
            <v>24</v>
          </cell>
          <cell r="N43">
            <v>1</v>
          </cell>
          <cell r="O43">
            <v>2</v>
          </cell>
          <cell r="P43">
            <v>3</v>
          </cell>
          <cell r="Q43">
            <v>4</v>
          </cell>
          <cell r="R43">
            <v>5</v>
          </cell>
          <cell r="S43">
            <v>6</v>
          </cell>
          <cell r="T43">
            <v>7</v>
          </cell>
          <cell r="U43">
            <v>8</v>
          </cell>
          <cell r="V43">
            <v>9</v>
          </cell>
          <cell r="W43">
            <v>10</v>
          </cell>
          <cell r="X43">
            <v>11</v>
          </cell>
          <cell r="Y43">
            <v>12</v>
          </cell>
          <cell r="Z43">
            <v>13</v>
          </cell>
          <cell r="AA43">
            <v>14</v>
          </cell>
          <cell r="AB43">
            <v>15</v>
          </cell>
          <cell r="AC43">
            <v>16</v>
          </cell>
          <cell r="AD43">
            <v>17</v>
          </cell>
          <cell r="AE43">
            <v>18</v>
          </cell>
          <cell r="AF43">
            <v>19</v>
          </cell>
          <cell r="AG43">
            <v>20</v>
          </cell>
          <cell r="AH43">
            <v>21</v>
          </cell>
          <cell r="AI43">
            <v>22</v>
          </cell>
          <cell r="AJ43">
            <v>36</v>
          </cell>
          <cell r="AK43">
            <v>91.53</v>
          </cell>
          <cell r="AL43">
            <v>3.1100000000000003</v>
          </cell>
          <cell r="AM43">
            <v>10</v>
          </cell>
          <cell r="AN43">
            <v>14</v>
          </cell>
          <cell r="AO43">
            <v>5</v>
          </cell>
          <cell r="AP43">
            <v>18.928000000000001</v>
          </cell>
          <cell r="AU43" t="str">
            <v>0</v>
          </cell>
          <cell r="AV43">
            <v>0</v>
          </cell>
          <cell r="BA43" t="str">
            <v>0</v>
          </cell>
          <cell r="BB43">
            <v>0</v>
          </cell>
          <cell r="BE43">
            <v>91.53</v>
          </cell>
          <cell r="BF43">
            <v>3.1100000000000003</v>
          </cell>
          <cell r="BG43">
            <v>8</v>
          </cell>
        </row>
        <row r="44">
          <cell r="N44">
            <v>8</v>
          </cell>
          <cell r="O44">
            <v>8</v>
          </cell>
          <cell r="P44">
            <v>8</v>
          </cell>
          <cell r="Q44">
            <v>8</v>
          </cell>
          <cell r="R44">
            <v>4</v>
          </cell>
        </row>
        <row r="45">
          <cell r="B45">
            <v>2010</v>
          </cell>
          <cell r="C45">
            <v>9</v>
          </cell>
          <cell r="D45">
            <v>38.299999999999997</v>
          </cell>
          <cell r="E45">
            <v>12</v>
          </cell>
          <cell r="F45">
            <v>13</v>
          </cell>
          <cell r="G45">
            <v>14</v>
          </cell>
          <cell r="H45">
            <v>15</v>
          </cell>
          <cell r="I45">
            <v>16</v>
          </cell>
          <cell r="J45">
            <v>17</v>
          </cell>
          <cell r="K45">
            <v>18</v>
          </cell>
          <cell r="L45">
            <v>19</v>
          </cell>
          <cell r="M45">
            <v>20</v>
          </cell>
          <cell r="N45">
            <v>21</v>
          </cell>
          <cell r="O45">
            <v>22</v>
          </cell>
          <cell r="P45">
            <v>23</v>
          </cell>
          <cell r="Q45">
            <v>24</v>
          </cell>
          <cell r="R45">
            <v>1</v>
          </cell>
          <cell r="S45">
            <v>2</v>
          </cell>
          <cell r="T45">
            <v>3</v>
          </cell>
          <cell r="U45">
            <v>4</v>
          </cell>
          <cell r="V45">
            <v>5</v>
          </cell>
          <cell r="W45">
            <v>6</v>
          </cell>
          <cell r="X45">
            <v>7</v>
          </cell>
          <cell r="Y45">
            <v>8</v>
          </cell>
          <cell r="Z45">
            <v>9</v>
          </cell>
          <cell r="AA45">
            <v>10</v>
          </cell>
          <cell r="AB45">
            <v>11</v>
          </cell>
          <cell r="AC45">
            <v>12</v>
          </cell>
          <cell r="AD45">
            <v>13</v>
          </cell>
          <cell r="AE45">
            <v>14</v>
          </cell>
          <cell r="AF45">
            <v>15</v>
          </cell>
          <cell r="AG45">
            <v>16</v>
          </cell>
          <cell r="AH45">
            <v>17</v>
          </cell>
          <cell r="AI45">
            <v>18</v>
          </cell>
          <cell r="AJ45">
            <v>30</v>
          </cell>
          <cell r="AK45">
            <v>57.030000000000008</v>
          </cell>
          <cell r="AL45">
            <v>6.7299999999999995</v>
          </cell>
          <cell r="AM45">
            <v>14</v>
          </cell>
          <cell r="AN45">
            <v>18</v>
          </cell>
          <cell r="AO45">
            <v>5</v>
          </cell>
          <cell r="AP45">
            <v>12.752000000000001</v>
          </cell>
          <cell r="AU45" t="str">
            <v>0</v>
          </cell>
          <cell r="AV45">
            <v>0</v>
          </cell>
          <cell r="BA45" t="str">
            <v>0</v>
          </cell>
          <cell r="BB45">
            <v>0</v>
          </cell>
          <cell r="BE45">
            <v>57.030000000000008</v>
          </cell>
          <cell r="BF45">
            <v>6.7299999999999995</v>
          </cell>
          <cell r="BG45">
            <v>9</v>
          </cell>
        </row>
        <row r="46">
          <cell r="R46">
            <v>4</v>
          </cell>
          <cell r="S46">
            <v>8</v>
          </cell>
          <cell r="T46">
            <v>4</v>
          </cell>
          <cell r="U46">
            <v>5</v>
          </cell>
          <cell r="V46">
            <v>9</v>
          </cell>
        </row>
        <row r="47">
          <cell r="B47">
            <v>2010</v>
          </cell>
          <cell r="C47">
            <v>12</v>
          </cell>
          <cell r="D47">
            <v>71</v>
          </cell>
          <cell r="E47">
            <v>8</v>
          </cell>
          <cell r="F47">
            <v>9</v>
          </cell>
          <cell r="G47">
            <v>10</v>
          </cell>
          <cell r="H47">
            <v>11</v>
          </cell>
          <cell r="I47">
            <v>12</v>
          </cell>
          <cell r="J47">
            <v>13</v>
          </cell>
          <cell r="K47">
            <v>14</v>
          </cell>
          <cell r="L47">
            <v>15</v>
          </cell>
          <cell r="M47">
            <v>16</v>
          </cell>
          <cell r="N47">
            <v>17</v>
          </cell>
          <cell r="O47">
            <v>18</v>
          </cell>
          <cell r="P47">
            <v>19</v>
          </cell>
          <cell r="Q47">
            <v>20</v>
          </cell>
          <cell r="R47">
            <v>21</v>
          </cell>
          <cell r="S47">
            <v>22</v>
          </cell>
          <cell r="T47">
            <v>23</v>
          </cell>
          <cell r="U47">
            <v>24</v>
          </cell>
          <cell r="V47">
            <v>25</v>
          </cell>
          <cell r="W47">
            <v>26</v>
          </cell>
          <cell r="X47">
            <v>1</v>
          </cell>
          <cell r="Y47">
            <v>2</v>
          </cell>
          <cell r="Z47">
            <v>3</v>
          </cell>
          <cell r="AA47">
            <v>4</v>
          </cell>
          <cell r="AB47">
            <v>5</v>
          </cell>
          <cell r="AC47">
            <v>6</v>
          </cell>
          <cell r="AD47">
            <v>7</v>
          </cell>
          <cell r="AE47">
            <v>8</v>
          </cell>
          <cell r="AF47">
            <v>9</v>
          </cell>
          <cell r="AG47">
            <v>10</v>
          </cell>
          <cell r="AH47">
            <v>11</v>
          </cell>
          <cell r="AI47">
            <v>12</v>
          </cell>
          <cell r="AJ47">
            <v>45</v>
          </cell>
          <cell r="AK47">
            <v>92.97</v>
          </cell>
          <cell r="AM47">
            <v>20</v>
          </cell>
          <cell r="AN47">
            <v>24</v>
          </cell>
          <cell r="AO47">
            <v>5</v>
          </cell>
          <cell r="AP47">
            <v>18.594000000000001</v>
          </cell>
          <cell r="AU47" t="str">
            <v>0</v>
          </cell>
          <cell r="AV47">
            <v>0</v>
          </cell>
          <cell r="BA47" t="str">
            <v>0</v>
          </cell>
          <cell r="BB47">
            <v>0</v>
          </cell>
          <cell r="BE47">
            <v>92.97</v>
          </cell>
          <cell r="BF47">
            <v>0</v>
          </cell>
          <cell r="BG47">
            <v>12</v>
          </cell>
        </row>
        <row r="48">
          <cell r="X48">
            <v>9</v>
          </cell>
          <cell r="Y48">
            <v>9</v>
          </cell>
          <cell r="Z48">
            <v>9</v>
          </cell>
          <cell r="AA48">
            <v>9</v>
          </cell>
          <cell r="AB48">
            <v>9</v>
          </cell>
        </row>
        <row r="49">
          <cell r="B49">
            <v>2011</v>
          </cell>
          <cell r="C49">
            <v>13</v>
          </cell>
          <cell r="D49">
            <v>60.8</v>
          </cell>
          <cell r="E49">
            <v>21</v>
          </cell>
          <cell r="F49">
            <v>22</v>
          </cell>
          <cell r="G49">
            <v>23</v>
          </cell>
          <cell r="H49">
            <v>1</v>
          </cell>
          <cell r="I49">
            <v>2</v>
          </cell>
          <cell r="J49">
            <v>3</v>
          </cell>
          <cell r="K49">
            <v>4</v>
          </cell>
          <cell r="L49">
            <v>5</v>
          </cell>
          <cell r="M49">
            <v>6</v>
          </cell>
          <cell r="N49">
            <v>7</v>
          </cell>
          <cell r="O49">
            <v>8</v>
          </cell>
          <cell r="P49">
            <v>9</v>
          </cell>
          <cell r="Q49">
            <v>10</v>
          </cell>
          <cell r="R49">
            <v>11</v>
          </cell>
          <cell r="S49">
            <v>12</v>
          </cell>
          <cell r="T49">
            <v>13</v>
          </cell>
          <cell r="U49">
            <v>14</v>
          </cell>
          <cell r="V49">
            <v>15</v>
          </cell>
          <cell r="W49">
            <v>16</v>
          </cell>
          <cell r="X49">
            <v>17</v>
          </cell>
          <cell r="Y49">
            <v>18</v>
          </cell>
          <cell r="Z49">
            <v>19</v>
          </cell>
          <cell r="AA49">
            <v>20</v>
          </cell>
          <cell r="AB49">
            <v>21</v>
          </cell>
          <cell r="AC49">
            <v>22</v>
          </cell>
          <cell r="AD49">
            <v>23</v>
          </cell>
          <cell r="AE49">
            <v>24</v>
          </cell>
          <cell r="AF49">
            <v>1</v>
          </cell>
          <cell r="AG49">
            <v>2</v>
          </cell>
          <cell r="AH49">
            <v>3</v>
          </cell>
          <cell r="AI49">
            <v>4</v>
          </cell>
          <cell r="AJ49">
            <v>84</v>
          </cell>
          <cell r="AK49">
            <v>104.81</v>
          </cell>
          <cell r="AM49">
            <v>4</v>
          </cell>
          <cell r="AN49">
            <v>9</v>
          </cell>
          <cell r="AO49">
            <v>6</v>
          </cell>
          <cell r="AP49">
            <v>17.468333333333334</v>
          </cell>
          <cell r="AQ49">
            <v>79.900000000000006</v>
          </cell>
          <cell r="AS49">
            <v>28</v>
          </cell>
          <cell r="AT49">
            <v>31</v>
          </cell>
          <cell r="AU49">
            <v>4</v>
          </cell>
          <cell r="AV49">
            <v>19.975000000000001</v>
          </cell>
          <cell r="BA49" t="str">
            <v>0</v>
          </cell>
          <cell r="BB49">
            <v>0</v>
          </cell>
          <cell r="BE49">
            <v>184.71</v>
          </cell>
          <cell r="BF49">
            <v>0</v>
          </cell>
          <cell r="BG49">
            <v>13</v>
          </cell>
        </row>
        <row r="50">
          <cell r="H50">
            <v>8</v>
          </cell>
          <cell r="I50">
            <v>8</v>
          </cell>
          <cell r="J50">
            <v>8</v>
          </cell>
          <cell r="K50">
            <v>8</v>
          </cell>
          <cell r="L50">
            <v>8</v>
          </cell>
          <cell r="M50">
            <v>8</v>
          </cell>
          <cell r="AF50">
            <v>9</v>
          </cell>
          <cell r="AG50">
            <v>9</v>
          </cell>
          <cell r="AH50">
            <v>9</v>
          </cell>
          <cell r="AI50">
            <v>9</v>
          </cell>
        </row>
        <row r="51">
          <cell r="B51">
            <v>2011</v>
          </cell>
          <cell r="C51">
            <v>18</v>
          </cell>
          <cell r="D51">
            <v>40.799999999999997</v>
          </cell>
          <cell r="E51">
            <v>3</v>
          </cell>
          <cell r="F51">
            <v>4</v>
          </cell>
          <cell r="G51">
            <v>5</v>
          </cell>
          <cell r="H51">
            <v>6</v>
          </cell>
          <cell r="I51">
            <v>7</v>
          </cell>
          <cell r="J51">
            <v>8</v>
          </cell>
          <cell r="K51">
            <v>9</v>
          </cell>
          <cell r="L51">
            <v>10</v>
          </cell>
          <cell r="M51">
            <v>11</v>
          </cell>
          <cell r="N51">
            <v>12</v>
          </cell>
          <cell r="O51">
            <v>13</v>
          </cell>
          <cell r="P51">
            <v>14</v>
          </cell>
          <cell r="Q51">
            <v>15</v>
          </cell>
          <cell r="R51">
            <v>16</v>
          </cell>
          <cell r="S51">
            <v>17</v>
          </cell>
          <cell r="T51">
            <v>18</v>
          </cell>
          <cell r="U51">
            <v>19</v>
          </cell>
          <cell r="V51">
            <v>20</v>
          </cell>
          <cell r="W51">
            <v>21</v>
          </cell>
          <cell r="X51">
            <v>22</v>
          </cell>
          <cell r="Y51">
            <v>23</v>
          </cell>
          <cell r="Z51">
            <v>24</v>
          </cell>
          <cell r="AA51">
            <v>25</v>
          </cell>
          <cell r="AB51">
            <v>26</v>
          </cell>
          <cell r="AC51">
            <v>1</v>
          </cell>
          <cell r="AD51">
            <v>2</v>
          </cell>
          <cell r="AE51">
            <v>3</v>
          </cell>
          <cell r="AF51">
            <v>4</v>
          </cell>
          <cell r="AG51">
            <v>5</v>
          </cell>
          <cell r="AH51">
            <v>6</v>
          </cell>
          <cell r="AI51">
            <v>7</v>
          </cell>
          <cell r="AJ51">
            <v>43</v>
          </cell>
          <cell r="AK51">
            <v>38.35</v>
          </cell>
          <cell r="AM51">
            <v>2</v>
          </cell>
          <cell r="AN51">
            <v>3</v>
          </cell>
          <cell r="AO51">
            <v>2</v>
          </cell>
          <cell r="AP51">
            <v>19.175000000000001</v>
          </cell>
          <cell r="AQ51">
            <v>70.31</v>
          </cell>
          <cell r="AS51">
            <v>25</v>
          </cell>
          <cell r="AT51">
            <v>27</v>
          </cell>
          <cell r="AU51">
            <v>3</v>
          </cell>
          <cell r="AV51">
            <v>23.436666666666667</v>
          </cell>
          <cell r="BA51" t="str">
            <v>0</v>
          </cell>
          <cell r="BB51">
            <v>0</v>
          </cell>
          <cell r="BE51">
            <v>108.66</v>
          </cell>
          <cell r="BF51">
            <v>0</v>
          </cell>
          <cell r="BG51">
            <v>18</v>
          </cell>
        </row>
        <row r="52">
          <cell r="F52">
            <v>8</v>
          </cell>
          <cell r="G52">
            <v>8</v>
          </cell>
          <cell r="AC52">
            <v>9</v>
          </cell>
          <cell r="AD52">
            <v>9</v>
          </cell>
          <cell r="AE52">
            <v>9</v>
          </cell>
        </row>
        <row r="53">
          <cell r="A53" t="str">
            <v>WENDELINUS</v>
          </cell>
          <cell r="B53">
            <v>2016</v>
          </cell>
          <cell r="C53">
            <v>39</v>
          </cell>
          <cell r="D53">
            <v>1.48</v>
          </cell>
          <cell r="E53">
            <v>2</v>
          </cell>
          <cell r="F53">
            <v>3</v>
          </cell>
          <cell r="G53">
            <v>4</v>
          </cell>
          <cell r="H53">
            <v>5</v>
          </cell>
          <cell r="I53">
            <v>6</v>
          </cell>
          <cell r="J53">
            <v>7</v>
          </cell>
          <cell r="K53">
            <v>8</v>
          </cell>
          <cell r="L53">
            <v>9</v>
          </cell>
          <cell r="M53">
            <v>10</v>
          </cell>
          <cell r="N53">
            <v>11</v>
          </cell>
          <cell r="O53">
            <v>12</v>
          </cell>
          <cell r="P53">
            <v>13</v>
          </cell>
          <cell r="Q53">
            <v>14</v>
          </cell>
          <cell r="R53">
            <v>15</v>
          </cell>
          <cell r="S53">
            <v>1</v>
          </cell>
          <cell r="T53">
            <v>2</v>
          </cell>
          <cell r="U53">
            <v>3</v>
          </cell>
          <cell r="V53">
            <v>4</v>
          </cell>
          <cell r="W53">
            <v>5</v>
          </cell>
          <cell r="X53">
            <v>6</v>
          </cell>
          <cell r="Y53">
            <v>7</v>
          </cell>
          <cell r="Z53">
            <v>8</v>
          </cell>
          <cell r="AA53">
            <v>9</v>
          </cell>
          <cell r="AB53">
            <v>10</v>
          </cell>
          <cell r="AC53">
            <v>11</v>
          </cell>
          <cell r="AD53">
            <v>12</v>
          </cell>
          <cell r="AE53">
            <v>13</v>
          </cell>
          <cell r="AF53">
            <v>14</v>
          </cell>
          <cell r="AG53">
            <v>15</v>
          </cell>
          <cell r="AH53">
            <v>16</v>
          </cell>
          <cell r="AI53">
            <v>17</v>
          </cell>
          <cell r="AJ53">
            <v>6</v>
          </cell>
          <cell r="AK53">
            <v>1.93</v>
          </cell>
          <cell r="AM53">
            <v>15</v>
          </cell>
          <cell r="AN53">
            <v>15</v>
          </cell>
          <cell r="AO53">
            <v>1</v>
          </cell>
          <cell r="AP53">
            <v>1.93</v>
          </cell>
          <cell r="AU53" t="str">
            <v>0</v>
          </cell>
          <cell r="AV53">
            <v>0</v>
          </cell>
          <cell r="BA53" t="str">
            <v>0</v>
          </cell>
          <cell r="BB53">
            <v>0</v>
          </cell>
          <cell r="BE53">
            <v>1.93</v>
          </cell>
          <cell r="BF53">
            <v>0</v>
          </cell>
          <cell r="BG53">
            <v>39</v>
          </cell>
        </row>
        <row r="54">
          <cell r="S54">
            <v>6</v>
          </cell>
        </row>
        <row r="55">
          <cell r="B55">
            <v>2016</v>
          </cell>
          <cell r="C55">
            <v>33</v>
          </cell>
          <cell r="D55">
            <v>28.72</v>
          </cell>
          <cell r="E55">
            <v>11</v>
          </cell>
          <cell r="F55">
            <v>12</v>
          </cell>
          <cell r="G55">
            <v>13</v>
          </cell>
          <cell r="H55">
            <v>14</v>
          </cell>
          <cell r="I55">
            <v>15</v>
          </cell>
          <cell r="J55">
            <v>16</v>
          </cell>
          <cell r="K55">
            <v>1</v>
          </cell>
          <cell r="L55">
            <v>2</v>
          </cell>
          <cell r="M55">
            <v>3</v>
          </cell>
          <cell r="N55">
            <v>4</v>
          </cell>
          <cell r="O55">
            <v>5</v>
          </cell>
          <cell r="P55">
            <v>6</v>
          </cell>
          <cell r="Q55">
            <v>7</v>
          </cell>
          <cell r="R55">
            <v>8</v>
          </cell>
          <cell r="S55">
            <v>9</v>
          </cell>
          <cell r="T55">
            <v>10</v>
          </cell>
          <cell r="U55">
            <v>11</v>
          </cell>
          <cell r="V55">
            <v>12</v>
          </cell>
          <cell r="W55">
            <v>13</v>
          </cell>
          <cell r="X55">
            <v>14</v>
          </cell>
          <cell r="Y55">
            <v>15</v>
          </cell>
          <cell r="Z55">
            <v>16</v>
          </cell>
          <cell r="AA55">
            <v>17</v>
          </cell>
          <cell r="AB55">
            <v>1</v>
          </cell>
          <cell r="AC55">
            <v>2</v>
          </cell>
          <cell r="AD55">
            <v>3</v>
          </cell>
          <cell r="AE55">
            <v>4</v>
          </cell>
          <cell r="AF55">
            <v>5</v>
          </cell>
          <cell r="AG55">
            <v>6</v>
          </cell>
          <cell r="AH55">
            <v>7</v>
          </cell>
          <cell r="AI55">
            <v>8</v>
          </cell>
          <cell r="AJ55">
            <v>48</v>
          </cell>
          <cell r="AK55">
            <v>29.020000000000003</v>
          </cell>
          <cell r="AM55">
            <v>7</v>
          </cell>
          <cell r="AN55">
            <v>10</v>
          </cell>
          <cell r="AO55">
            <v>4</v>
          </cell>
          <cell r="AP55">
            <v>7.2550000000000008</v>
          </cell>
          <cell r="AQ55">
            <v>18.73</v>
          </cell>
          <cell r="AS55">
            <v>24</v>
          </cell>
          <cell r="AT55">
            <v>27</v>
          </cell>
          <cell r="AU55">
            <v>4</v>
          </cell>
          <cell r="AV55">
            <v>4.6825000000000001</v>
          </cell>
          <cell r="BA55" t="str">
            <v>0</v>
          </cell>
          <cell r="BB55">
            <v>0</v>
          </cell>
          <cell r="BE55">
            <v>47.75</v>
          </cell>
          <cell r="BF55">
            <v>0</v>
          </cell>
          <cell r="BG55">
            <v>33</v>
          </cell>
        </row>
        <row r="56">
          <cell r="K56">
            <v>6</v>
          </cell>
          <cell r="L56">
            <v>6</v>
          </cell>
          <cell r="M56">
            <v>6</v>
          </cell>
          <cell r="N56">
            <v>6</v>
          </cell>
          <cell r="AB56">
            <v>6</v>
          </cell>
          <cell r="AC56">
            <v>6</v>
          </cell>
          <cell r="AD56">
            <v>6</v>
          </cell>
          <cell r="AE56">
            <v>6</v>
          </cell>
        </row>
        <row r="57">
          <cell r="B57">
            <v>2015</v>
          </cell>
          <cell r="C57">
            <v>28</v>
          </cell>
          <cell r="D57">
            <v>25.54</v>
          </cell>
          <cell r="E57">
            <v>6</v>
          </cell>
          <cell r="F57">
            <v>7</v>
          </cell>
          <cell r="G57">
            <v>8</v>
          </cell>
          <cell r="H57">
            <v>9</v>
          </cell>
          <cell r="I57">
            <v>10</v>
          </cell>
          <cell r="J57">
            <v>11</v>
          </cell>
          <cell r="K57">
            <v>12</v>
          </cell>
          <cell r="L57">
            <v>13</v>
          </cell>
          <cell r="M57">
            <v>14</v>
          </cell>
          <cell r="N57">
            <v>15</v>
          </cell>
          <cell r="O57">
            <v>16</v>
          </cell>
          <cell r="P57">
            <v>1</v>
          </cell>
          <cell r="Q57">
            <v>2</v>
          </cell>
          <cell r="R57">
            <v>3</v>
          </cell>
          <cell r="S57">
            <v>4</v>
          </cell>
          <cell r="T57">
            <v>5</v>
          </cell>
          <cell r="U57">
            <v>6</v>
          </cell>
          <cell r="V57">
            <v>7</v>
          </cell>
          <cell r="W57">
            <v>8</v>
          </cell>
          <cell r="X57">
            <v>9</v>
          </cell>
          <cell r="Y57">
            <v>10</v>
          </cell>
          <cell r="Z57">
            <v>11</v>
          </cell>
          <cell r="AA57">
            <v>12</v>
          </cell>
          <cell r="AB57">
            <v>13</v>
          </cell>
          <cell r="AC57">
            <v>14</v>
          </cell>
          <cell r="AD57">
            <v>15</v>
          </cell>
          <cell r="AE57">
            <v>16</v>
          </cell>
          <cell r="AF57">
            <v>17</v>
          </cell>
          <cell r="AG57">
            <v>1</v>
          </cell>
          <cell r="AH57">
            <v>2</v>
          </cell>
          <cell r="AI57">
            <v>3</v>
          </cell>
          <cell r="AJ57">
            <v>18</v>
          </cell>
          <cell r="AK57">
            <v>16.939999999999998</v>
          </cell>
          <cell r="AM57">
            <v>12</v>
          </cell>
          <cell r="AN57">
            <v>17</v>
          </cell>
          <cell r="AO57">
            <v>6</v>
          </cell>
          <cell r="AP57">
            <v>2.8233333333333328</v>
          </cell>
          <cell r="AQ57">
            <v>7.76</v>
          </cell>
          <cell r="AS57">
            <v>29</v>
          </cell>
          <cell r="AT57">
            <v>29</v>
          </cell>
          <cell r="AU57">
            <v>1</v>
          </cell>
          <cell r="AV57">
            <v>7.76</v>
          </cell>
          <cell r="BA57" t="str">
            <v>0</v>
          </cell>
          <cell r="BB57">
            <v>0</v>
          </cell>
          <cell r="BE57">
            <v>24.699999999999996</v>
          </cell>
          <cell r="BF57">
            <v>0</v>
          </cell>
          <cell r="BG57">
            <v>28</v>
          </cell>
        </row>
        <row r="58">
          <cell r="P58">
            <v>6</v>
          </cell>
          <cell r="U58">
            <v>6</v>
          </cell>
          <cell r="AG58">
            <v>6</v>
          </cell>
        </row>
        <row r="59">
          <cell r="C59">
            <v>27</v>
          </cell>
          <cell r="D59">
            <v>35.93</v>
          </cell>
          <cell r="E59">
            <v>15</v>
          </cell>
          <cell r="F59">
            <v>16</v>
          </cell>
          <cell r="G59">
            <v>1</v>
          </cell>
          <cell r="H59">
            <v>2</v>
          </cell>
          <cell r="I59">
            <v>3</v>
          </cell>
          <cell r="J59">
            <v>4</v>
          </cell>
          <cell r="K59">
            <v>5</v>
          </cell>
          <cell r="L59">
            <v>6</v>
          </cell>
          <cell r="M59">
            <v>7</v>
          </cell>
          <cell r="N59">
            <v>8</v>
          </cell>
          <cell r="O59">
            <v>9</v>
          </cell>
          <cell r="P59">
            <v>10</v>
          </cell>
          <cell r="Q59">
            <v>11</v>
          </cell>
          <cell r="R59">
            <v>12</v>
          </cell>
          <cell r="S59">
            <v>13</v>
          </cell>
          <cell r="T59">
            <v>14</v>
          </cell>
          <cell r="U59">
            <v>15</v>
          </cell>
          <cell r="V59">
            <v>16</v>
          </cell>
          <cell r="W59">
            <v>17</v>
          </cell>
          <cell r="X59">
            <v>18</v>
          </cell>
          <cell r="Y59">
            <v>1</v>
          </cell>
          <cell r="Z59">
            <v>2</v>
          </cell>
          <cell r="AA59">
            <v>3</v>
          </cell>
          <cell r="AB59">
            <v>4</v>
          </cell>
          <cell r="AC59">
            <v>5</v>
          </cell>
          <cell r="AD59">
            <v>6</v>
          </cell>
          <cell r="AE59">
            <v>7</v>
          </cell>
          <cell r="AF59">
            <v>8</v>
          </cell>
          <cell r="AG59">
            <v>9</v>
          </cell>
          <cell r="AH59">
            <v>10</v>
          </cell>
          <cell r="AI59">
            <v>11</v>
          </cell>
          <cell r="AJ59">
            <v>18</v>
          </cell>
          <cell r="AK59">
            <v>9.64</v>
          </cell>
          <cell r="AM59">
            <v>3</v>
          </cell>
          <cell r="AN59">
            <v>4</v>
          </cell>
          <cell r="AO59">
            <v>2</v>
          </cell>
          <cell r="AP59">
            <v>4.82</v>
          </cell>
          <cell r="AQ59">
            <v>5.83</v>
          </cell>
          <cell r="AS59">
            <v>21</v>
          </cell>
          <cell r="AT59">
            <v>21</v>
          </cell>
          <cell r="AU59">
            <v>1</v>
          </cell>
          <cell r="AV59">
            <v>5.83</v>
          </cell>
          <cell r="BA59" t="str">
            <v>0</v>
          </cell>
          <cell r="BB59">
            <v>0</v>
          </cell>
          <cell r="BE59">
            <v>15.47</v>
          </cell>
          <cell r="BF59">
            <v>0</v>
          </cell>
          <cell r="BG59">
            <v>27</v>
          </cell>
        </row>
        <row r="60">
          <cell r="G60">
            <v>6</v>
          </cell>
          <cell r="H60">
            <v>6</v>
          </cell>
          <cell r="Y60">
            <v>6</v>
          </cell>
        </row>
        <row r="61">
          <cell r="C61">
            <v>25</v>
          </cell>
          <cell r="D61">
            <v>36.64</v>
          </cell>
          <cell r="E61">
            <v>13</v>
          </cell>
          <cell r="F61">
            <v>14</v>
          </cell>
          <cell r="G61">
            <v>15</v>
          </cell>
          <cell r="H61">
            <v>16</v>
          </cell>
          <cell r="I61">
            <v>17</v>
          </cell>
          <cell r="J61">
            <v>1</v>
          </cell>
          <cell r="K61">
            <v>2</v>
          </cell>
          <cell r="L61">
            <v>3</v>
          </cell>
          <cell r="M61">
            <v>4</v>
          </cell>
          <cell r="N61">
            <v>5</v>
          </cell>
          <cell r="O61">
            <v>6</v>
          </cell>
          <cell r="P61">
            <v>7</v>
          </cell>
          <cell r="Q61">
            <v>8</v>
          </cell>
          <cell r="R61">
            <v>9</v>
          </cell>
          <cell r="S61">
            <v>10</v>
          </cell>
          <cell r="T61">
            <v>11</v>
          </cell>
          <cell r="U61">
            <v>12</v>
          </cell>
          <cell r="V61">
            <v>13</v>
          </cell>
          <cell r="W61">
            <v>14</v>
          </cell>
          <cell r="X61">
            <v>15</v>
          </cell>
          <cell r="Y61">
            <v>16</v>
          </cell>
          <cell r="Z61">
            <v>1</v>
          </cell>
          <cell r="AA61">
            <v>2</v>
          </cell>
          <cell r="AB61">
            <v>3</v>
          </cell>
          <cell r="AC61">
            <v>4</v>
          </cell>
          <cell r="AD61">
            <v>5</v>
          </cell>
          <cell r="AE61">
            <v>6</v>
          </cell>
          <cell r="AF61">
            <v>7</v>
          </cell>
          <cell r="AG61">
            <v>8</v>
          </cell>
          <cell r="AH61">
            <v>9</v>
          </cell>
          <cell r="AI61">
            <v>10</v>
          </cell>
          <cell r="AJ61">
            <v>18</v>
          </cell>
          <cell r="AK61">
            <v>7.62</v>
          </cell>
          <cell r="AM61">
            <v>6</v>
          </cell>
          <cell r="AN61">
            <v>6</v>
          </cell>
          <cell r="AO61">
            <v>1</v>
          </cell>
          <cell r="AP61">
            <v>7.62</v>
          </cell>
          <cell r="AQ61">
            <v>5.59</v>
          </cell>
          <cell r="AS61">
            <v>22</v>
          </cell>
          <cell r="AT61">
            <v>23</v>
          </cell>
          <cell r="AU61">
            <v>2</v>
          </cell>
          <cell r="AV61">
            <v>2.7949999999999999</v>
          </cell>
          <cell r="BA61" t="str">
            <v>0</v>
          </cell>
          <cell r="BB61">
            <v>0</v>
          </cell>
          <cell r="BE61">
            <v>13.21</v>
          </cell>
          <cell r="BF61">
            <v>0</v>
          </cell>
          <cell r="BG61">
            <v>25</v>
          </cell>
        </row>
        <row r="62">
          <cell r="J62">
            <v>6</v>
          </cell>
          <cell r="Z62">
            <v>6</v>
          </cell>
          <cell r="AA62">
            <v>6</v>
          </cell>
        </row>
        <row r="63">
          <cell r="C63" t="str">
            <v>26A</v>
          </cell>
          <cell r="D63">
            <v>22.75</v>
          </cell>
          <cell r="E63">
            <v>4</v>
          </cell>
          <cell r="F63">
            <v>5</v>
          </cell>
          <cell r="G63">
            <v>6</v>
          </cell>
          <cell r="H63">
            <v>7</v>
          </cell>
          <cell r="I63">
            <v>8</v>
          </cell>
          <cell r="J63">
            <v>9</v>
          </cell>
          <cell r="K63">
            <v>10</v>
          </cell>
          <cell r="L63">
            <v>11</v>
          </cell>
          <cell r="M63">
            <v>12</v>
          </cell>
          <cell r="N63">
            <v>13</v>
          </cell>
          <cell r="O63">
            <v>14</v>
          </cell>
          <cell r="P63">
            <v>15</v>
          </cell>
          <cell r="Q63">
            <v>16</v>
          </cell>
          <cell r="R63">
            <v>17</v>
          </cell>
          <cell r="S63">
            <v>18</v>
          </cell>
          <cell r="T63">
            <v>19</v>
          </cell>
          <cell r="U63">
            <v>20</v>
          </cell>
          <cell r="V63">
            <v>1</v>
          </cell>
          <cell r="W63">
            <v>2</v>
          </cell>
          <cell r="X63">
            <v>3</v>
          </cell>
          <cell r="Y63">
            <v>4</v>
          </cell>
          <cell r="Z63">
            <v>5</v>
          </cell>
          <cell r="AA63">
            <v>6</v>
          </cell>
          <cell r="AB63">
            <v>7</v>
          </cell>
          <cell r="AC63">
            <v>8</v>
          </cell>
          <cell r="AD63">
            <v>9</v>
          </cell>
          <cell r="AE63">
            <v>10</v>
          </cell>
          <cell r="AF63">
            <v>11</v>
          </cell>
          <cell r="AG63">
            <v>12</v>
          </cell>
          <cell r="AH63">
            <v>13</v>
          </cell>
          <cell r="AI63">
            <v>1</v>
          </cell>
          <cell r="AJ63">
            <v>18</v>
          </cell>
          <cell r="AK63">
            <v>12.600000000000001</v>
          </cell>
          <cell r="AM63">
            <v>18</v>
          </cell>
          <cell r="AN63">
            <v>19</v>
          </cell>
          <cell r="AO63">
            <v>2</v>
          </cell>
          <cell r="AP63">
            <v>6.3000000000000007</v>
          </cell>
          <cell r="AQ63">
            <v>2.0699999999999998</v>
          </cell>
          <cell r="AS63">
            <v>31</v>
          </cell>
          <cell r="AT63">
            <v>31</v>
          </cell>
          <cell r="AU63">
            <v>1</v>
          </cell>
          <cell r="AV63">
            <v>2.0699999999999998</v>
          </cell>
          <cell r="BA63" t="str">
            <v>0</v>
          </cell>
          <cell r="BB63">
            <v>0</v>
          </cell>
          <cell r="BE63">
            <v>14.670000000000002</v>
          </cell>
          <cell r="BF63">
            <v>0</v>
          </cell>
          <cell r="BG63" t="str">
            <v>26A</v>
          </cell>
        </row>
        <row r="64">
          <cell r="V64">
            <v>6</v>
          </cell>
          <cell r="W64">
            <v>6</v>
          </cell>
          <cell r="AI64">
            <v>6</v>
          </cell>
        </row>
        <row r="65">
          <cell r="B65">
            <v>2015</v>
          </cell>
          <cell r="C65">
            <v>30</v>
          </cell>
          <cell r="D65">
            <v>66.13</v>
          </cell>
          <cell r="E65">
            <v>7</v>
          </cell>
          <cell r="F65">
            <v>8</v>
          </cell>
          <cell r="G65">
            <v>9</v>
          </cell>
          <cell r="H65">
            <v>10</v>
          </cell>
          <cell r="I65">
            <v>11</v>
          </cell>
          <cell r="J65">
            <v>12</v>
          </cell>
          <cell r="K65">
            <v>13</v>
          </cell>
          <cell r="L65">
            <v>14</v>
          </cell>
          <cell r="M65">
            <v>15</v>
          </cell>
          <cell r="N65">
            <v>16</v>
          </cell>
          <cell r="O65">
            <v>17</v>
          </cell>
          <cell r="P65">
            <v>18</v>
          </cell>
          <cell r="Q65">
            <v>19</v>
          </cell>
          <cell r="R65">
            <v>1</v>
          </cell>
          <cell r="S65">
            <v>2</v>
          </cell>
          <cell r="T65">
            <v>3</v>
          </cell>
          <cell r="U65">
            <v>4</v>
          </cell>
          <cell r="V65">
            <v>5</v>
          </cell>
          <cell r="W65">
            <v>6</v>
          </cell>
          <cell r="X65">
            <v>7</v>
          </cell>
          <cell r="Y65">
            <v>8</v>
          </cell>
          <cell r="Z65">
            <v>9</v>
          </cell>
          <cell r="AA65">
            <v>10</v>
          </cell>
          <cell r="AB65">
            <v>11</v>
          </cell>
          <cell r="AC65">
            <v>12</v>
          </cell>
          <cell r="AD65">
            <v>13</v>
          </cell>
          <cell r="AE65">
            <v>14</v>
          </cell>
          <cell r="AF65">
            <v>15</v>
          </cell>
          <cell r="AG65">
            <v>16</v>
          </cell>
          <cell r="AH65">
            <v>1</v>
          </cell>
          <cell r="AI65">
            <v>2</v>
          </cell>
          <cell r="AJ65">
            <v>12</v>
          </cell>
          <cell r="AK65">
            <v>6.1099999999999994</v>
          </cell>
          <cell r="AM65">
            <v>14</v>
          </cell>
          <cell r="AN65">
            <v>14</v>
          </cell>
          <cell r="AO65">
            <v>1</v>
          </cell>
          <cell r="AP65">
            <v>6.1099999999999994</v>
          </cell>
          <cell r="AS65">
            <v>30</v>
          </cell>
          <cell r="AT65">
            <v>30</v>
          </cell>
          <cell r="AU65">
            <v>1</v>
          </cell>
          <cell r="AV65">
            <v>0</v>
          </cell>
          <cell r="BA65" t="str">
            <v>0</v>
          </cell>
          <cell r="BB65">
            <v>0</v>
          </cell>
          <cell r="BE65">
            <v>6.1099999999999994</v>
          </cell>
          <cell r="BF65">
            <v>0</v>
          </cell>
          <cell r="BG65">
            <v>30</v>
          </cell>
        </row>
        <row r="66">
          <cell r="R66">
            <v>6</v>
          </cell>
          <cell r="AH66">
            <v>6</v>
          </cell>
        </row>
        <row r="67">
          <cell r="B67">
            <v>2015</v>
          </cell>
          <cell r="C67">
            <v>31</v>
          </cell>
          <cell r="D67">
            <v>34.08</v>
          </cell>
          <cell r="E67">
            <v>8</v>
          </cell>
          <cell r="F67">
            <v>9</v>
          </cell>
          <cell r="G67">
            <v>10</v>
          </cell>
          <cell r="H67">
            <v>11</v>
          </cell>
          <cell r="I67">
            <v>12</v>
          </cell>
          <cell r="J67">
            <v>13</v>
          </cell>
          <cell r="K67">
            <v>14</v>
          </cell>
          <cell r="L67">
            <v>15</v>
          </cell>
          <cell r="M67">
            <v>16</v>
          </cell>
          <cell r="N67">
            <v>17</v>
          </cell>
          <cell r="O67">
            <v>1</v>
          </cell>
          <cell r="P67">
            <v>2</v>
          </cell>
          <cell r="Q67">
            <v>3</v>
          </cell>
          <cell r="R67">
            <v>4</v>
          </cell>
          <cell r="S67">
            <v>5</v>
          </cell>
          <cell r="T67">
            <v>6</v>
          </cell>
          <cell r="U67">
            <v>7</v>
          </cell>
          <cell r="V67">
            <v>8</v>
          </cell>
          <cell r="W67">
            <v>9</v>
          </cell>
          <cell r="X67">
            <v>10</v>
          </cell>
          <cell r="Y67">
            <v>11</v>
          </cell>
          <cell r="Z67">
            <v>12</v>
          </cell>
          <cell r="AA67">
            <v>13</v>
          </cell>
          <cell r="AB67">
            <v>14</v>
          </cell>
          <cell r="AC67">
            <v>15</v>
          </cell>
          <cell r="AD67">
            <v>16</v>
          </cell>
          <cell r="AE67">
            <v>17</v>
          </cell>
          <cell r="AF67">
            <v>1</v>
          </cell>
          <cell r="AG67">
            <v>2</v>
          </cell>
          <cell r="AH67">
            <v>3</v>
          </cell>
          <cell r="AI67">
            <v>4</v>
          </cell>
          <cell r="AJ67">
            <v>18</v>
          </cell>
          <cell r="AK67">
            <v>6.39</v>
          </cell>
          <cell r="AM67">
            <v>11</v>
          </cell>
          <cell r="AN67">
            <v>13</v>
          </cell>
          <cell r="AO67">
            <v>3</v>
          </cell>
          <cell r="AP67">
            <v>2.13</v>
          </cell>
          <cell r="AQ67">
            <v>1.33</v>
          </cell>
          <cell r="AS67">
            <v>28</v>
          </cell>
          <cell r="AT67">
            <v>28</v>
          </cell>
          <cell r="AU67">
            <v>1</v>
          </cell>
          <cell r="AV67">
            <v>1.33</v>
          </cell>
          <cell r="BA67" t="str">
            <v>0</v>
          </cell>
          <cell r="BB67">
            <v>0</v>
          </cell>
          <cell r="BE67">
            <v>7.72</v>
          </cell>
          <cell r="BF67">
            <v>0</v>
          </cell>
          <cell r="BG67">
            <v>31</v>
          </cell>
        </row>
        <row r="68">
          <cell r="O68">
            <v>6</v>
          </cell>
          <cell r="Q68">
            <v>6</v>
          </cell>
          <cell r="AF68">
            <v>6</v>
          </cell>
        </row>
        <row r="69">
          <cell r="B69">
            <v>2015</v>
          </cell>
          <cell r="C69">
            <v>29</v>
          </cell>
          <cell r="D69">
            <v>11.38</v>
          </cell>
          <cell r="E69">
            <v>1</v>
          </cell>
          <cell r="F69">
            <v>2</v>
          </cell>
          <cell r="G69">
            <v>3</v>
          </cell>
          <cell r="H69">
            <v>4</v>
          </cell>
          <cell r="I69">
            <v>5</v>
          </cell>
          <cell r="J69">
            <v>6</v>
          </cell>
          <cell r="K69">
            <v>7</v>
          </cell>
          <cell r="L69">
            <v>8</v>
          </cell>
          <cell r="M69">
            <v>9</v>
          </cell>
          <cell r="N69">
            <v>10</v>
          </cell>
          <cell r="O69">
            <v>11</v>
          </cell>
          <cell r="P69">
            <v>12</v>
          </cell>
          <cell r="Q69">
            <v>13</v>
          </cell>
          <cell r="R69">
            <v>14</v>
          </cell>
          <cell r="S69">
            <v>15</v>
          </cell>
          <cell r="T69">
            <v>16</v>
          </cell>
          <cell r="U69">
            <v>17</v>
          </cell>
          <cell r="V69">
            <v>18</v>
          </cell>
          <cell r="W69">
            <v>19</v>
          </cell>
          <cell r="X69">
            <v>1</v>
          </cell>
          <cell r="Y69">
            <v>2</v>
          </cell>
          <cell r="Z69">
            <v>3</v>
          </cell>
          <cell r="AA69">
            <v>4</v>
          </cell>
          <cell r="AB69">
            <v>5</v>
          </cell>
          <cell r="AC69">
            <v>6</v>
          </cell>
          <cell r="AD69">
            <v>7</v>
          </cell>
          <cell r="AE69">
            <v>8</v>
          </cell>
          <cell r="AF69">
            <v>9</v>
          </cell>
          <cell r="AG69">
            <v>10</v>
          </cell>
          <cell r="AH69">
            <v>11</v>
          </cell>
          <cell r="AI69">
            <v>12</v>
          </cell>
          <cell r="AJ69">
            <v>12</v>
          </cell>
          <cell r="AK69">
            <v>0.83</v>
          </cell>
          <cell r="AM69">
            <v>1</v>
          </cell>
          <cell r="AN69">
            <v>1</v>
          </cell>
          <cell r="AO69">
            <v>1</v>
          </cell>
          <cell r="AP69">
            <v>0.83</v>
          </cell>
          <cell r="AQ69">
            <v>1</v>
          </cell>
          <cell r="AS69">
            <v>20</v>
          </cell>
          <cell r="AT69">
            <v>20</v>
          </cell>
          <cell r="AU69">
            <v>1</v>
          </cell>
          <cell r="AV69">
            <v>1</v>
          </cell>
          <cell r="BA69" t="str">
            <v>0</v>
          </cell>
          <cell r="BB69">
            <v>0</v>
          </cell>
          <cell r="BE69">
            <v>1.83</v>
          </cell>
          <cell r="BF69">
            <v>0</v>
          </cell>
          <cell r="BG69">
            <v>29</v>
          </cell>
        </row>
        <row r="70">
          <cell r="E70">
            <v>6</v>
          </cell>
          <cell r="X70">
            <v>6</v>
          </cell>
        </row>
        <row r="71">
          <cell r="B71">
            <v>2014</v>
          </cell>
          <cell r="C71">
            <v>105</v>
          </cell>
          <cell r="E71">
            <v>121</v>
          </cell>
          <cell r="F71">
            <v>122</v>
          </cell>
          <cell r="G71">
            <v>123</v>
          </cell>
          <cell r="H71">
            <v>124</v>
          </cell>
          <cell r="I71">
            <v>125</v>
          </cell>
          <cell r="J71">
            <v>126</v>
          </cell>
          <cell r="K71">
            <v>127</v>
          </cell>
          <cell r="L71">
            <v>128</v>
          </cell>
          <cell r="M71">
            <v>129</v>
          </cell>
          <cell r="N71">
            <v>130</v>
          </cell>
          <cell r="O71">
            <v>131</v>
          </cell>
          <cell r="P71">
            <v>132</v>
          </cell>
          <cell r="Q71">
            <v>133</v>
          </cell>
          <cell r="R71">
            <v>134</v>
          </cell>
          <cell r="S71">
            <v>135</v>
          </cell>
          <cell r="T71">
            <v>136</v>
          </cell>
          <cell r="U71">
            <v>137</v>
          </cell>
          <cell r="V71">
            <v>138</v>
          </cell>
          <cell r="W71">
            <v>139</v>
          </cell>
          <cell r="X71">
            <v>140</v>
          </cell>
          <cell r="Y71">
            <v>141</v>
          </cell>
          <cell r="Z71">
            <v>142</v>
          </cell>
          <cell r="AA71">
            <v>143</v>
          </cell>
          <cell r="AB71">
            <v>144</v>
          </cell>
          <cell r="AC71">
            <v>145</v>
          </cell>
          <cell r="AD71">
            <v>146</v>
          </cell>
          <cell r="AE71">
            <v>147</v>
          </cell>
          <cell r="AF71">
            <v>148</v>
          </cell>
          <cell r="AG71">
            <v>149</v>
          </cell>
          <cell r="AH71">
            <v>150</v>
          </cell>
          <cell r="AI71">
            <v>151</v>
          </cell>
          <cell r="AJ71">
            <v>0</v>
          </cell>
          <cell r="BE71">
            <v>0</v>
          </cell>
          <cell r="BF71">
            <v>0</v>
          </cell>
          <cell r="BG71">
            <v>105</v>
          </cell>
        </row>
        <row r="73">
          <cell r="B73">
            <v>2008</v>
          </cell>
          <cell r="C73">
            <v>114</v>
          </cell>
          <cell r="E73">
            <v>121</v>
          </cell>
          <cell r="F73">
            <v>122</v>
          </cell>
          <cell r="G73">
            <v>123</v>
          </cell>
          <cell r="H73">
            <v>124</v>
          </cell>
          <cell r="I73">
            <v>125</v>
          </cell>
          <cell r="J73">
            <v>126</v>
          </cell>
          <cell r="K73">
            <v>127</v>
          </cell>
          <cell r="L73">
            <v>128</v>
          </cell>
          <cell r="M73">
            <v>129</v>
          </cell>
          <cell r="N73">
            <v>130</v>
          </cell>
          <cell r="O73">
            <v>131</v>
          </cell>
          <cell r="P73">
            <v>132</v>
          </cell>
          <cell r="Q73">
            <v>133</v>
          </cell>
          <cell r="R73">
            <v>134</v>
          </cell>
          <cell r="S73">
            <v>135</v>
          </cell>
          <cell r="T73">
            <v>136</v>
          </cell>
          <cell r="U73">
            <v>137</v>
          </cell>
          <cell r="V73">
            <v>138</v>
          </cell>
          <cell r="W73">
            <v>139</v>
          </cell>
          <cell r="X73">
            <v>140</v>
          </cell>
          <cell r="Y73">
            <v>141</v>
          </cell>
          <cell r="Z73">
            <v>142</v>
          </cell>
          <cell r="AA73">
            <v>143</v>
          </cell>
          <cell r="AB73">
            <v>144</v>
          </cell>
          <cell r="AC73">
            <v>145</v>
          </cell>
          <cell r="AD73">
            <v>146</v>
          </cell>
          <cell r="AE73">
            <v>147</v>
          </cell>
          <cell r="AF73">
            <v>148</v>
          </cell>
          <cell r="AG73">
            <v>149</v>
          </cell>
          <cell r="AH73">
            <v>150</v>
          </cell>
          <cell r="AI73">
            <v>151</v>
          </cell>
          <cell r="AJ73">
            <v>0</v>
          </cell>
          <cell r="BE73">
            <v>0</v>
          </cell>
          <cell r="BF73">
            <v>0</v>
          </cell>
          <cell r="BG73">
            <v>114</v>
          </cell>
        </row>
        <row r="75">
          <cell r="A75" t="str">
            <v>TOTAL MANDAYS TODAY</v>
          </cell>
          <cell r="E75">
            <v>16</v>
          </cell>
          <cell r="F75">
            <v>25</v>
          </cell>
          <cell r="G75">
            <v>59</v>
          </cell>
          <cell r="H75">
            <v>50</v>
          </cell>
          <cell r="I75">
            <v>43</v>
          </cell>
          <cell r="J75">
            <v>47</v>
          </cell>
          <cell r="K75">
            <v>48</v>
          </cell>
          <cell r="L75">
            <v>51</v>
          </cell>
          <cell r="M75">
            <v>51</v>
          </cell>
          <cell r="N75">
            <v>52</v>
          </cell>
          <cell r="O75">
            <v>52</v>
          </cell>
          <cell r="P75">
            <v>44</v>
          </cell>
          <cell r="Q75">
            <v>47</v>
          </cell>
          <cell r="R75">
            <v>53</v>
          </cell>
          <cell r="S75">
            <v>54</v>
          </cell>
          <cell r="T75">
            <v>29</v>
          </cell>
          <cell r="U75">
            <v>54</v>
          </cell>
          <cell r="V75">
            <v>61</v>
          </cell>
          <cell r="W75">
            <v>60</v>
          </cell>
          <cell r="X75">
            <v>41</v>
          </cell>
          <cell r="Y75">
            <v>61</v>
          </cell>
          <cell r="Z75">
            <v>60</v>
          </cell>
          <cell r="AA75">
            <v>60</v>
          </cell>
          <cell r="AB75">
            <v>58</v>
          </cell>
          <cell r="AC75">
            <v>57</v>
          </cell>
          <cell r="AD75">
            <v>57</v>
          </cell>
          <cell r="AE75">
            <v>60</v>
          </cell>
          <cell r="AF75">
            <v>59</v>
          </cell>
          <cell r="AG75">
            <v>60</v>
          </cell>
          <cell r="AH75">
            <v>62</v>
          </cell>
          <cell r="AI75">
            <v>43</v>
          </cell>
          <cell r="AJ75" t="str">
            <v>SUB TOTAL (MT)</v>
          </cell>
          <cell r="AK75">
            <v>1752.6799999999998</v>
          </cell>
          <cell r="AL75">
            <v>49.239999999999995</v>
          </cell>
          <cell r="AO75">
            <v>118</v>
          </cell>
          <cell r="AP75">
            <v>15.270508474576269</v>
          </cell>
          <cell r="AQ75">
            <v>828.91000000000008</v>
          </cell>
          <cell r="AR75">
            <v>1.0900000000000001</v>
          </cell>
          <cell r="AU75">
            <v>60</v>
          </cell>
          <cell r="AV75">
            <v>13.833333333333336</v>
          </cell>
          <cell r="AW75">
            <v>8.81</v>
          </cell>
          <cell r="AX75">
            <v>0</v>
          </cell>
          <cell r="BA75">
            <v>1</v>
          </cell>
          <cell r="BB75">
            <v>8.81</v>
          </cell>
          <cell r="BC75">
            <v>0</v>
          </cell>
          <cell r="BD75">
            <v>0</v>
          </cell>
          <cell r="BE75">
            <v>2590.3999999999996</v>
          </cell>
          <cell r="BF75">
            <v>50.33</v>
          </cell>
        </row>
        <row r="76">
          <cell r="A76" t="str">
            <v>TOTAL MANDAYS TODATE</v>
          </cell>
          <cell r="E76">
            <v>16</v>
          </cell>
          <cell r="F76">
            <v>41</v>
          </cell>
          <cell r="G76">
            <v>100</v>
          </cell>
          <cell r="H76">
            <v>150</v>
          </cell>
          <cell r="I76">
            <v>193</v>
          </cell>
          <cell r="J76">
            <v>240</v>
          </cell>
          <cell r="K76">
            <v>288</v>
          </cell>
          <cell r="L76">
            <v>339</v>
          </cell>
          <cell r="M76">
            <v>390</v>
          </cell>
          <cell r="N76">
            <v>442</v>
          </cell>
          <cell r="O76">
            <v>494</v>
          </cell>
          <cell r="P76">
            <v>538</v>
          </cell>
          <cell r="Q76">
            <v>585</v>
          </cell>
          <cell r="R76">
            <v>638</v>
          </cell>
          <cell r="S76">
            <v>692</v>
          </cell>
          <cell r="T76">
            <v>721</v>
          </cell>
          <cell r="U76">
            <v>775</v>
          </cell>
          <cell r="V76">
            <v>836</v>
          </cell>
          <cell r="W76">
            <v>896</v>
          </cell>
          <cell r="X76">
            <v>937</v>
          </cell>
          <cell r="Y76">
            <v>998</v>
          </cell>
          <cell r="Z76">
            <v>1058</v>
          </cell>
          <cell r="AA76">
            <v>1118</v>
          </cell>
          <cell r="AB76">
            <v>1176</v>
          </cell>
          <cell r="AC76">
            <v>1233</v>
          </cell>
          <cell r="AD76">
            <v>1290</v>
          </cell>
          <cell r="AE76">
            <v>1350</v>
          </cell>
          <cell r="AF76">
            <v>1409</v>
          </cell>
          <cell r="AG76">
            <v>1469</v>
          </cell>
          <cell r="AH76">
            <v>1531</v>
          </cell>
          <cell r="AI76">
            <v>1574</v>
          </cell>
        </row>
        <row r="77">
          <cell r="A77" t="str">
            <v>AVERAGE HARVESTING INTERVAL</v>
          </cell>
          <cell r="AJ77" t="str">
            <v>GRAND TOTAL(MT) :</v>
          </cell>
          <cell r="BE77">
            <v>2640.7299999999996</v>
          </cell>
        </row>
        <row r="79">
          <cell r="E79" t="str">
            <v>REMARK</v>
          </cell>
        </row>
      </sheetData>
      <sheetData sheetId="1">
        <row r="5">
          <cell r="C5">
            <v>1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.1 Rainfall Record"/>
      <sheetName val="OVERALL BY GANG COMPARISON V3"/>
      <sheetName val="OVERALL"/>
      <sheetName val="OVERALL BY GANG"/>
      <sheetName val="YUVENTUS UN GANG"/>
      <sheetName val="DARSO GANG"/>
      <sheetName val="ERDI GANG"/>
      <sheetName val="SERAN GANG"/>
      <sheetName val="NU AZANI GANG"/>
      <sheetName val="WENDERLINUS GANG "/>
      <sheetName val="HARVESTING INTERVAL- SEPT"/>
      <sheetName val="4.4 Harvesting Round Record"/>
      <sheetName val="HARVESTING ROUND"/>
      <sheetName val="OVERALL BY GANG COMPARISON"/>
      <sheetName val="OVERALL BY GANG COMPARISON V2."/>
      <sheetName val="FFB Budget 2025"/>
      <sheetName val="Harvesting Record VS FFB BUDGET"/>
    </sheetNames>
    <sheetDataSet>
      <sheetData sheetId="0"/>
      <sheetData sheetId="1"/>
      <sheetData sheetId="2"/>
      <sheetData sheetId="3"/>
      <sheetData sheetId="4">
        <row r="7">
          <cell r="A7">
            <v>1</v>
          </cell>
          <cell r="B7">
            <v>53.2</v>
          </cell>
          <cell r="C7">
            <v>85</v>
          </cell>
          <cell r="D7">
            <v>42.379999999999995</v>
          </cell>
          <cell r="E7">
            <v>33.93</v>
          </cell>
          <cell r="F7">
            <v>0</v>
          </cell>
          <cell r="G7">
            <v>76.31</v>
          </cell>
          <cell r="I7">
            <v>66</v>
          </cell>
          <cell r="J7">
            <v>1.1562121212121212</v>
          </cell>
          <cell r="L7">
            <v>9.77</v>
          </cell>
          <cell r="M7">
            <v>27.17</v>
          </cell>
          <cell r="N7">
            <v>0</v>
          </cell>
          <cell r="O7">
            <v>36.94</v>
          </cell>
          <cell r="P7">
            <v>15.36</v>
          </cell>
          <cell r="Q7">
            <v>24.08</v>
          </cell>
          <cell r="R7">
            <v>0</v>
          </cell>
          <cell r="S7">
            <v>39.44</v>
          </cell>
          <cell r="T7">
            <v>15.14</v>
          </cell>
          <cell r="U7">
            <v>7.87</v>
          </cell>
          <cell r="V7">
            <v>4.54</v>
          </cell>
          <cell r="W7">
            <v>27.55</v>
          </cell>
          <cell r="X7">
            <v>20.25</v>
          </cell>
          <cell r="Y7">
            <v>13.88</v>
          </cell>
          <cell r="Z7">
            <v>0</v>
          </cell>
          <cell r="AA7">
            <v>34.130000000000003</v>
          </cell>
          <cell r="AB7">
            <v>45.97</v>
          </cell>
          <cell r="AC7">
            <v>12.94</v>
          </cell>
          <cell r="AD7">
            <v>0</v>
          </cell>
          <cell r="AE7">
            <v>58.91</v>
          </cell>
          <cell r="AF7">
            <v>40.75</v>
          </cell>
          <cell r="AG7">
            <v>13.29</v>
          </cell>
          <cell r="AH7">
            <v>0</v>
          </cell>
          <cell r="AI7">
            <v>54.04</v>
          </cell>
          <cell r="AJ7">
            <v>28.57</v>
          </cell>
          <cell r="AK7">
            <v>16.23</v>
          </cell>
          <cell r="AL7">
            <v>0</v>
          </cell>
          <cell r="AM7">
            <v>44.8</v>
          </cell>
          <cell r="AN7">
            <v>33.31</v>
          </cell>
          <cell r="AO7">
            <v>32.630000000000003</v>
          </cell>
          <cell r="AP7">
            <v>0</v>
          </cell>
          <cell r="AQ7">
            <v>65.94</v>
          </cell>
          <cell r="AR7">
            <v>24.71</v>
          </cell>
          <cell r="AS7">
            <v>26.41</v>
          </cell>
          <cell r="AT7">
            <v>0</v>
          </cell>
          <cell r="AU7">
            <v>51.120000000000005</v>
          </cell>
          <cell r="AV7">
            <v>68.66</v>
          </cell>
          <cell r="AW7">
            <v>39.69</v>
          </cell>
          <cell r="AX7">
            <v>0</v>
          </cell>
          <cell r="AY7">
            <v>108.35</v>
          </cell>
          <cell r="AZ7">
            <v>40.619999999999997</v>
          </cell>
          <cell r="BA7">
            <v>9.34</v>
          </cell>
          <cell r="BB7">
            <v>53.889999999999993</v>
          </cell>
          <cell r="BC7">
            <v>103.85</v>
          </cell>
          <cell r="BD7">
            <v>65.930000000000007</v>
          </cell>
          <cell r="BE7">
            <v>16.14</v>
          </cell>
          <cell r="BF7">
            <v>0</v>
          </cell>
          <cell r="BG7">
            <v>82.070000000000007</v>
          </cell>
        </row>
        <row r="8">
          <cell r="A8">
            <v>3</v>
          </cell>
          <cell r="B8">
            <v>69.2</v>
          </cell>
          <cell r="C8">
            <v>111</v>
          </cell>
          <cell r="D8">
            <v>64.740000000000009</v>
          </cell>
          <cell r="E8">
            <v>27.73</v>
          </cell>
          <cell r="F8">
            <v>0</v>
          </cell>
          <cell r="G8">
            <v>92.470000000000013</v>
          </cell>
          <cell r="I8">
            <v>78</v>
          </cell>
          <cell r="J8">
            <v>1.1855128205128207</v>
          </cell>
          <cell r="L8">
            <v>51.04</v>
          </cell>
          <cell r="M8">
            <v>20.2</v>
          </cell>
          <cell r="N8">
            <v>0</v>
          </cell>
          <cell r="O8">
            <v>71.239999999999995</v>
          </cell>
          <cell r="P8">
            <v>14.17</v>
          </cell>
          <cell r="Q8">
            <v>24.44</v>
          </cell>
          <cell r="R8">
            <v>0</v>
          </cell>
          <cell r="S8">
            <v>38.61</v>
          </cell>
          <cell r="T8">
            <v>12.73</v>
          </cell>
          <cell r="U8">
            <v>2.87</v>
          </cell>
          <cell r="V8">
            <v>0</v>
          </cell>
          <cell r="W8">
            <v>15.600000000000001</v>
          </cell>
          <cell r="X8">
            <v>34.22</v>
          </cell>
          <cell r="Y8">
            <v>15.52</v>
          </cell>
          <cell r="Z8">
            <v>0</v>
          </cell>
          <cell r="AA8">
            <v>49.739999999999995</v>
          </cell>
          <cell r="AB8">
            <v>49.54</v>
          </cell>
          <cell r="AC8">
            <v>11.01</v>
          </cell>
          <cell r="AD8">
            <v>0</v>
          </cell>
          <cell r="AE8">
            <v>60.55</v>
          </cell>
          <cell r="AF8">
            <v>47.06</v>
          </cell>
          <cell r="AG8">
            <v>10.6</v>
          </cell>
          <cell r="AH8">
            <v>0</v>
          </cell>
          <cell r="AI8">
            <v>57.660000000000004</v>
          </cell>
          <cell r="AJ8">
            <v>49.22</v>
          </cell>
          <cell r="AK8">
            <v>16.170000000000002</v>
          </cell>
          <cell r="AL8">
            <v>0</v>
          </cell>
          <cell r="AM8">
            <v>65.39</v>
          </cell>
          <cell r="AN8">
            <v>82.38</v>
          </cell>
          <cell r="AO8">
            <v>31.87</v>
          </cell>
          <cell r="AP8">
            <v>0</v>
          </cell>
          <cell r="AQ8">
            <v>114.25</v>
          </cell>
          <cell r="AR8">
            <v>53.67</v>
          </cell>
          <cell r="AS8">
            <v>40.25</v>
          </cell>
          <cell r="AT8">
            <v>0</v>
          </cell>
          <cell r="AU8">
            <v>93.92</v>
          </cell>
          <cell r="AV8">
            <v>130.71</v>
          </cell>
          <cell r="AW8">
            <v>16.11</v>
          </cell>
          <cell r="AX8">
            <v>0</v>
          </cell>
          <cell r="AY8">
            <v>146.82</v>
          </cell>
          <cell r="AZ8">
            <v>23.8</v>
          </cell>
          <cell r="BA8">
            <v>37.81</v>
          </cell>
          <cell r="BB8">
            <v>0</v>
          </cell>
          <cell r="BC8">
            <v>61.61</v>
          </cell>
          <cell r="BD8">
            <v>111.05</v>
          </cell>
          <cell r="BE8">
            <v>40.630000000000003</v>
          </cell>
          <cell r="BF8">
            <v>0</v>
          </cell>
          <cell r="BG8">
            <v>151.68</v>
          </cell>
        </row>
        <row r="9">
          <cell r="A9">
            <v>14</v>
          </cell>
          <cell r="B9">
            <v>41.6</v>
          </cell>
          <cell r="C9">
            <v>70</v>
          </cell>
          <cell r="D9">
            <v>62.89</v>
          </cell>
          <cell r="E9">
            <v>13.16</v>
          </cell>
          <cell r="F9">
            <v>0</v>
          </cell>
          <cell r="G9">
            <v>76.05</v>
          </cell>
          <cell r="I9">
            <v>68</v>
          </cell>
          <cell r="J9">
            <v>1.1183823529411765</v>
          </cell>
          <cell r="L9">
            <v>49.21</v>
          </cell>
          <cell r="M9">
            <v>3.66</v>
          </cell>
          <cell r="N9">
            <v>0</v>
          </cell>
          <cell r="O9">
            <v>52.870000000000005</v>
          </cell>
          <cell r="P9">
            <v>15.54</v>
          </cell>
          <cell r="Q9">
            <v>23.28</v>
          </cell>
          <cell r="R9">
            <v>0</v>
          </cell>
          <cell r="S9">
            <v>38.82</v>
          </cell>
          <cell r="T9">
            <v>12.49</v>
          </cell>
          <cell r="U9">
            <v>6.09</v>
          </cell>
          <cell r="V9">
            <v>0</v>
          </cell>
          <cell r="W9">
            <v>18.579999999999998</v>
          </cell>
          <cell r="X9">
            <v>28.29</v>
          </cell>
          <cell r="Y9">
            <v>19.72</v>
          </cell>
          <cell r="Z9">
            <v>0</v>
          </cell>
          <cell r="AA9">
            <v>48.01</v>
          </cell>
          <cell r="AB9">
            <v>44.78</v>
          </cell>
          <cell r="AC9">
            <v>26.98</v>
          </cell>
          <cell r="AD9">
            <v>0</v>
          </cell>
          <cell r="AE9">
            <v>71.760000000000005</v>
          </cell>
          <cell r="AF9">
            <v>25.46</v>
          </cell>
          <cell r="AG9">
            <v>15.82</v>
          </cell>
          <cell r="AH9">
            <v>0</v>
          </cell>
          <cell r="AI9">
            <v>41.28</v>
          </cell>
          <cell r="AJ9">
            <v>41.1</v>
          </cell>
          <cell r="AK9">
            <v>11.93</v>
          </cell>
          <cell r="AL9">
            <v>0</v>
          </cell>
          <cell r="AM9">
            <v>53.03</v>
          </cell>
          <cell r="AN9">
            <v>87.25</v>
          </cell>
          <cell r="AO9">
            <v>17.93</v>
          </cell>
          <cell r="AP9">
            <v>0</v>
          </cell>
          <cell r="AQ9">
            <v>105.18</v>
          </cell>
          <cell r="AR9">
            <v>3.62</v>
          </cell>
          <cell r="AS9">
            <v>46.62</v>
          </cell>
          <cell r="AT9">
            <v>34.22</v>
          </cell>
          <cell r="AU9">
            <v>84.46</v>
          </cell>
          <cell r="AV9">
            <v>32.299999999999997</v>
          </cell>
          <cell r="AW9">
            <v>63.89</v>
          </cell>
          <cell r="AX9">
            <v>0</v>
          </cell>
          <cell r="AY9">
            <v>96.19</v>
          </cell>
          <cell r="AZ9">
            <v>31.495999999999999</v>
          </cell>
          <cell r="BA9">
            <v>27.1</v>
          </cell>
          <cell r="BB9">
            <v>0</v>
          </cell>
          <cell r="BC9">
            <v>58.596000000000004</v>
          </cell>
          <cell r="BD9">
            <v>59.76</v>
          </cell>
          <cell r="BE9">
            <v>34.15</v>
          </cell>
          <cell r="BF9">
            <v>0</v>
          </cell>
          <cell r="BG9">
            <v>93.91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cc Dept" id="{4A25EA57-383C-49B8-8605-DA4B247E54E1}" userId="db3deaf7f0b9c0f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5-07-09T01:44:10.31" personId="{4A25EA57-383C-49B8-8605-DA4B247E54E1}" id="{DE2298AD-78FA-4C0A-86B9-4C37DB0C0435}">
    <text>MIKHAEL &amp; SERAN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1" dT="2025-07-09T01:44:10.31" personId="{4A25EA57-383C-49B8-8605-DA4B247E54E1}" id="{B32DB91B-3C43-498A-9E5A-68FC742FABF6}">
    <text>MIKHAEL &amp; SERAN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1.bin"/><Relationship Id="rId4" Type="http://schemas.microsoft.com/office/2017/10/relationships/threadedComment" Target="../threadedComments/threadedComment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37B97-C8B7-47CB-B1DC-4F6E6115BCB7}">
  <sheetPr>
    <pageSetUpPr fitToPage="1"/>
  </sheetPr>
  <dimension ref="A1:AO155"/>
  <sheetViews>
    <sheetView zoomScaleNormal="100" zoomScaleSheetLayoutView="100" workbookViewId="0">
      <selection activeCell="L153" sqref="L153"/>
    </sheetView>
  </sheetViews>
  <sheetFormatPr defaultRowHeight="15" outlineLevelRow="1" x14ac:dyDescent="0.25"/>
  <cols>
    <col min="1" max="1" width="14.85546875" customWidth="1"/>
    <col min="2" max="2" width="7.140625" customWidth="1"/>
    <col min="3" max="8" width="10.85546875" customWidth="1"/>
    <col min="9" max="11" width="9.5703125" customWidth="1"/>
    <col min="12" max="12" width="9.140625" style="593"/>
    <col min="14" max="14" width="9.140625" customWidth="1"/>
    <col min="15" max="15" width="0.7109375" customWidth="1"/>
    <col min="16" max="17" width="14.7109375" hidden="1" customWidth="1"/>
    <col min="18" max="19" width="14.7109375" style="484" hidden="1" customWidth="1"/>
    <col min="20" max="20" width="9.7109375" hidden="1" customWidth="1"/>
    <col min="21" max="24" width="9.140625" hidden="1" customWidth="1"/>
    <col min="25" max="29" width="9.140625" style="7" hidden="1" customWidth="1"/>
    <col min="30" max="41" width="9.140625" style="564" hidden="1" customWidth="1"/>
    <col min="42" max="43" width="9.140625" customWidth="1"/>
  </cols>
  <sheetData>
    <row r="1" spans="1:41" s="5" customFormat="1" x14ac:dyDescent="0.25">
      <c r="A1" s="5" t="s">
        <v>205</v>
      </c>
      <c r="L1" s="889"/>
      <c r="R1" s="522"/>
      <c r="S1" s="522"/>
      <c r="Y1" s="7"/>
      <c r="Z1" s="7"/>
      <c r="AA1" s="7"/>
      <c r="AB1" s="7"/>
      <c r="AC1" s="7"/>
      <c r="AD1" s="887"/>
      <c r="AE1" s="887"/>
      <c r="AF1" s="887"/>
      <c r="AG1" s="887"/>
      <c r="AH1" s="887"/>
      <c r="AI1" s="887"/>
      <c r="AJ1" s="887"/>
      <c r="AK1" s="887"/>
      <c r="AL1" s="887"/>
      <c r="AM1" s="887"/>
      <c r="AN1" s="887"/>
      <c r="AO1" s="887"/>
    </row>
    <row r="2" spans="1:41" s="7" customFormat="1" ht="15.75" thickBot="1" x14ac:dyDescent="0.3">
      <c r="A2" s="474">
        <v>45992</v>
      </c>
      <c r="B2" s="474"/>
      <c r="L2" s="890"/>
      <c r="R2" s="472"/>
      <c r="S2" s="472"/>
      <c r="AD2" s="815"/>
      <c r="AE2" s="815"/>
      <c r="AF2" s="815"/>
      <c r="AG2" s="815"/>
      <c r="AH2" s="815"/>
      <c r="AI2" s="815"/>
      <c r="AJ2" s="815"/>
      <c r="AK2" s="815"/>
      <c r="AL2" s="815"/>
      <c r="AM2" s="815"/>
      <c r="AN2" s="815"/>
      <c r="AO2" s="815"/>
    </row>
    <row r="3" spans="1:41" s="7" customFormat="1" ht="15.75" thickBot="1" x14ac:dyDescent="0.3">
      <c r="A3" s="474"/>
      <c r="B3" s="474"/>
      <c r="D3" s="921">
        <v>2025</v>
      </c>
      <c r="E3" s="922"/>
      <c r="F3" s="922"/>
      <c r="G3" s="922"/>
      <c r="H3" s="922"/>
      <c r="I3" s="922"/>
      <c r="J3" s="922"/>
      <c r="K3" s="922"/>
      <c r="L3" s="922"/>
      <c r="M3" s="922"/>
      <c r="N3" s="923"/>
      <c r="T3" s="485"/>
      <c r="AD3" s="815"/>
      <c r="AE3" s="815"/>
      <c r="AF3" s="815"/>
      <c r="AG3" s="815"/>
      <c r="AH3" s="815"/>
      <c r="AI3" s="815"/>
      <c r="AJ3" s="815"/>
      <c r="AK3" s="815"/>
      <c r="AL3" s="815"/>
      <c r="AM3" s="815"/>
      <c r="AN3" s="815"/>
      <c r="AO3" s="815"/>
    </row>
    <row r="4" spans="1:41" s="7" customFormat="1" x14ac:dyDescent="0.25">
      <c r="A4" s="474"/>
      <c r="B4" s="474"/>
      <c r="D4" s="924" t="s">
        <v>199</v>
      </c>
      <c r="E4" s="925"/>
      <c r="F4" s="925"/>
      <c r="G4" s="925"/>
      <c r="H4" s="926" t="s">
        <v>173</v>
      </c>
      <c r="I4" s="928" t="s">
        <v>176</v>
      </c>
      <c r="J4" s="929"/>
      <c r="K4" s="924" t="s">
        <v>177</v>
      </c>
      <c r="L4" s="930"/>
      <c r="M4" s="924" t="s">
        <v>179</v>
      </c>
      <c r="N4" s="930"/>
      <c r="O4" s="485"/>
      <c r="T4" s="485"/>
      <c r="AD4" s="815"/>
      <c r="AE4" s="815"/>
      <c r="AF4" s="815"/>
      <c r="AG4" s="815"/>
      <c r="AH4" s="815"/>
      <c r="AI4" s="815"/>
      <c r="AJ4" s="815"/>
      <c r="AK4" s="815"/>
      <c r="AL4" s="815"/>
      <c r="AM4" s="815"/>
      <c r="AN4" s="815"/>
      <c r="AO4" s="815"/>
    </row>
    <row r="5" spans="1:41" s="512" customFormat="1" ht="45.75" thickBot="1" x14ac:dyDescent="0.3">
      <c r="A5" s="931" t="s">
        <v>79</v>
      </c>
      <c r="B5" s="932"/>
      <c r="C5" s="530" t="s">
        <v>80</v>
      </c>
      <c r="D5" s="531" t="s">
        <v>170</v>
      </c>
      <c r="E5" s="532" t="s">
        <v>171</v>
      </c>
      <c r="F5" s="532" t="s">
        <v>172</v>
      </c>
      <c r="G5" s="544" t="s">
        <v>174</v>
      </c>
      <c r="H5" s="927"/>
      <c r="I5" s="548" t="s">
        <v>175</v>
      </c>
      <c r="J5" s="533" t="s">
        <v>178</v>
      </c>
      <c r="K5" s="553" t="s">
        <v>175</v>
      </c>
      <c r="L5" s="891" t="s">
        <v>178</v>
      </c>
      <c r="M5" s="560" t="s">
        <v>175</v>
      </c>
      <c r="N5" s="534" t="s">
        <v>178</v>
      </c>
      <c r="Y5" s="7"/>
      <c r="Z5" s="7"/>
      <c r="AA5" s="7"/>
      <c r="AB5" s="7"/>
      <c r="AC5" s="7"/>
      <c r="AD5" s="941" t="s">
        <v>192</v>
      </c>
      <c r="AE5" s="941"/>
      <c r="AF5" s="941"/>
      <c r="AG5" s="941"/>
      <c r="AH5" s="941"/>
      <c r="AI5" s="941"/>
      <c r="AJ5" s="941"/>
      <c r="AK5" s="941"/>
      <c r="AL5" s="941"/>
      <c r="AM5" s="941"/>
      <c r="AN5" s="941"/>
      <c r="AO5" s="941"/>
    </row>
    <row r="6" spans="1:41" s="7" customFormat="1" ht="15.75" thickBot="1" x14ac:dyDescent="0.3">
      <c r="A6" s="933" t="s">
        <v>239</v>
      </c>
      <c r="B6" s="934"/>
      <c r="C6" s="536">
        <f>'YUVENTUS UN GANG'!B10</f>
        <v>164</v>
      </c>
      <c r="D6" s="537">
        <f>'YUVENTUS UN GANG'!D10</f>
        <v>106.52</v>
      </c>
      <c r="E6" s="538">
        <f>'YUVENTUS UN GANG'!E10</f>
        <v>125.98</v>
      </c>
      <c r="F6" s="538">
        <f>'YUVENTUS UN GANG'!F10</f>
        <v>0</v>
      </c>
      <c r="G6" s="539">
        <f>SUM(D6:F6)</f>
        <v>232.5</v>
      </c>
      <c r="H6" s="540">
        <f>'YUVENTUS UN GANG'!C10</f>
        <v>331</v>
      </c>
      <c r="I6" s="549">
        <f>G6/C6</f>
        <v>1.4176829268292683</v>
      </c>
      <c r="J6" s="541">
        <f>H6/C6</f>
        <v>2.0182926829268291</v>
      </c>
      <c r="K6" s="554">
        <f>SUM(K7:K9)</f>
        <v>2709.5699999999997</v>
      </c>
      <c r="L6" s="892">
        <f>ROUND(SUM(L7:L9),0)</f>
        <v>3318</v>
      </c>
      <c r="M6" s="561">
        <f>K6/C6</f>
        <v>16.521768292682925</v>
      </c>
      <c r="N6" s="541">
        <f>L6/C6</f>
        <v>20.23170731707317</v>
      </c>
      <c r="O6" s="512"/>
      <c r="AD6" s="888" t="s">
        <v>180</v>
      </c>
      <c r="AE6" s="888" t="s">
        <v>181</v>
      </c>
      <c r="AF6" s="888" t="s">
        <v>182</v>
      </c>
      <c r="AG6" s="888" t="s">
        <v>183</v>
      </c>
      <c r="AH6" s="888" t="s">
        <v>184</v>
      </c>
      <c r="AI6" s="888" t="s">
        <v>185</v>
      </c>
      <c r="AJ6" s="888" t="s">
        <v>186</v>
      </c>
      <c r="AK6" s="888" t="s">
        <v>187</v>
      </c>
      <c r="AL6" s="888" t="s">
        <v>188</v>
      </c>
      <c r="AM6" s="888" t="s">
        <v>189</v>
      </c>
      <c r="AN6" s="888" t="s">
        <v>190</v>
      </c>
      <c r="AO6" s="888" t="s">
        <v>191</v>
      </c>
    </row>
    <row r="7" spans="1:41" hidden="1" outlineLevel="1" x14ac:dyDescent="0.25">
      <c r="A7" s="483"/>
      <c r="B7" s="535">
        <v>1</v>
      </c>
      <c r="C7" s="529">
        <f>VLOOKUP(B7,YUVENTUS,2,FALSE)</f>
        <v>53.2</v>
      </c>
      <c r="D7" s="525">
        <f>VLOOKUP(B7,YUVENTUS,4,FALSE)</f>
        <v>45.47</v>
      </c>
      <c r="E7" s="525">
        <f>VLOOKUP(B7,YUVENTUS,5,FALSE)</f>
        <v>61.180000000000007</v>
      </c>
      <c r="F7" s="525">
        <f>VLOOKUP(B7,YUVENTUS,6,FALSE)</f>
        <v>0</v>
      </c>
      <c r="G7" s="526">
        <f>SUM(D7:F7)</f>
        <v>106.65</v>
      </c>
      <c r="H7" s="525">
        <f>VLOOKUP(B7,YUVENTUS,3,FALSE)</f>
        <v>106</v>
      </c>
      <c r="I7" s="550">
        <f>G7/C7</f>
        <v>2.0046992481203008</v>
      </c>
      <c r="J7" s="526">
        <f>H7/C7</f>
        <v>1.9924812030075187</v>
      </c>
      <c r="K7" s="555">
        <f>VLOOKUP(B7,year2022to23,311,FALSE)</f>
        <v>909.79</v>
      </c>
      <c r="L7" s="893">
        <f>SUM(AD7:AO7)</f>
        <v>1062.68</v>
      </c>
      <c r="M7" s="558">
        <f>K7/C7</f>
        <v>17.101315789473684</v>
      </c>
      <c r="N7" s="526">
        <f>L7/C7</f>
        <v>19.975187969924811</v>
      </c>
      <c r="O7" s="512"/>
      <c r="AD7" s="199">
        <f>VLOOKUP(B7,ffbbudgettwofive,7,FALSE)</f>
        <v>53.2</v>
      </c>
      <c r="AE7" s="199">
        <f>VLOOKUP(B7,ffbbudgettwofive,8,FALSE)</f>
        <v>42.56</v>
      </c>
      <c r="AF7" s="199">
        <f>VLOOKUP(B7,ffbbudgettwofive,9,FALSE)</f>
        <v>74.48</v>
      </c>
      <c r="AG7" s="199">
        <f>VLOOKUP(B7,ffbbudgettwofive,10,FALSE)</f>
        <v>74.48</v>
      </c>
      <c r="AH7" s="199">
        <f>VLOOKUP(B7,ffbbudgettwofive,11,FALSE)</f>
        <v>74.48</v>
      </c>
      <c r="AI7" s="199">
        <f>VLOOKUP(B7,ffbbudgettwofive,12,FALSE)</f>
        <v>74.48</v>
      </c>
      <c r="AJ7" s="199">
        <f>VLOOKUP(B7,ffbbudgettwofive,13,FALSE)</f>
        <v>85</v>
      </c>
      <c r="AK7" s="199">
        <f>VLOOKUP(B7,ffbbudgettwofive,14,FALSE)</f>
        <v>106</v>
      </c>
      <c r="AL7" s="199">
        <f>VLOOKUP(B7,ffbbudgettwofive,15,FALSE)</f>
        <v>106</v>
      </c>
      <c r="AM7" s="199">
        <f>VLOOKUP(B7,ffbbudgettwofive,16,FALSE)</f>
        <v>149</v>
      </c>
      <c r="AN7" s="199">
        <f>VLOOKUP(B7,ffbbudgettwofive,17,FALSE)</f>
        <v>117</v>
      </c>
      <c r="AO7" s="199">
        <f>VLOOKUP(B7,ffbbudgettwofive,18,FALSE)</f>
        <v>106</v>
      </c>
    </row>
    <row r="8" spans="1:41" hidden="1" outlineLevel="1" x14ac:dyDescent="0.25">
      <c r="A8" s="483"/>
      <c r="B8" s="100">
        <v>3</v>
      </c>
      <c r="C8" s="523">
        <f>VLOOKUP(B8,YUVENTUS,2,FALSE)</f>
        <v>69.2</v>
      </c>
      <c r="D8" s="524">
        <f>VLOOKUP(B8,YUVENTUS,4,FALSE)</f>
        <v>15.21</v>
      </c>
      <c r="E8" s="524">
        <f>VLOOKUP(B8,YUVENTUS,5,FALSE)</f>
        <v>64.8</v>
      </c>
      <c r="F8" s="524">
        <f>VLOOKUP(B8,YUVENTUS,6,FALSE)</f>
        <v>0</v>
      </c>
      <c r="G8" s="93">
        <f>SUM(D8:F8)</f>
        <v>80.009999999999991</v>
      </c>
      <c r="H8" s="524">
        <f>VLOOKUP(B8,YUVENTUS,3,FALSE)</f>
        <v>138</v>
      </c>
      <c r="I8" s="551">
        <f>G8/C8</f>
        <v>1.1562138728323699</v>
      </c>
      <c r="J8" s="93">
        <f>H8/C8</f>
        <v>1.9942196531791907</v>
      </c>
      <c r="K8" s="556">
        <f>VLOOKUP(B8,year2022to23,311,FALSE)</f>
        <v>1085.75</v>
      </c>
      <c r="L8" s="592">
        <f t="shared" ref="L8:L9" si="0">SUM(AD8:AO8)</f>
        <v>1383.08</v>
      </c>
      <c r="M8" s="559">
        <f>K8/C8</f>
        <v>15.690028901734104</v>
      </c>
      <c r="N8" s="93">
        <f>L8/C8</f>
        <v>19.986705202312137</v>
      </c>
      <c r="O8" s="512"/>
      <c r="AD8" s="199">
        <f>VLOOKUP(B8,ffbbudgettwofive,7,FALSE)</f>
        <v>69.2</v>
      </c>
      <c r="AE8" s="199">
        <f>VLOOKUP(B8,ffbbudgettwofive,8,FALSE)</f>
        <v>55.36</v>
      </c>
      <c r="AF8" s="199">
        <f>VLOOKUP(B8,ffbbudgettwofive,9,FALSE)</f>
        <v>96.88000000000001</v>
      </c>
      <c r="AG8" s="199">
        <f>VLOOKUP(B8,ffbbudgettwofive,10,FALSE)</f>
        <v>96.88000000000001</v>
      </c>
      <c r="AH8" s="199">
        <f>VLOOKUP(B8,ffbbudgettwofive,11,FALSE)</f>
        <v>96.88000000000001</v>
      </c>
      <c r="AI8" s="199">
        <f>VLOOKUP(B8,ffbbudgettwofive,12,FALSE)</f>
        <v>96.88000000000001</v>
      </c>
      <c r="AJ8" s="199">
        <f>VLOOKUP(B8,ffbbudgettwofive,13,FALSE)</f>
        <v>111</v>
      </c>
      <c r="AK8" s="199">
        <f>VLOOKUP(B8,ffbbudgettwofive,14,FALSE)</f>
        <v>138</v>
      </c>
      <c r="AL8" s="199">
        <f>VLOOKUP(B8,ffbbudgettwofive,15,FALSE)</f>
        <v>138</v>
      </c>
      <c r="AM8" s="199">
        <f>VLOOKUP(B8,ffbbudgettwofive,16,FALSE)</f>
        <v>194</v>
      </c>
      <c r="AN8" s="199">
        <f>VLOOKUP(B8,ffbbudgettwofive,17,FALSE)</f>
        <v>152</v>
      </c>
      <c r="AO8" s="199">
        <f>VLOOKUP(B8,ffbbudgettwofive,18,FALSE)</f>
        <v>138</v>
      </c>
    </row>
    <row r="9" spans="1:41" hidden="1" outlineLevel="1" x14ac:dyDescent="0.25">
      <c r="A9" s="483"/>
      <c r="B9" s="100">
        <v>14</v>
      </c>
      <c r="C9" s="523">
        <f>VLOOKUP(B9,YUVENTUS,2,FALSE)</f>
        <v>41.6</v>
      </c>
      <c r="D9" s="524">
        <f>VLOOKUP(B9,YUVENTUS,4,FALSE)</f>
        <v>45.839999999999996</v>
      </c>
      <c r="E9" s="524">
        <f>VLOOKUP(B9,YUVENTUS,5,FALSE)</f>
        <v>0</v>
      </c>
      <c r="F9" s="524">
        <f>VLOOKUP(B9,YUVENTUS,6,FALSE)</f>
        <v>0</v>
      </c>
      <c r="G9" s="93">
        <f>SUM(D9:F9)</f>
        <v>45.839999999999996</v>
      </c>
      <c r="H9" s="524">
        <f>VLOOKUP(B9,YUVENTUS,3,FALSE)</f>
        <v>87</v>
      </c>
      <c r="I9" s="551">
        <f>G9/C9</f>
        <v>1.1019230769230768</v>
      </c>
      <c r="J9" s="93">
        <f>H9/C9</f>
        <v>2.0913461538461537</v>
      </c>
      <c r="K9" s="556">
        <f>VLOOKUP(B9,year2022to23,311,FALSE)</f>
        <v>714.03</v>
      </c>
      <c r="L9" s="592">
        <f t="shared" si="0"/>
        <v>872.38000000000011</v>
      </c>
      <c r="M9" s="559">
        <f>K9/C9</f>
        <v>17.164182692307691</v>
      </c>
      <c r="N9" s="93">
        <f>L9/C9</f>
        <v>20.970673076923077</v>
      </c>
      <c r="O9" s="512"/>
      <c r="AD9" s="199">
        <f>VLOOKUP(B9,ffbbudgettwofive,7,FALSE)</f>
        <v>43.7</v>
      </c>
      <c r="AE9" s="199">
        <f>VLOOKUP(B9,ffbbudgettwofive,8,FALSE)</f>
        <v>34.96</v>
      </c>
      <c r="AF9" s="199">
        <f>VLOOKUP(B9,ffbbudgettwofive,9,FALSE)</f>
        <v>61.180000000000007</v>
      </c>
      <c r="AG9" s="199">
        <f>VLOOKUP(B9,ffbbudgettwofive,10,FALSE)</f>
        <v>61.180000000000007</v>
      </c>
      <c r="AH9" s="199">
        <f>VLOOKUP(B9,ffbbudgettwofive,11,FALSE)</f>
        <v>61.180000000000007</v>
      </c>
      <c r="AI9" s="199">
        <f>VLOOKUP(B9,ffbbudgettwofive,12,FALSE)</f>
        <v>61.180000000000007</v>
      </c>
      <c r="AJ9" s="199">
        <f>VLOOKUP(B9,ffbbudgettwofive,13,FALSE)</f>
        <v>70</v>
      </c>
      <c r="AK9" s="199">
        <f>VLOOKUP(B9,ffbbudgettwofive,14,FALSE)</f>
        <v>87</v>
      </c>
      <c r="AL9" s="199">
        <f>VLOOKUP(B9,ffbbudgettwofive,15,FALSE)</f>
        <v>87</v>
      </c>
      <c r="AM9" s="199">
        <f>VLOOKUP(B9,ffbbudgettwofive,16,FALSE)</f>
        <v>122</v>
      </c>
      <c r="AN9" s="199">
        <f>VLOOKUP(B9,ffbbudgettwofive,17,FALSE)</f>
        <v>96</v>
      </c>
      <c r="AO9" s="199">
        <f>VLOOKUP(B9,ffbbudgettwofive,18,FALSE)</f>
        <v>87</v>
      </c>
    </row>
    <row r="10" spans="1:41" ht="15.75" hidden="1" outlineLevel="1" thickBot="1" x14ac:dyDescent="0.3">
      <c r="A10" s="483"/>
      <c r="B10" s="562"/>
      <c r="C10" s="563"/>
      <c r="D10" s="563"/>
      <c r="E10" s="563"/>
      <c r="F10" s="563"/>
      <c r="H10" s="563"/>
      <c r="I10" s="564"/>
      <c r="J10" s="564"/>
      <c r="K10" s="8"/>
      <c r="M10" s="8"/>
      <c r="N10" s="8"/>
      <c r="O10" s="512"/>
    </row>
    <row r="11" spans="1:41" s="7" customFormat="1" ht="15.75" collapsed="1" thickBot="1" x14ac:dyDescent="0.3">
      <c r="A11" s="935" t="s">
        <v>64</v>
      </c>
      <c r="B11" s="936"/>
      <c r="C11" s="543">
        <f>'DARSO GANG'!B14</f>
        <v>385.4</v>
      </c>
      <c r="D11" s="537">
        <f>'DARSO GANG'!D14</f>
        <v>473.61</v>
      </c>
      <c r="E11" s="538">
        <f>'DARSO GANG'!E14</f>
        <v>218.56</v>
      </c>
      <c r="F11" s="538">
        <f>'DARSO GANG'!F14</f>
        <v>0</v>
      </c>
      <c r="G11" s="539">
        <f>SUM(D11:F11)</f>
        <v>692.17000000000007</v>
      </c>
      <c r="H11" s="540">
        <f>'DARSO GANG'!C14</f>
        <v>818</v>
      </c>
      <c r="I11" s="549">
        <f t="shared" ref="I11:I18" si="1">G11/C11</f>
        <v>1.795978204462896</v>
      </c>
      <c r="J11" s="541">
        <f t="shared" ref="J11:J18" si="2">H11/C11</f>
        <v>2.1224701608718215</v>
      </c>
      <c r="K11" s="554">
        <f>SUM(K12:K18)</f>
        <v>6539.67</v>
      </c>
      <c r="L11" s="892">
        <f>ROUND(SUM(L12:L18),0)</f>
        <v>8181</v>
      </c>
      <c r="M11" s="561">
        <f t="shared" ref="M11:M18" si="3">K11/C11</f>
        <v>16.968526206538662</v>
      </c>
      <c r="N11" s="541">
        <f t="shared" ref="N11:N18" si="4">L11/C11</f>
        <v>21.227296315516348</v>
      </c>
      <c r="O11" s="512"/>
      <c r="AD11" s="888" t="s">
        <v>180</v>
      </c>
      <c r="AE11" s="888" t="s">
        <v>181</v>
      </c>
      <c r="AF11" s="888" t="s">
        <v>182</v>
      </c>
      <c r="AG11" s="888" t="s">
        <v>183</v>
      </c>
      <c r="AH11" s="888" t="s">
        <v>184</v>
      </c>
      <c r="AI11" s="888" t="s">
        <v>185</v>
      </c>
      <c r="AJ11" s="888" t="s">
        <v>186</v>
      </c>
      <c r="AK11" s="888" t="s">
        <v>187</v>
      </c>
      <c r="AL11" s="888" t="s">
        <v>188</v>
      </c>
      <c r="AM11" s="888" t="s">
        <v>189</v>
      </c>
      <c r="AN11" s="888" t="s">
        <v>190</v>
      </c>
      <c r="AO11" s="888" t="s">
        <v>191</v>
      </c>
    </row>
    <row r="12" spans="1:41" hidden="1" outlineLevel="1" x14ac:dyDescent="0.25">
      <c r="A12" s="528"/>
      <c r="B12" s="511">
        <v>15</v>
      </c>
      <c r="C12" s="529">
        <f t="shared" ref="C12:C18" si="5">VLOOKUP(B12,DARSO,2,FALSE)</f>
        <v>49.3</v>
      </c>
      <c r="D12" s="525">
        <f t="shared" ref="D12:D18" si="6">VLOOKUP(B12,DARSO,4,FALSE)</f>
        <v>70.900000000000006</v>
      </c>
      <c r="E12" s="525">
        <f t="shared" ref="E12:E18" si="7">VLOOKUP(B12,DARSO,5,FALSE)</f>
        <v>53.16</v>
      </c>
      <c r="F12" s="525">
        <f t="shared" ref="F12:F18" si="8">VLOOKUP(B12,DARSO,6,FALSE)</f>
        <v>0</v>
      </c>
      <c r="G12" s="526">
        <f t="shared" ref="G12:G18" si="9">SUM(D12:F12)</f>
        <v>124.06</v>
      </c>
      <c r="H12" s="525">
        <f t="shared" ref="H12:H18" si="10">VLOOKUP(B12,DARSO,3,FALSE)</f>
        <v>99</v>
      </c>
      <c r="I12" s="550">
        <f t="shared" si="1"/>
        <v>2.516430020283976</v>
      </c>
      <c r="J12" s="526">
        <f t="shared" si="2"/>
        <v>2.008113590263692</v>
      </c>
      <c r="K12" s="555">
        <f t="shared" ref="K12:K18" si="11">VLOOKUP(B12,year2022to23,311,FALSE)</f>
        <v>776.8900000000001</v>
      </c>
      <c r="L12" s="893">
        <f t="shared" ref="L12:L18" si="12">SUM(AD12:AO12)</f>
        <v>986.82</v>
      </c>
      <c r="M12" s="558">
        <f t="shared" si="3"/>
        <v>15.758417849898583</v>
      </c>
      <c r="N12" s="526">
        <f t="shared" si="4"/>
        <v>20.01663286004057</v>
      </c>
      <c r="O12" s="512"/>
      <c r="AD12" s="199">
        <f t="shared" ref="AD12:AD18" si="13">VLOOKUP(B12,ffbbudgettwofive,7,FALSE)</f>
        <v>49.300000000000004</v>
      </c>
      <c r="AE12" s="199">
        <f t="shared" ref="AE12:AE18" si="14">VLOOKUP(B12,ffbbudgettwofive,8,FALSE)</f>
        <v>39.44</v>
      </c>
      <c r="AF12" s="199">
        <f t="shared" ref="AF12:AF18" si="15">VLOOKUP(B12,ffbbudgettwofive,9,FALSE)</f>
        <v>69.02000000000001</v>
      </c>
      <c r="AG12" s="199">
        <f t="shared" ref="AG12:AG18" si="16">VLOOKUP(B12,ffbbudgettwofive,10,FALSE)</f>
        <v>69.02000000000001</v>
      </c>
      <c r="AH12" s="199">
        <f t="shared" ref="AH12:AH18" si="17">VLOOKUP(B12,ffbbudgettwofive,11,FALSE)</f>
        <v>69.02000000000001</v>
      </c>
      <c r="AI12" s="199">
        <f t="shared" ref="AI12:AI18" si="18">VLOOKUP(B12,ffbbudgettwofive,12,FALSE)</f>
        <v>69.02000000000001</v>
      </c>
      <c r="AJ12" s="199">
        <f t="shared" ref="AJ12:AJ18" si="19">VLOOKUP(B12,ffbbudgettwofive,13,FALSE)</f>
        <v>79</v>
      </c>
      <c r="AK12" s="199">
        <f t="shared" ref="AK12:AK18" si="20">VLOOKUP(B12,ffbbudgettwofive,14,FALSE)</f>
        <v>99</v>
      </c>
      <c r="AL12" s="199">
        <f t="shared" ref="AL12:AL18" si="21">VLOOKUP(B12,ffbbudgettwofive,15,FALSE)</f>
        <v>99</v>
      </c>
      <c r="AM12" s="199">
        <f t="shared" ref="AM12:AM18" si="22">VLOOKUP(B12,ffbbudgettwofive,16,FALSE)</f>
        <v>138</v>
      </c>
      <c r="AN12" s="199">
        <f t="shared" ref="AN12:AN18" si="23">VLOOKUP(B12,ffbbudgettwofive,17,FALSE)</f>
        <v>108</v>
      </c>
      <c r="AO12" s="199">
        <f t="shared" ref="AO12:AO18" si="24">VLOOKUP(B12,ffbbudgettwofive,18,FALSE)</f>
        <v>99</v>
      </c>
    </row>
    <row r="13" spans="1:41" hidden="1" outlineLevel="1" x14ac:dyDescent="0.25">
      <c r="A13" s="528"/>
      <c r="B13" s="1">
        <v>16</v>
      </c>
      <c r="C13" s="523">
        <f t="shared" si="5"/>
        <v>53.2</v>
      </c>
      <c r="D13" s="524">
        <f t="shared" si="6"/>
        <v>53.38</v>
      </c>
      <c r="E13" s="524">
        <f t="shared" si="7"/>
        <v>58.28</v>
      </c>
      <c r="F13" s="524">
        <f t="shared" si="8"/>
        <v>0</v>
      </c>
      <c r="G13" s="93">
        <f t="shared" si="9"/>
        <v>111.66</v>
      </c>
      <c r="H13" s="524">
        <f t="shared" si="10"/>
        <v>106</v>
      </c>
      <c r="I13" s="551">
        <f t="shared" si="1"/>
        <v>2.0988721804511274</v>
      </c>
      <c r="J13" s="93">
        <f t="shared" si="2"/>
        <v>1.9924812030075187</v>
      </c>
      <c r="K13" s="556">
        <f t="shared" si="11"/>
        <v>900.68</v>
      </c>
      <c r="L13" s="592">
        <f t="shared" si="12"/>
        <v>1062.68</v>
      </c>
      <c r="M13" s="559">
        <f t="shared" si="3"/>
        <v>16.930075187969923</v>
      </c>
      <c r="N13" s="93">
        <f t="shared" si="4"/>
        <v>19.975187969924811</v>
      </c>
      <c r="O13" s="512"/>
      <c r="AD13" s="199">
        <f t="shared" si="13"/>
        <v>53.2</v>
      </c>
      <c r="AE13" s="199">
        <f t="shared" si="14"/>
        <v>42.56</v>
      </c>
      <c r="AF13" s="199">
        <f t="shared" si="15"/>
        <v>74.48</v>
      </c>
      <c r="AG13" s="199">
        <f t="shared" si="16"/>
        <v>74.48</v>
      </c>
      <c r="AH13" s="199">
        <f t="shared" si="17"/>
        <v>74.48</v>
      </c>
      <c r="AI13" s="199">
        <f t="shared" si="18"/>
        <v>74.48</v>
      </c>
      <c r="AJ13" s="199">
        <f t="shared" si="19"/>
        <v>85</v>
      </c>
      <c r="AK13" s="199">
        <f t="shared" si="20"/>
        <v>106</v>
      </c>
      <c r="AL13" s="199">
        <f t="shared" si="21"/>
        <v>106</v>
      </c>
      <c r="AM13" s="199">
        <f t="shared" si="22"/>
        <v>149</v>
      </c>
      <c r="AN13" s="199">
        <f t="shared" si="23"/>
        <v>117</v>
      </c>
      <c r="AO13" s="199">
        <f t="shared" si="24"/>
        <v>106</v>
      </c>
    </row>
    <row r="14" spans="1:41" hidden="1" outlineLevel="1" x14ac:dyDescent="0.25">
      <c r="A14" s="528"/>
      <c r="B14" s="1">
        <v>17</v>
      </c>
      <c r="C14" s="523">
        <f t="shared" si="5"/>
        <v>45.7</v>
      </c>
      <c r="D14" s="524">
        <f t="shared" si="6"/>
        <v>43.17</v>
      </c>
      <c r="E14" s="524">
        <f t="shared" si="7"/>
        <v>0</v>
      </c>
      <c r="F14" s="524">
        <f t="shared" si="8"/>
        <v>0</v>
      </c>
      <c r="G14" s="93">
        <f t="shared" si="9"/>
        <v>43.17</v>
      </c>
      <c r="H14" s="524">
        <f t="shared" si="10"/>
        <v>101</v>
      </c>
      <c r="I14" s="551">
        <f t="shared" si="1"/>
        <v>0.94463894967177242</v>
      </c>
      <c r="J14" s="93">
        <f t="shared" si="2"/>
        <v>2.2100656455142231</v>
      </c>
      <c r="K14" s="556">
        <f t="shared" si="11"/>
        <v>797.25</v>
      </c>
      <c r="L14" s="592">
        <f t="shared" si="12"/>
        <v>1006.8500000000001</v>
      </c>
      <c r="M14" s="559">
        <f t="shared" si="3"/>
        <v>17.445295404814004</v>
      </c>
      <c r="N14" s="93">
        <f t="shared" si="4"/>
        <v>22.031728665207879</v>
      </c>
      <c r="O14" s="512"/>
      <c r="AD14" s="199">
        <f t="shared" si="13"/>
        <v>50.25</v>
      </c>
      <c r="AE14" s="199">
        <f t="shared" si="14"/>
        <v>40.200000000000003</v>
      </c>
      <c r="AF14" s="199">
        <f t="shared" si="15"/>
        <v>70.350000000000009</v>
      </c>
      <c r="AG14" s="199">
        <f t="shared" si="16"/>
        <v>70.350000000000009</v>
      </c>
      <c r="AH14" s="199">
        <f t="shared" si="17"/>
        <v>70.350000000000009</v>
      </c>
      <c r="AI14" s="199">
        <f t="shared" si="18"/>
        <v>70.350000000000009</v>
      </c>
      <c r="AJ14" s="199">
        <f t="shared" si="19"/>
        <v>80</v>
      </c>
      <c r="AK14" s="199">
        <f t="shared" si="20"/>
        <v>101</v>
      </c>
      <c r="AL14" s="199">
        <f t="shared" si="21"/>
        <v>101</v>
      </c>
      <c r="AM14" s="199">
        <f t="shared" si="22"/>
        <v>141</v>
      </c>
      <c r="AN14" s="199">
        <f t="shared" si="23"/>
        <v>111</v>
      </c>
      <c r="AO14" s="199">
        <f t="shared" si="24"/>
        <v>101</v>
      </c>
    </row>
    <row r="15" spans="1:41" hidden="1" outlineLevel="1" x14ac:dyDescent="0.25">
      <c r="A15" s="528"/>
      <c r="B15" s="1">
        <v>19</v>
      </c>
      <c r="C15" s="523">
        <f t="shared" si="5"/>
        <v>50.62</v>
      </c>
      <c r="D15" s="524">
        <f t="shared" si="6"/>
        <v>56.22</v>
      </c>
      <c r="E15" s="524">
        <f t="shared" si="7"/>
        <v>33.75</v>
      </c>
      <c r="F15" s="524">
        <f t="shared" si="8"/>
        <v>0</v>
      </c>
      <c r="G15" s="93">
        <f t="shared" si="9"/>
        <v>89.97</v>
      </c>
      <c r="H15" s="524">
        <f t="shared" si="10"/>
        <v>106</v>
      </c>
      <c r="I15" s="551">
        <f t="shared" si="1"/>
        <v>1.7773607269853813</v>
      </c>
      <c r="J15" s="93">
        <f t="shared" si="2"/>
        <v>2.0940339786645596</v>
      </c>
      <c r="K15" s="556">
        <f t="shared" si="11"/>
        <v>866</v>
      </c>
      <c r="L15" s="592">
        <f t="shared" si="12"/>
        <v>1062.3100000000002</v>
      </c>
      <c r="M15" s="559">
        <f t="shared" si="3"/>
        <v>17.107862504938762</v>
      </c>
      <c r="N15" s="93">
        <f t="shared" si="4"/>
        <v>20.985973923350461</v>
      </c>
      <c r="O15" s="512"/>
      <c r="AD15" s="199">
        <f t="shared" si="13"/>
        <v>53.150000000000006</v>
      </c>
      <c r="AE15" s="199">
        <f t="shared" si="14"/>
        <v>42.52</v>
      </c>
      <c r="AF15" s="199">
        <f t="shared" si="15"/>
        <v>74.410000000000011</v>
      </c>
      <c r="AG15" s="199">
        <f t="shared" si="16"/>
        <v>74.410000000000011</v>
      </c>
      <c r="AH15" s="199">
        <f t="shared" si="17"/>
        <v>74.410000000000011</v>
      </c>
      <c r="AI15" s="199">
        <f t="shared" si="18"/>
        <v>74.410000000000011</v>
      </c>
      <c r="AJ15" s="199">
        <f t="shared" si="19"/>
        <v>85</v>
      </c>
      <c r="AK15" s="199">
        <f t="shared" si="20"/>
        <v>106</v>
      </c>
      <c r="AL15" s="199">
        <f t="shared" si="21"/>
        <v>106</v>
      </c>
      <c r="AM15" s="199">
        <f t="shared" si="22"/>
        <v>149</v>
      </c>
      <c r="AN15" s="199">
        <f t="shared" si="23"/>
        <v>117</v>
      </c>
      <c r="AO15" s="199">
        <f t="shared" si="24"/>
        <v>106</v>
      </c>
    </row>
    <row r="16" spans="1:41" hidden="1" outlineLevel="1" x14ac:dyDescent="0.25">
      <c r="A16" s="528"/>
      <c r="B16" s="1">
        <v>20</v>
      </c>
      <c r="C16" s="523">
        <f t="shared" si="5"/>
        <v>62.08</v>
      </c>
      <c r="D16" s="524">
        <f t="shared" si="6"/>
        <v>84.19</v>
      </c>
      <c r="E16" s="524">
        <f t="shared" si="7"/>
        <v>52.47</v>
      </c>
      <c r="F16" s="524">
        <f t="shared" si="8"/>
        <v>0</v>
      </c>
      <c r="G16" s="93">
        <f t="shared" si="9"/>
        <v>136.66</v>
      </c>
      <c r="H16" s="524">
        <f t="shared" si="10"/>
        <v>130</v>
      </c>
      <c r="I16" s="551">
        <f t="shared" si="1"/>
        <v>2.201353092783505</v>
      </c>
      <c r="J16" s="93">
        <f t="shared" si="2"/>
        <v>2.0940721649484537</v>
      </c>
      <c r="K16" s="556">
        <f t="shared" si="11"/>
        <v>1028.6000000000001</v>
      </c>
      <c r="L16" s="592">
        <f t="shared" si="12"/>
        <v>1302.48</v>
      </c>
      <c r="M16" s="559">
        <f t="shared" si="3"/>
        <v>16.568943298969074</v>
      </c>
      <c r="N16" s="93">
        <f t="shared" si="4"/>
        <v>20.980670103092784</v>
      </c>
      <c r="O16" s="512"/>
      <c r="AD16" s="199">
        <f t="shared" si="13"/>
        <v>65.2</v>
      </c>
      <c r="AE16" s="199">
        <f t="shared" si="14"/>
        <v>52.160000000000004</v>
      </c>
      <c r="AF16" s="199">
        <f t="shared" si="15"/>
        <v>91.280000000000015</v>
      </c>
      <c r="AG16" s="199">
        <f t="shared" si="16"/>
        <v>91.280000000000015</v>
      </c>
      <c r="AH16" s="199">
        <f t="shared" si="17"/>
        <v>91.280000000000015</v>
      </c>
      <c r="AI16" s="199">
        <f t="shared" si="18"/>
        <v>91.280000000000015</v>
      </c>
      <c r="AJ16" s="199">
        <f t="shared" si="19"/>
        <v>104</v>
      </c>
      <c r="AK16" s="199">
        <f t="shared" si="20"/>
        <v>130</v>
      </c>
      <c r="AL16" s="199">
        <f t="shared" si="21"/>
        <v>130</v>
      </c>
      <c r="AM16" s="199">
        <f t="shared" si="22"/>
        <v>183</v>
      </c>
      <c r="AN16" s="199">
        <f t="shared" si="23"/>
        <v>143</v>
      </c>
      <c r="AO16" s="199">
        <f t="shared" si="24"/>
        <v>130</v>
      </c>
    </row>
    <row r="17" spans="1:41" hidden="1" outlineLevel="1" x14ac:dyDescent="0.25">
      <c r="A17" s="528"/>
      <c r="B17" s="1">
        <v>21</v>
      </c>
      <c r="C17" s="523">
        <f t="shared" si="5"/>
        <v>72.2</v>
      </c>
      <c r="D17" s="524">
        <f t="shared" si="6"/>
        <v>101.30000000000001</v>
      </c>
      <c r="E17" s="524">
        <f t="shared" si="7"/>
        <v>20.9</v>
      </c>
      <c r="F17" s="524">
        <f t="shared" si="8"/>
        <v>0</v>
      </c>
      <c r="G17" s="93">
        <f t="shared" si="9"/>
        <v>122.20000000000002</v>
      </c>
      <c r="H17" s="524">
        <f t="shared" si="10"/>
        <v>166</v>
      </c>
      <c r="I17" s="551">
        <f t="shared" si="1"/>
        <v>1.692520775623269</v>
      </c>
      <c r="J17" s="93">
        <f t="shared" si="2"/>
        <v>2.2991689750692519</v>
      </c>
      <c r="K17" s="556">
        <f t="shared" si="11"/>
        <v>1324.41</v>
      </c>
      <c r="L17" s="592">
        <f t="shared" si="12"/>
        <v>1660.57</v>
      </c>
      <c r="M17" s="559">
        <f t="shared" si="3"/>
        <v>18.343628808864267</v>
      </c>
      <c r="N17" s="93">
        <f t="shared" si="4"/>
        <v>22.999584487534623</v>
      </c>
      <c r="O17" s="512"/>
      <c r="AD17" s="199">
        <f t="shared" si="13"/>
        <v>83.050000000000011</v>
      </c>
      <c r="AE17" s="199">
        <f t="shared" si="14"/>
        <v>66.44</v>
      </c>
      <c r="AF17" s="199">
        <f t="shared" si="15"/>
        <v>116.27000000000001</v>
      </c>
      <c r="AG17" s="199">
        <f t="shared" si="16"/>
        <v>116.27000000000001</v>
      </c>
      <c r="AH17" s="199">
        <f t="shared" si="17"/>
        <v>116.27000000000001</v>
      </c>
      <c r="AI17" s="199">
        <f t="shared" si="18"/>
        <v>116.27000000000001</v>
      </c>
      <c r="AJ17" s="199">
        <f t="shared" si="19"/>
        <v>133</v>
      </c>
      <c r="AK17" s="199">
        <f t="shared" si="20"/>
        <v>166</v>
      </c>
      <c r="AL17" s="199">
        <f t="shared" si="21"/>
        <v>166</v>
      </c>
      <c r="AM17" s="199">
        <f t="shared" si="22"/>
        <v>232</v>
      </c>
      <c r="AN17" s="199">
        <f t="shared" si="23"/>
        <v>183</v>
      </c>
      <c r="AO17" s="199">
        <f t="shared" si="24"/>
        <v>166</v>
      </c>
    </row>
    <row r="18" spans="1:41" hidden="1" outlineLevel="1" x14ac:dyDescent="0.25">
      <c r="A18" s="528"/>
      <c r="B18" s="1">
        <v>22</v>
      </c>
      <c r="C18" s="523">
        <f t="shared" si="5"/>
        <v>52.3</v>
      </c>
      <c r="D18" s="524">
        <f t="shared" si="6"/>
        <v>64.45</v>
      </c>
      <c r="E18" s="524">
        <f t="shared" si="7"/>
        <v>0</v>
      </c>
      <c r="F18" s="524">
        <f t="shared" si="8"/>
        <v>0</v>
      </c>
      <c r="G18" s="93">
        <f t="shared" si="9"/>
        <v>64.45</v>
      </c>
      <c r="H18" s="524">
        <f t="shared" si="10"/>
        <v>110</v>
      </c>
      <c r="I18" s="551">
        <f t="shared" si="1"/>
        <v>1.2323135755258128</v>
      </c>
      <c r="J18" s="93">
        <f t="shared" si="2"/>
        <v>2.1032504780114722</v>
      </c>
      <c r="K18" s="556">
        <f t="shared" si="11"/>
        <v>845.84</v>
      </c>
      <c r="L18" s="592">
        <f t="shared" si="12"/>
        <v>1099.26</v>
      </c>
      <c r="M18" s="559">
        <f t="shared" si="3"/>
        <v>16.172848948374764</v>
      </c>
      <c r="N18" s="93">
        <f t="shared" si="4"/>
        <v>21.018355640535376</v>
      </c>
      <c r="O18" s="512"/>
      <c r="AD18" s="199">
        <f t="shared" si="13"/>
        <v>54.900000000000006</v>
      </c>
      <c r="AE18" s="199">
        <f t="shared" si="14"/>
        <v>43.92</v>
      </c>
      <c r="AF18" s="199">
        <f t="shared" si="15"/>
        <v>76.860000000000014</v>
      </c>
      <c r="AG18" s="199">
        <f t="shared" si="16"/>
        <v>76.860000000000014</v>
      </c>
      <c r="AH18" s="199">
        <f t="shared" si="17"/>
        <v>76.860000000000014</v>
      </c>
      <c r="AI18" s="199">
        <f t="shared" si="18"/>
        <v>76.860000000000014</v>
      </c>
      <c r="AJ18" s="199">
        <f t="shared" si="19"/>
        <v>88</v>
      </c>
      <c r="AK18" s="199">
        <f t="shared" si="20"/>
        <v>110</v>
      </c>
      <c r="AL18" s="199">
        <f t="shared" si="21"/>
        <v>110</v>
      </c>
      <c r="AM18" s="199">
        <f t="shared" si="22"/>
        <v>154</v>
      </c>
      <c r="AN18" s="199">
        <f t="shared" si="23"/>
        <v>121</v>
      </c>
      <c r="AO18" s="199">
        <f t="shared" si="24"/>
        <v>110</v>
      </c>
    </row>
    <row r="19" spans="1:41" ht="15.75" hidden="1" outlineLevel="1" thickBot="1" x14ac:dyDescent="0.3">
      <c r="A19" s="483"/>
      <c r="B19" s="562"/>
      <c r="C19" s="563"/>
      <c r="D19" s="563"/>
      <c r="E19" s="563"/>
      <c r="F19" s="563"/>
      <c r="H19" s="563"/>
      <c r="I19" s="564"/>
      <c r="J19" s="564"/>
      <c r="K19" s="8"/>
      <c r="M19" s="8"/>
      <c r="N19" s="8"/>
      <c r="O19" s="512"/>
    </row>
    <row r="20" spans="1:41" s="7" customFormat="1" ht="30.75" customHeight="1" collapsed="1" thickBot="1" x14ac:dyDescent="0.3">
      <c r="A20" s="937" t="s">
        <v>268</v>
      </c>
      <c r="B20" s="938"/>
      <c r="C20" s="543">
        <f>'YUDI GANG'!B10</f>
        <v>116.28</v>
      </c>
      <c r="D20" s="537">
        <f>'YUDI GANG'!D10</f>
        <v>94.469999999999985</v>
      </c>
      <c r="E20" s="538">
        <f>'YUDI GANG'!E10</f>
        <v>10.379999999999999</v>
      </c>
      <c r="F20" s="538">
        <f>'YUDI GANG'!F10</f>
        <v>0</v>
      </c>
      <c r="G20" s="539">
        <f>SUM(D20:F20)</f>
        <v>104.84999999999998</v>
      </c>
      <c r="H20" s="540">
        <f>'YUDI GANG'!C10</f>
        <v>213</v>
      </c>
      <c r="I20" s="549">
        <f>G20/C20</f>
        <v>0.90170278637770884</v>
      </c>
      <c r="J20" s="541">
        <f>H20/C20</f>
        <v>1.8317853457172342</v>
      </c>
      <c r="K20" s="554">
        <f>SUM(K21:K23)</f>
        <v>1517</v>
      </c>
      <c r="L20" s="892">
        <f>SUM(L21:L23)</f>
        <v>2126.5100000000002</v>
      </c>
      <c r="M20" s="561">
        <f>K20/C20</f>
        <v>13.04609563123495</v>
      </c>
      <c r="N20" s="541">
        <f>L20/C20</f>
        <v>18.287839697282422</v>
      </c>
      <c r="O20" s="512"/>
      <c r="AD20" s="815" t="s">
        <v>180</v>
      </c>
      <c r="AE20" s="815" t="s">
        <v>181</v>
      </c>
      <c r="AF20" s="815" t="s">
        <v>182</v>
      </c>
      <c r="AG20" s="815" t="s">
        <v>183</v>
      </c>
      <c r="AH20" s="815" t="s">
        <v>184</v>
      </c>
      <c r="AI20" s="815" t="s">
        <v>185</v>
      </c>
      <c r="AJ20" s="815" t="s">
        <v>186</v>
      </c>
      <c r="AK20" s="815" t="s">
        <v>187</v>
      </c>
      <c r="AL20" s="815" t="s">
        <v>188</v>
      </c>
      <c r="AM20" s="815" t="s">
        <v>189</v>
      </c>
      <c r="AN20" s="815" t="s">
        <v>190</v>
      </c>
      <c r="AO20" s="815" t="s">
        <v>191</v>
      </c>
    </row>
    <row r="21" spans="1:41" hidden="1" outlineLevel="1" x14ac:dyDescent="0.25">
      <c r="A21" s="483"/>
      <c r="B21" s="535">
        <v>2</v>
      </c>
      <c r="C21" s="529">
        <f>VLOOKUP(B21,ERDI,2,FALSE)</f>
        <v>60.4</v>
      </c>
      <c r="D21" s="525">
        <f>VLOOKUP(B21,ERDI,4,FALSE)</f>
        <v>57.309999999999995</v>
      </c>
      <c r="E21" s="525">
        <f>VLOOKUP(B21,ERDI,5,FALSE)</f>
        <v>0</v>
      </c>
      <c r="F21" s="525">
        <f>VLOOKUP(B21,ERDI,6,FALSE)</f>
        <v>0</v>
      </c>
      <c r="G21" s="526">
        <f>SUM(D21:F21)</f>
        <v>57.309999999999995</v>
      </c>
      <c r="H21" s="525">
        <f>VLOOKUP(B21,ERDI,3,FALSE)</f>
        <v>121</v>
      </c>
      <c r="I21" s="550">
        <f>G21/C21</f>
        <v>0.94884105960264897</v>
      </c>
      <c r="J21" s="526">
        <f>H21/C21</f>
        <v>2.0033112582781456</v>
      </c>
      <c r="K21" s="555">
        <f>VLOOKUP(B21,year2022to23,311,FALSE)</f>
        <v>889.56999999999994</v>
      </c>
      <c r="L21" s="893">
        <f t="shared" ref="L21:L23" si="25">SUM(AD21:AO21)</f>
        <v>1208.96</v>
      </c>
      <c r="M21" s="558">
        <f>K21/C21</f>
        <v>14.72798013245033</v>
      </c>
      <c r="N21" s="526">
        <f>L21/C21</f>
        <v>20.015894039735102</v>
      </c>
      <c r="O21" s="512"/>
      <c r="AD21" s="199">
        <f>VLOOKUP(B21,ffbbudgettwofive,7,FALSE)</f>
        <v>60.400000000000006</v>
      </c>
      <c r="AE21" s="199">
        <f>VLOOKUP(B21,ffbbudgettwofive,8,FALSE)</f>
        <v>48.32</v>
      </c>
      <c r="AF21" s="199">
        <f>VLOOKUP(B21,ffbbudgettwofive,9,FALSE)</f>
        <v>84.56</v>
      </c>
      <c r="AG21" s="199">
        <f>VLOOKUP(B21,ffbbudgettwofive,10,FALSE)</f>
        <v>84.56</v>
      </c>
      <c r="AH21" s="199">
        <f>VLOOKUP(B21,ffbbudgettwofive,11,FALSE)</f>
        <v>84.56</v>
      </c>
      <c r="AI21" s="199">
        <f>VLOOKUP(B21,ffbbudgettwofive,12,FALSE)</f>
        <v>84.56</v>
      </c>
      <c r="AJ21" s="199">
        <f>VLOOKUP(B21,ffbbudgettwofive,13,FALSE)</f>
        <v>97</v>
      </c>
      <c r="AK21" s="199">
        <f>VLOOKUP(B21,ffbbudgettwofive,14,FALSE)</f>
        <v>121</v>
      </c>
      <c r="AL21" s="199">
        <f>VLOOKUP(B21,ffbbudgettwofive,15,FALSE)</f>
        <v>121</v>
      </c>
      <c r="AM21" s="199">
        <f>VLOOKUP(B21,ffbbudgettwofive,16,FALSE)</f>
        <v>169</v>
      </c>
      <c r="AN21" s="199">
        <f>VLOOKUP(B21,ffbbudgettwofive,17,FALSE)</f>
        <v>133</v>
      </c>
      <c r="AO21" s="199">
        <f>VLOOKUP(B21,ffbbudgettwofive,18,FALSE)</f>
        <v>121</v>
      </c>
    </row>
    <row r="22" spans="1:41" hidden="1" outlineLevel="1" x14ac:dyDescent="0.25">
      <c r="A22" s="483"/>
      <c r="B22" s="100">
        <v>11</v>
      </c>
      <c r="C22" s="523">
        <f>VLOOKUP(B22,ERDI,2,FALSE)</f>
        <v>44.5</v>
      </c>
      <c r="D22" s="524">
        <f>VLOOKUP(B22,ERDI,4,FALSE)</f>
        <v>32.42</v>
      </c>
      <c r="E22" s="524">
        <f>VLOOKUP(B22,ERDI,5,FALSE)</f>
        <v>0</v>
      </c>
      <c r="F22" s="524">
        <f>VLOOKUP(B22,ERDI,6,FALSE)</f>
        <v>0</v>
      </c>
      <c r="G22" s="93">
        <f>SUM(D22:F22)</f>
        <v>32.42</v>
      </c>
      <c r="H22" s="524">
        <f>VLOOKUP(B22,ERDI,3,FALSE)</f>
        <v>85</v>
      </c>
      <c r="I22" s="551">
        <f>G22/C22</f>
        <v>0.72853932584269665</v>
      </c>
      <c r="J22" s="93">
        <f>H22/C22</f>
        <v>1.9101123595505618</v>
      </c>
      <c r="K22" s="556">
        <f>VLOOKUP(B22,year2022to23,311,FALSE)</f>
        <v>529.89</v>
      </c>
      <c r="L22" s="592">
        <f t="shared" si="25"/>
        <v>847.02</v>
      </c>
      <c r="M22" s="559">
        <f>K22/C22</f>
        <v>11.907640449438201</v>
      </c>
      <c r="N22" s="93">
        <f>L22/C22</f>
        <v>19.034157303370787</v>
      </c>
      <c r="O22" s="512"/>
      <c r="AD22" s="199">
        <f>VLOOKUP(B22,ffbbudgettwofive,7,FALSE)</f>
        <v>42.300000000000004</v>
      </c>
      <c r="AE22" s="199">
        <f>VLOOKUP(B22,ffbbudgettwofive,8,FALSE)</f>
        <v>33.840000000000003</v>
      </c>
      <c r="AF22" s="199">
        <f>VLOOKUP(B22,ffbbudgettwofive,9,FALSE)</f>
        <v>59.220000000000006</v>
      </c>
      <c r="AG22" s="199">
        <f>VLOOKUP(B22,ffbbudgettwofive,10,FALSE)</f>
        <v>59.220000000000006</v>
      </c>
      <c r="AH22" s="199">
        <f>VLOOKUP(B22,ffbbudgettwofive,11,FALSE)</f>
        <v>59.220000000000006</v>
      </c>
      <c r="AI22" s="199">
        <f>VLOOKUP(B22,ffbbudgettwofive,12,FALSE)</f>
        <v>59.220000000000006</v>
      </c>
      <c r="AJ22" s="199">
        <f>VLOOKUP(B22,ffbbudgettwofive,13,FALSE)</f>
        <v>68</v>
      </c>
      <c r="AK22" s="199">
        <f>VLOOKUP(B22,ffbbudgettwofive,14,FALSE)</f>
        <v>85</v>
      </c>
      <c r="AL22" s="199">
        <f>VLOOKUP(B22,ffbbudgettwofive,15,FALSE)</f>
        <v>85</v>
      </c>
      <c r="AM22" s="199">
        <f>VLOOKUP(B22,ffbbudgettwofive,16,FALSE)</f>
        <v>118</v>
      </c>
      <c r="AN22" s="199">
        <f>VLOOKUP(B22,ffbbudgettwofive,17,FALSE)</f>
        <v>93</v>
      </c>
      <c r="AO22" s="199">
        <f>VLOOKUP(B22,ffbbudgettwofive,18,FALSE)</f>
        <v>85</v>
      </c>
    </row>
    <row r="23" spans="1:41" hidden="1" outlineLevel="1" x14ac:dyDescent="0.25">
      <c r="A23" s="483"/>
      <c r="B23" s="100">
        <v>29</v>
      </c>
      <c r="C23" s="523">
        <f>VLOOKUP(B23,ERDI,2,FALSE)</f>
        <v>11.38</v>
      </c>
      <c r="D23" s="524">
        <f>VLOOKUP(B23,ERDI,4,FALSE)</f>
        <v>4.74</v>
      </c>
      <c r="E23" s="524">
        <f>VLOOKUP(B23,ERDI,5,FALSE)</f>
        <v>10.379999999999999</v>
      </c>
      <c r="F23" s="524">
        <f>VLOOKUP(B23,ERDI,6,FALSE)</f>
        <v>0</v>
      </c>
      <c r="G23" s="93">
        <f>SUM(D23:F23)</f>
        <v>15.12</v>
      </c>
      <c r="H23" s="524">
        <f>VLOOKUP(B23,ERDI,3,FALSE)</f>
        <v>7</v>
      </c>
      <c r="I23" s="551">
        <f>G23/C23</f>
        <v>1.3286467486818978</v>
      </c>
      <c r="J23" s="93">
        <f>H23/C23</f>
        <v>0.61511423550087874</v>
      </c>
      <c r="K23" s="556">
        <f>VLOOKUP(B23,year2022to23,311,FALSE)</f>
        <v>97.54</v>
      </c>
      <c r="L23" s="592">
        <f t="shared" si="25"/>
        <v>70.53</v>
      </c>
      <c r="M23" s="559">
        <f>K23/C23</f>
        <v>8.5711775043936722</v>
      </c>
      <c r="N23" s="93">
        <f>L23/C23</f>
        <v>6.1977152899824253</v>
      </c>
      <c r="O23" s="512"/>
      <c r="AD23" s="199">
        <f>VLOOKUP(B23,ffbbudgettwofive,7,FALSE)</f>
        <v>3.45</v>
      </c>
      <c r="AE23" s="199">
        <f>VLOOKUP(B23,ffbbudgettwofive,8,FALSE)</f>
        <v>2.7600000000000002</v>
      </c>
      <c r="AF23" s="199">
        <f>VLOOKUP(B23,ffbbudgettwofive,9,FALSE)</f>
        <v>4.83</v>
      </c>
      <c r="AG23" s="199">
        <f>VLOOKUP(B23,ffbbudgettwofive,10,FALSE)</f>
        <v>4.83</v>
      </c>
      <c r="AH23" s="199">
        <f>VLOOKUP(B23,ffbbudgettwofive,11,FALSE)</f>
        <v>4.83</v>
      </c>
      <c r="AI23" s="199">
        <f>VLOOKUP(B23,ffbbudgettwofive,12,FALSE)</f>
        <v>4.83</v>
      </c>
      <c r="AJ23" s="199">
        <f>VLOOKUP(B23,ffbbudgettwofive,13,FALSE)</f>
        <v>6</v>
      </c>
      <c r="AK23" s="199">
        <f>VLOOKUP(B23,ffbbudgettwofive,14,FALSE)</f>
        <v>7</v>
      </c>
      <c r="AL23" s="199">
        <f>VLOOKUP(B23,ffbbudgettwofive,15,FALSE)</f>
        <v>7</v>
      </c>
      <c r="AM23" s="199">
        <f>VLOOKUP(B23,ffbbudgettwofive,16,FALSE)</f>
        <v>10</v>
      </c>
      <c r="AN23" s="199">
        <f>VLOOKUP(B23,ffbbudgettwofive,17,FALSE)</f>
        <v>8</v>
      </c>
      <c r="AO23" s="199">
        <f>VLOOKUP(B23,ffbbudgettwofive,18,FALSE)</f>
        <v>7</v>
      </c>
    </row>
    <row r="24" spans="1:41" ht="15.75" hidden="1" outlineLevel="1" thickBot="1" x14ac:dyDescent="0.3">
      <c r="A24" s="483"/>
      <c r="B24" s="562"/>
      <c r="C24" s="563"/>
      <c r="D24" s="563"/>
      <c r="E24" s="563"/>
      <c r="F24" s="563"/>
      <c r="H24" s="563"/>
      <c r="I24" s="564"/>
      <c r="J24" s="564"/>
      <c r="K24" s="8"/>
      <c r="M24" s="8"/>
      <c r="N24" s="8"/>
      <c r="O24" s="512"/>
    </row>
    <row r="25" spans="1:41" s="7" customFormat="1" ht="30.75" customHeight="1" collapsed="1" thickBot="1" x14ac:dyDescent="0.3">
      <c r="A25" s="939" t="s">
        <v>240</v>
      </c>
      <c r="B25" s="940"/>
      <c r="C25" s="543">
        <f>'SOFIO GANG'!B13</f>
        <v>262.5</v>
      </c>
      <c r="D25" s="537">
        <f>'SOFIO GANG'!D13</f>
        <v>267.13</v>
      </c>
      <c r="E25" s="538">
        <f>'SOFIO GANG'!E13</f>
        <v>97</v>
      </c>
      <c r="F25" s="538">
        <f>'SOFIO GANG'!F13</f>
        <v>0</v>
      </c>
      <c r="G25" s="539">
        <f>SUM(D25:F25)</f>
        <v>364.13</v>
      </c>
      <c r="H25" s="540">
        <f>'SOFIO GANG'!C13</f>
        <v>511</v>
      </c>
      <c r="I25" s="549">
        <f t="shared" ref="I25:I31" si="26">G25/C25</f>
        <v>1.3871619047619048</v>
      </c>
      <c r="J25" s="541">
        <f t="shared" ref="J25:J31" si="27">H25/C25</f>
        <v>1.9466666666666668</v>
      </c>
      <c r="K25" s="554">
        <f>SUM(K26:K31)</f>
        <v>4293.8</v>
      </c>
      <c r="L25" s="892">
        <f>ROUND(SUM(L26:L31),0)</f>
        <v>5108</v>
      </c>
      <c r="M25" s="561">
        <f t="shared" ref="M25:M31" si="28">K25/C25</f>
        <v>16.357333333333333</v>
      </c>
      <c r="N25" s="541">
        <f t="shared" ref="N25:N31" si="29">L25/C25</f>
        <v>19.45904761904762</v>
      </c>
      <c r="O25" s="512"/>
      <c r="AD25" s="815" t="s">
        <v>180</v>
      </c>
      <c r="AE25" s="815" t="s">
        <v>181</v>
      </c>
      <c r="AF25" s="815" t="s">
        <v>182</v>
      </c>
      <c r="AG25" s="815" t="s">
        <v>183</v>
      </c>
      <c r="AH25" s="815" t="s">
        <v>184</v>
      </c>
      <c r="AI25" s="815" t="s">
        <v>185</v>
      </c>
      <c r="AJ25" s="815" t="s">
        <v>186</v>
      </c>
      <c r="AK25" s="815" t="s">
        <v>187</v>
      </c>
      <c r="AL25" s="815" t="s">
        <v>188</v>
      </c>
      <c r="AM25" s="815" t="s">
        <v>189</v>
      </c>
      <c r="AN25" s="815" t="s">
        <v>190</v>
      </c>
      <c r="AO25" s="815" t="s">
        <v>191</v>
      </c>
    </row>
    <row r="26" spans="1:41" hidden="1" outlineLevel="1" x14ac:dyDescent="0.25">
      <c r="A26" s="528"/>
      <c r="B26" s="511">
        <v>4</v>
      </c>
      <c r="C26" s="529">
        <f t="shared" ref="C26:C31" si="30">VLOOKUP(B26,SERAN,2,FALSE)</f>
        <v>70.599999999999994</v>
      </c>
      <c r="D26" s="525">
        <f t="shared" ref="D26:D31" si="31">VLOOKUP(B26,SERAN,4,FALSE)</f>
        <v>65.040000000000006</v>
      </c>
      <c r="E26" s="525">
        <f t="shared" ref="E26:E31" si="32">VLOOKUP(B26,SERAN,5,FALSE)</f>
        <v>0</v>
      </c>
      <c r="F26" s="525">
        <f t="shared" ref="F26:F31" si="33">VLOOKUP(B26,SERAN,6,FALSE)</f>
        <v>0</v>
      </c>
      <c r="G26" s="526">
        <f t="shared" ref="G26:G31" si="34">SUM(D26:F26)</f>
        <v>65.040000000000006</v>
      </c>
      <c r="H26" s="525">
        <f t="shared" ref="H26:H31" si="35">VLOOKUP(B26,SERAN,3,FALSE)</f>
        <v>141</v>
      </c>
      <c r="I26" s="550">
        <f t="shared" si="26"/>
        <v>0.92124645892351287</v>
      </c>
      <c r="J26" s="526">
        <f t="shared" si="27"/>
        <v>1.9971671388101984</v>
      </c>
      <c r="K26" s="555">
        <f t="shared" ref="K26:K31" si="36">VLOOKUP(B26,year2022to23,311,FALSE)</f>
        <v>1063.57</v>
      </c>
      <c r="L26" s="893">
        <f t="shared" ref="L26:L31" si="37">SUM(AD26:AO26)</f>
        <v>1411.44</v>
      </c>
      <c r="M26" s="558">
        <f t="shared" si="28"/>
        <v>15.064730878186969</v>
      </c>
      <c r="N26" s="526">
        <f t="shared" si="29"/>
        <v>19.992067988668559</v>
      </c>
      <c r="O26" s="512"/>
      <c r="AD26" s="199">
        <f t="shared" ref="AD26:AD31" si="38">VLOOKUP(B26,ffbbudgettwofive,7,FALSE)</f>
        <v>70.600000000000009</v>
      </c>
      <c r="AE26" s="199">
        <f t="shared" ref="AE26:AE31" si="39">VLOOKUP(B26,ffbbudgettwofive,8,FALSE)</f>
        <v>56.480000000000004</v>
      </c>
      <c r="AF26" s="199">
        <f t="shared" ref="AF26:AF31" si="40">VLOOKUP(B26,ffbbudgettwofive,9,FALSE)</f>
        <v>98.84</v>
      </c>
      <c r="AG26" s="199">
        <f t="shared" ref="AG26:AG31" si="41">VLOOKUP(B26,ffbbudgettwofive,10,FALSE)</f>
        <v>98.84</v>
      </c>
      <c r="AH26" s="199">
        <f t="shared" ref="AH26:AH31" si="42">VLOOKUP(B26,ffbbudgettwofive,11,FALSE)</f>
        <v>98.84</v>
      </c>
      <c r="AI26" s="199">
        <f t="shared" ref="AI26:AI31" si="43">VLOOKUP(B26,ffbbudgettwofive,12,FALSE)</f>
        <v>98.84</v>
      </c>
      <c r="AJ26" s="199">
        <f t="shared" ref="AJ26:AJ31" si="44">VLOOKUP(B26,ffbbudgettwofive,13,FALSE)</f>
        <v>113</v>
      </c>
      <c r="AK26" s="199">
        <f t="shared" ref="AK26:AK31" si="45">VLOOKUP(B26,ffbbudgettwofive,14,FALSE)</f>
        <v>141</v>
      </c>
      <c r="AL26" s="199">
        <f t="shared" ref="AL26:AL31" si="46">VLOOKUP(B26,ffbbudgettwofive,15,FALSE)</f>
        <v>141</v>
      </c>
      <c r="AM26" s="199">
        <f t="shared" ref="AM26:AM31" si="47">VLOOKUP(B26,ffbbudgettwofive,16,FALSE)</f>
        <v>198</v>
      </c>
      <c r="AN26" s="199">
        <f t="shared" ref="AN26:AN31" si="48">VLOOKUP(B26,ffbbudgettwofive,17,FALSE)</f>
        <v>155</v>
      </c>
      <c r="AO26" s="199">
        <f t="shared" ref="AO26:AO31" si="49">VLOOKUP(B26,ffbbudgettwofive,18,FALSE)</f>
        <v>141</v>
      </c>
    </row>
    <row r="27" spans="1:41" hidden="1" outlineLevel="1" x14ac:dyDescent="0.25">
      <c r="A27" s="528"/>
      <c r="B27" s="1">
        <v>5</v>
      </c>
      <c r="C27" s="523">
        <f t="shared" si="30"/>
        <v>50.4</v>
      </c>
      <c r="D27" s="524">
        <f t="shared" si="31"/>
        <v>47.44</v>
      </c>
      <c r="E27" s="524">
        <f t="shared" si="32"/>
        <v>32.090000000000003</v>
      </c>
      <c r="F27" s="524">
        <f t="shared" si="33"/>
        <v>0</v>
      </c>
      <c r="G27" s="93">
        <f t="shared" si="34"/>
        <v>79.53</v>
      </c>
      <c r="H27" s="524">
        <f t="shared" si="35"/>
        <v>101</v>
      </c>
      <c r="I27" s="551">
        <f t="shared" si="26"/>
        <v>1.5779761904761906</v>
      </c>
      <c r="J27" s="93">
        <f t="shared" si="27"/>
        <v>2.003968253968254</v>
      </c>
      <c r="K27" s="556">
        <f t="shared" si="36"/>
        <v>835.29</v>
      </c>
      <c r="L27" s="592">
        <f t="shared" si="37"/>
        <v>1008.96</v>
      </c>
      <c r="M27" s="559">
        <f t="shared" si="28"/>
        <v>16.573214285714286</v>
      </c>
      <c r="N27" s="93">
        <f t="shared" si="29"/>
        <v>20.019047619047619</v>
      </c>
      <c r="O27" s="512"/>
      <c r="AD27" s="199">
        <f t="shared" si="38"/>
        <v>50.400000000000006</v>
      </c>
      <c r="AE27" s="199">
        <f t="shared" si="39"/>
        <v>40.32</v>
      </c>
      <c r="AF27" s="199">
        <f t="shared" si="40"/>
        <v>70.56</v>
      </c>
      <c r="AG27" s="199">
        <f t="shared" si="41"/>
        <v>70.56</v>
      </c>
      <c r="AH27" s="199">
        <f t="shared" si="42"/>
        <v>70.56</v>
      </c>
      <c r="AI27" s="199">
        <f t="shared" si="43"/>
        <v>70.56</v>
      </c>
      <c r="AJ27" s="199">
        <f t="shared" si="44"/>
        <v>81</v>
      </c>
      <c r="AK27" s="199">
        <f t="shared" si="45"/>
        <v>101</v>
      </c>
      <c r="AL27" s="199">
        <f t="shared" si="46"/>
        <v>101</v>
      </c>
      <c r="AM27" s="199">
        <f t="shared" si="47"/>
        <v>141</v>
      </c>
      <c r="AN27" s="199">
        <f t="shared" si="48"/>
        <v>111</v>
      </c>
      <c r="AO27" s="199">
        <f t="shared" si="49"/>
        <v>101</v>
      </c>
    </row>
    <row r="28" spans="1:41" hidden="1" outlineLevel="1" x14ac:dyDescent="0.25">
      <c r="A28" s="528"/>
      <c r="B28" s="1">
        <v>6</v>
      </c>
      <c r="C28" s="523">
        <f t="shared" si="30"/>
        <v>58.6</v>
      </c>
      <c r="D28" s="524">
        <f t="shared" si="31"/>
        <v>60.33</v>
      </c>
      <c r="E28" s="524">
        <f t="shared" si="32"/>
        <v>64.91</v>
      </c>
      <c r="F28" s="524">
        <f t="shared" si="33"/>
        <v>0</v>
      </c>
      <c r="G28" s="93">
        <f t="shared" si="34"/>
        <v>125.24</v>
      </c>
      <c r="H28" s="524">
        <f t="shared" si="35"/>
        <v>117</v>
      </c>
      <c r="I28" s="551">
        <f t="shared" si="26"/>
        <v>2.1372013651877131</v>
      </c>
      <c r="J28" s="93">
        <f t="shared" si="27"/>
        <v>1.9965870307167235</v>
      </c>
      <c r="K28" s="556">
        <f t="shared" si="36"/>
        <v>961.24000000000012</v>
      </c>
      <c r="L28" s="592">
        <f t="shared" si="37"/>
        <v>1171.6400000000001</v>
      </c>
      <c r="M28" s="559">
        <f t="shared" si="28"/>
        <v>16.403412969283277</v>
      </c>
      <c r="N28" s="93">
        <f t="shared" si="29"/>
        <v>19.993856655290102</v>
      </c>
      <c r="O28" s="512"/>
      <c r="AD28" s="199">
        <f t="shared" si="38"/>
        <v>58.6</v>
      </c>
      <c r="AE28" s="199">
        <f t="shared" si="39"/>
        <v>46.88</v>
      </c>
      <c r="AF28" s="199">
        <f t="shared" si="40"/>
        <v>82.04</v>
      </c>
      <c r="AG28" s="199">
        <f t="shared" si="41"/>
        <v>82.04</v>
      </c>
      <c r="AH28" s="199">
        <f t="shared" si="42"/>
        <v>82.04</v>
      </c>
      <c r="AI28" s="199">
        <f t="shared" si="43"/>
        <v>82.04</v>
      </c>
      <c r="AJ28" s="199">
        <f t="shared" si="44"/>
        <v>94</v>
      </c>
      <c r="AK28" s="199">
        <f t="shared" si="45"/>
        <v>117</v>
      </c>
      <c r="AL28" s="199">
        <f t="shared" si="46"/>
        <v>117</v>
      </c>
      <c r="AM28" s="199">
        <f t="shared" si="47"/>
        <v>164</v>
      </c>
      <c r="AN28" s="199">
        <f t="shared" si="48"/>
        <v>129</v>
      </c>
      <c r="AO28" s="199">
        <f t="shared" si="49"/>
        <v>117</v>
      </c>
    </row>
    <row r="29" spans="1:41" hidden="1" outlineLevel="1" x14ac:dyDescent="0.25">
      <c r="A29" s="528"/>
      <c r="B29" s="1">
        <v>7</v>
      </c>
      <c r="C29" s="523">
        <f t="shared" si="30"/>
        <v>23.6</v>
      </c>
      <c r="D29" s="524">
        <f t="shared" si="31"/>
        <v>19.149999999999999</v>
      </c>
      <c r="E29" s="524">
        <f t="shared" si="32"/>
        <v>0</v>
      </c>
      <c r="F29" s="524">
        <f t="shared" si="33"/>
        <v>0</v>
      </c>
      <c r="G29" s="93">
        <f t="shared" si="34"/>
        <v>19.149999999999999</v>
      </c>
      <c r="H29" s="524">
        <f t="shared" si="35"/>
        <v>40</v>
      </c>
      <c r="I29" s="551">
        <f t="shared" si="26"/>
        <v>0.81144067796610153</v>
      </c>
      <c r="J29" s="93">
        <f t="shared" si="27"/>
        <v>1.6949152542372881</v>
      </c>
      <c r="K29" s="556">
        <f t="shared" si="36"/>
        <v>334.61</v>
      </c>
      <c r="L29" s="592">
        <f t="shared" si="37"/>
        <v>400.37</v>
      </c>
      <c r="M29" s="559">
        <f t="shared" si="28"/>
        <v>14.178389830508474</v>
      </c>
      <c r="N29" s="93">
        <f t="shared" si="29"/>
        <v>16.964830508474577</v>
      </c>
      <c r="O29" s="512"/>
      <c r="AD29" s="199">
        <f t="shared" si="38"/>
        <v>20.05</v>
      </c>
      <c r="AE29" s="199">
        <f t="shared" si="39"/>
        <v>16.04</v>
      </c>
      <c r="AF29" s="199">
        <f t="shared" si="40"/>
        <v>28.070000000000004</v>
      </c>
      <c r="AG29" s="199">
        <f t="shared" si="41"/>
        <v>28.070000000000004</v>
      </c>
      <c r="AH29" s="199">
        <f t="shared" si="42"/>
        <v>28.070000000000004</v>
      </c>
      <c r="AI29" s="199">
        <f t="shared" si="43"/>
        <v>28.070000000000004</v>
      </c>
      <c r="AJ29" s="199">
        <f t="shared" si="44"/>
        <v>32</v>
      </c>
      <c r="AK29" s="199">
        <f t="shared" si="45"/>
        <v>40</v>
      </c>
      <c r="AL29" s="199">
        <f t="shared" si="46"/>
        <v>40</v>
      </c>
      <c r="AM29" s="199">
        <f t="shared" si="47"/>
        <v>56</v>
      </c>
      <c r="AN29" s="199">
        <f t="shared" si="48"/>
        <v>44</v>
      </c>
      <c r="AO29" s="199">
        <f t="shared" si="49"/>
        <v>40</v>
      </c>
    </row>
    <row r="30" spans="1:41" hidden="1" outlineLevel="1" x14ac:dyDescent="0.25">
      <c r="A30" s="528"/>
      <c r="B30" s="1">
        <v>23</v>
      </c>
      <c r="C30" s="523">
        <f t="shared" si="30"/>
        <v>14.6</v>
      </c>
      <c r="D30" s="524">
        <f t="shared" si="31"/>
        <v>25.259999999999998</v>
      </c>
      <c r="E30" s="524">
        <f t="shared" si="32"/>
        <v>0</v>
      </c>
      <c r="F30" s="524">
        <f t="shared" si="33"/>
        <v>0</v>
      </c>
      <c r="G30" s="93">
        <f t="shared" si="34"/>
        <v>25.259999999999998</v>
      </c>
      <c r="H30" s="524">
        <f t="shared" si="35"/>
        <v>31</v>
      </c>
      <c r="I30" s="551">
        <f t="shared" si="26"/>
        <v>1.7301369863013698</v>
      </c>
      <c r="J30" s="93">
        <f t="shared" si="27"/>
        <v>2.1232876712328768</v>
      </c>
      <c r="K30" s="556">
        <f t="shared" si="36"/>
        <v>291.61</v>
      </c>
      <c r="L30" s="592">
        <f t="shared" si="37"/>
        <v>308.59000000000003</v>
      </c>
      <c r="M30" s="559">
        <f t="shared" si="28"/>
        <v>19.973287671232878</v>
      </c>
      <c r="N30" s="93">
        <f t="shared" si="29"/>
        <v>21.136301369863016</v>
      </c>
      <c r="O30" s="512"/>
      <c r="AD30" s="199">
        <f t="shared" si="38"/>
        <v>15.350000000000001</v>
      </c>
      <c r="AE30" s="199">
        <f t="shared" si="39"/>
        <v>12.280000000000001</v>
      </c>
      <c r="AF30" s="199">
        <f t="shared" si="40"/>
        <v>21.490000000000002</v>
      </c>
      <c r="AG30" s="199">
        <f t="shared" si="41"/>
        <v>21.490000000000002</v>
      </c>
      <c r="AH30" s="199">
        <f t="shared" si="42"/>
        <v>21.490000000000002</v>
      </c>
      <c r="AI30" s="199">
        <f t="shared" si="43"/>
        <v>21.490000000000002</v>
      </c>
      <c r="AJ30" s="199">
        <f t="shared" si="44"/>
        <v>25</v>
      </c>
      <c r="AK30" s="199">
        <f t="shared" si="45"/>
        <v>31</v>
      </c>
      <c r="AL30" s="199">
        <f t="shared" si="46"/>
        <v>31</v>
      </c>
      <c r="AM30" s="199">
        <f t="shared" si="47"/>
        <v>43</v>
      </c>
      <c r="AN30" s="199">
        <f t="shared" si="48"/>
        <v>34</v>
      </c>
      <c r="AO30" s="199">
        <f t="shared" si="49"/>
        <v>31</v>
      </c>
    </row>
    <row r="31" spans="1:41" hidden="1" outlineLevel="1" x14ac:dyDescent="0.25">
      <c r="A31" s="528"/>
      <c r="B31" s="1">
        <v>24</v>
      </c>
      <c r="C31" s="523">
        <f t="shared" si="30"/>
        <v>44.7</v>
      </c>
      <c r="D31" s="524">
        <f t="shared" si="31"/>
        <v>49.910000000000004</v>
      </c>
      <c r="E31" s="524">
        <f t="shared" si="32"/>
        <v>0</v>
      </c>
      <c r="F31" s="524">
        <f t="shared" si="33"/>
        <v>0</v>
      </c>
      <c r="G31" s="93">
        <f t="shared" si="34"/>
        <v>49.910000000000004</v>
      </c>
      <c r="H31" s="524">
        <f t="shared" si="35"/>
        <v>81</v>
      </c>
      <c r="I31" s="551">
        <f t="shared" si="26"/>
        <v>1.1165548098434004</v>
      </c>
      <c r="J31" s="93">
        <f t="shared" si="27"/>
        <v>1.8120805369127515</v>
      </c>
      <c r="K31" s="556">
        <f t="shared" si="36"/>
        <v>807.48</v>
      </c>
      <c r="L31" s="592">
        <f t="shared" si="37"/>
        <v>806.85000000000014</v>
      </c>
      <c r="M31" s="559">
        <f t="shared" si="28"/>
        <v>18.064429530201341</v>
      </c>
      <c r="N31" s="93">
        <f t="shared" si="29"/>
        <v>18.050335570469802</v>
      </c>
      <c r="O31" s="512"/>
      <c r="AD31" s="199">
        <f t="shared" si="38"/>
        <v>40.25</v>
      </c>
      <c r="AE31" s="199">
        <f t="shared" si="39"/>
        <v>32.200000000000003</v>
      </c>
      <c r="AF31" s="199">
        <f t="shared" si="40"/>
        <v>56.350000000000009</v>
      </c>
      <c r="AG31" s="199">
        <f t="shared" si="41"/>
        <v>56.350000000000009</v>
      </c>
      <c r="AH31" s="199">
        <f t="shared" si="42"/>
        <v>56.350000000000009</v>
      </c>
      <c r="AI31" s="199">
        <f t="shared" si="43"/>
        <v>56.350000000000009</v>
      </c>
      <c r="AJ31" s="199">
        <f t="shared" si="44"/>
        <v>64</v>
      </c>
      <c r="AK31" s="199">
        <f t="shared" si="45"/>
        <v>81</v>
      </c>
      <c r="AL31" s="199">
        <f t="shared" si="46"/>
        <v>81</v>
      </c>
      <c r="AM31" s="199">
        <f t="shared" si="47"/>
        <v>113</v>
      </c>
      <c r="AN31" s="199">
        <f t="shared" si="48"/>
        <v>89</v>
      </c>
      <c r="AO31" s="199">
        <f t="shared" si="49"/>
        <v>81</v>
      </c>
    </row>
    <row r="32" spans="1:41" ht="15.75" hidden="1" outlineLevel="1" thickBot="1" x14ac:dyDescent="0.3">
      <c r="A32" s="483"/>
      <c r="B32" s="562"/>
      <c r="C32" s="563"/>
      <c r="D32" s="563"/>
      <c r="E32" s="563"/>
      <c r="F32" s="563"/>
      <c r="H32" s="563"/>
      <c r="I32" s="564"/>
      <c r="J32" s="564"/>
      <c r="K32" s="8"/>
      <c r="M32" s="8"/>
      <c r="N32" s="8"/>
      <c r="O32" s="512"/>
    </row>
    <row r="33" spans="1:41" s="7" customFormat="1" ht="15.75" collapsed="1" thickBot="1" x14ac:dyDescent="0.3">
      <c r="A33" s="935" t="s">
        <v>67</v>
      </c>
      <c r="B33" s="936"/>
      <c r="C33" s="543">
        <f>'NU AZANI GANG'!B13</f>
        <v>291.60000000000002</v>
      </c>
      <c r="D33" s="537">
        <f>'NU AZANI GANG'!D13</f>
        <v>259.99</v>
      </c>
      <c r="E33" s="538">
        <f>'NU AZANI GANG'!E13</f>
        <v>145.63</v>
      </c>
      <c r="F33" s="538">
        <f>'NU AZANI GANG'!F13</f>
        <v>0</v>
      </c>
      <c r="G33" s="539">
        <f>SUM(D33:F33)</f>
        <v>405.62</v>
      </c>
      <c r="H33" s="540">
        <f>'NU AZANI GANG'!C13</f>
        <v>594</v>
      </c>
      <c r="I33" s="549">
        <f t="shared" ref="I33:I39" si="50">G33/C33</f>
        <v>1.3910150891632371</v>
      </c>
      <c r="J33" s="541">
        <f t="shared" ref="J33:J39" si="51">H33/C33</f>
        <v>2.0370370370370368</v>
      </c>
      <c r="K33" s="554">
        <f>SUM(K34:K39)</f>
        <v>4491.63</v>
      </c>
      <c r="L33" s="892">
        <f>ROUND(SUM(L34:L39),0)-2</f>
        <v>5940</v>
      </c>
      <c r="M33" s="561">
        <f t="shared" ref="M33:M39" si="52">K33/C33</f>
        <v>15.403395061728395</v>
      </c>
      <c r="N33" s="541">
        <f t="shared" ref="N33:N39" si="53">L33/C33</f>
        <v>20.37037037037037</v>
      </c>
      <c r="O33" s="512"/>
      <c r="AD33" s="815" t="s">
        <v>180</v>
      </c>
      <c r="AE33" s="815" t="s">
        <v>181</v>
      </c>
      <c r="AF33" s="815" t="s">
        <v>182</v>
      </c>
      <c r="AG33" s="815" t="s">
        <v>183</v>
      </c>
      <c r="AH33" s="815" t="s">
        <v>184</v>
      </c>
      <c r="AI33" s="815" t="s">
        <v>185</v>
      </c>
      <c r="AJ33" s="815" t="s">
        <v>186</v>
      </c>
      <c r="AK33" s="815" t="s">
        <v>187</v>
      </c>
      <c r="AL33" s="815" t="s">
        <v>188</v>
      </c>
      <c r="AM33" s="815" t="s">
        <v>189</v>
      </c>
      <c r="AN33" s="815" t="s">
        <v>190</v>
      </c>
      <c r="AO33" s="815" t="s">
        <v>191</v>
      </c>
    </row>
    <row r="34" spans="1:41" hidden="1" outlineLevel="1" x14ac:dyDescent="0.25">
      <c r="A34" s="528"/>
      <c r="B34" s="511">
        <v>8</v>
      </c>
      <c r="C34" s="529">
        <f t="shared" ref="C34:C39" si="54">VLOOKUP(B34,NURAZANI,2,FALSE)</f>
        <v>61.6</v>
      </c>
      <c r="D34" s="525">
        <f t="shared" ref="D34:D39" si="55">VLOOKUP(B34,NURAZANI,4,FALSE)</f>
        <v>59.31</v>
      </c>
      <c r="E34" s="525">
        <f t="shared" ref="E34:E39" si="56">VLOOKUP(B34,NURAZANI,5,FALSE)</f>
        <v>7.63</v>
      </c>
      <c r="F34" s="525">
        <f t="shared" ref="F34:F39" si="57">VLOOKUP(B34,NURAZANI,6,FALSE)</f>
        <v>0</v>
      </c>
      <c r="G34" s="526">
        <f t="shared" ref="G34:G39" si="58">SUM(D34:F34)</f>
        <v>66.94</v>
      </c>
      <c r="H34" s="525">
        <f t="shared" ref="H34:H39" si="59">VLOOKUP(B34,NURAZANI,3,FALSE)</f>
        <v>123</v>
      </c>
      <c r="I34" s="550">
        <f t="shared" si="50"/>
        <v>1.0866883116883117</v>
      </c>
      <c r="J34" s="526">
        <f t="shared" si="51"/>
        <v>1.9967532467532467</v>
      </c>
      <c r="K34" s="555">
        <f t="shared" ref="K34:K39" si="60">VLOOKUP(B34,year2022to23,311,FALSE)</f>
        <v>906.12000000000012</v>
      </c>
      <c r="L34" s="893">
        <f t="shared" ref="L34:L39" si="61">SUM(AD34:AO34)</f>
        <v>1231.8400000000001</v>
      </c>
      <c r="M34" s="558">
        <f t="shared" si="52"/>
        <v>14.709740259740261</v>
      </c>
      <c r="N34" s="526">
        <f t="shared" si="53"/>
        <v>19.997402597402598</v>
      </c>
      <c r="O34" s="512"/>
      <c r="AD34" s="199">
        <f t="shared" ref="AD34:AD39" si="62">VLOOKUP(B34,ffbbudgettwofive,7,FALSE)</f>
        <v>61.6</v>
      </c>
      <c r="AE34" s="199">
        <f t="shared" ref="AE34:AE39" si="63">VLOOKUP(B34,ffbbudgettwofive,8,FALSE)</f>
        <v>49.28</v>
      </c>
      <c r="AF34" s="199">
        <f t="shared" ref="AF34:AF39" si="64">VLOOKUP(B34,ffbbudgettwofive,9,FALSE)</f>
        <v>86.240000000000009</v>
      </c>
      <c r="AG34" s="199">
        <f t="shared" ref="AG34:AG39" si="65">VLOOKUP(B34,ffbbudgettwofive,10,FALSE)</f>
        <v>86.240000000000009</v>
      </c>
      <c r="AH34" s="199">
        <f t="shared" ref="AH34:AH39" si="66">VLOOKUP(B34,ffbbudgettwofive,11,FALSE)</f>
        <v>86.240000000000009</v>
      </c>
      <c r="AI34" s="199">
        <f t="shared" ref="AI34:AI39" si="67">VLOOKUP(B34,ffbbudgettwofive,12,FALSE)</f>
        <v>86.240000000000009</v>
      </c>
      <c r="AJ34" s="199">
        <f t="shared" ref="AJ34:AJ39" si="68">VLOOKUP(B34,ffbbudgettwofive,13,FALSE)</f>
        <v>99</v>
      </c>
      <c r="AK34" s="199">
        <f t="shared" ref="AK34:AK39" si="69">VLOOKUP(B34,ffbbudgettwofive,14,FALSE)</f>
        <v>123</v>
      </c>
      <c r="AL34" s="199">
        <f t="shared" ref="AL34:AL39" si="70">VLOOKUP(B34,ffbbudgettwofive,15,FALSE)</f>
        <v>123</v>
      </c>
      <c r="AM34" s="199">
        <f t="shared" ref="AM34:AM39" si="71">VLOOKUP(B34,ffbbudgettwofive,16,FALSE)</f>
        <v>172</v>
      </c>
      <c r="AN34" s="199">
        <f t="shared" ref="AN34:AN39" si="72">VLOOKUP(B34,ffbbudgettwofive,17,FALSE)</f>
        <v>136</v>
      </c>
      <c r="AO34" s="199">
        <f t="shared" ref="AO34:AO39" si="73">VLOOKUP(B34,ffbbudgettwofive,18,FALSE)</f>
        <v>123</v>
      </c>
    </row>
    <row r="35" spans="1:41" hidden="1" outlineLevel="1" x14ac:dyDescent="0.25">
      <c r="A35" s="528"/>
      <c r="B35" s="1">
        <v>9</v>
      </c>
      <c r="C35" s="523">
        <f t="shared" si="54"/>
        <v>38.299999999999997</v>
      </c>
      <c r="D35" s="524">
        <f t="shared" si="55"/>
        <v>33.010000000000005</v>
      </c>
      <c r="E35" s="524">
        <f t="shared" si="56"/>
        <v>0</v>
      </c>
      <c r="F35" s="524">
        <f t="shared" si="57"/>
        <v>0</v>
      </c>
      <c r="G35" s="93">
        <f t="shared" si="58"/>
        <v>33.010000000000005</v>
      </c>
      <c r="H35" s="524">
        <f t="shared" si="59"/>
        <v>69</v>
      </c>
      <c r="I35" s="551">
        <f t="shared" si="50"/>
        <v>0.86187989556135791</v>
      </c>
      <c r="J35" s="93">
        <f t="shared" si="51"/>
        <v>1.8015665796344649</v>
      </c>
      <c r="K35" s="556">
        <f t="shared" si="60"/>
        <v>486.12</v>
      </c>
      <c r="L35" s="592">
        <f t="shared" si="61"/>
        <v>689.93000000000006</v>
      </c>
      <c r="M35" s="559">
        <f t="shared" si="52"/>
        <v>12.692428198433422</v>
      </c>
      <c r="N35" s="93">
        <f t="shared" si="53"/>
        <v>18.013838120104442</v>
      </c>
      <c r="O35" s="512"/>
      <c r="AD35" s="199">
        <f t="shared" si="62"/>
        <v>34.450000000000003</v>
      </c>
      <c r="AE35" s="199">
        <f t="shared" si="63"/>
        <v>27.560000000000002</v>
      </c>
      <c r="AF35" s="199">
        <f t="shared" si="64"/>
        <v>48.230000000000004</v>
      </c>
      <c r="AG35" s="199">
        <f t="shared" si="65"/>
        <v>48.230000000000004</v>
      </c>
      <c r="AH35" s="199">
        <f t="shared" si="66"/>
        <v>48.230000000000004</v>
      </c>
      <c r="AI35" s="199">
        <f t="shared" si="67"/>
        <v>48.230000000000004</v>
      </c>
      <c r="AJ35" s="199">
        <f t="shared" si="68"/>
        <v>55</v>
      </c>
      <c r="AK35" s="199">
        <f t="shared" si="69"/>
        <v>69</v>
      </c>
      <c r="AL35" s="199">
        <f t="shared" si="70"/>
        <v>69</v>
      </c>
      <c r="AM35" s="199">
        <f t="shared" si="71"/>
        <v>97</v>
      </c>
      <c r="AN35" s="199">
        <f t="shared" si="72"/>
        <v>76</v>
      </c>
      <c r="AO35" s="199">
        <f t="shared" si="73"/>
        <v>69</v>
      </c>
    </row>
    <row r="36" spans="1:41" hidden="1" outlineLevel="1" x14ac:dyDescent="0.25">
      <c r="A36" s="528"/>
      <c r="B36" s="1">
        <v>12</v>
      </c>
      <c r="C36" s="523">
        <f t="shared" si="54"/>
        <v>71</v>
      </c>
      <c r="D36" s="524">
        <f t="shared" si="55"/>
        <v>49.47</v>
      </c>
      <c r="E36" s="524">
        <f t="shared" si="56"/>
        <v>43.91</v>
      </c>
      <c r="F36" s="524">
        <f t="shared" si="57"/>
        <v>0</v>
      </c>
      <c r="G36" s="93">
        <f t="shared" si="58"/>
        <v>93.38</v>
      </c>
      <c r="H36" s="524">
        <f t="shared" si="59"/>
        <v>142</v>
      </c>
      <c r="I36" s="551">
        <f t="shared" si="50"/>
        <v>1.3152112676056338</v>
      </c>
      <c r="J36" s="93">
        <f t="shared" si="51"/>
        <v>2</v>
      </c>
      <c r="K36" s="556">
        <f t="shared" si="60"/>
        <v>1000.7399999999999</v>
      </c>
      <c r="L36" s="592">
        <f t="shared" si="61"/>
        <v>1420.4</v>
      </c>
      <c r="M36" s="559">
        <f t="shared" si="52"/>
        <v>14.094929577464788</v>
      </c>
      <c r="N36" s="93">
        <f t="shared" si="53"/>
        <v>20.005633802816902</v>
      </c>
      <c r="O36" s="512"/>
      <c r="AD36" s="199">
        <f t="shared" si="62"/>
        <v>71</v>
      </c>
      <c r="AE36" s="199">
        <f t="shared" si="63"/>
        <v>56.800000000000004</v>
      </c>
      <c r="AF36" s="199">
        <f t="shared" si="64"/>
        <v>99.4</v>
      </c>
      <c r="AG36" s="199">
        <f t="shared" si="65"/>
        <v>99.4</v>
      </c>
      <c r="AH36" s="199">
        <f t="shared" si="66"/>
        <v>99.4</v>
      </c>
      <c r="AI36" s="199">
        <f t="shared" si="67"/>
        <v>99.4</v>
      </c>
      <c r="AJ36" s="199">
        <f t="shared" si="68"/>
        <v>114</v>
      </c>
      <c r="AK36" s="199">
        <f t="shared" si="69"/>
        <v>142</v>
      </c>
      <c r="AL36" s="199">
        <f t="shared" si="70"/>
        <v>142</v>
      </c>
      <c r="AM36" s="199">
        <f t="shared" si="71"/>
        <v>199</v>
      </c>
      <c r="AN36" s="199">
        <f t="shared" si="72"/>
        <v>156</v>
      </c>
      <c r="AO36" s="199">
        <f t="shared" si="73"/>
        <v>142</v>
      </c>
    </row>
    <row r="37" spans="1:41" hidden="1" outlineLevel="1" x14ac:dyDescent="0.25">
      <c r="A37" s="528"/>
      <c r="B37" s="1">
        <v>10</v>
      </c>
      <c r="C37" s="523">
        <f t="shared" si="54"/>
        <v>19.100000000000001</v>
      </c>
      <c r="D37" s="524">
        <f t="shared" si="55"/>
        <v>13.41</v>
      </c>
      <c r="E37" s="524">
        <f t="shared" si="56"/>
        <v>0</v>
      </c>
      <c r="F37" s="524">
        <f t="shared" si="57"/>
        <v>0</v>
      </c>
      <c r="G37" s="93">
        <f t="shared" si="58"/>
        <v>13.41</v>
      </c>
      <c r="H37" s="524">
        <f t="shared" si="59"/>
        <v>36</v>
      </c>
      <c r="I37" s="551">
        <f t="shared" si="50"/>
        <v>0.70209424083769634</v>
      </c>
      <c r="J37" s="93">
        <f t="shared" si="51"/>
        <v>1.8848167539267013</v>
      </c>
      <c r="K37" s="556">
        <f t="shared" si="60"/>
        <v>259.04000000000002</v>
      </c>
      <c r="L37" s="592">
        <f t="shared" si="61"/>
        <v>362.31</v>
      </c>
      <c r="M37" s="559">
        <f t="shared" si="52"/>
        <v>13.562303664921465</v>
      </c>
      <c r="N37" s="93">
        <f t="shared" si="53"/>
        <v>18.969109947643979</v>
      </c>
      <c r="O37" s="512"/>
      <c r="AD37" s="199">
        <f t="shared" si="62"/>
        <v>18.150000000000002</v>
      </c>
      <c r="AE37" s="199">
        <f t="shared" si="63"/>
        <v>14.52</v>
      </c>
      <c r="AF37" s="199">
        <f t="shared" si="64"/>
        <v>25.410000000000004</v>
      </c>
      <c r="AG37" s="199">
        <f t="shared" si="65"/>
        <v>25.410000000000004</v>
      </c>
      <c r="AH37" s="199">
        <f t="shared" si="66"/>
        <v>25.410000000000004</v>
      </c>
      <c r="AI37" s="199">
        <f t="shared" si="67"/>
        <v>25.410000000000004</v>
      </c>
      <c r="AJ37" s="199">
        <f t="shared" si="68"/>
        <v>29</v>
      </c>
      <c r="AK37" s="199">
        <f t="shared" si="69"/>
        <v>36</v>
      </c>
      <c r="AL37" s="199">
        <f t="shared" si="70"/>
        <v>36</v>
      </c>
      <c r="AM37" s="199">
        <f t="shared" si="71"/>
        <v>51</v>
      </c>
      <c r="AN37" s="199">
        <f t="shared" si="72"/>
        <v>40</v>
      </c>
      <c r="AO37" s="199">
        <f t="shared" si="73"/>
        <v>36</v>
      </c>
    </row>
    <row r="38" spans="1:41" hidden="1" outlineLevel="1" x14ac:dyDescent="0.25">
      <c r="A38" s="528"/>
      <c r="B38" s="1">
        <v>13</v>
      </c>
      <c r="C38" s="523">
        <f t="shared" si="54"/>
        <v>60.8</v>
      </c>
      <c r="D38" s="524">
        <f t="shared" si="55"/>
        <v>59.580000000000005</v>
      </c>
      <c r="E38" s="524">
        <f t="shared" si="56"/>
        <v>53.370000000000005</v>
      </c>
      <c r="F38" s="524">
        <f t="shared" si="57"/>
        <v>0</v>
      </c>
      <c r="G38" s="93">
        <f t="shared" si="58"/>
        <v>112.95000000000002</v>
      </c>
      <c r="H38" s="524">
        <f t="shared" si="59"/>
        <v>134</v>
      </c>
      <c r="I38" s="551">
        <f t="shared" si="50"/>
        <v>1.8577302631578951</v>
      </c>
      <c r="J38" s="93">
        <f t="shared" si="51"/>
        <v>2.2039473684210527</v>
      </c>
      <c r="K38" s="556">
        <f t="shared" si="60"/>
        <v>1038.9000000000001</v>
      </c>
      <c r="L38" s="592">
        <f t="shared" si="61"/>
        <v>1338.0600000000002</v>
      </c>
      <c r="M38" s="559">
        <f t="shared" si="52"/>
        <v>17.087171052631582</v>
      </c>
      <c r="N38" s="93">
        <f t="shared" si="53"/>
        <v>22.007565789473688</v>
      </c>
      <c r="O38" s="512"/>
      <c r="AD38" s="199">
        <f t="shared" si="62"/>
        <v>66.900000000000006</v>
      </c>
      <c r="AE38" s="199">
        <f t="shared" si="63"/>
        <v>53.52</v>
      </c>
      <c r="AF38" s="199">
        <f t="shared" si="64"/>
        <v>93.660000000000011</v>
      </c>
      <c r="AG38" s="199">
        <f t="shared" si="65"/>
        <v>93.660000000000011</v>
      </c>
      <c r="AH38" s="199">
        <f t="shared" si="66"/>
        <v>93.660000000000011</v>
      </c>
      <c r="AI38" s="199">
        <f t="shared" si="67"/>
        <v>93.660000000000011</v>
      </c>
      <c r="AJ38" s="199">
        <f t="shared" si="68"/>
        <v>107</v>
      </c>
      <c r="AK38" s="199">
        <f t="shared" si="69"/>
        <v>134</v>
      </c>
      <c r="AL38" s="199">
        <f t="shared" si="70"/>
        <v>134</v>
      </c>
      <c r="AM38" s="199">
        <f t="shared" si="71"/>
        <v>187</v>
      </c>
      <c r="AN38" s="199">
        <f t="shared" si="72"/>
        <v>147</v>
      </c>
      <c r="AO38" s="199">
        <f t="shared" si="73"/>
        <v>134</v>
      </c>
    </row>
    <row r="39" spans="1:41" hidden="1" outlineLevel="1" x14ac:dyDescent="0.25">
      <c r="A39" s="528"/>
      <c r="B39" s="1">
        <v>18</v>
      </c>
      <c r="C39" s="523">
        <f t="shared" si="54"/>
        <v>40.799999999999997</v>
      </c>
      <c r="D39" s="524">
        <f t="shared" si="55"/>
        <v>45.21</v>
      </c>
      <c r="E39" s="524">
        <f t="shared" si="56"/>
        <v>40.72</v>
      </c>
      <c r="F39" s="524">
        <f t="shared" si="57"/>
        <v>0</v>
      </c>
      <c r="G39" s="93">
        <f t="shared" si="58"/>
        <v>85.93</v>
      </c>
      <c r="H39" s="524">
        <f t="shared" si="59"/>
        <v>90</v>
      </c>
      <c r="I39" s="551">
        <f t="shared" si="50"/>
        <v>2.1061274509803924</v>
      </c>
      <c r="J39" s="93">
        <f t="shared" si="51"/>
        <v>2.2058823529411766</v>
      </c>
      <c r="K39" s="556">
        <f t="shared" si="60"/>
        <v>800.71</v>
      </c>
      <c r="L39" s="592">
        <f t="shared" si="61"/>
        <v>899.26</v>
      </c>
      <c r="M39" s="559">
        <f t="shared" si="52"/>
        <v>19.625245098039219</v>
      </c>
      <c r="N39" s="93">
        <f t="shared" si="53"/>
        <v>22.040686274509806</v>
      </c>
      <c r="O39" s="512"/>
      <c r="AD39" s="199">
        <f t="shared" si="62"/>
        <v>44.900000000000006</v>
      </c>
      <c r="AE39" s="199">
        <f t="shared" si="63"/>
        <v>35.92</v>
      </c>
      <c r="AF39" s="199">
        <f t="shared" si="64"/>
        <v>62.860000000000007</v>
      </c>
      <c r="AG39" s="199">
        <f t="shared" si="65"/>
        <v>62.860000000000007</v>
      </c>
      <c r="AH39" s="199">
        <f t="shared" si="66"/>
        <v>62.860000000000007</v>
      </c>
      <c r="AI39" s="199">
        <f t="shared" si="67"/>
        <v>62.860000000000007</v>
      </c>
      <c r="AJ39" s="199">
        <f t="shared" si="68"/>
        <v>72</v>
      </c>
      <c r="AK39" s="199">
        <f t="shared" si="69"/>
        <v>90</v>
      </c>
      <c r="AL39" s="199">
        <f t="shared" si="70"/>
        <v>90</v>
      </c>
      <c r="AM39" s="199">
        <f t="shared" si="71"/>
        <v>126</v>
      </c>
      <c r="AN39" s="199">
        <f t="shared" si="72"/>
        <v>99</v>
      </c>
      <c r="AO39" s="199">
        <f t="shared" si="73"/>
        <v>90</v>
      </c>
    </row>
    <row r="40" spans="1:41" ht="15.75" hidden="1" outlineLevel="1" thickBot="1" x14ac:dyDescent="0.3">
      <c r="A40" s="483"/>
      <c r="B40" s="562"/>
      <c r="C40" s="563"/>
      <c r="D40" s="563"/>
      <c r="E40" s="563"/>
      <c r="F40" s="563"/>
      <c r="H40" s="563"/>
      <c r="I40" s="564"/>
      <c r="J40" s="564"/>
      <c r="K40" s="8"/>
      <c r="M40" s="8"/>
      <c r="N40" s="8"/>
      <c r="O40" s="512"/>
    </row>
    <row r="41" spans="1:41" s="7" customFormat="1" ht="15.75" collapsed="1" thickBot="1" x14ac:dyDescent="0.3">
      <c r="A41" s="935" t="s">
        <v>68</v>
      </c>
      <c r="B41" s="936"/>
      <c r="C41" s="543">
        <f>'WENDERLINUS GANG '!B15</f>
        <v>196.73</v>
      </c>
      <c r="D41" s="537">
        <f>'WENDERLINUS GANG '!D15</f>
        <v>109.33999999999999</v>
      </c>
      <c r="E41" s="538">
        <f>'WENDERLINUS GANG '!E15</f>
        <v>62.099999999999994</v>
      </c>
      <c r="F41" s="538">
        <f>'WENDERLINUS GANG '!F15</f>
        <v>0</v>
      </c>
      <c r="G41" s="539">
        <f>SUM(D41:F41)</f>
        <v>171.44</v>
      </c>
      <c r="H41" s="540">
        <f>'WENDERLINUS GANG '!C15</f>
        <v>124</v>
      </c>
      <c r="I41" s="549">
        <f t="shared" ref="I41:I49" si="74">G41/C41</f>
        <v>0.87144817770548466</v>
      </c>
      <c r="J41" s="541">
        <f t="shared" ref="J41:J49" si="75">H41/C41</f>
        <v>0.63030549484064458</v>
      </c>
      <c r="K41" s="554">
        <f>SUM(K42:K49)</f>
        <v>2108.4700000000003</v>
      </c>
      <c r="L41" s="892">
        <f>ROUND(SUM(L42:L49),0)-2</f>
        <v>1230</v>
      </c>
      <c r="M41" s="561">
        <f t="shared" ref="M41:M49" si="76">K41/C41</f>
        <v>10.717582473440759</v>
      </c>
      <c r="N41" s="541">
        <f t="shared" ref="N41:N49" si="77">L41/C41</f>
        <v>6.2522238601128457</v>
      </c>
      <c r="O41" s="512"/>
      <c r="AD41" s="815" t="s">
        <v>180</v>
      </c>
      <c r="AE41" s="815" t="s">
        <v>181</v>
      </c>
      <c r="AF41" s="815" t="s">
        <v>182</v>
      </c>
      <c r="AG41" s="815" t="s">
        <v>183</v>
      </c>
      <c r="AH41" s="815" t="s">
        <v>184</v>
      </c>
      <c r="AI41" s="815" t="s">
        <v>185</v>
      </c>
      <c r="AJ41" s="815" t="s">
        <v>186</v>
      </c>
      <c r="AK41" s="815" t="s">
        <v>187</v>
      </c>
      <c r="AL41" s="815" t="s">
        <v>188</v>
      </c>
      <c r="AM41" s="815" t="s">
        <v>189</v>
      </c>
      <c r="AN41" s="815" t="s">
        <v>190</v>
      </c>
      <c r="AO41" s="815" t="s">
        <v>191</v>
      </c>
    </row>
    <row r="42" spans="1:41" hidden="1" outlineLevel="1" x14ac:dyDescent="0.25">
      <c r="A42" s="528"/>
      <c r="B42" s="511">
        <v>25</v>
      </c>
      <c r="C42" s="529">
        <f t="shared" ref="C42:C49" si="78">VLOOKUP(B42,WENDERLINUS,2,FALSE)</f>
        <v>38.22</v>
      </c>
      <c r="D42" s="525">
        <f t="shared" ref="D42:D49" si="79">VLOOKUP(B42,WENDERLINUS,4,FALSE)</f>
        <v>12.27</v>
      </c>
      <c r="E42" s="525">
        <f t="shared" ref="E42:E49" si="80">VLOOKUP(B42,WENDERLINUS,5,FALSE)</f>
        <v>9.43</v>
      </c>
      <c r="F42" s="525">
        <f t="shared" ref="F42:F49" si="81">VLOOKUP(B42,WENDERLINUS,6,FALSE)</f>
        <v>0</v>
      </c>
      <c r="G42" s="526">
        <f t="shared" ref="G42:G49" si="82">SUM(D42:F42)</f>
        <v>21.7</v>
      </c>
      <c r="H42" s="525">
        <f t="shared" ref="H42:H49" si="83">VLOOKUP(B42,WENDERLINUS,3,FALSE)</f>
        <v>13</v>
      </c>
      <c r="I42" s="550">
        <f t="shared" si="74"/>
        <v>0.56776556776556775</v>
      </c>
      <c r="J42" s="526">
        <f t="shared" si="75"/>
        <v>0.3401360544217687</v>
      </c>
      <c r="K42" s="555">
        <f t="shared" ref="K42:K49" si="84">VLOOKUP(B42,year2022to23,311,FALSE)</f>
        <v>330.30999999999995</v>
      </c>
      <c r="L42" s="893">
        <f t="shared" ref="L42:L49" si="85">SUM(AD42:AO42)</f>
        <v>133.58000000000001</v>
      </c>
      <c r="M42" s="558">
        <f t="shared" si="76"/>
        <v>8.6423338566195689</v>
      </c>
      <c r="N42" s="526">
        <f t="shared" si="77"/>
        <v>3.4950287807430671</v>
      </c>
      <c r="O42" s="512"/>
      <c r="AD42" s="199">
        <f t="shared" ref="AD42:AD49" si="86">VLOOKUP(B42,ffbbudgettwofive,7,FALSE)</f>
        <v>6.7</v>
      </c>
      <c r="AE42" s="199">
        <f t="shared" ref="AE42:AE49" si="87">VLOOKUP(B42,ffbbudgettwofive,8,FALSE)</f>
        <v>5.36</v>
      </c>
      <c r="AF42" s="199">
        <f t="shared" ref="AF42:AF49" si="88">VLOOKUP(B42,ffbbudgettwofive,9,FALSE)</f>
        <v>9.3800000000000008</v>
      </c>
      <c r="AG42" s="199">
        <f t="shared" ref="AG42:AG49" si="89">VLOOKUP(B42,ffbbudgettwofive,10,FALSE)</f>
        <v>9.3800000000000008</v>
      </c>
      <c r="AH42" s="199">
        <f t="shared" ref="AH42:AH49" si="90">VLOOKUP(B42,ffbbudgettwofive,11,FALSE)</f>
        <v>9.3800000000000008</v>
      </c>
      <c r="AI42" s="199">
        <f t="shared" ref="AI42:AI49" si="91">VLOOKUP(B42,ffbbudgettwofive,12,FALSE)</f>
        <v>9.3800000000000008</v>
      </c>
      <c r="AJ42" s="199">
        <f t="shared" ref="AJ42:AJ49" si="92">VLOOKUP(B42,ffbbudgettwofive,13,FALSE)</f>
        <v>11</v>
      </c>
      <c r="AK42" s="199">
        <f t="shared" ref="AK42:AK49" si="93">VLOOKUP(B42,ffbbudgettwofive,14,FALSE)</f>
        <v>13</v>
      </c>
      <c r="AL42" s="199">
        <f t="shared" ref="AL42:AL49" si="94">VLOOKUP(B42,ffbbudgettwofive,15,FALSE)</f>
        <v>13</v>
      </c>
      <c r="AM42" s="199">
        <f t="shared" ref="AM42:AM49" si="95">VLOOKUP(B42,ffbbudgettwofive,16,FALSE)</f>
        <v>19</v>
      </c>
      <c r="AN42" s="199">
        <f t="shared" ref="AN42:AN49" si="96">VLOOKUP(B42,ffbbudgettwofive,17,FALSE)</f>
        <v>15</v>
      </c>
      <c r="AO42" s="199">
        <f t="shared" ref="AO42:AO49" si="97">VLOOKUP(B42,ffbbudgettwofive,18,FALSE)</f>
        <v>13</v>
      </c>
    </row>
    <row r="43" spans="1:41" hidden="1" outlineLevel="1" x14ac:dyDescent="0.25">
      <c r="A43" s="528"/>
      <c r="B43" s="1" t="s">
        <v>7</v>
      </c>
      <c r="C43" s="523">
        <f t="shared" si="78"/>
        <v>22.72</v>
      </c>
      <c r="D43" s="524">
        <f t="shared" si="79"/>
        <v>10.02</v>
      </c>
      <c r="E43" s="524">
        <f t="shared" si="80"/>
        <v>18.229999999999997</v>
      </c>
      <c r="F43" s="524">
        <f t="shared" si="81"/>
        <v>0</v>
      </c>
      <c r="G43" s="93">
        <f t="shared" si="82"/>
        <v>28.249999999999996</v>
      </c>
      <c r="H43" s="524">
        <f t="shared" si="83"/>
        <v>11</v>
      </c>
      <c r="I43" s="551">
        <f t="shared" si="74"/>
        <v>1.2433978873239435</v>
      </c>
      <c r="J43" s="93">
        <f t="shared" si="75"/>
        <v>0.48415492957746481</v>
      </c>
      <c r="K43" s="556">
        <f t="shared" si="84"/>
        <v>281.24</v>
      </c>
      <c r="L43" s="592">
        <f t="shared" si="85"/>
        <v>108.96000000000001</v>
      </c>
      <c r="M43" s="559">
        <f t="shared" si="76"/>
        <v>12.378521126760564</v>
      </c>
      <c r="N43" s="93">
        <f t="shared" si="77"/>
        <v>4.7957746478873249</v>
      </c>
      <c r="O43" s="512"/>
      <c r="AD43" s="199">
        <f t="shared" si="86"/>
        <v>5.4</v>
      </c>
      <c r="AE43" s="199">
        <f t="shared" si="87"/>
        <v>4.32</v>
      </c>
      <c r="AF43" s="199">
        <f t="shared" si="88"/>
        <v>7.5600000000000005</v>
      </c>
      <c r="AG43" s="199">
        <f t="shared" si="89"/>
        <v>7.5600000000000005</v>
      </c>
      <c r="AH43" s="199">
        <f t="shared" si="90"/>
        <v>7.5600000000000005</v>
      </c>
      <c r="AI43" s="199">
        <f t="shared" si="91"/>
        <v>7.5600000000000005</v>
      </c>
      <c r="AJ43" s="199">
        <f t="shared" si="92"/>
        <v>9</v>
      </c>
      <c r="AK43" s="199">
        <f t="shared" si="93"/>
        <v>11</v>
      </c>
      <c r="AL43" s="199">
        <f t="shared" si="94"/>
        <v>11</v>
      </c>
      <c r="AM43" s="199">
        <f t="shared" si="95"/>
        <v>15</v>
      </c>
      <c r="AN43" s="199">
        <f t="shared" si="96"/>
        <v>12</v>
      </c>
      <c r="AO43" s="199">
        <f t="shared" si="97"/>
        <v>11</v>
      </c>
    </row>
    <row r="44" spans="1:41" hidden="1" outlineLevel="1" x14ac:dyDescent="0.25">
      <c r="A44" s="528"/>
      <c r="B44" s="1">
        <v>27</v>
      </c>
      <c r="C44" s="523">
        <f t="shared" si="78"/>
        <v>18.64</v>
      </c>
      <c r="D44" s="524">
        <f t="shared" si="79"/>
        <v>10</v>
      </c>
      <c r="E44" s="524">
        <f t="shared" si="80"/>
        <v>9</v>
      </c>
      <c r="F44" s="524">
        <f t="shared" si="81"/>
        <v>0</v>
      </c>
      <c r="G44" s="93">
        <f t="shared" si="82"/>
        <v>19</v>
      </c>
      <c r="H44" s="524">
        <f t="shared" si="83"/>
        <v>9</v>
      </c>
      <c r="I44" s="551">
        <f t="shared" si="74"/>
        <v>1.0193133047210301</v>
      </c>
      <c r="J44" s="93">
        <f t="shared" si="75"/>
        <v>0.48283261802575106</v>
      </c>
      <c r="K44" s="556">
        <f t="shared" si="84"/>
        <v>191.64000000000001</v>
      </c>
      <c r="L44" s="592">
        <f t="shared" si="85"/>
        <v>86.82</v>
      </c>
      <c r="M44" s="559">
        <f t="shared" si="76"/>
        <v>10.281115879828327</v>
      </c>
      <c r="N44" s="93">
        <f t="shared" si="77"/>
        <v>4.6577253218884112</v>
      </c>
      <c r="O44" s="512"/>
      <c r="AD44" s="199">
        <f t="shared" si="86"/>
        <v>4.3</v>
      </c>
      <c r="AE44" s="199">
        <f t="shared" si="87"/>
        <v>3.44</v>
      </c>
      <c r="AF44" s="199">
        <f t="shared" si="88"/>
        <v>6.0200000000000005</v>
      </c>
      <c r="AG44" s="199">
        <f t="shared" si="89"/>
        <v>6.0200000000000005</v>
      </c>
      <c r="AH44" s="199">
        <f t="shared" si="90"/>
        <v>6.0200000000000005</v>
      </c>
      <c r="AI44" s="199">
        <f t="shared" si="91"/>
        <v>6.0200000000000005</v>
      </c>
      <c r="AJ44" s="199">
        <f t="shared" si="92"/>
        <v>7</v>
      </c>
      <c r="AK44" s="199">
        <f t="shared" si="93"/>
        <v>9</v>
      </c>
      <c r="AL44" s="199">
        <f t="shared" si="94"/>
        <v>9</v>
      </c>
      <c r="AM44" s="199">
        <f t="shared" si="95"/>
        <v>12</v>
      </c>
      <c r="AN44" s="199">
        <f t="shared" si="96"/>
        <v>9</v>
      </c>
      <c r="AO44" s="199">
        <f t="shared" si="97"/>
        <v>9</v>
      </c>
    </row>
    <row r="45" spans="1:41" hidden="1" outlineLevel="1" x14ac:dyDescent="0.25">
      <c r="A45" s="528"/>
      <c r="B45" s="1">
        <v>28</v>
      </c>
      <c r="C45" s="523">
        <f t="shared" si="78"/>
        <v>25.5</v>
      </c>
      <c r="D45" s="524">
        <f t="shared" si="79"/>
        <v>23.75</v>
      </c>
      <c r="E45" s="524">
        <f t="shared" si="80"/>
        <v>0</v>
      </c>
      <c r="F45" s="524">
        <f t="shared" si="81"/>
        <v>0</v>
      </c>
      <c r="G45" s="93">
        <f t="shared" si="82"/>
        <v>23.75</v>
      </c>
      <c r="H45" s="524">
        <f t="shared" si="83"/>
        <v>26</v>
      </c>
      <c r="I45" s="551">
        <f t="shared" si="74"/>
        <v>0.93137254901960786</v>
      </c>
      <c r="J45" s="93">
        <f t="shared" si="75"/>
        <v>1.0196078431372548</v>
      </c>
      <c r="K45" s="556">
        <f t="shared" si="84"/>
        <v>331.57000000000005</v>
      </c>
      <c r="L45" s="592">
        <f t="shared" si="85"/>
        <v>257.72000000000003</v>
      </c>
      <c r="M45" s="559">
        <f t="shared" si="76"/>
        <v>13.002745098039219</v>
      </c>
      <c r="N45" s="93">
        <f t="shared" si="77"/>
        <v>10.106666666666667</v>
      </c>
      <c r="O45" s="512"/>
      <c r="AD45" s="199">
        <f t="shared" si="86"/>
        <v>12.8</v>
      </c>
      <c r="AE45" s="199">
        <f t="shared" si="87"/>
        <v>10.24</v>
      </c>
      <c r="AF45" s="199">
        <f t="shared" si="88"/>
        <v>17.920000000000002</v>
      </c>
      <c r="AG45" s="199">
        <f t="shared" si="89"/>
        <v>17.920000000000002</v>
      </c>
      <c r="AH45" s="199">
        <f t="shared" si="90"/>
        <v>17.920000000000002</v>
      </c>
      <c r="AI45" s="199">
        <f t="shared" si="91"/>
        <v>17.920000000000002</v>
      </c>
      <c r="AJ45" s="199">
        <f t="shared" si="92"/>
        <v>21</v>
      </c>
      <c r="AK45" s="199">
        <f t="shared" si="93"/>
        <v>26</v>
      </c>
      <c r="AL45" s="199">
        <f t="shared" si="94"/>
        <v>26</v>
      </c>
      <c r="AM45" s="199">
        <f t="shared" si="95"/>
        <v>36</v>
      </c>
      <c r="AN45" s="199">
        <f t="shared" si="96"/>
        <v>28</v>
      </c>
      <c r="AO45" s="199">
        <f t="shared" si="97"/>
        <v>26</v>
      </c>
    </row>
    <row r="46" spans="1:41" hidden="1" outlineLevel="1" x14ac:dyDescent="0.25">
      <c r="A46" s="528"/>
      <c r="B46" s="1">
        <v>30</v>
      </c>
      <c r="C46" s="523">
        <f t="shared" si="78"/>
        <v>24.35</v>
      </c>
      <c r="D46" s="524">
        <f t="shared" si="79"/>
        <v>12.309999999999999</v>
      </c>
      <c r="E46" s="524">
        <f t="shared" si="80"/>
        <v>0</v>
      </c>
      <c r="F46" s="524">
        <f t="shared" si="81"/>
        <v>0</v>
      </c>
      <c r="G46" s="93">
        <f t="shared" si="82"/>
        <v>12.309999999999999</v>
      </c>
      <c r="H46" s="524">
        <f t="shared" si="83"/>
        <v>7</v>
      </c>
      <c r="I46" s="551">
        <f t="shared" si="74"/>
        <v>0.50554414784394242</v>
      </c>
      <c r="J46" s="93">
        <f t="shared" si="75"/>
        <v>0.28747433264887062</v>
      </c>
      <c r="K46" s="556">
        <f t="shared" si="84"/>
        <v>222.79</v>
      </c>
      <c r="L46" s="592">
        <f t="shared" si="85"/>
        <v>72.38</v>
      </c>
      <c r="M46" s="559">
        <f t="shared" si="76"/>
        <v>9.1494866529774121</v>
      </c>
      <c r="N46" s="93">
        <f t="shared" si="77"/>
        <v>2.9724845995893219</v>
      </c>
      <c r="O46" s="512"/>
      <c r="AD46" s="199">
        <f t="shared" si="86"/>
        <v>3.7</v>
      </c>
      <c r="AE46" s="199">
        <f t="shared" si="87"/>
        <v>2.96</v>
      </c>
      <c r="AF46" s="199">
        <f t="shared" si="88"/>
        <v>5.1800000000000006</v>
      </c>
      <c r="AG46" s="199">
        <f t="shared" si="89"/>
        <v>5.1800000000000006</v>
      </c>
      <c r="AH46" s="199">
        <f t="shared" si="90"/>
        <v>5.1800000000000006</v>
      </c>
      <c r="AI46" s="199">
        <f t="shared" si="91"/>
        <v>5.1800000000000006</v>
      </c>
      <c r="AJ46" s="199">
        <f t="shared" si="92"/>
        <v>6</v>
      </c>
      <c r="AK46" s="199">
        <f t="shared" si="93"/>
        <v>7</v>
      </c>
      <c r="AL46" s="199">
        <f t="shared" si="94"/>
        <v>7</v>
      </c>
      <c r="AM46" s="199">
        <f t="shared" si="95"/>
        <v>10</v>
      </c>
      <c r="AN46" s="199">
        <f t="shared" si="96"/>
        <v>8</v>
      </c>
      <c r="AO46" s="199">
        <f t="shared" si="97"/>
        <v>7</v>
      </c>
    </row>
    <row r="47" spans="1:41" hidden="1" outlineLevel="1" x14ac:dyDescent="0.25">
      <c r="A47" s="528"/>
      <c r="B47" s="1">
        <v>31</v>
      </c>
      <c r="C47" s="523">
        <f t="shared" si="78"/>
        <v>34.08</v>
      </c>
      <c r="D47" s="524">
        <f t="shared" si="79"/>
        <v>14.02</v>
      </c>
      <c r="E47" s="524">
        <f t="shared" si="80"/>
        <v>0</v>
      </c>
      <c r="F47" s="524">
        <f t="shared" si="81"/>
        <v>0</v>
      </c>
      <c r="G47" s="93">
        <f t="shared" si="82"/>
        <v>14.02</v>
      </c>
      <c r="H47" s="524">
        <f t="shared" si="83"/>
        <v>12</v>
      </c>
      <c r="I47" s="551">
        <f t="shared" si="74"/>
        <v>0.41138497652582162</v>
      </c>
      <c r="J47" s="93">
        <f t="shared" si="75"/>
        <v>0.35211267605633806</v>
      </c>
      <c r="K47" s="556">
        <f t="shared" si="84"/>
        <v>233.18999999999997</v>
      </c>
      <c r="L47" s="592">
        <f t="shared" si="85"/>
        <v>116.92</v>
      </c>
      <c r="M47" s="559">
        <f t="shared" si="76"/>
        <v>6.8424295774647881</v>
      </c>
      <c r="N47" s="93">
        <f t="shared" si="77"/>
        <v>3.4307511737089205</v>
      </c>
      <c r="O47" s="512"/>
      <c r="AD47" s="199">
        <f t="shared" si="86"/>
        <v>5.8000000000000007</v>
      </c>
      <c r="AE47" s="199">
        <f t="shared" si="87"/>
        <v>4.6399999999999997</v>
      </c>
      <c r="AF47" s="199">
        <f t="shared" si="88"/>
        <v>8.120000000000001</v>
      </c>
      <c r="AG47" s="199">
        <f t="shared" si="89"/>
        <v>8.120000000000001</v>
      </c>
      <c r="AH47" s="199">
        <f t="shared" si="90"/>
        <v>8.120000000000001</v>
      </c>
      <c r="AI47" s="199">
        <f t="shared" si="91"/>
        <v>8.120000000000001</v>
      </c>
      <c r="AJ47" s="199">
        <f t="shared" si="92"/>
        <v>9</v>
      </c>
      <c r="AK47" s="199">
        <f t="shared" si="93"/>
        <v>12</v>
      </c>
      <c r="AL47" s="199">
        <f t="shared" si="94"/>
        <v>12</v>
      </c>
      <c r="AM47" s="199">
        <f t="shared" si="95"/>
        <v>16</v>
      </c>
      <c r="AN47" s="199">
        <f t="shared" si="96"/>
        <v>13</v>
      </c>
      <c r="AO47" s="199">
        <f t="shared" si="97"/>
        <v>12</v>
      </c>
    </row>
    <row r="48" spans="1:41" hidden="1" outlineLevel="1" x14ac:dyDescent="0.25">
      <c r="A48" s="528"/>
      <c r="B48" s="1">
        <v>33</v>
      </c>
      <c r="C48" s="523">
        <f t="shared" si="78"/>
        <v>28.72</v>
      </c>
      <c r="D48" s="524">
        <f t="shared" si="79"/>
        <v>24.580000000000002</v>
      </c>
      <c r="E48" s="524">
        <f t="shared" si="80"/>
        <v>25.439999999999998</v>
      </c>
      <c r="F48" s="524">
        <f t="shared" si="81"/>
        <v>0</v>
      </c>
      <c r="G48" s="93">
        <f t="shared" si="82"/>
        <v>50.019999999999996</v>
      </c>
      <c r="H48" s="524">
        <f t="shared" si="83"/>
        <v>43</v>
      </c>
      <c r="I48" s="551">
        <f t="shared" si="74"/>
        <v>1.7416434540389971</v>
      </c>
      <c r="J48" s="93">
        <f t="shared" si="75"/>
        <v>1.4972144846796658</v>
      </c>
      <c r="K48" s="556">
        <f t="shared" si="84"/>
        <v>478.1</v>
      </c>
      <c r="L48" s="592">
        <f t="shared" si="85"/>
        <v>429.47</v>
      </c>
      <c r="M48" s="559">
        <f t="shared" si="76"/>
        <v>16.646935933147635</v>
      </c>
      <c r="N48" s="93">
        <f t="shared" si="77"/>
        <v>14.953690807799445</v>
      </c>
      <c r="O48" s="512"/>
      <c r="AD48" s="199">
        <f t="shared" si="86"/>
        <v>21.55</v>
      </c>
      <c r="AE48" s="199">
        <f t="shared" si="87"/>
        <v>17.240000000000002</v>
      </c>
      <c r="AF48" s="199">
        <f t="shared" si="88"/>
        <v>30.17</v>
      </c>
      <c r="AG48" s="199">
        <f t="shared" si="89"/>
        <v>30.17</v>
      </c>
      <c r="AH48" s="199">
        <f t="shared" si="90"/>
        <v>30.17</v>
      </c>
      <c r="AI48" s="199">
        <f t="shared" si="91"/>
        <v>30.17</v>
      </c>
      <c r="AJ48" s="199">
        <f t="shared" si="92"/>
        <v>34</v>
      </c>
      <c r="AK48" s="199">
        <f t="shared" si="93"/>
        <v>43</v>
      </c>
      <c r="AL48" s="199">
        <f t="shared" si="94"/>
        <v>43</v>
      </c>
      <c r="AM48" s="199">
        <f t="shared" si="95"/>
        <v>60</v>
      </c>
      <c r="AN48" s="199">
        <f t="shared" si="96"/>
        <v>47</v>
      </c>
      <c r="AO48" s="199">
        <f t="shared" si="97"/>
        <v>43</v>
      </c>
    </row>
    <row r="49" spans="1:41" hidden="1" outlineLevel="1" x14ac:dyDescent="0.25">
      <c r="A49" s="528"/>
      <c r="B49" s="1">
        <v>39</v>
      </c>
      <c r="C49" s="523">
        <f t="shared" si="78"/>
        <v>4.5</v>
      </c>
      <c r="D49" s="524">
        <f t="shared" si="79"/>
        <v>2.39</v>
      </c>
      <c r="E49" s="524">
        <f t="shared" si="80"/>
        <v>0</v>
      </c>
      <c r="F49" s="524">
        <f t="shared" si="81"/>
        <v>0</v>
      </c>
      <c r="G49" s="93">
        <f t="shared" si="82"/>
        <v>2.39</v>
      </c>
      <c r="H49" s="524">
        <f t="shared" si="83"/>
        <v>3</v>
      </c>
      <c r="I49" s="551">
        <f t="shared" si="74"/>
        <v>0.53111111111111109</v>
      </c>
      <c r="J49" s="93">
        <f t="shared" si="75"/>
        <v>0.66666666666666663</v>
      </c>
      <c r="K49" s="556">
        <f t="shared" si="84"/>
        <v>39.630000000000003</v>
      </c>
      <c r="L49" s="592">
        <f t="shared" si="85"/>
        <v>25.990000000000002</v>
      </c>
      <c r="M49" s="559">
        <f t="shared" si="76"/>
        <v>8.8066666666666666</v>
      </c>
      <c r="N49" s="93">
        <f t="shared" si="77"/>
        <v>5.775555555555556</v>
      </c>
      <c r="O49" s="512"/>
      <c r="AD49" s="199">
        <f t="shared" si="86"/>
        <v>0.35000000000000009</v>
      </c>
      <c r="AE49" s="199">
        <f t="shared" si="87"/>
        <v>8.0000000000000071E-2</v>
      </c>
      <c r="AF49" s="199">
        <f t="shared" si="88"/>
        <v>1.8900000000000001</v>
      </c>
      <c r="AG49" s="199">
        <f t="shared" si="89"/>
        <v>1.8900000000000001</v>
      </c>
      <c r="AH49" s="199">
        <f t="shared" si="90"/>
        <v>1.8900000000000001</v>
      </c>
      <c r="AI49" s="199">
        <f t="shared" si="91"/>
        <v>1.8900000000000001</v>
      </c>
      <c r="AJ49" s="199">
        <f t="shared" si="92"/>
        <v>2</v>
      </c>
      <c r="AK49" s="199">
        <f t="shared" si="93"/>
        <v>3</v>
      </c>
      <c r="AL49" s="199">
        <f t="shared" si="94"/>
        <v>3</v>
      </c>
      <c r="AM49" s="199">
        <f t="shared" si="95"/>
        <v>4</v>
      </c>
      <c r="AN49" s="199">
        <f t="shared" si="96"/>
        <v>3</v>
      </c>
      <c r="AO49" s="199">
        <f t="shared" si="97"/>
        <v>3</v>
      </c>
    </row>
    <row r="50" spans="1:41" ht="15.75" hidden="1" outlineLevel="1" thickBot="1" x14ac:dyDescent="0.3">
      <c r="A50" s="483"/>
      <c r="B50" s="562"/>
      <c r="C50" s="563"/>
      <c r="D50" s="563"/>
      <c r="E50" s="563"/>
      <c r="F50" s="563"/>
      <c r="H50" s="563"/>
      <c r="I50" s="564"/>
      <c r="J50" s="564"/>
      <c r="K50" s="8"/>
      <c r="M50" s="8"/>
      <c r="N50" s="8"/>
      <c r="O50" s="512"/>
    </row>
    <row r="51" spans="1:41" s="7" customFormat="1" ht="15.75" collapsed="1" thickBot="1" x14ac:dyDescent="0.3">
      <c r="A51" s="935" t="s">
        <v>8</v>
      </c>
      <c r="B51" s="936"/>
      <c r="C51" s="543">
        <f t="shared" ref="C51:G51" si="98">C6+C11+C20+C25+C33+C41</f>
        <v>1416.51</v>
      </c>
      <c r="D51" s="537">
        <f t="shared" si="98"/>
        <v>1311.06</v>
      </c>
      <c r="E51" s="538">
        <f t="shared" si="98"/>
        <v>659.65</v>
      </c>
      <c r="F51" s="538">
        <f t="shared" si="98"/>
        <v>0</v>
      </c>
      <c r="G51" s="539">
        <f t="shared" si="98"/>
        <v>1970.71</v>
      </c>
      <c r="H51" s="540">
        <f>H6+H11+H20+H25+H33+H41</f>
        <v>2591</v>
      </c>
      <c r="I51" s="549">
        <f>G51/C51</f>
        <v>1.3912432669024575</v>
      </c>
      <c r="J51" s="541">
        <f>H51/C51</f>
        <v>1.8291434582177324</v>
      </c>
      <c r="K51" s="554">
        <f>K6+K11+K20+K25+K33+K41</f>
        <v>21660.140000000003</v>
      </c>
      <c r="L51" s="892">
        <f>ROUND((L6+L11+L20+L25+L33+L41),0)-1</f>
        <v>25903</v>
      </c>
      <c r="M51" s="561">
        <f>K51/C51</f>
        <v>15.291201615237451</v>
      </c>
      <c r="N51" s="541">
        <f>L51/C51</f>
        <v>18.286492859210313</v>
      </c>
      <c r="O51" s="512"/>
      <c r="AD51" s="815"/>
      <c r="AE51" s="815"/>
      <c r="AF51" s="815"/>
      <c r="AG51" s="815"/>
      <c r="AH51" s="815"/>
      <c r="AI51" s="815"/>
      <c r="AJ51" s="815"/>
      <c r="AK51" s="815"/>
      <c r="AL51" s="815"/>
      <c r="AM51" s="815"/>
      <c r="AN51" s="815"/>
      <c r="AO51" s="815"/>
    </row>
    <row r="52" spans="1:41" x14ac:dyDescent="0.25">
      <c r="O52" s="512"/>
    </row>
    <row r="53" spans="1:41" ht="15.75" thickBot="1" x14ac:dyDescent="0.3">
      <c r="O53" s="512"/>
      <c r="Q53">
        <v>2025</v>
      </c>
    </row>
    <row r="54" spans="1:41" s="7" customFormat="1" ht="15" customHeight="1" thickBot="1" x14ac:dyDescent="0.3">
      <c r="A54" s="474">
        <v>45962</v>
      </c>
      <c r="B54" s="474"/>
      <c r="H54"/>
      <c r="I54"/>
      <c r="J54"/>
      <c r="K54"/>
      <c r="L54" s="593"/>
      <c r="M54"/>
      <c r="N54"/>
      <c r="Q54" s="594" t="s">
        <v>199</v>
      </c>
      <c r="R54" s="595"/>
      <c r="S54" s="595"/>
      <c r="T54" s="596"/>
      <c r="U54" s="597" t="s">
        <v>173</v>
      </c>
      <c r="V54" s="7" t="s">
        <v>176</v>
      </c>
      <c r="X54" s="7" t="s">
        <v>177</v>
      </c>
      <c r="Z54" s="7" t="s">
        <v>179</v>
      </c>
      <c r="AD54" s="815"/>
      <c r="AE54" s="815"/>
      <c r="AF54" s="815"/>
      <c r="AG54" s="815"/>
      <c r="AH54" s="815"/>
      <c r="AI54" s="815"/>
      <c r="AJ54" s="815"/>
      <c r="AK54" s="815"/>
      <c r="AL54" s="815"/>
      <c r="AM54" s="815"/>
      <c r="AN54" s="815"/>
      <c r="AO54" s="815"/>
    </row>
    <row r="55" spans="1:41" ht="75.75" thickBot="1" x14ac:dyDescent="0.3">
      <c r="A55" s="919" t="s">
        <v>79</v>
      </c>
      <c r="B55" s="920"/>
      <c r="C55" s="568" t="s">
        <v>174</v>
      </c>
      <c r="D55" s="569" t="s">
        <v>206</v>
      </c>
      <c r="E55" s="570" t="s">
        <v>266</v>
      </c>
      <c r="F55" s="571" t="s">
        <v>207</v>
      </c>
      <c r="G55" s="572" t="s">
        <v>208</v>
      </c>
      <c r="H55" s="573" t="s">
        <v>266</v>
      </c>
      <c r="O55" s="519"/>
      <c r="P55" s="530" t="s">
        <v>80</v>
      </c>
      <c r="Q55" s="531" t="s">
        <v>170</v>
      </c>
      <c r="R55" s="532" t="s">
        <v>171</v>
      </c>
      <c r="S55" s="532" t="s">
        <v>172</v>
      </c>
      <c r="T55" t="s">
        <v>174</v>
      </c>
      <c r="U55" s="598"/>
      <c r="V55" s="533" t="s">
        <v>175</v>
      </c>
      <c r="W55" s="534" t="s">
        <v>178</v>
      </c>
      <c r="X55" s="534" t="s">
        <v>175</v>
      </c>
      <c r="Y55" s="7" t="s">
        <v>178</v>
      </c>
      <c r="Z55" s="7" t="s">
        <v>175</v>
      </c>
      <c r="AA55" s="7" t="s">
        <v>178</v>
      </c>
    </row>
    <row r="56" spans="1:41" ht="15.75" customHeight="1" thickBot="1" x14ac:dyDescent="0.3">
      <c r="A56" s="933" t="s">
        <v>238</v>
      </c>
      <c r="B56" s="934"/>
      <c r="C56" s="539">
        <f>SUM(Q56:S56)</f>
        <v>338.84000000000003</v>
      </c>
      <c r="D56" s="549">
        <f>C56/P56</f>
        <v>2.06609756097561</v>
      </c>
      <c r="E56" s="566">
        <f>(I6-D56)/D56</f>
        <v>-0.31383543855507029</v>
      </c>
      <c r="F56" s="554">
        <f>SUM(F57:F59)</f>
        <v>2477.0700000000002</v>
      </c>
      <c r="G56" s="561">
        <f>F56/P56</f>
        <v>15.10408536585366</v>
      </c>
      <c r="H56" s="567">
        <f>(M6-G56)/G56</f>
        <v>9.3860892102362647E-2</v>
      </c>
      <c r="O56" s="8"/>
      <c r="P56" s="536">
        <v>164</v>
      </c>
      <c r="Q56" s="537">
        <v>188.85</v>
      </c>
      <c r="R56" s="538">
        <v>149.99</v>
      </c>
      <c r="S56" s="538">
        <v>0</v>
      </c>
      <c r="T56">
        <v>338.84000000000003</v>
      </c>
      <c r="U56" s="540">
        <v>365</v>
      </c>
      <c r="V56" s="541">
        <v>2.06609756097561</v>
      </c>
      <c r="W56" s="541">
        <v>2.225609756097561</v>
      </c>
      <c r="X56" s="541">
        <v>2477.0700000000002</v>
      </c>
      <c r="Y56" s="7">
        <v>2157</v>
      </c>
      <c r="Z56" s="7">
        <v>15.10408536585366</v>
      </c>
      <c r="AA56" s="7">
        <v>13.152439024390244</v>
      </c>
      <c r="AD56" s="888" t="s">
        <v>180</v>
      </c>
      <c r="AE56" s="888" t="s">
        <v>181</v>
      </c>
      <c r="AF56" s="888" t="s">
        <v>182</v>
      </c>
      <c r="AG56" s="888" t="s">
        <v>183</v>
      </c>
      <c r="AH56" s="888" t="s">
        <v>184</v>
      </c>
      <c r="AI56" s="888" t="s">
        <v>185</v>
      </c>
      <c r="AJ56" s="888" t="s">
        <v>186</v>
      </c>
      <c r="AK56" s="888" t="s">
        <v>187</v>
      </c>
      <c r="AL56" s="888" t="s">
        <v>188</v>
      </c>
      <c r="AM56" s="888" t="s">
        <v>189</v>
      </c>
      <c r="AN56" s="888" t="s">
        <v>190</v>
      </c>
      <c r="AO56" s="888" t="s">
        <v>191</v>
      </c>
    </row>
    <row r="57" spans="1:41" ht="15.75" hidden="1" customHeight="1" outlineLevel="1" x14ac:dyDescent="0.25">
      <c r="A57" s="483"/>
      <c r="B57" s="535">
        <v>1</v>
      </c>
      <c r="C57" s="526">
        <f>SUM(Q57:S57)</f>
        <v>123.33000000000001</v>
      </c>
      <c r="D57" s="550">
        <f>C57/P57</f>
        <v>2.318233082706767</v>
      </c>
      <c r="E57" s="575">
        <f>(I7-D57)/D57</f>
        <v>-0.13524689856482611</v>
      </c>
      <c r="F57" s="555">
        <f>VLOOKUP(B57,year2022to23,311,FALSE)-VLOOKUP(B57,year2022to23,309,FALSE)</f>
        <v>803.14</v>
      </c>
      <c r="G57" s="558">
        <f>F57/P57</f>
        <v>15.096616541353383</v>
      </c>
      <c r="H57" s="575">
        <f>(M7-G57)/G57</f>
        <v>0.13279129417038132</v>
      </c>
      <c r="O57" s="484"/>
      <c r="P57" s="529">
        <v>53.2</v>
      </c>
      <c r="Q57" s="525">
        <v>56.32</v>
      </c>
      <c r="R57" s="525">
        <v>67.010000000000005</v>
      </c>
      <c r="S57" s="525">
        <v>0</v>
      </c>
      <c r="T57">
        <v>123.33000000000001</v>
      </c>
      <c r="U57" s="525">
        <v>117</v>
      </c>
      <c r="V57" s="526">
        <v>2.318233082706767</v>
      </c>
      <c r="W57" s="526">
        <v>2.1992481203007519</v>
      </c>
      <c r="X57" s="526">
        <v>803.14</v>
      </c>
      <c r="Y57" s="7">
        <v>690.68000000000006</v>
      </c>
      <c r="Z57" s="7">
        <v>15.096616541353383</v>
      </c>
      <c r="AA57" s="7">
        <v>12.982706766917294</v>
      </c>
      <c r="AD57" s="199">
        <f>VLOOKUP(B57,ffbbudgettwofive,7,FALSE)</f>
        <v>53.2</v>
      </c>
      <c r="AE57" s="199">
        <f>VLOOKUP(B57,ffbbudgettwofive,8,FALSE)</f>
        <v>42.56</v>
      </c>
      <c r="AF57" s="199">
        <f>VLOOKUP(B57,ffbbudgettwofive,9,FALSE)</f>
        <v>74.48</v>
      </c>
      <c r="AG57" s="199">
        <f>VLOOKUP(B57,ffbbudgettwofive,10,FALSE)</f>
        <v>74.48</v>
      </c>
      <c r="AH57" s="199">
        <f>VLOOKUP(B57,ffbbudgettwofive,11,FALSE)</f>
        <v>74.48</v>
      </c>
      <c r="AI57" s="199">
        <f>VLOOKUP(B57,ffbbudgettwofive,12,FALSE)</f>
        <v>74.48</v>
      </c>
      <c r="AJ57" s="199">
        <f>VLOOKUP(B57,ffbbudgettwofive,13,FALSE)</f>
        <v>85</v>
      </c>
      <c r="AK57" s="199">
        <f>VLOOKUP(B57,ffbbudgettwofive,14,FALSE)</f>
        <v>106</v>
      </c>
      <c r="AL57" s="199">
        <f>VLOOKUP(B57,ffbbudgettwofive,15,FALSE)</f>
        <v>106</v>
      </c>
      <c r="AM57" s="199">
        <f>VLOOKUP(B57,ffbbudgettwofive,16,FALSE)</f>
        <v>149</v>
      </c>
      <c r="AN57" s="199">
        <f>VLOOKUP(B57,ffbbudgettwofive,17,FALSE)</f>
        <v>117</v>
      </c>
      <c r="AO57" s="199">
        <f>VLOOKUP(B57,ffbbudgettwofive,18,FALSE)</f>
        <v>106</v>
      </c>
    </row>
    <row r="58" spans="1:41" hidden="1" outlineLevel="1" x14ac:dyDescent="0.25">
      <c r="A58" s="483"/>
      <c r="B58" s="100">
        <v>3</v>
      </c>
      <c r="C58" s="93">
        <f>SUM(Q58:S58)</f>
        <v>122.1</v>
      </c>
      <c r="D58" s="551">
        <f>C58/P58</f>
        <v>1.7644508670520229</v>
      </c>
      <c r="E58" s="575">
        <f>(I8-D58)/D58</f>
        <v>-0.3447174447174447</v>
      </c>
      <c r="F58" s="555">
        <f>VLOOKUP(B58,year2022to23,311,FALSE)-VLOOKUP(B58,year2022to23,309,FALSE)</f>
        <v>1005.74</v>
      </c>
      <c r="G58" s="559">
        <f>F58/P58</f>
        <v>14.533815028901733</v>
      </c>
      <c r="H58" s="576">
        <f>(M8-G58)/G58</f>
        <v>7.9553363692405663E-2</v>
      </c>
      <c r="O58" s="484"/>
      <c r="P58" s="523">
        <v>69.2</v>
      </c>
      <c r="Q58" s="524">
        <v>77.78</v>
      </c>
      <c r="R58" s="524">
        <v>44.32</v>
      </c>
      <c r="S58" s="524">
        <v>0</v>
      </c>
      <c r="T58">
        <v>122.1</v>
      </c>
      <c r="U58" s="524">
        <v>152</v>
      </c>
      <c r="V58" s="93">
        <v>1.7644508670520229</v>
      </c>
      <c r="W58" s="93">
        <v>2.1965317919075145</v>
      </c>
      <c r="X58" s="93">
        <v>1005.7400000000001</v>
      </c>
      <c r="Y58" s="7">
        <v>899.08</v>
      </c>
      <c r="Z58" s="7">
        <v>14.533815028901735</v>
      </c>
      <c r="AA58" s="7">
        <v>12.992485549132947</v>
      </c>
      <c r="AD58" s="199">
        <f>VLOOKUP(B58,ffbbudgettwofive,7,FALSE)</f>
        <v>69.2</v>
      </c>
      <c r="AE58" s="199">
        <f>VLOOKUP(B58,ffbbudgettwofive,8,FALSE)</f>
        <v>55.36</v>
      </c>
      <c r="AF58" s="199">
        <f>VLOOKUP(B58,ffbbudgettwofive,9,FALSE)</f>
        <v>96.88000000000001</v>
      </c>
      <c r="AG58" s="199">
        <f>VLOOKUP(B58,ffbbudgettwofive,10,FALSE)</f>
        <v>96.88000000000001</v>
      </c>
      <c r="AH58" s="199">
        <f>VLOOKUP(B58,ffbbudgettwofive,11,FALSE)</f>
        <v>96.88000000000001</v>
      </c>
      <c r="AI58" s="199">
        <f>VLOOKUP(B58,ffbbudgettwofive,12,FALSE)</f>
        <v>96.88000000000001</v>
      </c>
      <c r="AJ58" s="199">
        <f>VLOOKUP(B58,ffbbudgettwofive,13,FALSE)</f>
        <v>111</v>
      </c>
      <c r="AK58" s="199">
        <f>VLOOKUP(B58,ffbbudgettwofive,14,FALSE)</f>
        <v>138</v>
      </c>
      <c r="AL58" s="199">
        <f>VLOOKUP(B58,ffbbudgettwofive,15,FALSE)</f>
        <v>138</v>
      </c>
      <c r="AM58" s="199">
        <f>VLOOKUP(B58,ffbbudgettwofive,16,FALSE)</f>
        <v>194</v>
      </c>
      <c r="AN58" s="199">
        <f>VLOOKUP(B58,ffbbudgettwofive,17,FALSE)</f>
        <v>152</v>
      </c>
      <c r="AO58" s="199">
        <f>VLOOKUP(B58,ffbbudgettwofive,18,FALSE)</f>
        <v>138</v>
      </c>
    </row>
    <row r="59" spans="1:41" hidden="1" outlineLevel="1" x14ac:dyDescent="0.25">
      <c r="A59" s="483"/>
      <c r="B59" s="100">
        <v>14</v>
      </c>
      <c r="C59" s="93">
        <f>SUM(Q59:S59)</f>
        <v>93.41</v>
      </c>
      <c r="D59" s="551">
        <f>C59/P59</f>
        <v>2.2454326923076922</v>
      </c>
      <c r="E59" s="575">
        <f>(I9-D59)/D59</f>
        <v>-0.50926025050851087</v>
      </c>
      <c r="F59" s="555">
        <f>VLOOKUP(B59,year2022to23,311,FALSE)-VLOOKUP(B59,year2022to23,309,FALSE)</f>
        <v>668.18999999999994</v>
      </c>
      <c r="G59" s="559">
        <f>F59/P59</f>
        <v>16.062259615384612</v>
      </c>
      <c r="H59" s="576">
        <f>(M9-G59)/G59</f>
        <v>6.8603241592960218E-2</v>
      </c>
      <c r="O59" s="484"/>
      <c r="P59" s="523">
        <v>41.6</v>
      </c>
      <c r="Q59" s="524">
        <v>54.75</v>
      </c>
      <c r="R59" s="524">
        <v>38.659999999999997</v>
      </c>
      <c r="S59" s="524">
        <v>0</v>
      </c>
      <c r="T59">
        <v>93.41</v>
      </c>
      <c r="U59" s="524">
        <v>96</v>
      </c>
      <c r="V59" s="93">
        <v>2.2454326923076922</v>
      </c>
      <c r="W59" s="93">
        <v>2.3076923076923075</v>
      </c>
      <c r="X59" s="93">
        <v>668.18999999999994</v>
      </c>
      <c r="Y59" s="7">
        <v>567.38000000000011</v>
      </c>
      <c r="Z59" s="7">
        <v>16.062259615384612</v>
      </c>
      <c r="AA59" s="7">
        <v>13.638942307692309</v>
      </c>
      <c r="AD59" s="199">
        <f>VLOOKUP(B59,ffbbudgettwofive,7,FALSE)</f>
        <v>43.7</v>
      </c>
      <c r="AE59" s="199">
        <f>VLOOKUP(B59,ffbbudgettwofive,8,FALSE)</f>
        <v>34.96</v>
      </c>
      <c r="AF59" s="199">
        <f>VLOOKUP(B59,ffbbudgettwofive,9,FALSE)</f>
        <v>61.180000000000007</v>
      </c>
      <c r="AG59" s="199">
        <f>VLOOKUP(B59,ffbbudgettwofive,10,FALSE)</f>
        <v>61.180000000000007</v>
      </c>
      <c r="AH59" s="199">
        <f>VLOOKUP(B59,ffbbudgettwofive,11,FALSE)</f>
        <v>61.180000000000007</v>
      </c>
      <c r="AI59" s="199">
        <f>VLOOKUP(B59,ffbbudgettwofive,12,FALSE)</f>
        <v>61.180000000000007</v>
      </c>
      <c r="AJ59" s="199">
        <f>VLOOKUP(B59,ffbbudgettwofive,13,FALSE)</f>
        <v>70</v>
      </c>
      <c r="AK59" s="199">
        <f>VLOOKUP(B59,ffbbudgettwofive,14,FALSE)</f>
        <v>87</v>
      </c>
      <c r="AL59" s="199">
        <f>VLOOKUP(B59,ffbbudgettwofive,15,FALSE)</f>
        <v>87</v>
      </c>
      <c r="AM59" s="199">
        <f>VLOOKUP(B59,ffbbudgettwofive,16,FALSE)</f>
        <v>122</v>
      </c>
      <c r="AN59" s="199">
        <f>VLOOKUP(B59,ffbbudgettwofive,17,FALSE)</f>
        <v>96</v>
      </c>
      <c r="AO59" s="199">
        <f>VLOOKUP(B59,ffbbudgettwofive,18,FALSE)</f>
        <v>87</v>
      </c>
    </row>
    <row r="60" spans="1:41" ht="15.75" hidden="1" outlineLevel="1" thickBot="1" x14ac:dyDescent="0.3">
      <c r="A60" s="483"/>
      <c r="B60" s="562"/>
      <c r="D60" s="564"/>
      <c r="F60" s="8"/>
      <c r="G60" s="8"/>
      <c r="O60" s="8"/>
      <c r="P60" s="563"/>
      <c r="Q60" s="563"/>
      <c r="R60" s="563"/>
      <c r="S60" s="563"/>
      <c r="U60" s="563"/>
      <c r="V60" s="564"/>
      <c r="W60" s="8"/>
      <c r="X60" s="8"/>
    </row>
    <row r="61" spans="1:41" ht="15.75" collapsed="1" thickBot="1" x14ac:dyDescent="0.3">
      <c r="A61" s="935" t="s">
        <v>64</v>
      </c>
      <c r="B61" s="936"/>
      <c r="C61" s="539">
        <f t="shared" ref="C61:C68" si="99">SUM(Q61:S61)</f>
        <v>643.48</v>
      </c>
      <c r="D61" s="549">
        <f t="shared" ref="D61:D68" si="100">C61/P61</f>
        <v>1.6696419304618579</v>
      </c>
      <c r="E61" s="577">
        <f t="shared" ref="E61:E68" si="101">(I11-D61)/D61</f>
        <v>7.5666687387331497E-2</v>
      </c>
      <c r="F61" s="578">
        <f>SUM(F62:F68)</f>
        <v>5847.5000000000009</v>
      </c>
      <c r="G61" s="579">
        <f t="shared" ref="G61:G68" si="102">F61/P61</f>
        <v>15.172548002075768</v>
      </c>
      <c r="H61" s="580">
        <f t="shared" ref="H61:H68" si="103">(M11-G61)/G61</f>
        <v>0.11837024369388617</v>
      </c>
      <c r="O61" s="8"/>
      <c r="P61" s="543">
        <v>385.4</v>
      </c>
      <c r="Q61" s="537">
        <v>397.53999999999996</v>
      </c>
      <c r="R61" s="538">
        <v>245.94</v>
      </c>
      <c r="S61" s="538">
        <v>0</v>
      </c>
      <c r="T61">
        <v>643.48</v>
      </c>
      <c r="U61" s="540">
        <v>900</v>
      </c>
      <c r="V61" s="541">
        <v>1.6696419304618579</v>
      </c>
      <c r="W61" s="541">
        <v>2.3352361183186301</v>
      </c>
      <c r="X61" s="541">
        <v>5847.5000000000009</v>
      </c>
      <c r="Y61" s="7">
        <v>5317</v>
      </c>
      <c r="Z61" s="7">
        <v>15.172548002075768</v>
      </c>
      <c r="AA61" s="7">
        <v>13.796056045666841</v>
      </c>
      <c r="AD61" s="888" t="s">
        <v>180</v>
      </c>
      <c r="AE61" s="888" t="s">
        <v>181</v>
      </c>
      <c r="AF61" s="888" t="s">
        <v>182</v>
      </c>
      <c r="AG61" s="888" t="s">
        <v>183</v>
      </c>
      <c r="AH61" s="888" t="s">
        <v>184</v>
      </c>
      <c r="AI61" s="888" t="s">
        <v>185</v>
      </c>
      <c r="AJ61" s="888" t="s">
        <v>186</v>
      </c>
      <c r="AK61" s="888" t="s">
        <v>187</v>
      </c>
      <c r="AL61" s="888" t="s">
        <v>188</v>
      </c>
      <c r="AM61" s="888" t="s">
        <v>189</v>
      </c>
      <c r="AN61" s="888" t="s">
        <v>190</v>
      </c>
      <c r="AO61" s="888" t="s">
        <v>191</v>
      </c>
    </row>
    <row r="62" spans="1:41" hidden="1" outlineLevel="1" x14ac:dyDescent="0.25">
      <c r="A62" s="528"/>
      <c r="B62" s="511">
        <v>15</v>
      </c>
      <c r="C62" s="526">
        <f t="shared" si="99"/>
        <v>49.78</v>
      </c>
      <c r="D62" s="550">
        <f t="shared" si="100"/>
        <v>1.0097363083164301</v>
      </c>
      <c r="E62" s="575">
        <f t="shared" si="101"/>
        <v>1.4921655283246285</v>
      </c>
      <c r="F62" s="555">
        <f t="shared" ref="F62:F68" si="104">VLOOKUP(B62,year2022to23,311,FALSE)-VLOOKUP(B62,year2022to23,309,FALSE)</f>
        <v>652.83000000000015</v>
      </c>
      <c r="G62" s="558">
        <f t="shared" si="102"/>
        <v>13.241987829614608</v>
      </c>
      <c r="H62" s="575">
        <f t="shared" si="103"/>
        <v>0.19003415896941001</v>
      </c>
      <c r="O62" s="484"/>
      <c r="P62" s="529">
        <v>49.3</v>
      </c>
      <c r="Q62" s="525">
        <v>49.78</v>
      </c>
      <c r="R62" s="525">
        <v>0</v>
      </c>
      <c r="S62" s="525">
        <v>0</v>
      </c>
      <c r="T62">
        <v>49.78</v>
      </c>
      <c r="U62" s="525">
        <v>108</v>
      </c>
      <c r="V62" s="526">
        <v>1.0097363083164301</v>
      </c>
      <c r="W62" s="526">
        <v>2.1906693711967549</v>
      </c>
      <c r="X62" s="526">
        <v>652.83000000000004</v>
      </c>
      <c r="Y62" s="7">
        <v>641.82000000000005</v>
      </c>
      <c r="Z62" s="7">
        <v>13.241987829614606</v>
      </c>
      <c r="AA62" s="7">
        <v>13.018661257606492</v>
      </c>
      <c r="AD62" s="199">
        <f t="shared" ref="AD62:AD68" si="105">VLOOKUP(B62,ffbbudgettwofive,7,FALSE)</f>
        <v>49.300000000000004</v>
      </c>
      <c r="AE62" s="199">
        <f t="shared" ref="AE62:AE68" si="106">VLOOKUP(B62,ffbbudgettwofive,8,FALSE)</f>
        <v>39.44</v>
      </c>
      <c r="AF62" s="199">
        <f t="shared" ref="AF62:AF68" si="107">VLOOKUP(B62,ffbbudgettwofive,9,FALSE)</f>
        <v>69.02000000000001</v>
      </c>
      <c r="AG62" s="199">
        <f t="shared" ref="AG62:AG68" si="108">VLOOKUP(B62,ffbbudgettwofive,10,FALSE)</f>
        <v>69.02000000000001</v>
      </c>
      <c r="AH62" s="199">
        <f t="shared" ref="AH62:AH68" si="109">VLOOKUP(B62,ffbbudgettwofive,11,FALSE)</f>
        <v>69.02000000000001</v>
      </c>
      <c r="AI62" s="199">
        <f t="shared" ref="AI62:AI68" si="110">VLOOKUP(B62,ffbbudgettwofive,12,FALSE)</f>
        <v>69.02000000000001</v>
      </c>
      <c r="AJ62" s="199">
        <f t="shared" ref="AJ62:AJ68" si="111">VLOOKUP(B62,ffbbudgettwofive,13,FALSE)</f>
        <v>79</v>
      </c>
      <c r="AK62" s="199">
        <f t="shared" ref="AK62:AK68" si="112">VLOOKUP(B62,ffbbudgettwofive,14,FALSE)</f>
        <v>99</v>
      </c>
      <c r="AL62" s="199">
        <f t="shared" ref="AL62:AL68" si="113">VLOOKUP(B62,ffbbudgettwofive,15,FALSE)</f>
        <v>99</v>
      </c>
      <c r="AM62" s="199">
        <f t="shared" ref="AM62:AM68" si="114">VLOOKUP(B62,ffbbudgettwofive,16,FALSE)</f>
        <v>138</v>
      </c>
      <c r="AN62" s="199">
        <f t="shared" ref="AN62:AN68" si="115">VLOOKUP(B62,ffbbudgettwofive,17,FALSE)</f>
        <v>108</v>
      </c>
      <c r="AO62" s="199">
        <f t="shared" ref="AO62:AO68" si="116">VLOOKUP(B62,ffbbudgettwofive,18,FALSE)</f>
        <v>99</v>
      </c>
    </row>
    <row r="63" spans="1:41" hidden="1" outlineLevel="1" x14ac:dyDescent="0.25">
      <c r="A63" s="528"/>
      <c r="B63" s="1">
        <v>16</v>
      </c>
      <c r="C63" s="93">
        <f t="shared" si="99"/>
        <v>78.900000000000006</v>
      </c>
      <c r="D63" s="551">
        <f t="shared" si="100"/>
        <v>1.4830827067669172</v>
      </c>
      <c r="E63" s="576">
        <f t="shared" si="101"/>
        <v>0.41520912547528499</v>
      </c>
      <c r="F63" s="555">
        <f t="shared" si="104"/>
        <v>789.02</v>
      </c>
      <c r="G63" s="559">
        <f t="shared" si="102"/>
        <v>14.831203007518797</v>
      </c>
      <c r="H63" s="576">
        <f t="shared" si="103"/>
        <v>0.14151732528959965</v>
      </c>
      <c r="O63" s="484"/>
      <c r="P63" s="523">
        <v>53.2</v>
      </c>
      <c r="Q63" s="524">
        <v>48.72</v>
      </c>
      <c r="R63" s="524">
        <v>30.18</v>
      </c>
      <c r="S63" s="524">
        <v>0</v>
      </c>
      <c r="T63">
        <v>78.900000000000006</v>
      </c>
      <c r="U63" s="524">
        <v>117</v>
      </c>
      <c r="V63" s="93">
        <v>1.4830827067669172</v>
      </c>
      <c r="W63" s="93">
        <v>2.1992481203007519</v>
      </c>
      <c r="X63" s="93">
        <v>789.02</v>
      </c>
      <c r="Y63" s="7">
        <v>690.68000000000006</v>
      </c>
      <c r="Z63" s="7">
        <v>14.831203007518797</v>
      </c>
      <c r="AA63" s="7">
        <v>12.982706766917294</v>
      </c>
      <c r="AD63" s="199">
        <f t="shared" si="105"/>
        <v>53.2</v>
      </c>
      <c r="AE63" s="199">
        <f t="shared" si="106"/>
        <v>42.56</v>
      </c>
      <c r="AF63" s="199">
        <f t="shared" si="107"/>
        <v>74.48</v>
      </c>
      <c r="AG63" s="199">
        <f t="shared" si="108"/>
        <v>74.48</v>
      </c>
      <c r="AH63" s="199">
        <f t="shared" si="109"/>
        <v>74.48</v>
      </c>
      <c r="AI63" s="199">
        <f t="shared" si="110"/>
        <v>74.48</v>
      </c>
      <c r="AJ63" s="199">
        <f t="shared" si="111"/>
        <v>85</v>
      </c>
      <c r="AK63" s="199">
        <f t="shared" si="112"/>
        <v>106</v>
      </c>
      <c r="AL63" s="199">
        <f t="shared" si="113"/>
        <v>106</v>
      </c>
      <c r="AM63" s="199">
        <f t="shared" si="114"/>
        <v>149</v>
      </c>
      <c r="AN63" s="199">
        <f t="shared" si="115"/>
        <v>117</v>
      </c>
      <c r="AO63" s="199">
        <f t="shared" si="116"/>
        <v>106</v>
      </c>
    </row>
    <row r="64" spans="1:41" hidden="1" outlineLevel="1" x14ac:dyDescent="0.25">
      <c r="A64" s="528"/>
      <c r="B64" s="1">
        <v>17</v>
      </c>
      <c r="C64" s="93">
        <f t="shared" si="99"/>
        <v>103.34</v>
      </c>
      <c r="D64" s="551">
        <f t="shared" si="100"/>
        <v>2.2612691466083152</v>
      </c>
      <c r="E64" s="576">
        <f t="shared" si="101"/>
        <v>-0.58225275788658803</v>
      </c>
      <c r="F64" s="555">
        <f t="shared" si="104"/>
        <v>754.08</v>
      </c>
      <c r="G64" s="559">
        <f t="shared" si="102"/>
        <v>16.500656455142231</v>
      </c>
      <c r="H64" s="576">
        <f t="shared" si="103"/>
        <v>5.7248567791215857E-2</v>
      </c>
      <c r="O64" s="484"/>
      <c r="P64" s="523">
        <v>45.7</v>
      </c>
      <c r="Q64" s="524">
        <v>48.36</v>
      </c>
      <c r="R64" s="524">
        <v>54.98</v>
      </c>
      <c r="S64" s="524">
        <v>0</v>
      </c>
      <c r="T64">
        <v>103.34</v>
      </c>
      <c r="U64" s="524">
        <v>111</v>
      </c>
      <c r="V64" s="93">
        <v>2.2612691466083152</v>
      </c>
      <c r="W64" s="93">
        <v>2.4288840262582054</v>
      </c>
      <c r="X64" s="93">
        <v>754.08</v>
      </c>
      <c r="Y64" s="7">
        <v>653.85000000000014</v>
      </c>
      <c r="Z64" s="7">
        <v>16.500656455142231</v>
      </c>
      <c r="AA64" s="7">
        <v>14.307439824945298</v>
      </c>
      <c r="AD64" s="199">
        <f t="shared" si="105"/>
        <v>50.25</v>
      </c>
      <c r="AE64" s="199">
        <f t="shared" si="106"/>
        <v>40.200000000000003</v>
      </c>
      <c r="AF64" s="199">
        <f t="shared" si="107"/>
        <v>70.350000000000009</v>
      </c>
      <c r="AG64" s="199">
        <f t="shared" si="108"/>
        <v>70.350000000000009</v>
      </c>
      <c r="AH64" s="199">
        <f t="shared" si="109"/>
        <v>70.350000000000009</v>
      </c>
      <c r="AI64" s="199">
        <f t="shared" si="110"/>
        <v>70.350000000000009</v>
      </c>
      <c r="AJ64" s="199">
        <f t="shared" si="111"/>
        <v>80</v>
      </c>
      <c r="AK64" s="199">
        <f t="shared" si="112"/>
        <v>101</v>
      </c>
      <c r="AL64" s="199">
        <f t="shared" si="113"/>
        <v>101</v>
      </c>
      <c r="AM64" s="199">
        <f t="shared" si="114"/>
        <v>141</v>
      </c>
      <c r="AN64" s="199">
        <f t="shared" si="115"/>
        <v>111</v>
      </c>
      <c r="AO64" s="199">
        <f t="shared" si="116"/>
        <v>101</v>
      </c>
    </row>
    <row r="65" spans="1:41" hidden="1" outlineLevel="1" x14ac:dyDescent="0.25">
      <c r="A65" s="528"/>
      <c r="B65" s="1">
        <v>19</v>
      </c>
      <c r="C65" s="93">
        <f t="shared" si="99"/>
        <v>50.51</v>
      </c>
      <c r="D65" s="551">
        <f t="shared" si="100"/>
        <v>0.99782694587119714</v>
      </c>
      <c r="E65" s="576">
        <f t="shared" si="101"/>
        <v>0.78123143931894679</v>
      </c>
      <c r="F65" s="555">
        <f t="shared" si="104"/>
        <v>776.03</v>
      </c>
      <c r="G65" s="559">
        <f t="shared" si="102"/>
        <v>15.330501777953378</v>
      </c>
      <c r="H65" s="576">
        <f t="shared" si="103"/>
        <v>0.11593623957836698</v>
      </c>
      <c r="O65" s="484"/>
      <c r="P65" s="523">
        <v>50.62</v>
      </c>
      <c r="Q65" s="524">
        <v>50.51</v>
      </c>
      <c r="R65" s="524">
        <v>0</v>
      </c>
      <c r="S65" s="524">
        <v>0</v>
      </c>
      <c r="T65">
        <v>50.51</v>
      </c>
      <c r="U65" s="524">
        <v>117</v>
      </c>
      <c r="V65" s="93">
        <v>0.99782694587119714</v>
      </c>
      <c r="W65" s="93">
        <v>2.3113393915448439</v>
      </c>
      <c r="X65" s="93">
        <v>776.03</v>
      </c>
      <c r="Y65" s="7">
        <v>690.31000000000017</v>
      </c>
      <c r="Z65" s="7">
        <v>15.330501777953378</v>
      </c>
      <c r="AA65" s="7">
        <v>13.637099960489929</v>
      </c>
      <c r="AD65" s="199">
        <f t="shared" si="105"/>
        <v>53.150000000000006</v>
      </c>
      <c r="AE65" s="199">
        <f t="shared" si="106"/>
        <v>42.52</v>
      </c>
      <c r="AF65" s="199">
        <f t="shared" si="107"/>
        <v>74.410000000000011</v>
      </c>
      <c r="AG65" s="199">
        <f t="shared" si="108"/>
        <v>74.410000000000011</v>
      </c>
      <c r="AH65" s="199">
        <f t="shared" si="109"/>
        <v>74.410000000000011</v>
      </c>
      <c r="AI65" s="199">
        <f t="shared" si="110"/>
        <v>74.410000000000011</v>
      </c>
      <c r="AJ65" s="199">
        <f t="shared" si="111"/>
        <v>85</v>
      </c>
      <c r="AK65" s="199">
        <f t="shared" si="112"/>
        <v>106</v>
      </c>
      <c r="AL65" s="199">
        <f t="shared" si="113"/>
        <v>106</v>
      </c>
      <c r="AM65" s="199">
        <f t="shared" si="114"/>
        <v>149</v>
      </c>
      <c r="AN65" s="199">
        <f t="shared" si="115"/>
        <v>117</v>
      </c>
      <c r="AO65" s="199">
        <f t="shared" si="116"/>
        <v>106</v>
      </c>
    </row>
    <row r="66" spans="1:41" hidden="1" outlineLevel="1" x14ac:dyDescent="0.25">
      <c r="A66" s="528"/>
      <c r="B66" s="1">
        <v>20</v>
      </c>
      <c r="C66" s="93">
        <f t="shared" si="99"/>
        <v>75.11</v>
      </c>
      <c r="D66" s="551">
        <f t="shared" si="100"/>
        <v>1.2098904639175259</v>
      </c>
      <c r="E66" s="576">
        <f t="shared" si="101"/>
        <v>0.81946478498202613</v>
      </c>
      <c r="F66" s="555">
        <f t="shared" si="104"/>
        <v>891.94000000000017</v>
      </c>
      <c r="G66" s="559">
        <f t="shared" si="102"/>
        <v>14.36759020618557</v>
      </c>
      <c r="H66" s="576">
        <f t="shared" si="103"/>
        <v>0.15321658407516192</v>
      </c>
      <c r="O66" s="484"/>
      <c r="P66" s="523">
        <v>62.08</v>
      </c>
      <c r="Q66" s="524">
        <v>75.11</v>
      </c>
      <c r="R66" s="524">
        <v>0</v>
      </c>
      <c r="S66" s="524">
        <v>0</v>
      </c>
      <c r="T66">
        <v>75.11</v>
      </c>
      <c r="U66" s="524">
        <v>143</v>
      </c>
      <c r="V66" s="93">
        <v>1.2098904639175259</v>
      </c>
      <c r="W66" s="93">
        <v>2.303479381443299</v>
      </c>
      <c r="X66" s="93">
        <v>891.94</v>
      </c>
      <c r="Y66" s="7">
        <v>846.48000000000013</v>
      </c>
      <c r="Z66" s="7">
        <v>14.367590206185568</v>
      </c>
      <c r="AA66" s="7">
        <v>13.635309278350517</v>
      </c>
      <c r="AD66" s="199">
        <f t="shared" si="105"/>
        <v>65.2</v>
      </c>
      <c r="AE66" s="199">
        <f t="shared" si="106"/>
        <v>52.160000000000004</v>
      </c>
      <c r="AF66" s="199">
        <f t="shared" si="107"/>
        <v>91.280000000000015</v>
      </c>
      <c r="AG66" s="199">
        <f t="shared" si="108"/>
        <v>91.280000000000015</v>
      </c>
      <c r="AH66" s="199">
        <f t="shared" si="109"/>
        <v>91.280000000000015</v>
      </c>
      <c r="AI66" s="199">
        <f t="shared" si="110"/>
        <v>91.280000000000015</v>
      </c>
      <c r="AJ66" s="199">
        <f t="shared" si="111"/>
        <v>104</v>
      </c>
      <c r="AK66" s="199">
        <f t="shared" si="112"/>
        <v>130</v>
      </c>
      <c r="AL66" s="199">
        <f t="shared" si="113"/>
        <v>130</v>
      </c>
      <c r="AM66" s="199">
        <f t="shared" si="114"/>
        <v>183</v>
      </c>
      <c r="AN66" s="199">
        <f t="shared" si="115"/>
        <v>143</v>
      </c>
      <c r="AO66" s="199">
        <f t="shared" si="116"/>
        <v>130</v>
      </c>
    </row>
    <row r="67" spans="1:41" hidden="1" outlineLevel="1" x14ac:dyDescent="0.25">
      <c r="A67" s="528"/>
      <c r="B67" s="1">
        <v>21</v>
      </c>
      <c r="C67" s="93">
        <f t="shared" si="99"/>
        <v>163.67000000000002</v>
      </c>
      <c r="D67" s="551">
        <f t="shared" si="100"/>
        <v>2.2668975069252078</v>
      </c>
      <c r="E67" s="576">
        <f t="shared" si="101"/>
        <v>-0.25337569499602847</v>
      </c>
      <c r="F67" s="555">
        <f t="shared" si="104"/>
        <v>1202.21</v>
      </c>
      <c r="G67" s="559">
        <f t="shared" si="102"/>
        <v>16.651108033240998</v>
      </c>
      <c r="H67" s="576">
        <f t="shared" si="103"/>
        <v>0.10164613503464452</v>
      </c>
      <c r="O67" s="484"/>
      <c r="P67" s="523">
        <v>72.2</v>
      </c>
      <c r="Q67" s="524">
        <v>69.41</v>
      </c>
      <c r="R67" s="524">
        <v>94.26</v>
      </c>
      <c r="S67" s="524">
        <v>0</v>
      </c>
      <c r="T67">
        <v>163.67000000000002</v>
      </c>
      <c r="U67" s="524">
        <v>183</v>
      </c>
      <c r="V67" s="93">
        <v>2.2668975069252078</v>
      </c>
      <c r="W67" s="93">
        <v>2.5346260387811634</v>
      </c>
      <c r="X67" s="93">
        <v>1202.21</v>
      </c>
      <c r="Y67" s="7">
        <v>1079.57</v>
      </c>
      <c r="Z67" s="7">
        <v>16.651108033240998</v>
      </c>
      <c r="AA67" s="7">
        <v>14.952493074792242</v>
      </c>
      <c r="AD67" s="199">
        <f t="shared" si="105"/>
        <v>83.050000000000011</v>
      </c>
      <c r="AE67" s="199">
        <f t="shared" si="106"/>
        <v>66.44</v>
      </c>
      <c r="AF67" s="199">
        <f t="shared" si="107"/>
        <v>116.27000000000001</v>
      </c>
      <c r="AG67" s="199">
        <f t="shared" si="108"/>
        <v>116.27000000000001</v>
      </c>
      <c r="AH67" s="199">
        <f t="shared" si="109"/>
        <v>116.27000000000001</v>
      </c>
      <c r="AI67" s="199">
        <f t="shared" si="110"/>
        <v>116.27000000000001</v>
      </c>
      <c r="AJ67" s="199">
        <f t="shared" si="111"/>
        <v>133</v>
      </c>
      <c r="AK67" s="199">
        <f t="shared" si="112"/>
        <v>166</v>
      </c>
      <c r="AL67" s="199">
        <f t="shared" si="113"/>
        <v>166</v>
      </c>
      <c r="AM67" s="199">
        <f t="shared" si="114"/>
        <v>232</v>
      </c>
      <c r="AN67" s="199">
        <f t="shared" si="115"/>
        <v>183</v>
      </c>
      <c r="AO67" s="199">
        <f t="shared" si="116"/>
        <v>166</v>
      </c>
    </row>
    <row r="68" spans="1:41" hidden="1" outlineLevel="1" x14ac:dyDescent="0.25">
      <c r="A68" s="528"/>
      <c r="B68" s="1">
        <v>22</v>
      </c>
      <c r="C68" s="93">
        <f t="shared" si="99"/>
        <v>122.16999999999999</v>
      </c>
      <c r="D68" s="551">
        <f t="shared" si="100"/>
        <v>2.3359464627151052</v>
      </c>
      <c r="E68" s="576">
        <f t="shared" si="101"/>
        <v>-0.47245641319472859</v>
      </c>
      <c r="F68" s="555">
        <f t="shared" si="104"/>
        <v>781.39</v>
      </c>
      <c r="G68" s="559">
        <f t="shared" si="102"/>
        <v>14.940535372848949</v>
      </c>
      <c r="H68" s="576">
        <f t="shared" si="103"/>
        <v>8.2481219365489855E-2</v>
      </c>
      <c r="O68" s="484"/>
      <c r="P68" s="523">
        <v>52.3</v>
      </c>
      <c r="Q68" s="524">
        <v>55.65</v>
      </c>
      <c r="R68" s="524">
        <v>66.52</v>
      </c>
      <c r="S68" s="524">
        <v>0</v>
      </c>
      <c r="T68">
        <v>122.16999999999999</v>
      </c>
      <c r="U68" s="524">
        <v>121</v>
      </c>
      <c r="V68" s="93">
        <v>2.3359464627151052</v>
      </c>
      <c r="W68" s="93">
        <v>2.3135755258126198</v>
      </c>
      <c r="X68" s="93">
        <v>781.39</v>
      </c>
      <c r="Y68" s="7">
        <v>714.26</v>
      </c>
      <c r="Z68" s="7">
        <v>14.940535372848949</v>
      </c>
      <c r="AA68" s="7">
        <v>13.65697896749522</v>
      </c>
      <c r="AD68" s="199">
        <f t="shared" si="105"/>
        <v>54.900000000000006</v>
      </c>
      <c r="AE68" s="199">
        <f t="shared" si="106"/>
        <v>43.92</v>
      </c>
      <c r="AF68" s="199">
        <f t="shared" si="107"/>
        <v>76.860000000000014</v>
      </c>
      <c r="AG68" s="199">
        <f t="shared" si="108"/>
        <v>76.860000000000014</v>
      </c>
      <c r="AH68" s="199">
        <f t="shared" si="109"/>
        <v>76.860000000000014</v>
      </c>
      <c r="AI68" s="199">
        <f t="shared" si="110"/>
        <v>76.860000000000014</v>
      </c>
      <c r="AJ68" s="199">
        <f t="shared" si="111"/>
        <v>88</v>
      </c>
      <c r="AK68" s="199">
        <f t="shared" si="112"/>
        <v>110</v>
      </c>
      <c r="AL68" s="199">
        <f t="shared" si="113"/>
        <v>110</v>
      </c>
      <c r="AM68" s="199">
        <f t="shared" si="114"/>
        <v>154</v>
      </c>
      <c r="AN68" s="199">
        <f t="shared" si="115"/>
        <v>121</v>
      </c>
      <c r="AO68" s="199">
        <f t="shared" si="116"/>
        <v>110</v>
      </c>
    </row>
    <row r="69" spans="1:41" ht="15.75" hidden="1" outlineLevel="1" thickBot="1" x14ac:dyDescent="0.3">
      <c r="A69" s="483"/>
      <c r="B69" s="562"/>
      <c r="D69" s="564"/>
      <c r="F69" s="8"/>
      <c r="G69" s="8"/>
      <c r="O69" s="8"/>
      <c r="P69" s="563"/>
      <c r="Q69" s="563"/>
      <c r="R69" s="563"/>
      <c r="S69" s="563"/>
      <c r="U69" s="563"/>
      <c r="V69" s="564"/>
      <c r="W69" s="8"/>
      <c r="X69" s="8"/>
    </row>
    <row r="70" spans="1:41" ht="31.5" customHeight="1" collapsed="1" thickBot="1" x14ac:dyDescent="0.3">
      <c r="A70" s="937" t="s">
        <v>241</v>
      </c>
      <c r="B70" s="938"/>
      <c r="C70" s="539">
        <f>SUM(Q70:S70)</f>
        <v>180.07</v>
      </c>
      <c r="D70" s="549">
        <f>C70/P70</f>
        <v>1.5485896112831097</v>
      </c>
      <c r="E70" s="577">
        <f>(I20-D70)/D70</f>
        <v>-0.41772643971788753</v>
      </c>
      <c r="F70" s="578">
        <f>SUM(F71:F73)</f>
        <v>1412.15</v>
      </c>
      <c r="G70" s="579">
        <f>F70/P70</f>
        <v>12.144392844857242</v>
      </c>
      <c r="H70" s="580">
        <f>(M20-G70)/G70</f>
        <v>7.4248486350600065E-2</v>
      </c>
      <c r="O70" s="8"/>
      <c r="P70" s="543">
        <v>116.28</v>
      </c>
      <c r="Q70" s="537">
        <v>103.97999999999999</v>
      </c>
      <c r="R70" s="538">
        <v>76.09</v>
      </c>
      <c r="S70" s="538">
        <v>0</v>
      </c>
      <c r="T70">
        <v>180.07</v>
      </c>
      <c r="U70" s="540">
        <v>234</v>
      </c>
      <c r="V70" s="541">
        <v>1.5485896112831097</v>
      </c>
      <c r="W70" s="541">
        <v>2.0123839009287927</v>
      </c>
      <c r="X70" s="541">
        <v>1412.15</v>
      </c>
      <c r="Y70" s="7">
        <v>1382.51</v>
      </c>
      <c r="Z70" s="7">
        <v>12.144392844857242</v>
      </c>
      <c r="AA70" s="7">
        <v>11.889490884072927</v>
      </c>
      <c r="AD70" s="888" t="s">
        <v>180</v>
      </c>
      <c r="AE70" s="888" t="s">
        <v>181</v>
      </c>
      <c r="AF70" s="888" t="s">
        <v>182</v>
      </c>
      <c r="AG70" s="888" t="s">
        <v>183</v>
      </c>
      <c r="AH70" s="888" t="s">
        <v>184</v>
      </c>
      <c r="AI70" s="888" t="s">
        <v>185</v>
      </c>
      <c r="AJ70" s="888" t="s">
        <v>186</v>
      </c>
      <c r="AK70" s="888" t="s">
        <v>187</v>
      </c>
      <c r="AL70" s="888" t="s">
        <v>188</v>
      </c>
      <c r="AM70" s="888" t="s">
        <v>189</v>
      </c>
      <c r="AN70" s="888" t="s">
        <v>190</v>
      </c>
      <c r="AO70" s="888" t="s">
        <v>191</v>
      </c>
    </row>
    <row r="71" spans="1:41" hidden="1" outlineLevel="1" x14ac:dyDescent="0.25">
      <c r="A71" s="483"/>
      <c r="B71" s="535">
        <v>2</v>
      </c>
      <c r="C71" s="93">
        <f>SUM(Q71:S71)</f>
        <v>124.18</v>
      </c>
      <c r="D71" s="551">
        <f>C71/P71</f>
        <v>2.0559602649006625</v>
      </c>
      <c r="E71" s="576">
        <f>(I21-D71)/D71</f>
        <v>-0.538492510871316</v>
      </c>
      <c r="F71" s="555">
        <f>VLOOKUP(B71,year2022to23,311,FALSE)-VLOOKUP(B71,year2022to23,309,FALSE)</f>
        <v>832.26</v>
      </c>
      <c r="G71" s="559">
        <f>F71/P71</f>
        <v>13.779139072847682</v>
      </c>
      <c r="H71" s="576">
        <f>(M21-G71)/G71</f>
        <v>6.88606925720327E-2</v>
      </c>
      <c r="O71" s="484"/>
      <c r="P71" s="529">
        <v>60.4</v>
      </c>
      <c r="Q71" s="525">
        <v>52.18</v>
      </c>
      <c r="R71" s="525">
        <v>72</v>
      </c>
      <c r="S71" s="525">
        <v>0</v>
      </c>
      <c r="T71">
        <v>124.18</v>
      </c>
      <c r="U71" s="525">
        <v>133</v>
      </c>
      <c r="V71" s="526">
        <v>2.0559602649006625</v>
      </c>
      <c r="W71" s="526">
        <v>2.2019867549668874</v>
      </c>
      <c r="X71" s="526">
        <v>832.26</v>
      </c>
      <c r="Y71" s="7">
        <v>785.96</v>
      </c>
      <c r="Z71" s="7">
        <v>13.779139072847682</v>
      </c>
      <c r="AA71" s="7">
        <v>13.012582781456954</v>
      </c>
      <c r="AD71" s="199">
        <f>VLOOKUP(B71,ffbbudgettwofive,7,FALSE)</f>
        <v>60.400000000000006</v>
      </c>
      <c r="AE71" s="199">
        <f>VLOOKUP(B71,ffbbudgettwofive,8,FALSE)</f>
        <v>48.32</v>
      </c>
      <c r="AF71" s="199">
        <f>VLOOKUP(B71,ffbbudgettwofive,9,FALSE)</f>
        <v>84.56</v>
      </c>
      <c r="AG71" s="199">
        <f>VLOOKUP(B71,ffbbudgettwofive,10,FALSE)</f>
        <v>84.56</v>
      </c>
      <c r="AH71" s="199">
        <f>VLOOKUP(B71,ffbbudgettwofive,11,FALSE)</f>
        <v>84.56</v>
      </c>
      <c r="AI71" s="199">
        <f>VLOOKUP(B71,ffbbudgettwofive,12,FALSE)</f>
        <v>84.56</v>
      </c>
      <c r="AJ71" s="199">
        <f>VLOOKUP(B71,ffbbudgettwofive,13,FALSE)</f>
        <v>97</v>
      </c>
      <c r="AK71" s="199">
        <f>VLOOKUP(B71,ffbbudgettwofive,14,FALSE)</f>
        <v>121</v>
      </c>
      <c r="AL71" s="199">
        <f>VLOOKUP(B71,ffbbudgettwofive,15,FALSE)</f>
        <v>121</v>
      </c>
      <c r="AM71" s="199">
        <f>VLOOKUP(B71,ffbbudgettwofive,16,FALSE)</f>
        <v>169</v>
      </c>
      <c r="AN71" s="199">
        <f>VLOOKUP(B71,ffbbudgettwofive,17,FALSE)</f>
        <v>133</v>
      </c>
      <c r="AO71" s="199">
        <f>VLOOKUP(B71,ffbbudgettwofive,18,FALSE)</f>
        <v>121</v>
      </c>
    </row>
    <row r="72" spans="1:41" hidden="1" outlineLevel="1" x14ac:dyDescent="0.25">
      <c r="A72" s="483"/>
      <c r="B72" s="100">
        <v>11</v>
      </c>
      <c r="C72" s="93">
        <f>SUM(Q72:S72)</f>
        <v>43.89</v>
      </c>
      <c r="D72" s="551">
        <f>C72/P72</f>
        <v>0.98629213483146072</v>
      </c>
      <c r="E72" s="576">
        <f>(I22-D72)/D72</f>
        <v>-0.2613351560719982</v>
      </c>
      <c r="F72" s="555">
        <f>VLOOKUP(B72,year2022to23,311,FALSE)-VLOOKUP(B72,year2022to23,309,FALSE)</f>
        <v>497.46999999999997</v>
      </c>
      <c r="G72" s="559">
        <f>F72/P72</f>
        <v>11.179101123595505</v>
      </c>
      <c r="H72" s="576">
        <f>(M22-G72)/G72</f>
        <v>6.5169758980441014E-2</v>
      </c>
      <c r="O72" s="484"/>
      <c r="P72" s="523">
        <v>44.5</v>
      </c>
      <c r="Q72" s="524">
        <v>39.799999999999997</v>
      </c>
      <c r="R72" s="524">
        <v>4.09</v>
      </c>
      <c r="S72" s="524">
        <v>0</v>
      </c>
      <c r="T72">
        <v>43.89</v>
      </c>
      <c r="U72" s="524">
        <v>93</v>
      </c>
      <c r="V72" s="93">
        <v>0.98629213483146072</v>
      </c>
      <c r="W72" s="93">
        <v>2.0898876404494384</v>
      </c>
      <c r="X72" s="93">
        <v>497.46999999999997</v>
      </c>
      <c r="Y72" s="7">
        <v>551.02</v>
      </c>
      <c r="Z72" s="7">
        <v>11.179101123595505</v>
      </c>
      <c r="AA72" s="7">
        <v>12.382471910112359</v>
      </c>
      <c r="AD72" s="199">
        <f>VLOOKUP(B72,ffbbudgettwofive,7,FALSE)</f>
        <v>42.300000000000004</v>
      </c>
      <c r="AE72" s="199">
        <f>VLOOKUP(B72,ffbbudgettwofive,8,FALSE)</f>
        <v>33.840000000000003</v>
      </c>
      <c r="AF72" s="199">
        <f>VLOOKUP(B72,ffbbudgettwofive,9,FALSE)</f>
        <v>59.220000000000006</v>
      </c>
      <c r="AG72" s="199">
        <f>VLOOKUP(B72,ffbbudgettwofive,10,FALSE)</f>
        <v>59.220000000000006</v>
      </c>
      <c r="AH72" s="199">
        <f>VLOOKUP(B72,ffbbudgettwofive,11,FALSE)</f>
        <v>59.220000000000006</v>
      </c>
      <c r="AI72" s="199">
        <f>VLOOKUP(B72,ffbbudgettwofive,12,FALSE)</f>
        <v>59.220000000000006</v>
      </c>
      <c r="AJ72" s="199">
        <f>VLOOKUP(B72,ffbbudgettwofive,13,FALSE)</f>
        <v>68</v>
      </c>
      <c r="AK72" s="199">
        <f>VLOOKUP(B72,ffbbudgettwofive,14,FALSE)</f>
        <v>85</v>
      </c>
      <c r="AL72" s="199">
        <f>VLOOKUP(B72,ffbbudgettwofive,15,FALSE)</f>
        <v>85</v>
      </c>
      <c r="AM72" s="199">
        <f>VLOOKUP(B72,ffbbudgettwofive,16,FALSE)</f>
        <v>118</v>
      </c>
      <c r="AN72" s="199">
        <f>VLOOKUP(B72,ffbbudgettwofive,17,FALSE)</f>
        <v>93</v>
      </c>
      <c r="AO72" s="199">
        <f>VLOOKUP(B72,ffbbudgettwofive,18,FALSE)</f>
        <v>85</v>
      </c>
    </row>
    <row r="73" spans="1:41" hidden="1" outlineLevel="1" x14ac:dyDescent="0.25">
      <c r="A73" s="483"/>
      <c r="B73" s="100">
        <v>29</v>
      </c>
      <c r="C73" s="93">
        <f>SUM(Q73:S73)</f>
        <v>12</v>
      </c>
      <c r="D73" s="551">
        <f>C73/P73</f>
        <v>1.0544815465729349</v>
      </c>
      <c r="E73" s="576">
        <f>(I23-D73)/D73</f>
        <v>0.25999999999999984</v>
      </c>
      <c r="F73" s="555">
        <f>VLOOKUP(B73,year2022to23,311,FALSE)-VLOOKUP(B73,year2022to23,309,FALSE)</f>
        <v>82.42</v>
      </c>
      <c r="G73" s="559">
        <f>F73/P73</f>
        <v>7.2425307557117744</v>
      </c>
      <c r="H73" s="576">
        <f>(M23-G73)/G73</f>
        <v>0.18345061878184904</v>
      </c>
      <c r="O73" s="484"/>
      <c r="P73" s="523">
        <v>11.38</v>
      </c>
      <c r="Q73" s="524">
        <v>12</v>
      </c>
      <c r="R73" s="524">
        <v>0</v>
      </c>
      <c r="S73" s="524">
        <v>0</v>
      </c>
      <c r="T73">
        <v>12</v>
      </c>
      <c r="U73" s="524">
        <v>8</v>
      </c>
      <c r="V73" s="93">
        <v>1.0544815465729349</v>
      </c>
      <c r="W73" s="93">
        <v>0.70298769771528991</v>
      </c>
      <c r="X73" s="93">
        <v>82.42</v>
      </c>
      <c r="Y73" s="7">
        <v>45.53</v>
      </c>
      <c r="Z73" s="7">
        <v>7.2425307557117744</v>
      </c>
      <c r="AA73" s="7">
        <v>4.0008787346221437</v>
      </c>
      <c r="AD73" s="199">
        <f>VLOOKUP(B73,ffbbudgettwofive,7,FALSE)</f>
        <v>3.45</v>
      </c>
      <c r="AE73" s="199">
        <f>VLOOKUP(B73,ffbbudgettwofive,8,FALSE)</f>
        <v>2.7600000000000002</v>
      </c>
      <c r="AF73" s="199">
        <f>VLOOKUP(B73,ffbbudgettwofive,9,FALSE)</f>
        <v>4.83</v>
      </c>
      <c r="AG73" s="199">
        <f>VLOOKUP(B73,ffbbudgettwofive,10,FALSE)</f>
        <v>4.83</v>
      </c>
      <c r="AH73" s="199">
        <f>VLOOKUP(B73,ffbbudgettwofive,11,FALSE)</f>
        <v>4.83</v>
      </c>
      <c r="AI73" s="199">
        <f>VLOOKUP(B73,ffbbudgettwofive,12,FALSE)</f>
        <v>4.83</v>
      </c>
      <c r="AJ73" s="199">
        <f>VLOOKUP(B73,ffbbudgettwofive,13,FALSE)</f>
        <v>6</v>
      </c>
      <c r="AK73" s="199">
        <f>VLOOKUP(B73,ffbbudgettwofive,14,FALSE)</f>
        <v>7</v>
      </c>
      <c r="AL73" s="199">
        <f>VLOOKUP(B73,ffbbudgettwofive,15,FALSE)</f>
        <v>7</v>
      </c>
      <c r="AM73" s="199">
        <f>VLOOKUP(B73,ffbbudgettwofive,16,FALSE)</f>
        <v>10</v>
      </c>
      <c r="AN73" s="199">
        <f>VLOOKUP(B73,ffbbudgettwofive,17,FALSE)</f>
        <v>8</v>
      </c>
      <c r="AO73" s="199">
        <f>VLOOKUP(B73,ffbbudgettwofive,18,FALSE)</f>
        <v>7</v>
      </c>
    </row>
    <row r="74" spans="1:41" ht="15.75" hidden="1" outlineLevel="1" thickBot="1" x14ac:dyDescent="0.3">
      <c r="A74" s="483"/>
      <c r="B74" s="562"/>
      <c r="D74" s="564"/>
      <c r="F74" s="8"/>
      <c r="G74" s="8"/>
      <c r="O74" s="8"/>
      <c r="P74" s="563"/>
      <c r="Q74" s="563"/>
      <c r="R74" s="563"/>
      <c r="S74" s="563"/>
      <c r="U74" s="563"/>
      <c r="V74" s="564"/>
      <c r="W74" s="8"/>
      <c r="X74" s="8"/>
    </row>
    <row r="75" spans="1:41" ht="31.5" customHeight="1" collapsed="1" thickBot="1" x14ac:dyDescent="0.3">
      <c r="A75" s="939" t="s">
        <v>240</v>
      </c>
      <c r="B75" s="940"/>
      <c r="C75" s="539">
        <f t="shared" ref="C75:C81" si="117">SUM(Q75:S75)</f>
        <v>474.90000000000003</v>
      </c>
      <c r="D75" s="581">
        <f t="shared" ref="D75:D81" si="118">C75/P75</f>
        <v>1.8091428571428572</v>
      </c>
      <c r="E75" s="577">
        <f t="shared" ref="E75:E81" si="119">(I25-D75)/D75</f>
        <v>-0.23324910507475255</v>
      </c>
      <c r="F75" s="578">
        <f>SUM(F76:F81)</f>
        <v>3929.67</v>
      </c>
      <c r="G75" s="579">
        <f t="shared" ref="G75:G81" si="120">F75/P75</f>
        <v>14.97017142857143</v>
      </c>
      <c r="H75" s="580">
        <f t="shared" ref="H75:H81" si="121">(M25-G75)/G75</f>
        <v>9.2661724775871673E-2</v>
      </c>
      <c r="O75" s="8"/>
      <c r="P75" s="543">
        <v>262.5</v>
      </c>
      <c r="Q75" s="537">
        <v>274.56</v>
      </c>
      <c r="R75" s="538">
        <v>200.34000000000003</v>
      </c>
      <c r="S75" s="538">
        <v>0</v>
      </c>
      <c r="T75">
        <v>474.90000000000003</v>
      </c>
      <c r="U75" s="540">
        <v>562</v>
      </c>
      <c r="V75" s="541">
        <v>1.8091428571428572</v>
      </c>
      <c r="W75" s="541">
        <v>2.1409523809523812</v>
      </c>
      <c r="X75" s="541">
        <v>3929.67</v>
      </c>
      <c r="Y75" s="7">
        <v>3320</v>
      </c>
      <c r="Z75" s="7">
        <v>14.97017142857143</v>
      </c>
      <c r="AA75" s="7">
        <v>12.647619047619047</v>
      </c>
      <c r="AD75" s="888" t="s">
        <v>180</v>
      </c>
      <c r="AE75" s="888" t="s">
        <v>181</v>
      </c>
      <c r="AF75" s="888" t="s">
        <v>182</v>
      </c>
      <c r="AG75" s="888" t="s">
        <v>183</v>
      </c>
      <c r="AH75" s="888" t="s">
        <v>184</v>
      </c>
      <c r="AI75" s="888" t="s">
        <v>185</v>
      </c>
      <c r="AJ75" s="888" t="s">
        <v>186</v>
      </c>
      <c r="AK75" s="888" t="s">
        <v>187</v>
      </c>
      <c r="AL75" s="888" t="s">
        <v>188</v>
      </c>
      <c r="AM75" s="888" t="s">
        <v>189</v>
      </c>
      <c r="AN75" s="888" t="s">
        <v>190</v>
      </c>
      <c r="AO75" s="888" t="s">
        <v>191</v>
      </c>
    </row>
    <row r="76" spans="1:41" hidden="1" outlineLevel="1" x14ac:dyDescent="0.25">
      <c r="A76" s="528"/>
      <c r="B76" s="511">
        <v>4</v>
      </c>
      <c r="C76" s="526">
        <f t="shared" si="117"/>
        <v>137.19999999999999</v>
      </c>
      <c r="D76" s="550">
        <f t="shared" si="118"/>
        <v>1.9433427762039659</v>
      </c>
      <c r="E76" s="575">
        <f t="shared" si="119"/>
        <v>-0.52594752186588911</v>
      </c>
      <c r="F76" s="555">
        <f t="shared" ref="F76:F81" si="122">VLOOKUP(B76,year2022to23,311,FALSE)-VLOOKUP(B76,year2022to23,309,FALSE)</f>
        <v>998.53</v>
      </c>
      <c r="G76" s="558">
        <f t="shared" si="120"/>
        <v>14.143484419263457</v>
      </c>
      <c r="H76" s="575">
        <f t="shared" si="121"/>
        <v>6.5135749551841191E-2</v>
      </c>
      <c r="O76" s="484"/>
      <c r="P76" s="529">
        <v>70.599999999999994</v>
      </c>
      <c r="Q76" s="525">
        <v>68.02</v>
      </c>
      <c r="R76" s="525">
        <v>69.180000000000007</v>
      </c>
      <c r="S76" s="525">
        <v>0</v>
      </c>
      <c r="T76">
        <v>137.19999999999999</v>
      </c>
      <c r="U76" s="525">
        <v>155</v>
      </c>
      <c r="V76" s="526">
        <v>1.9433427762039659</v>
      </c>
      <c r="W76" s="526">
        <v>2.1954674220963173</v>
      </c>
      <c r="X76" s="526">
        <v>998.53</v>
      </c>
      <c r="Y76" s="7">
        <v>917.44</v>
      </c>
      <c r="Z76" s="7">
        <v>14.143484419263457</v>
      </c>
      <c r="AA76" s="7">
        <v>12.994900849858359</v>
      </c>
      <c r="AD76" s="199">
        <f t="shared" ref="AD76:AD81" si="123">VLOOKUP(B76,ffbbudgettwofive,7,FALSE)</f>
        <v>70.600000000000009</v>
      </c>
      <c r="AE76" s="199">
        <f t="shared" ref="AE76:AE81" si="124">VLOOKUP(B76,ffbbudgettwofive,8,FALSE)</f>
        <v>56.480000000000004</v>
      </c>
      <c r="AF76" s="199">
        <f t="shared" ref="AF76:AF81" si="125">VLOOKUP(B76,ffbbudgettwofive,9,FALSE)</f>
        <v>98.84</v>
      </c>
      <c r="AG76" s="199">
        <f t="shared" ref="AG76:AG81" si="126">VLOOKUP(B76,ffbbudgettwofive,10,FALSE)</f>
        <v>98.84</v>
      </c>
      <c r="AH76" s="199">
        <f t="shared" ref="AH76:AH81" si="127">VLOOKUP(B76,ffbbudgettwofive,11,FALSE)</f>
        <v>98.84</v>
      </c>
      <c r="AI76" s="199">
        <f t="shared" ref="AI76:AI81" si="128">VLOOKUP(B76,ffbbudgettwofive,12,FALSE)</f>
        <v>98.84</v>
      </c>
      <c r="AJ76" s="199">
        <f t="shared" ref="AJ76:AJ81" si="129">VLOOKUP(B76,ffbbudgettwofive,13,FALSE)</f>
        <v>113</v>
      </c>
      <c r="AK76" s="199">
        <f t="shared" ref="AK76:AK81" si="130">VLOOKUP(B76,ffbbudgettwofive,14,FALSE)</f>
        <v>141</v>
      </c>
      <c r="AL76" s="199">
        <f t="shared" ref="AL76:AL81" si="131">VLOOKUP(B76,ffbbudgettwofive,15,FALSE)</f>
        <v>141</v>
      </c>
      <c r="AM76" s="199">
        <f t="shared" ref="AM76:AM81" si="132">VLOOKUP(B76,ffbbudgettwofive,16,FALSE)</f>
        <v>198</v>
      </c>
      <c r="AN76" s="199">
        <f t="shared" ref="AN76:AN81" si="133">VLOOKUP(B76,ffbbudgettwofive,17,FALSE)</f>
        <v>155</v>
      </c>
      <c r="AO76" s="199">
        <f t="shared" ref="AO76:AO81" si="134">VLOOKUP(B76,ffbbudgettwofive,18,FALSE)</f>
        <v>141</v>
      </c>
    </row>
    <row r="77" spans="1:41" hidden="1" outlineLevel="1" x14ac:dyDescent="0.25">
      <c r="A77" s="528"/>
      <c r="B77" s="1">
        <v>5</v>
      </c>
      <c r="C77" s="93">
        <f t="shared" si="117"/>
        <v>102.50999999999999</v>
      </c>
      <c r="D77" s="551">
        <f t="shared" si="118"/>
        <v>2.0339285714285711</v>
      </c>
      <c r="E77" s="576">
        <f t="shared" si="119"/>
        <v>-0.22417325139010807</v>
      </c>
      <c r="F77" s="555">
        <f t="shared" si="122"/>
        <v>755.76</v>
      </c>
      <c r="G77" s="559">
        <f t="shared" si="120"/>
        <v>14.995238095238095</v>
      </c>
      <c r="H77" s="576">
        <f t="shared" si="121"/>
        <v>0.10523181962527789</v>
      </c>
      <c r="O77" s="484"/>
      <c r="P77" s="523">
        <v>50.4</v>
      </c>
      <c r="Q77" s="524">
        <v>53.04</v>
      </c>
      <c r="R77" s="524">
        <v>49.47</v>
      </c>
      <c r="S77" s="524">
        <v>0</v>
      </c>
      <c r="T77">
        <v>102.50999999999999</v>
      </c>
      <c r="U77" s="524">
        <v>111</v>
      </c>
      <c r="V77" s="93">
        <v>2.0339285714285711</v>
      </c>
      <c r="W77" s="93">
        <v>2.2023809523809526</v>
      </c>
      <c r="X77" s="93">
        <v>755.76</v>
      </c>
      <c r="Y77" s="7">
        <v>655.96</v>
      </c>
      <c r="Z77" s="7">
        <v>14.995238095238095</v>
      </c>
      <c r="AA77" s="7">
        <v>13.015079365079366</v>
      </c>
      <c r="AD77" s="199">
        <f t="shared" si="123"/>
        <v>50.400000000000006</v>
      </c>
      <c r="AE77" s="199">
        <f t="shared" si="124"/>
        <v>40.32</v>
      </c>
      <c r="AF77" s="199">
        <f t="shared" si="125"/>
        <v>70.56</v>
      </c>
      <c r="AG77" s="199">
        <f t="shared" si="126"/>
        <v>70.56</v>
      </c>
      <c r="AH77" s="199">
        <f t="shared" si="127"/>
        <v>70.56</v>
      </c>
      <c r="AI77" s="199">
        <f t="shared" si="128"/>
        <v>70.56</v>
      </c>
      <c r="AJ77" s="199">
        <f t="shared" si="129"/>
        <v>81</v>
      </c>
      <c r="AK77" s="199">
        <f t="shared" si="130"/>
        <v>101</v>
      </c>
      <c r="AL77" s="199">
        <f t="shared" si="131"/>
        <v>101</v>
      </c>
      <c r="AM77" s="199">
        <f t="shared" si="132"/>
        <v>141</v>
      </c>
      <c r="AN77" s="199">
        <f t="shared" si="133"/>
        <v>111</v>
      </c>
      <c r="AO77" s="199">
        <f t="shared" si="134"/>
        <v>101</v>
      </c>
    </row>
    <row r="78" spans="1:41" hidden="1" outlineLevel="1" x14ac:dyDescent="0.25">
      <c r="A78" s="528"/>
      <c r="B78" s="1">
        <v>6</v>
      </c>
      <c r="C78" s="93">
        <f t="shared" si="117"/>
        <v>63.34</v>
      </c>
      <c r="D78" s="551">
        <f t="shared" si="118"/>
        <v>1.0808873720136518</v>
      </c>
      <c r="E78" s="576">
        <f t="shared" si="119"/>
        <v>0.97726555099463208</v>
      </c>
      <c r="F78" s="555">
        <f t="shared" si="122"/>
        <v>836.00000000000011</v>
      </c>
      <c r="G78" s="559">
        <f t="shared" si="120"/>
        <v>14.266211604095565</v>
      </c>
      <c r="H78" s="576">
        <f t="shared" si="121"/>
        <v>0.14980861244019128</v>
      </c>
      <c r="O78" s="484"/>
      <c r="P78" s="523">
        <v>58.6</v>
      </c>
      <c r="Q78" s="524">
        <v>63.34</v>
      </c>
      <c r="R78" s="524">
        <v>0</v>
      </c>
      <c r="S78" s="524">
        <v>0</v>
      </c>
      <c r="T78">
        <v>63.34</v>
      </c>
      <c r="U78" s="524">
        <v>129</v>
      </c>
      <c r="V78" s="93">
        <v>1.0808873720136518</v>
      </c>
      <c r="W78" s="93">
        <v>2.2013651877133107</v>
      </c>
      <c r="X78" s="93">
        <v>836.00000000000011</v>
      </c>
      <c r="Y78" s="7">
        <v>761.6400000000001</v>
      </c>
      <c r="Z78" s="7">
        <v>14.266211604095565</v>
      </c>
      <c r="AA78" s="7">
        <v>12.997269624573381</v>
      </c>
      <c r="AD78" s="199">
        <f t="shared" si="123"/>
        <v>58.6</v>
      </c>
      <c r="AE78" s="199">
        <f t="shared" si="124"/>
        <v>46.88</v>
      </c>
      <c r="AF78" s="199">
        <f t="shared" si="125"/>
        <v>82.04</v>
      </c>
      <c r="AG78" s="199">
        <f t="shared" si="126"/>
        <v>82.04</v>
      </c>
      <c r="AH78" s="199">
        <f t="shared" si="127"/>
        <v>82.04</v>
      </c>
      <c r="AI78" s="199">
        <f t="shared" si="128"/>
        <v>82.04</v>
      </c>
      <c r="AJ78" s="199">
        <f t="shared" si="129"/>
        <v>94</v>
      </c>
      <c r="AK78" s="199">
        <f t="shared" si="130"/>
        <v>117</v>
      </c>
      <c r="AL78" s="199">
        <f t="shared" si="131"/>
        <v>117</v>
      </c>
      <c r="AM78" s="199">
        <f t="shared" si="132"/>
        <v>164</v>
      </c>
      <c r="AN78" s="199">
        <f t="shared" si="133"/>
        <v>129</v>
      </c>
      <c r="AO78" s="199">
        <f t="shared" si="134"/>
        <v>117</v>
      </c>
    </row>
    <row r="79" spans="1:41" hidden="1" outlineLevel="1" x14ac:dyDescent="0.25">
      <c r="A79" s="528"/>
      <c r="B79" s="1">
        <v>7</v>
      </c>
      <c r="C79" s="93">
        <f t="shared" si="117"/>
        <v>41.92</v>
      </c>
      <c r="D79" s="551">
        <f t="shared" si="118"/>
        <v>1.7762711864406779</v>
      </c>
      <c r="E79" s="576">
        <f t="shared" si="119"/>
        <v>-0.54317748091603058</v>
      </c>
      <c r="F79" s="555">
        <f t="shared" si="122"/>
        <v>315.46000000000004</v>
      </c>
      <c r="G79" s="559">
        <f t="shared" si="120"/>
        <v>13.366949152542373</v>
      </c>
      <c r="H79" s="576">
        <f t="shared" si="121"/>
        <v>6.0705002218981702E-2</v>
      </c>
      <c r="O79" s="484"/>
      <c r="P79" s="523">
        <v>23.6</v>
      </c>
      <c r="Q79" s="524">
        <v>22.37</v>
      </c>
      <c r="R79" s="524">
        <v>19.55</v>
      </c>
      <c r="S79" s="524">
        <v>0</v>
      </c>
      <c r="T79">
        <v>41.92</v>
      </c>
      <c r="U79" s="524">
        <v>44</v>
      </c>
      <c r="V79" s="93">
        <v>1.7762711864406779</v>
      </c>
      <c r="W79" s="93">
        <v>1.8644067796610169</v>
      </c>
      <c r="X79" s="93">
        <v>315.46000000000004</v>
      </c>
      <c r="Y79" s="7">
        <v>260.37</v>
      </c>
      <c r="Z79" s="7">
        <v>13.366949152542373</v>
      </c>
      <c r="AA79" s="7">
        <v>11.032627118644067</v>
      </c>
      <c r="AD79" s="199">
        <f t="shared" si="123"/>
        <v>20.05</v>
      </c>
      <c r="AE79" s="199">
        <f t="shared" si="124"/>
        <v>16.04</v>
      </c>
      <c r="AF79" s="199">
        <f t="shared" si="125"/>
        <v>28.070000000000004</v>
      </c>
      <c r="AG79" s="199">
        <f t="shared" si="126"/>
        <v>28.070000000000004</v>
      </c>
      <c r="AH79" s="199">
        <f t="shared" si="127"/>
        <v>28.070000000000004</v>
      </c>
      <c r="AI79" s="199">
        <f t="shared" si="128"/>
        <v>28.070000000000004</v>
      </c>
      <c r="AJ79" s="199">
        <f t="shared" si="129"/>
        <v>32</v>
      </c>
      <c r="AK79" s="199">
        <f t="shared" si="130"/>
        <v>40</v>
      </c>
      <c r="AL79" s="199">
        <f t="shared" si="131"/>
        <v>40</v>
      </c>
      <c r="AM79" s="199">
        <f t="shared" si="132"/>
        <v>56</v>
      </c>
      <c r="AN79" s="199">
        <f t="shared" si="133"/>
        <v>44</v>
      </c>
      <c r="AO79" s="199">
        <f t="shared" si="134"/>
        <v>40</v>
      </c>
    </row>
    <row r="80" spans="1:41" hidden="1" outlineLevel="1" x14ac:dyDescent="0.25">
      <c r="A80" s="528"/>
      <c r="B80" s="1">
        <v>23</v>
      </c>
      <c r="C80" s="93">
        <f t="shared" si="117"/>
        <v>35.29</v>
      </c>
      <c r="D80" s="551">
        <f t="shared" si="118"/>
        <v>2.4171232876712327</v>
      </c>
      <c r="E80" s="576">
        <f t="shared" si="119"/>
        <v>-0.28421649192405779</v>
      </c>
      <c r="F80" s="555">
        <f t="shared" si="122"/>
        <v>266.35000000000002</v>
      </c>
      <c r="G80" s="559">
        <f t="shared" si="120"/>
        <v>18.243150684931511</v>
      </c>
      <c r="H80" s="576">
        <f t="shared" si="121"/>
        <v>9.4837619673361975E-2</v>
      </c>
      <c r="O80" s="484"/>
      <c r="P80" s="523">
        <v>14.6</v>
      </c>
      <c r="Q80" s="524">
        <v>22.73</v>
      </c>
      <c r="R80" s="524">
        <v>12.56</v>
      </c>
      <c r="S80" s="524">
        <v>0</v>
      </c>
      <c r="T80">
        <v>35.29</v>
      </c>
      <c r="U80" s="524">
        <v>34</v>
      </c>
      <c r="V80" s="93">
        <v>2.4171232876712327</v>
      </c>
      <c r="W80" s="93">
        <v>2.3287671232876712</v>
      </c>
      <c r="X80" s="93">
        <v>266.35000000000002</v>
      </c>
      <c r="Y80" s="7">
        <v>200.59000000000003</v>
      </c>
      <c r="Z80" s="7">
        <v>18.243150684931511</v>
      </c>
      <c r="AA80" s="7">
        <v>13.739041095890414</v>
      </c>
      <c r="AD80" s="199">
        <f t="shared" si="123"/>
        <v>15.350000000000001</v>
      </c>
      <c r="AE80" s="199">
        <f t="shared" si="124"/>
        <v>12.280000000000001</v>
      </c>
      <c r="AF80" s="199">
        <f t="shared" si="125"/>
        <v>21.490000000000002</v>
      </c>
      <c r="AG80" s="199">
        <f t="shared" si="126"/>
        <v>21.490000000000002</v>
      </c>
      <c r="AH80" s="199">
        <f t="shared" si="127"/>
        <v>21.490000000000002</v>
      </c>
      <c r="AI80" s="199">
        <f t="shared" si="128"/>
        <v>21.490000000000002</v>
      </c>
      <c r="AJ80" s="199">
        <f t="shared" si="129"/>
        <v>25</v>
      </c>
      <c r="AK80" s="199">
        <f t="shared" si="130"/>
        <v>31</v>
      </c>
      <c r="AL80" s="199">
        <f t="shared" si="131"/>
        <v>31</v>
      </c>
      <c r="AM80" s="199">
        <f t="shared" si="132"/>
        <v>43</v>
      </c>
      <c r="AN80" s="199">
        <f t="shared" si="133"/>
        <v>34</v>
      </c>
      <c r="AO80" s="199">
        <f t="shared" si="134"/>
        <v>31</v>
      </c>
    </row>
    <row r="81" spans="1:41" hidden="1" outlineLevel="1" x14ac:dyDescent="0.25">
      <c r="A81" s="528"/>
      <c r="B81" s="1">
        <v>24</v>
      </c>
      <c r="C81" s="93">
        <f t="shared" si="117"/>
        <v>94.64</v>
      </c>
      <c r="D81" s="551">
        <f t="shared" si="118"/>
        <v>2.1172259507829976</v>
      </c>
      <c r="E81" s="576">
        <f t="shared" si="119"/>
        <v>-0.47263313609467456</v>
      </c>
      <c r="F81" s="555">
        <f t="shared" si="122"/>
        <v>757.57</v>
      </c>
      <c r="G81" s="559">
        <f t="shared" si="120"/>
        <v>16.947874720357941</v>
      </c>
      <c r="H81" s="576">
        <f t="shared" si="121"/>
        <v>6.5881700700925319E-2</v>
      </c>
      <c r="O81" s="484"/>
      <c r="P81" s="523">
        <v>44.7</v>
      </c>
      <c r="Q81" s="524">
        <v>45.06</v>
      </c>
      <c r="R81" s="524">
        <v>49.58</v>
      </c>
      <c r="S81" s="524">
        <v>0</v>
      </c>
      <c r="T81">
        <v>94.64</v>
      </c>
      <c r="U81" s="524">
        <v>89</v>
      </c>
      <c r="V81" s="93">
        <v>2.1172259507829976</v>
      </c>
      <c r="W81" s="93">
        <v>1.9910514541387023</v>
      </c>
      <c r="X81" s="93">
        <v>757.57</v>
      </c>
      <c r="Y81" s="7">
        <v>523.85000000000014</v>
      </c>
      <c r="Z81" s="7">
        <v>16.947874720357941</v>
      </c>
      <c r="AA81" s="7">
        <v>11.719239373601791</v>
      </c>
      <c r="AD81" s="199">
        <f t="shared" si="123"/>
        <v>40.25</v>
      </c>
      <c r="AE81" s="199">
        <f t="shared" si="124"/>
        <v>32.200000000000003</v>
      </c>
      <c r="AF81" s="199">
        <f t="shared" si="125"/>
        <v>56.350000000000009</v>
      </c>
      <c r="AG81" s="199">
        <f t="shared" si="126"/>
        <v>56.350000000000009</v>
      </c>
      <c r="AH81" s="199">
        <f t="shared" si="127"/>
        <v>56.350000000000009</v>
      </c>
      <c r="AI81" s="199">
        <f t="shared" si="128"/>
        <v>56.350000000000009</v>
      </c>
      <c r="AJ81" s="199">
        <f t="shared" si="129"/>
        <v>64</v>
      </c>
      <c r="AK81" s="199">
        <f t="shared" si="130"/>
        <v>81</v>
      </c>
      <c r="AL81" s="199">
        <f t="shared" si="131"/>
        <v>81</v>
      </c>
      <c r="AM81" s="199">
        <f t="shared" si="132"/>
        <v>113</v>
      </c>
      <c r="AN81" s="199">
        <f t="shared" si="133"/>
        <v>89</v>
      </c>
      <c r="AO81" s="199">
        <f t="shared" si="134"/>
        <v>81</v>
      </c>
    </row>
    <row r="82" spans="1:41" ht="15.75" hidden="1" outlineLevel="1" thickBot="1" x14ac:dyDescent="0.3">
      <c r="A82" s="483"/>
      <c r="B82" s="562"/>
      <c r="D82" s="564"/>
      <c r="F82" s="8"/>
      <c r="G82" s="8"/>
      <c r="O82" s="8"/>
      <c r="P82" s="563"/>
      <c r="Q82" s="563"/>
      <c r="R82" s="563"/>
      <c r="S82" s="563"/>
      <c r="U82" s="563"/>
      <c r="V82" s="564"/>
      <c r="W82" s="8"/>
      <c r="X82" s="8"/>
    </row>
    <row r="83" spans="1:41" ht="15.75" collapsed="1" thickBot="1" x14ac:dyDescent="0.3">
      <c r="A83" s="935" t="s">
        <v>67</v>
      </c>
      <c r="B83" s="936"/>
      <c r="C83" s="539">
        <f t="shared" ref="C83:C89" si="135">SUM(Q83:S83)</f>
        <v>558.10000000000014</v>
      </c>
      <c r="D83" s="581">
        <f t="shared" ref="D83:D89" si="136">C83/P83</f>
        <v>1.9139231824417013</v>
      </c>
      <c r="E83" s="577">
        <f t="shared" ref="E83:E89" si="137">(I33-D83)/D83</f>
        <v>-0.27321268589858472</v>
      </c>
      <c r="F83" s="578">
        <f>SUM(F84:F89)</f>
        <v>4086.0099999999993</v>
      </c>
      <c r="G83" s="579">
        <f t="shared" ref="G83:G89" si="138">F83/P83</f>
        <v>14.012379972565155</v>
      </c>
      <c r="H83" s="580">
        <f t="shared" ref="H83:H89" si="139">(M33-G83)/G83</f>
        <v>9.9270437419389776E-2</v>
      </c>
      <c r="O83" s="8"/>
      <c r="P83" s="543">
        <v>291.60000000000002</v>
      </c>
      <c r="Q83" s="537">
        <v>266.24</v>
      </c>
      <c r="R83" s="538">
        <v>288.64000000000004</v>
      </c>
      <c r="S83" s="538">
        <v>3.22</v>
      </c>
      <c r="T83">
        <v>558.10000000000014</v>
      </c>
      <c r="U83" s="540">
        <v>654</v>
      </c>
      <c r="V83" s="541">
        <v>1.9139231824417013</v>
      </c>
      <c r="W83" s="541">
        <v>2.2427983539094649</v>
      </c>
      <c r="X83" s="541">
        <v>4086.0099999999993</v>
      </c>
      <c r="Y83" s="7">
        <v>3862</v>
      </c>
      <c r="Z83" s="7">
        <v>14.012379972565155</v>
      </c>
      <c r="AA83" s="7">
        <v>13.244170096021946</v>
      </c>
      <c r="AD83" s="888" t="s">
        <v>180</v>
      </c>
      <c r="AE83" s="888" t="s">
        <v>181</v>
      </c>
      <c r="AF83" s="888" t="s">
        <v>182</v>
      </c>
      <c r="AG83" s="888" t="s">
        <v>183</v>
      </c>
      <c r="AH83" s="888" t="s">
        <v>184</v>
      </c>
      <c r="AI83" s="888" t="s">
        <v>185</v>
      </c>
      <c r="AJ83" s="888" t="s">
        <v>186</v>
      </c>
      <c r="AK83" s="888" t="s">
        <v>187</v>
      </c>
      <c r="AL83" s="888" t="s">
        <v>188</v>
      </c>
      <c r="AM83" s="888" t="s">
        <v>189</v>
      </c>
      <c r="AN83" s="888" t="s">
        <v>190</v>
      </c>
      <c r="AO83" s="888" t="s">
        <v>191</v>
      </c>
    </row>
    <row r="84" spans="1:41" hidden="1" outlineLevel="1" x14ac:dyDescent="0.25">
      <c r="A84" s="528"/>
      <c r="B84" s="511">
        <v>8</v>
      </c>
      <c r="C84" s="526">
        <f t="shared" si="135"/>
        <v>121.44</v>
      </c>
      <c r="D84" s="550">
        <f t="shared" si="136"/>
        <v>1.9714285714285713</v>
      </c>
      <c r="E84" s="575">
        <f t="shared" si="137"/>
        <v>-0.44878129117259546</v>
      </c>
      <c r="F84" s="555">
        <f t="shared" ref="F84:F89" si="140">VLOOKUP(B84,year2022to23,311,FALSE)-VLOOKUP(B84,year2022to23,309,FALSE)</f>
        <v>839.18000000000006</v>
      </c>
      <c r="G84" s="558">
        <f t="shared" si="138"/>
        <v>13.623051948051948</v>
      </c>
      <c r="H84" s="575">
        <f t="shared" si="139"/>
        <v>7.9768345289449316E-2</v>
      </c>
      <c r="O84" s="484"/>
      <c r="P84" s="529">
        <v>61.6</v>
      </c>
      <c r="Q84" s="525">
        <v>62.94</v>
      </c>
      <c r="R84" s="525">
        <v>58.5</v>
      </c>
      <c r="S84" s="525">
        <v>0</v>
      </c>
      <c r="T84">
        <v>121.44</v>
      </c>
      <c r="U84" s="525">
        <v>136</v>
      </c>
      <c r="V84" s="526">
        <v>1.9714285714285713</v>
      </c>
      <c r="W84" s="526">
        <v>2.2077922077922079</v>
      </c>
      <c r="X84" s="526">
        <v>839.18000000000006</v>
      </c>
      <c r="Y84" s="7">
        <v>800.84</v>
      </c>
      <c r="Z84" s="7">
        <v>13.623051948051948</v>
      </c>
      <c r="AA84" s="7">
        <v>13.000649350649351</v>
      </c>
      <c r="AD84" s="199">
        <f t="shared" ref="AD84:AD89" si="141">VLOOKUP(B84,ffbbudgettwofive,7,FALSE)</f>
        <v>61.6</v>
      </c>
      <c r="AE84" s="199">
        <f t="shared" ref="AE84:AE89" si="142">VLOOKUP(B84,ffbbudgettwofive,8,FALSE)</f>
        <v>49.28</v>
      </c>
      <c r="AF84" s="199">
        <f t="shared" ref="AF84:AF89" si="143">VLOOKUP(B84,ffbbudgettwofive,9,FALSE)</f>
        <v>86.240000000000009</v>
      </c>
      <c r="AG84" s="199">
        <f t="shared" ref="AG84:AG89" si="144">VLOOKUP(B84,ffbbudgettwofive,10,FALSE)</f>
        <v>86.240000000000009</v>
      </c>
      <c r="AH84" s="199">
        <f t="shared" ref="AH84:AH89" si="145">VLOOKUP(B84,ffbbudgettwofive,11,FALSE)</f>
        <v>86.240000000000009</v>
      </c>
      <c r="AI84" s="199">
        <f t="shared" ref="AI84:AI89" si="146">VLOOKUP(B84,ffbbudgettwofive,12,FALSE)</f>
        <v>86.240000000000009</v>
      </c>
      <c r="AJ84" s="199">
        <f t="shared" ref="AJ84:AJ89" si="147">VLOOKUP(B84,ffbbudgettwofive,13,FALSE)</f>
        <v>99</v>
      </c>
      <c r="AK84" s="199">
        <f t="shared" ref="AK84:AK89" si="148">VLOOKUP(B84,ffbbudgettwofive,14,FALSE)</f>
        <v>123</v>
      </c>
      <c r="AL84" s="199">
        <f t="shared" ref="AL84:AL89" si="149">VLOOKUP(B84,ffbbudgettwofive,15,FALSE)</f>
        <v>123</v>
      </c>
      <c r="AM84" s="199">
        <f t="shared" ref="AM84:AM89" si="150">VLOOKUP(B84,ffbbudgettwofive,16,FALSE)</f>
        <v>172</v>
      </c>
      <c r="AN84" s="199">
        <f t="shared" ref="AN84:AN89" si="151">VLOOKUP(B84,ffbbudgettwofive,17,FALSE)</f>
        <v>136</v>
      </c>
      <c r="AO84" s="199">
        <f t="shared" ref="AO84:AO89" si="152">VLOOKUP(B84,ffbbudgettwofive,18,FALSE)</f>
        <v>123</v>
      </c>
    </row>
    <row r="85" spans="1:41" hidden="1" outlineLevel="1" x14ac:dyDescent="0.25">
      <c r="A85" s="528"/>
      <c r="B85" s="1">
        <v>9</v>
      </c>
      <c r="C85" s="93">
        <f t="shared" si="135"/>
        <v>65.02</v>
      </c>
      <c r="D85" s="551">
        <f t="shared" si="136"/>
        <v>1.6976501305483029</v>
      </c>
      <c r="E85" s="576">
        <f t="shared" si="137"/>
        <v>-0.49231005844355574</v>
      </c>
      <c r="F85" s="555">
        <f t="shared" si="140"/>
        <v>453.11</v>
      </c>
      <c r="G85" s="559">
        <f t="shared" si="138"/>
        <v>11.830548302872064</v>
      </c>
      <c r="H85" s="576">
        <f t="shared" si="139"/>
        <v>7.2852066827039846E-2</v>
      </c>
      <c r="O85" s="484"/>
      <c r="P85" s="523">
        <v>38.299999999999997</v>
      </c>
      <c r="Q85" s="524">
        <v>36.72</v>
      </c>
      <c r="R85" s="524">
        <v>28.3</v>
      </c>
      <c r="S85" s="524">
        <v>0</v>
      </c>
      <c r="T85">
        <v>65.02</v>
      </c>
      <c r="U85" s="524">
        <v>76</v>
      </c>
      <c r="V85" s="93">
        <v>1.6976501305483029</v>
      </c>
      <c r="W85" s="93">
        <v>1.9843342036553526</v>
      </c>
      <c r="X85" s="93">
        <v>453.11</v>
      </c>
      <c r="Y85" s="7">
        <v>447.93000000000006</v>
      </c>
      <c r="Z85" s="7">
        <v>11.830548302872064</v>
      </c>
      <c r="AA85" s="7">
        <v>11.695300261096609</v>
      </c>
      <c r="AD85" s="199">
        <f t="shared" si="141"/>
        <v>34.450000000000003</v>
      </c>
      <c r="AE85" s="199">
        <f t="shared" si="142"/>
        <v>27.560000000000002</v>
      </c>
      <c r="AF85" s="199">
        <f t="shared" si="143"/>
        <v>48.230000000000004</v>
      </c>
      <c r="AG85" s="199">
        <f t="shared" si="144"/>
        <v>48.230000000000004</v>
      </c>
      <c r="AH85" s="199">
        <f t="shared" si="145"/>
        <v>48.230000000000004</v>
      </c>
      <c r="AI85" s="199">
        <f t="shared" si="146"/>
        <v>48.230000000000004</v>
      </c>
      <c r="AJ85" s="199">
        <f t="shared" si="147"/>
        <v>55</v>
      </c>
      <c r="AK85" s="199">
        <f t="shared" si="148"/>
        <v>69</v>
      </c>
      <c r="AL85" s="199">
        <f t="shared" si="149"/>
        <v>69</v>
      </c>
      <c r="AM85" s="199">
        <f t="shared" si="150"/>
        <v>97</v>
      </c>
      <c r="AN85" s="199">
        <f t="shared" si="151"/>
        <v>76</v>
      </c>
      <c r="AO85" s="199">
        <f t="shared" si="152"/>
        <v>69</v>
      </c>
    </row>
    <row r="86" spans="1:41" hidden="1" outlineLevel="1" x14ac:dyDescent="0.25">
      <c r="A86" s="528"/>
      <c r="B86" s="1">
        <v>12</v>
      </c>
      <c r="C86" s="93">
        <f t="shared" si="135"/>
        <v>94.509999999999991</v>
      </c>
      <c r="D86" s="551">
        <f t="shared" si="136"/>
        <v>1.3311267605633801</v>
      </c>
      <c r="E86" s="576">
        <f t="shared" si="137"/>
        <v>-1.1956406729446489E-2</v>
      </c>
      <c r="F86" s="555">
        <f t="shared" si="140"/>
        <v>907.3599999999999</v>
      </c>
      <c r="G86" s="559">
        <f t="shared" si="138"/>
        <v>12.779718309859154</v>
      </c>
      <c r="H86" s="576">
        <f t="shared" si="139"/>
        <v>0.10291394815729145</v>
      </c>
      <c r="O86" s="484"/>
      <c r="P86" s="523">
        <v>71</v>
      </c>
      <c r="Q86" s="524">
        <v>17.79</v>
      </c>
      <c r="R86" s="524">
        <v>73.5</v>
      </c>
      <c r="S86" s="524">
        <v>3.22</v>
      </c>
      <c r="T86">
        <v>94.509999999999991</v>
      </c>
      <c r="U86" s="524">
        <v>156</v>
      </c>
      <c r="V86" s="93">
        <v>1.3311267605633801</v>
      </c>
      <c r="W86" s="93">
        <v>2.1971830985915495</v>
      </c>
      <c r="X86" s="93">
        <v>907.3599999999999</v>
      </c>
      <c r="Y86" s="7">
        <v>923.4</v>
      </c>
      <c r="Z86" s="7">
        <v>12.779718309859154</v>
      </c>
      <c r="AA86" s="7">
        <v>13.005633802816901</v>
      </c>
      <c r="AD86" s="199">
        <f t="shared" si="141"/>
        <v>71</v>
      </c>
      <c r="AE86" s="199">
        <f t="shared" si="142"/>
        <v>56.800000000000004</v>
      </c>
      <c r="AF86" s="199">
        <f t="shared" si="143"/>
        <v>99.4</v>
      </c>
      <c r="AG86" s="199">
        <f t="shared" si="144"/>
        <v>99.4</v>
      </c>
      <c r="AH86" s="199">
        <f t="shared" si="145"/>
        <v>99.4</v>
      </c>
      <c r="AI86" s="199">
        <f t="shared" si="146"/>
        <v>99.4</v>
      </c>
      <c r="AJ86" s="199">
        <f t="shared" si="147"/>
        <v>114</v>
      </c>
      <c r="AK86" s="199">
        <f t="shared" si="148"/>
        <v>142</v>
      </c>
      <c r="AL86" s="199">
        <f t="shared" si="149"/>
        <v>142</v>
      </c>
      <c r="AM86" s="199">
        <f t="shared" si="150"/>
        <v>199</v>
      </c>
      <c r="AN86" s="199">
        <f t="shared" si="151"/>
        <v>156</v>
      </c>
      <c r="AO86" s="199">
        <f t="shared" si="152"/>
        <v>142</v>
      </c>
    </row>
    <row r="87" spans="1:41" hidden="1" outlineLevel="1" x14ac:dyDescent="0.25">
      <c r="A87" s="528"/>
      <c r="B87" s="1">
        <v>10</v>
      </c>
      <c r="C87" s="93">
        <f t="shared" si="135"/>
        <v>31.979999999999997</v>
      </c>
      <c r="D87" s="551">
        <f t="shared" si="136"/>
        <v>1.6743455497382196</v>
      </c>
      <c r="E87" s="576">
        <f t="shared" si="137"/>
        <v>-0.58067542213883672</v>
      </c>
      <c r="F87" s="555">
        <f t="shared" si="140"/>
        <v>245.63000000000002</v>
      </c>
      <c r="G87" s="559">
        <f t="shared" si="138"/>
        <v>12.86020942408377</v>
      </c>
      <c r="H87" s="576">
        <f t="shared" si="139"/>
        <v>5.4594308512803731E-2</v>
      </c>
      <c r="O87" s="484"/>
      <c r="P87" s="523">
        <v>19.100000000000001</v>
      </c>
      <c r="Q87" s="524">
        <v>17.61</v>
      </c>
      <c r="R87" s="524">
        <v>14.37</v>
      </c>
      <c r="S87" s="524">
        <v>0</v>
      </c>
      <c r="T87">
        <v>31.979999999999997</v>
      </c>
      <c r="U87" s="524">
        <v>40</v>
      </c>
      <c r="V87" s="93">
        <v>1.6743455497382196</v>
      </c>
      <c r="W87" s="93">
        <v>2.0942408376963351</v>
      </c>
      <c r="X87" s="93">
        <v>245.63000000000002</v>
      </c>
      <c r="Y87" s="7">
        <v>235.31</v>
      </c>
      <c r="Z87" s="7">
        <v>12.86020942408377</v>
      </c>
      <c r="AA87" s="7">
        <v>12.319895287958115</v>
      </c>
      <c r="AD87" s="199">
        <f t="shared" si="141"/>
        <v>18.150000000000002</v>
      </c>
      <c r="AE87" s="199">
        <f t="shared" si="142"/>
        <v>14.52</v>
      </c>
      <c r="AF87" s="199">
        <f t="shared" si="143"/>
        <v>25.410000000000004</v>
      </c>
      <c r="AG87" s="199">
        <f t="shared" si="144"/>
        <v>25.410000000000004</v>
      </c>
      <c r="AH87" s="199">
        <f t="shared" si="145"/>
        <v>25.410000000000004</v>
      </c>
      <c r="AI87" s="199">
        <f t="shared" si="146"/>
        <v>25.410000000000004</v>
      </c>
      <c r="AJ87" s="199">
        <f t="shared" si="147"/>
        <v>29</v>
      </c>
      <c r="AK87" s="199">
        <f t="shared" si="148"/>
        <v>36</v>
      </c>
      <c r="AL87" s="199">
        <f t="shared" si="149"/>
        <v>36</v>
      </c>
      <c r="AM87" s="199">
        <f t="shared" si="150"/>
        <v>51</v>
      </c>
      <c r="AN87" s="199">
        <f t="shared" si="151"/>
        <v>40</v>
      </c>
      <c r="AO87" s="199">
        <f t="shared" si="152"/>
        <v>36</v>
      </c>
    </row>
    <row r="88" spans="1:41" hidden="1" outlineLevel="1" x14ac:dyDescent="0.25">
      <c r="A88" s="528"/>
      <c r="B88" s="1">
        <v>13</v>
      </c>
      <c r="C88" s="93">
        <f t="shared" si="135"/>
        <v>143.57999999999998</v>
      </c>
      <c r="D88" s="551">
        <f t="shared" si="136"/>
        <v>2.3615131578947368</v>
      </c>
      <c r="E88" s="576">
        <f t="shared" si="137"/>
        <v>-0.21333054743000401</v>
      </c>
      <c r="F88" s="555">
        <f t="shared" si="140"/>
        <v>925.95</v>
      </c>
      <c r="G88" s="559">
        <f t="shared" si="138"/>
        <v>15.229440789473685</v>
      </c>
      <c r="H88" s="576">
        <f t="shared" si="139"/>
        <v>0.12198282844646056</v>
      </c>
      <c r="O88" s="484"/>
      <c r="P88" s="523">
        <v>60.8</v>
      </c>
      <c r="Q88" s="524">
        <v>78.239999999999995</v>
      </c>
      <c r="R88" s="524">
        <v>65.34</v>
      </c>
      <c r="S88" s="524">
        <v>0</v>
      </c>
      <c r="T88">
        <v>143.57999999999998</v>
      </c>
      <c r="U88" s="524">
        <v>147</v>
      </c>
      <c r="V88" s="93">
        <v>2.3615131578947368</v>
      </c>
      <c r="W88" s="93">
        <v>2.4177631578947372</v>
      </c>
      <c r="X88" s="93">
        <v>925.95</v>
      </c>
      <c r="Y88" s="7">
        <v>870.06000000000017</v>
      </c>
      <c r="Z88" s="7">
        <v>15.229440789473685</v>
      </c>
      <c r="AA88" s="7">
        <v>14.310197368421056</v>
      </c>
      <c r="AD88" s="199">
        <f t="shared" si="141"/>
        <v>66.900000000000006</v>
      </c>
      <c r="AE88" s="199">
        <f t="shared" si="142"/>
        <v>53.52</v>
      </c>
      <c r="AF88" s="199">
        <f t="shared" si="143"/>
        <v>93.660000000000011</v>
      </c>
      <c r="AG88" s="199">
        <f t="shared" si="144"/>
        <v>93.660000000000011</v>
      </c>
      <c r="AH88" s="199">
        <f t="shared" si="145"/>
        <v>93.660000000000011</v>
      </c>
      <c r="AI88" s="199">
        <f t="shared" si="146"/>
        <v>93.660000000000011</v>
      </c>
      <c r="AJ88" s="199">
        <f t="shared" si="147"/>
        <v>107</v>
      </c>
      <c r="AK88" s="199">
        <f t="shared" si="148"/>
        <v>134</v>
      </c>
      <c r="AL88" s="199">
        <f t="shared" si="149"/>
        <v>134</v>
      </c>
      <c r="AM88" s="199">
        <f t="shared" si="150"/>
        <v>187</v>
      </c>
      <c r="AN88" s="199">
        <f t="shared" si="151"/>
        <v>147</v>
      </c>
      <c r="AO88" s="199">
        <f t="shared" si="152"/>
        <v>134</v>
      </c>
    </row>
    <row r="89" spans="1:41" hidden="1" outlineLevel="1" x14ac:dyDescent="0.25">
      <c r="A89" s="528"/>
      <c r="B89" s="1">
        <v>18</v>
      </c>
      <c r="C89" s="93">
        <f t="shared" si="135"/>
        <v>101.57</v>
      </c>
      <c r="D89" s="551">
        <f t="shared" si="136"/>
        <v>2.4894607843137253</v>
      </c>
      <c r="E89" s="576">
        <f t="shared" si="137"/>
        <v>-0.15398247514029714</v>
      </c>
      <c r="F89" s="555">
        <f t="shared" si="140"/>
        <v>714.78</v>
      </c>
      <c r="G89" s="559">
        <f t="shared" si="138"/>
        <v>17.519117647058824</v>
      </c>
      <c r="H89" s="576">
        <f t="shared" si="139"/>
        <v>0.12021880858445971</v>
      </c>
      <c r="O89" s="484"/>
      <c r="P89" s="523">
        <v>40.799999999999997</v>
      </c>
      <c r="Q89" s="524">
        <v>52.94</v>
      </c>
      <c r="R89" s="524">
        <v>48.63</v>
      </c>
      <c r="S89" s="524">
        <v>0</v>
      </c>
      <c r="T89">
        <v>101.57</v>
      </c>
      <c r="U89" s="524">
        <v>99</v>
      </c>
      <c r="V89" s="93">
        <v>2.4894607843137253</v>
      </c>
      <c r="W89" s="93">
        <v>2.4264705882352944</v>
      </c>
      <c r="X89" s="93">
        <v>714.78</v>
      </c>
      <c r="Y89" s="7">
        <v>584.26</v>
      </c>
      <c r="Z89" s="7">
        <v>17.519117647058824</v>
      </c>
      <c r="AA89" s="7">
        <v>14.320098039215686</v>
      </c>
      <c r="AD89" s="199">
        <f t="shared" si="141"/>
        <v>44.900000000000006</v>
      </c>
      <c r="AE89" s="199">
        <f t="shared" si="142"/>
        <v>35.92</v>
      </c>
      <c r="AF89" s="199">
        <f t="shared" si="143"/>
        <v>62.860000000000007</v>
      </c>
      <c r="AG89" s="199">
        <f t="shared" si="144"/>
        <v>62.860000000000007</v>
      </c>
      <c r="AH89" s="199">
        <f t="shared" si="145"/>
        <v>62.860000000000007</v>
      </c>
      <c r="AI89" s="199">
        <f t="shared" si="146"/>
        <v>62.860000000000007</v>
      </c>
      <c r="AJ89" s="199">
        <f t="shared" si="147"/>
        <v>72</v>
      </c>
      <c r="AK89" s="199">
        <f t="shared" si="148"/>
        <v>90</v>
      </c>
      <c r="AL89" s="199">
        <f t="shared" si="149"/>
        <v>90</v>
      </c>
      <c r="AM89" s="199">
        <f t="shared" si="150"/>
        <v>126</v>
      </c>
      <c r="AN89" s="199">
        <f t="shared" si="151"/>
        <v>99</v>
      </c>
      <c r="AO89" s="199">
        <f t="shared" si="152"/>
        <v>90</v>
      </c>
    </row>
    <row r="90" spans="1:41" ht="15.75" hidden="1" outlineLevel="1" thickBot="1" x14ac:dyDescent="0.3">
      <c r="A90" s="483"/>
      <c r="B90" s="562"/>
      <c r="D90" s="564"/>
      <c r="F90" s="8"/>
      <c r="G90" s="8"/>
      <c r="O90" s="8"/>
      <c r="P90" s="563"/>
      <c r="Q90" s="563"/>
      <c r="R90" s="563"/>
      <c r="S90" s="563"/>
      <c r="U90" s="563"/>
      <c r="V90" s="564"/>
      <c r="W90" s="8"/>
      <c r="X90" s="8"/>
    </row>
    <row r="91" spans="1:41" ht="15.75" customHeight="1" collapsed="1" thickBot="1" x14ac:dyDescent="0.3">
      <c r="A91" s="935" t="s">
        <v>68</v>
      </c>
      <c r="B91" s="936"/>
      <c r="C91" s="539">
        <f t="shared" ref="C91:C99" si="153">SUM(Q91:S91)</f>
        <v>227.29</v>
      </c>
      <c r="D91" s="581">
        <f t="shared" ref="D91:D99" si="154">C91/P91</f>
        <v>1.1553398058252426</v>
      </c>
      <c r="E91" s="577">
        <f t="shared" ref="E91:E99" si="155">(I41-D91)/D91</f>
        <v>-0.24572132517928635</v>
      </c>
      <c r="F91" s="578">
        <f>SUM(F92:F99)</f>
        <v>1937.03</v>
      </c>
      <c r="G91" s="579">
        <f t="shared" ref="G91:G99" si="156">F91/P91</f>
        <v>9.846134295735272</v>
      </c>
      <c r="H91" s="580">
        <f t="shared" ref="H91:H99" si="157">(M41-G91)/G91</f>
        <v>8.8506631286041207E-2</v>
      </c>
      <c r="O91" s="8"/>
      <c r="P91" s="543">
        <v>196.73</v>
      </c>
      <c r="Q91" s="537">
        <v>123.02000000000001</v>
      </c>
      <c r="R91" s="537">
        <v>104.26999999999998</v>
      </c>
      <c r="S91" s="537">
        <v>0</v>
      </c>
      <c r="T91">
        <v>227.29</v>
      </c>
      <c r="U91" s="540">
        <v>135</v>
      </c>
      <c r="V91" s="541">
        <v>1.1553398058252426</v>
      </c>
      <c r="W91" s="541">
        <v>0.68621969196360499</v>
      </c>
      <c r="X91" s="541">
        <v>1937.03</v>
      </c>
      <c r="Y91" s="7">
        <v>801</v>
      </c>
      <c r="Z91" s="7">
        <v>9.846134295735272</v>
      </c>
      <c r="AA91" s="7">
        <v>4.0715701723173892</v>
      </c>
      <c r="AD91" s="888" t="s">
        <v>180</v>
      </c>
      <c r="AE91" s="888" t="s">
        <v>181</v>
      </c>
      <c r="AF91" s="888" t="s">
        <v>182</v>
      </c>
      <c r="AG91" s="888" t="s">
        <v>183</v>
      </c>
      <c r="AH91" s="888" t="s">
        <v>184</v>
      </c>
      <c r="AI91" s="888" t="s">
        <v>185</v>
      </c>
      <c r="AJ91" s="888" t="s">
        <v>186</v>
      </c>
      <c r="AK91" s="888" t="s">
        <v>187</v>
      </c>
      <c r="AL91" s="888" t="s">
        <v>188</v>
      </c>
      <c r="AM91" s="888" t="s">
        <v>189</v>
      </c>
      <c r="AN91" s="888" t="s">
        <v>190</v>
      </c>
      <c r="AO91" s="888" t="s">
        <v>191</v>
      </c>
    </row>
    <row r="92" spans="1:41" ht="15.75" hidden="1" customHeight="1" outlineLevel="1" x14ac:dyDescent="0.25">
      <c r="A92" s="528"/>
      <c r="B92" s="511">
        <v>25</v>
      </c>
      <c r="C92" s="526">
        <f t="shared" si="153"/>
        <v>28.770000000000003</v>
      </c>
      <c r="D92" s="550">
        <f t="shared" si="154"/>
        <v>0.75274725274725285</v>
      </c>
      <c r="E92" s="575">
        <f t="shared" si="155"/>
        <v>-0.24574209245742104</v>
      </c>
      <c r="F92" s="555">
        <f t="shared" ref="F92:F99" si="158">VLOOKUP(B92,year2022to23,311,FALSE)-VLOOKUP(B92,year2022to23,309,FALSE)</f>
        <v>308.60999999999996</v>
      </c>
      <c r="G92" s="558">
        <f t="shared" si="156"/>
        <v>8.0745682888540031</v>
      </c>
      <c r="H92" s="575">
        <f t="shared" si="157"/>
        <v>7.0315284663490893E-2</v>
      </c>
      <c r="O92" s="484"/>
      <c r="P92" s="529">
        <v>38.22</v>
      </c>
      <c r="Q92" s="525">
        <v>13.8</v>
      </c>
      <c r="R92" s="525">
        <v>14.97</v>
      </c>
      <c r="S92" s="525">
        <v>0</v>
      </c>
      <c r="T92">
        <v>28.770000000000003</v>
      </c>
      <c r="U92" s="525">
        <v>15</v>
      </c>
      <c r="V92" s="526">
        <v>0.75274725274725285</v>
      </c>
      <c r="W92" s="526">
        <v>0.39246467817896391</v>
      </c>
      <c r="X92" s="526">
        <v>308.60999999999996</v>
      </c>
      <c r="Y92" s="7">
        <v>86.580000000000013</v>
      </c>
      <c r="Z92" s="7">
        <v>8.0745682888540031</v>
      </c>
      <c r="AA92" s="7">
        <v>2.2653061224489801</v>
      </c>
      <c r="AD92" s="199">
        <f t="shared" ref="AD92:AD99" si="159">VLOOKUP(B92,ffbbudgettwofive,7,FALSE)</f>
        <v>6.7</v>
      </c>
      <c r="AE92" s="199">
        <f t="shared" ref="AE92:AE99" si="160">VLOOKUP(B92,ffbbudgettwofive,8,FALSE)</f>
        <v>5.36</v>
      </c>
      <c r="AF92" s="199">
        <f t="shared" ref="AF92:AF99" si="161">VLOOKUP(B92,ffbbudgettwofive,9,FALSE)</f>
        <v>9.3800000000000008</v>
      </c>
      <c r="AG92" s="199">
        <f t="shared" ref="AG92:AG99" si="162">VLOOKUP(B92,ffbbudgettwofive,10,FALSE)</f>
        <v>9.3800000000000008</v>
      </c>
      <c r="AH92" s="199">
        <f t="shared" ref="AH92:AH99" si="163">VLOOKUP(B92,ffbbudgettwofive,11,FALSE)</f>
        <v>9.3800000000000008</v>
      </c>
      <c r="AI92" s="199">
        <f t="shared" ref="AI92:AI99" si="164">VLOOKUP(B92,ffbbudgettwofive,12,FALSE)</f>
        <v>9.3800000000000008</v>
      </c>
      <c r="AJ92" s="199">
        <f t="shared" ref="AJ92:AJ99" si="165">VLOOKUP(B92,ffbbudgettwofive,13,FALSE)</f>
        <v>11</v>
      </c>
      <c r="AK92" s="199">
        <f t="shared" ref="AK92:AK99" si="166">VLOOKUP(B92,ffbbudgettwofive,14,FALSE)</f>
        <v>13</v>
      </c>
      <c r="AL92" s="199">
        <f t="shared" ref="AL92:AL99" si="167">VLOOKUP(B92,ffbbudgettwofive,15,FALSE)</f>
        <v>13</v>
      </c>
      <c r="AM92" s="199">
        <f t="shared" ref="AM92:AM99" si="168">VLOOKUP(B92,ffbbudgettwofive,16,FALSE)</f>
        <v>19</v>
      </c>
      <c r="AN92" s="199">
        <f t="shared" ref="AN92:AN99" si="169">VLOOKUP(B92,ffbbudgettwofive,17,FALSE)</f>
        <v>15</v>
      </c>
      <c r="AO92" s="199">
        <f t="shared" ref="AO92:AO99" si="170">VLOOKUP(B92,ffbbudgettwofive,18,FALSE)</f>
        <v>13</v>
      </c>
    </row>
    <row r="93" spans="1:41" hidden="1" outlineLevel="1" x14ac:dyDescent="0.25">
      <c r="A93" s="528"/>
      <c r="B93" s="1" t="s">
        <v>7</v>
      </c>
      <c r="C93" s="93">
        <f t="shared" si="153"/>
        <v>30.4</v>
      </c>
      <c r="D93" s="551">
        <f t="shared" si="154"/>
        <v>1.3380281690140845</v>
      </c>
      <c r="E93" s="576">
        <f t="shared" si="155"/>
        <v>-7.0723684210526425E-2</v>
      </c>
      <c r="F93" s="555">
        <f t="shared" si="158"/>
        <v>252.99</v>
      </c>
      <c r="G93" s="559">
        <f t="shared" si="156"/>
        <v>11.13512323943662</v>
      </c>
      <c r="H93" s="576">
        <f t="shared" si="157"/>
        <v>0.1116644926676944</v>
      </c>
      <c r="O93" s="484"/>
      <c r="P93" s="523">
        <v>22.72</v>
      </c>
      <c r="Q93" s="524">
        <v>24.59</v>
      </c>
      <c r="R93" s="524">
        <v>5.81</v>
      </c>
      <c r="S93" s="524">
        <v>0</v>
      </c>
      <c r="T93">
        <v>30.4</v>
      </c>
      <c r="U93" s="524">
        <v>12</v>
      </c>
      <c r="V93" s="93">
        <v>1.3380281690140845</v>
      </c>
      <c r="W93" s="93">
        <v>0.52816901408450712</v>
      </c>
      <c r="X93" s="93">
        <v>252.99000000000004</v>
      </c>
      <c r="Y93" s="7">
        <v>70.960000000000008</v>
      </c>
      <c r="Z93" s="7">
        <v>11.135123239436622</v>
      </c>
      <c r="AA93" s="7">
        <v>3.1232394366197189</v>
      </c>
      <c r="AD93" s="199">
        <f t="shared" si="159"/>
        <v>5.4</v>
      </c>
      <c r="AE93" s="199">
        <f t="shared" si="160"/>
        <v>4.32</v>
      </c>
      <c r="AF93" s="199">
        <f t="shared" si="161"/>
        <v>7.5600000000000005</v>
      </c>
      <c r="AG93" s="199">
        <f t="shared" si="162"/>
        <v>7.5600000000000005</v>
      </c>
      <c r="AH93" s="199">
        <f t="shared" si="163"/>
        <v>7.5600000000000005</v>
      </c>
      <c r="AI93" s="199">
        <f t="shared" si="164"/>
        <v>7.5600000000000005</v>
      </c>
      <c r="AJ93" s="199">
        <f t="shared" si="165"/>
        <v>9</v>
      </c>
      <c r="AK93" s="199">
        <f t="shared" si="166"/>
        <v>11</v>
      </c>
      <c r="AL93" s="199">
        <f t="shared" si="167"/>
        <v>11</v>
      </c>
      <c r="AM93" s="199">
        <f t="shared" si="168"/>
        <v>15</v>
      </c>
      <c r="AN93" s="199">
        <f t="shared" si="169"/>
        <v>12</v>
      </c>
      <c r="AO93" s="199">
        <f t="shared" si="170"/>
        <v>11</v>
      </c>
    </row>
    <row r="94" spans="1:41" hidden="1" outlineLevel="1" x14ac:dyDescent="0.25">
      <c r="A94" s="528"/>
      <c r="B94" s="1">
        <v>27</v>
      </c>
      <c r="C94" s="93">
        <f t="shared" si="153"/>
        <v>24.24</v>
      </c>
      <c r="D94" s="551">
        <f t="shared" si="154"/>
        <v>1.3004291845493561</v>
      </c>
      <c r="E94" s="576">
        <f t="shared" si="155"/>
        <v>-0.21617161716171604</v>
      </c>
      <c r="F94" s="555">
        <f t="shared" si="158"/>
        <v>172.64000000000001</v>
      </c>
      <c r="G94" s="559">
        <f t="shared" si="156"/>
        <v>9.2618025751072963</v>
      </c>
      <c r="H94" s="576">
        <f t="shared" si="157"/>
        <v>0.11005560704355895</v>
      </c>
      <c r="O94" s="484"/>
      <c r="P94" s="523">
        <v>18.64</v>
      </c>
      <c r="Q94" s="524">
        <v>4.34</v>
      </c>
      <c r="R94" s="524">
        <v>19.899999999999999</v>
      </c>
      <c r="S94" s="524">
        <v>0</v>
      </c>
      <c r="T94">
        <v>24.24</v>
      </c>
      <c r="U94" s="524">
        <v>9</v>
      </c>
      <c r="V94" s="93">
        <v>1.3004291845493561</v>
      </c>
      <c r="W94" s="93">
        <v>0.48283261802575106</v>
      </c>
      <c r="X94" s="93">
        <v>172.64000000000001</v>
      </c>
      <c r="Y94" s="7">
        <v>56.82</v>
      </c>
      <c r="Z94" s="7">
        <v>9.2618025751072963</v>
      </c>
      <c r="AA94" s="7">
        <v>3.0482832618025753</v>
      </c>
      <c r="AD94" s="199">
        <f t="shared" si="159"/>
        <v>4.3</v>
      </c>
      <c r="AE94" s="199">
        <f t="shared" si="160"/>
        <v>3.44</v>
      </c>
      <c r="AF94" s="199">
        <f t="shared" si="161"/>
        <v>6.0200000000000005</v>
      </c>
      <c r="AG94" s="199">
        <f t="shared" si="162"/>
        <v>6.0200000000000005</v>
      </c>
      <c r="AH94" s="199">
        <f t="shared" si="163"/>
        <v>6.0200000000000005</v>
      </c>
      <c r="AI94" s="199">
        <f t="shared" si="164"/>
        <v>6.0200000000000005</v>
      </c>
      <c r="AJ94" s="199">
        <f t="shared" si="165"/>
        <v>7</v>
      </c>
      <c r="AK94" s="199">
        <f t="shared" si="166"/>
        <v>9</v>
      </c>
      <c r="AL94" s="199">
        <f t="shared" si="167"/>
        <v>9</v>
      </c>
      <c r="AM94" s="199">
        <f t="shared" si="168"/>
        <v>12</v>
      </c>
      <c r="AN94" s="199">
        <f t="shared" si="169"/>
        <v>9</v>
      </c>
      <c r="AO94" s="199">
        <f t="shared" si="170"/>
        <v>9</v>
      </c>
    </row>
    <row r="95" spans="1:41" hidden="1" outlineLevel="1" x14ac:dyDescent="0.25">
      <c r="A95" s="528"/>
      <c r="B95" s="1">
        <v>28</v>
      </c>
      <c r="C95" s="93">
        <f t="shared" si="153"/>
        <v>36.97</v>
      </c>
      <c r="D95" s="551">
        <f t="shared" si="154"/>
        <v>1.4498039215686274</v>
      </c>
      <c r="E95" s="576">
        <f t="shared" si="155"/>
        <v>-0.3575872328915336</v>
      </c>
      <c r="F95" s="555">
        <f t="shared" si="158"/>
        <v>307.82000000000005</v>
      </c>
      <c r="G95" s="559">
        <f t="shared" si="156"/>
        <v>12.07137254901961</v>
      </c>
      <c r="H95" s="576">
        <f t="shared" si="157"/>
        <v>7.7155480475602625E-2</v>
      </c>
      <c r="O95" s="484"/>
      <c r="P95" s="523">
        <v>25.5</v>
      </c>
      <c r="Q95" s="524">
        <v>23.27</v>
      </c>
      <c r="R95" s="524">
        <v>13.7</v>
      </c>
      <c r="S95" s="524">
        <v>0</v>
      </c>
      <c r="T95">
        <v>36.97</v>
      </c>
      <c r="U95" s="524">
        <v>28</v>
      </c>
      <c r="V95" s="93">
        <v>1.4498039215686274</v>
      </c>
      <c r="W95" s="93">
        <v>1.0980392156862746</v>
      </c>
      <c r="X95" s="93">
        <v>307.82000000000005</v>
      </c>
      <c r="Y95" s="7">
        <v>167.72000000000003</v>
      </c>
      <c r="Z95" s="7">
        <v>12.07137254901961</v>
      </c>
      <c r="AA95" s="7">
        <v>6.5772549019607851</v>
      </c>
      <c r="AD95" s="199">
        <f t="shared" si="159"/>
        <v>12.8</v>
      </c>
      <c r="AE95" s="199">
        <f t="shared" si="160"/>
        <v>10.24</v>
      </c>
      <c r="AF95" s="199">
        <f t="shared" si="161"/>
        <v>17.920000000000002</v>
      </c>
      <c r="AG95" s="199">
        <f t="shared" si="162"/>
        <v>17.920000000000002</v>
      </c>
      <c r="AH95" s="199">
        <f t="shared" si="163"/>
        <v>17.920000000000002</v>
      </c>
      <c r="AI95" s="199">
        <f t="shared" si="164"/>
        <v>17.920000000000002</v>
      </c>
      <c r="AJ95" s="199">
        <f t="shared" si="165"/>
        <v>21</v>
      </c>
      <c r="AK95" s="199">
        <f t="shared" si="166"/>
        <v>26</v>
      </c>
      <c r="AL95" s="199">
        <f t="shared" si="167"/>
        <v>26</v>
      </c>
      <c r="AM95" s="199">
        <f t="shared" si="168"/>
        <v>36</v>
      </c>
      <c r="AN95" s="199">
        <f t="shared" si="169"/>
        <v>28</v>
      </c>
      <c r="AO95" s="199">
        <f t="shared" si="170"/>
        <v>26</v>
      </c>
    </row>
    <row r="96" spans="1:41" hidden="1" outlineLevel="1" x14ac:dyDescent="0.25">
      <c r="A96" s="528"/>
      <c r="B96" s="1">
        <v>30</v>
      </c>
      <c r="C96" s="93">
        <f t="shared" si="153"/>
        <v>25.03</v>
      </c>
      <c r="D96" s="551">
        <f t="shared" si="154"/>
        <v>1.0279260780287474</v>
      </c>
      <c r="E96" s="576">
        <f t="shared" si="155"/>
        <v>-0.5081901717938474</v>
      </c>
      <c r="F96" s="555">
        <f t="shared" si="158"/>
        <v>210.48</v>
      </c>
      <c r="G96" s="559">
        <f t="shared" si="156"/>
        <v>8.6439425051334702</v>
      </c>
      <c r="H96" s="576">
        <f t="shared" si="157"/>
        <v>5.8485366780691689E-2</v>
      </c>
      <c r="O96" s="484"/>
      <c r="P96" s="523">
        <v>24.35</v>
      </c>
      <c r="Q96" s="524">
        <v>15.26</v>
      </c>
      <c r="R96" s="524">
        <v>9.77</v>
      </c>
      <c r="S96" s="524">
        <v>0</v>
      </c>
      <c r="T96">
        <v>25.03</v>
      </c>
      <c r="U96" s="524">
        <v>8</v>
      </c>
      <c r="V96" s="93">
        <v>1.0279260780287474</v>
      </c>
      <c r="W96" s="93">
        <v>0.32854209445585214</v>
      </c>
      <c r="X96" s="93">
        <v>210.48</v>
      </c>
      <c r="Y96" s="7">
        <v>47.379999999999995</v>
      </c>
      <c r="Z96" s="7">
        <v>8.6439425051334702</v>
      </c>
      <c r="AA96" s="7">
        <v>1.945790554414784</v>
      </c>
      <c r="AD96" s="199">
        <f t="shared" si="159"/>
        <v>3.7</v>
      </c>
      <c r="AE96" s="199">
        <f t="shared" si="160"/>
        <v>2.96</v>
      </c>
      <c r="AF96" s="199">
        <f t="shared" si="161"/>
        <v>5.1800000000000006</v>
      </c>
      <c r="AG96" s="199">
        <f t="shared" si="162"/>
        <v>5.1800000000000006</v>
      </c>
      <c r="AH96" s="199">
        <f t="shared" si="163"/>
        <v>5.1800000000000006</v>
      </c>
      <c r="AI96" s="199">
        <f t="shared" si="164"/>
        <v>5.1800000000000006</v>
      </c>
      <c r="AJ96" s="199">
        <f t="shared" si="165"/>
        <v>6</v>
      </c>
      <c r="AK96" s="199">
        <f t="shared" si="166"/>
        <v>7</v>
      </c>
      <c r="AL96" s="199">
        <f t="shared" si="167"/>
        <v>7</v>
      </c>
      <c r="AM96" s="199">
        <f t="shared" si="168"/>
        <v>10</v>
      </c>
      <c r="AN96" s="199">
        <f t="shared" si="169"/>
        <v>8</v>
      </c>
      <c r="AO96" s="199">
        <f t="shared" si="170"/>
        <v>7</v>
      </c>
    </row>
    <row r="97" spans="1:41" hidden="1" outlineLevel="1" x14ac:dyDescent="0.25">
      <c r="A97" s="528"/>
      <c r="B97" s="1">
        <v>31</v>
      </c>
      <c r="C97" s="93">
        <f t="shared" si="153"/>
        <v>21.2</v>
      </c>
      <c r="D97" s="551">
        <f t="shared" si="154"/>
        <v>0.6220657276995305</v>
      </c>
      <c r="E97" s="576">
        <f t="shared" si="155"/>
        <v>-0.33867924528301879</v>
      </c>
      <c r="F97" s="555">
        <f t="shared" si="158"/>
        <v>219.16999999999996</v>
      </c>
      <c r="G97" s="559">
        <f t="shared" si="156"/>
        <v>6.4310446009389661</v>
      </c>
      <c r="H97" s="576">
        <f t="shared" si="157"/>
        <v>6.3968608842451133E-2</v>
      </c>
      <c r="O97" s="484"/>
      <c r="P97" s="523">
        <v>34.08</v>
      </c>
      <c r="Q97" s="524">
        <v>11.84</v>
      </c>
      <c r="R97" s="524">
        <v>9.36</v>
      </c>
      <c r="S97" s="524">
        <v>0</v>
      </c>
      <c r="T97">
        <v>21.2</v>
      </c>
      <c r="U97" s="524">
        <v>13</v>
      </c>
      <c r="V97" s="93">
        <v>0.6220657276995305</v>
      </c>
      <c r="W97" s="93">
        <v>0.38145539906103287</v>
      </c>
      <c r="X97" s="93">
        <v>219.16999999999996</v>
      </c>
      <c r="Y97" s="7">
        <v>75.92</v>
      </c>
      <c r="Z97" s="7">
        <v>6.4310446009389661</v>
      </c>
      <c r="AA97" s="7">
        <v>2.227699530516432</v>
      </c>
      <c r="AD97" s="199">
        <f t="shared" si="159"/>
        <v>5.8000000000000007</v>
      </c>
      <c r="AE97" s="199">
        <f t="shared" si="160"/>
        <v>4.6399999999999997</v>
      </c>
      <c r="AF97" s="199">
        <f t="shared" si="161"/>
        <v>8.120000000000001</v>
      </c>
      <c r="AG97" s="199">
        <f t="shared" si="162"/>
        <v>8.120000000000001</v>
      </c>
      <c r="AH97" s="199">
        <f t="shared" si="163"/>
        <v>8.120000000000001</v>
      </c>
      <c r="AI97" s="199">
        <f t="shared" si="164"/>
        <v>8.120000000000001</v>
      </c>
      <c r="AJ97" s="199">
        <f t="shared" si="165"/>
        <v>9</v>
      </c>
      <c r="AK97" s="199">
        <f t="shared" si="166"/>
        <v>12</v>
      </c>
      <c r="AL97" s="199">
        <f t="shared" si="167"/>
        <v>12</v>
      </c>
      <c r="AM97" s="199">
        <f t="shared" si="168"/>
        <v>16</v>
      </c>
      <c r="AN97" s="199">
        <f t="shared" si="169"/>
        <v>13</v>
      </c>
      <c r="AO97" s="199">
        <f t="shared" si="170"/>
        <v>12</v>
      </c>
    </row>
    <row r="98" spans="1:41" hidden="1" outlineLevel="1" x14ac:dyDescent="0.25">
      <c r="A98" s="528"/>
      <c r="B98" s="1">
        <v>33</v>
      </c>
      <c r="C98" s="93">
        <f t="shared" si="153"/>
        <v>56.28</v>
      </c>
      <c r="D98" s="551">
        <f t="shared" si="154"/>
        <v>1.9596100278551534</v>
      </c>
      <c r="E98" s="576">
        <f t="shared" si="155"/>
        <v>-0.11122956645344717</v>
      </c>
      <c r="F98" s="555">
        <f t="shared" si="158"/>
        <v>428.08000000000004</v>
      </c>
      <c r="G98" s="559">
        <f t="shared" si="156"/>
        <v>14.905292479108637</v>
      </c>
      <c r="H98" s="576">
        <f t="shared" si="157"/>
        <v>0.11684731825826954</v>
      </c>
      <c r="O98" s="484"/>
      <c r="P98" s="523">
        <v>28.72</v>
      </c>
      <c r="Q98" s="524">
        <v>27.73</v>
      </c>
      <c r="R98" s="524">
        <v>28.55</v>
      </c>
      <c r="S98" s="524">
        <v>0</v>
      </c>
      <c r="T98">
        <v>56.28</v>
      </c>
      <c r="U98" s="524">
        <v>47</v>
      </c>
      <c r="V98" s="93">
        <v>1.9596100278551534</v>
      </c>
      <c r="W98" s="93">
        <v>1.636490250696379</v>
      </c>
      <c r="X98" s="93">
        <v>428.08000000000004</v>
      </c>
      <c r="Y98" s="7">
        <v>279.47000000000003</v>
      </c>
      <c r="Z98" s="7">
        <v>14.905292479108637</v>
      </c>
      <c r="AA98" s="7">
        <v>9.7308495821727039</v>
      </c>
      <c r="AD98" s="199">
        <f t="shared" si="159"/>
        <v>21.55</v>
      </c>
      <c r="AE98" s="199">
        <f t="shared" si="160"/>
        <v>17.240000000000002</v>
      </c>
      <c r="AF98" s="199">
        <f t="shared" si="161"/>
        <v>30.17</v>
      </c>
      <c r="AG98" s="199">
        <f t="shared" si="162"/>
        <v>30.17</v>
      </c>
      <c r="AH98" s="199">
        <f t="shared" si="163"/>
        <v>30.17</v>
      </c>
      <c r="AI98" s="199">
        <f t="shared" si="164"/>
        <v>30.17</v>
      </c>
      <c r="AJ98" s="199">
        <f t="shared" si="165"/>
        <v>34</v>
      </c>
      <c r="AK98" s="199">
        <f t="shared" si="166"/>
        <v>43</v>
      </c>
      <c r="AL98" s="199">
        <f t="shared" si="167"/>
        <v>43</v>
      </c>
      <c r="AM98" s="199">
        <f t="shared" si="168"/>
        <v>60</v>
      </c>
      <c r="AN98" s="199">
        <f t="shared" si="169"/>
        <v>47</v>
      </c>
      <c r="AO98" s="199">
        <f t="shared" si="170"/>
        <v>43</v>
      </c>
    </row>
    <row r="99" spans="1:41" hidden="1" outlineLevel="1" x14ac:dyDescent="0.25">
      <c r="A99" s="528"/>
      <c r="B99" s="1">
        <v>39</v>
      </c>
      <c r="C99" s="93">
        <f t="shared" si="153"/>
        <v>4.4000000000000004</v>
      </c>
      <c r="D99" s="551">
        <f t="shared" si="154"/>
        <v>0.97777777777777786</v>
      </c>
      <c r="E99" s="576">
        <f t="shared" si="155"/>
        <v>-0.4568181818181819</v>
      </c>
      <c r="F99" s="555">
        <f t="shared" si="158"/>
        <v>37.24</v>
      </c>
      <c r="G99" s="559">
        <f t="shared" si="156"/>
        <v>8.275555555555556</v>
      </c>
      <c r="H99" s="576">
        <f t="shared" si="157"/>
        <v>6.4178302900107356E-2</v>
      </c>
      <c r="O99" s="484"/>
      <c r="P99" s="523">
        <v>4.5</v>
      </c>
      <c r="Q99" s="524">
        <v>2.19</v>
      </c>
      <c r="R99" s="524">
        <v>2.21</v>
      </c>
      <c r="S99" s="524">
        <v>0</v>
      </c>
      <c r="T99">
        <v>4.4000000000000004</v>
      </c>
      <c r="U99" s="524">
        <v>3</v>
      </c>
      <c r="V99" s="93">
        <v>0.97777777777777786</v>
      </c>
      <c r="W99" s="93">
        <v>0.66666666666666663</v>
      </c>
      <c r="X99" s="93">
        <v>37.24</v>
      </c>
      <c r="Y99" s="7">
        <v>15.990000000000002</v>
      </c>
      <c r="Z99" s="7">
        <v>8.275555555555556</v>
      </c>
      <c r="AA99" s="7">
        <v>3.5533333333333337</v>
      </c>
      <c r="AD99" s="199">
        <f t="shared" si="159"/>
        <v>0.35000000000000009</v>
      </c>
      <c r="AE99" s="199">
        <f t="shared" si="160"/>
        <v>8.0000000000000071E-2</v>
      </c>
      <c r="AF99" s="199">
        <f t="shared" si="161"/>
        <v>1.8900000000000001</v>
      </c>
      <c r="AG99" s="199">
        <f t="shared" si="162"/>
        <v>1.8900000000000001</v>
      </c>
      <c r="AH99" s="199">
        <f t="shared" si="163"/>
        <v>1.8900000000000001</v>
      </c>
      <c r="AI99" s="199">
        <f t="shared" si="164"/>
        <v>1.8900000000000001</v>
      </c>
      <c r="AJ99" s="199">
        <f t="shared" si="165"/>
        <v>2</v>
      </c>
      <c r="AK99" s="199">
        <f t="shared" si="166"/>
        <v>3</v>
      </c>
      <c r="AL99" s="199">
        <f t="shared" si="167"/>
        <v>3</v>
      </c>
      <c r="AM99" s="199">
        <f t="shared" si="168"/>
        <v>4</v>
      </c>
      <c r="AN99" s="199">
        <f t="shared" si="169"/>
        <v>3</v>
      </c>
      <c r="AO99" s="199">
        <f t="shared" si="170"/>
        <v>3</v>
      </c>
    </row>
    <row r="100" spans="1:41" ht="15.75" hidden="1" outlineLevel="1" thickBot="1" x14ac:dyDescent="0.3">
      <c r="A100" s="483"/>
      <c r="B100" s="562"/>
      <c r="D100" s="564"/>
      <c r="F100" s="8"/>
      <c r="G100" s="8"/>
      <c r="O100" s="8"/>
      <c r="P100" s="563"/>
      <c r="Q100" s="563"/>
      <c r="R100" s="563"/>
      <c r="S100" s="563"/>
      <c r="U100" s="563"/>
      <c r="V100" s="564"/>
      <c r="W100" s="8"/>
      <c r="X100" s="8"/>
    </row>
    <row r="101" spans="1:41" s="7" customFormat="1" ht="15.75" collapsed="1" thickBot="1" x14ac:dyDescent="0.3">
      <c r="A101" s="935" t="s">
        <v>8</v>
      </c>
      <c r="B101" s="936"/>
      <c r="C101" s="539">
        <f>C56+C61+C70+C75+C83+C91</f>
        <v>2422.6800000000003</v>
      </c>
      <c r="D101" s="581">
        <f>C101/P101</f>
        <v>1.7103161996738465</v>
      </c>
      <c r="E101" s="577">
        <f>(I51-D101)/D101</f>
        <v>-0.18655786154176376</v>
      </c>
      <c r="F101" s="578">
        <f>F56+F61+F70+F75+F83+F91</f>
        <v>19689.43</v>
      </c>
      <c r="G101" s="579">
        <f>F101/P101</f>
        <v>13.899958348334993</v>
      </c>
      <c r="H101" s="580">
        <f>(M51-G101)/G101</f>
        <v>0.1000897435832323</v>
      </c>
      <c r="L101" s="890"/>
      <c r="P101" s="543">
        <v>1416.51</v>
      </c>
      <c r="Q101" s="537">
        <v>1354.19</v>
      </c>
      <c r="R101" s="538">
        <v>1065.27</v>
      </c>
      <c r="S101" s="538">
        <v>3.22</v>
      </c>
      <c r="T101" s="7">
        <v>2422.6800000000003</v>
      </c>
      <c r="U101" s="540">
        <v>2850</v>
      </c>
      <c r="V101" s="541">
        <v>1.7103161996738465</v>
      </c>
      <c r="W101" s="541">
        <v>2.0119872079971195</v>
      </c>
      <c r="X101" s="541">
        <v>19689.43</v>
      </c>
      <c r="Y101" s="7">
        <v>16839</v>
      </c>
      <c r="Z101" s="7">
        <v>13.899958348334993</v>
      </c>
      <c r="AA101" s="7">
        <v>11.887667577355613</v>
      </c>
      <c r="AD101" s="815"/>
      <c r="AE101" s="815"/>
      <c r="AF101" s="815"/>
      <c r="AG101" s="815"/>
      <c r="AH101" s="815"/>
      <c r="AI101" s="815"/>
      <c r="AJ101" s="815"/>
      <c r="AK101" s="815"/>
      <c r="AL101" s="815"/>
      <c r="AM101" s="815"/>
      <c r="AN101" s="815"/>
      <c r="AO101" s="815"/>
    </row>
    <row r="104" spans="1:41" ht="15.75" customHeight="1" thickBot="1" x14ac:dyDescent="0.3">
      <c r="A104" s="474">
        <v>45627</v>
      </c>
    </row>
    <row r="105" spans="1:41" ht="75.75" thickBot="1" x14ac:dyDescent="0.3">
      <c r="A105" s="919" t="s">
        <v>79</v>
      </c>
      <c r="B105" s="920"/>
      <c r="C105" s="568" t="s">
        <v>174</v>
      </c>
      <c r="D105" s="569" t="s">
        <v>206</v>
      </c>
      <c r="E105" s="570" t="s">
        <v>267</v>
      </c>
      <c r="F105" s="571" t="s">
        <v>207</v>
      </c>
      <c r="G105" s="572" t="s">
        <v>208</v>
      </c>
      <c r="H105" s="573" t="s">
        <v>267</v>
      </c>
    </row>
    <row r="106" spans="1:41" ht="30.75" customHeight="1" thickBot="1" x14ac:dyDescent="0.3">
      <c r="A106" s="942" t="s">
        <v>243</v>
      </c>
      <c r="B106" s="943"/>
      <c r="C106" s="539">
        <f>SUM(C107:C109)</f>
        <v>327.65999999999997</v>
      </c>
      <c r="D106" s="549">
        <f>C106/C6</f>
        <v>1.9979268292682926</v>
      </c>
      <c r="E106" s="566">
        <f>(I6-D106)/D106</f>
        <v>-0.29042299945065003</v>
      </c>
      <c r="F106" s="554">
        <f>SUM(F107:F109)</f>
        <v>2396.8960000000002</v>
      </c>
      <c r="G106" s="561">
        <f>F106/C6</f>
        <v>14.615219512195123</v>
      </c>
      <c r="H106" s="567">
        <f>(M6-G106)/G106</f>
        <v>0.13044954808218603</v>
      </c>
    </row>
    <row r="107" spans="1:41" ht="15" hidden="1" customHeight="1" outlineLevel="1" x14ac:dyDescent="0.25">
      <c r="A107" s="483"/>
      <c r="B107" s="535">
        <v>1</v>
      </c>
      <c r="C107" s="93">
        <f>VLOOKUP(B7,year2022to23,247,FALSE)</f>
        <v>82.070000000000007</v>
      </c>
      <c r="D107" s="550">
        <f>C107/C7</f>
        <v>1.542669172932331</v>
      </c>
      <c r="E107" s="575">
        <f>(I7-D107)/D107</f>
        <v>0.29950042646521252</v>
      </c>
      <c r="F107" s="555">
        <f>VLOOKUP(B7,year2022to23,249,FALSE)</f>
        <v>707.1400000000001</v>
      </c>
      <c r="G107" s="558">
        <f>F107/C7</f>
        <v>13.292105263157897</v>
      </c>
      <c r="H107" s="575">
        <f>(M7-G107)/G107</f>
        <v>0.28657691546228453</v>
      </c>
    </row>
    <row r="108" spans="1:41" ht="15" hidden="1" customHeight="1" outlineLevel="1" x14ac:dyDescent="0.25">
      <c r="A108" s="483"/>
      <c r="B108" s="100">
        <v>3</v>
      </c>
      <c r="C108" s="93">
        <f>VLOOKUP(B8,year2022to23,247,FALSE)</f>
        <v>151.68</v>
      </c>
      <c r="D108" s="583">
        <f>C108/C8</f>
        <v>2.1919075144508668</v>
      </c>
      <c r="E108" s="565">
        <f>(I8-D108)/D108</f>
        <v>-0.47250791139240506</v>
      </c>
      <c r="F108" s="584">
        <f>VLOOKUP(B8,year2022to23,249,FALSE)</f>
        <v>927.06999999999994</v>
      </c>
      <c r="G108" s="585">
        <f>F108/C8</f>
        <v>13.396965317919074</v>
      </c>
      <c r="H108" s="574">
        <f>(M8-G108)/G108</f>
        <v>0.17116291110703627</v>
      </c>
    </row>
    <row r="109" spans="1:41" ht="15" hidden="1" customHeight="1" outlineLevel="1" x14ac:dyDescent="0.25">
      <c r="A109" s="483"/>
      <c r="B109" s="100">
        <v>14</v>
      </c>
      <c r="C109" s="93">
        <f>VLOOKUP(B9,year2022to23,247,FALSE)</f>
        <v>93.91</v>
      </c>
      <c r="D109" s="551">
        <f>C109/C9</f>
        <v>2.257451923076923</v>
      </c>
      <c r="E109" s="576">
        <f>(I9-D109)/D109</f>
        <v>-0.51187306996060067</v>
      </c>
      <c r="F109" s="556">
        <f>VLOOKUP(B9,year2022to23,249,FALSE)</f>
        <v>762.68600000000004</v>
      </c>
      <c r="G109" s="559">
        <f>F109/C9</f>
        <v>18.333798076923078</v>
      </c>
      <c r="H109" s="576">
        <f>(M9-G109)/G109</f>
        <v>-6.3795585601414073E-2</v>
      </c>
    </row>
    <row r="110" spans="1:41" ht="15.75" hidden="1" customHeight="1" outlineLevel="1" thickBot="1" x14ac:dyDescent="0.3">
      <c r="A110" s="483"/>
      <c r="B110" s="562"/>
      <c r="D110" s="564"/>
      <c r="F110" s="8"/>
      <c r="G110" s="8"/>
    </row>
    <row r="111" spans="1:41" ht="15.75" customHeight="1" collapsed="1" thickBot="1" x14ac:dyDescent="0.3">
      <c r="A111" s="944" t="s">
        <v>64</v>
      </c>
      <c r="B111" s="945"/>
      <c r="C111" s="539">
        <f>SUM(C112:C118)</f>
        <v>526.98</v>
      </c>
      <c r="D111" s="549">
        <f t="shared" ref="D111:D118" si="171">C111/C11</f>
        <v>1.3673585884795019</v>
      </c>
      <c r="E111" s="577">
        <f t="shared" ref="E111:E118" si="172">(I11-D111)/D111</f>
        <v>0.31346540665679928</v>
      </c>
      <c r="F111" s="578">
        <f>SUM(F112:F118)</f>
        <v>5924.63</v>
      </c>
      <c r="G111" s="579">
        <f t="shared" ref="G111:G118" si="173">F111/C11</f>
        <v>15.372677737415673</v>
      </c>
      <c r="H111" s="580">
        <f t="shared" ref="H111:H118" si="174">(M11-G111)/G111</f>
        <v>0.10381070210291615</v>
      </c>
    </row>
    <row r="112" spans="1:41" hidden="1" outlineLevel="1" x14ac:dyDescent="0.25">
      <c r="A112" s="528"/>
      <c r="B112" s="511">
        <v>15</v>
      </c>
      <c r="C112" s="93">
        <f t="shared" ref="C112:C118" si="175">VLOOKUP(B12,year2022to23,247,FALSE)</f>
        <v>60.49</v>
      </c>
      <c r="D112" s="550">
        <f t="shared" si="171"/>
        <v>1.2269776876267751</v>
      </c>
      <c r="E112" s="575">
        <f t="shared" si="172"/>
        <v>1.0509175070259547</v>
      </c>
      <c r="F112" s="555">
        <f t="shared" ref="F112:F118" si="176">VLOOKUP(B12,year2022to23,249,FALSE)</f>
        <v>619.76</v>
      </c>
      <c r="G112" s="558">
        <f t="shared" si="173"/>
        <v>12.571196754563895</v>
      </c>
      <c r="H112" s="575">
        <f t="shared" si="174"/>
        <v>0.25353362591971113</v>
      </c>
    </row>
    <row r="113" spans="1:8" hidden="1" outlineLevel="1" x14ac:dyDescent="0.25">
      <c r="A113" s="528"/>
      <c r="B113" s="1">
        <v>16</v>
      </c>
      <c r="C113" s="93">
        <f t="shared" si="175"/>
        <v>87.66</v>
      </c>
      <c r="D113" s="551">
        <f t="shared" si="171"/>
        <v>1.6477443609022555</v>
      </c>
      <c r="E113" s="576">
        <f t="shared" si="172"/>
        <v>0.27378507871321001</v>
      </c>
      <c r="F113" s="556">
        <f t="shared" si="176"/>
        <v>837.23</v>
      </c>
      <c r="G113" s="559">
        <f t="shared" si="173"/>
        <v>15.737406015037594</v>
      </c>
      <c r="H113" s="576">
        <f t="shared" si="174"/>
        <v>7.578562641090246E-2</v>
      </c>
    </row>
    <row r="114" spans="1:8" hidden="1" outlineLevel="1" x14ac:dyDescent="0.25">
      <c r="A114" s="528"/>
      <c r="B114" s="1">
        <v>17</v>
      </c>
      <c r="C114" s="93">
        <f t="shared" si="175"/>
        <v>96.89</v>
      </c>
      <c r="D114" s="551">
        <f t="shared" si="171"/>
        <v>2.1201312910284464</v>
      </c>
      <c r="E114" s="576">
        <f t="shared" si="172"/>
        <v>-0.5544431829910208</v>
      </c>
      <c r="F114" s="556">
        <f t="shared" si="176"/>
        <v>814.55000000000007</v>
      </c>
      <c r="G114" s="559">
        <f t="shared" si="173"/>
        <v>17.823851203501093</v>
      </c>
      <c r="H114" s="576">
        <f t="shared" si="174"/>
        <v>-2.1238720766067084E-2</v>
      </c>
    </row>
    <row r="115" spans="1:8" hidden="1" outlineLevel="1" x14ac:dyDescent="0.25">
      <c r="A115" s="528"/>
      <c r="B115" s="1">
        <v>19</v>
      </c>
      <c r="C115" s="93">
        <f t="shared" si="175"/>
        <v>49.21</v>
      </c>
      <c r="D115" s="551">
        <f t="shared" si="171"/>
        <v>0.97214539707625447</v>
      </c>
      <c r="E115" s="576">
        <f t="shared" si="172"/>
        <v>0.82828693355009142</v>
      </c>
      <c r="F115" s="556">
        <f t="shared" si="176"/>
        <v>745.81000000000017</v>
      </c>
      <c r="G115" s="559">
        <f t="shared" si="173"/>
        <v>14.733504543658636</v>
      </c>
      <c r="H115" s="576">
        <f t="shared" si="174"/>
        <v>0.16115364503023549</v>
      </c>
    </row>
    <row r="116" spans="1:8" hidden="1" outlineLevel="1" x14ac:dyDescent="0.25">
      <c r="A116" s="528"/>
      <c r="B116" s="1">
        <v>20</v>
      </c>
      <c r="C116" s="93">
        <f t="shared" si="175"/>
        <v>69</v>
      </c>
      <c r="D116" s="551">
        <f t="shared" si="171"/>
        <v>1.1114690721649485</v>
      </c>
      <c r="E116" s="576">
        <f t="shared" si="172"/>
        <v>0.98057971014492729</v>
      </c>
      <c r="F116" s="556">
        <f t="shared" si="176"/>
        <v>799.99000000000012</v>
      </c>
      <c r="G116" s="559">
        <f t="shared" si="173"/>
        <v>12.886436855670105</v>
      </c>
      <c r="H116" s="576">
        <f t="shared" si="174"/>
        <v>0.28576607207590093</v>
      </c>
    </row>
    <row r="117" spans="1:8" hidden="1" outlineLevel="1" x14ac:dyDescent="0.25">
      <c r="A117" s="528"/>
      <c r="B117" s="1">
        <v>21</v>
      </c>
      <c r="C117" s="93">
        <f t="shared" si="175"/>
        <v>96.05</v>
      </c>
      <c r="D117" s="551">
        <f t="shared" si="171"/>
        <v>1.3303324099722991</v>
      </c>
      <c r="E117" s="576">
        <f t="shared" si="172"/>
        <v>0.27225403435710599</v>
      </c>
      <c r="F117" s="556">
        <f t="shared" si="176"/>
        <v>1304.9899999999998</v>
      </c>
      <c r="G117" s="559">
        <f t="shared" si="173"/>
        <v>18.074653739612184</v>
      </c>
      <c r="H117" s="576">
        <f t="shared" si="174"/>
        <v>1.4881340086897493E-2</v>
      </c>
    </row>
    <row r="118" spans="1:8" hidden="1" outlineLevel="1" x14ac:dyDescent="0.25">
      <c r="A118" s="528"/>
      <c r="B118" s="1">
        <v>22</v>
      </c>
      <c r="C118" s="93">
        <f t="shared" si="175"/>
        <v>67.679999999999993</v>
      </c>
      <c r="D118" s="551">
        <f t="shared" si="171"/>
        <v>1.2940726577437858</v>
      </c>
      <c r="E118" s="576">
        <f t="shared" si="172"/>
        <v>-4.7724586288415895E-2</v>
      </c>
      <c r="F118" s="556">
        <f t="shared" si="176"/>
        <v>802.3</v>
      </c>
      <c r="G118" s="559">
        <f t="shared" si="173"/>
        <v>15.340344168260039</v>
      </c>
      <c r="H118" s="576">
        <f t="shared" si="174"/>
        <v>5.4268976692010612E-2</v>
      </c>
    </row>
    <row r="119" spans="1:8" ht="15.75" hidden="1" outlineLevel="1" thickBot="1" x14ac:dyDescent="0.3">
      <c r="A119" s="483"/>
      <c r="B119" s="562"/>
      <c r="D119" s="564"/>
      <c r="F119" s="8"/>
      <c r="G119" s="8"/>
    </row>
    <row r="120" spans="1:8" ht="30" customHeight="1" collapsed="1" thickBot="1" x14ac:dyDescent="0.3">
      <c r="A120" s="937" t="s">
        <v>242</v>
      </c>
      <c r="B120" s="938"/>
      <c r="C120" s="539">
        <f>SUM(C121:C123)</f>
        <v>125.69</v>
      </c>
      <c r="D120" s="549">
        <f>C120/C20</f>
        <v>1.0809253525971791</v>
      </c>
      <c r="E120" s="577">
        <f>(I20-D120)/D120</f>
        <v>-0.16580475773729023</v>
      </c>
      <c r="F120" s="578">
        <f>SUM(F121:F123)</f>
        <v>1384.5479999999998</v>
      </c>
      <c r="G120" s="579">
        <f>F120/C20</f>
        <v>11.907017543859647</v>
      </c>
      <c r="H120" s="580">
        <f>(M20-G120)/G120</f>
        <v>9.5664433446872379E-2</v>
      </c>
    </row>
    <row r="121" spans="1:8" hidden="1" outlineLevel="1" x14ac:dyDescent="0.25">
      <c r="A121" s="483"/>
      <c r="B121" s="535">
        <v>2</v>
      </c>
      <c r="C121" s="93">
        <f>VLOOKUP(B21,year2022to23,247,FALSE)</f>
        <v>70.989999999999995</v>
      </c>
      <c r="D121" s="551">
        <f>C121/C21</f>
        <v>1.1753311258278145</v>
      </c>
      <c r="E121" s="576">
        <f>(I21-D121)/D121</f>
        <v>-0.19270319763346949</v>
      </c>
      <c r="F121" s="556">
        <f>VLOOKUP(B21,year2022to23,249,FALSE)</f>
        <v>828.71399999999994</v>
      </c>
      <c r="G121" s="559">
        <f>F121/C21</f>
        <v>13.720430463576159</v>
      </c>
      <c r="H121" s="576">
        <f>(M21-G121)/G121</f>
        <v>7.3434260794435643E-2</v>
      </c>
    </row>
    <row r="122" spans="1:8" hidden="1" outlineLevel="1" x14ac:dyDescent="0.25">
      <c r="A122" s="483"/>
      <c r="B122" s="100">
        <v>11</v>
      </c>
      <c r="C122" s="93">
        <f>VLOOKUP(B22,year2022to23,247,FALSE)</f>
        <v>52</v>
      </c>
      <c r="D122" s="551">
        <f>C122/C22</f>
        <v>1.1685393258426966</v>
      </c>
      <c r="E122" s="576">
        <f>(I22-D122)/D122</f>
        <v>-0.37653846153846149</v>
      </c>
      <c r="F122" s="556">
        <f>VLOOKUP(B22,year2022to23,249,FALSE)</f>
        <v>539.21399999999994</v>
      </c>
      <c r="G122" s="559">
        <f>F122/C22</f>
        <v>12.117168539325842</v>
      </c>
      <c r="H122" s="576">
        <f>(M22-G122)/G122</f>
        <v>-1.7291835894468664E-2</v>
      </c>
    </row>
    <row r="123" spans="1:8" hidden="1" outlineLevel="1" x14ac:dyDescent="0.25">
      <c r="A123" s="483"/>
      <c r="B123" s="100">
        <v>29</v>
      </c>
      <c r="C123" s="93">
        <f>VLOOKUP(B23,year2022to23,247,FALSE)</f>
        <v>2.7</v>
      </c>
      <c r="D123" s="551">
        <f>C123/C23</f>
        <v>0.23725834797891038</v>
      </c>
      <c r="E123" s="576">
        <f>(I23-D123)/D123</f>
        <v>4.5999999999999988</v>
      </c>
      <c r="F123" s="556">
        <f>VLOOKUP(B23,year2022to23,249,FALSE)</f>
        <v>16.62</v>
      </c>
      <c r="G123" s="559">
        <f>F123/C23</f>
        <v>1.4604569420035149</v>
      </c>
      <c r="H123" s="576">
        <f>(M23-G123)/G123</f>
        <v>4.8688327316486157</v>
      </c>
    </row>
    <row r="124" spans="1:8" ht="15.75" hidden="1" outlineLevel="1" thickBot="1" x14ac:dyDescent="0.3">
      <c r="A124" s="483"/>
      <c r="B124" s="562"/>
      <c r="D124" s="564"/>
      <c r="F124" s="8"/>
      <c r="G124" s="8"/>
    </row>
    <row r="125" spans="1:8" ht="15.75" collapsed="1" thickBot="1" x14ac:dyDescent="0.3">
      <c r="A125" s="935" t="s">
        <v>66</v>
      </c>
      <c r="B125" s="936"/>
      <c r="C125" s="539">
        <f>SUM(C126:C131)</f>
        <v>408.98</v>
      </c>
      <c r="D125" s="581">
        <f t="shared" ref="D125:D131" si="177">C125/C25</f>
        <v>1.5580190476190476</v>
      </c>
      <c r="E125" s="577">
        <f t="shared" ref="E125:E131" si="178">(I25-D125)/D125</f>
        <v>-0.10966306420851873</v>
      </c>
      <c r="F125" s="578">
        <f>SUM(F126:F131)</f>
        <v>4258.027</v>
      </c>
      <c r="G125" s="579">
        <f t="shared" ref="G125:G131" si="179">F125/C25</f>
        <v>16.221055238095239</v>
      </c>
      <c r="H125" s="580">
        <f t="shared" ref="H125:H131" si="180">(M25-G125)/G125</f>
        <v>8.4013088691075963E-3</v>
      </c>
    </row>
    <row r="126" spans="1:8" hidden="1" outlineLevel="1" x14ac:dyDescent="0.25">
      <c r="A126" s="528"/>
      <c r="B126" s="511">
        <v>4</v>
      </c>
      <c r="C126" s="93">
        <f t="shared" ref="C126:C131" si="181">VLOOKUP(B26,year2022to23,247,FALSE)</f>
        <v>70.53</v>
      </c>
      <c r="D126" s="550">
        <f t="shared" si="177"/>
        <v>0.99900849858356955</v>
      </c>
      <c r="E126" s="575">
        <f t="shared" si="178"/>
        <v>-7.7839217354317328E-2</v>
      </c>
      <c r="F126" s="555">
        <f t="shared" ref="F126:F131" si="182">VLOOKUP(B26,year2022to23,249,FALSE)</f>
        <v>1027.433</v>
      </c>
      <c r="G126" s="558">
        <f t="shared" si="179"/>
        <v>14.55287535410765</v>
      </c>
      <c r="H126" s="575">
        <f t="shared" si="180"/>
        <v>3.5172123145742772E-2</v>
      </c>
    </row>
    <row r="127" spans="1:8" hidden="1" outlineLevel="1" x14ac:dyDescent="0.25">
      <c r="A127" s="528"/>
      <c r="B127" s="1">
        <v>5</v>
      </c>
      <c r="C127" s="93">
        <f t="shared" si="181"/>
        <v>76.289999999999992</v>
      </c>
      <c r="D127" s="551">
        <f t="shared" si="177"/>
        <v>1.5136904761904761</v>
      </c>
      <c r="E127" s="576">
        <f t="shared" si="178"/>
        <v>4.2469524184034747E-2</v>
      </c>
      <c r="F127" s="556">
        <f t="shared" si="182"/>
        <v>781.76</v>
      </c>
      <c r="G127" s="559">
        <f t="shared" si="179"/>
        <v>15.511111111111111</v>
      </c>
      <c r="H127" s="576">
        <f t="shared" si="180"/>
        <v>6.8473700368399532E-2</v>
      </c>
    </row>
    <row r="128" spans="1:8" hidden="1" outlineLevel="1" x14ac:dyDescent="0.25">
      <c r="A128" s="528"/>
      <c r="B128" s="1">
        <v>6</v>
      </c>
      <c r="C128" s="93">
        <f t="shared" si="181"/>
        <v>107.57</v>
      </c>
      <c r="D128" s="551">
        <f t="shared" si="177"/>
        <v>1.8356655290102388</v>
      </c>
      <c r="E128" s="576">
        <f t="shared" si="178"/>
        <v>0.16426512968299706</v>
      </c>
      <c r="F128" s="556">
        <f t="shared" si="182"/>
        <v>1014.3199999999999</v>
      </c>
      <c r="G128" s="559">
        <f t="shared" si="179"/>
        <v>17.309215017064844</v>
      </c>
      <c r="H128" s="576">
        <f t="shared" si="180"/>
        <v>-5.2330625443646792E-2</v>
      </c>
    </row>
    <row r="129" spans="1:8" hidden="1" outlineLevel="1" x14ac:dyDescent="0.25">
      <c r="A129" s="528"/>
      <c r="B129" s="1">
        <v>7</v>
      </c>
      <c r="C129" s="93">
        <f t="shared" si="181"/>
        <v>45.37</v>
      </c>
      <c r="D129" s="551">
        <f t="shared" si="177"/>
        <v>1.9224576271186438</v>
      </c>
      <c r="E129" s="576">
        <f t="shared" si="178"/>
        <v>-0.57791492175446324</v>
      </c>
      <c r="F129" s="556">
        <f t="shared" si="182"/>
        <v>351.98399999999998</v>
      </c>
      <c r="G129" s="559">
        <f t="shared" si="179"/>
        <v>14.914576271186439</v>
      </c>
      <c r="H129" s="576">
        <f t="shared" si="180"/>
        <v>-4.9360198190826807E-2</v>
      </c>
    </row>
    <row r="130" spans="1:8" hidden="1" outlineLevel="1" x14ac:dyDescent="0.25">
      <c r="A130" s="528"/>
      <c r="B130" s="1">
        <v>23</v>
      </c>
      <c r="C130" s="93">
        <f t="shared" si="181"/>
        <v>21.66</v>
      </c>
      <c r="D130" s="551">
        <f t="shared" si="177"/>
        <v>1.4835616438356165</v>
      </c>
      <c r="E130" s="576">
        <f t="shared" si="178"/>
        <v>0.1662049861495844</v>
      </c>
      <c r="F130" s="556">
        <f t="shared" si="182"/>
        <v>287.59000000000003</v>
      </c>
      <c r="G130" s="559">
        <f t="shared" si="179"/>
        <v>19.697945205479456</v>
      </c>
      <c r="H130" s="576">
        <f t="shared" si="180"/>
        <v>1.3978232901004755E-2</v>
      </c>
    </row>
    <row r="131" spans="1:8" hidden="1" outlineLevel="1" x14ac:dyDescent="0.25">
      <c r="A131" s="528"/>
      <c r="B131" s="1">
        <v>24</v>
      </c>
      <c r="C131" s="93">
        <f t="shared" si="181"/>
        <v>87.56</v>
      </c>
      <c r="D131" s="551">
        <f t="shared" si="177"/>
        <v>1.9588366890380313</v>
      </c>
      <c r="E131" s="576">
        <f t="shared" si="178"/>
        <v>-0.42999086340794884</v>
      </c>
      <c r="F131" s="556">
        <f t="shared" si="182"/>
        <v>794.94</v>
      </c>
      <c r="G131" s="559">
        <f t="shared" si="179"/>
        <v>17.783892617449663</v>
      </c>
      <c r="H131" s="576">
        <f t="shared" si="180"/>
        <v>1.5774775454751332E-2</v>
      </c>
    </row>
    <row r="132" spans="1:8" ht="15.75" hidden="1" outlineLevel="1" thickBot="1" x14ac:dyDescent="0.3">
      <c r="A132" s="483"/>
      <c r="B132" s="562"/>
      <c r="D132" s="564"/>
      <c r="F132" s="8"/>
      <c r="G132" s="8"/>
    </row>
    <row r="133" spans="1:8" ht="15.75" collapsed="1" thickBot="1" x14ac:dyDescent="0.3">
      <c r="A133" s="935" t="s">
        <v>67</v>
      </c>
      <c r="B133" s="936"/>
      <c r="C133" s="539">
        <f>SUM(C134:C139)</f>
        <v>496.03000000000003</v>
      </c>
      <c r="D133" s="581">
        <f t="shared" ref="D133:D139" si="183">C133/C33</f>
        <v>1.7010631001371741</v>
      </c>
      <c r="E133" s="577">
        <f t="shared" ref="E133:E139" si="184">(I33-D133)/D133</f>
        <v>-0.18226720158054963</v>
      </c>
      <c r="F133" s="578">
        <f>SUM(F134:F139)</f>
        <v>4407.7690000000002</v>
      </c>
      <c r="G133" s="579">
        <f t="shared" ref="G133:G139" si="185">F133/C33</f>
        <v>15.115805898491084</v>
      </c>
      <c r="H133" s="580">
        <f t="shared" ref="H133:H139" si="186">(M33-G133)/G133</f>
        <v>1.9025724805451401E-2</v>
      </c>
    </row>
    <row r="134" spans="1:8" hidden="1" outlineLevel="1" x14ac:dyDescent="0.25">
      <c r="A134" s="528"/>
      <c r="B134" s="511">
        <v>8</v>
      </c>
      <c r="C134" s="93">
        <f t="shared" ref="C134:C139" si="187">VLOOKUP(B34,year2022to23,247,FALSE)</f>
        <v>123.15</v>
      </c>
      <c r="D134" s="550">
        <f t="shared" si="183"/>
        <v>1.9991883116883118</v>
      </c>
      <c r="E134" s="575">
        <f t="shared" si="184"/>
        <v>-0.45643524157531468</v>
      </c>
      <c r="F134" s="555">
        <f t="shared" ref="F134:F139" si="188">VLOOKUP(B34,year2022to23,249,FALSE)</f>
        <v>924.42</v>
      </c>
      <c r="G134" s="558">
        <f t="shared" si="185"/>
        <v>15.006818181818181</v>
      </c>
      <c r="H134" s="575">
        <f t="shared" si="186"/>
        <v>-1.9796196534042805E-2</v>
      </c>
    </row>
    <row r="135" spans="1:8" hidden="1" outlineLevel="1" x14ac:dyDescent="0.25">
      <c r="A135" s="528"/>
      <c r="B135" s="1">
        <v>9</v>
      </c>
      <c r="C135" s="93">
        <f t="shared" si="187"/>
        <v>62.45</v>
      </c>
      <c r="D135" s="551">
        <f t="shared" si="183"/>
        <v>1.6305483028720629</v>
      </c>
      <c r="E135" s="576">
        <f t="shared" si="184"/>
        <v>-0.47141713370696553</v>
      </c>
      <c r="F135" s="556">
        <f t="shared" si="188"/>
        <v>489.69</v>
      </c>
      <c r="G135" s="559">
        <f t="shared" si="185"/>
        <v>12.785639686684075</v>
      </c>
      <c r="H135" s="576">
        <f t="shared" si="186"/>
        <v>-7.2903265331127664E-3</v>
      </c>
    </row>
    <row r="136" spans="1:8" hidden="1" outlineLevel="1" x14ac:dyDescent="0.25">
      <c r="A136" s="528"/>
      <c r="B136" s="1">
        <v>12</v>
      </c>
      <c r="C136" s="93">
        <f t="shared" si="187"/>
        <v>98.47</v>
      </c>
      <c r="D136" s="551">
        <f t="shared" si="183"/>
        <v>1.3869014084507043</v>
      </c>
      <c r="E136" s="576">
        <f t="shared" si="184"/>
        <v>-5.1690870315832305E-2</v>
      </c>
      <c r="F136" s="556">
        <f t="shared" si="188"/>
        <v>996.92000000000007</v>
      </c>
      <c r="G136" s="559">
        <f t="shared" si="185"/>
        <v>14.041126760563381</v>
      </c>
      <c r="H136" s="576">
        <f t="shared" si="186"/>
        <v>3.831801950005858E-3</v>
      </c>
    </row>
    <row r="137" spans="1:8" hidden="1" outlineLevel="1" x14ac:dyDescent="0.25">
      <c r="A137" s="528"/>
      <c r="B137" s="1">
        <v>10</v>
      </c>
      <c r="C137" s="93">
        <f t="shared" si="187"/>
        <v>29.310000000000002</v>
      </c>
      <c r="D137" s="551">
        <f t="shared" si="183"/>
        <v>1.5345549738219895</v>
      </c>
      <c r="E137" s="576">
        <f t="shared" si="184"/>
        <v>-0.5424769703172978</v>
      </c>
      <c r="F137" s="556">
        <f t="shared" si="188"/>
        <v>260.8</v>
      </c>
      <c r="G137" s="559">
        <f t="shared" si="185"/>
        <v>13.654450261780104</v>
      </c>
      <c r="H137" s="576">
        <f t="shared" si="186"/>
        <v>-6.7484662576686996E-3</v>
      </c>
    </row>
    <row r="138" spans="1:8" hidden="1" outlineLevel="1" x14ac:dyDescent="0.25">
      <c r="A138" s="528"/>
      <c r="B138" s="1">
        <v>13</v>
      </c>
      <c r="C138" s="93">
        <f t="shared" si="187"/>
        <v>80.319999999999993</v>
      </c>
      <c r="D138" s="551">
        <f t="shared" si="183"/>
        <v>1.3210526315789473</v>
      </c>
      <c r="E138" s="576">
        <f>(I38-D138)/D138</f>
        <v>0.40625000000000044</v>
      </c>
      <c r="F138" s="556">
        <f t="shared" si="188"/>
        <v>998.85899999999992</v>
      </c>
      <c r="G138" s="559">
        <f t="shared" si="185"/>
        <v>16.428601973684209</v>
      </c>
      <c r="H138" s="576">
        <f t="shared" si="186"/>
        <v>4.00867389691641E-2</v>
      </c>
    </row>
    <row r="139" spans="1:8" ht="15.75" hidden="1" customHeight="1" outlineLevel="1" x14ac:dyDescent="0.25">
      <c r="A139" s="528"/>
      <c r="B139" s="1">
        <v>18</v>
      </c>
      <c r="C139" s="93">
        <f t="shared" si="187"/>
        <v>102.33</v>
      </c>
      <c r="D139" s="551">
        <f t="shared" si="183"/>
        <v>2.5080882352941178</v>
      </c>
      <c r="E139" s="576">
        <f t="shared" si="184"/>
        <v>-0.16026580670380139</v>
      </c>
      <c r="F139" s="556">
        <f t="shared" si="188"/>
        <v>737.08</v>
      </c>
      <c r="G139" s="559">
        <f t="shared" si="185"/>
        <v>18.065686274509805</v>
      </c>
      <c r="H139" s="576">
        <f t="shared" si="186"/>
        <v>8.6327128669886719E-2</v>
      </c>
    </row>
    <row r="140" spans="1:8" ht="15.75" hidden="1" customHeight="1" outlineLevel="1" thickBot="1" x14ac:dyDescent="0.3">
      <c r="A140" s="483"/>
      <c r="B140" s="562"/>
      <c r="D140" s="564"/>
      <c r="F140" s="8"/>
      <c r="G140" s="8"/>
    </row>
    <row r="141" spans="1:8" ht="15.75" collapsed="1" thickBot="1" x14ac:dyDescent="0.3">
      <c r="A141" s="935" t="s">
        <v>68</v>
      </c>
      <c r="B141" s="936"/>
      <c r="C141" s="539">
        <f>SUM(C142:C149)</f>
        <v>104.08999999999999</v>
      </c>
      <c r="D141" s="581">
        <f t="shared" ref="D141:D149" si="189">C141/C41</f>
        <v>0.52910079804808618</v>
      </c>
      <c r="E141" s="577">
        <f t="shared" ref="E141:E149" si="190">(I41-D141)/D141</f>
        <v>0.64703621865693151</v>
      </c>
      <c r="F141" s="578">
        <f>SUM(F142:F149)</f>
        <v>1117.9829999999999</v>
      </c>
      <c r="G141" s="579">
        <f t="shared" ref="G141:G149" si="191">F141/C41</f>
        <v>5.6828292583744222</v>
      </c>
      <c r="H141" s="580">
        <f t="shared" ref="H141:H149" si="192">(M41-G141)/G141</f>
        <v>0.88595890992975768</v>
      </c>
    </row>
    <row r="142" spans="1:8" hidden="1" outlineLevel="1" x14ac:dyDescent="0.25">
      <c r="A142" s="528"/>
      <c r="B142" s="511">
        <v>25</v>
      </c>
      <c r="C142" s="93">
        <f t="shared" ref="C142:C149" si="193">VLOOKUP(B42,year2022to23,247,FALSE)</f>
        <v>9.11</v>
      </c>
      <c r="D142" s="550">
        <f t="shared" si="189"/>
        <v>0.23835688121402407</v>
      </c>
      <c r="E142" s="575">
        <f t="shared" si="190"/>
        <v>1.3819978046103181</v>
      </c>
      <c r="F142" s="555">
        <f t="shared" ref="F142:F149" si="194">VLOOKUP(B42,year2022to23,249,FALSE)</f>
        <v>109.91000000000001</v>
      </c>
      <c r="G142" s="558">
        <f t="shared" si="191"/>
        <v>2.8757195185766617</v>
      </c>
      <c r="H142" s="575">
        <f t="shared" si="192"/>
        <v>2.0052770448548802</v>
      </c>
    </row>
    <row r="143" spans="1:8" hidden="1" outlineLevel="1" x14ac:dyDescent="0.25">
      <c r="A143" s="528"/>
      <c r="B143" s="1" t="s">
        <v>44</v>
      </c>
      <c r="C143" s="93">
        <f t="shared" si="193"/>
        <v>22.05</v>
      </c>
      <c r="D143" s="551">
        <f t="shared" si="189"/>
        <v>0.97051056338028174</v>
      </c>
      <c r="E143" s="576">
        <f t="shared" si="190"/>
        <v>0.28117913832199526</v>
      </c>
      <c r="F143" s="556">
        <f t="shared" si="194"/>
        <v>164.86</v>
      </c>
      <c r="G143" s="559">
        <f t="shared" si="191"/>
        <v>7.2561619718309869</v>
      </c>
      <c r="H143" s="576">
        <f t="shared" si="192"/>
        <v>0.70593230619919922</v>
      </c>
    </row>
    <row r="144" spans="1:8" hidden="1" outlineLevel="1" x14ac:dyDescent="0.25">
      <c r="A144" s="528"/>
      <c r="B144" s="1">
        <v>27</v>
      </c>
      <c r="C144" s="93">
        <f t="shared" si="193"/>
        <v>13.75</v>
      </c>
      <c r="D144" s="551">
        <f t="shared" si="189"/>
        <v>0.73766094420600858</v>
      </c>
      <c r="E144" s="576">
        <f t="shared" si="190"/>
        <v>0.38181818181818189</v>
      </c>
      <c r="F144" s="556">
        <f t="shared" si="194"/>
        <v>109.13</v>
      </c>
      <c r="G144" s="559">
        <f t="shared" si="191"/>
        <v>5.8546137339055786</v>
      </c>
      <c r="H144" s="576">
        <f t="shared" si="192"/>
        <v>0.75607074131769492</v>
      </c>
    </row>
    <row r="145" spans="1:8" hidden="1" outlineLevel="1" x14ac:dyDescent="0.25">
      <c r="A145" s="528"/>
      <c r="B145" s="1">
        <v>28</v>
      </c>
      <c r="C145" s="93">
        <f t="shared" si="193"/>
        <v>19.61</v>
      </c>
      <c r="D145" s="551">
        <f t="shared" si="189"/>
        <v>0.76901960784313728</v>
      </c>
      <c r="E145" s="576">
        <f t="shared" si="190"/>
        <v>0.21111677715451299</v>
      </c>
      <c r="F145" s="556">
        <f t="shared" si="194"/>
        <v>249.42999999999995</v>
      </c>
      <c r="G145" s="559">
        <f t="shared" si="191"/>
        <v>9.7815686274509783</v>
      </c>
      <c r="H145" s="576">
        <f t="shared" si="192"/>
        <v>0.32931082868941242</v>
      </c>
    </row>
    <row r="146" spans="1:8" hidden="1" outlineLevel="1" x14ac:dyDescent="0.25">
      <c r="A146" s="528"/>
      <c r="B146" s="1">
        <v>30</v>
      </c>
      <c r="C146" s="93">
        <f t="shared" si="193"/>
        <v>2.2400000000000002</v>
      </c>
      <c r="D146" s="551">
        <f t="shared" si="189"/>
        <v>9.1991786447638613E-2</v>
      </c>
      <c r="E146" s="576">
        <f t="shared" si="190"/>
        <v>4.4955357142857126</v>
      </c>
      <c r="F146" s="556">
        <f t="shared" si="194"/>
        <v>43.88</v>
      </c>
      <c r="G146" s="559">
        <f t="shared" si="191"/>
        <v>1.8020533880903491</v>
      </c>
      <c r="H146" s="576">
        <f t="shared" si="192"/>
        <v>4.0772561531449405</v>
      </c>
    </row>
    <row r="147" spans="1:8" hidden="1" outlineLevel="1" x14ac:dyDescent="0.25">
      <c r="A147" s="528"/>
      <c r="B147" s="1">
        <v>31</v>
      </c>
      <c r="C147" s="93">
        <f t="shared" si="193"/>
        <v>3.33</v>
      </c>
      <c r="D147" s="551">
        <f t="shared" si="189"/>
        <v>9.7711267605633811E-2</v>
      </c>
      <c r="E147" s="576">
        <f t="shared" si="190"/>
        <v>3.2102102102102101</v>
      </c>
      <c r="F147" s="556">
        <f t="shared" si="194"/>
        <v>51.332999999999998</v>
      </c>
      <c r="G147" s="559">
        <f t="shared" si="191"/>
        <v>1.5062500000000001</v>
      </c>
      <c r="H147" s="576">
        <f t="shared" si="192"/>
        <v>3.54269183566127</v>
      </c>
    </row>
    <row r="148" spans="1:8" hidden="1" outlineLevel="1" x14ac:dyDescent="0.25">
      <c r="A148" s="528"/>
      <c r="B148" s="1">
        <v>33</v>
      </c>
      <c r="C148" s="93">
        <f t="shared" si="193"/>
        <v>30.79</v>
      </c>
      <c r="D148" s="551">
        <f t="shared" si="189"/>
        <v>1.0720752089136489</v>
      </c>
      <c r="E148" s="576">
        <f t="shared" si="190"/>
        <v>0.62455342643715495</v>
      </c>
      <c r="F148" s="556">
        <f t="shared" si="194"/>
        <v>359.20000000000005</v>
      </c>
      <c r="G148" s="559">
        <f t="shared" si="191"/>
        <v>12.506963788300837</v>
      </c>
      <c r="H148" s="576">
        <f t="shared" si="192"/>
        <v>0.33101336302895329</v>
      </c>
    </row>
    <row r="149" spans="1:8" hidden="1" outlineLevel="1" x14ac:dyDescent="0.25">
      <c r="A149" s="528"/>
      <c r="B149" s="1">
        <v>39</v>
      </c>
      <c r="C149" s="93">
        <f t="shared" si="193"/>
        <v>3.21</v>
      </c>
      <c r="D149" s="551">
        <f t="shared" si="189"/>
        <v>0.71333333333333337</v>
      </c>
      <c r="E149" s="576">
        <f t="shared" si="190"/>
        <v>-0.25545171339563871</v>
      </c>
      <c r="F149" s="556">
        <f t="shared" si="194"/>
        <v>30.240000000000002</v>
      </c>
      <c r="G149" s="559">
        <f t="shared" si="191"/>
        <v>6.7200000000000006</v>
      </c>
      <c r="H149" s="576">
        <f t="shared" si="192"/>
        <v>0.31051587301587291</v>
      </c>
    </row>
    <row r="150" spans="1:8" ht="15.75" hidden="1" outlineLevel="1" thickBot="1" x14ac:dyDescent="0.3">
      <c r="A150" s="483"/>
      <c r="B150" s="562"/>
      <c r="D150" s="564"/>
      <c r="F150" s="8"/>
      <c r="G150" s="8"/>
    </row>
    <row r="151" spans="1:8" ht="15.75" collapsed="1" thickBot="1" x14ac:dyDescent="0.3">
      <c r="A151" s="935" t="s">
        <v>8</v>
      </c>
      <c r="B151" s="936"/>
      <c r="C151" s="539">
        <f>C106+C111+C120+C125+C133+C141</f>
        <v>1989.4299999999998</v>
      </c>
      <c r="D151" s="581">
        <f>C151/C51</f>
        <v>1.404458846037091</v>
      </c>
      <c r="E151" s="577">
        <f>(I51-D151)/D151</f>
        <v>-9.4097304252975904E-3</v>
      </c>
      <c r="F151" s="578">
        <f>F106+F111+F120+F125+F133+F141</f>
        <v>19489.853000000003</v>
      </c>
      <c r="G151" s="579">
        <f>F151/C51</f>
        <v>13.759064884822559</v>
      </c>
      <c r="H151" s="580">
        <f>(M51-G151)/G151</f>
        <v>0.11135471365535693</v>
      </c>
    </row>
    <row r="153" spans="1:8" x14ac:dyDescent="0.25">
      <c r="A153" t="s">
        <v>272</v>
      </c>
    </row>
    <row r="154" spans="1:8" x14ac:dyDescent="0.25">
      <c r="A154" t="s">
        <v>269</v>
      </c>
    </row>
    <row r="155" spans="1:8" x14ac:dyDescent="0.25">
      <c r="A155" t="s">
        <v>270</v>
      </c>
    </row>
  </sheetData>
  <mergeCells count="31">
    <mergeCell ref="A151:B151"/>
    <mergeCell ref="A106:B106"/>
    <mergeCell ref="A111:B111"/>
    <mergeCell ref="A120:B120"/>
    <mergeCell ref="A125:B125"/>
    <mergeCell ref="A133:B133"/>
    <mergeCell ref="A141:B141"/>
    <mergeCell ref="AD5:AO5"/>
    <mergeCell ref="A6:B6"/>
    <mergeCell ref="A11:B11"/>
    <mergeCell ref="A20:B20"/>
    <mergeCell ref="A55:B55"/>
    <mergeCell ref="A25:B25"/>
    <mergeCell ref="A33:B33"/>
    <mergeCell ref="A41:B41"/>
    <mergeCell ref="A51:B51"/>
    <mergeCell ref="A105:B105"/>
    <mergeCell ref="D3:N3"/>
    <mergeCell ref="D4:G4"/>
    <mergeCell ref="H4:H5"/>
    <mergeCell ref="I4:J4"/>
    <mergeCell ref="K4:L4"/>
    <mergeCell ref="M4:N4"/>
    <mergeCell ref="A5:B5"/>
    <mergeCell ref="A56:B56"/>
    <mergeCell ref="A61:B61"/>
    <mergeCell ref="A70:B70"/>
    <mergeCell ref="A75:B75"/>
    <mergeCell ref="A83:B83"/>
    <mergeCell ref="A91:B91"/>
    <mergeCell ref="A101:B101"/>
  </mergeCells>
  <conditionalFormatting sqref="C56:C101">
    <cfRule type="expression" dxfId="174" priority="33">
      <formula>C56&gt;U56</formula>
    </cfRule>
    <cfRule type="expression" dxfId="173" priority="34">
      <formula>C56&lt;U56</formula>
    </cfRule>
  </conditionalFormatting>
  <conditionalFormatting sqref="C106:C151">
    <cfRule type="expression" dxfId="172" priority="3">
      <formula>C106&gt;U106</formula>
    </cfRule>
    <cfRule type="expression" dxfId="171" priority="4">
      <formula>C106&lt;U106</formula>
    </cfRule>
  </conditionalFormatting>
  <conditionalFormatting sqref="E56:E104 H56:H104 E106:E151 H106:H151">
    <cfRule type="cellIs" dxfId="170" priority="1" operator="lessThan">
      <formula>0</formula>
    </cfRule>
    <cfRule type="cellIs" dxfId="169" priority="2" operator="greaterThan">
      <formula>0</formula>
    </cfRule>
  </conditionalFormatting>
  <conditionalFormatting sqref="G6:G51">
    <cfRule type="expression" dxfId="168" priority="7">
      <formula>G6&gt;H6</formula>
    </cfRule>
    <cfRule type="expression" dxfId="167" priority="8">
      <formula>G6&lt;H6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CF7C-2C53-455E-8B21-0325A8C6BDBE}">
  <sheetPr>
    <pageSetUpPr fitToPage="1"/>
  </sheetPr>
  <dimension ref="A1:AW55"/>
  <sheetViews>
    <sheetView tabSelected="1" zoomScaleNormal="100" zoomScaleSheetLayoutView="100" workbookViewId="0">
      <selection activeCell="H55" sqref="H55"/>
    </sheetView>
  </sheetViews>
  <sheetFormatPr defaultRowHeight="15" outlineLevelRow="1" x14ac:dyDescent="0.25"/>
  <cols>
    <col min="1" max="2" width="7.140625" customWidth="1"/>
    <col min="3" max="3" width="10.85546875" customWidth="1"/>
    <col min="4" max="6" width="11" customWidth="1"/>
    <col min="7" max="7" width="11" style="8" customWidth="1"/>
    <col min="8" max="8" width="11" customWidth="1"/>
    <col min="11" max="11" width="0.7109375" customWidth="1"/>
    <col min="12" max="13" width="14.7109375" hidden="1" customWidth="1"/>
    <col min="14" max="15" width="14.7109375" style="484" hidden="1" customWidth="1"/>
    <col min="16" max="16" width="9.7109375" hidden="1" customWidth="1"/>
    <col min="17" max="20" width="9.140625" hidden="1" customWidth="1"/>
    <col min="21" max="25" width="9.140625" style="7" hidden="1" customWidth="1"/>
    <col min="26" max="39" width="9.140625" hidden="1" customWidth="1"/>
    <col min="40" max="40" width="0" hidden="1" customWidth="1"/>
  </cols>
  <sheetData>
    <row r="1" spans="1:42" s="5" customFormat="1" x14ac:dyDescent="0.25">
      <c r="A1" s="5" t="s">
        <v>274</v>
      </c>
      <c r="G1" s="195"/>
      <c r="N1" s="522"/>
      <c r="O1" s="522"/>
      <c r="U1" s="7"/>
      <c r="V1" s="7"/>
      <c r="W1" s="7"/>
      <c r="X1" s="7"/>
      <c r="Y1" s="7"/>
    </row>
    <row r="2" spans="1:42" s="7" customFormat="1" x14ac:dyDescent="0.25">
      <c r="A2" s="474"/>
      <c r="B2" s="474"/>
      <c r="G2" s="6"/>
      <c r="N2" s="472"/>
      <c r="O2" s="472"/>
    </row>
    <row r="3" spans="1:42" s="7" customFormat="1" ht="15.75" thickBot="1" x14ac:dyDescent="0.3">
      <c r="A3" s="474"/>
      <c r="B3" s="474"/>
      <c r="P3" s="485"/>
    </row>
    <row r="4" spans="1:42" s="7" customFormat="1" ht="45" x14ac:dyDescent="0.25">
      <c r="A4" s="474"/>
      <c r="B4" s="474"/>
      <c r="D4" s="917" t="s">
        <v>250</v>
      </c>
      <c r="E4" s="918" t="s">
        <v>284</v>
      </c>
      <c r="F4" s="917" t="s">
        <v>250</v>
      </c>
      <c r="G4" s="918" t="s">
        <v>284</v>
      </c>
      <c r="H4" s="914" t="s">
        <v>283</v>
      </c>
      <c r="I4" s="946" t="s">
        <v>179</v>
      </c>
      <c r="J4" s="947"/>
      <c r="K4" s="485"/>
      <c r="P4" s="485"/>
    </row>
    <row r="5" spans="1:42" s="512" customFormat="1" ht="30.75" thickBot="1" x14ac:dyDescent="0.3">
      <c r="A5" s="896"/>
      <c r="B5" s="532" t="s">
        <v>273</v>
      </c>
      <c r="C5" s="530" t="s">
        <v>80</v>
      </c>
      <c r="D5" s="1082">
        <v>2025</v>
      </c>
      <c r="E5" s="1083"/>
      <c r="F5" s="1082">
        <v>2024</v>
      </c>
      <c r="G5" s="1083"/>
      <c r="H5" s="915" t="s">
        <v>282</v>
      </c>
      <c r="I5" s="531">
        <v>2025</v>
      </c>
      <c r="J5" s="533">
        <v>2024</v>
      </c>
      <c r="U5" s="7"/>
      <c r="V5" s="7"/>
      <c r="W5" s="7"/>
      <c r="X5" s="7"/>
      <c r="Y5" s="7"/>
      <c r="Z5" s="948" t="s">
        <v>192</v>
      </c>
      <c r="AA5" s="949"/>
      <c r="AB5" s="949"/>
      <c r="AC5" s="949"/>
      <c r="AD5" s="949"/>
      <c r="AE5" s="949"/>
      <c r="AF5" s="949"/>
      <c r="AG5" s="949"/>
      <c r="AH5" s="949"/>
      <c r="AI5" s="949"/>
      <c r="AJ5" s="949"/>
      <c r="AK5" s="950"/>
    </row>
    <row r="6" spans="1:42" s="7" customFormat="1" ht="15.75" thickBot="1" x14ac:dyDescent="0.3">
      <c r="A6" s="896"/>
      <c r="B6" s="897">
        <f>B7</f>
        <v>2010</v>
      </c>
      <c r="C6" s="536">
        <f t="shared" ref="C6:G6" si="0">SUM(C7:C18)</f>
        <v>616.00000000000011</v>
      </c>
      <c r="D6" s="819">
        <f>SUM(D7:D18)</f>
        <v>12143</v>
      </c>
      <c r="E6" s="541">
        <f t="shared" si="0"/>
        <v>9294.2999999999993</v>
      </c>
      <c r="F6" s="819">
        <f>SUM(F7:F18)</f>
        <v>12247</v>
      </c>
      <c r="G6" s="541">
        <f t="shared" si="0"/>
        <v>8876.255000000001</v>
      </c>
      <c r="H6" s="903">
        <f>E6-G6</f>
        <v>418.04499999999825</v>
      </c>
      <c r="I6" s="819">
        <f>E6/C6</f>
        <v>15.088149350649347</v>
      </c>
      <c r="J6" s="541">
        <f>G6/C6</f>
        <v>14.409504870129869</v>
      </c>
      <c r="K6" s="902"/>
      <c r="Z6" s="99" t="s">
        <v>180</v>
      </c>
      <c r="AA6" s="99" t="s">
        <v>181</v>
      </c>
      <c r="AB6" s="99" t="s">
        <v>182</v>
      </c>
      <c r="AC6" s="99" t="s">
        <v>183</v>
      </c>
      <c r="AD6" s="99" t="s">
        <v>184</v>
      </c>
      <c r="AE6" s="99" t="s">
        <v>185</v>
      </c>
      <c r="AF6" s="99" t="s">
        <v>186</v>
      </c>
      <c r="AG6" s="99" t="s">
        <v>187</v>
      </c>
      <c r="AH6" s="99" t="s">
        <v>188</v>
      </c>
      <c r="AI6" s="99" t="s">
        <v>189</v>
      </c>
      <c r="AJ6" s="99" t="s">
        <v>190</v>
      </c>
      <c r="AK6" s="99" t="s">
        <v>191</v>
      </c>
      <c r="AP6" s="902"/>
    </row>
    <row r="7" spans="1:42" outlineLevel="1" x14ac:dyDescent="0.25">
      <c r="A7" s="100">
        <v>1</v>
      </c>
      <c r="B7" s="894">
        <f>VLOOKUP(A7,coupe,3,FALSE)</f>
        <v>2010</v>
      </c>
      <c r="C7" s="529">
        <f>VLOOKUP(A7,YUVENTUS,2,FALSE)</f>
        <v>53.2</v>
      </c>
      <c r="D7" s="822">
        <f>VLOOKUP(A7,coupe,4,FALSE)</f>
        <v>1064</v>
      </c>
      <c r="E7" s="823">
        <f t="shared" ref="E7:E18" si="1">VLOOKUP(A7,year2022to23,311,FALSE)</f>
        <v>909.79</v>
      </c>
      <c r="F7" s="822">
        <f>VLOOKUP(A7,budget2024,19,FALSE)</f>
        <v>1064</v>
      </c>
      <c r="G7" s="823">
        <f>VLOOKUP(A7,year2022to23,249,FALSE)</f>
        <v>707.1400000000001</v>
      </c>
      <c r="H7" s="916">
        <f>E7-G7</f>
        <v>202.64999999999986</v>
      </c>
      <c r="I7" s="822">
        <f>E7/C7</f>
        <v>17.101315789473684</v>
      </c>
      <c r="J7" s="823">
        <f>G7/C7</f>
        <v>13.292105263157897</v>
      </c>
      <c r="K7" s="512"/>
      <c r="Z7" s="1">
        <f>VLOOKUP(A7,ffbbudgettwofive,7,FALSE)</f>
        <v>53.2</v>
      </c>
      <c r="AA7" s="1">
        <f>VLOOKUP(A7,ffbbudgettwofive,8,FALSE)</f>
        <v>42.56</v>
      </c>
      <c r="AB7" s="1">
        <f>VLOOKUP(A7,ffbbudgettwofive,9,FALSE)</f>
        <v>74.48</v>
      </c>
      <c r="AC7" s="1">
        <f>VLOOKUP(A7,ffbbudgettwofive,10,FALSE)</f>
        <v>74.48</v>
      </c>
      <c r="AD7" s="1">
        <f>VLOOKUP(A7,ffbbudgettwofive,11,FALSE)</f>
        <v>74.48</v>
      </c>
      <c r="AE7" s="1">
        <f>VLOOKUP(A7,ffbbudgettwofive,12,FALSE)</f>
        <v>74.48</v>
      </c>
      <c r="AF7" s="1">
        <f>VLOOKUP(A7,ffbbudgettwofive,13,FALSE)</f>
        <v>85</v>
      </c>
      <c r="AG7" s="1">
        <f>VLOOKUP(A7,ffbbudgettwofive,14,FALSE)</f>
        <v>106</v>
      </c>
      <c r="AH7" s="1">
        <f>VLOOKUP(A7,ffbbudgettwofive,15,FALSE)</f>
        <v>106</v>
      </c>
      <c r="AI7" s="1">
        <f>VLOOKUP(A7,ffbbudgettwofive,16,FALSE)</f>
        <v>149</v>
      </c>
      <c r="AJ7" s="1">
        <f>VLOOKUP(A7,ffbbudgettwofive,17,FALSE)</f>
        <v>117</v>
      </c>
      <c r="AK7" s="1">
        <f>VLOOKUP(A7,ffbbudgettwofive,18,FALSE)</f>
        <v>106</v>
      </c>
      <c r="AP7" s="512"/>
    </row>
    <row r="8" spans="1:42" outlineLevel="1" x14ac:dyDescent="0.25">
      <c r="A8" s="100">
        <v>2</v>
      </c>
      <c r="B8" s="894">
        <f t="shared" ref="B8:B18" si="2">VLOOKUP(A8,coupe,3,FALSE)</f>
        <v>2010</v>
      </c>
      <c r="C8" s="523">
        <f>VLOOKUP(A8,ERDI,2,FALSE)</f>
        <v>60.4</v>
      </c>
      <c r="D8" s="694">
        <f>VLOOKUP(A8,coupe,4,FALSE)</f>
        <v>1208</v>
      </c>
      <c r="E8" s="695">
        <f t="shared" si="1"/>
        <v>889.56999999999994</v>
      </c>
      <c r="F8" s="694">
        <f>VLOOKUP(A8,budget2024,19,FALSE)</f>
        <v>1208</v>
      </c>
      <c r="G8" s="695">
        <f>VLOOKUP(A8,year2022to23,249,FALSE)</f>
        <v>828.71399999999994</v>
      </c>
      <c r="H8" s="482">
        <f>E8-G8</f>
        <v>60.855999999999995</v>
      </c>
      <c r="I8" s="694">
        <f>E8/C8</f>
        <v>14.72798013245033</v>
      </c>
      <c r="J8" s="695">
        <f>G8/C8</f>
        <v>13.720430463576159</v>
      </c>
      <c r="K8" s="512"/>
      <c r="Z8" s="1">
        <f>VLOOKUP(A8,ffbbudgettwofive,7,FALSE)</f>
        <v>60.400000000000006</v>
      </c>
      <c r="AA8" s="1">
        <f>VLOOKUP(A8,ffbbudgettwofive,8,FALSE)</f>
        <v>48.32</v>
      </c>
      <c r="AB8" s="1">
        <f>VLOOKUP(A8,ffbbudgettwofive,9,FALSE)</f>
        <v>84.56</v>
      </c>
      <c r="AC8" s="1">
        <f>VLOOKUP(A8,ffbbudgettwofive,10,FALSE)</f>
        <v>84.56</v>
      </c>
      <c r="AD8" s="1">
        <f>VLOOKUP(A8,ffbbudgettwofive,11,FALSE)</f>
        <v>84.56</v>
      </c>
      <c r="AE8" s="1">
        <f>VLOOKUP(A8,ffbbudgettwofive,12,FALSE)</f>
        <v>84.56</v>
      </c>
      <c r="AF8" s="1">
        <f>VLOOKUP(A8,ffbbudgettwofive,13,FALSE)</f>
        <v>97</v>
      </c>
      <c r="AG8" s="1">
        <f>VLOOKUP(A8,ffbbudgettwofive,14,FALSE)</f>
        <v>121</v>
      </c>
      <c r="AH8" s="1">
        <f>VLOOKUP(A8,ffbbudgettwofive,15,FALSE)</f>
        <v>121</v>
      </c>
      <c r="AI8" s="1">
        <f>VLOOKUP(A8,ffbbudgettwofive,16,FALSE)</f>
        <v>169</v>
      </c>
      <c r="AJ8" s="1">
        <f>VLOOKUP(A8,ffbbudgettwofive,17,FALSE)</f>
        <v>133</v>
      </c>
      <c r="AK8" s="1">
        <f>VLOOKUP(A8,ffbbudgettwofive,18,FALSE)</f>
        <v>121</v>
      </c>
      <c r="AP8" s="512"/>
    </row>
    <row r="9" spans="1:42" outlineLevel="1" x14ac:dyDescent="0.25">
      <c r="A9" s="535">
        <v>3</v>
      </c>
      <c r="B9" s="894">
        <f t="shared" si="2"/>
        <v>2010</v>
      </c>
      <c r="C9" s="529">
        <f>VLOOKUP(A9,YUVENTUS,2,FALSE)</f>
        <v>69.2</v>
      </c>
      <c r="D9" s="694">
        <f>VLOOKUP(A9,coupe,4,FALSE)</f>
        <v>1384</v>
      </c>
      <c r="E9" s="695">
        <f t="shared" si="1"/>
        <v>1085.75</v>
      </c>
      <c r="F9" s="694">
        <f>VLOOKUP(A9,budget2024,19,FALSE)</f>
        <v>1384</v>
      </c>
      <c r="G9" s="695">
        <f>VLOOKUP(A9,year2022to23,249,FALSE)</f>
        <v>927.06999999999994</v>
      </c>
      <c r="H9" s="482">
        <f>E9-G9</f>
        <v>158.68000000000006</v>
      </c>
      <c r="I9" s="694">
        <f>E9/C9</f>
        <v>15.690028901734104</v>
      </c>
      <c r="J9" s="695">
        <f>G9/C9</f>
        <v>13.396965317919074</v>
      </c>
      <c r="K9" s="512"/>
      <c r="Z9" s="1">
        <f>VLOOKUP(A9,ffbbudgettwofive,7,FALSE)</f>
        <v>69.2</v>
      </c>
      <c r="AA9" s="1">
        <f>VLOOKUP(A9,ffbbudgettwofive,8,FALSE)</f>
        <v>55.36</v>
      </c>
      <c r="AB9" s="1">
        <f>VLOOKUP(A9,ffbbudgettwofive,9,FALSE)</f>
        <v>96.88000000000001</v>
      </c>
      <c r="AC9" s="1">
        <f>VLOOKUP(A9,ffbbudgettwofive,10,FALSE)</f>
        <v>96.88000000000001</v>
      </c>
      <c r="AD9" s="1">
        <f>VLOOKUP(A9,ffbbudgettwofive,11,FALSE)</f>
        <v>96.88000000000001</v>
      </c>
      <c r="AE9" s="1">
        <f>VLOOKUP(A9,ffbbudgettwofive,12,FALSE)</f>
        <v>96.88000000000001</v>
      </c>
      <c r="AF9" s="1">
        <f>VLOOKUP(A9,ffbbudgettwofive,13,FALSE)</f>
        <v>111</v>
      </c>
      <c r="AG9" s="1">
        <f>VLOOKUP(A9,ffbbudgettwofive,14,FALSE)</f>
        <v>138</v>
      </c>
      <c r="AH9" s="1">
        <f>VLOOKUP(A9,ffbbudgettwofive,15,FALSE)</f>
        <v>138</v>
      </c>
      <c r="AI9" s="1">
        <f>VLOOKUP(A9,ffbbudgettwofive,16,FALSE)</f>
        <v>194</v>
      </c>
      <c r="AJ9" s="1">
        <f>VLOOKUP(A9,ffbbudgettwofive,17,FALSE)</f>
        <v>152</v>
      </c>
      <c r="AK9" s="1">
        <f>VLOOKUP(A9,ffbbudgettwofive,18,FALSE)</f>
        <v>138</v>
      </c>
      <c r="AP9" s="512"/>
    </row>
    <row r="10" spans="1:42" outlineLevel="1" x14ac:dyDescent="0.25">
      <c r="A10" s="1">
        <v>4</v>
      </c>
      <c r="B10" s="894">
        <f t="shared" si="2"/>
        <v>2010</v>
      </c>
      <c r="C10" s="523">
        <f>VLOOKUP(A10,SERAN,2,FALSE)</f>
        <v>70.599999999999994</v>
      </c>
      <c r="D10" s="694">
        <f>VLOOKUP(A10,coupe,4,FALSE)</f>
        <v>1412</v>
      </c>
      <c r="E10" s="695">
        <f t="shared" si="1"/>
        <v>1063.57</v>
      </c>
      <c r="F10" s="694">
        <f>VLOOKUP(A10,budget2024,19,FALSE)</f>
        <v>1412</v>
      </c>
      <c r="G10" s="695">
        <f>VLOOKUP(A10,year2022to23,249,FALSE)</f>
        <v>1027.433</v>
      </c>
      <c r="H10" s="482">
        <f>E10-G10</f>
        <v>36.136999999999944</v>
      </c>
      <c r="I10" s="694">
        <f>E10/C10</f>
        <v>15.064730878186969</v>
      </c>
      <c r="J10" s="695">
        <f>G10/C10</f>
        <v>14.55287535410765</v>
      </c>
      <c r="K10" s="512"/>
      <c r="Z10" s="1">
        <f>VLOOKUP(A10,ffbbudgettwofive,7,FALSE)</f>
        <v>70.600000000000009</v>
      </c>
      <c r="AA10" s="1">
        <f>VLOOKUP(A10,ffbbudgettwofive,8,FALSE)</f>
        <v>56.480000000000004</v>
      </c>
      <c r="AB10" s="1">
        <f>VLOOKUP(A10,ffbbudgettwofive,9,FALSE)</f>
        <v>98.84</v>
      </c>
      <c r="AC10" s="1">
        <f>VLOOKUP(A10,ffbbudgettwofive,10,FALSE)</f>
        <v>98.84</v>
      </c>
      <c r="AD10" s="1">
        <f>VLOOKUP(A10,ffbbudgettwofive,11,FALSE)</f>
        <v>98.84</v>
      </c>
      <c r="AE10" s="1">
        <f>VLOOKUP(A10,ffbbudgettwofive,12,FALSE)</f>
        <v>98.84</v>
      </c>
      <c r="AF10" s="1">
        <f>VLOOKUP(A10,ffbbudgettwofive,13,FALSE)</f>
        <v>113</v>
      </c>
      <c r="AG10" s="1">
        <f>VLOOKUP(A10,ffbbudgettwofive,14,FALSE)</f>
        <v>141</v>
      </c>
      <c r="AH10" s="1">
        <f>VLOOKUP(A10,ffbbudgettwofive,15,FALSE)</f>
        <v>141</v>
      </c>
      <c r="AI10" s="1">
        <f>VLOOKUP(A10,ffbbudgettwofive,16,FALSE)</f>
        <v>198</v>
      </c>
      <c r="AJ10" s="1">
        <f>VLOOKUP(A10,ffbbudgettwofive,17,FALSE)</f>
        <v>155</v>
      </c>
      <c r="AK10" s="1">
        <f>VLOOKUP(A10,ffbbudgettwofive,18,FALSE)</f>
        <v>141</v>
      </c>
      <c r="AP10" s="512"/>
    </row>
    <row r="11" spans="1:42" outlineLevel="1" x14ac:dyDescent="0.25">
      <c r="A11" s="511">
        <v>5</v>
      </c>
      <c r="B11" s="894">
        <f t="shared" si="2"/>
        <v>2010</v>
      </c>
      <c r="C11" s="529">
        <f>VLOOKUP(A11,SERAN,2,FALSE)</f>
        <v>50.4</v>
      </c>
      <c r="D11" s="694">
        <f>VLOOKUP(A11,coupe,4,FALSE)</f>
        <v>1008</v>
      </c>
      <c r="E11" s="695">
        <f t="shared" si="1"/>
        <v>835.29</v>
      </c>
      <c r="F11" s="694">
        <f>VLOOKUP(A11,budget2024,19,FALSE)</f>
        <v>1008</v>
      </c>
      <c r="G11" s="695">
        <f>VLOOKUP(A11,year2022to23,249,FALSE)</f>
        <v>781.76</v>
      </c>
      <c r="H11" s="482">
        <f>E11-G11</f>
        <v>53.529999999999973</v>
      </c>
      <c r="I11" s="694">
        <f>E11/C11</f>
        <v>16.573214285714286</v>
      </c>
      <c r="J11" s="695">
        <f>G11/C11</f>
        <v>15.511111111111111</v>
      </c>
      <c r="K11" s="512"/>
      <c r="Z11" s="1">
        <f>VLOOKUP(A11,ffbbudgettwofive,7,FALSE)</f>
        <v>50.400000000000006</v>
      </c>
      <c r="AA11" s="1">
        <f>VLOOKUP(A11,ffbbudgettwofive,8,FALSE)</f>
        <v>40.32</v>
      </c>
      <c r="AB11" s="1">
        <f>VLOOKUP(A11,ffbbudgettwofive,9,FALSE)</f>
        <v>70.56</v>
      </c>
      <c r="AC11" s="1">
        <f>VLOOKUP(A11,ffbbudgettwofive,10,FALSE)</f>
        <v>70.56</v>
      </c>
      <c r="AD11" s="1">
        <f>VLOOKUP(A11,ffbbudgettwofive,11,FALSE)</f>
        <v>70.56</v>
      </c>
      <c r="AE11" s="1">
        <f>VLOOKUP(A11,ffbbudgettwofive,12,FALSE)</f>
        <v>70.56</v>
      </c>
      <c r="AF11" s="1">
        <f>VLOOKUP(A11,ffbbudgettwofive,13,FALSE)</f>
        <v>81</v>
      </c>
      <c r="AG11" s="1">
        <f>VLOOKUP(A11,ffbbudgettwofive,14,FALSE)</f>
        <v>101</v>
      </c>
      <c r="AH11" s="1">
        <f>VLOOKUP(A11,ffbbudgettwofive,15,FALSE)</f>
        <v>101</v>
      </c>
      <c r="AI11" s="1">
        <f>VLOOKUP(A11,ffbbudgettwofive,16,FALSE)</f>
        <v>141</v>
      </c>
      <c r="AJ11" s="1">
        <f>VLOOKUP(A11,ffbbudgettwofive,17,FALSE)</f>
        <v>111</v>
      </c>
      <c r="AK11" s="1">
        <f>VLOOKUP(A11,ffbbudgettwofive,18,FALSE)</f>
        <v>101</v>
      </c>
      <c r="AP11" s="512"/>
    </row>
    <row r="12" spans="1:42" outlineLevel="1" x14ac:dyDescent="0.25">
      <c r="A12" s="1">
        <v>6</v>
      </c>
      <c r="B12" s="894">
        <f t="shared" si="2"/>
        <v>2010</v>
      </c>
      <c r="C12" s="523">
        <f>VLOOKUP(A12,SERAN,2,FALSE)</f>
        <v>58.6</v>
      </c>
      <c r="D12" s="694">
        <f>VLOOKUP(A12,coupe,4,FALSE)</f>
        <v>1172</v>
      </c>
      <c r="E12" s="695">
        <f t="shared" si="1"/>
        <v>961.24000000000012</v>
      </c>
      <c r="F12" s="694">
        <f>VLOOKUP(A12,budget2024,19,FALSE)</f>
        <v>1172</v>
      </c>
      <c r="G12" s="695">
        <f>VLOOKUP(A12,year2022to23,249,FALSE)</f>
        <v>1014.3199999999999</v>
      </c>
      <c r="H12" s="482">
        <f>E12-G12</f>
        <v>-53.079999999999814</v>
      </c>
      <c r="I12" s="694">
        <f>E12/C12</f>
        <v>16.403412969283277</v>
      </c>
      <c r="J12" s="695">
        <f>G12/C12</f>
        <v>17.309215017064844</v>
      </c>
      <c r="K12" s="512"/>
      <c r="Z12" s="1">
        <f>VLOOKUP(A12,ffbbudgettwofive,7,FALSE)</f>
        <v>58.6</v>
      </c>
      <c r="AA12" s="1">
        <f>VLOOKUP(A12,ffbbudgettwofive,8,FALSE)</f>
        <v>46.88</v>
      </c>
      <c r="AB12" s="1">
        <f>VLOOKUP(A12,ffbbudgettwofive,9,FALSE)</f>
        <v>82.04</v>
      </c>
      <c r="AC12" s="1">
        <f>VLOOKUP(A12,ffbbudgettwofive,10,FALSE)</f>
        <v>82.04</v>
      </c>
      <c r="AD12" s="1">
        <f>VLOOKUP(A12,ffbbudgettwofive,11,FALSE)</f>
        <v>82.04</v>
      </c>
      <c r="AE12" s="1">
        <f>VLOOKUP(A12,ffbbudgettwofive,12,FALSE)</f>
        <v>82.04</v>
      </c>
      <c r="AF12" s="1">
        <f>VLOOKUP(A12,ffbbudgettwofive,13,FALSE)</f>
        <v>94</v>
      </c>
      <c r="AG12" s="1">
        <f>VLOOKUP(A12,ffbbudgettwofive,14,FALSE)</f>
        <v>117</v>
      </c>
      <c r="AH12" s="1">
        <f>VLOOKUP(A12,ffbbudgettwofive,15,FALSE)</f>
        <v>117</v>
      </c>
      <c r="AI12" s="1">
        <f>VLOOKUP(A12,ffbbudgettwofive,16,FALSE)</f>
        <v>164</v>
      </c>
      <c r="AJ12" s="1">
        <f>VLOOKUP(A12,ffbbudgettwofive,17,FALSE)</f>
        <v>129</v>
      </c>
      <c r="AK12" s="1">
        <f>VLOOKUP(A12,ffbbudgettwofive,18,FALSE)</f>
        <v>117</v>
      </c>
      <c r="AP12" s="512"/>
    </row>
    <row r="13" spans="1:42" outlineLevel="1" x14ac:dyDescent="0.25">
      <c r="A13" s="1">
        <v>7</v>
      </c>
      <c r="B13" s="894">
        <f t="shared" si="2"/>
        <v>2010</v>
      </c>
      <c r="C13" s="523">
        <f>VLOOKUP(A13,SERAN,2,FALSE)</f>
        <v>23.6</v>
      </c>
      <c r="D13" s="694">
        <f>VLOOKUP(A13,coupe,4,FALSE)</f>
        <v>401</v>
      </c>
      <c r="E13" s="695">
        <f t="shared" si="1"/>
        <v>334.61</v>
      </c>
      <c r="F13" s="694">
        <f>VLOOKUP(A13,budget2024,19,FALSE)</f>
        <v>401</v>
      </c>
      <c r="G13" s="695">
        <f>VLOOKUP(A13,year2022to23,249,FALSE)</f>
        <v>351.98399999999998</v>
      </c>
      <c r="H13" s="482">
        <f>E13-G13</f>
        <v>-17.373999999999967</v>
      </c>
      <c r="I13" s="694">
        <f>E13/C13</f>
        <v>14.178389830508474</v>
      </c>
      <c r="J13" s="695">
        <f>G13/C13</f>
        <v>14.914576271186439</v>
      </c>
      <c r="K13" s="512"/>
      <c r="Z13" s="1">
        <f>VLOOKUP(A13,ffbbudgettwofive,7,FALSE)</f>
        <v>20.05</v>
      </c>
      <c r="AA13" s="1">
        <f>VLOOKUP(A13,ffbbudgettwofive,8,FALSE)</f>
        <v>16.04</v>
      </c>
      <c r="AB13" s="1">
        <f>VLOOKUP(A13,ffbbudgettwofive,9,FALSE)</f>
        <v>28.070000000000004</v>
      </c>
      <c r="AC13" s="1">
        <f>VLOOKUP(A13,ffbbudgettwofive,10,FALSE)</f>
        <v>28.070000000000004</v>
      </c>
      <c r="AD13" s="1">
        <f>VLOOKUP(A13,ffbbudgettwofive,11,FALSE)</f>
        <v>28.070000000000004</v>
      </c>
      <c r="AE13" s="1">
        <f>VLOOKUP(A13,ffbbudgettwofive,12,FALSE)</f>
        <v>28.070000000000004</v>
      </c>
      <c r="AF13" s="1">
        <f>VLOOKUP(A13,ffbbudgettwofive,13,FALSE)</f>
        <v>32</v>
      </c>
      <c r="AG13" s="1">
        <f>VLOOKUP(A13,ffbbudgettwofive,14,FALSE)</f>
        <v>40</v>
      </c>
      <c r="AH13" s="1">
        <f>VLOOKUP(A13,ffbbudgettwofive,15,FALSE)</f>
        <v>40</v>
      </c>
      <c r="AI13" s="1">
        <f>VLOOKUP(A13,ffbbudgettwofive,16,FALSE)</f>
        <v>56</v>
      </c>
      <c r="AJ13" s="1">
        <f>VLOOKUP(A13,ffbbudgettwofive,17,FALSE)</f>
        <v>44</v>
      </c>
      <c r="AK13" s="1">
        <f>VLOOKUP(A13,ffbbudgettwofive,18,FALSE)</f>
        <v>40</v>
      </c>
      <c r="AP13" s="512"/>
    </row>
    <row r="14" spans="1:42" outlineLevel="1" x14ac:dyDescent="0.25">
      <c r="A14" s="1">
        <v>8</v>
      </c>
      <c r="B14" s="894">
        <f t="shared" si="2"/>
        <v>2010</v>
      </c>
      <c r="C14" s="523">
        <f>VLOOKUP(A14,NURAZANI,2,FALSE)</f>
        <v>61.6</v>
      </c>
      <c r="D14" s="694">
        <f>VLOOKUP(A14,coupe,4,FALSE)</f>
        <v>1232</v>
      </c>
      <c r="E14" s="695">
        <f t="shared" si="1"/>
        <v>906.12000000000012</v>
      </c>
      <c r="F14" s="694">
        <f>VLOOKUP(A14,budget2024,19,FALSE)</f>
        <v>1232</v>
      </c>
      <c r="G14" s="695">
        <f>VLOOKUP(A14,year2022to23,249,FALSE)</f>
        <v>924.42</v>
      </c>
      <c r="H14" s="482">
        <f>E14-G14</f>
        <v>-18.299999999999841</v>
      </c>
      <c r="I14" s="694">
        <f>E14/C14</f>
        <v>14.709740259740261</v>
      </c>
      <c r="J14" s="695">
        <f>G14/C14</f>
        <v>15.006818181818181</v>
      </c>
      <c r="K14" s="512"/>
      <c r="Z14" s="1">
        <f>VLOOKUP(A14,ffbbudgettwofive,7,FALSE)</f>
        <v>61.6</v>
      </c>
      <c r="AA14" s="1">
        <f>VLOOKUP(A14,ffbbudgettwofive,8,FALSE)</f>
        <v>49.28</v>
      </c>
      <c r="AB14" s="1">
        <f>VLOOKUP(A14,ffbbudgettwofive,9,FALSE)</f>
        <v>86.240000000000009</v>
      </c>
      <c r="AC14" s="1">
        <f>VLOOKUP(A14,ffbbudgettwofive,10,FALSE)</f>
        <v>86.240000000000009</v>
      </c>
      <c r="AD14" s="1">
        <f>VLOOKUP(A14,ffbbudgettwofive,11,FALSE)</f>
        <v>86.240000000000009</v>
      </c>
      <c r="AE14" s="1">
        <f>VLOOKUP(A14,ffbbudgettwofive,12,FALSE)</f>
        <v>86.240000000000009</v>
      </c>
      <c r="AF14" s="1">
        <f>VLOOKUP(A14,ffbbudgettwofive,13,FALSE)</f>
        <v>99</v>
      </c>
      <c r="AG14" s="1">
        <f>VLOOKUP(A14,ffbbudgettwofive,14,FALSE)</f>
        <v>123</v>
      </c>
      <c r="AH14" s="1">
        <f>VLOOKUP(A14,ffbbudgettwofive,15,FALSE)</f>
        <v>123</v>
      </c>
      <c r="AI14" s="1">
        <f>VLOOKUP(A14,ffbbudgettwofive,16,FALSE)</f>
        <v>172</v>
      </c>
      <c r="AJ14" s="1">
        <f>VLOOKUP(A14,ffbbudgettwofive,17,FALSE)</f>
        <v>136</v>
      </c>
      <c r="AK14" s="1">
        <f>VLOOKUP(A14,ffbbudgettwofive,18,FALSE)</f>
        <v>123</v>
      </c>
      <c r="AP14" s="512"/>
    </row>
    <row r="15" spans="1:42" outlineLevel="1" x14ac:dyDescent="0.25">
      <c r="A15" s="1">
        <v>9</v>
      </c>
      <c r="B15" s="894">
        <f t="shared" si="2"/>
        <v>2010</v>
      </c>
      <c r="C15" s="523">
        <f>VLOOKUP(A15,NURAZANI,2,FALSE)</f>
        <v>38.299999999999997</v>
      </c>
      <c r="D15" s="694">
        <f>VLOOKUP(A15,coupe,4,FALSE)</f>
        <v>689</v>
      </c>
      <c r="E15" s="695">
        <f t="shared" si="1"/>
        <v>486.12</v>
      </c>
      <c r="F15" s="694">
        <f>VLOOKUP(A15,budget2024,19,FALSE)</f>
        <v>689</v>
      </c>
      <c r="G15" s="695">
        <f>VLOOKUP(A15,year2022to23,249,FALSE)</f>
        <v>489.69</v>
      </c>
      <c r="H15" s="482">
        <f>E15-G15</f>
        <v>-3.5699999999999932</v>
      </c>
      <c r="I15" s="694">
        <f>E15/C15</f>
        <v>12.692428198433422</v>
      </c>
      <c r="J15" s="695">
        <f>G15/C15</f>
        <v>12.785639686684075</v>
      </c>
      <c r="K15" s="512"/>
      <c r="Z15" s="1">
        <f>VLOOKUP(A15,ffbbudgettwofive,7,FALSE)</f>
        <v>34.450000000000003</v>
      </c>
      <c r="AA15" s="1">
        <f>VLOOKUP(A15,ffbbudgettwofive,8,FALSE)</f>
        <v>27.560000000000002</v>
      </c>
      <c r="AB15" s="1">
        <f>VLOOKUP(A15,ffbbudgettwofive,9,FALSE)</f>
        <v>48.230000000000004</v>
      </c>
      <c r="AC15" s="1">
        <f>VLOOKUP(A15,ffbbudgettwofive,10,FALSE)</f>
        <v>48.230000000000004</v>
      </c>
      <c r="AD15" s="1">
        <f>VLOOKUP(A15,ffbbudgettwofive,11,FALSE)</f>
        <v>48.230000000000004</v>
      </c>
      <c r="AE15" s="1">
        <f>VLOOKUP(A15,ffbbudgettwofive,12,FALSE)</f>
        <v>48.230000000000004</v>
      </c>
      <c r="AF15" s="1">
        <f>VLOOKUP(A15,ffbbudgettwofive,13,FALSE)</f>
        <v>55</v>
      </c>
      <c r="AG15" s="1">
        <f>VLOOKUP(A15,ffbbudgettwofive,14,FALSE)</f>
        <v>69</v>
      </c>
      <c r="AH15" s="1">
        <f>VLOOKUP(A15,ffbbudgettwofive,15,FALSE)</f>
        <v>69</v>
      </c>
      <c r="AI15" s="1">
        <f>VLOOKUP(A15,ffbbudgettwofive,16,FALSE)</f>
        <v>97</v>
      </c>
      <c r="AJ15" s="1">
        <f>VLOOKUP(A15,ffbbudgettwofive,17,FALSE)</f>
        <v>76</v>
      </c>
      <c r="AK15" s="1">
        <f>VLOOKUP(A15,ffbbudgettwofive,18,FALSE)</f>
        <v>69</v>
      </c>
      <c r="AP15" s="512"/>
    </row>
    <row r="16" spans="1:42" outlineLevel="1" x14ac:dyDescent="0.25">
      <c r="A16" s="535">
        <v>11</v>
      </c>
      <c r="B16" s="894">
        <f t="shared" si="2"/>
        <v>2010</v>
      </c>
      <c r="C16" s="529">
        <f>VLOOKUP(A16,ERDI,2,FALSE)</f>
        <v>44.5</v>
      </c>
      <c r="D16" s="694">
        <f>VLOOKUP(A16,coupe,4,FALSE)</f>
        <v>846</v>
      </c>
      <c r="E16" s="695">
        <f t="shared" si="1"/>
        <v>529.89</v>
      </c>
      <c r="F16" s="694">
        <f>VLOOKUP(A16,budget2024,19,FALSE)</f>
        <v>846</v>
      </c>
      <c r="G16" s="695">
        <f>VLOOKUP(A16,year2022to23,249,FALSE)</f>
        <v>539.21399999999994</v>
      </c>
      <c r="H16" s="482">
        <f>E16-G16</f>
        <v>-9.3239999999999554</v>
      </c>
      <c r="I16" s="694">
        <f>E16/C16</f>
        <v>11.907640449438201</v>
      </c>
      <c r="J16" s="695">
        <f>G16/C16</f>
        <v>12.117168539325842</v>
      </c>
      <c r="K16" s="512"/>
      <c r="Z16" s="1">
        <f>VLOOKUP(A16,ffbbudgettwofive,7,FALSE)</f>
        <v>42.300000000000004</v>
      </c>
      <c r="AA16" s="1">
        <f>VLOOKUP(A16,ffbbudgettwofive,8,FALSE)</f>
        <v>33.840000000000003</v>
      </c>
      <c r="AB16" s="1">
        <f>VLOOKUP(A16,ffbbudgettwofive,9,FALSE)</f>
        <v>59.220000000000006</v>
      </c>
      <c r="AC16" s="1">
        <f>VLOOKUP(A16,ffbbudgettwofive,10,FALSE)</f>
        <v>59.220000000000006</v>
      </c>
      <c r="AD16" s="1">
        <f>VLOOKUP(A16,ffbbudgettwofive,11,FALSE)</f>
        <v>59.220000000000006</v>
      </c>
      <c r="AE16" s="1">
        <f>VLOOKUP(A16,ffbbudgettwofive,12,FALSE)</f>
        <v>59.220000000000006</v>
      </c>
      <c r="AF16" s="1">
        <f>VLOOKUP(A16,ffbbudgettwofive,13,FALSE)</f>
        <v>68</v>
      </c>
      <c r="AG16" s="1">
        <f>VLOOKUP(A16,ffbbudgettwofive,14,FALSE)</f>
        <v>85</v>
      </c>
      <c r="AH16" s="1">
        <f>VLOOKUP(A16,ffbbudgettwofive,15,FALSE)</f>
        <v>85</v>
      </c>
      <c r="AI16" s="1">
        <f>VLOOKUP(A16,ffbbudgettwofive,16,FALSE)</f>
        <v>118</v>
      </c>
      <c r="AJ16" s="1">
        <f>VLOOKUP(A16,ffbbudgettwofive,17,FALSE)</f>
        <v>93</v>
      </c>
      <c r="AK16" s="1">
        <f>VLOOKUP(A16,ffbbudgettwofive,18,FALSE)</f>
        <v>85</v>
      </c>
      <c r="AP16" s="512"/>
    </row>
    <row r="17" spans="1:49" outlineLevel="1" x14ac:dyDescent="0.25">
      <c r="A17" s="1">
        <v>12</v>
      </c>
      <c r="B17" s="894">
        <f t="shared" si="2"/>
        <v>2010</v>
      </c>
      <c r="C17" s="523">
        <f>VLOOKUP(A17,NURAZANI,2,FALSE)</f>
        <v>71</v>
      </c>
      <c r="D17" s="694">
        <f>VLOOKUP(A17,coupe,4,FALSE)</f>
        <v>1420</v>
      </c>
      <c r="E17" s="695">
        <f t="shared" si="1"/>
        <v>1000.7399999999999</v>
      </c>
      <c r="F17" s="694">
        <f>VLOOKUP(A17,budget2024,19,FALSE)</f>
        <v>1524</v>
      </c>
      <c r="G17" s="695">
        <f>VLOOKUP(A17,year2022to23,249,FALSE)</f>
        <v>996.92000000000007</v>
      </c>
      <c r="H17" s="482">
        <f>E17-G17</f>
        <v>3.8199999999998226</v>
      </c>
      <c r="I17" s="694">
        <f>E17/C17</f>
        <v>14.094929577464788</v>
      </c>
      <c r="J17" s="695">
        <f>G17/C17</f>
        <v>14.041126760563381</v>
      </c>
      <c r="K17" s="512"/>
      <c r="Z17" s="1">
        <f>VLOOKUP(A17,ffbbudgettwofive,7,FALSE)</f>
        <v>71</v>
      </c>
      <c r="AA17" s="1">
        <f>VLOOKUP(A17,ffbbudgettwofive,8,FALSE)</f>
        <v>56.800000000000004</v>
      </c>
      <c r="AB17" s="1">
        <f>VLOOKUP(A17,ffbbudgettwofive,9,FALSE)</f>
        <v>99.4</v>
      </c>
      <c r="AC17" s="1">
        <f>VLOOKUP(A17,ffbbudgettwofive,10,FALSE)</f>
        <v>99.4</v>
      </c>
      <c r="AD17" s="1">
        <f>VLOOKUP(A17,ffbbudgettwofive,11,FALSE)</f>
        <v>99.4</v>
      </c>
      <c r="AE17" s="1">
        <f>VLOOKUP(A17,ffbbudgettwofive,12,FALSE)</f>
        <v>99.4</v>
      </c>
      <c r="AF17" s="1">
        <f>VLOOKUP(A17,ffbbudgettwofive,13,FALSE)</f>
        <v>114</v>
      </c>
      <c r="AG17" s="1">
        <f>VLOOKUP(A17,ffbbudgettwofive,14,FALSE)</f>
        <v>142</v>
      </c>
      <c r="AH17" s="1">
        <f>VLOOKUP(A17,ffbbudgettwofive,15,FALSE)</f>
        <v>142</v>
      </c>
      <c r="AI17" s="1">
        <f>VLOOKUP(A17,ffbbudgettwofive,16,FALSE)</f>
        <v>199</v>
      </c>
      <c r="AJ17" s="1">
        <f>VLOOKUP(A17,ffbbudgettwofive,17,FALSE)</f>
        <v>156</v>
      </c>
      <c r="AK17" s="1">
        <f>VLOOKUP(A17,ffbbudgettwofive,18,FALSE)</f>
        <v>142</v>
      </c>
      <c r="AP17" s="512"/>
    </row>
    <row r="18" spans="1:49" outlineLevel="1" x14ac:dyDescent="0.25">
      <c r="A18" s="1">
        <v>23</v>
      </c>
      <c r="B18" s="913">
        <f t="shared" si="2"/>
        <v>2010</v>
      </c>
      <c r="C18" s="523">
        <f>VLOOKUP(A18,SERAN,2,FALSE)</f>
        <v>14.6</v>
      </c>
      <c r="D18" s="694">
        <f>VLOOKUP(A18,coupe,4,FALSE)</f>
        <v>307</v>
      </c>
      <c r="E18" s="695">
        <f t="shared" si="1"/>
        <v>291.61</v>
      </c>
      <c r="F18" s="694">
        <f>VLOOKUP(A18,budget2024,19,FALSE)</f>
        <v>307</v>
      </c>
      <c r="G18" s="695">
        <f>VLOOKUP(A18,year2022to23,249,FALSE)</f>
        <v>287.59000000000003</v>
      </c>
      <c r="H18" s="482">
        <f>E18-G18</f>
        <v>4.0199999999999818</v>
      </c>
      <c r="I18" s="694">
        <f>E18/C18</f>
        <v>19.973287671232878</v>
      </c>
      <c r="J18" s="695">
        <f>G18/C18</f>
        <v>19.697945205479456</v>
      </c>
      <c r="K18" s="512"/>
      <c r="Z18" s="912">
        <f>VLOOKUP(A18,ffbbudgettwofive,7,FALSE)</f>
        <v>15.350000000000001</v>
      </c>
      <c r="AA18" s="912">
        <f>VLOOKUP(A18,ffbbudgettwofive,8,FALSE)</f>
        <v>12.280000000000001</v>
      </c>
      <c r="AB18" s="912">
        <f>VLOOKUP(A18,ffbbudgettwofive,9,FALSE)</f>
        <v>21.490000000000002</v>
      </c>
      <c r="AC18" s="912">
        <f>VLOOKUP(A18,ffbbudgettwofive,10,FALSE)</f>
        <v>21.490000000000002</v>
      </c>
      <c r="AD18" s="912">
        <f>VLOOKUP(A18,ffbbudgettwofive,11,FALSE)</f>
        <v>21.490000000000002</v>
      </c>
      <c r="AE18" s="912">
        <f>VLOOKUP(A18,ffbbudgettwofive,12,FALSE)</f>
        <v>21.490000000000002</v>
      </c>
      <c r="AF18" s="912">
        <f>VLOOKUP(A18,ffbbudgettwofive,13,FALSE)</f>
        <v>25</v>
      </c>
      <c r="AG18" s="912">
        <f>VLOOKUP(A18,ffbbudgettwofive,14,FALSE)</f>
        <v>31</v>
      </c>
      <c r="AH18" s="912">
        <f>VLOOKUP(A18,ffbbudgettwofive,15,FALSE)</f>
        <v>31</v>
      </c>
      <c r="AI18" s="912">
        <f>VLOOKUP(A18,ffbbudgettwofive,16,FALSE)</f>
        <v>43</v>
      </c>
      <c r="AJ18" s="912">
        <f>VLOOKUP(A18,ffbbudgettwofive,17,FALSE)</f>
        <v>34</v>
      </c>
      <c r="AK18" s="912">
        <f>VLOOKUP(A18,ffbbudgettwofive,18,FALSE)</f>
        <v>31</v>
      </c>
      <c r="AP18" s="512"/>
    </row>
    <row r="19" spans="1:49" ht="15.75" outlineLevel="1" thickBot="1" x14ac:dyDescent="0.3">
      <c r="A19" s="562"/>
      <c r="B19" s="562"/>
      <c r="C19" s="563"/>
      <c r="E19" s="8"/>
      <c r="I19" s="8"/>
      <c r="J19" s="8"/>
      <c r="K19" s="512"/>
      <c r="AP19" s="512"/>
    </row>
    <row r="20" spans="1:49" s="7" customFormat="1" ht="15.75" thickBot="1" x14ac:dyDescent="0.3">
      <c r="A20" s="896"/>
      <c r="B20" s="897">
        <f>B21</f>
        <v>2011</v>
      </c>
      <c r="C20" s="820">
        <f>SUM(C21:C27)</f>
        <v>310.5</v>
      </c>
      <c r="D20" s="819">
        <f>SUM(D21:D27)</f>
        <v>6528</v>
      </c>
      <c r="E20" s="541">
        <f>SUM(E21:E27)</f>
        <v>5287.5</v>
      </c>
      <c r="F20" s="819">
        <f t="shared" ref="F20" si="3">SUM(F21:F27)</f>
        <v>6528</v>
      </c>
      <c r="G20" s="541">
        <f>SUM(G21:G27)</f>
        <v>5030.9649999999992</v>
      </c>
      <c r="H20" s="903">
        <f>E20-G20</f>
        <v>256.53500000000076</v>
      </c>
      <c r="I20" s="819">
        <f>E20/C20</f>
        <v>17.028985507246375</v>
      </c>
      <c r="J20" s="541">
        <f>G20/C20</f>
        <v>16.202785829307565</v>
      </c>
      <c r="K20" s="902"/>
      <c r="Z20" s="665" t="s">
        <v>180</v>
      </c>
      <c r="AA20" s="665" t="s">
        <v>181</v>
      </c>
      <c r="AB20" s="665" t="s">
        <v>182</v>
      </c>
      <c r="AC20" s="665" t="s">
        <v>183</v>
      </c>
      <c r="AD20" s="665" t="s">
        <v>184</v>
      </c>
      <c r="AE20" s="665" t="s">
        <v>185</v>
      </c>
      <c r="AF20" s="665" t="s">
        <v>186</v>
      </c>
      <c r="AG20" s="665" t="s">
        <v>187</v>
      </c>
      <c r="AH20" s="665" t="s">
        <v>188</v>
      </c>
      <c r="AI20" s="665" t="s">
        <v>189</v>
      </c>
      <c r="AJ20" s="665" t="s">
        <v>190</v>
      </c>
      <c r="AK20" s="665" t="s">
        <v>191</v>
      </c>
      <c r="AP20" s="902"/>
    </row>
    <row r="21" spans="1:49" outlineLevel="1" x14ac:dyDescent="0.25">
      <c r="A21" s="1">
        <v>10</v>
      </c>
      <c r="B21" s="894">
        <f t="shared" ref="B21:B27" si="4">VLOOKUP(A21,coupe,3,FALSE)</f>
        <v>2011</v>
      </c>
      <c r="C21" s="529">
        <f>VLOOKUP(A21,NURAZANI,2,FALSE)</f>
        <v>19.100000000000001</v>
      </c>
      <c r="D21" s="822">
        <f>VLOOKUP(A21,coupe,4,FALSE)</f>
        <v>363</v>
      </c>
      <c r="E21" s="823">
        <f t="shared" ref="E21:E27" si="5">VLOOKUP(A21,year2022to23,311,FALSE)</f>
        <v>259.04000000000002</v>
      </c>
      <c r="F21" s="822">
        <f>VLOOKUP(A21,budget2024,19,FALSE)</f>
        <v>363</v>
      </c>
      <c r="G21" s="823">
        <f>VLOOKUP(A21,year2022to23,249,FALSE)</f>
        <v>260.8</v>
      </c>
      <c r="H21" s="916">
        <f>E21-G21</f>
        <v>-1.7599999999999909</v>
      </c>
      <c r="I21" s="822">
        <f>E21/C21</f>
        <v>13.562303664921465</v>
      </c>
      <c r="J21" s="823">
        <f>G21/C21</f>
        <v>13.654450261780104</v>
      </c>
      <c r="K21" s="512"/>
      <c r="Z21" s="1">
        <f>VLOOKUP(A21,ffbbudgettwofive,7,FALSE)</f>
        <v>18.150000000000002</v>
      </c>
      <c r="AA21" s="1">
        <f>VLOOKUP(A21,ffbbudgettwofive,8,FALSE)</f>
        <v>14.52</v>
      </c>
      <c r="AB21" s="1">
        <f>VLOOKUP(A21,ffbbudgettwofive,9,FALSE)</f>
        <v>25.410000000000004</v>
      </c>
      <c r="AC21" s="1">
        <f>VLOOKUP(A21,ffbbudgettwofive,10,FALSE)</f>
        <v>25.410000000000004</v>
      </c>
      <c r="AD21" s="1">
        <f>VLOOKUP(A21,ffbbudgettwofive,11,FALSE)</f>
        <v>25.410000000000004</v>
      </c>
      <c r="AE21" s="1">
        <f>VLOOKUP(A21,ffbbudgettwofive,12,FALSE)</f>
        <v>25.410000000000004</v>
      </c>
      <c r="AF21" s="1">
        <f>VLOOKUP(A21,ffbbudgettwofive,13,FALSE)</f>
        <v>29</v>
      </c>
      <c r="AG21" s="1">
        <f>VLOOKUP(A21,ffbbudgettwofive,14,FALSE)</f>
        <v>36</v>
      </c>
      <c r="AH21" s="1">
        <f>VLOOKUP(A21,ffbbudgettwofive,15,FALSE)</f>
        <v>36</v>
      </c>
      <c r="AI21" s="1">
        <f>VLOOKUP(A21,ffbbudgettwofive,16,FALSE)</f>
        <v>51</v>
      </c>
      <c r="AJ21" s="1">
        <f>VLOOKUP(A21,ffbbudgettwofive,17,FALSE)</f>
        <v>40</v>
      </c>
      <c r="AK21" s="1">
        <f>VLOOKUP(A21,ffbbudgettwofive,18,FALSE)</f>
        <v>36</v>
      </c>
      <c r="AP21" s="512"/>
    </row>
    <row r="22" spans="1:49" outlineLevel="1" x14ac:dyDescent="0.25">
      <c r="A22" s="511">
        <v>13</v>
      </c>
      <c r="B22" s="894">
        <f t="shared" si="4"/>
        <v>2011</v>
      </c>
      <c r="C22" s="529">
        <f>VLOOKUP(A22,NURAZANI,2,FALSE)</f>
        <v>60.8</v>
      </c>
      <c r="D22" s="822">
        <f>VLOOKUP(A22,coupe,4,FALSE)</f>
        <v>1338</v>
      </c>
      <c r="E22" s="823">
        <f t="shared" si="5"/>
        <v>1038.9000000000001</v>
      </c>
      <c r="F22" s="822">
        <f>VLOOKUP(A22,budget2024,19,FALSE)</f>
        <v>1338</v>
      </c>
      <c r="G22" s="823">
        <f>VLOOKUP(A22,year2022to23,249,FALSE)</f>
        <v>998.85899999999992</v>
      </c>
      <c r="H22" s="482">
        <f>E22-G22</f>
        <v>40.041000000000167</v>
      </c>
      <c r="I22" s="694">
        <f>E22/C22</f>
        <v>17.087171052631582</v>
      </c>
      <c r="J22" s="695">
        <f>G22/C22</f>
        <v>16.428601973684209</v>
      </c>
      <c r="K22" s="512"/>
      <c r="Z22" s="1">
        <f>VLOOKUP(A22,ffbbudgettwofive,7,FALSE)</f>
        <v>66.900000000000006</v>
      </c>
      <c r="AA22" s="1">
        <f>VLOOKUP(A22,ffbbudgettwofive,8,FALSE)</f>
        <v>53.52</v>
      </c>
      <c r="AB22" s="1">
        <f>VLOOKUP(A22,ffbbudgettwofive,9,FALSE)</f>
        <v>93.660000000000011</v>
      </c>
      <c r="AC22" s="1">
        <f>VLOOKUP(A22,ffbbudgettwofive,10,FALSE)</f>
        <v>93.660000000000011</v>
      </c>
      <c r="AD22" s="1">
        <f>VLOOKUP(A22,ffbbudgettwofive,11,FALSE)</f>
        <v>93.660000000000011</v>
      </c>
      <c r="AE22" s="1">
        <f>VLOOKUP(A22,ffbbudgettwofive,12,FALSE)</f>
        <v>93.660000000000011</v>
      </c>
      <c r="AF22" s="1">
        <f>VLOOKUP(A22,ffbbudgettwofive,13,FALSE)</f>
        <v>107</v>
      </c>
      <c r="AG22" s="1">
        <f>VLOOKUP(A22,ffbbudgettwofive,14,FALSE)</f>
        <v>134</v>
      </c>
      <c r="AH22" s="1">
        <f>VLOOKUP(A22,ffbbudgettwofive,15,FALSE)</f>
        <v>134</v>
      </c>
      <c r="AI22" s="1">
        <f>VLOOKUP(A22,ffbbudgettwofive,16,FALSE)</f>
        <v>187</v>
      </c>
      <c r="AJ22" s="1">
        <f>VLOOKUP(A22,ffbbudgettwofive,17,FALSE)</f>
        <v>147</v>
      </c>
      <c r="AK22" s="1">
        <f>VLOOKUP(A22,ffbbudgettwofive,18,FALSE)</f>
        <v>134</v>
      </c>
      <c r="AP22" s="512"/>
      <c r="AS22" s="7"/>
      <c r="AT22" s="7"/>
      <c r="AU22" s="7"/>
      <c r="AV22" s="7"/>
    </row>
    <row r="23" spans="1:49" outlineLevel="1" x14ac:dyDescent="0.25">
      <c r="A23" s="100">
        <v>14</v>
      </c>
      <c r="B23" s="894">
        <f t="shared" si="4"/>
        <v>2011</v>
      </c>
      <c r="C23" s="523">
        <f>VLOOKUP(A23,YUVENTUS,2,FALSE)</f>
        <v>41.6</v>
      </c>
      <c r="D23" s="822">
        <f>VLOOKUP(A23,coupe,4,FALSE)</f>
        <v>874</v>
      </c>
      <c r="E23" s="823">
        <f t="shared" si="5"/>
        <v>714.03</v>
      </c>
      <c r="F23" s="822">
        <f>VLOOKUP(A23,budget2024,19,FALSE)</f>
        <v>874</v>
      </c>
      <c r="G23" s="823">
        <f>VLOOKUP(A23,year2022to23,249,FALSE)</f>
        <v>762.68600000000004</v>
      </c>
      <c r="H23" s="482">
        <f>E23-G23</f>
        <v>-48.656000000000063</v>
      </c>
      <c r="I23" s="694">
        <f>E23/C23</f>
        <v>17.164182692307691</v>
      </c>
      <c r="J23" s="695">
        <f>G23/C23</f>
        <v>18.333798076923078</v>
      </c>
      <c r="K23" s="512"/>
      <c r="Z23" s="1">
        <f>VLOOKUP(A23,ffbbudgettwofive,7,FALSE)</f>
        <v>43.7</v>
      </c>
      <c r="AA23" s="1">
        <f>VLOOKUP(A23,ffbbudgettwofive,8,FALSE)</f>
        <v>34.96</v>
      </c>
      <c r="AB23" s="1">
        <f>VLOOKUP(A23,ffbbudgettwofive,9,FALSE)</f>
        <v>61.180000000000007</v>
      </c>
      <c r="AC23" s="1">
        <f>VLOOKUP(A23,ffbbudgettwofive,10,FALSE)</f>
        <v>61.180000000000007</v>
      </c>
      <c r="AD23" s="1">
        <f>VLOOKUP(A23,ffbbudgettwofive,11,FALSE)</f>
        <v>61.180000000000007</v>
      </c>
      <c r="AE23" s="1">
        <f>VLOOKUP(A23,ffbbudgettwofive,12,FALSE)</f>
        <v>61.180000000000007</v>
      </c>
      <c r="AF23" s="1">
        <f>VLOOKUP(A23,ffbbudgettwofive,13,FALSE)</f>
        <v>70</v>
      </c>
      <c r="AG23" s="1">
        <f>VLOOKUP(A23,ffbbudgettwofive,14,FALSE)</f>
        <v>87</v>
      </c>
      <c r="AH23" s="1">
        <f>VLOOKUP(A23,ffbbudgettwofive,15,FALSE)</f>
        <v>87</v>
      </c>
      <c r="AI23" s="1">
        <f>VLOOKUP(A23,ffbbudgettwofive,16,FALSE)</f>
        <v>122</v>
      </c>
      <c r="AJ23" s="1">
        <f>VLOOKUP(A23,ffbbudgettwofive,17,FALSE)</f>
        <v>96</v>
      </c>
      <c r="AK23" s="1">
        <f>VLOOKUP(A23,ffbbudgettwofive,18,FALSE)</f>
        <v>87</v>
      </c>
      <c r="AP23" s="512"/>
    </row>
    <row r="24" spans="1:49" outlineLevel="1" x14ac:dyDescent="0.25">
      <c r="A24" s="1">
        <v>15</v>
      </c>
      <c r="B24" s="894">
        <f t="shared" si="4"/>
        <v>2011</v>
      </c>
      <c r="C24" s="523">
        <f>VLOOKUP(A24,DARSO,2,FALSE)</f>
        <v>49.3</v>
      </c>
      <c r="D24" s="822">
        <f>VLOOKUP(A24,coupe,4,FALSE)</f>
        <v>986</v>
      </c>
      <c r="E24" s="823">
        <f t="shared" si="5"/>
        <v>776.8900000000001</v>
      </c>
      <c r="F24" s="822">
        <f>VLOOKUP(A24,budget2024,19,FALSE)</f>
        <v>986</v>
      </c>
      <c r="G24" s="823">
        <f>VLOOKUP(A24,year2022to23,249,FALSE)</f>
        <v>619.76</v>
      </c>
      <c r="H24" s="482">
        <f>E24-G24</f>
        <v>157.13000000000011</v>
      </c>
      <c r="I24" s="694">
        <f>E24/C24</f>
        <v>15.758417849898583</v>
      </c>
      <c r="J24" s="695">
        <f>G24/C24</f>
        <v>12.571196754563895</v>
      </c>
      <c r="K24" s="512"/>
      <c r="Z24" s="1">
        <f>VLOOKUP(A24,ffbbudgettwofive,7,FALSE)</f>
        <v>49.300000000000004</v>
      </c>
      <c r="AA24" s="1">
        <f>VLOOKUP(A24,ffbbudgettwofive,8,FALSE)</f>
        <v>39.44</v>
      </c>
      <c r="AB24" s="1">
        <f>VLOOKUP(A24,ffbbudgettwofive,9,FALSE)</f>
        <v>69.02000000000001</v>
      </c>
      <c r="AC24" s="1">
        <f>VLOOKUP(A24,ffbbudgettwofive,10,FALSE)</f>
        <v>69.02000000000001</v>
      </c>
      <c r="AD24" s="1">
        <f>VLOOKUP(A24,ffbbudgettwofive,11,FALSE)</f>
        <v>69.02000000000001</v>
      </c>
      <c r="AE24" s="1">
        <f>VLOOKUP(A24,ffbbudgettwofive,12,FALSE)</f>
        <v>69.02000000000001</v>
      </c>
      <c r="AF24" s="1">
        <f>VLOOKUP(A24,ffbbudgettwofive,13,FALSE)</f>
        <v>79</v>
      </c>
      <c r="AG24" s="1">
        <f>VLOOKUP(A24,ffbbudgettwofive,14,FALSE)</f>
        <v>99</v>
      </c>
      <c r="AH24" s="1">
        <f>VLOOKUP(A24,ffbbudgettwofive,15,FALSE)</f>
        <v>99</v>
      </c>
      <c r="AI24" s="1">
        <f>VLOOKUP(A24,ffbbudgettwofive,16,FALSE)</f>
        <v>138</v>
      </c>
      <c r="AJ24" s="1">
        <f>VLOOKUP(A24,ffbbudgettwofive,17,FALSE)</f>
        <v>108</v>
      </c>
      <c r="AK24" s="1">
        <f>VLOOKUP(A24,ffbbudgettwofive,18,FALSE)</f>
        <v>99</v>
      </c>
      <c r="AP24" s="512"/>
    </row>
    <row r="25" spans="1:49" outlineLevel="1" x14ac:dyDescent="0.25">
      <c r="A25" s="1">
        <v>16</v>
      </c>
      <c r="B25" s="894">
        <f t="shared" si="4"/>
        <v>2011</v>
      </c>
      <c r="C25" s="523">
        <f>VLOOKUP(A25,DARSO,2,FALSE)</f>
        <v>53.2</v>
      </c>
      <c r="D25" s="822">
        <f>VLOOKUP(A25,coupe,4,FALSE)</f>
        <v>1064</v>
      </c>
      <c r="E25" s="823">
        <f t="shared" si="5"/>
        <v>900.68</v>
      </c>
      <c r="F25" s="822">
        <f>VLOOKUP(A25,budget2024,19,FALSE)</f>
        <v>1064</v>
      </c>
      <c r="G25" s="823">
        <f>VLOOKUP(A25,year2022to23,249,FALSE)</f>
        <v>837.23</v>
      </c>
      <c r="H25" s="482">
        <f>E25-G25</f>
        <v>63.449999999999932</v>
      </c>
      <c r="I25" s="694">
        <f>E25/C25</f>
        <v>16.930075187969923</v>
      </c>
      <c r="J25" s="695">
        <f>G25/C25</f>
        <v>15.737406015037594</v>
      </c>
      <c r="K25" s="512"/>
      <c r="Z25" s="1">
        <f>VLOOKUP(A25,ffbbudgettwofive,7,FALSE)</f>
        <v>53.2</v>
      </c>
      <c r="AA25" s="1">
        <f>VLOOKUP(A25,ffbbudgettwofive,8,FALSE)</f>
        <v>42.56</v>
      </c>
      <c r="AB25" s="1">
        <f>VLOOKUP(A25,ffbbudgettwofive,9,FALSE)</f>
        <v>74.48</v>
      </c>
      <c r="AC25" s="1">
        <f>VLOOKUP(A25,ffbbudgettwofive,10,FALSE)</f>
        <v>74.48</v>
      </c>
      <c r="AD25" s="1">
        <f>VLOOKUP(A25,ffbbudgettwofive,11,FALSE)</f>
        <v>74.48</v>
      </c>
      <c r="AE25" s="1">
        <f>VLOOKUP(A25,ffbbudgettwofive,12,FALSE)</f>
        <v>74.48</v>
      </c>
      <c r="AF25" s="1">
        <f>VLOOKUP(A25,ffbbudgettwofive,13,FALSE)</f>
        <v>85</v>
      </c>
      <c r="AG25" s="1">
        <f>VLOOKUP(A25,ffbbudgettwofive,14,FALSE)</f>
        <v>106</v>
      </c>
      <c r="AH25" s="1">
        <f>VLOOKUP(A25,ffbbudgettwofive,15,FALSE)</f>
        <v>106</v>
      </c>
      <c r="AI25" s="1">
        <f>VLOOKUP(A25,ffbbudgettwofive,16,FALSE)</f>
        <v>149</v>
      </c>
      <c r="AJ25" s="1">
        <f>VLOOKUP(A25,ffbbudgettwofive,17,FALSE)</f>
        <v>117</v>
      </c>
      <c r="AK25" s="1">
        <f>VLOOKUP(A25,ffbbudgettwofive,18,FALSE)</f>
        <v>106</v>
      </c>
      <c r="AP25" s="512"/>
    </row>
    <row r="26" spans="1:49" outlineLevel="1" x14ac:dyDescent="0.25">
      <c r="A26" s="1">
        <v>17</v>
      </c>
      <c r="B26" s="894">
        <f t="shared" si="4"/>
        <v>2011</v>
      </c>
      <c r="C26" s="523">
        <f>VLOOKUP(A26,DARSO,2,FALSE)</f>
        <v>45.7</v>
      </c>
      <c r="D26" s="822">
        <f>VLOOKUP(A26,coupe,4,FALSE)</f>
        <v>1005</v>
      </c>
      <c r="E26" s="823">
        <f t="shared" si="5"/>
        <v>797.25</v>
      </c>
      <c r="F26" s="822">
        <f>VLOOKUP(A26,budget2024,19,FALSE)</f>
        <v>1005</v>
      </c>
      <c r="G26" s="823">
        <f>VLOOKUP(A26,year2022to23,249,FALSE)</f>
        <v>814.55000000000007</v>
      </c>
      <c r="H26" s="482">
        <f>E26-G26</f>
        <v>-17.300000000000068</v>
      </c>
      <c r="I26" s="694">
        <f>E26/C26</f>
        <v>17.445295404814004</v>
      </c>
      <c r="J26" s="695">
        <f>G26/C26</f>
        <v>17.823851203501093</v>
      </c>
      <c r="K26" s="512"/>
      <c r="Z26" s="1">
        <f>VLOOKUP(A26,ffbbudgettwofive,7,FALSE)</f>
        <v>50.25</v>
      </c>
      <c r="AA26" s="1">
        <f>VLOOKUP(A26,ffbbudgettwofive,8,FALSE)</f>
        <v>40.200000000000003</v>
      </c>
      <c r="AB26" s="1">
        <f>VLOOKUP(A26,ffbbudgettwofive,9,FALSE)</f>
        <v>70.350000000000009</v>
      </c>
      <c r="AC26" s="1">
        <f>VLOOKUP(A26,ffbbudgettwofive,10,FALSE)</f>
        <v>70.350000000000009</v>
      </c>
      <c r="AD26" s="1">
        <f>VLOOKUP(A26,ffbbudgettwofive,11,FALSE)</f>
        <v>70.350000000000009</v>
      </c>
      <c r="AE26" s="1">
        <f>VLOOKUP(A26,ffbbudgettwofive,12,FALSE)</f>
        <v>70.350000000000009</v>
      </c>
      <c r="AF26" s="1">
        <f>VLOOKUP(A26,ffbbudgettwofive,13,FALSE)</f>
        <v>80</v>
      </c>
      <c r="AG26" s="1">
        <f>VLOOKUP(A26,ffbbudgettwofive,14,FALSE)</f>
        <v>101</v>
      </c>
      <c r="AH26" s="1">
        <f>VLOOKUP(A26,ffbbudgettwofive,15,FALSE)</f>
        <v>101</v>
      </c>
      <c r="AI26" s="1">
        <f>VLOOKUP(A26,ffbbudgettwofive,16,FALSE)</f>
        <v>141</v>
      </c>
      <c r="AJ26" s="1">
        <f>VLOOKUP(A26,ffbbudgettwofive,17,FALSE)</f>
        <v>111</v>
      </c>
      <c r="AK26" s="1">
        <f>VLOOKUP(A26,ffbbudgettwofive,18,FALSE)</f>
        <v>101</v>
      </c>
      <c r="AP26" s="512"/>
    </row>
    <row r="27" spans="1:49" outlineLevel="1" x14ac:dyDescent="0.25">
      <c r="A27" s="1">
        <v>18</v>
      </c>
      <c r="B27" s="894">
        <f t="shared" si="4"/>
        <v>2011</v>
      </c>
      <c r="C27" s="523">
        <f>VLOOKUP(A27,NURAZANI,2,FALSE)</f>
        <v>40.799999999999997</v>
      </c>
      <c r="D27" s="822">
        <f>VLOOKUP(A27,coupe,4,FALSE)</f>
        <v>898</v>
      </c>
      <c r="E27" s="823">
        <f t="shared" si="5"/>
        <v>800.71</v>
      </c>
      <c r="F27" s="822">
        <f>VLOOKUP(A27,budget2024,19,FALSE)</f>
        <v>898</v>
      </c>
      <c r="G27" s="823">
        <f>VLOOKUP(A27,year2022to23,249,FALSE)</f>
        <v>737.08</v>
      </c>
      <c r="H27" s="482">
        <f>E27-G27</f>
        <v>63.629999999999995</v>
      </c>
      <c r="I27" s="694">
        <f>E27/C27</f>
        <v>19.625245098039219</v>
      </c>
      <c r="J27" s="695">
        <f>G27/C27</f>
        <v>18.065686274509805</v>
      </c>
      <c r="K27" s="512"/>
      <c r="Z27" s="1">
        <f>VLOOKUP(A27,ffbbudgettwofive,7,FALSE)</f>
        <v>44.900000000000006</v>
      </c>
      <c r="AA27" s="1">
        <f>VLOOKUP(A27,ffbbudgettwofive,8,FALSE)</f>
        <v>35.92</v>
      </c>
      <c r="AB27" s="1">
        <f>VLOOKUP(A27,ffbbudgettwofive,9,FALSE)</f>
        <v>62.860000000000007</v>
      </c>
      <c r="AC27" s="1">
        <f>VLOOKUP(A27,ffbbudgettwofive,10,FALSE)</f>
        <v>62.860000000000007</v>
      </c>
      <c r="AD27" s="1">
        <f>VLOOKUP(A27,ffbbudgettwofive,11,FALSE)</f>
        <v>62.860000000000007</v>
      </c>
      <c r="AE27" s="1">
        <f>VLOOKUP(A27,ffbbudgettwofive,12,FALSE)</f>
        <v>62.860000000000007</v>
      </c>
      <c r="AF27" s="1">
        <f>VLOOKUP(A27,ffbbudgettwofive,13,FALSE)</f>
        <v>72</v>
      </c>
      <c r="AG27" s="1">
        <f>VLOOKUP(A27,ffbbudgettwofive,14,FALSE)</f>
        <v>90</v>
      </c>
      <c r="AH27" s="1">
        <f>VLOOKUP(A27,ffbbudgettwofive,15,FALSE)</f>
        <v>90</v>
      </c>
      <c r="AI27" s="1">
        <f>VLOOKUP(A27,ffbbudgettwofive,16,FALSE)</f>
        <v>126</v>
      </c>
      <c r="AJ27" s="1">
        <f>VLOOKUP(A27,ffbbudgettwofive,17,FALSE)</f>
        <v>99</v>
      </c>
      <c r="AK27" s="1">
        <f>VLOOKUP(A27,ffbbudgettwofive,18,FALSE)</f>
        <v>90</v>
      </c>
      <c r="AP27" s="512"/>
    </row>
    <row r="28" spans="1:49" ht="15.75" outlineLevel="1" thickBot="1" x14ac:dyDescent="0.3">
      <c r="A28" s="562"/>
      <c r="B28" s="562"/>
      <c r="C28" s="563"/>
      <c r="E28" s="8"/>
      <c r="I28" s="8"/>
      <c r="J28" s="8"/>
      <c r="K28" s="512"/>
      <c r="AP28" s="512"/>
    </row>
    <row r="29" spans="1:49" s="7" customFormat="1" ht="15.75" thickBot="1" x14ac:dyDescent="0.3">
      <c r="A29" s="896"/>
      <c r="B29" s="897">
        <f>B30</f>
        <v>2012</v>
      </c>
      <c r="C29" s="820">
        <f>SUM(C30:C34)</f>
        <v>281.89999999999998</v>
      </c>
      <c r="D29" s="819">
        <f>SUM(D30:D34)</f>
        <v>5931</v>
      </c>
      <c r="E29" s="541">
        <f>SUM(E30:E34)</f>
        <v>4872.33</v>
      </c>
      <c r="F29" s="819">
        <f t="shared" ref="F29" si="6">SUM(F30:F34)</f>
        <v>5931</v>
      </c>
      <c r="G29" s="541">
        <f>SUM(G30:G34)</f>
        <v>4448.0300000000007</v>
      </c>
      <c r="H29" s="903">
        <f>E29-G29</f>
        <v>424.29999999999927</v>
      </c>
      <c r="I29" s="819">
        <f>E29/C29</f>
        <v>17.283894998226323</v>
      </c>
      <c r="J29" s="541">
        <f>G29/C29</f>
        <v>15.778751330258961</v>
      </c>
      <c r="K29" s="902"/>
      <c r="Z29" s="7" t="s">
        <v>180</v>
      </c>
      <c r="AA29" s="7" t="s">
        <v>181</v>
      </c>
      <c r="AB29" s="7" t="s">
        <v>182</v>
      </c>
      <c r="AC29" s="7" t="s">
        <v>183</v>
      </c>
      <c r="AD29" s="7" t="s">
        <v>184</v>
      </c>
      <c r="AE29" s="7" t="s">
        <v>185</v>
      </c>
      <c r="AF29" s="7" t="s">
        <v>186</v>
      </c>
      <c r="AG29" s="7" t="s">
        <v>187</v>
      </c>
      <c r="AH29" s="7" t="s">
        <v>188</v>
      </c>
      <c r="AI29" s="7" t="s">
        <v>189</v>
      </c>
      <c r="AJ29" s="7" t="s">
        <v>190</v>
      </c>
      <c r="AK29" s="7" t="s">
        <v>191</v>
      </c>
      <c r="AP29" s="902"/>
    </row>
    <row r="30" spans="1:49" outlineLevel="1" x14ac:dyDescent="0.25">
      <c r="A30" s="1">
        <v>19</v>
      </c>
      <c r="B30" s="894">
        <f>VLOOKUP(A30,coupe,3,FALSE)</f>
        <v>2012</v>
      </c>
      <c r="C30" s="529">
        <f>VLOOKUP(A30,DARSO,2,FALSE)</f>
        <v>50.62</v>
      </c>
      <c r="D30" s="822">
        <f>VLOOKUP(A30,coupe,4,FALSE)</f>
        <v>1063</v>
      </c>
      <c r="E30" s="823">
        <f>VLOOKUP(A30,year2022to23,311,FALSE)</f>
        <v>866</v>
      </c>
      <c r="F30" s="822">
        <f>VLOOKUP(A30,budget2024,19,FALSE)</f>
        <v>1063</v>
      </c>
      <c r="G30" s="823">
        <f>VLOOKUP(A30,year2022to23,249,FALSE)</f>
        <v>745.81000000000017</v>
      </c>
      <c r="H30" s="916">
        <f>E30-G30</f>
        <v>120.18999999999983</v>
      </c>
      <c r="I30" s="822">
        <f>E30/C30</f>
        <v>17.107862504938762</v>
      </c>
      <c r="J30" s="823">
        <f>G30/C30</f>
        <v>14.733504543658636</v>
      </c>
      <c r="K30" s="512"/>
      <c r="Z30" s="1">
        <f>VLOOKUP(A30,ffbbudgettwofive,7,FALSE)</f>
        <v>53.150000000000006</v>
      </c>
      <c r="AA30" s="1">
        <f>VLOOKUP(A30,ffbbudgettwofive,8,FALSE)</f>
        <v>42.52</v>
      </c>
      <c r="AB30" s="1">
        <f>VLOOKUP(A30,ffbbudgettwofive,9,FALSE)</f>
        <v>74.410000000000011</v>
      </c>
      <c r="AC30" s="1">
        <f>VLOOKUP(A30,ffbbudgettwofive,10,FALSE)</f>
        <v>74.410000000000011</v>
      </c>
      <c r="AD30" s="1">
        <f>VLOOKUP(A30,ffbbudgettwofive,11,FALSE)</f>
        <v>74.410000000000011</v>
      </c>
      <c r="AE30" s="1">
        <f>VLOOKUP(A30,ffbbudgettwofive,12,FALSE)</f>
        <v>74.410000000000011</v>
      </c>
      <c r="AF30" s="1">
        <f>VLOOKUP(A30,ffbbudgettwofive,13,FALSE)</f>
        <v>85</v>
      </c>
      <c r="AG30" s="1">
        <f>VLOOKUP(A30,ffbbudgettwofive,14,FALSE)</f>
        <v>106</v>
      </c>
      <c r="AH30" s="1">
        <f>VLOOKUP(A30,ffbbudgettwofive,15,FALSE)</f>
        <v>106</v>
      </c>
      <c r="AI30" s="1">
        <f>VLOOKUP(A30,ffbbudgettwofive,16,FALSE)</f>
        <v>149</v>
      </c>
      <c r="AJ30" s="1">
        <f>VLOOKUP(A30,ffbbudgettwofive,17,FALSE)</f>
        <v>117</v>
      </c>
      <c r="AK30" s="1">
        <f>VLOOKUP(A30,ffbbudgettwofive,18,FALSE)</f>
        <v>106</v>
      </c>
      <c r="AP30" s="512"/>
    </row>
    <row r="31" spans="1:49" outlineLevel="1" x14ac:dyDescent="0.25">
      <c r="A31" s="1">
        <v>20</v>
      </c>
      <c r="B31" s="894">
        <f>VLOOKUP(A31,coupe,3,FALSE)</f>
        <v>2012</v>
      </c>
      <c r="C31" s="523">
        <f>VLOOKUP(A31,DARSO,2,FALSE)</f>
        <v>62.08</v>
      </c>
      <c r="D31" s="822">
        <f>VLOOKUP(A31,coupe,4,FALSE)</f>
        <v>1304</v>
      </c>
      <c r="E31" s="823">
        <f>VLOOKUP(A31,year2022to23,311,FALSE)</f>
        <v>1028.6000000000001</v>
      </c>
      <c r="F31" s="822">
        <f>VLOOKUP(A31,budget2024,19,FALSE)</f>
        <v>1304</v>
      </c>
      <c r="G31" s="823">
        <f>VLOOKUP(A31,year2022to23,249,FALSE)</f>
        <v>799.99000000000012</v>
      </c>
      <c r="H31" s="482">
        <f>E31-G31</f>
        <v>228.61</v>
      </c>
      <c r="I31" s="694">
        <f>E31/C31</f>
        <v>16.568943298969074</v>
      </c>
      <c r="J31" s="695">
        <f>G31/C31</f>
        <v>12.886436855670105</v>
      </c>
      <c r="K31" s="512"/>
      <c r="Z31" s="1">
        <f>VLOOKUP(A31,ffbbudgettwofive,7,FALSE)</f>
        <v>65.2</v>
      </c>
      <c r="AA31" s="1">
        <f>VLOOKUP(A31,ffbbudgettwofive,8,FALSE)</f>
        <v>52.160000000000004</v>
      </c>
      <c r="AB31" s="1">
        <f>VLOOKUP(A31,ffbbudgettwofive,9,FALSE)</f>
        <v>91.280000000000015</v>
      </c>
      <c r="AC31" s="1">
        <f>VLOOKUP(A31,ffbbudgettwofive,10,FALSE)</f>
        <v>91.280000000000015</v>
      </c>
      <c r="AD31" s="1">
        <f>VLOOKUP(A31,ffbbudgettwofive,11,FALSE)</f>
        <v>91.280000000000015</v>
      </c>
      <c r="AE31" s="1">
        <f>VLOOKUP(A31,ffbbudgettwofive,12,FALSE)</f>
        <v>91.280000000000015</v>
      </c>
      <c r="AF31" s="1">
        <f>VLOOKUP(A31,ffbbudgettwofive,13,FALSE)</f>
        <v>104</v>
      </c>
      <c r="AG31" s="1">
        <f>VLOOKUP(A31,ffbbudgettwofive,14,FALSE)</f>
        <v>130</v>
      </c>
      <c r="AH31" s="1">
        <f>VLOOKUP(A31,ffbbudgettwofive,15,FALSE)</f>
        <v>130</v>
      </c>
      <c r="AI31" s="1">
        <f>VLOOKUP(A31,ffbbudgettwofive,16,FALSE)</f>
        <v>183</v>
      </c>
      <c r="AJ31" s="1">
        <f>VLOOKUP(A31,ffbbudgettwofive,17,FALSE)</f>
        <v>143</v>
      </c>
      <c r="AK31" s="1">
        <f>VLOOKUP(A31,ffbbudgettwofive,18,FALSE)</f>
        <v>130</v>
      </c>
      <c r="AP31" s="512"/>
      <c r="AW31" s="7"/>
    </row>
    <row r="32" spans="1:49" outlineLevel="1" x14ac:dyDescent="0.25">
      <c r="A32" s="1">
        <v>21</v>
      </c>
      <c r="B32" s="894">
        <f>VLOOKUP(A32,coupe,3,FALSE)</f>
        <v>2012</v>
      </c>
      <c r="C32" s="523">
        <f>VLOOKUP(A32,DARSO,2,FALSE)</f>
        <v>72.2</v>
      </c>
      <c r="D32" s="822">
        <f>VLOOKUP(A32,coupe,4,FALSE)</f>
        <v>1661</v>
      </c>
      <c r="E32" s="823">
        <f>VLOOKUP(A32,year2022to23,311,FALSE)</f>
        <v>1324.41</v>
      </c>
      <c r="F32" s="822">
        <f>VLOOKUP(A32,budget2024,19,FALSE)</f>
        <v>1661</v>
      </c>
      <c r="G32" s="823">
        <f>VLOOKUP(A32,year2022to23,249,FALSE)</f>
        <v>1304.9899999999998</v>
      </c>
      <c r="H32" s="482">
        <f>E32-G32</f>
        <v>19.4200000000003</v>
      </c>
      <c r="I32" s="694">
        <f>E32/C32</f>
        <v>18.343628808864267</v>
      </c>
      <c r="J32" s="695">
        <f>G32/C32</f>
        <v>18.074653739612184</v>
      </c>
      <c r="K32" s="512"/>
      <c r="Z32" s="1">
        <f>VLOOKUP(A32,ffbbudgettwofive,7,FALSE)</f>
        <v>83.050000000000011</v>
      </c>
      <c r="AA32" s="1">
        <f>VLOOKUP(A32,ffbbudgettwofive,8,FALSE)</f>
        <v>66.44</v>
      </c>
      <c r="AB32" s="1">
        <f>VLOOKUP(A32,ffbbudgettwofive,9,FALSE)</f>
        <v>116.27000000000001</v>
      </c>
      <c r="AC32" s="1">
        <f>VLOOKUP(A32,ffbbudgettwofive,10,FALSE)</f>
        <v>116.27000000000001</v>
      </c>
      <c r="AD32" s="1">
        <f>VLOOKUP(A32,ffbbudgettwofive,11,FALSE)</f>
        <v>116.27000000000001</v>
      </c>
      <c r="AE32" s="1">
        <f>VLOOKUP(A32,ffbbudgettwofive,12,FALSE)</f>
        <v>116.27000000000001</v>
      </c>
      <c r="AF32" s="1">
        <f>VLOOKUP(A32,ffbbudgettwofive,13,FALSE)</f>
        <v>133</v>
      </c>
      <c r="AG32" s="1">
        <f>VLOOKUP(A32,ffbbudgettwofive,14,FALSE)</f>
        <v>166</v>
      </c>
      <c r="AH32" s="1">
        <f>VLOOKUP(A32,ffbbudgettwofive,15,FALSE)</f>
        <v>166</v>
      </c>
      <c r="AI32" s="1">
        <f>VLOOKUP(A32,ffbbudgettwofive,16,FALSE)</f>
        <v>232</v>
      </c>
      <c r="AJ32" s="1">
        <f>VLOOKUP(A32,ffbbudgettwofive,17,FALSE)</f>
        <v>183</v>
      </c>
      <c r="AK32" s="1">
        <f>VLOOKUP(A32,ffbbudgettwofive,18,FALSE)</f>
        <v>166</v>
      </c>
      <c r="AP32" s="512"/>
    </row>
    <row r="33" spans="1:49" outlineLevel="1" x14ac:dyDescent="0.25">
      <c r="A33" s="1">
        <v>22</v>
      </c>
      <c r="B33" s="894">
        <f>VLOOKUP(A33,coupe,3,FALSE)</f>
        <v>2012</v>
      </c>
      <c r="C33" s="523">
        <f>VLOOKUP(A33,DARSO,2,FALSE)</f>
        <v>52.3</v>
      </c>
      <c r="D33" s="822">
        <f>VLOOKUP(A33,coupe,4,FALSE)</f>
        <v>1098</v>
      </c>
      <c r="E33" s="823">
        <f>VLOOKUP(A33,year2022to23,311,FALSE)</f>
        <v>845.84</v>
      </c>
      <c r="F33" s="822">
        <f>VLOOKUP(A33,budget2024,19,FALSE)</f>
        <v>1098</v>
      </c>
      <c r="G33" s="823">
        <f>VLOOKUP(A33,year2022to23,249,FALSE)</f>
        <v>802.3</v>
      </c>
      <c r="H33" s="482">
        <f>E33-G33</f>
        <v>43.540000000000077</v>
      </c>
      <c r="I33" s="694">
        <f>E33/C33</f>
        <v>16.172848948374764</v>
      </c>
      <c r="J33" s="695">
        <f>G33/C33</f>
        <v>15.340344168260039</v>
      </c>
      <c r="K33" s="512"/>
      <c r="Z33" s="1">
        <f>VLOOKUP(A33,ffbbudgettwofive,7,FALSE)</f>
        <v>54.900000000000006</v>
      </c>
      <c r="AA33" s="1">
        <f>VLOOKUP(A33,ffbbudgettwofive,8,FALSE)</f>
        <v>43.92</v>
      </c>
      <c r="AB33" s="1">
        <f>VLOOKUP(A33,ffbbudgettwofive,9,FALSE)</f>
        <v>76.860000000000014</v>
      </c>
      <c r="AC33" s="1">
        <f>VLOOKUP(A33,ffbbudgettwofive,10,FALSE)</f>
        <v>76.860000000000014</v>
      </c>
      <c r="AD33" s="1">
        <f>VLOOKUP(A33,ffbbudgettwofive,11,FALSE)</f>
        <v>76.860000000000014</v>
      </c>
      <c r="AE33" s="1">
        <f>VLOOKUP(A33,ffbbudgettwofive,12,FALSE)</f>
        <v>76.860000000000014</v>
      </c>
      <c r="AF33" s="1">
        <f>VLOOKUP(A33,ffbbudgettwofive,13,FALSE)</f>
        <v>88</v>
      </c>
      <c r="AG33" s="1">
        <f>VLOOKUP(A33,ffbbudgettwofive,14,FALSE)</f>
        <v>110</v>
      </c>
      <c r="AH33" s="1">
        <f>VLOOKUP(A33,ffbbudgettwofive,15,FALSE)</f>
        <v>110</v>
      </c>
      <c r="AI33" s="1">
        <f>VLOOKUP(A33,ffbbudgettwofive,16,FALSE)</f>
        <v>154</v>
      </c>
      <c r="AJ33" s="1">
        <f>VLOOKUP(A33,ffbbudgettwofive,17,FALSE)</f>
        <v>121</v>
      </c>
      <c r="AK33" s="1">
        <f>VLOOKUP(A33,ffbbudgettwofive,18,FALSE)</f>
        <v>110</v>
      </c>
      <c r="AP33" s="512"/>
      <c r="AS33" s="7"/>
      <c r="AT33" s="7"/>
      <c r="AU33" s="7"/>
      <c r="AV33" s="7"/>
    </row>
    <row r="34" spans="1:49" outlineLevel="1" x14ac:dyDescent="0.25">
      <c r="A34" s="1">
        <v>24</v>
      </c>
      <c r="B34" s="894">
        <f>VLOOKUP(A34,coupe,3,FALSE)</f>
        <v>2012</v>
      </c>
      <c r="C34" s="523">
        <f>VLOOKUP(A34,SERAN,2,FALSE)</f>
        <v>44.7</v>
      </c>
      <c r="D34" s="822">
        <f>VLOOKUP(A34,coupe,4,FALSE)</f>
        <v>805</v>
      </c>
      <c r="E34" s="823">
        <f>VLOOKUP(A34,year2022to23,311,FALSE)</f>
        <v>807.48</v>
      </c>
      <c r="F34" s="822">
        <f>VLOOKUP(A34,budget2024,19,FALSE)</f>
        <v>805</v>
      </c>
      <c r="G34" s="823">
        <f>VLOOKUP(A34,year2022to23,249,FALSE)</f>
        <v>794.94</v>
      </c>
      <c r="H34" s="482">
        <f>E34-G34</f>
        <v>12.539999999999964</v>
      </c>
      <c r="I34" s="694">
        <f>E34/C34</f>
        <v>18.064429530201341</v>
      </c>
      <c r="J34" s="695">
        <f>G34/C34</f>
        <v>17.783892617449663</v>
      </c>
      <c r="K34" s="512"/>
      <c r="Z34" s="1">
        <f>VLOOKUP(A34,ffbbudgettwofive,7,FALSE)</f>
        <v>40.25</v>
      </c>
      <c r="AA34" s="1">
        <f>VLOOKUP(A34,ffbbudgettwofive,8,FALSE)</f>
        <v>32.200000000000003</v>
      </c>
      <c r="AB34" s="1">
        <f>VLOOKUP(A34,ffbbudgettwofive,9,FALSE)</f>
        <v>56.350000000000009</v>
      </c>
      <c r="AC34" s="1">
        <f>VLOOKUP(A34,ffbbudgettwofive,10,FALSE)</f>
        <v>56.350000000000009</v>
      </c>
      <c r="AD34" s="1">
        <f>VLOOKUP(A34,ffbbudgettwofive,11,FALSE)</f>
        <v>56.350000000000009</v>
      </c>
      <c r="AE34" s="1">
        <f>VLOOKUP(A34,ffbbudgettwofive,12,FALSE)</f>
        <v>56.350000000000009</v>
      </c>
      <c r="AF34" s="1">
        <f>VLOOKUP(A34,ffbbudgettwofive,13,FALSE)</f>
        <v>64</v>
      </c>
      <c r="AG34" s="1">
        <f>VLOOKUP(A34,ffbbudgettwofive,14,FALSE)</f>
        <v>81</v>
      </c>
      <c r="AH34" s="1">
        <f>VLOOKUP(A34,ffbbudgettwofive,15,FALSE)</f>
        <v>81</v>
      </c>
      <c r="AI34" s="1">
        <f>VLOOKUP(A34,ffbbudgettwofive,16,FALSE)</f>
        <v>113</v>
      </c>
      <c r="AJ34" s="1">
        <f>VLOOKUP(A34,ffbbudgettwofive,17,FALSE)</f>
        <v>89</v>
      </c>
      <c r="AK34" s="1">
        <f>VLOOKUP(A34,ffbbudgettwofive,18,FALSE)</f>
        <v>81</v>
      </c>
      <c r="AP34" s="512"/>
    </row>
    <row r="35" spans="1:49" ht="15.75" outlineLevel="1" thickBot="1" x14ac:dyDescent="0.3">
      <c r="A35" s="562"/>
      <c r="B35" s="562"/>
      <c r="C35" s="563"/>
      <c r="E35" s="8"/>
      <c r="I35" s="8"/>
      <c r="J35" s="8"/>
      <c r="K35" s="512"/>
      <c r="AP35" s="512"/>
    </row>
    <row r="36" spans="1:49" s="7" customFormat="1" ht="15.75" thickBot="1" x14ac:dyDescent="0.3">
      <c r="A36" s="896"/>
      <c r="B36" s="897">
        <f>B37</f>
        <v>2015</v>
      </c>
      <c r="C36" s="820">
        <f>SUM(C37:C43)</f>
        <v>174.89</v>
      </c>
      <c r="D36" s="819">
        <f>SUM(D37:D43)</f>
        <v>843</v>
      </c>
      <c r="E36" s="541">
        <f>SUM(E37:E43)</f>
        <v>1688.28</v>
      </c>
      <c r="F36" s="819">
        <f t="shared" ref="F36" si="7">SUM(F37:F43)</f>
        <v>521</v>
      </c>
      <c r="G36" s="541">
        <f>SUM(G37:G43)</f>
        <v>745.1629999999999</v>
      </c>
      <c r="H36" s="903">
        <f>E36-G36</f>
        <v>943.11700000000008</v>
      </c>
      <c r="I36" s="819">
        <f>E36/C36</f>
        <v>9.6533821259077133</v>
      </c>
      <c r="J36" s="541">
        <f>G36/C36</f>
        <v>4.2607524729830173</v>
      </c>
      <c r="K36" s="512"/>
      <c r="Z36" s="7" t="s">
        <v>180</v>
      </c>
      <c r="AA36" s="7" t="s">
        <v>181</v>
      </c>
      <c r="AB36" s="7" t="s">
        <v>182</v>
      </c>
      <c r="AC36" s="7" t="s">
        <v>183</v>
      </c>
      <c r="AD36" s="7" t="s">
        <v>184</v>
      </c>
      <c r="AE36" s="7" t="s">
        <v>185</v>
      </c>
      <c r="AF36" s="7" t="s">
        <v>186</v>
      </c>
      <c r="AG36" s="7" t="s">
        <v>187</v>
      </c>
      <c r="AH36" s="7" t="s">
        <v>188</v>
      </c>
      <c r="AI36" s="7" t="s">
        <v>189</v>
      </c>
      <c r="AJ36" s="7" t="s">
        <v>190</v>
      </c>
      <c r="AK36" s="7" t="s">
        <v>191</v>
      </c>
      <c r="AP36" s="512"/>
      <c r="AS36"/>
      <c r="AT36"/>
      <c r="AU36"/>
      <c r="AV36"/>
      <c r="AW36"/>
    </row>
    <row r="37" spans="1:49" outlineLevel="1" x14ac:dyDescent="0.25">
      <c r="A37" s="1">
        <v>25</v>
      </c>
      <c r="B37" s="894">
        <f t="shared" ref="B37:B43" si="8">VLOOKUP(A37,coupe,3,FALSE)</f>
        <v>2015</v>
      </c>
      <c r="C37" s="523">
        <f>VLOOKUP(A37,WENDERLINUS,2,FALSE)</f>
        <v>38.22</v>
      </c>
      <c r="D37" s="822">
        <f>VLOOKUP(A37,coupe,4,FALSE)</f>
        <v>134</v>
      </c>
      <c r="E37" s="823">
        <f t="shared" ref="E37:E43" si="9">VLOOKUP(A37,year2022to23,311,FALSE)</f>
        <v>330.30999999999995</v>
      </c>
      <c r="F37" s="822">
        <f>VLOOKUP(A37,budget2024,19,FALSE)</f>
        <v>76</v>
      </c>
      <c r="G37" s="823">
        <f>VLOOKUP(A37,year2022to23,249,FALSE)</f>
        <v>109.91000000000001</v>
      </c>
      <c r="H37" s="916">
        <f>E37-G37</f>
        <v>220.39999999999992</v>
      </c>
      <c r="I37" s="822">
        <f>E37/C37</f>
        <v>8.6423338566195689</v>
      </c>
      <c r="J37" s="823">
        <f>G37/C37</f>
        <v>2.8757195185766617</v>
      </c>
      <c r="K37" s="512"/>
      <c r="Z37" s="1">
        <f>VLOOKUP(A37,ffbbudgettwofive,7,FALSE)</f>
        <v>6.7</v>
      </c>
      <c r="AA37" s="1">
        <f>VLOOKUP(A37,ffbbudgettwofive,8,FALSE)</f>
        <v>5.36</v>
      </c>
      <c r="AB37" s="1">
        <f>VLOOKUP(A37,ffbbudgettwofive,9,FALSE)</f>
        <v>9.3800000000000008</v>
      </c>
      <c r="AC37" s="1">
        <f>VLOOKUP(A37,ffbbudgettwofive,10,FALSE)</f>
        <v>9.3800000000000008</v>
      </c>
      <c r="AD37" s="1">
        <f>VLOOKUP(A37,ffbbudgettwofive,11,FALSE)</f>
        <v>9.3800000000000008</v>
      </c>
      <c r="AE37" s="1">
        <f>VLOOKUP(A37,ffbbudgettwofive,12,FALSE)</f>
        <v>9.3800000000000008</v>
      </c>
      <c r="AF37" s="1">
        <f>VLOOKUP(A37,ffbbudgettwofive,13,FALSE)</f>
        <v>11</v>
      </c>
      <c r="AG37" s="1">
        <f>VLOOKUP(A37,ffbbudgettwofive,14,FALSE)</f>
        <v>13</v>
      </c>
      <c r="AH37" s="1">
        <f>VLOOKUP(A37,ffbbudgettwofive,15,FALSE)</f>
        <v>13</v>
      </c>
      <c r="AI37" s="1">
        <f>VLOOKUP(A37,ffbbudgettwofive,16,FALSE)</f>
        <v>19</v>
      </c>
      <c r="AJ37" s="1">
        <f>VLOOKUP(A37,ffbbudgettwofive,17,FALSE)</f>
        <v>15</v>
      </c>
      <c r="AK37" s="1">
        <f>VLOOKUP(A37,ffbbudgettwofive,18,FALSE)</f>
        <v>13</v>
      </c>
      <c r="AP37" s="512"/>
    </row>
    <row r="38" spans="1:49" outlineLevel="1" x14ac:dyDescent="0.25">
      <c r="A38" s="4" t="s">
        <v>7</v>
      </c>
      <c r="B38" s="894">
        <f t="shared" si="8"/>
        <v>2015</v>
      </c>
      <c r="C38" s="523">
        <f>VLOOKUP(A38,WENDERLINUS,2,FALSE)</f>
        <v>22.72</v>
      </c>
      <c r="D38" s="822">
        <f>VLOOKUP(A38,coupe,4,FALSE)</f>
        <v>108</v>
      </c>
      <c r="E38" s="823">
        <f t="shared" si="9"/>
        <v>281.24</v>
      </c>
      <c r="F38" s="822">
        <f>VLOOKUP(A38,budget2024,19,FALSE)</f>
        <v>91</v>
      </c>
      <c r="G38" s="823">
        <f>VLOOKUP(A38,year2022to23,249,FALSE)</f>
        <v>164.86</v>
      </c>
      <c r="H38" s="482">
        <f>E38-G38</f>
        <v>116.38</v>
      </c>
      <c r="I38" s="694">
        <f>E38/C38</f>
        <v>12.378521126760564</v>
      </c>
      <c r="J38" s="695">
        <f>G38/C38</f>
        <v>7.2561619718309869</v>
      </c>
      <c r="K38" s="512"/>
      <c r="Z38" s="1">
        <f>VLOOKUP(A38,ffbbudgettwofive,7,FALSE)</f>
        <v>5.4</v>
      </c>
      <c r="AA38" s="1">
        <f>VLOOKUP(A38,ffbbudgettwofive,8,FALSE)</f>
        <v>4.32</v>
      </c>
      <c r="AB38" s="1">
        <f>VLOOKUP(A38,ffbbudgettwofive,9,FALSE)</f>
        <v>7.5600000000000005</v>
      </c>
      <c r="AC38" s="1">
        <f>VLOOKUP(A38,ffbbudgettwofive,10,FALSE)</f>
        <v>7.5600000000000005</v>
      </c>
      <c r="AD38" s="1">
        <f>VLOOKUP(A38,ffbbudgettwofive,11,FALSE)</f>
        <v>7.5600000000000005</v>
      </c>
      <c r="AE38" s="1">
        <f>VLOOKUP(A38,ffbbudgettwofive,12,FALSE)</f>
        <v>7.5600000000000005</v>
      </c>
      <c r="AF38" s="1">
        <f>VLOOKUP(A38,ffbbudgettwofive,13,FALSE)</f>
        <v>9</v>
      </c>
      <c r="AG38" s="1">
        <f>VLOOKUP(A38,ffbbudgettwofive,14,FALSE)</f>
        <v>11</v>
      </c>
      <c r="AH38" s="1">
        <f>VLOOKUP(A38,ffbbudgettwofive,15,FALSE)</f>
        <v>11</v>
      </c>
      <c r="AI38" s="1">
        <f>VLOOKUP(A38,ffbbudgettwofive,16,FALSE)</f>
        <v>15</v>
      </c>
      <c r="AJ38" s="1">
        <f>VLOOKUP(A38,ffbbudgettwofive,17,FALSE)</f>
        <v>12</v>
      </c>
      <c r="AK38" s="1">
        <f>VLOOKUP(A38,ffbbudgettwofive,18,FALSE)</f>
        <v>11</v>
      </c>
      <c r="AP38" s="512"/>
      <c r="AW38" s="7"/>
    </row>
    <row r="39" spans="1:49" outlineLevel="1" x14ac:dyDescent="0.25">
      <c r="A39" s="511">
        <v>27</v>
      </c>
      <c r="B39" s="894">
        <f t="shared" si="8"/>
        <v>2015</v>
      </c>
      <c r="C39" s="529">
        <f>VLOOKUP(A39,WENDERLINUS,2,FALSE)</f>
        <v>18.64</v>
      </c>
      <c r="D39" s="822">
        <f>VLOOKUP(A39,coupe,4,FALSE)</f>
        <v>86</v>
      </c>
      <c r="E39" s="823">
        <f t="shared" si="9"/>
        <v>191.64000000000001</v>
      </c>
      <c r="F39" s="822">
        <f>VLOOKUP(A39,budget2024,19,FALSE)</f>
        <v>75</v>
      </c>
      <c r="G39" s="823">
        <f>VLOOKUP(A39,year2022to23,249,FALSE)</f>
        <v>109.13</v>
      </c>
      <c r="H39" s="482">
        <f>E39-G39</f>
        <v>82.510000000000019</v>
      </c>
      <c r="I39" s="694">
        <f>E39/C39</f>
        <v>10.281115879828327</v>
      </c>
      <c r="J39" s="695">
        <f>G39/C39</f>
        <v>5.8546137339055786</v>
      </c>
      <c r="K39" s="512"/>
      <c r="Z39" s="1">
        <f>VLOOKUP(A39,ffbbudgettwofive,7,FALSE)</f>
        <v>4.3</v>
      </c>
      <c r="AA39" s="1">
        <f>VLOOKUP(A39,ffbbudgettwofive,8,FALSE)</f>
        <v>3.44</v>
      </c>
      <c r="AB39" s="1">
        <f>VLOOKUP(A39,ffbbudgettwofive,9,FALSE)</f>
        <v>6.0200000000000005</v>
      </c>
      <c r="AC39" s="1">
        <f>VLOOKUP(A39,ffbbudgettwofive,10,FALSE)</f>
        <v>6.0200000000000005</v>
      </c>
      <c r="AD39" s="1">
        <f>VLOOKUP(A39,ffbbudgettwofive,11,FALSE)</f>
        <v>6.0200000000000005</v>
      </c>
      <c r="AE39" s="1">
        <f>VLOOKUP(A39,ffbbudgettwofive,12,FALSE)</f>
        <v>6.0200000000000005</v>
      </c>
      <c r="AF39" s="1">
        <f>VLOOKUP(A39,ffbbudgettwofive,13,FALSE)</f>
        <v>7</v>
      </c>
      <c r="AG39" s="1">
        <f>VLOOKUP(A39,ffbbudgettwofive,14,FALSE)</f>
        <v>9</v>
      </c>
      <c r="AH39" s="1">
        <f>VLOOKUP(A39,ffbbudgettwofive,15,FALSE)</f>
        <v>9</v>
      </c>
      <c r="AI39" s="1">
        <f>VLOOKUP(A39,ffbbudgettwofive,16,FALSE)</f>
        <v>12</v>
      </c>
      <c r="AJ39" s="1">
        <f>VLOOKUP(A39,ffbbudgettwofive,17,FALSE)</f>
        <v>9</v>
      </c>
      <c r="AK39" s="1">
        <f>VLOOKUP(A39,ffbbudgettwofive,18,FALSE)</f>
        <v>9</v>
      </c>
      <c r="AP39" s="512"/>
    </row>
    <row r="40" spans="1:49" outlineLevel="1" x14ac:dyDescent="0.25">
      <c r="A40" s="1">
        <v>28</v>
      </c>
      <c r="B40" s="894">
        <f t="shared" si="8"/>
        <v>2015</v>
      </c>
      <c r="C40" s="523">
        <f>VLOOKUP(A40,WENDERLINUS,2,FALSE)</f>
        <v>25.5</v>
      </c>
      <c r="D40" s="822">
        <f>VLOOKUP(A40,coupe,4,FALSE)</f>
        <v>256</v>
      </c>
      <c r="E40" s="823">
        <f t="shared" si="9"/>
        <v>331.57000000000005</v>
      </c>
      <c r="F40" s="822">
        <f>VLOOKUP(A40,budget2024,19,FALSE)</f>
        <v>128</v>
      </c>
      <c r="G40" s="823">
        <f>VLOOKUP(A40,year2022to23,249,FALSE)</f>
        <v>249.42999999999995</v>
      </c>
      <c r="H40" s="482">
        <f>E40-G40</f>
        <v>82.1400000000001</v>
      </c>
      <c r="I40" s="694">
        <f>E40/C40</f>
        <v>13.002745098039219</v>
      </c>
      <c r="J40" s="695">
        <f>G40/C40</f>
        <v>9.7815686274509783</v>
      </c>
      <c r="K40" s="512"/>
      <c r="Z40" s="1">
        <f>VLOOKUP(A40,ffbbudgettwofive,7,FALSE)</f>
        <v>12.8</v>
      </c>
      <c r="AA40" s="1">
        <f>VLOOKUP(A40,ffbbudgettwofive,8,FALSE)</f>
        <v>10.24</v>
      </c>
      <c r="AB40" s="1">
        <f>VLOOKUP(A40,ffbbudgettwofive,9,FALSE)</f>
        <v>17.920000000000002</v>
      </c>
      <c r="AC40" s="1">
        <f>VLOOKUP(A40,ffbbudgettwofive,10,FALSE)</f>
        <v>17.920000000000002</v>
      </c>
      <c r="AD40" s="1">
        <f>VLOOKUP(A40,ffbbudgettwofive,11,FALSE)</f>
        <v>17.920000000000002</v>
      </c>
      <c r="AE40" s="1">
        <f>VLOOKUP(A40,ffbbudgettwofive,12,FALSE)</f>
        <v>17.920000000000002</v>
      </c>
      <c r="AF40" s="1">
        <f>VLOOKUP(A40,ffbbudgettwofive,13,FALSE)</f>
        <v>21</v>
      </c>
      <c r="AG40" s="1">
        <f>VLOOKUP(A40,ffbbudgettwofive,14,FALSE)</f>
        <v>26</v>
      </c>
      <c r="AH40" s="1">
        <f>VLOOKUP(A40,ffbbudgettwofive,15,FALSE)</f>
        <v>26</v>
      </c>
      <c r="AI40" s="1">
        <f>VLOOKUP(A40,ffbbudgettwofive,16,FALSE)</f>
        <v>36</v>
      </c>
      <c r="AJ40" s="1">
        <f>VLOOKUP(A40,ffbbudgettwofive,17,FALSE)</f>
        <v>28</v>
      </c>
      <c r="AK40" s="1">
        <f>VLOOKUP(A40,ffbbudgettwofive,18,FALSE)</f>
        <v>26</v>
      </c>
      <c r="AP40" s="512"/>
      <c r="AS40" s="7"/>
      <c r="AT40" s="7"/>
      <c r="AU40" s="7"/>
      <c r="AV40" s="7"/>
    </row>
    <row r="41" spans="1:49" outlineLevel="1" x14ac:dyDescent="0.25">
      <c r="A41" s="100">
        <v>29</v>
      </c>
      <c r="B41" s="894">
        <f t="shared" si="8"/>
        <v>2015</v>
      </c>
      <c r="C41" s="523">
        <f>VLOOKUP(A41,ERDI,2,FALSE)</f>
        <v>11.38</v>
      </c>
      <c r="D41" s="822">
        <f>VLOOKUP(A41,coupe,4,FALSE)</f>
        <v>69</v>
      </c>
      <c r="E41" s="823">
        <f t="shared" si="9"/>
        <v>97.54</v>
      </c>
      <c r="F41" s="822">
        <f>VLOOKUP(A41,budget2024,19,FALSE)</f>
        <v>34</v>
      </c>
      <c r="G41" s="823">
        <f>VLOOKUP(A41,year2022to23,249,FALSE)</f>
        <v>16.62</v>
      </c>
      <c r="H41" s="482">
        <f>E41-G41</f>
        <v>80.92</v>
      </c>
      <c r="I41" s="694">
        <f>E41/C41</f>
        <v>8.5711775043936722</v>
      </c>
      <c r="J41" s="695">
        <f>G41/C41</f>
        <v>1.4604569420035149</v>
      </c>
      <c r="K41" s="512"/>
      <c r="Z41" s="1">
        <f>VLOOKUP(A41,ffbbudgettwofive,7,FALSE)</f>
        <v>3.45</v>
      </c>
      <c r="AA41" s="1">
        <f>VLOOKUP(A41,ffbbudgettwofive,8,FALSE)</f>
        <v>2.7600000000000002</v>
      </c>
      <c r="AB41" s="1">
        <f>VLOOKUP(A41,ffbbudgettwofive,9,FALSE)</f>
        <v>4.83</v>
      </c>
      <c r="AC41" s="1">
        <f>VLOOKUP(A41,ffbbudgettwofive,10,FALSE)</f>
        <v>4.83</v>
      </c>
      <c r="AD41" s="1">
        <f>VLOOKUP(A41,ffbbudgettwofive,11,FALSE)</f>
        <v>4.83</v>
      </c>
      <c r="AE41" s="1">
        <f>VLOOKUP(A41,ffbbudgettwofive,12,FALSE)</f>
        <v>4.83</v>
      </c>
      <c r="AF41" s="1">
        <f>VLOOKUP(A41,ffbbudgettwofive,13,FALSE)</f>
        <v>6</v>
      </c>
      <c r="AG41" s="1">
        <f>VLOOKUP(A41,ffbbudgettwofive,14,FALSE)</f>
        <v>7</v>
      </c>
      <c r="AH41" s="1">
        <f>VLOOKUP(A41,ffbbudgettwofive,15,FALSE)</f>
        <v>7</v>
      </c>
      <c r="AI41" s="1">
        <f>VLOOKUP(A41,ffbbudgettwofive,16,FALSE)</f>
        <v>10</v>
      </c>
      <c r="AJ41" s="1">
        <f>VLOOKUP(A41,ffbbudgettwofive,17,FALSE)</f>
        <v>8</v>
      </c>
      <c r="AK41" s="1">
        <f>VLOOKUP(A41,ffbbudgettwofive,18,FALSE)</f>
        <v>7</v>
      </c>
      <c r="AP41" s="512"/>
    </row>
    <row r="42" spans="1:49" outlineLevel="1" x14ac:dyDescent="0.25">
      <c r="A42" s="1">
        <v>30</v>
      </c>
      <c r="B42" s="894">
        <f t="shared" si="8"/>
        <v>2015</v>
      </c>
      <c r="C42" s="523">
        <f>VLOOKUP(A42,WENDERLINUS,2,FALSE)</f>
        <v>24.35</v>
      </c>
      <c r="D42" s="822">
        <f>VLOOKUP(A42,coupe,4,FALSE)</f>
        <v>74</v>
      </c>
      <c r="E42" s="823">
        <f t="shared" si="9"/>
        <v>222.79</v>
      </c>
      <c r="F42" s="822">
        <f>VLOOKUP(A42,budget2024,19,FALSE)</f>
        <v>49</v>
      </c>
      <c r="G42" s="823">
        <f>VLOOKUP(A42,year2022to23,249,FALSE)</f>
        <v>43.88</v>
      </c>
      <c r="H42" s="482">
        <f>E42-G42</f>
        <v>178.91</v>
      </c>
      <c r="I42" s="694">
        <f>E42/C42</f>
        <v>9.1494866529774121</v>
      </c>
      <c r="J42" s="695">
        <f>G42/C42</f>
        <v>1.8020533880903491</v>
      </c>
      <c r="K42" s="512"/>
      <c r="Z42" s="1">
        <f>VLOOKUP(A42,ffbbudgettwofive,7,FALSE)</f>
        <v>3.7</v>
      </c>
      <c r="AA42" s="1">
        <f>VLOOKUP(A42,ffbbudgettwofive,8,FALSE)</f>
        <v>2.96</v>
      </c>
      <c r="AB42" s="1">
        <f>VLOOKUP(A42,ffbbudgettwofive,9,FALSE)</f>
        <v>5.1800000000000006</v>
      </c>
      <c r="AC42" s="1">
        <f>VLOOKUP(A42,ffbbudgettwofive,10,FALSE)</f>
        <v>5.1800000000000006</v>
      </c>
      <c r="AD42" s="1">
        <f>VLOOKUP(A42,ffbbudgettwofive,11,FALSE)</f>
        <v>5.1800000000000006</v>
      </c>
      <c r="AE42" s="1">
        <f>VLOOKUP(A42,ffbbudgettwofive,12,FALSE)</f>
        <v>5.1800000000000006</v>
      </c>
      <c r="AF42" s="1">
        <f>VLOOKUP(A42,ffbbudgettwofive,13,FALSE)</f>
        <v>6</v>
      </c>
      <c r="AG42" s="1">
        <f>VLOOKUP(A42,ffbbudgettwofive,14,FALSE)</f>
        <v>7</v>
      </c>
      <c r="AH42" s="1">
        <f>VLOOKUP(A42,ffbbudgettwofive,15,FALSE)</f>
        <v>7</v>
      </c>
      <c r="AI42" s="1">
        <f>VLOOKUP(A42,ffbbudgettwofive,16,FALSE)</f>
        <v>10</v>
      </c>
      <c r="AJ42" s="1">
        <f>VLOOKUP(A42,ffbbudgettwofive,17,FALSE)</f>
        <v>8</v>
      </c>
      <c r="AK42" s="1">
        <f>VLOOKUP(A42,ffbbudgettwofive,18,FALSE)</f>
        <v>7</v>
      </c>
      <c r="AP42" s="512"/>
    </row>
    <row r="43" spans="1:49" outlineLevel="1" x14ac:dyDescent="0.25">
      <c r="A43" s="1">
        <v>31</v>
      </c>
      <c r="B43" s="894">
        <f t="shared" si="8"/>
        <v>2015</v>
      </c>
      <c r="C43" s="523">
        <f>VLOOKUP(A43,WENDERLINUS,2,FALSE)</f>
        <v>34.08</v>
      </c>
      <c r="D43" s="822">
        <f>VLOOKUP(A43,coupe,4,FALSE)</f>
        <v>116</v>
      </c>
      <c r="E43" s="823">
        <f t="shared" si="9"/>
        <v>233.18999999999997</v>
      </c>
      <c r="F43" s="822">
        <f>VLOOKUP(A43,budget2024,19,FALSE)</f>
        <v>68</v>
      </c>
      <c r="G43" s="823">
        <f>VLOOKUP(A43,year2022to23,249,FALSE)</f>
        <v>51.332999999999998</v>
      </c>
      <c r="H43" s="482">
        <f>E43-G43</f>
        <v>181.85699999999997</v>
      </c>
      <c r="I43" s="694">
        <f>E43/C43</f>
        <v>6.8424295774647881</v>
      </c>
      <c r="J43" s="695">
        <f>G43/C43</f>
        <v>1.5062500000000001</v>
      </c>
      <c r="K43" s="512"/>
      <c r="Z43" s="1">
        <f>VLOOKUP(A43,ffbbudgettwofive,7,FALSE)</f>
        <v>5.8000000000000007</v>
      </c>
      <c r="AA43" s="1">
        <f>VLOOKUP(A43,ffbbudgettwofive,8,FALSE)</f>
        <v>4.6399999999999997</v>
      </c>
      <c r="AB43" s="1">
        <f>VLOOKUP(A43,ffbbudgettwofive,9,FALSE)</f>
        <v>8.120000000000001</v>
      </c>
      <c r="AC43" s="1">
        <f>VLOOKUP(A43,ffbbudgettwofive,10,FALSE)</f>
        <v>8.120000000000001</v>
      </c>
      <c r="AD43" s="1">
        <f>VLOOKUP(A43,ffbbudgettwofive,11,FALSE)</f>
        <v>8.120000000000001</v>
      </c>
      <c r="AE43" s="1">
        <f>VLOOKUP(A43,ffbbudgettwofive,12,FALSE)</f>
        <v>8.120000000000001</v>
      </c>
      <c r="AF43" s="1">
        <f>VLOOKUP(A43,ffbbudgettwofive,13,FALSE)</f>
        <v>9</v>
      </c>
      <c r="AG43" s="1">
        <f>VLOOKUP(A43,ffbbudgettwofive,14,FALSE)</f>
        <v>12</v>
      </c>
      <c r="AH43" s="1">
        <f>VLOOKUP(A43,ffbbudgettwofive,15,FALSE)</f>
        <v>12</v>
      </c>
      <c r="AI43" s="1">
        <f>VLOOKUP(A43,ffbbudgettwofive,16,FALSE)</f>
        <v>16</v>
      </c>
      <c r="AJ43" s="1">
        <f>VLOOKUP(A43,ffbbudgettwofive,17,FALSE)</f>
        <v>13</v>
      </c>
      <c r="AK43" s="1">
        <f>VLOOKUP(A43,ffbbudgettwofive,18,FALSE)</f>
        <v>12</v>
      </c>
      <c r="AP43" s="512"/>
    </row>
    <row r="44" spans="1:49" ht="15.75" outlineLevel="1" thickBot="1" x14ac:dyDescent="0.3">
      <c r="A44" s="562"/>
      <c r="B44" s="562"/>
      <c r="C44" s="563"/>
      <c r="E44" s="8"/>
      <c r="I44" s="8"/>
      <c r="J44" s="8"/>
      <c r="K44" s="512"/>
      <c r="AP44" s="512"/>
    </row>
    <row r="45" spans="1:49" s="7" customFormat="1" ht="15.75" thickBot="1" x14ac:dyDescent="0.3">
      <c r="A45" s="896"/>
      <c r="B45" s="899">
        <f>B46</f>
        <v>2016</v>
      </c>
      <c r="C45" s="542">
        <f>SUM(C46:C47)</f>
        <v>33.22</v>
      </c>
      <c r="D45" s="819">
        <f>SUM(D46:D47)</f>
        <v>458</v>
      </c>
      <c r="E45" s="541">
        <f>SUM(E46:E47)</f>
        <v>517.73</v>
      </c>
      <c r="F45" s="819">
        <f t="shared" ref="F45" si="10">SUM(F46:F47)</f>
        <v>269</v>
      </c>
      <c r="G45" s="541">
        <f>SUM(G46:G47)</f>
        <v>389.44000000000005</v>
      </c>
      <c r="H45" s="903">
        <f>E45-G45</f>
        <v>128.28999999999996</v>
      </c>
      <c r="I45" s="819">
        <f>E45/C45</f>
        <v>15.584888621312464</v>
      </c>
      <c r="J45" s="541">
        <f>G45/C45</f>
        <v>11.723058398555089</v>
      </c>
      <c r="K45" s="512"/>
      <c r="Z45" s="7" t="s">
        <v>180</v>
      </c>
      <c r="AA45" s="7" t="s">
        <v>181</v>
      </c>
      <c r="AB45" s="7" t="s">
        <v>182</v>
      </c>
      <c r="AC45" s="7" t="s">
        <v>183</v>
      </c>
      <c r="AD45" s="7" t="s">
        <v>184</v>
      </c>
      <c r="AE45" s="7" t="s">
        <v>185</v>
      </c>
      <c r="AF45" s="7" t="s">
        <v>186</v>
      </c>
      <c r="AG45" s="7" t="s">
        <v>187</v>
      </c>
      <c r="AH45" s="7" t="s">
        <v>188</v>
      </c>
      <c r="AI45" s="7" t="s">
        <v>189</v>
      </c>
      <c r="AJ45" s="7" t="s">
        <v>190</v>
      </c>
      <c r="AK45" s="7" t="s">
        <v>191</v>
      </c>
      <c r="AP45" s="512"/>
      <c r="AS45"/>
      <c r="AT45"/>
      <c r="AU45"/>
      <c r="AV45"/>
      <c r="AW45"/>
    </row>
    <row r="46" spans="1:49" outlineLevel="1" x14ac:dyDescent="0.25">
      <c r="A46" s="1">
        <v>33</v>
      </c>
      <c r="B46" s="894">
        <f>VLOOKUP(A46,coupe,3,FALSE)</f>
        <v>2016</v>
      </c>
      <c r="C46" s="523">
        <f>VLOOKUP(A46,WENDERLINUS,2,FALSE)</f>
        <v>28.72</v>
      </c>
      <c r="D46" s="822">
        <f>VLOOKUP(A46,coupe,4,FALSE)</f>
        <v>431</v>
      </c>
      <c r="E46" s="823">
        <f>VLOOKUP(A46,year2022to23,311,FALSE)</f>
        <v>478.1</v>
      </c>
      <c r="F46" s="822">
        <f>VLOOKUP(A46,budget2024,19,FALSE)</f>
        <v>258</v>
      </c>
      <c r="G46" s="823">
        <f>VLOOKUP(A46,year2022to23,249,FALSE)</f>
        <v>359.20000000000005</v>
      </c>
      <c r="H46" s="916">
        <f>E46-G46</f>
        <v>118.89999999999998</v>
      </c>
      <c r="I46" s="822">
        <f>E46/C46</f>
        <v>16.646935933147635</v>
      </c>
      <c r="J46" s="823">
        <f>G46/C46</f>
        <v>12.506963788300837</v>
      </c>
      <c r="K46" s="512"/>
      <c r="Z46" s="1">
        <f>VLOOKUP(A46,ffbbudgettwofive,7,FALSE)</f>
        <v>21.55</v>
      </c>
      <c r="AA46" s="1">
        <f>VLOOKUP(A46,ffbbudgettwofive,8,FALSE)</f>
        <v>17.240000000000002</v>
      </c>
      <c r="AB46" s="1">
        <f>VLOOKUP(A46,ffbbudgettwofive,9,FALSE)</f>
        <v>30.17</v>
      </c>
      <c r="AC46" s="1">
        <f>VLOOKUP(A46,ffbbudgettwofive,10,FALSE)</f>
        <v>30.17</v>
      </c>
      <c r="AD46" s="1">
        <f>VLOOKUP(A46,ffbbudgettwofive,11,FALSE)</f>
        <v>30.17</v>
      </c>
      <c r="AE46" s="1">
        <f>VLOOKUP(A46,ffbbudgettwofive,12,FALSE)</f>
        <v>30.17</v>
      </c>
      <c r="AF46" s="1">
        <f>VLOOKUP(A46,ffbbudgettwofive,13,FALSE)</f>
        <v>34</v>
      </c>
      <c r="AG46" s="1">
        <f>VLOOKUP(A46,ffbbudgettwofive,14,FALSE)</f>
        <v>43</v>
      </c>
      <c r="AH46" s="1">
        <f>VLOOKUP(A46,ffbbudgettwofive,15,FALSE)</f>
        <v>43</v>
      </c>
      <c r="AI46" s="1">
        <f>VLOOKUP(A46,ffbbudgettwofive,16,FALSE)</f>
        <v>60</v>
      </c>
      <c r="AJ46" s="1">
        <f>VLOOKUP(A46,ffbbudgettwofive,17,FALSE)</f>
        <v>47</v>
      </c>
      <c r="AK46" s="1">
        <f>VLOOKUP(A46,ffbbudgettwofive,18,FALSE)</f>
        <v>43</v>
      </c>
      <c r="AP46" s="512"/>
    </row>
    <row r="47" spans="1:49" outlineLevel="1" x14ac:dyDescent="0.25">
      <c r="A47" s="1">
        <v>39</v>
      </c>
      <c r="B47" s="894">
        <f>VLOOKUP(A47,coupe,3,FALSE)</f>
        <v>2016</v>
      </c>
      <c r="C47" s="523">
        <f>VLOOKUP(A47,WENDERLINUS,2,FALSE)</f>
        <v>4.5</v>
      </c>
      <c r="D47" s="822">
        <f>VLOOKUP(A47,coupe,4,FALSE)</f>
        <v>27</v>
      </c>
      <c r="E47" s="823">
        <f>VLOOKUP(A47,year2022to23,311,FALSE)</f>
        <v>39.630000000000003</v>
      </c>
      <c r="F47" s="822">
        <f>VLOOKUP(A47,budget2024,19,FALSE)</f>
        <v>11</v>
      </c>
      <c r="G47" s="823">
        <f>VLOOKUP(A47,year2022to23,249,FALSE)</f>
        <v>30.240000000000002</v>
      </c>
      <c r="H47" s="482">
        <f>E47-G47</f>
        <v>9.39</v>
      </c>
      <c r="I47" s="694">
        <f>E47/C47</f>
        <v>8.8066666666666666</v>
      </c>
      <c r="J47" s="695">
        <f>G47/C47</f>
        <v>6.7200000000000006</v>
      </c>
      <c r="K47" s="512"/>
      <c r="Z47" s="1">
        <f>VLOOKUP(A47,ffbbudgettwofive,7,FALSE)</f>
        <v>0.35000000000000009</v>
      </c>
      <c r="AA47" s="1">
        <f>VLOOKUP(A47,ffbbudgettwofive,8,FALSE)</f>
        <v>8.0000000000000071E-2</v>
      </c>
      <c r="AB47" s="1">
        <f>VLOOKUP(A47,ffbbudgettwofive,9,FALSE)</f>
        <v>1.8900000000000001</v>
      </c>
      <c r="AC47" s="1">
        <f>VLOOKUP(A47,ffbbudgettwofive,10,FALSE)</f>
        <v>1.8900000000000001</v>
      </c>
      <c r="AD47" s="1">
        <f>VLOOKUP(A47,ffbbudgettwofive,11,FALSE)</f>
        <v>1.8900000000000001</v>
      </c>
      <c r="AE47" s="1">
        <f>VLOOKUP(A47,ffbbudgettwofive,12,FALSE)</f>
        <v>1.8900000000000001</v>
      </c>
      <c r="AF47" s="1">
        <f>VLOOKUP(A47,ffbbudgettwofive,13,FALSE)</f>
        <v>2</v>
      </c>
      <c r="AG47" s="1">
        <f>VLOOKUP(A47,ffbbudgettwofive,14,FALSE)</f>
        <v>3</v>
      </c>
      <c r="AH47" s="1">
        <f>VLOOKUP(A47,ffbbudgettwofive,15,FALSE)</f>
        <v>3</v>
      </c>
      <c r="AI47" s="1">
        <f>VLOOKUP(A47,ffbbudgettwofive,16,FALSE)</f>
        <v>4</v>
      </c>
      <c r="AJ47" s="1">
        <f>VLOOKUP(A47,ffbbudgettwofive,17,FALSE)</f>
        <v>3</v>
      </c>
      <c r="AK47" s="1">
        <f>VLOOKUP(A47,ffbbudgettwofive,18,FALSE)</f>
        <v>3</v>
      </c>
      <c r="AP47" s="512"/>
      <c r="AW47" s="7"/>
    </row>
    <row r="48" spans="1:49" ht="15.75" outlineLevel="1" thickBot="1" x14ac:dyDescent="0.3">
      <c r="A48" s="562"/>
      <c r="B48" s="562"/>
      <c r="C48" s="563"/>
      <c r="E48" s="8"/>
      <c r="I48" s="8"/>
      <c r="J48" s="8"/>
      <c r="K48" s="512"/>
      <c r="AP48" s="512"/>
    </row>
    <row r="49" spans="1:49" s="7" customFormat="1" ht="27" thickBot="1" x14ac:dyDescent="0.3">
      <c r="B49" s="895" t="s">
        <v>8</v>
      </c>
      <c r="C49" s="542">
        <f t="shared" ref="C49:H49" si="11">C6+C20+C29+C36+C45</f>
        <v>1416.51</v>
      </c>
      <c r="D49" s="819">
        <f>D6+D20+D29+D36+D45</f>
        <v>25903</v>
      </c>
      <c r="E49" s="541">
        <f t="shared" si="11"/>
        <v>21660.139999999996</v>
      </c>
      <c r="F49" s="819">
        <f>F6+F20+F29+F36+F45</f>
        <v>25496</v>
      </c>
      <c r="G49" s="541">
        <f t="shared" si="11"/>
        <v>19489.852999999999</v>
      </c>
      <c r="H49" s="903">
        <f t="shared" si="11"/>
        <v>2170.2869999999984</v>
      </c>
      <c r="I49" s="819">
        <f>E49/C49</f>
        <v>15.291201615237448</v>
      </c>
      <c r="J49" s="541">
        <f>G49/C49</f>
        <v>13.759064884822557</v>
      </c>
      <c r="K49" s="512"/>
      <c r="AP49" s="512"/>
      <c r="AW49"/>
    </row>
    <row r="50" spans="1:49" s="7" customFormat="1" x14ac:dyDescent="0.25">
      <c r="G50" s="6"/>
      <c r="H50" s="901"/>
      <c r="K50" s="902"/>
      <c r="N50" s="472"/>
      <c r="O50" s="472"/>
      <c r="AP50" s="902"/>
    </row>
    <row r="51" spans="1:49" s="7" customFormat="1" x14ac:dyDescent="0.25">
      <c r="G51" s="6"/>
      <c r="H51" s="901"/>
      <c r="K51" s="902"/>
      <c r="N51" s="472"/>
      <c r="O51" s="472"/>
      <c r="AP51" s="902"/>
    </row>
    <row r="52" spans="1:49" x14ac:dyDescent="0.25">
      <c r="A52" t="s">
        <v>272</v>
      </c>
      <c r="K52" s="512"/>
      <c r="AP52" s="512"/>
      <c r="AW52" s="7"/>
    </row>
    <row r="53" spans="1:49" x14ac:dyDescent="0.25">
      <c r="A53" t="s">
        <v>269</v>
      </c>
      <c r="AP53" s="512"/>
    </row>
    <row r="54" spans="1:49" x14ac:dyDescent="0.25">
      <c r="A54" t="s">
        <v>270</v>
      </c>
      <c r="AP54" s="512"/>
      <c r="AS54" s="7"/>
      <c r="AT54" s="7"/>
      <c r="AU54" s="7"/>
      <c r="AV54" s="7"/>
    </row>
    <row r="55" spans="1:49" x14ac:dyDescent="0.25">
      <c r="AP55" s="512"/>
    </row>
  </sheetData>
  <mergeCells count="4">
    <mergeCell ref="I4:J4"/>
    <mergeCell ref="Z5:AK5"/>
    <mergeCell ref="D5:E5"/>
    <mergeCell ref="F5:G5"/>
  </mergeCells>
  <conditionalFormatting sqref="C45 C49 H49">
    <cfRule type="expression" dxfId="166" priority="23">
      <formula>C45&gt;#REF!</formula>
    </cfRule>
    <cfRule type="expression" dxfId="165" priority="24">
      <formula>C45&lt;#REF!</formula>
    </cfRule>
  </conditionalFormatting>
  <conditionalFormatting sqref="H6:H18 H20:H27 H29:H34 H36:H43 H45:H47 F6:F49 D6:D49">
    <cfRule type="expression" dxfId="9" priority="21">
      <formula>D6&gt;#REF!</formula>
    </cfRule>
  </conditionalFormatting>
  <conditionalFormatting sqref="H6:H18 H20:H27 H29:H34 H36:H43 H45:H47 F6:F49 D6:D49">
    <cfRule type="expression" dxfId="8" priority="22">
      <formula>D6&lt;#REF!</formula>
    </cfRule>
  </conditionalFormatting>
  <conditionalFormatting sqref="E6:E18">
    <cfRule type="expression" dxfId="164" priority="15">
      <formula>E6&gt;#REF!</formula>
    </cfRule>
  </conditionalFormatting>
  <conditionalFormatting sqref="E6:E18">
    <cfRule type="expression" dxfId="163" priority="16">
      <formula>E6&lt;#REF!</formula>
    </cfRule>
  </conditionalFormatting>
  <conditionalFormatting sqref="G6:G18">
    <cfRule type="expression" dxfId="162" priority="13">
      <formula>G6&gt;#REF!</formula>
    </cfRule>
  </conditionalFormatting>
  <conditionalFormatting sqref="G6:G18">
    <cfRule type="expression" dxfId="161" priority="14">
      <formula>G6&lt;#REF!</formula>
    </cfRule>
  </conditionalFormatting>
  <conditionalFormatting sqref="E20:E27">
    <cfRule type="expression" dxfId="17" priority="11">
      <formula>E20&gt;#REF!</formula>
    </cfRule>
  </conditionalFormatting>
  <conditionalFormatting sqref="E20:E27">
    <cfRule type="expression" dxfId="16" priority="12">
      <formula>E20&lt;#REF!</formula>
    </cfRule>
  </conditionalFormatting>
  <conditionalFormatting sqref="G20:G27">
    <cfRule type="expression" dxfId="15" priority="9">
      <formula>G20&gt;#REF!</formula>
    </cfRule>
  </conditionalFormatting>
  <conditionalFormatting sqref="G20:G27">
    <cfRule type="expression" dxfId="14" priority="10">
      <formula>G20&lt;#REF!</formula>
    </cfRule>
  </conditionalFormatting>
  <conditionalFormatting sqref="E46:E47 E37:E43 E30:E34">
    <cfRule type="expression" dxfId="13" priority="7">
      <formula>E30&gt;#REF!</formula>
    </cfRule>
  </conditionalFormatting>
  <conditionalFormatting sqref="E46:E47 E37:E43 E30:E34">
    <cfRule type="expression" dxfId="12" priority="8">
      <formula>E30&lt;#REF!</formula>
    </cfRule>
  </conditionalFormatting>
  <conditionalFormatting sqref="G46:G47 G37:G43 G30:G34">
    <cfRule type="expression" dxfId="11" priority="5">
      <formula>G30&gt;#REF!</formula>
    </cfRule>
  </conditionalFormatting>
  <conditionalFormatting sqref="G46:G47 G37:G43 G30:G34">
    <cfRule type="expression" dxfId="10" priority="6">
      <formula>G30&lt;#REF!</formula>
    </cfRule>
  </conditionalFormatting>
  <conditionalFormatting sqref="E49 E45 E36 E29">
    <cfRule type="expression" dxfId="3" priority="3">
      <formula>E29&gt;#REF!</formula>
    </cfRule>
  </conditionalFormatting>
  <conditionalFormatting sqref="E49 E45 E36 E29">
    <cfRule type="expression" dxfId="2" priority="4">
      <formula>E29&lt;#REF!</formula>
    </cfRule>
  </conditionalFormatting>
  <conditionalFormatting sqref="G49 G45 G36 G29">
    <cfRule type="expression" dxfId="1" priority="1">
      <formula>G29&gt;#REF!</formula>
    </cfRule>
  </conditionalFormatting>
  <conditionalFormatting sqref="G49 G45 G36 G29">
    <cfRule type="expression" dxfId="0" priority="2">
      <formula>G29&lt;#REF!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8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8CC6-6A1F-47CF-82A2-74F0F14B763D}">
  <sheetPr>
    <tabColor theme="1"/>
    <pageSetUpPr fitToPage="1"/>
  </sheetPr>
  <dimension ref="A1:AZ55"/>
  <sheetViews>
    <sheetView zoomScaleNormal="100" zoomScaleSheetLayoutView="100" workbookViewId="0">
      <selection activeCell="AT22" sqref="AT22"/>
    </sheetView>
  </sheetViews>
  <sheetFormatPr defaultRowHeight="15" outlineLevelRow="1" x14ac:dyDescent="0.25"/>
  <cols>
    <col min="1" max="2" width="7.140625" customWidth="1"/>
    <col min="3" max="3" width="10.85546875" customWidth="1"/>
    <col min="4" max="4" width="9.5703125" customWidth="1"/>
    <col min="5" max="5" width="9.140625" style="8"/>
    <col min="6" max="11" width="10.85546875" customWidth="1"/>
    <col min="14" max="14" width="0.7109375" customWidth="1"/>
    <col min="15" max="16" width="14.7109375" hidden="1" customWidth="1"/>
    <col min="17" max="18" width="14.7109375" style="484" hidden="1" customWidth="1"/>
    <col min="19" max="19" width="9.7109375" hidden="1" customWidth="1"/>
    <col min="20" max="23" width="9.140625" hidden="1" customWidth="1"/>
    <col min="24" max="28" width="9.140625" style="7" hidden="1" customWidth="1"/>
    <col min="29" max="42" width="9.140625" hidden="1" customWidth="1"/>
    <col min="43" max="43" width="0" hidden="1" customWidth="1"/>
  </cols>
  <sheetData>
    <row r="1" spans="1:45" s="5" customFormat="1" x14ac:dyDescent="0.25">
      <c r="A1" s="5" t="s">
        <v>274</v>
      </c>
      <c r="E1" s="195"/>
      <c r="Q1" s="522"/>
      <c r="R1" s="522"/>
      <c r="X1" s="7"/>
      <c r="Y1" s="7"/>
      <c r="Z1" s="7"/>
      <c r="AA1" s="7"/>
      <c r="AB1" s="7"/>
    </row>
    <row r="2" spans="1:45" s="7" customFormat="1" x14ac:dyDescent="0.25">
      <c r="A2" s="474"/>
      <c r="B2" s="474"/>
      <c r="E2" s="6"/>
      <c r="Q2" s="472"/>
      <c r="R2" s="472"/>
    </row>
    <row r="3" spans="1:45" s="7" customFormat="1" ht="15.75" thickBot="1" x14ac:dyDescent="0.3">
      <c r="A3" s="474"/>
      <c r="B3" s="474"/>
      <c r="S3" s="485"/>
    </row>
    <row r="4" spans="1:45" s="7" customFormat="1" ht="15" customHeight="1" x14ac:dyDescent="0.25">
      <c r="A4" s="474"/>
      <c r="B4" s="474"/>
      <c r="D4" s="953" t="s">
        <v>249</v>
      </c>
      <c r="E4" s="954"/>
      <c r="F4" s="951" t="s">
        <v>250</v>
      </c>
      <c r="G4" s="952"/>
      <c r="H4" s="957" t="s">
        <v>280</v>
      </c>
      <c r="I4" s="958"/>
      <c r="J4" s="959" t="s">
        <v>281</v>
      </c>
      <c r="K4" s="960"/>
      <c r="L4" s="955" t="s">
        <v>179</v>
      </c>
      <c r="M4" s="956"/>
      <c r="N4" s="485"/>
      <c r="S4" s="485"/>
    </row>
    <row r="5" spans="1:45" s="512" customFormat="1" ht="15.75" thickBot="1" x14ac:dyDescent="0.3">
      <c r="A5" s="896"/>
      <c r="B5" s="532" t="s">
        <v>273</v>
      </c>
      <c r="C5" s="530" t="s">
        <v>80</v>
      </c>
      <c r="D5" s="531">
        <v>2025</v>
      </c>
      <c r="E5" s="821">
        <v>2024</v>
      </c>
      <c r="F5" s="531">
        <v>2025</v>
      </c>
      <c r="G5" s="821">
        <v>2024</v>
      </c>
      <c r="H5" s="531">
        <v>2025</v>
      </c>
      <c r="I5" s="821">
        <v>2024</v>
      </c>
      <c r="J5" s="531">
        <v>2025</v>
      </c>
      <c r="K5" s="821">
        <v>2024</v>
      </c>
      <c r="L5" s="531">
        <v>2025</v>
      </c>
      <c r="M5" s="821">
        <v>2024</v>
      </c>
      <c r="X5" s="7"/>
      <c r="Y5" s="7"/>
      <c r="Z5" s="7"/>
      <c r="AA5" s="7"/>
      <c r="AB5" s="7"/>
      <c r="AC5" s="948" t="s">
        <v>192</v>
      </c>
      <c r="AD5" s="949"/>
      <c r="AE5" s="949"/>
      <c r="AF5" s="949"/>
      <c r="AG5" s="949"/>
      <c r="AH5" s="949"/>
      <c r="AI5" s="949"/>
      <c r="AJ5" s="949"/>
      <c r="AK5" s="949"/>
      <c r="AL5" s="949"/>
      <c r="AM5" s="949"/>
      <c r="AN5" s="950"/>
    </row>
    <row r="6" spans="1:45" s="7" customFormat="1" ht="15.75" thickBot="1" x14ac:dyDescent="0.3">
      <c r="A6" s="896"/>
      <c r="B6" s="897">
        <f>B7</f>
        <v>2010</v>
      </c>
      <c r="C6" s="536">
        <f t="shared" ref="C6:I6" si="0">SUM(C7:C18)</f>
        <v>616.00000000000011</v>
      </c>
      <c r="D6" s="819">
        <f t="shared" si="0"/>
        <v>9294.2999999999993</v>
      </c>
      <c r="E6" s="903">
        <f t="shared" si="0"/>
        <v>8876.255000000001</v>
      </c>
      <c r="F6" s="819">
        <f t="shared" si="0"/>
        <v>12143</v>
      </c>
      <c r="G6" s="541">
        <f t="shared" si="0"/>
        <v>12247</v>
      </c>
      <c r="H6" s="819">
        <f t="shared" si="0"/>
        <v>-2848.7</v>
      </c>
      <c r="I6" s="541">
        <f t="shared" si="0"/>
        <v>-3370.7449999999999</v>
      </c>
      <c r="J6" s="906">
        <f t="shared" ref="J6" si="1">D6/F6*100%</f>
        <v>0.76540393642427729</v>
      </c>
      <c r="K6" s="907">
        <f t="shared" ref="K6" si="2">E6/G6*100%</f>
        <v>0.7247697395280478</v>
      </c>
      <c r="L6" s="819">
        <f t="shared" ref="L6:L18" si="3">D6/C6</f>
        <v>15.088149350649347</v>
      </c>
      <c r="M6" s="541">
        <f t="shared" ref="M6:M18" si="4">E6/C6</f>
        <v>14.409504870129869</v>
      </c>
      <c r="N6" s="902"/>
      <c r="AC6" s="99" t="s">
        <v>180</v>
      </c>
      <c r="AD6" s="99" t="s">
        <v>181</v>
      </c>
      <c r="AE6" s="99" t="s">
        <v>182</v>
      </c>
      <c r="AF6" s="99" t="s">
        <v>183</v>
      </c>
      <c r="AG6" s="99" t="s">
        <v>184</v>
      </c>
      <c r="AH6" s="99" t="s">
        <v>185</v>
      </c>
      <c r="AI6" s="99" t="s">
        <v>186</v>
      </c>
      <c r="AJ6" s="99" t="s">
        <v>187</v>
      </c>
      <c r="AK6" s="99" t="s">
        <v>188</v>
      </c>
      <c r="AL6" s="99" t="s">
        <v>189</v>
      </c>
      <c r="AM6" s="99" t="s">
        <v>190</v>
      </c>
      <c r="AN6" s="99" t="s">
        <v>191</v>
      </c>
      <c r="AS6" s="902"/>
    </row>
    <row r="7" spans="1:45" outlineLevel="1" x14ac:dyDescent="0.25">
      <c r="A7" s="100">
        <v>1</v>
      </c>
      <c r="B7" s="894">
        <f>VLOOKUP(A7,coupe,3,FALSE)</f>
        <v>2010</v>
      </c>
      <c r="C7" s="529">
        <f>VLOOKUP(A7,YUVENTUS,2,FALSE)</f>
        <v>53.2</v>
      </c>
      <c r="D7" s="822">
        <f t="shared" ref="D7:D18" si="5">VLOOKUP(A7,year2022to23,311,FALSE)</f>
        <v>909.79</v>
      </c>
      <c r="E7" s="823">
        <f t="shared" ref="E7:E18" si="6">VLOOKUP(A7,year2022to23,249,FALSE)</f>
        <v>707.1400000000001</v>
      </c>
      <c r="F7" s="822">
        <f t="shared" ref="F7:F18" si="7">VLOOKUP(A7,coupe,4,FALSE)</f>
        <v>1064</v>
      </c>
      <c r="G7" s="823">
        <f t="shared" ref="G7:G18" si="8">VLOOKUP(A7,budget2024,19,FALSE)</f>
        <v>1064</v>
      </c>
      <c r="H7" s="822">
        <f>D7-F7</f>
        <v>-154.21000000000004</v>
      </c>
      <c r="I7" s="823">
        <f>E7-G7</f>
        <v>-356.8599999999999</v>
      </c>
      <c r="J7" s="908">
        <f t="shared" ref="J7:J17" si="9">D7/F7*100%</f>
        <v>0.85506578947368417</v>
      </c>
      <c r="K7" s="909">
        <f t="shared" ref="K7:K17" si="10">E7/G7*100%</f>
        <v>0.66460526315789481</v>
      </c>
      <c r="L7" s="822">
        <f t="shared" si="3"/>
        <v>17.101315789473684</v>
      </c>
      <c r="M7" s="823">
        <f t="shared" si="4"/>
        <v>13.292105263157897</v>
      </c>
      <c r="N7" s="512"/>
      <c r="AC7" s="1">
        <f t="shared" ref="AC7:AC18" si="11">VLOOKUP(A7,ffbbudgettwofive,7,FALSE)</f>
        <v>53.2</v>
      </c>
      <c r="AD7" s="1">
        <f t="shared" ref="AD7:AD18" si="12">VLOOKUP(A7,ffbbudgettwofive,8,FALSE)</f>
        <v>42.56</v>
      </c>
      <c r="AE7" s="1">
        <f t="shared" ref="AE7:AE18" si="13">VLOOKUP(A7,ffbbudgettwofive,9,FALSE)</f>
        <v>74.48</v>
      </c>
      <c r="AF7" s="1">
        <f t="shared" ref="AF7:AF18" si="14">VLOOKUP(A7,ffbbudgettwofive,10,FALSE)</f>
        <v>74.48</v>
      </c>
      <c r="AG7" s="1">
        <f t="shared" ref="AG7:AG18" si="15">VLOOKUP(A7,ffbbudgettwofive,11,FALSE)</f>
        <v>74.48</v>
      </c>
      <c r="AH7" s="1">
        <f t="shared" ref="AH7:AH18" si="16">VLOOKUP(A7,ffbbudgettwofive,12,FALSE)</f>
        <v>74.48</v>
      </c>
      <c r="AI7" s="1">
        <f t="shared" ref="AI7:AI18" si="17">VLOOKUP(A7,ffbbudgettwofive,13,FALSE)</f>
        <v>85</v>
      </c>
      <c r="AJ7" s="1">
        <f t="shared" ref="AJ7:AJ18" si="18">VLOOKUP(A7,ffbbudgettwofive,14,FALSE)</f>
        <v>106</v>
      </c>
      <c r="AK7" s="1">
        <f t="shared" ref="AK7:AK18" si="19">VLOOKUP(A7,ffbbudgettwofive,15,FALSE)</f>
        <v>106</v>
      </c>
      <c r="AL7" s="1">
        <f t="shared" ref="AL7:AL18" si="20">VLOOKUP(A7,ffbbudgettwofive,16,FALSE)</f>
        <v>149</v>
      </c>
      <c r="AM7" s="1">
        <f t="shared" ref="AM7:AM18" si="21">VLOOKUP(A7,ffbbudgettwofive,17,FALSE)</f>
        <v>117</v>
      </c>
      <c r="AN7" s="1">
        <f t="shared" ref="AN7:AN18" si="22">VLOOKUP(A7,ffbbudgettwofive,18,FALSE)</f>
        <v>106</v>
      </c>
      <c r="AS7" s="512"/>
    </row>
    <row r="8" spans="1:45" outlineLevel="1" x14ac:dyDescent="0.25">
      <c r="A8" s="100">
        <v>2</v>
      </c>
      <c r="B8" s="894">
        <f t="shared" ref="B8:B18" si="23">VLOOKUP(A8,coupe,3,FALSE)</f>
        <v>2010</v>
      </c>
      <c r="C8" s="523">
        <f>VLOOKUP(A8,ERDI,2,FALSE)</f>
        <v>60.4</v>
      </c>
      <c r="D8" s="694">
        <f t="shared" si="5"/>
        <v>889.56999999999994</v>
      </c>
      <c r="E8" s="695">
        <f t="shared" si="6"/>
        <v>828.71399999999994</v>
      </c>
      <c r="F8" s="822">
        <f t="shared" si="7"/>
        <v>1208</v>
      </c>
      <c r="G8" s="823">
        <f t="shared" si="8"/>
        <v>1208</v>
      </c>
      <c r="H8" s="822">
        <f t="shared" ref="H8:H18" si="24">D8-F8</f>
        <v>-318.43000000000006</v>
      </c>
      <c r="I8" s="823">
        <f t="shared" ref="I8:I18" si="25">E8-G8</f>
        <v>-379.28600000000006</v>
      </c>
      <c r="J8" s="910">
        <f t="shared" si="9"/>
        <v>0.73639900662251645</v>
      </c>
      <c r="K8" s="911">
        <f t="shared" si="10"/>
        <v>0.68602152317880793</v>
      </c>
      <c r="L8" s="694">
        <f t="shared" si="3"/>
        <v>14.72798013245033</v>
      </c>
      <c r="M8" s="695">
        <f t="shared" si="4"/>
        <v>13.720430463576159</v>
      </c>
      <c r="N8" s="512"/>
      <c r="AC8" s="1">
        <f t="shared" si="11"/>
        <v>60.400000000000006</v>
      </c>
      <c r="AD8" s="1">
        <f t="shared" si="12"/>
        <v>48.32</v>
      </c>
      <c r="AE8" s="1">
        <f t="shared" si="13"/>
        <v>84.56</v>
      </c>
      <c r="AF8" s="1">
        <f t="shared" si="14"/>
        <v>84.56</v>
      </c>
      <c r="AG8" s="1">
        <f t="shared" si="15"/>
        <v>84.56</v>
      </c>
      <c r="AH8" s="1">
        <f t="shared" si="16"/>
        <v>84.56</v>
      </c>
      <c r="AI8" s="1">
        <f t="shared" si="17"/>
        <v>97</v>
      </c>
      <c r="AJ8" s="1">
        <f t="shared" si="18"/>
        <v>121</v>
      </c>
      <c r="AK8" s="1">
        <f t="shared" si="19"/>
        <v>121</v>
      </c>
      <c r="AL8" s="1">
        <f t="shared" si="20"/>
        <v>169</v>
      </c>
      <c r="AM8" s="1">
        <f t="shared" si="21"/>
        <v>133</v>
      </c>
      <c r="AN8" s="1">
        <f t="shared" si="22"/>
        <v>121</v>
      </c>
      <c r="AS8" s="512"/>
    </row>
    <row r="9" spans="1:45" outlineLevel="1" x14ac:dyDescent="0.25">
      <c r="A9" s="535">
        <v>3</v>
      </c>
      <c r="B9" s="894">
        <f t="shared" si="23"/>
        <v>2010</v>
      </c>
      <c r="C9" s="529">
        <f>VLOOKUP(A9,YUVENTUS,2,FALSE)</f>
        <v>69.2</v>
      </c>
      <c r="D9" s="822">
        <f t="shared" si="5"/>
        <v>1085.75</v>
      </c>
      <c r="E9" s="823">
        <f t="shared" si="6"/>
        <v>927.06999999999994</v>
      </c>
      <c r="F9" s="822">
        <f t="shared" si="7"/>
        <v>1384</v>
      </c>
      <c r="G9" s="823">
        <f t="shared" si="8"/>
        <v>1384</v>
      </c>
      <c r="H9" s="822">
        <f t="shared" si="24"/>
        <v>-298.25</v>
      </c>
      <c r="I9" s="823">
        <f t="shared" si="25"/>
        <v>-456.93000000000006</v>
      </c>
      <c r="J9" s="910">
        <f t="shared" si="9"/>
        <v>0.78450144508670516</v>
      </c>
      <c r="K9" s="911">
        <f t="shared" si="10"/>
        <v>0.6698482658959537</v>
      </c>
      <c r="L9" s="822">
        <f t="shared" si="3"/>
        <v>15.690028901734104</v>
      </c>
      <c r="M9" s="823">
        <f t="shared" si="4"/>
        <v>13.396965317919074</v>
      </c>
      <c r="N9" s="512"/>
      <c r="AC9" s="1">
        <f t="shared" si="11"/>
        <v>69.2</v>
      </c>
      <c r="AD9" s="1">
        <f t="shared" si="12"/>
        <v>55.36</v>
      </c>
      <c r="AE9" s="1">
        <f t="shared" si="13"/>
        <v>96.88000000000001</v>
      </c>
      <c r="AF9" s="1">
        <f t="shared" si="14"/>
        <v>96.88000000000001</v>
      </c>
      <c r="AG9" s="1">
        <f t="shared" si="15"/>
        <v>96.88000000000001</v>
      </c>
      <c r="AH9" s="1">
        <f t="shared" si="16"/>
        <v>96.88000000000001</v>
      </c>
      <c r="AI9" s="1">
        <f t="shared" si="17"/>
        <v>111</v>
      </c>
      <c r="AJ9" s="1">
        <f t="shared" si="18"/>
        <v>138</v>
      </c>
      <c r="AK9" s="1">
        <f t="shared" si="19"/>
        <v>138</v>
      </c>
      <c r="AL9" s="1">
        <f t="shared" si="20"/>
        <v>194</v>
      </c>
      <c r="AM9" s="1">
        <f t="shared" si="21"/>
        <v>152</v>
      </c>
      <c r="AN9" s="1">
        <f t="shared" si="22"/>
        <v>138</v>
      </c>
      <c r="AS9" s="512"/>
    </row>
    <row r="10" spans="1:45" outlineLevel="1" x14ac:dyDescent="0.25">
      <c r="A10" s="1">
        <v>4</v>
      </c>
      <c r="B10" s="894">
        <f t="shared" si="23"/>
        <v>2010</v>
      </c>
      <c r="C10" s="523">
        <f>VLOOKUP(A10,SERAN,2,FALSE)</f>
        <v>70.599999999999994</v>
      </c>
      <c r="D10" s="694">
        <f t="shared" si="5"/>
        <v>1063.57</v>
      </c>
      <c r="E10" s="695">
        <f t="shared" si="6"/>
        <v>1027.433</v>
      </c>
      <c r="F10" s="822">
        <f t="shared" si="7"/>
        <v>1412</v>
      </c>
      <c r="G10" s="823">
        <f t="shared" si="8"/>
        <v>1412</v>
      </c>
      <c r="H10" s="822">
        <f t="shared" si="24"/>
        <v>-348.43000000000006</v>
      </c>
      <c r="I10" s="823">
        <f t="shared" si="25"/>
        <v>-384.56700000000001</v>
      </c>
      <c r="J10" s="910">
        <f t="shared" si="9"/>
        <v>0.75323654390934836</v>
      </c>
      <c r="K10" s="911">
        <f t="shared" si="10"/>
        <v>0.72764376770538242</v>
      </c>
      <c r="L10" s="694">
        <f t="shared" si="3"/>
        <v>15.064730878186969</v>
      </c>
      <c r="M10" s="695">
        <f t="shared" si="4"/>
        <v>14.55287535410765</v>
      </c>
      <c r="N10" s="512"/>
      <c r="AC10" s="1">
        <f t="shared" si="11"/>
        <v>70.600000000000009</v>
      </c>
      <c r="AD10" s="1">
        <f t="shared" si="12"/>
        <v>56.480000000000004</v>
      </c>
      <c r="AE10" s="1">
        <f t="shared" si="13"/>
        <v>98.84</v>
      </c>
      <c r="AF10" s="1">
        <f t="shared" si="14"/>
        <v>98.84</v>
      </c>
      <c r="AG10" s="1">
        <f t="shared" si="15"/>
        <v>98.84</v>
      </c>
      <c r="AH10" s="1">
        <f t="shared" si="16"/>
        <v>98.84</v>
      </c>
      <c r="AI10" s="1">
        <f t="shared" si="17"/>
        <v>113</v>
      </c>
      <c r="AJ10" s="1">
        <f t="shared" si="18"/>
        <v>141</v>
      </c>
      <c r="AK10" s="1">
        <f t="shared" si="19"/>
        <v>141</v>
      </c>
      <c r="AL10" s="1">
        <f t="shared" si="20"/>
        <v>198</v>
      </c>
      <c r="AM10" s="1">
        <f t="shared" si="21"/>
        <v>155</v>
      </c>
      <c r="AN10" s="1">
        <f t="shared" si="22"/>
        <v>141</v>
      </c>
      <c r="AS10" s="512"/>
    </row>
    <row r="11" spans="1:45" outlineLevel="1" x14ac:dyDescent="0.25">
      <c r="A11" s="511">
        <v>5</v>
      </c>
      <c r="B11" s="894">
        <f t="shared" si="23"/>
        <v>2010</v>
      </c>
      <c r="C11" s="529">
        <f>VLOOKUP(A11,SERAN,2,FALSE)</f>
        <v>50.4</v>
      </c>
      <c r="D11" s="822">
        <f t="shared" si="5"/>
        <v>835.29</v>
      </c>
      <c r="E11" s="823">
        <f t="shared" si="6"/>
        <v>781.76</v>
      </c>
      <c r="F11" s="822">
        <f t="shared" si="7"/>
        <v>1008</v>
      </c>
      <c r="G11" s="823">
        <f t="shared" si="8"/>
        <v>1008</v>
      </c>
      <c r="H11" s="822">
        <f t="shared" si="24"/>
        <v>-172.71000000000004</v>
      </c>
      <c r="I11" s="823">
        <f t="shared" si="25"/>
        <v>-226.24</v>
      </c>
      <c r="J11" s="910">
        <f t="shared" si="9"/>
        <v>0.82866071428571419</v>
      </c>
      <c r="K11" s="911">
        <f t="shared" si="10"/>
        <v>0.77555555555555555</v>
      </c>
      <c r="L11" s="822">
        <f t="shared" si="3"/>
        <v>16.573214285714286</v>
      </c>
      <c r="M11" s="823">
        <f t="shared" si="4"/>
        <v>15.511111111111111</v>
      </c>
      <c r="N11" s="512"/>
      <c r="AC11" s="1">
        <f t="shared" si="11"/>
        <v>50.400000000000006</v>
      </c>
      <c r="AD11" s="1">
        <f t="shared" si="12"/>
        <v>40.32</v>
      </c>
      <c r="AE11" s="1">
        <f t="shared" si="13"/>
        <v>70.56</v>
      </c>
      <c r="AF11" s="1">
        <f t="shared" si="14"/>
        <v>70.56</v>
      </c>
      <c r="AG11" s="1">
        <f t="shared" si="15"/>
        <v>70.56</v>
      </c>
      <c r="AH11" s="1">
        <f t="shared" si="16"/>
        <v>70.56</v>
      </c>
      <c r="AI11" s="1">
        <f t="shared" si="17"/>
        <v>81</v>
      </c>
      <c r="AJ11" s="1">
        <f t="shared" si="18"/>
        <v>101</v>
      </c>
      <c r="AK11" s="1">
        <f t="shared" si="19"/>
        <v>101</v>
      </c>
      <c r="AL11" s="1">
        <f t="shared" si="20"/>
        <v>141</v>
      </c>
      <c r="AM11" s="1">
        <f t="shared" si="21"/>
        <v>111</v>
      </c>
      <c r="AN11" s="1">
        <f t="shared" si="22"/>
        <v>101</v>
      </c>
      <c r="AS11" s="512"/>
    </row>
    <row r="12" spans="1:45" outlineLevel="1" x14ac:dyDescent="0.25">
      <c r="A12" s="1">
        <v>6</v>
      </c>
      <c r="B12" s="894">
        <f t="shared" si="23"/>
        <v>2010</v>
      </c>
      <c r="C12" s="523">
        <f>VLOOKUP(A12,SERAN,2,FALSE)</f>
        <v>58.6</v>
      </c>
      <c r="D12" s="694">
        <f t="shared" si="5"/>
        <v>961.24000000000012</v>
      </c>
      <c r="E12" s="695">
        <f t="shared" si="6"/>
        <v>1014.3199999999999</v>
      </c>
      <c r="F12" s="822">
        <f t="shared" si="7"/>
        <v>1172</v>
      </c>
      <c r="G12" s="823">
        <f t="shared" si="8"/>
        <v>1172</v>
      </c>
      <c r="H12" s="822">
        <f t="shared" si="24"/>
        <v>-210.75999999999988</v>
      </c>
      <c r="I12" s="823">
        <f t="shared" si="25"/>
        <v>-157.68000000000006</v>
      </c>
      <c r="J12" s="910">
        <f t="shared" si="9"/>
        <v>0.82017064846416388</v>
      </c>
      <c r="K12" s="911">
        <f t="shared" si="10"/>
        <v>0.86546075085324226</v>
      </c>
      <c r="L12" s="694">
        <f t="shared" si="3"/>
        <v>16.403412969283277</v>
      </c>
      <c r="M12" s="695">
        <f t="shared" si="4"/>
        <v>17.309215017064844</v>
      </c>
      <c r="N12" s="512"/>
      <c r="AC12" s="1">
        <f t="shared" si="11"/>
        <v>58.6</v>
      </c>
      <c r="AD12" s="1">
        <f t="shared" si="12"/>
        <v>46.88</v>
      </c>
      <c r="AE12" s="1">
        <f t="shared" si="13"/>
        <v>82.04</v>
      </c>
      <c r="AF12" s="1">
        <f t="shared" si="14"/>
        <v>82.04</v>
      </c>
      <c r="AG12" s="1">
        <f t="shared" si="15"/>
        <v>82.04</v>
      </c>
      <c r="AH12" s="1">
        <f t="shared" si="16"/>
        <v>82.04</v>
      </c>
      <c r="AI12" s="1">
        <f t="shared" si="17"/>
        <v>94</v>
      </c>
      <c r="AJ12" s="1">
        <f t="shared" si="18"/>
        <v>117</v>
      </c>
      <c r="AK12" s="1">
        <f t="shared" si="19"/>
        <v>117</v>
      </c>
      <c r="AL12" s="1">
        <f t="shared" si="20"/>
        <v>164</v>
      </c>
      <c r="AM12" s="1">
        <f t="shared" si="21"/>
        <v>129</v>
      </c>
      <c r="AN12" s="1">
        <f t="shared" si="22"/>
        <v>117</v>
      </c>
      <c r="AS12" s="512"/>
    </row>
    <row r="13" spans="1:45" outlineLevel="1" x14ac:dyDescent="0.25">
      <c r="A13" s="1">
        <v>7</v>
      </c>
      <c r="B13" s="894">
        <f t="shared" si="23"/>
        <v>2010</v>
      </c>
      <c r="C13" s="523">
        <f>VLOOKUP(A13,SERAN,2,FALSE)</f>
        <v>23.6</v>
      </c>
      <c r="D13" s="694">
        <f t="shared" si="5"/>
        <v>334.61</v>
      </c>
      <c r="E13" s="695">
        <f t="shared" si="6"/>
        <v>351.98399999999998</v>
      </c>
      <c r="F13" s="822">
        <f t="shared" si="7"/>
        <v>401</v>
      </c>
      <c r="G13" s="823">
        <f t="shared" si="8"/>
        <v>401</v>
      </c>
      <c r="H13" s="822">
        <f t="shared" si="24"/>
        <v>-66.389999999999986</v>
      </c>
      <c r="I13" s="823">
        <f t="shared" si="25"/>
        <v>-49.01600000000002</v>
      </c>
      <c r="J13" s="910">
        <f t="shared" si="9"/>
        <v>0.83443890274314214</v>
      </c>
      <c r="K13" s="911">
        <f t="shared" si="10"/>
        <v>0.87776558603491261</v>
      </c>
      <c r="L13" s="694">
        <f t="shared" si="3"/>
        <v>14.178389830508474</v>
      </c>
      <c r="M13" s="695">
        <f t="shared" si="4"/>
        <v>14.914576271186439</v>
      </c>
      <c r="N13" s="512"/>
      <c r="AC13" s="1">
        <f t="shared" si="11"/>
        <v>20.05</v>
      </c>
      <c r="AD13" s="1">
        <f t="shared" si="12"/>
        <v>16.04</v>
      </c>
      <c r="AE13" s="1">
        <f t="shared" si="13"/>
        <v>28.070000000000004</v>
      </c>
      <c r="AF13" s="1">
        <f t="shared" si="14"/>
        <v>28.070000000000004</v>
      </c>
      <c r="AG13" s="1">
        <f t="shared" si="15"/>
        <v>28.070000000000004</v>
      </c>
      <c r="AH13" s="1">
        <f t="shared" si="16"/>
        <v>28.070000000000004</v>
      </c>
      <c r="AI13" s="1">
        <f t="shared" si="17"/>
        <v>32</v>
      </c>
      <c r="AJ13" s="1">
        <f t="shared" si="18"/>
        <v>40</v>
      </c>
      <c r="AK13" s="1">
        <f t="shared" si="19"/>
        <v>40</v>
      </c>
      <c r="AL13" s="1">
        <f t="shared" si="20"/>
        <v>56</v>
      </c>
      <c r="AM13" s="1">
        <f t="shared" si="21"/>
        <v>44</v>
      </c>
      <c r="AN13" s="1">
        <f t="shared" si="22"/>
        <v>40</v>
      </c>
      <c r="AS13" s="512"/>
    </row>
    <row r="14" spans="1:45" outlineLevel="1" x14ac:dyDescent="0.25">
      <c r="A14" s="1">
        <v>8</v>
      </c>
      <c r="B14" s="894">
        <f t="shared" si="23"/>
        <v>2010</v>
      </c>
      <c r="C14" s="523">
        <f>VLOOKUP(A14,NURAZANI,2,FALSE)</f>
        <v>61.6</v>
      </c>
      <c r="D14" s="694">
        <f t="shared" si="5"/>
        <v>906.12000000000012</v>
      </c>
      <c r="E14" s="695">
        <f t="shared" si="6"/>
        <v>924.42</v>
      </c>
      <c r="F14" s="822">
        <f t="shared" si="7"/>
        <v>1232</v>
      </c>
      <c r="G14" s="823">
        <f t="shared" si="8"/>
        <v>1232</v>
      </c>
      <c r="H14" s="822">
        <f t="shared" si="24"/>
        <v>-325.87999999999988</v>
      </c>
      <c r="I14" s="823">
        <f t="shared" si="25"/>
        <v>-307.58000000000004</v>
      </c>
      <c r="J14" s="910">
        <f t="shared" si="9"/>
        <v>0.73548701298701313</v>
      </c>
      <c r="K14" s="911">
        <f t="shared" si="10"/>
        <v>0.750340909090909</v>
      </c>
      <c r="L14" s="694">
        <f t="shared" si="3"/>
        <v>14.709740259740261</v>
      </c>
      <c r="M14" s="695">
        <f t="shared" si="4"/>
        <v>15.006818181818181</v>
      </c>
      <c r="N14" s="512"/>
      <c r="AC14" s="1">
        <f t="shared" si="11"/>
        <v>61.6</v>
      </c>
      <c r="AD14" s="1">
        <f t="shared" si="12"/>
        <v>49.28</v>
      </c>
      <c r="AE14" s="1">
        <f t="shared" si="13"/>
        <v>86.240000000000009</v>
      </c>
      <c r="AF14" s="1">
        <f t="shared" si="14"/>
        <v>86.240000000000009</v>
      </c>
      <c r="AG14" s="1">
        <f t="shared" si="15"/>
        <v>86.240000000000009</v>
      </c>
      <c r="AH14" s="1">
        <f t="shared" si="16"/>
        <v>86.240000000000009</v>
      </c>
      <c r="AI14" s="1">
        <f t="shared" si="17"/>
        <v>99</v>
      </c>
      <c r="AJ14" s="1">
        <f t="shared" si="18"/>
        <v>123</v>
      </c>
      <c r="AK14" s="1">
        <f t="shared" si="19"/>
        <v>123</v>
      </c>
      <c r="AL14" s="1">
        <f t="shared" si="20"/>
        <v>172</v>
      </c>
      <c r="AM14" s="1">
        <f t="shared" si="21"/>
        <v>136</v>
      </c>
      <c r="AN14" s="1">
        <f t="shared" si="22"/>
        <v>123</v>
      </c>
      <c r="AS14" s="512"/>
    </row>
    <row r="15" spans="1:45" outlineLevel="1" x14ac:dyDescent="0.25">
      <c r="A15" s="1">
        <v>9</v>
      </c>
      <c r="B15" s="894">
        <f t="shared" si="23"/>
        <v>2010</v>
      </c>
      <c r="C15" s="523">
        <f>VLOOKUP(A15,NURAZANI,2,FALSE)</f>
        <v>38.299999999999997</v>
      </c>
      <c r="D15" s="694">
        <f t="shared" si="5"/>
        <v>486.12</v>
      </c>
      <c r="E15" s="695">
        <f t="shared" si="6"/>
        <v>489.69</v>
      </c>
      <c r="F15" s="822">
        <f t="shared" si="7"/>
        <v>689</v>
      </c>
      <c r="G15" s="823">
        <f t="shared" si="8"/>
        <v>689</v>
      </c>
      <c r="H15" s="822">
        <f t="shared" si="24"/>
        <v>-202.88</v>
      </c>
      <c r="I15" s="823">
        <f t="shared" si="25"/>
        <v>-199.31</v>
      </c>
      <c r="J15" s="910">
        <f t="shared" si="9"/>
        <v>0.70554426705370099</v>
      </c>
      <c r="K15" s="911">
        <f t="shared" si="10"/>
        <v>0.71072568940493464</v>
      </c>
      <c r="L15" s="694">
        <f t="shared" si="3"/>
        <v>12.692428198433422</v>
      </c>
      <c r="M15" s="695">
        <f t="shared" si="4"/>
        <v>12.785639686684075</v>
      </c>
      <c r="N15" s="512"/>
      <c r="AC15" s="1">
        <f t="shared" si="11"/>
        <v>34.450000000000003</v>
      </c>
      <c r="AD15" s="1">
        <f t="shared" si="12"/>
        <v>27.560000000000002</v>
      </c>
      <c r="AE15" s="1">
        <f t="shared" si="13"/>
        <v>48.230000000000004</v>
      </c>
      <c r="AF15" s="1">
        <f t="shared" si="14"/>
        <v>48.230000000000004</v>
      </c>
      <c r="AG15" s="1">
        <f t="shared" si="15"/>
        <v>48.230000000000004</v>
      </c>
      <c r="AH15" s="1">
        <f t="shared" si="16"/>
        <v>48.230000000000004</v>
      </c>
      <c r="AI15" s="1">
        <f t="shared" si="17"/>
        <v>55</v>
      </c>
      <c r="AJ15" s="1">
        <f t="shared" si="18"/>
        <v>69</v>
      </c>
      <c r="AK15" s="1">
        <f t="shared" si="19"/>
        <v>69</v>
      </c>
      <c r="AL15" s="1">
        <f t="shared" si="20"/>
        <v>97</v>
      </c>
      <c r="AM15" s="1">
        <f t="shared" si="21"/>
        <v>76</v>
      </c>
      <c r="AN15" s="1">
        <f t="shared" si="22"/>
        <v>69</v>
      </c>
      <c r="AS15" s="512"/>
    </row>
    <row r="16" spans="1:45" outlineLevel="1" x14ac:dyDescent="0.25">
      <c r="A16" s="535">
        <v>11</v>
      </c>
      <c r="B16" s="894">
        <f t="shared" si="23"/>
        <v>2010</v>
      </c>
      <c r="C16" s="529">
        <f>VLOOKUP(A16,ERDI,2,FALSE)</f>
        <v>44.5</v>
      </c>
      <c r="D16" s="822">
        <f t="shared" si="5"/>
        <v>529.89</v>
      </c>
      <c r="E16" s="823">
        <f t="shared" si="6"/>
        <v>539.21399999999994</v>
      </c>
      <c r="F16" s="822">
        <f t="shared" si="7"/>
        <v>846</v>
      </c>
      <c r="G16" s="823">
        <f t="shared" si="8"/>
        <v>846</v>
      </c>
      <c r="H16" s="822">
        <f t="shared" si="24"/>
        <v>-316.11</v>
      </c>
      <c r="I16" s="823">
        <f t="shared" si="25"/>
        <v>-306.78600000000006</v>
      </c>
      <c r="J16" s="910">
        <f t="shared" si="9"/>
        <v>0.62634751773049646</v>
      </c>
      <c r="K16" s="911">
        <f t="shared" si="10"/>
        <v>0.63736879432624105</v>
      </c>
      <c r="L16" s="822">
        <f t="shared" si="3"/>
        <v>11.907640449438201</v>
      </c>
      <c r="M16" s="823">
        <f t="shared" si="4"/>
        <v>12.117168539325842</v>
      </c>
      <c r="N16" s="512"/>
      <c r="AC16" s="1">
        <f t="shared" si="11"/>
        <v>42.300000000000004</v>
      </c>
      <c r="AD16" s="1">
        <f t="shared" si="12"/>
        <v>33.840000000000003</v>
      </c>
      <c r="AE16" s="1">
        <f t="shared" si="13"/>
        <v>59.220000000000006</v>
      </c>
      <c r="AF16" s="1">
        <f t="shared" si="14"/>
        <v>59.220000000000006</v>
      </c>
      <c r="AG16" s="1">
        <f t="shared" si="15"/>
        <v>59.220000000000006</v>
      </c>
      <c r="AH16" s="1">
        <f t="shared" si="16"/>
        <v>59.220000000000006</v>
      </c>
      <c r="AI16" s="1">
        <f t="shared" si="17"/>
        <v>68</v>
      </c>
      <c r="AJ16" s="1">
        <f t="shared" si="18"/>
        <v>85</v>
      </c>
      <c r="AK16" s="1">
        <f t="shared" si="19"/>
        <v>85</v>
      </c>
      <c r="AL16" s="1">
        <f t="shared" si="20"/>
        <v>118</v>
      </c>
      <c r="AM16" s="1">
        <f t="shared" si="21"/>
        <v>93</v>
      </c>
      <c r="AN16" s="1">
        <f t="shared" si="22"/>
        <v>85</v>
      </c>
      <c r="AS16" s="512"/>
    </row>
    <row r="17" spans="1:52" outlineLevel="1" x14ac:dyDescent="0.25">
      <c r="A17" s="1">
        <v>12</v>
      </c>
      <c r="B17" s="894">
        <f t="shared" si="23"/>
        <v>2010</v>
      </c>
      <c r="C17" s="523">
        <f>VLOOKUP(A17,NURAZANI,2,FALSE)</f>
        <v>71</v>
      </c>
      <c r="D17" s="694">
        <f t="shared" si="5"/>
        <v>1000.7399999999999</v>
      </c>
      <c r="E17" s="695">
        <f t="shared" si="6"/>
        <v>996.92000000000007</v>
      </c>
      <c r="F17" s="822">
        <f t="shared" si="7"/>
        <v>1420</v>
      </c>
      <c r="G17" s="823">
        <f t="shared" si="8"/>
        <v>1524</v>
      </c>
      <c r="H17" s="822">
        <f t="shared" si="24"/>
        <v>-419.2600000000001</v>
      </c>
      <c r="I17" s="823">
        <f t="shared" si="25"/>
        <v>-527.07999999999993</v>
      </c>
      <c r="J17" s="910">
        <f t="shared" si="9"/>
        <v>0.70474647887323938</v>
      </c>
      <c r="K17" s="911">
        <f t="shared" si="10"/>
        <v>0.65414698162729668</v>
      </c>
      <c r="L17" s="694">
        <f t="shared" si="3"/>
        <v>14.094929577464788</v>
      </c>
      <c r="M17" s="695">
        <f t="shared" si="4"/>
        <v>14.041126760563381</v>
      </c>
      <c r="N17" s="512"/>
      <c r="AC17" s="1">
        <f t="shared" si="11"/>
        <v>71</v>
      </c>
      <c r="AD17" s="1">
        <f t="shared" si="12"/>
        <v>56.800000000000004</v>
      </c>
      <c r="AE17" s="1">
        <f t="shared" si="13"/>
        <v>99.4</v>
      </c>
      <c r="AF17" s="1">
        <f t="shared" si="14"/>
        <v>99.4</v>
      </c>
      <c r="AG17" s="1">
        <f t="shared" si="15"/>
        <v>99.4</v>
      </c>
      <c r="AH17" s="1">
        <f t="shared" si="16"/>
        <v>99.4</v>
      </c>
      <c r="AI17" s="1">
        <f t="shared" si="17"/>
        <v>114</v>
      </c>
      <c r="AJ17" s="1">
        <f t="shared" si="18"/>
        <v>142</v>
      </c>
      <c r="AK17" s="1">
        <f t="shared" si="19"/>
        <v>142</v>
      </c>
      <c r="AL17" s="1">
        <f t="shared" si="20"/>
        <v>199</v>
      </c>
      <c r="AM17" s="1">
        <f t="shared" si="21"/>
        <v>156</v>
      </c>
      <c r="AN17" s="1">
        <f t="shared" si="22"/>
        <v>142</v>
      </c>
      <c r="AS17" s="512"/>
    </row>
    <row r="18" spans="1:52" outlineLevel="1" x14ac:dyDescent="0.25">
      <c r="A18" s="1">
        <v>23</v>
      </c>
      <c r="B18" s="913">
        <f t="shared" si="23"/>
        <v>2010</v>
      </c>
      <c r="C18" s="523">
        <f>VLOOKUP(A18,SERAN,2,FALSE)</f>
        <v>14.6</v>
      </c>
      <c r="D18" s="694">
        <f t="shared" si="5"/>
        <v>291.61</v>
      </c>
      <c r="E18" s="695">
        <f t="shared" si="6"/>
        <v>287.59000000000003</v>
      </c>
      <c r="F18" s="694">
        <f t="shared" si="7"/>
        <v>307</v>
      </c>
      <c r="G18" s="695">
        <f t="shared" si="8"/>
        <v>307</v>
      </c>
      <c r="H18" s="694">
        <f t="shared" si="24"/>
        <v>-15.389999999999986</v>
      </c>
      <c r="I18" s="695">
        <f t="shared" si="25"/>
        <v>-19.409999999999968</v>
      </c>
      <c r="J18" s="910">
        <f>D18/F18*100%</f>
        <v>0.94986970684039096</v>
      </c>
      <c r="K18" s="911">
        <f>E18/G18*100%</f>
        <v>0.9367752442996744</v>
      </c>
      <c r="L18" s="694">
        <f t="shared" si="3"/>
        <v>19.973287671232878</v>
      </c>
      <c r="M18" s="695">
        <f t="shared" si="4"/>
        <v>19.697945205479456</v>
      </c>
      <c r="N18" s="512"/>
      <c r="AC18" s="912">
        <f t="shared" si="11"/>
        <v>15.350000000000001</v>
      </c>
      <c r="AD18" s="912">
        <f t="shared" si="12"/>
        <v>12.280000000000001</v>
      </c>
      <c r="AE18" s="912">
        <f t="shared" si="13"/>
        <v>21.490000000000002</v>
      </c>
      <c r="AF18" s="912">
        <f t="shared" si="14"/>
        <v>21.490000000000002</v>
      </c>
      <c r="AG18" s="912">
        <f t="shared" si="15"/>
        <v>21.490000000000002</v>
      </c>
      <c r="AH18" s="912">
        <f t="shared" si="16"/>
        <v>21.490000000000002</v>
      </c>
      <c r="AI18" s="912">
        <f t="shared" si="17"/>
        <v>25</v>
      </c>
      <c r="AJ18" s="912">
        <f t="shared" si="18"/>
        <v>31</v>
      </c>
      <c r="AK18" s="912">
        <f t="shared" si="19"/>
        <v>31</v>
      </c>
      <c r="AL18" s="912">
        <f t="shared" si="20"/>
        <v>43</v>
      </c>
      <c r="AM18" s="912">
        <f t="shared" si="21"/>
        <v>34</v>
      </c>
      <c r="AN18" s="912">
        <f t="shared" si="22"/>
        <v>31</v>
      </c>
      <c r="AS18" s="512"/>
    </row>
    <row r="19" spans="1:52" ht="15.75" outlineLevel="1" thickBot="1" x14ac:dyDescent="0.3">
      <c r="A19" s="562"/>
      <c r="B19" s="562"/>
      <c r="C19" s="563"/>
      <c r="D19" s="8"/>
      <c r="J19" s="901"/>
      <c r="K19" s="901"/>
      <c r="L19" s="8"/>
      <c r="M19" s="8"/>
      <c r="N19" s="512"/>
      <c r="AS19" s="512"/>
    </row>
    <row r="20" spans="1:52" s="7" customFormat="1" ht="15.75" thickBot="1" x14ac:dyDescent="0.3">
      <c r="A20" s="896"/>
      <c r="B20" s="897">
        <f>B21</f>
        <v>2011</v>
      </c>
      <c r="C20" s="820">
        <f>SUM(C21:C27)</f>
        <v>310.5</v>
      </c>
      <c r="D20" s="819">
        <f>SUM(D21:D27)</f>
        <v>5287.5</v>
      </c>
      <c r="E20" s="903">
        <f>SUM(E21:E27)</f>
        <v>5030.9649999999992</v>
      </c>
      <c r="F20" s="819">
        <f>SUM(F21:F27)</f>
        <v>6528</v>
      </c>
      <c r="G20" s="541">
        <f t="shared" ref="G20:I20" si="26">SUM(G21:G27)</f>
        <v>6528</v>
      </c>
      <c r="H20" s="819">
        <f>SUM(H21:H27)</f>
        <v>-1240.5</v>
      </c>
      <c r="I20" s="541">
        <f t="shared" si="26"/>
        <v>-1497.0349999999999</v>
      </c>
      <c r="J20" s="906">
        <f t="shared" ref="J20:J27" si="27">D20/F20*100%</f>
        <v>0.8099724264705882</v>
      </c>
      <c r="K20" s="907">
        <f t="shared" ref="K20:K27" si="28">E20/G20*100%</f>
        <v>0.77067478553921553</v>
      </c>
      <c r="L20" s="819">
        <f t="shared" ref="L20:L27" si="29">D20/C20</f>
        <v>17.028985507246375</v>
      </c>
      <c r="M20" s="541">
        <f t="shared" ref="M20:M27" si="30">E20/C20</f>
        <v>16.202785829307565</v>
      </c>
      <c r="N20" s="902"/>
      <c r="AC20" s="665" t="s">
        <v>180</v>
      </c>
      <c r="AD20" s="665" t="s">
        <v>181</v>
      </c>
      <c r="AE20" s="665" t="s">
        <v>182</v>
      </c>
      <c r="AF20" s="665" t="s">
        <v>183</v>
      </c>
      <c r="AG20" s="665" t="s">
        <v>184</v>
      </c>
      <c r="AH20" s="665" t="s">
        <v>185</v>
      </c>
      <c r="AI20" s="665" t="s">
        <v>186</v>
      </c>
      <c r="AJ20" s="665" t="s">
        <v>187</v>
      </c>
      <c r="AK20" s="665" t="s">
        <v>188</v>
      </c>
      <c r="AL20" s="665" t="s">
        <v>189</v>
      </c>
      <c r="AM20" s="665" t="s">
        <v>190</v>
      </c>
      <c r="AN20" s="665" t="s">
        <v>191</v>
      </c>
      <c r="AS20" s="902"/>
    </row>
    <row r="21" spans="1:52" outlineLevel="1" x14ac:dyDescent="0.25">
      <c r="A21" s="1">
        <v>10</v>
      </c>
      <c r="B21" s="894">
        <f t="shared" ref="B21:B27" si="31">VLOOKUP(A21,coupe,3,FALSE)</f>
        <v>2011</v>
      </c>
      <c r="C21" s="523">
        <f>VLOOKUP(A21,NURAZANI,2,FALSE)</f>
        <v>19.100000000000001</v>
      </c>
      <c r="D21" s="694">
        <f t="shared" ref="D21:D27" si="32">VLOOKUP(A21,year2022to23,311,FALSE)</f>
        <v>259.04000000000002</v>
      </c>
      <c r="E21" s="695">
        <f t="shared" ref="E21:E27" si="33">VLOOKUP(A21,year2022to23,249,FALSE)</f>
        <v>260.8</v>
      </c>
      <c r="F21" s="822">
        <f t="shared" ref="F21:F27" si="34">VLOOKUP(A21,coupe,4,FALSE)</f>
        <v>363</v>
      </c>
      <c r="G21" s="823">
        <f t="shared" ref="G21:G27" si="35">VLOOKUP(A21,budget2024,19,FALSE)</f>
        <v>363</v>
      </c>
      <c r="H21" s="822">
        <f t="shared" ref="H21:H27" si="36">D21-F21</f>
        <v>-103.95999999999998</v>
      </c>
      <c r="I21" s="823">
        <f t="shared" ref="I21:I27" si="37">E21-G21</f>
        <v>-102.19999999999999</v>
      </c>
      <c r="J21" s="908">
        <f t="shared" si="27"/>
        <v>0.71360881542699728</v>
      </c>
      <c r="K21" s="909">
        <f t="shared" si="28"/>
        <v>0.71845730027548216</v>
      </c>
      <c r="L21" s="694">
        <f t="shared" si="29"/>
        <v>13.562303664921465</v>
      </c>
      <c r="M21" s="695">
        <f t="shared" si="30"/>
        <v>13.654450261780104</v>
      </c>
      <c r="N21" s="512"/>
      <c r="AC21" s="1">
        <f t="shared" ref="AC21:AC27" si="38">VLOOKUP(A21,ffbbudgettwofive,7,FALSE)</f>
        <v>18.150000000000002</v>
      </c>
      <c r="AD21" s="1">
        <f t="shared" ref="AD21:AD27" si="39">VLOOKUP(A21,ffbbudgettwofive,8,FALSE)</f>
        <v>14.52</v>
      </c>
      <c r="AE21" s="1">
        <f t="shared" ref="AE21:AE27" si="40">VLOOKUP(A21,ffbbudgettwofive,9,FALSE)</f>
        <v>25.410000000000004</v>
      </c>
      <c r="AF21" s="1">
        <f t="shared" ref="AF21:AF27" si="41">VLOOKUP(A21,ffbbudgettwofive,10,FALSE)</f>
        <v>25.410000000000004</v>
      </c>
      <c r="AG21" s="1">
        <f t="shared" ref="AG21:AG27" si="42">VLOOKUP(A21,ffbbudgettwofive,11,FALSE)</f>
        <v>25.410000000000004</v>
      </c>
      <c r="AH21" s="1">
        <f t="shared" ref="AH21:AH27" si="43">VLOOKUP(A21,ffbbudgettwofive,12,FALSE)</f>
        <v>25.410000000000004</v>
      </c>
      <c r="AI21" s="1">
        <f t="shared" ref="AI21:AI27" si="44">VLOOKUP(A21,ffbbudgettwofive,13,FALSE)</f>
        <v>29</v>
      </c>
      <c r="AJ21" s="1">
        <f t="shared" ref="AJ21:AJ27" si="45">VLOOKUP(A21,ffbbudgettwofive,14,FALSE)</f>
        <v>36</v>
      </c>
      <c r="AK21" s="1">
        <f t="shared" ref="AK21:AK27" si="46">VLOOKUP(A21,ffbbudgettwofive,15,FALSE)</f>
        <v>36</v>
      </c>
      <c r="AL21" s="1">
        <f t="shared" ref="AL21:AL27" si="47">VLOOKUP(A21,ffbbudgettwofive,16,FALSE)</f>
        <v>51</v>
      </c>
      <c r="AM21" s="1">
        <f t="shared" ref="AM21:AM27" si="48">VLOOKUP(A21,ffbbudgettwofive,17,FALSE)</f>
        <v>40</v>
      </c>
      <c r="AN21" s="1">
        <f t="shared" ref="AN21:AN27" si="49">VLOOKUP(A21,ffbbudgettwofive,18,FALSE)</f>
        <v>36</v>
      </c>
      <c r="AS21" s="512"/>
    </row>
    <row r="22" spans="1:52" outlineLevel="1" x14ac:dyDescent="0.25">
      <c r="A22" s="511">
        <v>13</v>
      </c>
      <c r="B22" s="894">
        <f t="shared" si="31"/>
        <v>2011</v>
      </c>
      <c r="C22" s="529">
        <f>VLOOKUP(A22,NURAZANI,2,FALSE)</f>
        <v>60.8</v>
      </c>
      <c r="D22" s="822">
        <f t="shared" si="32"/>
        <v>1038.9000000000001</v>
      </c>
      <c r="E22" s="823">
        <f t="shared" si="33"/>
        <v>998.85899999999992</v>
      </c>
      <c r="F22" s="822">
        <f t="shared" si="34"/>
        <v>1338</v>
      </c>
      <c r="G22" s="823">
        <f t="shared" si="35"/>
        <v>1338</v>
      </c>
      <c r="H22" s="822">
        <f t="shared" si="36"/>
        <v>-299.09999999999991</v>
      </c>
      <c r="I22" s="823">
        <f t="shared" si="37"/>
        <v>-339.14100000000008</v>
      </c>
      <c r="J22" s="908">
        <f t="shared" si="27"/>
        <v>0.77645739910313905</v>
      </c>
      <c r="K22" s="909">
        <f t="shared" si="28"/>
        <v>0.74653139013452907</v>
      </c>
      <c r="L22" s="822">
        <f t="shared" si="29"/>
        <v>17.087171052631582</v>
      </c>
      <c r="M22" s="823">
        <f t="shared" si="30"/>
        <v>16.428601973684209</v>
      </c>
      <c r="N22" s="512"/>
      <c r="AC22" s="1">
        <f t="shared" si="38"/>
        <v>66.900000000000006</v>
      </c>
      <c r="AD22" s="1">
        <f t="shared" si="39"/>
        <v>53.52</v>
      </c>
      <c r="AE22" s="1">
        <f t="shared" si="40"/>
        <v>93.660000000000011</v>
      </c>
      <c r="AF22" s="1">
        <f t="shared" si="41"/>
        <v>93.660000000000011</v>
      </c>
      <c r="AG22" s="1">
        <f t="shared" si="42"/>
        <v>93.660000000000011</v>
      </c>
      <c r="AH22" s="1">
        <f t="shared" si="43"/>
        <v>93.660000000000011</v>
      </c>
      <c r="AI22" s="1">
        <f t="shared" si="44"/>
        <v>107</v>
      </c>
      <c r="AJ22" s="1">
        <f t="shared" si="45"/>
        <v>134</v>
      </c>
      <c r="AK22" s="1">
        <f t="shared" si="46"/>
        <v>134</v>
      </c>
      <c r="AL22" s="1">
        <f t="shared" si="47"/>
        <v>187</v>
      </c>
      <c r="AM22" s="1">
        <f t="shared" si="48"/>
        <v>147</v>
      </c>
      <c r="AN22" s="1">
        <f t="shared" si="49"/>
        <v>134</v>
      </c>
      <c r="AS22" s="512"/>
      <c r="AV22" s="7"/>
      <c r="AW22" s="7"/>
      <c r="AX22" s="7"/>
      <c r="AY22" s="7"/>
    </row>
    <row r="23" spans="1:52" outlineLevel="1" x14ac:dyDescent="0.25">
      <c r="A23" s="100">
        <v>14</v>
      </c>
      <c r="B23" s="894">
        <f t="shared" si="31"/>
        <v>2011</v>
      </c>
      <c r="C23" s="523">
        <f>VLOOKUP(A23,YUVENTUS,2,FALSE)</f>
        <v>41.6</v>
      </c>
      <c r="D23" s="694">
        <f t="shared" si="32"/>
        <v>714.03</v>
      </c>
      <c r="E23" s="695">
        <f t="shared" si="33"/>
        <v>762.68600000000004</v>
      </c>
      <c r="F23" s="822">
        <f t="shared" si="34"/>
        <v>874</v>
      </c>
      <c r="G23" s="823">
        <f t="shared" si="35"/>
        <v>874</v>
      </c>
      <c r="H23" s="822">
        <f t="shared" si="36"/>
        <v>-159.97000000000003</v>
      </c>
      <c r="I23" s="823">
        <f t="shared" si="37"/>
        <v>-111.31399999999996</v>
      </c>
      <c r="J23" s="908">
        <f t="shared" si="27"/>
        <v>0.81696796338672761</v>
      </c>
      <c r="K23" s="909">
        <f t="shared" si="28"/>
        <v>0.87263844393592682</v>
      </c>
      <c r="L23" s="694">
        <f t="shared" si="29"/>
        <v>17.164182692307691</v>
      </c>
      <c r="M23" s="695">
        <f t="shared" si="30"/>
        <v>18.333798076923078</v>
      </c>
      <c r="N23" s="512"/>
      <c r="AC23" s="1">
        <f t="shared" si="38"/>
        <v>43.7</v>
      </c>
      <c r="AD23" s="1">
        <f t="shared" si="39"/>
        <v>34.96</v>
      </c>
      <c r="AE23" s="1">
        <f t="shared" si="40"/>
        <v>61.180000000000007</v>
      </c>
      <c r="AF23" s="1">
        <f t="shared" si="41"/>
        <v>61.180000000000007</v>
      </c>
      <c r="AG23" s="1">
        <f t="shared" si="42"/>
        <v>61.180000000000007</v>
      </c>
      <c r="AH23" s="1">
        <f t="shared" si="43"/>
        <v>61.180000000000007</v>
      </c>
      <c r="AI23" s="1">
        <f t="shared" si="44"/>
        <v>70</v>
      </c>
      <c r="AJ23" s="1">
        <f t="shared" si="45"/>
        <v>87</v>
      </c>
      <c r="AK23" s="1">
        <f t="shared" si="46"/>
        <v>87</v>
      </c>
      <c r="AL23" s="1">
        <f t="shared" si="47"/>
        <v>122</v>
      </c>
      <c r="AM23" s="1">
        <f t="shared" si="48"/>
        <v>96</v>
      </c>
      <c r="AN23" s="1">
        <f t="shared" si="49"/>
        <v>87</v>
      </c>
      <c r="AS23" s="512"/>
    </row>
    <row r="24" spans="1:52" outlineLevel="1" x14ac:dyDescent="0.25">
      <c r="A24" s="1">
        <v>15</v>
      </c>
      <c r="B24" s="894">
        <f t="shared" si="31"/>
        <v>2011</v>
      </c>
      <c r="C24" s="523">
        <f>VLOOKUP(A24,DARSO,2,FALSE)</f>
        <v>49.3</v>
      </c>
      <c r="D24" s="694">
        <f t="shared" si="32"/>
        <v>776.8900000000001</v>
      </c>
      <c r="E24" s="695">
        <f t="shared" si="33"/>
        <v>619.76</v>
      </c>
      <c r="F24" s="822">
        <f t="shared" si="34"/>
        <v>986</v>
      </c>
      <c r="G24" s="823">
        <f t="shared" si="35"/>
        <v>986</v>
      </c>
      <c r="H24" s="822">
        <f t="shared" si="36"/>
        <v>-209.1099999999999</v>
      </c>
      <c r="I24" s="823">
        <f t="shared" si="37"/>
        <v>-366.24</v>
      </c>
      <c r="J24" s="908">
        <f t="shared" si="27"/>
        <v>0.78792089249492914</v>
      </c>
      <c r="K24" s="909">
        <f t="shared" si="28"/>
        <v>0.62855983772819468</v>
      </c>
      <c r="L24" s="694">
        <f t="shared" si="29"/>
        <v>15.758417849898583</v>
      </c>
      <c r="M24" s="695">
        <f t="shared" si="30"/>
        <v>12.571196754563895</v>
      </c>
      <c r="N24" s="512"/>
      <c r="AC24" s="1">
        <f t="shared" si="38"/>
        <v>49.300000000000004</v>
      </c>
      <c r="AD24" s="1">
        <f t="shared" si="39"/>
        <v>39.44</v>
      </c>
      <c r="AE24" s="1">
        <f t="shared" si="40"/>
        <v>69.02000000000001</v>
      </c>
      <c r="AF24" s="1">
        <f t="shared" si="41"/>
        <v>69.02000000000001</v>
      </c>
      <c r="AG24" s="1">
        <f t="shared" si="42"/>
        <v>69.02000000000001</v>
      </c>
      <c r="AH24" s="1">
        <f t="shared" si="43"/>
        <v>69.02000000000001</v>
      </c>
      <c r="AI24" s="1">
        <f t="shared" si="44"/>
        <v>79</v>
      </c>
      <c r="AJ24" s="1">
        <f t="shared" si="45"/>
        <v>99</v>
      </c>
      <c r="AK24" s="1">
        <f t="shared" si="46"/>
        <v>99</v>
      </c>
      <c r="AL24" s="1">
        <f t="shared" si="47"/>
        <v>138</v>
      </c>
      <c r="AM24" s="1">
        <f t="shared" si="48"/>
        <v>108</v>
      </c>
      <c r="AN24" s="1">
        <f t="shared" si="49"/>
        <v>99</v>
      </c>
      <c r="AS24" s="512"/>
    </row>
    <row r="25" spans="1:52" outlineLevel="1" x14ac:dyDescent="0.25">
      <c r="A25" s="1">
        <v>16</v>
      </c>
      <c r="B25" s="894">
        <f t="shared" si="31"/>
        <v>2011</v>
      </c>
      <c r="C25" s="523">
        <f>VLOOKUP(A25,DARSO,2,FALSE)</f>
        <v>53.2</v>
      </c>
      <c r="D25" s="694">
        <f t="shared" si="32"/>
        <v>900.68</v>
      </c>
      <c r="E25" s="695">
        <f t="shared" si="33"/>
        <v>837.23</v>
      </c>
      <c r="F25" s="822">
        <f t="shared" si="34"/>
        <v>1064</v>
      </c>
      <c r="G25" s="823">
        <f t="shared" si="35"/>
        <v>1064</v>
      </c>
      <c r="H25" s="822">
        <f t="shared" si="36"/>
        <v>-163.32000000000005</v>
      </c>
      <c r="I25" s="823">
        <f t="shared" si="37"/>
        <v>-226.76999999999998</v>
      </c>
      <c r="J25" s="908">
        <f t="shared" si="27"/>
        <v>0.8465037593984962</v>
      </c>
      <c r="K25" s="909">
        <f t="shared" si="28"/>
        <v>0.78687030075187969</v>
      </c>
      <c r="L25" s="694">
        <f t="shared" si="29"/>
        <v>16.930075187969923</v>
      </c>
      <c r="M25" s="695">
        <f t="shared" si="30"/>
        <v>15.737406015037594</v>
      </c>
      <c r="N25" s="512"/>
      <c r="AC25" s="1">
        <f t="shared" si="38"/>
        <v>53.2</v>
      </c>
      <c r="AD25" s="1">
        <f t="shared" si="39"/>
        <v>42.56</v>
      </c>
      <c r="AE25" s="1">
        <f t="shared" si="40"/>
        <v>74.48</v>
      </c>
      <c r="AF25" s="1">
        <f t="shared" si="41"/>
        <v>74.48</v>
      </c>
      <c r="AG25" s="1">
        <f t="shared" si="42"/>
        <v>74.48</v>
      </c>
      <c r="AH25" s="1">
        <f t="shared" si="43"/>
        <v>74.48</v>
      </c>
      <c r="AI25" s="1">
        <f t="shared" si="44"/>
        <v>85</v>
      </c>
      <c r="AJ25" s="1">
        <f t="shared" si="45"/>
        <v>106</v>
      </c>
      <c r="AK25" s="1">
        <f t="shared" si="46"/>
        <v>106</v>
      </c>
      <c r="AL25" s="1">
        <f t="shared" si="47"/>
        <v>149</v>
      </c>
      <c r="AM25" s="1">
        <f t="shared" si="48"/>
        <v>117</v>
      </c>
      <c r="AN25" s="1">
        <f t="shared" si="49"/>
        <v>106</v>
      </c>
      <c r="AS25" s="512"/>
    </row>
    <row r="26" spans="1:52" outlineLevel="1" x14ac:dyDescent="0.25">
      <c r="A26" s="1">
        <v>17</v>
      </c>
      <c r="B26" s="894">
        <f t="shared" si="31"/>
        <v>2011</v>
      </c>
      <c r="C26" s="523">
        <f>VLOOKUP(A26,DARSO,2,FALSE)</f>
        <v>45.7</v>
      </c>
      <c r="D26" s="694">
        <f t="shared" si="32"/>
        <v>797.25</v>
      </c>
      <c r="E26" s="695">
        <f t="shared" si="33"/>
        <v>814.55000000000007</v>
      </c>
      <c r="F26" s="822">
        <f t="shared" si="34"/>
        <v>1005</v>
      </c>
      <c r="G26" s="823">
        <f t="shared" si="35"/>
        <v>1005</v>
      </c>
      <c r="H26" s="822">
        <f t="shared" si="36"/>
        <v>-207.75</v>
      </c>
      <c r="I26" s="823">
        <f t="shared" si="37"/>
        <v>-190.44999999999993</v>
      </c>
      <c r="J26" s="908">
        <f t="shared" si="27"/>
        <v>0.79328358208955219</v>
      </c>
      <c r="K26" s="909">
        <f t="shared" si="28"/>
        <v>0.81049751243781099</v>
      </c>
      <c r="L26" s="694">
        <f t="shared" si="29"/>
        <v>17.445295404814004</v>
      </c>
      <c r="M26" s="695">
        <f t="shared" si="30"/>
        <v>17.823851203501093</v>
      </c>
      <c r="N26" s="512"/>
      <c r="AC26" s="1">
        <f t="shared" si="38"/>
        <v>50.25</v>
      </c>
      <c r="AD26" s="1">
        <f t="shared" si="39"/>
        <v>40.200000000000003</v>
      </c>
      <c r="AE26" s="1">
        <f t="shared" si="40"/>
        <v>70.350000000000009</v>
      </c>
      <c r="AF26" s="1">
        <f t="shared" si="41"/>
        <v>70.350000000000009</v>
      </c>
      <c r="AG26" s="1">
        <f t="shared" si="42"/>
        <v>70.350000000000009</v>
      </c>
      <c r="AH26" s="1">
        <f t="shared" si="43"/>
        <v>70.350000000000009</v>
      </c>
      <c r="AI26" s="1">
        <f t="shared" si="44"/>
        <v>80</v>
      </c>
      <c r="AJ26" s="1">
        <f t="shared" si="45"/>
        <v>101</v>
      </c>
      <c r="AK26" s="1">
        <f t="shared" si="46"/>
        <v>101</v>
      </c>
      <c r="AL26" s="1">
        <f t="shared" si="47"/>
        <v>141</v>
      </c>
      <c r="AM26" s="1">
        <f t="shared" si="48"/>
        <v>111</v>
      </c>
      <c r="AN26" s="1">
        <f t="shared" si="49"/>
        <v>101</v>
      </c>
      <c r="AS26" s="512"/>
    </row>
    <row r="27" spans="1:52" outlineLevel="1" x14ac:dyDescent="0.25">
      <c r="A27" s="1">
        <v>18</v>
      </c>
      <c r="B27" s="894">
        <f t="shared" si="31"/>
        <v>2011</v>
      </c>
      <c r="C27" s="523">
        <f>VLOOKUP(A27,NURAZANI,2,FALSE)</f>
        <v>40.799999999999997</v>
      </c>
      <c r="D27" s="694">
        <f t="shared" si="32"/>
        <v>800.71</v>
      </c>
      <c r="E27" s="695">
        <f t="shared" si="33"/>
        <v>737.08</v>
      </c>
      <c r="F27" s="822">
        <f t="shared" si="34"/>
        <v>898</v>
      </c>
      <c r="G27" s="823">
        <f t="shared" si="35"/>
        <v>898</v>
      </c>
      <c r="H27" s="822">
        <f t="shared" si="36"/>
        <v>-97.289999999999964</v>
      </c>
      <c r="I27" s="823">
        <f t="shared" si="37"/>
        <v>-160.91999999999996</v>
      </c>
      <c r="J27" s="908">
        <f t="shared" si="27"/>
        <v>0.89165924276169273</v>
      </c>
      <c r="K27" s="909">
        <f t="shared" si="28"/>
        <v>0.82080178173719376</v>
      </c>
      <c r="L27" s="694">
        <f t="shared" si="29"/>
        <v>19.625245098039219</v>
      </c>
      <c r="M27" s="695">
        <f t="shared" si="30"/>
        <v>18.065686274509805</v>
      </c>
      <c r="N27" s="512"/>
      <c r="AC27" s="1">
        <f t="shared" si="38"/>
        <v>44.900000000000006</v>
      </c>
      <c r="AD27" s="1">
        <f t="shared" si="39"/>
        <v>35.92</v>
      </c>
      <c r="AE27" s="1">
        <f t="shared" si="40"/>
        <v>62.860000000000007</v>
      </c>
      <c r="AF27" s="1">
        <f t="shared" si="41"/>
        <v>62.860000000000007</v>
      </c>
      <c r="AG27" s="1">
        <f t="shared" si="42"/>
        <v>62.860000000000007</v>
      </c>
      <c r="AH27" s="1">
        <f t="shared" si="43"/>
        <v>62.860000000000007</v>
      </c>
      <c r="AI27" s="1">
        <f t="shared" si="44"/>
        <v>72</v>
      </c>
      <c r="AJ27" s="1">
        <f t="shared" si="45"/>
        <v>90</v>
      </c>
      <c r="AK27" s="1">
        <f t="shared" si="46"/>
        <v>90</v>
      </c>
      <c r="AL27" s="1">
        <f t="shared" si="47"/>
        <v>126</v>
      </c>
      <c r="AM27" s="1">
        <f t="shared" si="48"/>
        <v>99</v>
      </c>
      <c r="AN27" s="1">
        <f t="shared" si="49"/>
        <v>90</v>
      </c>
      <c r="AS27" s="512"/>
    </row>
    <row r="28" spans="1:52" ht="15.75" outlineLevel="1" thickBot="1" x14ac:dyDescent="0.3">
      <c r="A28" s="562"/>
      <c r="B28" s="562"/>
      <c r="C28" s="563"/>
      <c r="D28" s="8"/>
      <c r="J28" s="901"/>
      <c r="K28" s="901"/>
      <c r="L28" s="8"/>
      <c r="M28" s="8"/>
      <c r="N28" s="512"/>
      <c r="AS28" s="512"/>
    </row>
    <row r="29" spans="1:52" s="7" customFormat="1" ht="15.75" thickBot="1" x14ac:dyDescent="0.3">
      <c r="A29" s="896"/>
      <c r="B29" s="897">
        <f>B30</f>
        <v>2012</v>
      </c>
      <c r="C29" s="820">
        <f>SUM(C30:C34)</f>
        <v>281.89999999999998</v>
      </c>
      <c r="D29" s="819">
        <f>SUM(D30:D34)</f>
        <v>4872.33</v>
      </c>
      <c r="E29" s="903">
        <f>SUM(E30:E34)</f>
        <v>4448.0300000000007</v>
      </c>
      <c r="F29" s="819">
        <f>SUM(F30:F34)</f>
        <v>5931</v>
      </c>
      <c r="G29" s="541">
        <f t="shared" ref="G29:I29" si="50">SUM(G30:G34)</f>
        <v>5931</v>
      </c>
      <c r="H29" s="819">
        <f>SUM(H30:H34)</f>
        <v>-1058.6699999999996</v>
      </c>
      <c r="I29" s="541">
        <f t="shared" si="50"/>
        <v>-1482.97</v>
      </c>
      <c r="J29" s="906">
        <f t="shared" ref="J29:J30" si="51">D29/F29*100%</f>
        <v>0.82150227617602423</v>
      </c>
      <c r="K29" s="907">
        <f t="shared" ref="K29:K30" si="52">E29/G29*100%</f>
        <v>0.7499629067610859</v>
      </c>
      <c r="L29" s="819">
        <f t="shared" ref="L29:L34" si="53">D29/C29</f>
        <v>17.283894998226323</v>
      </c>
      <c r="M29" s="541">
        <f t="shared" ref="M29:M34" si="54">E29/C29</f>
        <v>15.778751330258961</v>
      </c>
      <c r="N29" s="902"/>
      <c r="AC29" s="7" t="s">
        <v>180</v>
      </c>
      <c r="AD29" s="7" t="s">
        <v>181</v>
      </c>
      <c r="AE29" s="7" t="s">
        <v>182</v>
      </c>
      <c r="AF29" s="7" t="s">
        <v>183</v>
      </c>
      <c r="AG29" s="7" t="s">
        <v>184</v>
      </c>
      <c r="AH29" s="7" t="s">
        <v>185</v>
      </c>
      <c r="AI29" s="7" t="s">
        <v>186</v>
      </c>
      <c r="AJ29" s="7" t="s">
        <v>187</v>
      </c>
      <c r="AK29" s="7" t="s">
        <v>188</v>
      </c>
      <c r="AL29" s="7" t="s">
        <v>189</v>
      </c>
      <c r="AM29" s="7" t="s">
        <v>190</v>
      </c>
      <c r="AN29" s="7" t="s">
        <v>191</v>
      </c>
      <c r="AS29" s="902"/>
    </row>
    <row r="30" spans="1:52" outlineLevel="1" x14ac:dyDescent="0.25">
      <c r="A30" s="1">
        <v>19</v>
      </c>
      <c r="B30" s="894">
        <f>VLOOKUP(A30,coupe,3,FALSE)</f>
        <v>2012</v>
      </c>
      <c r="C30" s="523">
        <f>VLOOKUP(A30,DARSO,2,FALSE)</f>
        <v>50.62</v>
      </c>
      <c r="D30" s="694">
        <f>VLOOKUP(A30,year2022to23,311,FALSE)</f>
        <v>866</v>
      </c>
      <c r="E30" s="695">
        <f>VLOOKUP(A30,year2022to23,249,FALSE)</f>
        <v>745.81000000000017</v>
      </c>
      <c r="F30" s="822">
        <f>VLOOKUP(A30,coupe,4,FALSE)</f>
        <v>1063</v>
      </c>
      <c r="G30" s="823">
        <f>VLOOKUP(A30,budget2024,19,FALSE)</f>
        <v>1063</v>
      </c>
      <c r="H30" s="822">
        <f t="shared" ref="H30:H34" si="55">D30-F30</f>
        <v>-197</v>
      </c>
      <c r="I30" s="823">
        <f t="shared" ref="I30:I34" si="56">E30-G30</f>
        <v>-317.18999999999983</v>
      </c>
      <c r="J30" s="908">
        <f t="shared" si="51"/>
        <v>0.81467544684854187</v>
      </c>
      <c r="K30" s="909">
        <f t="shared" si="52"/>
        <v>0.70160865475070566</v>
      </c>
      <c r="L30" s="694">
        <f t="shared" si="53"/>
        <v>17.107862504938762</v>
      </c>
      <c r="M30" s="695">
        <f t="shared" si="54"/>
        <v>14.733504543658636</v>
      </c>
      <c r="N30" s="512"/>
      <c r="AC30" s="1">
        <f>VLOOKUP(A30,ffbbudgettwofive,7,FALSE)</f>
        <v>53.150000000000006</v>
      </c>
      <c r="AD30" s="1">
        <f>VLOOKUP(A30,ffbbudgettwofive,8,FALSE)</f>
        <v>42.52</v>
      </c>
      <c r="AE30" s="1">
        <f>VLOOKUP(A30,ffbbudgettwofive,9,FALSE)</f>
        <v>74.410000000000011</v>
      </c>
      <c r="AF30" s="1">
        <f>VLOOKUP(A30,ffbbudgettwofive,10,FALSE)</f>
        <v>74.410000000000011</v>
      </c>
      <c r="AG30" s="1">
        <f>VLOOKUP(A30,ffbbudgettwofive,11,FALSE)</f>
        <v>74.410000000000011</v>
      </c>
      <c r="AH30" s="1">
        <f>VLOOKUP(A30,ffbbudgettwofive,12,FALSE)</f>
        <v>74.410000000000011</v>
      </c>
      <c r="AI30" s="1">
        <f>VLOOKUP(A30,ffbbudgettwofive,13,FALSE)</f>
        <v>85</v>
      </c>
      <c r="AJ30" s="1">
        <f>VLOOKUP(A30,ffbbudgettwofive,14,FALSE)</f>
        <v>106</v>
      </c>
      <c r="AK30" s="1">
        <f>VLOOKUP(A30,ffbbudgettwofive,15,FALSE)</f>
        <v>106</v>
      </c>
      <c r="AL30" s="1">
        <f>VLOOKUP(A30,ffbbudgettwofive,16,FALSE)</f>
        <v>149</v>
      </c>
      <c r="AM30" s="1">
        <f>VLOOKUP(A30,ffbbudgettwofive,17,FALSE)</f>
        <v>117</v>
      </c>
      <c r="AN30" s="1">
        <f>VLOOKUP(A30,ffbbudgettwofive,18,FALSE)</f>
        <v>106</v>
      </c>
      <c r="AS30" s="512"/>
    </row>
    <row r="31" spans="1:52" outlineLevel="1" x14ac:dyDescent="0.25">
      <c r="A31" s="1">
        <v>20</v>
      </c>
      <c r="B31" s="894">
        <f>VLOOKUP(A31,coupe,3,FALSE)</f>
        <v>2012</v>
      </c>
      <c r="C31" s="523">
        <f>VLOOKUP(A31,DARSO,2,FALSE)</f>
        <v>62.08</v>
      </c>
      <c r="D31" s="694">
        <f>VLOOKUP(A31,year2022to23,311,FALSE)</f>
        <v>1028.6000000000001</v>
      </c>
      <c r="E31" s="695">
        <f>VLOOKUP(A31,year2022to23,249,FALSE)</f>
        <v>799.99000000000012</v>
      </c>
      <c r="F31" s="822">
        <f>VLOOKUP(A31,coupe,4,FALSE)</f>
        <v>1304</v>
      </c>
      <c r="G31" s="823">
        <f>VLOOKUP(A31,budget2024,19,FALSE)</f>
        <v>1304</v>
      </c>
      <c r="H31" s="822">
        <f t="shared" si="55"/>
        <v>-275.39999999999986</v>
      </c>
      <c r="I31" s="823">
        <f t="shared" si="56"/>
        <v>-504.00999999999988</v>
      </c>
      <c r="J31" s="908">
        <f t="shared" ref="J31:J34" si="57">D31/F31*100%</f>
        <v>0.78880368098159515</v>
      </c>
      <c r="K31" s="909">
        <f t="shared" ref="K31:K34" si="58">E31/G31*100%</f>
        <v>0.61348926380368107</v>
      </c>
      <c r="L31" s="694">
        <f t="shared" si="53"/>
        <v>16.568943298969074</v>
      </c>
      <c r="M31" s="695">
        <f t="shared" si="54"/>
        <v>12.886436855670105</v>
      </c>
      <c r="N31" s="512"/>
      <c r="AC31" s="1">
        <f>VLOOKUP(A31,ffbbudgettwofive,7,FALSE)</f>
        <v>65.2</v>
      </c>
      <c r="AD31" s="1">
        <f>VLOOKUP(A31,ffbbudgettwofive,8,FALSE)</f>
        <v>52.160000000000004</v>
      </c>
      <c r="AE31" s="1">
        <f>VLOOKUP(A31,ffbbudgettwofive,9,FALSE)</f>
        <v>91.280000000000015</v>
      </c>
      <c r="AF31" s="1">
        <f>VLOOKUP(A31,ffbbudgettwofive,10,FALSE)</f>
        <v>91.280000000000015</v>
      </c>
      <c r="AG31" s="1">
        <f>VLOOKUP(A31,ffbbudgettwofive,11,FALSE)</f>
        <v>91.280000000000015</v>
      </c>
      <c r="AH31" s="1">
        <f>VLOOKUP(A31,ffbbudgettwofive,12,FALSE)</f>
        <v>91.280000000000015</v>
      </c>
      <c r="AI31" s="1">
        <f>VLOOKUP(A31,ffbbudgettwofive,13,FALSE)</f>
        <v>104</v>
      </c>
      <c r="AJ31" s="1">
        <f>VLOOKUP(A31,ffbbudgettwofive,14,FALSE)</f>
        <v>130</v>
      </c>
      <c r="AK31" s="1">
        <f>VLOOKUP(A31,ffbbudgettwofive,15,FALSE)</f>
        <v>130</v>
      </c>
      <c r="AL31" s="1">
        <f>VLOOKUP(A31,ffbbudgettwofive,16,FALSE)</f>
        <v>183</v>
      </c>
      <c r="AM31" s="1">
        <f>VLOOKUP(A31,ffbbudgettwofive,17,FALSE)</f>
        <v>143</v>
      </c>
      <c r="AN31" s="1">
        <f>VLOOKUP(A31,ffbbudgettwofive,18,FALSE)</f>
        <v>130</v>
      </c>
      <c r="AS31" s="512"/>
      <c r="AZ31" s="7"/>
    </row>
    <row r="32" spans="1:52" outlineLevel="1" x14ac:dyDescent="0.25">
      <c r="A32" s="1">
        <v>21</v>
      </c>
      <c r="B32" s="894">
        <f>VLOOKUP(A32,coupe,3,FALSE)</f>
        <v>2012</v>
      </c>
      <c r="C32" s="523">
        <f>VLOOKUP(A32,DARSO,2,FALSE)</f>
        <v>72.2</v>
      </c>
      <c r="D32" s="694">
        <f>VLOOKUP(A32,year2022to23,311,FALSE)</f>
        <v>1324.41</v>
      </c>
      <c r="E32" s="695">
        <f>VLOOKUP(A32,year2022to23,249,FALSE)</f>
        <v>1304.9899999999998</v>
      </c>
      <c r="F32" s="822">
        <f>VLOOKUP(A32,coupe,4,FALSE)</f>
        <v>1661</v>
      </c>
      <c r="G32" s="823">
        <f>VLOOKUP(A32,budget2024,19,FALSE)</f>
        <v>1661</v>
      </c>
      <c r="H32" s="822">
        <f t="shared" si="55"/>
        <v>-336.58999999999992</v>
      </c>
      <c r="I32" s="823">
        <f t="shared" si="56"/>
        <v>-356.01000000000022</v>
      </c>
      <c r="J32" s="908">
        <f t="shared" si="57"/>
        <v>0.79735701384708013</v>
      </c>
      <c r="K32" s="909">
        <f t="shared" si="58"/>
        <v>0.78566526189042729</v>
      </c>
      <c r="L32" s="694">
        <f t="shared" si="53"/>
        <v>18.343628808864267</v>
      </c>
      <c r="M32" s="695">
        <f t="shared" si="54"/>
        <v>18.074653739612184</v>
      </c>
      <c r="N32" s="512"/>
      <c r="AC32" s="1">
        <f>VLOOKUP(A32,ffbbudgettwofive,7,FALSE)</f>
        <v>83.050000000000011</v>
      </c>
      <c r="AD32" s="1">
        <f>VLOOKUP(A32,ffbbudgettwofive,8,FALSE)</f>
        <v>66.44</v>
      </c>
      <c r="AE32" s="1">
        <f>VLOOKUP(A32,ffbbudgettwofive,9,FALSE)</f>
        <v>116.27000000000001</v>
      </c>
      <c r="AF32" s="1">
        <f>VLOOKUP(A32,ffbbudgettwofive,10,FALSE)</f>
        <v>116.27000000000001</v>
      </c>
      <c r="AG32" s="1">
        <f>VLOOKUP(A32,ffbbudgettwofive,11,FALSE)</f>
        <v>116.27000000000001</v>
      </c>
      <c r="AH32" s="1">
        <f>VLOOKUP(A32,ffbbudgettwofive,12,FALSE)</f>
        <v>116.27000000000001</v>
      </c>
      <c r="AI32" s="1">
        <f>VLOOKUP(A32,ffbbudgettwofive,13,FALSE)</f>
        <v>133</v>
      </c>
      <c r="AJ32" s="1">
        <f>VLOOKUP(A32,ffbbudgettwofive,14,FALSE)</f>
        <v>166</v>
      </c>
      <c r="AK32" s="1">
        <f>VLOOKUP(A32,ffbbudgettwofive,15,FALSE)</f>
        <v>166</v>
      </c>
      <c r="AL32" s="1">
        <f>VLOOKUP(A32,ffbbudgettwofive,16,FALSE)</f>
        <v>232</v>
      </c>
      <c r="AM32" s="1">
        <f>VLOOKUP(A32,ffbbudgettwofive,17,FALSE)</f>
        <v>183</v>
      </c>
      <c r="AN32" s="1">
        <f>VLOOKUP(A32,ffbbudgettwofive,18,FALSE)</f>
        <v>166</v>
      </c>
      <c r="AS32" s="512"/>
    </row>
    <row r="33" spans="1:52" outlineLevel="1" x14ac:dyDescent="0.25">
      <c r="A33" s="1">
        <v>22</v>
      </c>
      <c r="B33" s="894">
        <f>VLOOKUP(A33,coupe,3,FALSE)</f>
        <v>2012</v>
      </c>
      <c r="C33" s="523">
        <f>VLOOKUP(A33,DARSO,2,FALSE)</f>
        <v>52.3</v>
      </c>
      <c r="D33" s="694">
        <f>VLOOKUP(A33,year2022to23,311,FALSE)</f>
        <v>845.84</v>
      </c>
      <c r="E33" s="695">
        <f>VLOOKUP(A33,year2022to23,249,FALSE)</f>
        <v>802.3</v>
      </c>
      <c r="F33" s="822">
        <f>VLOOKUP(A33,coupe,4,FALSE)</f>
        <v>1098</v>
      </c>
      <c r="G33" s="823">
        <f>VLOOKUP(A33,budget2024,19,FALSE)</f>
        <v>1098</v>
      </c>
      <c r="H33" s="822">
        <f t="shared" si="55"/>
        <v>-252.15999999999997</v>
      </c>
      <c r="I33" s="823">
        <f t="shared" si="56"/>
        <v>-295.70000000000005</v>
      </c>
      <c r="J33" s="908">
        <f t="shared" si="57"/>
        <v>0.77034608378870673</v>
      </c>
      <c r="K33" s="909">
        <f t="shared" si="58"/>
        <v>0.7306921675774134</v>
      </c>
      <c r="L33" s="694">
        <f t="shared" si="53"/>
        <v>16.172848948374764</v>
      </c>
      <c r="M33" s="695">
        <f t="shared" si="54"/>
        <v>15.340344168260039</v>
      </c>
      <c r="N33" s="512"/>
      <c r="AC33" s="1">
        <f>VLOOKUP(A33,ffbbudgettwofive,7,FALSE)</f>
        <v>54.900000000000006</v>
      </c>
      <c r="AD33" s="1">
        <f>VLOOKUP(A33,ffbbudgettwofive,8,FALSE)</f>
        <v>43.92</v>
      </c>
      <c r="AE33" s="1">
        <f>VLOOKUP(A33,ffbbudgettwofive,9,FALSE)</f>
        <v>76.860000000000014</v>
      </c>
      <c r="AF33" s="1">
        <f>VLOOKUP(A33,ffbbudgettwofive,10,FALSE)</f>
        <v>76.860000000000014</v>
      </c>
      <c r="AG33" s="1">
        <f>VLOOKUP(A33,ffbbudgettwofive,11,FALSE)</f>
        <v>76.860000000000014</v>
      </c>
      <c r="AH33" s="1">
        <f>VLOOKUP(A33,ffbbudgettwofive,12,FALSE)</f>
        <v>76.860000000000014</v>
      </c>
      <c r="AI33" s="1">
        <f>VLOOKUP(A33,ffbbudgettwofive,13,FALSE)</f>
        <v>88</v>
      </c>
      <c r="AJ33" s="1">
        <f>VLOOKUP(A33,ffbbudgettwofive,14,FALSE)</f>
        <v>110</v>
      </c>
      <c r="AK33" s="1">
        <f>VLOOKUP(A33,ffbbudgettwofive,15,FALSE)</f>
        <v>110</v>
      </c>
      <c r="AL33" s="1">
        <f>VLOOKUP(A33,ffbbudgettwofive,16,FALSE)</f>
        <v>154</v>
      </c>
      <c r="AM33" s="1">
        <f>VLOOKUP(A33,ffbbudgettwofive,17,FALSE)</f>
        <v>121</v>
      </c>
      <c r="AN33" s="1">
        <f>VLOOKUP(A33,ffbbudgettwofive,18,FALSE)</f>
        <v>110</v>
      </c>
      <c r="AS33" s="512"/>
      <c r="AV33" s="7"/>
      <c r="AW33" s="7"/>
      <c r="AX33" s="7"/>
      <c r="AY33" s="7"/>
    </row>
    <row r="34" spans="1:52" outlineLevel="1" x14ac:dyDescent="0.25">
      <c r="A34" s="1">
        <v>24</v>
      </c>
      <c r="B34" s="894">
        <f>VLOOKUP(A34,coupe,3,FALSE)</f>
        <v>2012</v>
      </c>
      <c r="C34" s="523">
        <f>VLOOKUP(A34,SERAN,2,FALSE)</f>
        <v>44.7</v>
      </c>
      <c r="D34" s="694">
        <f>VLOOKUP(A34,year2022to23,311,FALSE)</f>
        <v>807.48</v>
      </c>
      <c r="E34" s="695">
        <f>VLOOKUP(A34,year2022to23,249,FALSE)</f>
        <v>794.94</v>
      </c>
      <c r="F34" s="822">
        <f>VLOOKUP(A34,coupe,4,FALSE)</f>
        <v>805</v>
      </c>
      <c r="G34" s="823">
        <f>VLOOKUP(A34,budget2024,19,FALSE)</f>
        <v>805</v>
      </c>
      <c r="H34" s="822">
        <f t="shared" si="55"/>
        <v>2.4800000000000182</v>
      </c>
      <c r="I34" s="823">
        <f t="shared" si="56"/>
        <v>-10.059999999999945</v>
      </c>
      <c r="J34" s="908">
        <f t="shared" si="57"/>
        <v>1.0030807453416148</v>
      </c>
      <c r="K34" s="909">
        <f t="shared" si="58"/>
        <v>0.98750310559006216</v>
      </c>
      <c r="L34" s="694">
        <f t="shared" si="53"/>
        <v>18.064429530201341</v>
      </c>
      <c r="M34" s="695">
        <f t="shared" si="54"/>
        <v>17.783892617449663</v>
      </c>
      <c r="N34" s="512"/>
      <c r="AC34" s="1">
        <f>VLOOKUP(A34,ffbbudgettwofive,7,FALSE)</f>
        <v>40.25</v>
      </c>
      <c r="AD34" s="1">
        <f>VLOOKUP(A34,ffbbudgettwofive,8,FALSE)</f>
        <v>32.200000000000003</v>
      </c>
      <c r="AE34" s="1">
        <f>VLOOKUP(A34,ffbbudgettwofive,9,FALSE)</f>
        <v>56.350000000000009</v>
      </c>
      <c r="AF34" s="1">
        <f>VLOOKUP(A34,ffbbudgettwofive,10,FALSE)</f>
        <v>56.350000000000009</v>
      </c>
      <c r="AG34" s="1">
        <f>VLOOKUP(A34,ffbbudgettwofive,11,FALSE)</f>
        <v>56.350000000000009</v>
      </c>
      <c r="AH34" s="1">
        <f>VLOOKUP(A34,ffbbudgettwofive,12,FALSE)</f>
        <v>56.350000000000009</v>
      </c>
      <c r="AI34" s="1">
        <f>VLOOKUP(A34,ffbbudgettwofive,13,FALSE)</f>
        <v>64</v>
      </c>
      <c r="AJ34" s="1">
        <f>VLOOKUP(A34,ffbbudgettwofive,14,FALSE)</f>
        <v>81</v>
      </c>
      <c r="AK34" s="1">
        <f>VLOOKUP(A34,ffbbudgettwofive,15,FALSE)</f>
        <v>81</v>
      </c>
      <c r="AL34" s="1">
        <f>VLOOKUP(A34,ffbbudgettwofive,16,FALSE)</f>
        <v>113</v>
      </c>
      <c r="AM34" s="1">
        <f>VLOOKUP(A34,ffbbudgettwofive,17,FALSE)</f>
        <v>89</v>
      </c>
      <c r="AN34" s="1">
        <f>VLOOKUP(A34,ffbbudgettwofive,18,FALSE)</f>
        <v>81</v>
      </c>
      <c r="AS34" s="512"/>
    </row>
    <row r="35" spans="1:52" ht="15.75" outlineLevel="1" thickBot="1" x14ac:dyDescent="0.3">
      <c r="A35" s="562"/>
      <c r="B35" s="562"/>
      <c r="C35" s="563"/>
      <c r="D35" s="8"/>
      <c r="J35" s="901"/>
      <c r="K35" s="901"/>
      <c r="L35" s="8"/>
      <c r="M35" s="8"/>
      <c r="N35" s="512"/>
      <c r="AS35" s="512"/>
    </row>
    <row r="36" spans="1:52" s="7" customFormat="1" ht="15.75" thickBot="1" x14ac:dyDescent="0.3">
      <c r="A36" s="896"/>
      <c r="B36" s="897">
        <f>B37</f>
        <v>2015</v>
      </c>
      <c r="C36" s="820">
        <f>SUM(C37:C43)</f>
        <v>174.89</v>
      </c>
      <c r="D36" s="819">
        <f>SUM(D37:D43)</f>
        <v>1688.28</v>
      </c>
      <c r="E36" s="903">
        <f>SUM(E37:E43)</f>
        <v>745.1629999999999</v>
      </c>
      <c r="F36" s="819">
        <f>SUM(F37:F43)</f>
        <v>843</v>
      </c>
      <c r="G36" s="541">
        <f t="shared" ref="G36:I36" si="59">SUM(G37:G43)</f>
        <v>521</v>
      </c>
      <c r="H36" s="819">
        <f>SUM(H37:H43)</f>
        <v>845.27999999999986</v>
      </c>
      <c r="I36" s="541">
        <f t="shared" si="59"/>
        <v>224.16299999999998</v>
      </c>
      <c r="J36" s="906">
        <f t="shared" ref="J36:J37" si="60">D36/F36*100%</f>
        <v>2.0027046263345194</v>
      </c>
      <c r="K36" s="907">
        <f t="shared" ref="K36:K37" si="61">E36/G36*100%</f>
        <v>1.4302552783109403</v>
      </c>
      <c r="L36" s="819">
        <f t="shared" ref="L36:L43" si="62">D36/C36</f>
        <v>9.6533821259077133</v>
      </c>
      <c r="M36" s="541">
        <f t="shared" ref="M36:M43" si="63">E36/C36</f>
        <v>4.2607524729830173</v>
      </c>
      <c r="N36" s="512"/>
      <c r="AC36" s="7" t="s">
        <v>180</v>
      </c>
      <c r="AD36" s="7" t="s">
        <v>181</v>
      </c>
      <c r="AE36" s="7" t="s">
        <v>182</v>
      </c>
      <c r="AF36" s="7" t="s">
        <v>183</v>
      </c>
      <c r="AG36" s="7" t="s">
        <v>184</v>
      </c>
      <c r="AH36" s="7" t="s">
        <v>185</v>
      </c>
      <c r="AI36" s="7" t="s">
        <v>186</v>
      </c>
      <c r="AJ36" s="7" t="s">
        <v>187</v>
      </c>
      <c r="AK36" s="7" t="s">
        <v>188</v>
      </c>
      <c r="AL36" s="7" t="s">
        <v>189</v>
      </c>
      <c r="AM36" s="7" t="s">
        <v>190</v>
      </c>
      <c r="AN36" s="7" t="s">
        <v>191</v>
      </c>
      <c r="AS36" s="512"/>
      <c r="AV36"/>
      <c r="AW36"/>
      <c r="AX36"/>
      <c r="AY36"/>
      <c r="AZ36"/>
    </row>
    <row r="37" spans="1:52" outlineLevel="1" x14ac:dyDescent="0.25">
      <c r="A37" s="1">
        <v>25</v>
      </c>
      <c r="B37" s="894">
        <f t="shared" ref="B37:B43" si="64">VLOOKUP(A37,coupe,3,FALSE)</f>
        <v>2015</v>
      </c>
      <c r="C37" s="523">
        <f>VLOOKUP(A37,WENDERLINUS,2,FALSE)</f>
        <v>38.22</v>
      </c>
      <c r="D37" s="694">
        <f t="shared" ref="D37:D43" si="65">VLOOKUP(A37,year2022to23,311,FALSE)</f>
        <v>330.30999999999995</v>
      </c>
      <c r="E37" s="695">
        <f t="shared" ref="E37:E43" si="66">VLOOKUP(A37,year2022to23,249,FALSE)</f>
        <v>109.91000000000001</v>
      </c>
      <c r="F37" s="822">
        <f t="shared" ref="F37:F43" si="67">VLOOKUP(A37,coupe,4,FALSE)</f>
        <v>134</v>
      </c>
      <c r="G37" s="823">
        <f t="shared" ref="G37:G43" si="68">VLOOKUP(A37,budget2024,19,FALSE)</f>
        <v>76</v>
      </c>
      <c r="H37" s="822">
        <f t="shared" ref="H37:H43" si="69">D37-F37</f>
        <v>196.30999999999995</v>
      </c>
      <c r="I37" s="823">
        <f t="shared" ref="I37:I43" si="70">E37-G37</f>
        <v>33.910000000000011</v>
      </c>
      <c r="J37" s="908">
        <f t="shared" si="60"/>
        <v>2.4649999999999994</v>
      </c>
      <c r="K37" s="909">
        <f t="shared" si="61"/>
        <v>1.4461842105263158</v>
      </c>
      <c r="L37" s="694">
        <f t="shared" si="62"/>
        <v>8.6423338566195689</v>
      </c>
      <c r="M37" s="695">
        <f t="shared" si="63"/>
        <v>2.8757195185766617</v>
      </c>
      <c r="N37" s="512"/>
      <c r="AC37" s="1">
        <f t="shared" ref="AC37:AC43" si="71">VLOOKUP(A37,ffbbudgettwofive,7,FALSE)</f>
        <v>6.7</v>
      </c>
      <c r="AD37" s="1">
        <f t="shared" ref="AD37:AD43" si="72">VLOOKUP(A37,ffbbudgettwofive,8,FALSE)</f>
        <v>5.36</v>
      </c>
      <c r="AE37" s="1">
        <f t="shared" ref="AE37:AE43" si="73">VLOOKUP(A37,ffbbudgettwofive,9,FALSE)</f>
        <v>9.3800000000000008</v>
      </c>
      <c r="AF37" s="1">
        <f t="shared" ref="AF37:AF43" si="74">VLOOKUP(A37,ffbbudgettwofive,10,FALSE)</f>
        <v>9.3800000000000008</v>
      </c>
      <c r="AG37" s="1">
        <f t="shared" ref="AG37:AG43" si="75">VLOOKUP(A37,ffbbudgettwofive,11,FALSE)</f>
        <v>9.3800000000000008</v>
      </c>
      <c r="AH37" s="1">
        <f t="shared" ref="AH37:AH43" si="76">VLOOKUP(A37,ffbbudgettwofive,12,FALSE)</f>
        <v>9.3800000000000008</v>
      </c>
      <c r="AI37" s="1">
        <f t="shared" ref="AI37:AI43" si="77">VLOOKUP(A37,ffbbudgettwofive,13,FALSE)</f>
        <v>11</v>
      </c>
      <c r="AJ37" s="1">
        <f t="shared" ref="AJ37:AJ43" si="78">VLOOKUP(A37,ffbbudgettwofive,14,FALSE)</f>
        <v>13</v>
      </c>
      <c r="AK37" s="1">
        <f t="shared" ref="AK37:AK43" si="79">VLOOKUP(A37,ffbbudgettwofive,15,FALSE)</f>
        <v>13</v>
      </c>
      <c r="AL37" s="1">
        <f t="shared" ref="AL37:AL43" si="80">VLOOKUP(A37,ffbbudgettwofive,16,FALSE)</f>
        <v>19</v>
      </c>
      <c r="AM37" s="1">
        <f t="shared" ref="AM37:AM43" si="81">VLOOKUP(A37,ffbbudgettwofive,17,FALSE)</f>
        <v>15</v>
      </c>
      <c r="AN37" s="1">
        <f t="shared" ref="AN37:AN43" si="82">VLOOKUP(A37,ffbbudgettwofive,18,FALSE)</f>
        <v>13</v>
      </c>
      <c r="AS37" s="512"/>
    </row>
    <row r="38" spans="1:52" outlineLevel="1" x14ac:dyDescent="0.25">
      <c r="A38" s="4" t="s">
        <v>7</v>
      </c>
      <c r="B38" s="894">
        <f t="shared" si="64"/>
        <v>2015</v>
      </c>
      <c r="C38" s="523">
        <f>VLOOKUP(A38,WENDERLINUS,2,FALSE)</f>
        <v>22.72</v>
      </c>
      <c r="D38" s="694">
        <f t="shared" si="65"/>
        <v>281.24</v>
      </c>
      <c r="E38" s="695">
        <f t="shared" si="66"/>
        <v>164.86</v>
      </c>
      <c r="F38" s="822">
        <f t="shared" si="67"/>
        <v>108</v>
      </c>
      <c r="G38" s="823">
        <f t="shared" si="68"/>
        <v>91</v>
      </c>
      <c r="H38" s="822">
        <f t="shared" si="69"/>
        <v>173.24</v>
      </c>
      <c r="I38" s="823">
        <f t="shared" si="70"/>
        <v>73.860000000000014</v>
      </c>
      <c r="J38" s="908">
        <f t="shared" ref="J38:J43" si="83">D38/F38*100%</f>
        <v>2.6040740740740742</v>
      </c>
      <c r="K38" s="909">
        <f t="shared" ref="K38:K43" si="84">E38/G38*100%</f>
        <v>1.8116483516483517</v>
      </c>
      <c r="L38" s="694">
        <f t="shared" si="62"/>
        <v>12.378521126760564</v>
      </c>
      <c r="M38" s="695">
        <f t="shared" si="63"/>
        <v>7.2561619718309869</v>
      </c>
      <c r="N38" s="512"/>
      <c r="AC38" s="1">
        <f t="shared" si="71"/>
        <v>5.4</v>
      </c>
      <c r="AD38" s="1">
        <f t="shared" si="72"/>
        <v>4.32</v>
      </c>
      <c r="AE38" s="1">
        <f t="shared" si="73"/>
        <v>7.5600000000000005</v>
      </c>
      <c r="AF38" s="1">
        <f t="shared" si="74"/>
        <v>7.5600000000000005</v>
      </c>
      <c r="AG38" s="1">
        <f t="shared" si="75"/>
        <v>7.5600000000000005</v>
      </c>
      <c r="AH38" s="1">
        <f t="shared" si="76"/>
        <v>7.5600000000000005</v>
      </c>
      <c r="AI38" s="1">
        <f t="shared" si="77"/>
        <v>9</v>
      </c>
      <c r="AJ38" s="1">
        <f t="shared" si="78"/>
        <v>11</v>
      </c>
      <c r="AK38" s="1">
        <f t="shared" si="79"/>
        <v>11</v>
      </c>
      <c r="AL38" s="1">
        <f t="shared" si="80"/>
        <v>15</v>
      </c>
      <c r="AM38" s="1">
        <f t="shared" si="81"/>
        <v>12</v>
      </c>
      <c r="AN38" s="1">
        <f t="shared" si="82"/>
        <v>11</v>
      </c>
      <c r="AS38" s="512"/>
      <c r="AZ38" s="7"/>
    </row>
    <row r="39" spans="1:52" outlineLevel="1" x14ac:dyDescent="0.25">
      <c r="A39" s="511">
        <v>27</v>
      </c>
      <c r="B39" s="894">
        <f t="shared" si="64"/>
        <v>2015</v>
      </c>
      <c r="C39" s="529">
        <f>VLOOKUP(A39,WENDERLINUS,2,FALSE)</f>
        <v>18.64</v>
      </c>
      <c r="D39" s="822">
        <f t="shared" si="65"/>
        <v>191.64000000000001</v>
      </c>
      <c r="E39" s="823">
        <f t="shared" si="66"/>
        <v>109.13</v>
      </c>
      <c r="F39" s="822">
        <f t="shared" si="67"/>
        <v>86</v>
      </c>
      <c r="G39" s="823">
        <f t="shared" si="68"/>
        <v>75</v>
      </c>
      <c r="H39" s="822">
        <f t="shared" si="69"/>
        <v>105.64000000000001</v>
      </c>
      <c r="I39" s="823">
        <f t="shared" si="70"/>
        <v>34.129999999999995</v>
      </c>
      <c r="J39" s="908">
        <f t="shared" si="83"/>
        <v>2.228372093023256</v>
      </c>
      <c r="K39" s="909">
        <f t="shared" si="84"/>
        <v>1.4550666666666665</v>
      </c>
      <c r="L39" s="822">
        <f t="shared" si="62"/>
        <v>10.281115879828327</v>
      </c>
      <c r="M39" s="823">
        <f t="shared" si="63"/>
        <v>5.8546137339055786</v>
      </c>
      <c r="N39" s="512"/>
      <c r="AC39" s="1">
        <f t="shared" si="71"/>
        <v>4.3</v>
      </c>
      <c r="AD39" s="1">
        <f t="shared" si="72"/>
        <v>3.44</v>
      </c>
      <c r="AE39" s="1">
        <f t="shared" si="73"/>
        <v>6.0200000000000005</v>
      </c>
      <c r="AF39" s="1">
        <f t="shared" si="74"/>
        <v>6.0200000000000005</v>
      </c>
      <c r="AG39" s="1">
        <f t="shared" si="75"/>
        <v>6.0200000000000005</v>
      </c>
      <c r="AH39" s="1">
        <f t="shared" si="76"/>
        <v>6.0200000000000005</v>
      </c>
      <c r="AI39" s="1">
        <f t="shared" si="77"/>
        <v>7</v>
      </c>
      <c r="AJ39" s="1">
        <f t="shared" si="78"/>
        <v>9</v>
      </c>
      <c r="AK39" s="1">
        <f t="shared" si="79"/>
        <v>9</v>
      </c>
      <c r="AL39" s="1">
        <f t="shared" si="80"/>
        <v>12</v>
      </c>
      <c r="AM39" s="1">
        <f t="shared" si="81"/>
        <v>9</v>
      </c>
      <c r="AN39" s="1">
        <f t="shared" si="82"/>
        <v>9</v>
      </c>
      <c r="AS39" s="512"/>
    </row>
    <row r="40" spans="1:52" outlineLevel="1" x14ac:dyDescent="0.25">
      <c r="A40" s="1">
        <v>28</v>
      </c>
      <c r="B40" s="894">
        <f t="shared" si="64"/>
        <v>2015</v>
      </c>
      <c r="C40" s="523">
        <f>VLOOKUP(A40,WENDERLINUS,2,FALSE)</f>
        <v>25.5</v>
      </c>
      <c r="D40" s="694">
        <f t="shared" si="65"/>
        <v>331.57000000000005</v>
      </c>
      <c r="E40" s="695">
        <f t="shared" si="66"/>
        <v>249.42999999999995</v>
      </c>
      <c r="F40" s="822">
        <f t="shared" si="67"/>
        <v>256</v>
      </c>
      <c r="G40" s="823">
        <f t="shared" si="68"/>
        <v>128</v>
      </c>
      <c r="H40" s="822">
        <f t="shared" si="69"/>
        <v>75.57000000000005</v>
      </c>
      <c r="I40" s="823">
        <f t="shared" si="70"/>
        <v>121.42999999999995</v>
      </c>
      <c r="J40" s="908">
        <f t="shared" si="83"/>
        <v>1.2951953125000002</v>
      </c>
      <c r="K40" s="909">
        <f t="shared" si="84"/>
        <v>1.9486718749999996</v>
      </c>
      <c r="L40" s="694">
        <f t="shared" si="62"/>
        <v>13.002745098039219</v>
      </c>
      <c r="M40" s="695">
        <f t="shared" si="63"/>
        <v>9.7815686274509783</v>
      </c>
      <c r="N40" s="512"/>
      <c r="AC40" s="1">
        <f t="shared" si="71"/>
        <v>12.8</v>
      </c>
      <c r="AD40" s="1">
        <f t="shared" si="72"/>
        <v>10.24</v>
      </c>
      <c r="AE40" s="1">
        <f t="shared" si="73"/>
        <v>17.920000000000002</v>
      </c>
      <c r="AF40" s="1">
        <f t="shared" si="74"/>
        <v>17.920000000000002</v>
      </c>
      <c r="AG40" s="1">
        <f t="shared" si="75"/>
        <v>17.920000000000002</v>
      </c>
      <c r="AH40" s="1">
        <f t="shared" si="76"/>
        <v>17.920000000000002</v>
      </c>
      <c r="AI40" s="1">
        <f t="shared" si="77"/>
        <v>21</v>
      </c>
      <c r="AJ40" s="1">
        <f t="shared" si="78"/>
        <v>26</v>
      </c>
      <c r="AK40" s="1">
        <f t="shared" si="79"/>
        <v>26</v>
      </c>
      <c r="AL40" s="1">
        <f t="shared" si="80"/>
        <v>36</v>
      </c>
      <c r="AM40" s="1">
        <f t="shared" si="81"/>
        <v>28</v>
      </c>
      <c r="AN40" s="1">
        <f t="shared" si="82"/>
        <v>26</v>
      </c>
      <c r="AS40" s="512"/>
      <c r="AV40" s="7"/>
      <c r="AW40" s="7"/>
      <c r="AX40" s="7"/>
      <c r="AY40" s="7"/>
    </row>
    <row r="41" spans="1:52" outlineLevel="1" x14ac:dyDescent="0.25">
      <c r="A41" s="100">
        <v>29</v>
      </c>
      <c r="B41" s="894">
        <f t="shared" si="64"/>
        <v>2015</v>
      </c>
      <c r="C41" s="523">
        <f>VLOOKUP(A41,ERDI,2,FALSE)</f>
        <v>11.38</v>
      </c>
      <c r="D41" s="694">
        <f t="shared" si="65"/>
        <v>97.54</v>
      </c>
      <c r="E41" s="695">
        <f t="shared" si="66"/>
        <v>16.62</v>
      </c>
      <c r="F41" s="822">
        <f t="shared" si="67"/>
        <v>69</v>
      </c>
      <c r="G41" s="823">
        <f t="shared" si="68"/>
        <v>34</v>
      </c>
      <c r="H41" s="822">
        <f t="shared" si="69"/>
        <v>28.540000000000006</v>
      </c>
      <c r="I41" s="823">
        <f t="shared" si="70"/>
        <v>-17.38</v>
      </c>
      <c r="J41" s="908">
        <f t="shared" si="83"/>
        <v>1.4136231884057973</v>
      </c>
      <c r="K41" s="909">
        <f t="shared" si="84"/>
        <v>0.48882352941176471</v>
      </c>
      <c r="L41" s="694">
        <f t="shared" si="62"/>
        <v>8.5711775043936722</v>
      </c>
      <c r="M41" s="695">
        <f t="shared" si="63"/>
        <v>1.4604569420035149</v>
      </c>
      <c r="N41" s="512"/>
      <c r="AC41" s="1">
        <f t="shared" si="71"/>
        <v>3.45</v>
      </c>
      <c r="AD41" s="1">
        <f t="shared" si="72"/>
        <v>2.7600000000000002</v>
      </c>
      <c r="AE41" s="1">
        <f t="shared" si="73"/>
        <v>4.83</v>
      </c>
      <c r="AF41" s="1">
        <f t="shared" si="74"/>
        <v>4.83</v>
      </c>
      <c r="AG41" s="1">
        <f t="shared" si="75"/>
        <v>4.83</v>
      </c>
      <c r="AH41" s="1">
        <f t="shared" si="76"/>
        <v>4.83</v>
      </c>
      <c r="AI41" s="1">
        <f t="shared" si="77"/>
        <v>6</v>
      </c>
      <c r="AJ41" s="1">
        <f t="shared" si="78"/>
        <v>7</v>
      </c>
      <c r="AK41" s="1">
        <f t="shared" si="79"/>
        <v>7</v>
      </c>
      <c r="AL41" s="1">
        <f t="shared" si="80"/>
        <v>10</v>
      </c>
      <c r="AM41" s="1">
        <f t="shared" si="81"/>
        <v>8</v>
      </c>
      <c r="AN41" s="1">
        <f t="shared" si="82"/>
        <v>7</v>
      </c>
      <c r="AS41" s="512"/>
    </row>
    <row r="42" spans="1:52" outlineLevel="1" x14ac:dyDescent="0.25">
      <c r="A42" s="1">
        <v>30</v>
      </c>
      <c r="B42" s="894">
        <f t="shared" si="64"/>
        <v>2015</v>
      </c>
      <c r="C42" s="523">
        <f>VLOOKUP(A42,WENDERLINUS,2,FALSE)</f>
        <v>24.35</v>
      </c>
      <c r="D42" s="694">
        <f t="shared" si="65"/>
        <v>222.79</v>
      </c>
      <c r="E42" s="695">
        <f t="shared" si="66"/>
        <v>43.88</v>
      </c>
      <c r="F42" s="822">
        <f t="shared" si="67"/>
        <v>74</v>
      </c>
      <c r="G42" s="823">
        <f t="shared" si="68"/>
        <v>49</v>
      </c>
      <c r="H42" s="822">
        <f t="shared" si="69"/>
        <v>148.79</v>
      </c>
      <c r="I42" s="823">
        <f t="shared" si="70"/>
        <v>-5.1199999999999974</v>
      </c>
      <c r="J42" s="908">
        <f t="shared" si="83"/>
        <v>3.0106756756756754</v>
      </c>
      <c r="K42" s="909">
        <f t="shared" si="84"/>
        <v>0.89551020408163273</v>
      </c>
      <c r="L42" s="694">
        <f t="shared" si="62"/>
        <v>9.1494866529774121</v>
      </c>
      <c r="M42" s="695">
        <f t="shared" si="63"/>
        <v>1.8020533880903491</v>
      </c>
      <c r="N42" s="512"/>
      <c r="AC42" s="1">
        <f t="shared" si="71"/>
        <v>3.7</v>
      </c>
      <c r="AD42" s="1">
        <f t="shared" si="72"/>
        <v>2.96</v>
      </c>
      <c r="AE42" s="1">
        <f t="shared" si="73"/>
        <v>5.1800000000000006</v>
      </c>
      <c r="AF42" s="1">
        <f t="shared" si="74"/>
        <v>5.1800000000000006</v>
      </c>
      <c r="AG42" s="1">
        <f t="shared" si="75"/>
        <v>5.1800000000000006</v>
      </c>
      <c r="AH42" s="1">
        <f t="shared" si="76"/>
        <v>5.1800000000000006</v>
      </c>
      <c r="AI42" s="1">
        <f t="shared" si="77"/>
        <v>6</v>
      </c>
      <c r="AJ42" s="1">
        <f t="shared" si="78"/>
        <v>7</v>
      </c>
      <c r="AK42" s="1">
        <f t="shared" si="79"/>
        <v>7</v>
      </c>
      <c r="AL42" s="1">
        <f t="shared" si="80"/>
        <v>10</v>
      </c>
      <c r="AM42" s="1">
        <f t="shared" si="81"/>
        <v>8</v>
      </c>
      <c r="AN42" s="1">
        <f t="shared" si="82"/>
        <v>7</v>
      </c>
      <c r="AS42" s="512"/>
    </row>
    <row r="43" spans="1:52" outlineLevel="1" x14ac:dyDescent="0.25">
      <c r="A43" s="1">
        <v>31</v>
      </c>
      <c r="B43" s="894">
        <f t="shared" si="64"/>
        <v>2015</v>
      </c>
      <c r="C43" s="523">
        <f>VLOOKUP(A43,WENDERLINUS,2,FALSE)</f>
        <v>34.08</v>
      </c>
      <c r="D43" s="694">
        <f t="shared" si="65"/>
        <v>233.18999999999997</v>
      </c>
      <c r="E43" s="695">
        <f t="shared" si="66"/>
        <v>51.332999999999998</v>
      </c>
      <c r="F43" s="822">
        <f t="shared" si="67"/>
        <v>116</v>
      </c>
      <c r="G43" s="823">
        <f t="shared" si="68"/>
        <v>68</v>
      </c>
      <c r="H43" s="822">
        <f t="shared" si="69"/>
        <v>117.18999999999997</v>
      </c>
      <c r="I43" s="823">
        <f t="shared" si="70"/>
        <v>-16.667000000000002</v>
      </c>
      <c r="J43" s="908">
        <f t="shared" si="83"/>
        <v>2.0102586206896551</v>
      </c>
      <c r="K43" s="909">
        <f t="shared" si="84"/>
        <v>0.75489705882352942</v>
      </c>
      <c r="L43" s="694">
        <f t="shared" si="62"/>
        <v>6.8424295774647881</v>
      </c>
      <c r="M43" s="695">
        <f t="shared" si="63"/>
        <v>1.5062500000000001</v>
      </c>
      <c r="N43" s="512"/>
      <c r="AC43" s="1">
        <f t="shared" si="71"/>
        <v>5.8000000000000007</v>
      </c>
      <c r="AD43" s="1">
        <f t="shared" si="72"/>
        <v>4.6399999999999997</v>
      </c>
      <c r="AE43" s="1">
        <f t="shared" si="73"/>
        <v>8.120000000000001</v>
      </c>
      <c r="AF43" s="1">
        <f t="shared" si="74"/>
        <v>8.120000000000001</v>
      </c>
      <c r="AG43" s="1">
        <f t="shared" si="75"/>
        <v>8.120000000000001</v>
      </c>
      <c r="AH43" s="1">
        <f t="shared" si="76"/>
        <v>8.120000000000001</v>
      </c>
      <c r="AI43" s="1">
        <f t="shared" si="77"/>
        <v>9</v>
      </c>
      <c r="AJ43" s="1">
        <f t="shared" si="78"/>
        <v>12</v>
      </c>
      <c r="AK43" s="1">
        <f t="shared" si="79"/>
        <v>12</v>
      </c>
      <c r="AL43" s="1">
        <f t="shared" si="80"/>
        <v>16</v>
      </c>
      <c r="AM43" s="1">
        <f t="shared" si="81"/>
        <v>13</v>
      </c>
      <c r="AN43" s="1">
        <f t="shared" si="82"/>
        <v>12</v>
      </c>
      <c r="AS43" s="512"/>
    </row>
    <row r="44" spans="1:52" ht="15.75" outlineLevel="1" thickBot="1" x14ac:dyDescent="0.3">
      <c r="A44" s="562"/>
      <c r="B44" s="562"/>
      <c r="C44" s="563"/>
      <c r="D44" s="8"/>
      <c r="J44" s="901"/>
      <c r="K44" s="901"/>
      <c r="L44" s="8"/>
      <c r="M44" s="8"/>
      <c r="N44" s="512"/>
      <c r="AS44" s="512"/>
    </row>
    <row r="45" spans="1:52" s="7" customFormat="1" ht="15.75" thickBot="1" x14ac:dyDescent="0.3">
      <c r="A45" s="896"/>
      <c r="B45" s="899">
        <f>B46</f>
        <v>2016</v>
      </c>
      <c r="C45" s="898">
        <f>SUM(C46:C47)</f>
        <v>33.22</v>
      </c>
      <c r="D45" s="819">
        <f>SUM(D46:D47)</f>
        <v>517.73</v>
      </c>
      <c r="E45" s="903">
        <f>SUM(E46:E47)</f>
        <v>389.44000000000005</v>
      </c>
      <c r="F45" s="819">
        <f>SUM(F46:F47)</f>
        <v>458</v>
      </c>
      <c r="G45" s="541">
        <f t="shared" ref="G45:I45" si="85">SUM(G46:G47)</f>
        <v>269</v>
      </c>
      <c r="H45" s="819">
        <f>SUM(H46:H47)</f>
        <v>59.730000000000025</v>
      </c>
      <c r="I45" s="541">
        <f t="shared" si="85"/>
        <v>120.44000000000005</v>
      </c>
      <c r="J45" s="906">
        <f t="shared" ref="J45:J46" si="86">D45/F45*100%</f>
        <v>1.130414847161572</v>
      </c>
      <c r="K45" s="907">
        <f t="shared" ref="K45:K46" si="87">E45/G45*100%</f>
        <v>1.4477323420074351</v>
      </c>
      <c r="L45" s="819">
        <f>D45/C45</f>
        <v>15.584888621312464</v>
      </c>
      <c r="M45" s="541">
        <f>E45/C45</f>
        <v>11.723058398555089</v>
      </c>
      <c r="N45" s="512"/>
      <c r="AC45" s="7" t="s">
        <v>180</v>
      </c>
      <c r="AD45" s="7" t="s">
        <v>181</v>
      </c>
      <c r="AE45" s="7" t="s">
        <v>182</v>
      </c>
      <c r="AF45" s="7" t="s">
        <v>183</v>
      </c>
      <c r="AG45" s="7" t="s">
        <v>184</v>
      </c>
      <c r="AH45" s="7" t="s">
        <v>185</v>
      </c>
      <c r="AI45" s="7" t="s">
        <v>186</v>
      </c>
      <c r="AJ45" s="7" t="s">
        <v>187</v>
      </c>
      <c r="AK45" s="7" t="s">
        <v>188</v>
      </c>
      <c r="AL45" s="7" t="s">
        <v>189</v>
      </c>
      <c r="AM45" s="7" t="s">
        <v>190</v>
      </c>
      <c r="AN45" s="7" t="s">
        <v>191</v>
      </c>
      <c r="AS45" s="512"/>
      <c r="AV45"/>
      <c r="AW45"/>
      <c r="AX45"/>
      <c r="AY45"/>
      <c r="AZ45"/>
    </row>
    <row r="46" spans="1:52" outlineLevel="1" x14ac:dyDescent="0.25">
      <c r="A46" s="1">
        <v>33</v>
      </c>
      <c r="B46" s="894">
        <f>VLOOKUP(A46,coupe,3,FALSE)</f>
        <v>2016</v>
      </c>
      <c r="C46" s="523">
        <f>VLOOKUP(A46,WENDERLINUS,2,FALSE)</f>
        <v>28.72</v>
      </c>
      <c r="D46" s="694">
        <f>VLOOKUP(A46,year2022to23,311,FALSE)</f>
        <v>478.1</v>
      </c>
      <c r="E46" s="695">
        <f>VLOOKUP(A46,year2022to23,249,FALSE)</f>
        <v>359.20000000000005</v>
      </c>
      <c r="F46" s="822">
        <f>VLOOKUP(A46,coupe,4,FALSE)</f>
        <v>431</v>
      </c>
      <c r="G46" s="823">
        <f>VLOOKUP(A46,budget2024,19,FALSE)</f>
        <v>258</v>
      </c>
      <c r="H46" s="822">
        <f t="shared" ref="H46:H47" si="88">D46-F46</f>
        <v>47.100000000000023</v>
      </c>
      <c r="I46" s="823">
        <f t="shared" ref="I46:I47" si="89">E46-G46</f>
        <v>101.20000000000005</v>
      </c>
      <c r="J46" s="908">
        <f t="shared" si="86"/>
        <v>1.1092807424593969</v>
      </c>
      <c r="K46" s="909">
        <f t="shared" si="87"/>
        <v>1.392248062015504</v>
      </c>
      <c r="L46" s="694">
        <f>D46/C46</f>
        <v>16.646935933147635</v>
      </c>
      <c r="M46" s="695">
        <f>E46/C46</f>
        <v>12.506963788300837</v>
      </c>
      <c r="N46" s="512"/>
      <c r="AC46" s="1">
        <f>VLOOKUP(A46,ffbbudgettwofive,7,FALSE)</f>
        <v>21.55</v>
      </c>
      <c r="AD46" s="1">
        <f>VLOOKUP(A46,ffbbudgettwofive,8,FALSE)</f>
        <v>17.240000000000002</v>
      </c>
      <c r="AE46" s="1">
        <f>VLOOKUP(A46,ffbbudgettwofive,9,FALSE)</f>
        <v>30.17</v>
      </c>
      <c r="AF46" s="1">
        <f>VLOOKUP(A46,ffbbudgettwofive,10,FALSE)</f>
        <v>30.17</v>
      </c>
      <c r="AG46" s="1">
        <f>VLOOKUP(A46,ffbbudgettwofive,11,FALSE)</f>
        <v>30.17</v>
      </c>
      <c r="AH46" s="1">
        <f>VLOOKUP(A46,ffbbudgettwofive,12,FALSE)</f>
        <v>30.17</v>
      </c>
      <c r="AI46" s="1">
        <f>VLOOKUP(A46,ffbbudgettwofive,13,FALSE)</f>
        <v>34</v>
      </c>
      <c r="AJ46" s="1">
        <f>VLOOKUP(A46,ffbbudgettwofive,14,FALSE)</f>
        <v>43</v>
      </c>
      <c r="AK46" s="1">
        <f>VLOOKUP(A46,ffbbudgettwofive,15,FALSE)</f>
        <v>43</v>
      </c>
      <c r="AL46" s="1">
        <f>VLOOKUP(A46,ffbbudgettwofive,16,FALSE)</f>
        <v>60</v>
      </c>
      <c r="AM46" s="1">
        <f>VLOOKUP(A46,ffbbudgettwofive,17,FALSE)</f>
        <v>47</v>
      </c>
      <c r="AN46" s="1">
        <f>VLOOKUP(A46,ffbbudgettwofive,18,FALSE)</f>
        <v>43</v>
      </c>
      <c r="AS46" s="512"/>
    </row>
    <row r="47" spans="1:52" outlineLevel="1" x14ac:dyDescent="0.25">
      <c r="A47" s="1">
        <v>39</v>
      </c>
      <c r="B47" s="894">
        <f>VLOOKUP(A47,coupe,3,FALSE)</f>
        <v>2016</v>
      </c>
      <c r="C47" s="523">
        <f>VLOOKUP(A47,WENDERLINUS,2,FALSE)</f>
        <v>4.5</v>
      </c>
      <c r="D47" s="694">
        <f>VLOOKUP(A47,year2022to23,311,FALSE)</f>
        <v>39.630000000000003</v>
      </c>
      <c r="E47" s="695">
        <f>VLOOKUP(A47,year2022to23,249,FALSE)</f>
        <v>30.240000000000002</v>
      </c>
      <c r="F47" s="822">
        <f>VLOOKUP(A47,coupe,4,FALSE)</f>
        <v>27</v>
      </c>
      <c r="G47" s="823">
        <f>VLOOKUP(A47,budget2024,19,FALSE)</f>
        <v>11</v>
      </c>
      <c r="H47" s="822">
        <f t="shared" si="88"/>
        <v>12.630000000000003</v>
      </c>
      <c r="I47" s="823">
        <f t="shared" si="89"/>
        <v>19.240000000000002</v>
      </c>
      <c r="J47" s="908">
        <f t="shared" ref="J47" si="90">D47/F47*100%</f>
        <v>1.4677777777777778</v>
      </c>
      <c r="K47" s="909">
        <f t="shared" ref="K47" si="91">E47/G47*100%</f>
        <v>2.7490909090909095</v>
      </c>
      <c r="L47" s="694">
        <f>D47/C47</f>
        <v>8.8066666666666666</v>
      </c>
      <c r="M47" s="695">
        <f>E47/C47</f>
        <v>6.7200000000000006</v>
      </c>
      <c r="N47" s="512"/>
      <c r="AC47" s="1">
        <f>VLOOKUP(A47,ffbbudgettwofive,7,FALSE)</f>
        <v>0.35000000000000009</v>
      </c>
      <c r="AD47" s="1">
        <f>VLOOKUP(A47,ffbbudgettwofive,8,FALSE)</f>
        <v>8.0000000000000071E-2</v>
      </c>
      <c r="AE47" s="1">
        <f>VLOOKUP(A47,ffbbudgettwofive,9,FALSE)</f>
        <v>1.8900000000000001</v>
      </c>
      <c r="AF47" s="1">
        <f>VLOOKUP(A47,ffbbudgettwofive,10,FALSE)</f>
        <v>1.8900000000000001</v>
      </c>
      <c r="AG47" s="1">
        <f>VLOOKUP(A47,ffbbudgettwofive,11,FALSE)</f>
        <v>1.8900000000000001</v>
      </c>
      <c r="AH47" s="1">
        <f>VLOOKUP(A47,ffbbudgettwofive,12,FALSE)</f>
        <v>1.8900000000000001</v>
      </c>
      <c r="AI47" s="1">
        <f>VLOOKUP(A47,ffbbudgettwofive,13,FALSE)</f>
        <v>2</v>
      </c>
      <c r="AJ47" s="1">
        <f>VLOOKUP(A47,ffbbudgettwofive,14,FALSE)</f>
        <v>3</v>
      </c>
      <c r="AK47" s="1">
        <f>VLOOKUP(A47,ffbbudgettwofive,15,FALSE)</f>
        <v>3</v>
      </c>
      <c r="AL47" s="1">
        <f>VLOOKUP(A47,ffbbudgettwofive,16,FALSE)</f>
        <v>4</v>
      </c>
      <c r="AM47" s="1">
        <f>VLOOKUP(A47,ffbbudgettwofive,17,FALSE)</f>
        <v>3</v>
      </c>
      <c r="AN47" s="1">
        <f>VLOOKUP(A47,ffbbudgettwofive,18,FALSE)</f>
        <v>3</v>
      </c>
      <c r="AS47" s="512"/>
      <c r="AZ47" s="7"/>
    </row>
    <row r="48" spans="1:52" ht="15.75" outlineLevel="1" thickBot="1" x14ac:dyDescent="0.3">
      <c r="A48" s="562"/>
      <c r="B48" s="562"/>
      <c r="C48" s="563"/>
      <c r="D48" s="8"/>
      <c r="J48" s="901"/>
      <c r="K48" s="901"/>
      <c r="L48" s="8"/>
      <c r="M48" s="8"/>
      <c r="N48" s="512"/>
      <c r="AS48" s="512"/>
    </row>
    <row r="49" spans="1:52" s="7" customFormat="1" ht="27" thickBot="1" x14ac:dyDescent="0.3">
      <c r="B49" s="895" t="s">
        <v>8</v>
      </c>
      <c r="C49" s="900">
        <f t="shared" ref="C49:I49" si="92">C6+C20+C29+C36+C45</f>
        <v>1416.51</v>
      </c>
      <c r="D49" s="904">
        <f t="shared" si="92"/>
        <v>21660.139999999996</v>
      </c>
      <c r="E49" s="905">
        <f t="shared" si="92"/>
        <v>19489.852999999999</v>
      </c>
      <c r="F49" s="904">
        <f t="shared" si="92"/>
        <v>25903</v>
      </c>
      <c r="G49" s="905">
        <f t="shared" si="92"/>
        <v>25496</v>
      </c>
      <c r="H49" s="904">
        <f t="shared" si="92"/>
        <v>-4242.8599999999988</v>
      </c>
      <c r="I49" s="905">
        <f t="shared" si="92"/>
        <v>-6006.1470000000008</v>
      </c>
      <c r="J49" s="906">
        <f t="shared" ref="J49" si="93">D49/F49*100%</f>
        <v>0.83620198432613968</v>
      </c>
      <c r="K49" s="907">
        <f t="shared" ref="K49" si="94">E49/G49*100%</f>
        <v>0.76442787103859422</v>
      </c>
      <c r="L49" s="819">
        <f>D49/C49</f>
        <v>15.291201615237448</v>
      </c>
      <c r="M49" s="541">
        <f>E49/C49</f>
        <v>13.759064884822557</v>
      </c>
      <c r="N49" s="512"/>
      <c r="AS49" s="512"/>
      <c r="AZ49"/>
    </row>
    <row r="50" spans="1:52" s="7" customFormat="1" x14ac:dyDescent="0.25">
      <c r="E50" s="6"/>
      <c r="H50" s="901"/>
      <c r="I50" s="901"/>
      <c r="J50" s="901"/>
      <c r="K50" s="901"/>
      <c r="N50" s="902"/>
      <c r="Q50" s="472"/>
      <c r="R50" s="472"/>
      <c r="AS50" s="902"/>
    </row>
    <row r="51" spans="1:52" s="7" customFormat="1" x14ac:dyDescent="0.25">
      <c r="E51" s="6"/>
      <c r="H51" s="901"/>
      <c r="I51" s="901"/>
      <c r="J51" s="901"/>
      <c r="K51" s="901"/>
      <c r="N51" s="902"/>
      <c r="Q51" s="472"/>
      <c r="R51" s="472"/>
      <c r="AS51" s="902"/>
    </row>
    <row r="52" spans="1:52" x14ac:dyDescent="0.25">
      <c r="A52" t="s">
        <v>272</v>
      </c>
      <c r="N52" s="512"/>
      <c r="AS52" s="512"/>
      <c r="AZ52" s="7"/>
    </row>
    <row r="53" spans="1:52" x14ac:dyDescent="0.25">
      <c r="A53" t="s">
        <v>269</v>
      </c>
      <c r="AS53" s="512"/>
    </row>
    <row r="54" spans="1:52" x14ac:dyDescent="0.25">
      <c r="A54" t="s">
        <v>270</v>
      </c>
      <c r="AS54" s="512"/>
      <c r="AV54" s="7"/>
      <c r="AW54" s="7"/>
      <c r="AX54" s="7"/>
      <c r="AY54" s="7"/>
    </row>
    <row r="55" spans="1:52" x14ac:dyDescent="0.25">
      <c r="AS55" s="512"/>
    </row>
  </sheetData>
  <sortState xmlns:xlrd2="http://schemas.microsoft.com/office/spreadsheetml/2017/richdata2" ref="A37:AT43">
    <sortCondition ref="A37:A43"/>
  </sortState>
  <mergeCells count="6">
    <mergeCell ref="F4:G4"/>
    <mergeCell ref="D4:E4"/>
    <mergeCell ref="L4:M4"/>
    <mergeCell ref="AC5:AN5"/>
    <mergeCell ref="H4:I4"/>
    <mergeCell ref="J4:K4"/>
  </mergeCells>
  <conditionalFormatting sqref="C49">
    <cfRule type="expression" dxfId="160" priority="3">
      <formula>C49&gt;#REF!</formula>
    </cfRule>
    <cfRule type="expression" dxfId="159" priority="4">
      <formula>C49&lt;#REF!</formula>
    </cfRule>
  </conditionalFormatting>
  <conditionalFormatting sqref="C45:E45">
    <cfRule type="expression" dxfId="158" priority="5">
      <formula>C45&gt;#REF!</formula>
    </cfRule>
    <cfRule type="expression" dxfId="157" priority="6">
      <formula>C45&lt;#REF!</formula>
    </cfRule>
  </conditionalFormatting>
  <conditionalFormatting sqref="F6:K18 F19:G19 F20:K27 F28:G28 F29:K34 F35:G35 F36:K43 F44:G44 F45:K47 F48:G48">
    <cfRule type="expression" dxfId="156" priority="7">
      <formula>F6&gt;#REF!</formula>
    </cfRule>
    <cfRule type="expression" dxfId="155" priority="8">
      <formula>F6&lt;#REF!</formula>
    </cfRule>
  </conditionalFormatting>
  <conditionalFormatting sqref="J49:K49">
    <cfRule type="expression" dxfId="154" priority="1">
      <formula>J49&gt;#REF!</formula>
    </cfRule>
    <cfRule type="expression" dxfId="153" priority="2">
      <formula>J49&lt;#REF!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7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FADE-53B4-4BE5-BF1C-4096554A8F32}">
  <dimension ref="A1:H105"/>
  <sheetViews>
    <sheetView view="pageBreakPreview" zoomScaleNormal="100" zoomScaleSheetLayoutView="100" workbookViewId="0">
      <selection activeCell="S16" sqref="S16"/>
    </sheetView>
  </sheetViews>
  <sheetFormatPr defaultRowHeight="15" x14ac:dyDescent="0.25"/>
  <sheetData>
    <row r="1" spans="1:7" s="5" customFormat="1" x14ac:dyDescent="0.25">
      <c r="A1" s="5" t="str">
        <f>'HARVESTING ROUND'!A1</f>
        <v>HARVESTER PERFORMANCE CHART FOR THE MONTH OF DEC 2025 (1ST - 31ST)</v>
      </c>
    </row>
    <row r="2" spans="1:7" x14ac:dyDescent="0.25">
      <c r="A2" t="s">
        <v>11</v>
      </c>
    </row>
    <row r="3" spans="1:7" ht="3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x14ac:dyDescent="0.25">
      <c r="A4" s="1" t="s">
        <v>8</v>
      </c>
      <c r="B4" s="93">
        <f>'HARVESTING ROUND'!D36</f>
        <v>1416.51</v>
      </c>
      <c r="C4" s="592">
        <f>'FFB Budget 2025'!T59</f>
        <v>2591</v>
      </c>
      <c r="D4" s="1">
        <f>'HARVESTING ROUND'!F36</f>
        <v>1311.06</v>
      </c>
      <c r="E4" s="1">
        <f>'HARVESTING ROUND'!G36</f>
        <v>659.64999999999986</v>
      </c>
      <c r="F4" s="1">
        <f>'HARVESTING ROUND'!H36</f>
        <v>0</v>
      </c>
      <c r="G4" s="1">
        <f>SUM(D4:F4)</f>
        <v>1970.7099999999998</v>
      </c>
    </row>
    <row r="55" spans="5:8" ht="75" x14ac:dyDescent="0.25">
      <c r="E55" s="586" t="s">
        <v>209</v>
      </c>
      <c r="H55" t="s">
        <v>210</v>
      </c>
    </row>
    <row r="105" spans="5:8" ht="75" x14ac:dyDescent="0.25">
      <c r="E105" s="586" t="s">
        <v>211</v>
      </c>
      <c r="H105" s="586" t="s">
        <v>212</v>
      </c>
    </row>
  </sheetData>
  <conditionalFormatting sqref="G4">
    <cfRule type="expression" dxfId="152" priority="1">
      <formula>G4&gt;C4</formula>
    </cfRule>
    <cfRule type="expression" dxfId="151" priority="2">
      <formula>G4&lt;C4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13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9868-EFB3-4608-A7C4-9071E09ABA2B}">
  <dimension ref="A1:Y105"/>
  <sheetViews>
    <sheetView view="pageBreakPreview" zoomScaleNormal="100" zoomScaleSheetLayoutView="100" workbookViewId="0">
      <selection activeCell="C4" sqref="C4"/>
    </sheetView>
  </sheetViews>
  <sheetFormatPr defaultRowHeight="15" x14ac:dyDescent="0.25"/>
  <cols>
    <col min="1" max="1" width="14.85546875" customWidth="1"/>
    <col min="8" max="8" width="1" customWidth="1"/>
    <col min="9" max="10" width="10.85546875" customWidth="1"/>
    <col min="12" max="12" width="9.140625" style="8"/>
    <col min="15" max="15" width="10.7109375" customWidth="1"/>
  </cols>
  <sheetData>
    <row r="1" spans="1:25" s="5" customFormat="1" x14ac:dyDescent="0.25">
      <c r="A1" s="5" t="str">
        <f>'HARVESTING ROUND'!A1</f>
        <v>HARVESTER PERFORMANCE CHART FOR THE MONTH OF DEC 2025 (1ST - 31ST)</v>
      </c>
      <c r="L1" s="195"/>
      <c r="P1" s="5" t="str">
        <f>'HARVESTING ROUND'!H1</f>
        <v>HARVESTER PERFORMANCE CHART FOR THE MONTH OF SEPT 2024 (1ST - 30TH)</v>
      </c>
    </row>
    <row r="2" spans="1:25" ht="15.75" thickBot="1" x14ac:dyDescent="0.3">
      <c r="A2" t="s">
        <v>78</v>
      </c>
    </row>
    <row r="3" spans="1:25" ht="45" x14ac:dyDescent="0.25">
      <c r="A3" s="2" t="s">
        <v>79</v>
      </c>
      <c r="B3" s="2" t="s">
        <v>80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08"/>
      <c r="I3" s="200" t="s">
        <v>109</v>
      </c>
      <c r="J3" s="201" t="s">
        <v>110</v>
      </c>
      <c r="K3" s="201" t="s">
        <v>103</v>
      </c>
      <c r="L3" s="202" t="s">
        <v>106</v>
      </c>
      <c r="M3" s="202" t="s">
        <v>107</v>
      </c>
      <c r="N3" s="202" t="s">
        <v>108</v>
      </c>
      <c r="O3" s="203" t="s">
        <v>111</v>
      </c>
      <c r="Q3" s="2" t="s">
        <v>3</v>
      </c>
      <c r="R3" s="2" t="s">
        <v>4</v>
      </c>
      <c r="S3" s="2" t="s">
        <v>5</v>
      </c>
      <c r="T3" s="2" t="s">
        <v>6</v>
      </c>
    </row>
    <row r="4" spans="1:25" ht="26.25" x14ac:dyDescent="0.25">
      <c r="A4" s="100" t="s">
        <v>238</v>
      </c>
      <c r="B4" s="98">
        <f>'YUVENTUS UN GANG'!B10</f>
        <v>164</v>
      </c>
      <c r="C4" s="98">
        <f>'YUVENTUS UN GANG'!C10</f>
        <v>331</v>
      </c>
      <c r="D4" s="98">
        <f>'YUVENTUS UN GANG'!D10</f>
        <v>106.52</v>
      </c>
      <c r="E4" s="98">
        <f>'YUVENTUS UN GANG'!E10</f>
        <v>125.98</v>
      </c>
      <c r="F4" s="98">
        <f>'YUVENTUS UN GANG'!F10</f>
        <v>0</v>
      </c>
      <c r="G4" s="1">
        <f t="shared" ref="G4:G9" si="0">SUM(D4:F4)</f>
        <v>232.5</v>
      </c>
      <c r="H4" s="209"/>
      <c r="I4" s="204">
        <f>'YUVENTUS UN GANG'!$D$3</f>
        <v>9</v>
      </c>
      <c r="J4" s="199">
        <f>'YUVENTUS UN GANG'!$D$4</f>
        <v>0</v>
      </c>
      <c r="K4" s="12">
        <f>'YUVENTUS UN GANG'!I10</f>
        <v>210</v>
      </c>
      <c r="L4" s="12">
        <f t="shared" ref="L4:L10" si="1">G4/K4</f>
        <v>1.1071428571428572</v>
      </c>
      <c r="M4" s="12">
        <f>'YUVENTUS UN GANG'!$J$17</f>
        <v>18.222222222222221</v>
      </c>
      <c r="N4" s="12">
        <f>'YUVENTUS UN GANG'!$J$13</f>
        <v>25.833333333333332</v>
      </c>
      <c r="O4" s="205" t="str">
        <f>'YUVENTUS UN GANG'!J21</f>
        <v>1:1.42</v>
      </c>
      <c r="Q4" s="93">
        <f>'YUVENTUS UN GANG'!AR10</f>
        <v>82</v>
      </c>
      <c r="R4" s="93">
        <f>'YUVENTUS UN GANG'!AS10</f>
        <v>113.28</v>
      </c>
      <c r="S4" s="93">
        <f>'YUVENTUS UN GANG'!AT10</f>
        <v>34.22</v>
      </c>
      <c r="T4" s="93">
        <f t="shared" ref="T4:T9" si="2">SUM(Q4:S4)</f>
        <v>229.5</v>
      </c>
    </row>
    <row r="5" spans="1:25" x14ac:dyDescent="0.25">
      <c r="A5" s="100" t="s">
        <v>64</v>
      </c>
      <c r="B5" s="98">
        <f>'DARSO GANG'!B14</f>
        <v>385.4</v>
      </c>
      <c r="C5" s="98">
        <f>'DARSO GANG'!C14</f>
        <v>818</v>
      </c>
      <c r="D5" s="98">
        <f>'DARSO GANG'!D14</f>
        <v>473.61</v>
      </c>
      <c r="E5" s="98">
        <f>'DARSO GANG'!E14</f>
        <v>218.56</v>
      </c>
      <c r="F5" s="98">
        <f>'DARSO GANG'!F14</f>
        <v>0</v>
      </c>
      <c r="G5" s="1">
        <f t="shared" si="0"/>
        <v>692.17000000000007</v>
      </c>
      <c r="H5" s="209"/>
      <c r="I5" s="204">
        <f>'DARSO GANG'!D3</f>
        <v>17</v>
      </c>
      <c r="J5" s="199">
        <f>'DARSO GANG'!D4</f>
        <v>3</v>
      </c>
      <c r="K5" s="12">
        <f>'DARSO GANG'!I14</f>
        <v>364</v>
      </c>
      <c r="L5" s="12">
        <f t="shared" si="1"/>
        <v>1.9015659340659343</v>
      </c>
      <c r="M5" s="12">
        <f>'DARSO GANG'!J21</f>
        <v>27.528571428571428</v>
      </c>
      <c r="N5" s="12">
        <f>'DARSO GANG'!J17</f>
        <v>49.440714285714293</v>
      </c>
      <c r="O5" s="205" t="str">
        <f>'DARSO GANG'!J25</f>
        <v>1:1.8</v>
      </c>
      <c r="Q5" s="93">
        <f>'DARSO GANG'!AR14</f>
        <v>615.52</v>
      </c>
      <c r="R5" s="93">
        <f>'DARSO GANG'!AS14</f>
        <v>191.69</v>
      </c>
      <c r="S5" s="93">
        <f>'DARSO GANG'!AT14</f>
        <v>0</v>
      </c>
      <c r="T5" s="93">
        <f t="shared" si="2"/>
        <v>807.21</v>
      </c>
    </row>
    <row r="6" spans="1:25" ht="26.25" x14ac:dyDescent="0.25">
      <c r="A6" s="805" t="s">
        <v>241</v>
      </c>
      <c r="B6" s="98">
        <f>'YUDI GANG'!B10</f>
        <v>116.28</v>
      </c>
      <c r="C6" s="98">
        <f>'YUDI GANG'!C10</f>
        <v>213</v>
      </c>
      <c r="D6" s="98">
        <f>'YUDI GANG'!D10</f>
        <v>94.469999999999985</v>
      </c>
      <c r="E6" s="98">
        <f>'YUDI GANG'!E10</f>
        <v>10.379999999999999</v>
      </c>
      <c r="F6" s="98">
        <f>'YUDI GANG'!F10</f>
        <v>0</v>
      </c>
      <c r="G6" s="1">
        <f t="shared" si="0"/>
        <v>104.84999999999998</v>
      </c>
      <c r="H6" s="209"/>
      <c r="I6" s="204">
        <f>'YUDI GANG'!D3</f>
        <v>5</v>
      </c>
      <c r="J6" s="199">
        <f>'YUDI GANG'!D4</f>
        <v>0</v>
      </c>
      <c r="K6" s="12">
        <f>'YUDI GANG'!I10</f>
        <v>128</v>
      </c>
      <c r="L6" s="12">
        <f t="shared" si="1"/>
        <v>0.81914062499999984</v>
      </c>
      <c r="M6" s="12">
        <f>'YUDI GANG'!J17</f>
        <v>23.256</v>
      </c>
      <c r="N6" s="12">
        <f>'YUDI GANG'!J13</f>
        <v>20.97</v>
      </c>
      <c r="O6" s="205" t="str">
        <f>'YUDI GANG'!J21</f>
        <v>1:0.9</v>
      </c>
      <c r="Q6" s="93">
        <f>'YUDI GANG'!AR10</f>
        <v>124.74000000000001</v>
      </c>
      <c r="R6" s="93">
        <f>'YUDI GANG'!AS10</f>
        <v>49.45</v>
      </c>
      <c r="S6" s="93">
        <f>'YUDI GANG'!AT10</f>
        <v>0</v>
      </c>
      <c r="T6" s="93">
        <f t="shared" si="2"/>
        <v>174.19</v>
      </c>
    </row>
    <row r="7" spans="1:25" ht="51.75" x14ac:dyDescent="0.25">
      <c r="A7" s="805" t="s">
        <v>240</v>
      </c>
      <c r="B7" s="98">
        <f>'SOFIO GANG'!B13</f>
        <v>262.5</v>
      </c>
      <c r="C7" s="98">
        <f>'SOFIO GANG'!C13</f>
        <v>511</v>
      </c>
      <c r="D7" s="98">
        <f>'SOFIO GANG'!D13</f>
        <v>267.13</v>
      </c>
      <c r="E7" s="98">
        <f>'SOFIO GANG'!E13</f>
        <v>97</v>
      </c>
      <c r="F7" s="98">
        <f>'SOFIO GANG'!F13</f>
        <v>0</v>
      </c>
      <c r="G7" s="1">
        <f t="shared" si="0"/>
        <v>364.13</v>
      </c>
      <c r="H7" s="209"/>
      <c r="I7" s="204">
        <f>'SOFIO GANG'!D3</f>
        <v>12</v>
      </c>
      <c r="J7" s="199">
        <f>'SOFIO GANG'!D4</f>
        <v>0</v>
      </c>
      <c r="K7" s="12">
        <f>'SOFIO GANG'!I13</f>
        <v>258</v>
      </c>
      <c r="L7" s="12">
        <f t="shared" si="1"/>
        <v>1.4113565891472868</v>
      </c>
      <c r="M7" s="12">
        <f>'SOFIO GANG'!J20</f>
        <v>21.875</v>
      </c>
      <c r="N7" s="12">
        <f>'SOFIO GANG'!J16</f>
        <v>30.344166666666666</v>
      </c>
      <c r="O7" s="205" t="str">
        <f>'SOFIO GANG'!J24</f>
        <v>1:1.39</v>
      </c>
      <c r="Q7" s="93">
        <f>'SOFIO GANG'!AR13</f>
        <v>420.96000000000004</v>
      </c>
      <c r="R7" s="93">
        <f>'SOFIO GANG'!AS13</f>
        <v>95.17</v>
      </c>
      <c r="S7" s="93">
        <f>'SOFIO GANG'!AT13</f>
        <v>0</v>
      </c>
      <c r="T7" s="93">
        <f t="shared" si="2"/>
        <v>516.13</v>
      </c>
    </row>
    <row r="8" spans="1:25" x14ac:dyDescent="0.25">
      <c r="A8" s="100" t="s">
        <v>67</v>
      </c>
      <c r="B8" s="98">
        <f>'NU AZANI GANG'!B13</f>
        <v>291.60000000000002</v>
      </c>
      <c r="C8" s="98">
        <f>'NU AZANI GANG'!C13</f>
        <v>594</v>
      </c>
      <c r="D8" s="98">
        <f>'NU AZANI GANG'!D13</f>
        <v>259.99</v>
      </c>
      <c r="E8" s="98">
        <f>'NU AZANI GANG'!E13</f>
        <v>145.63</v>
      </c>
      <c r="F8" s="98">
        <f>'NU AZANI GANG'!F13</f>
        <v>0</v>
      </c>
      <c r="G8" s="1">
        <f t="shared" si="0"/>
        <v>405.62</v>
      </c>
      <c r="H8" s="209"/>
      <c r="I8" s="204">
        <f>'NU AZANI GANG'!D3</f>
        <v>9</v>
      </c>
      <c r="J8" s="199">
        <f>'NU AZANI GANG'!D4</f>
        <v>0</v>
      </c>
      <c r="K8" s="12">
        <f>'NU AZANI GANG'!I13</f>
        <v>221</v>
      </c>
      <c r="L8" s="12">
        <f t="shared" si="1"/>
        <v>1.8353846153846154</v>
      </c>
      <c r="M8" s="12">
        <f>'NU AZANI GANG'!J20</f>
        <v>32.400000000000006</v>
      </c>
      <c r="N8" s="12">
        <f>'NU AZANI GANG'!J16</f>
        <v>45.068888888888893</v>
      </c>
      <c r="O8" s="205" t="str">
        <f>'NU AZANI GANG'!J24</f>
        <v>1:1.39</v>
      </c>
      <c r="Q8" s="93">
        <f>'NU AZANI GANG'!AR13</f>
        <v>305.93</v>
      </c>
      <c r="R8" s="93">
        <f>'NU AZANI GANG'!AS13</f>
        <v>180.23</v>
      </c>
      <c r="S8" s="93">
        <f>'NU AZANI GANG'!AT13</f>
        <v>0</v>
      </c>
      <c r="T8" s="93">
        <f t="shared" si="2"/>
        <v>486.15999999999997</v>
      </c>
    </row>
    <row r="9" spans="1:25" ht="26.25" x14ac:dyDescent="0.25">
      <c r="A9" s="100" t="s">
        <v>68</v>
      </c>
      <c r="B9" s="98">
        <f>'WENDERLINUS GANG '!B15</f>
        <v>196.73</v>
      </c>
      <c r="C9" s="98">
        <f>'WENDERLINUS GANG '!C15</f>
        <v>124</v>
      </c>
      <c r="D9" s="98">
        <f>'WENDERLINUS GANG '!D15</f>
        <v>109.33999999999999</v>
      </c>
      <c r="E9" s="98">
        <f>'WENDERLINUS GANG '!E15</f>
        <v>62.099999999999994</v>
      </c>
      <c r="F9" s="98">
        <f>'WENDERLINUS GANG '!F15</f>
        <v>0</v>
      </c>
      <c r="G9" s="1">
        <f t="shared" si="0"/>
        <v>171.44</v>
      </c>
      <c r="H9" s="209"/>
      <c r="I9" s="204">
        <f>'WENDERLINUS GANG '!D3</f>
        <v>7</v>
      </c>
      <c r="J9" s="199">
        <f>'WENDERLINUS GANG '!D4</f>
        <v>0</v>
      </c>
      <c r="K9" s="12">
        <f>'WENDERLINUS GANG '!I15</f>
        <v>154</v>
      </c>
      <c r="L9" s="12">
        <f t="shared" si="1"/>
        <v>1.1132467532467532</v>
      </c>
      <c r="M9" s="12">
        <f>'WENDERLINUS GANG '!J22</f>
        <v>28.104285714285712</v>
      </c>
      <c r="N9" s="12">
        <f>'WENDERLINUS GANG '!J18</f>
        <v>24.491428571428568</v>
      </c>
      <c r="O9" s="205" t="str">
        <f>'WENDERLINUS GANG '!J26</f>
        <v>1:0.87</v>
      </c>
      <c r="Q9" s="93">
        <f>'WENDERLINUS GANG '!AR15</f>
        <v>64.529999999999987</v>
      </c>
      <c r="R9" s="93">
        <f>'WENDERLINUS GANG '!AS15</f>
        <v>64.06</v>
      </c>
      <c r="S9" s="93">
        <f>'WENDERLINUS GANG '!AT15</f>
        <v>0</v>
      </c>
      <c r="T9" s="93">
        <f t="shared" si="2"/>
        <v>128.58999999999997</v>
      </c>
    </row>
    <row r="10" spans="1:25" s="7" customFormat="1" ht="15.75" thickBot="1" x14ac:dyDescent="0.3">
      <c r="A10" s="99" t="s">
        <v>8</v>
      </c>
      <c r="B10" s="97">
        <f t="shared" ref="B10:K10" si="3">SUM(B4:B9)</f>
        <v>1416.51</v>
      </c>
      <c r="C10" s="97">
        <f t="shared" si="3"/>
        <v>2591</v>
      </c>
      <c r="D10" s="97">
        <f t="shared" si="3"/>
        <v>1311.06</v>
      </c>
      <c r="E10" s="97">
        <f t="shared" si="3"/>
        <v>659.65</v>
      </c>
      <c r="F10" s="97">
        <f t="shared" si="3"/>
        <v>0</v>
      </c>
      <c r="G10" s="97">
        <f>SUM(G4:G9)</f>
        <v>1970.71</v>
      </c>
      <c r="H10" s="210"/>
      <c r="I10" s="206">
        <f t="shared" si="3"/>
        <v>59</v>
      </c>
      <c r="J10" s="207">
        <f t="shared" si="3"/>
        <v>3</v>
      </c>
      <c r="K10" s="207">
        <f t="shared" si="3"/>
        <v>1335</v>
      </c>
      <c r="L10" s="207">
        <f t="shared" si="1"/>
        <v>1.476187265917603</v>
      </c>
      <c r="M10" s="207">
        <f>B10/(I10-J10)</f>
        <v>25.294821428571428</v>
      </c>
      <c r="N10" s="207">
        <f>G10/(I10-J10)</f>
        <v>35.191250000000004</v>
      </c>
      <c r="O10" s="211" t="str">
        <f>B10/B10&amp;":"&amp;ROUND(G10/B10,2)</f>
        <v>1:1.39</v>
      </c>
      <c r="Q10" s="472">
        <f>SUM(Q4:Q9)</f>
        <v>1613.68</v>
      </c>
      <c r="R10" s="472">
        <f>SUM(R4:R9)</f>
        <v>693.88000000000011</v>
      </c>
      <c r="S10" s="472">
        <f>SUM(S4:S9)</f>
        <v>34.22</v>
      </c>
      <c r="T10" s="472">
        <f>SUM(T4:T9)</f>
        <v>2341.7800000000002</v>
      </c>
      <c r="U10"/>
      <c r="V10"/>
      <c r="W10"/>
      <c r="X10"/>
      <c r="Y10"/>
    </row>
    <row r="12" spans="1:25" x14ac:dyDescent="0.25">
      <c r="L12"/>
    </row>
    <row r="13" spans="1:25" x14ac:dyDescent="0.25">
      <c r="L13"/>
      <c r="Q13" s="7"/>
      <c r="R13" s="7"/>
      <c r="S13" s="7"/>
      <c r="T13" s="7"/>
      <c r="U13" s="6"/>
    </row>
    <row r="14" spans="1:25" x14ac:dyDescent="0.25">
      <c r="L14"/>
      <c r="X14" s="6"/>
      <c r="Y14" s="6"/>
    </row>
    <row r="15" spans="1:25" x14ac:dyDescent="0.25">
      <c r="L15"/>
    </row>
    <row r="16" spans="1:25" x14ac:dyDescent="0.25">
      <c r="L16"/>
    </row>
    <row r="17" spans="12:20" x14ac:dyDescent="0.25">
      <c r="L17"/>
      <c r="T17" t="s">
        <v>238</v>
      </c>
    </row>
    <row r="18" spans="12:20" x14ac:dyDescent="0.25">
      <c r="T18" t="s">
        <v>64</v>
      </c>
    </row>
    <row r="19" spans="12:20" x14ac:dyDescent="0.25">
      <c r="T19" t="s">
        <v>241</v>
      </c>
    </row>
    <row r="20" spans="12:20" x14ac:dyDescent="0.25">
      <c r="T20" t="s">
        <v>240</v>
      </c>
    </row>
    <row r="21" spans="12:20" x14ac:dyDescent="0.25">
      <c r="T21" t="s">
        <v>67</v>
      </c>
    </row>
    <row r="22" spans="12:20" x14ac:dyDescent="0.25">
      <c r="T22" t="s">
        <v>68</v>
      </c>
    </row>
    <row r="55" spans="5:8" ht="75" x14ac:dyDescent="0.25">
      <c r="E55" s="586" t="s">
        <v>209</v>
      </c>
      <c r="H55" t="s">
        <v>210</v>
      </c>
    </row>
    <row r="105" spans="5:8" ht="375" x14ac:dyDescent="0.25">
      <c r="E105" s="586" t="s">
        <v>211</v>
      </c>
      <c r="H105" s="586" t="s">
        <v>212</v>
      </c>
    </row>
  </sheetData>
  <conditionalFormatting sqref="G4:G10">
    <cfRule type="expression" dxfId="150" priority="3">
      <formula>G4&gt;C4</formula>
    </cfRule>
    <cfRule type="expression" dxfId="149" priority="4">
      <formula>G4&lt;C4</formula>
    </cfRule>
  </conditionalFormatting>
  <conditionalFormatting sqref="T4:T9">
    <cfRule type="expression" dxfId="148" priority="1">
      <formula>T4&gt;#REF!</formula>
    </cfRule>
    <cfRule type="expression" dxfId="147" priority="2">
      <formula>T4&lt;#REF!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5"/>
  <sheetViews>
    <sheetView view="pageBreakPreview" zoomScaleNormal="100" zoomScaleSheetLayoutView="100" workbookViewId="0">
      <selection activeCell="C7" sqref="C7"/>
    </sheetView>
  </sheetViews>
  <sheetFormatPr defaultRowHeight="15" x14ac:dyDescent="0.25"/>
  <cols>
    <col min="8" max="8" width="0.5703125" customWidth="1"/>
    <col min="10" max="10" width="9.140625" style="8"/>
    <col min="12" max="43" width="0" hidden="1" customWidth="1"/>
  </cols>
  <sheetData>
    <row r="1" spans="1:59" s="5" customFormat="1" x14ac:dyDescent="0.25">
      <c r="A1" s="5" t="str">
        <f>'HARVESTING ROUND'!A1</f>
        <v>HARVESTER PERFORMANCE CHART FOR THE MONTH OF DEC 2025 (1ST - 31ST)</v>
      </c>
      <c r="J1" s="195"/>
      <c r="K1" s="5" t="str">
        <f>'HARVESTING ROUND'!H1</f>
        <v>HARVESTER PERFORMANCE CHART FOR THE MONTH OF SEPT 2024 (1ST - 30TH)</v>
      </c>
    </row>
    <row r="2" spans="1:59" x14ac:dyDescent="0.25">
      <c r="A2" t="s">
        <v>244</v>
      </c>
    </row>
    <row r="3" spans="1:59" x14ac:dyDescent="0.25">
      <c r="A3" t="s">
        <v>104</v>
      </c>
      <c r="D3" s="194">
        <v>9</v>
      </c>
    </row>
    <row r="4" spans="1:59" x14ac:dyDescent="0.25">
      <c r="A4" t="s">
        <v>105</v>
      </c>
      <c r="D4" s="194">
        <v>0</v>
      </c>
    </row>
    <row r="5" spans="1:59" ht="15.75" thickBot="1" x14ac:dyDescent="0.3">
      <c r="L5" s="961">
        <v>45292</v>
      </c>
      <c r="M5" s="961"/>
      <c r="N5" s="961"/>
      <c r="O5" s="962"/>
      <c r="P5" s="961">
        <v>45323</v>
      </c>
      <c r="Q5" s="961"/>
      <c r="R5" s="961"/>
      <c r="S5" s="962"/>
      <c r="T5" s="961">
        <v>45352</v>
      </c>
      <c r="U5" s="961"/>
      <c r="V5" s="961"/>
      <c r="W5" s="962"/>
      <c r="X5" s="961">
        <v>45383</v>
      </c>
      <c r="Y5" s="961"/>
      <c r="Z5" s="961"/>
      <c r="AA5" s="962"/>
      <c r="AB5" s="961">
        <v>45413</v>
      </c>
      <c r="AC5" s="961"/>
      <c r="AD5" s="961"/>
      <c r="AE5" s="962"/>
      <c r="AF5" s="961">
        <v>45444</v>
      </c>
      <c r="AG5" s="961"/>
      <c r="AH5" s="961"/>
      <c r="AI5" s="962"/>
      <c r="AJ5" s="961">
        <v>45474</v>
      </c>
      <c r="AK5" s="961"/>
      <c r="AL5" s="961"/>
      <c r="AM5" s="962"/>
      <c r="AN5" s="961">
        <v>45505</v>
      </c>
      <c r="AO5" s="961"/>
      <c r="AP5" s="961"/>
      <c r="AQ5" s="962"/>
      <c r="AR5" s="961">
        <v>45536</v>
      </c>
      <c r="AS5" s="961"/>
      <c r="AT5" s="961"/>
      <c r="AU5" s="962"/>
      <c r="AV5" s="961">
        <v>45566</v>
      </c>
      <c r="AW5" s="961"/>
      <c r="AX5" s="961"/>
      <c r="AY5" s="962"/>
      <c r="AZ5" s="961">
        <v>45597</v>
      </c>
      <c r="BA5" s="961"/>
      <c r="BB5" s="961"/>
      <c r="BC5" s="962"/>
      <c r="BD5" s="961">
        <v>45627</v>
      </c>
      <c r="BE5" s="961"/>
      <c r="BF5" s="961"/>
      <c r="BG5" s="962"/>
    </row>
    <row r="6" spans="1:59" s="3" customFormat="1" ht="30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/>
      <c r="I6" s="2" t="s">
        <v>103</v>
      </c>
      <c r="J6" s="196" t="s">
        <v>106</v>
      </c>
      <c r="L6" s="2" t="s">
        <v>3</v>
      </c>
      <c r="M6" s="2" t="s">
        <v>4</v>
      </c>
      <c r="N6" s="475" t="s">
        <v>5</v>
      </c>
      <c r="O6" s="479" t="s">
        <v>6</v>
      </c>
      <c r="P6" s="477" t="s">
        <v>3</v>
      </c>
      <c r="Q6" s="2" t="s">
        <v>4</v>
      </c>
      <c r="R6" s="475" t="s">
        <v>5</v>
      </c>
      <c r="S6" s="479" t="s">
        <v>6</v>
      </c>
      <c r="T6" s="477" t="s">
        <v>3</v>
      </c>
      <c r="U6" s="2" t="s">
        <v>4</v>
      </c>
      <c r="V6" s="475" t="s">
        <v>5</v>
      </c>
      <c r="W6" s="479" t="s">
        <v>6</v>
      </c>
      <c r="X6" s="477" t="s">
        <v>3</v>
      </c>
      <c r="Y6" s="2" t="s">
        <v>4</v>
      </c>
      <c r="Z6" s="475" t="s">
        <v>5</v>
      </c>
      <c r="AA6" s="479" t="s">
        <v>6</v>
      </c>
      <c r="AB6" s="477" t="s">
        <v>3</v>
      </c>
      <c r="AC6" s="2" t="s">
        <v>4</v>
      </c>
      <c r="AD6" s="475" t="s">
        <v>5</v>
      </c>
      <c r="AE6" s="479" t="s">
        <v>6</v>
      </c>
      <c r="AF6" s="477" t="s">
        <v>3</v>
      </c>
      <c r="AG6" s="2" t="s">
        <v>4</v>
      </c>
      <c r="AH6" s="475" t="s">
        <v>5</v>
      </c>
      <c r="AI6" s="479" t="s">
        <v>6</v>
      </c>
      <c r="AJ6" s="477" t="s">
        <v>3</v>
      </c>
      <c r="AK6" s="2" t="s">
        <v>4</v>
      </c>
      <c r="AL6" s="475" t="s">
        <v>5</v>
      </c>
      <c r="AM6" s="479" t="s">
        <v>6</v>
      </c>
      <c r="AN6" s="477" t="s">
        <v>3</v>
      </c>
      <c r="AO6" s="2" t="s">
        <v>4</v>
      </c>
      <c r="AP6" s="475" t="s">
        <v>5</v>
      </c>
      <c r="AQ6" s="479" t="s">
        <v>6</v>
      </c>
      <c r="AR6" s="477" t="s">
        <v>3</v>
      </c>
      <c r="AS6" s="2" t="s">
        <v>4</v>
      </c>
      <c r="AT6" s="475" t="s">
        <v>5</v>
      </c>
      <c r="AU6" s="479" t="s">
        <v>6</v>
      </c>
      <c r="AV6" s="477" t="s">
        <v>3</v>
      </c>
      <c r="AW6" s="2" t="s">
        <v>4</v>
      </c>
      <c r="AX6" s="475" t="s">
        <v>5</v>
      </c>
      <c r="AY6" s="479" t="s">
        <v>6</v>
      </c>
      <c r="AZ6" s="477" t="s">
        <v>3</v>
      </c>
      <c r="BA6" s="2" t="s">
        <v>4</v>
      </c>
      <c r="BB6" s="475" t="s">
        <v>5</v>
      </c>
      <c r="BC6" s="479" t="s">
        <v>6</v>
      </c>
      <c r="BD6" s="477" t="s">
        <v>3</v>
      </c>
      <c r="BE6" s="2" t="s">
        <v>4</v>
      </c>
      <c r="BF6" s="475" t="s">
        <v>5</v>
      </c>
      <c r="BG6" s="479" t="s">
        <v>6</v>
      </c>
    </row>
    <row r="7" spans="1:59" x14ac:dyDescent="0.25">
      <c r="A7" s="1">
        <v>1</v>
      </c>
      <c r="B7" s="1">
        <v>53.2</v>
      </c>
      <c r="C7" s="1">
        <f>VLOOKUP(A7,ffbbudgettwofive,18,FALSE)</f>
        <v>106</v>
      </c>
      <c r="D7" s="1">
        <f>VLOOKUP(A7,harvestinground,5,FALSE)</f>
        <v>45.47</v>
      </c>
      <c r="E7" s="1">
        <f>VLOOKUP(A7,harvestinground,6,FALSE)</f>
        <v>61.180000000000007</v>
      </c>
      <c r="F7" s="1">
        <f>VLOOKUP(A7,harvestinground,7,FALSE)</f>
        <v>0</v>
      </c>
      <c r="G7" s="1">
        <f>SUM(D7:F7)</f>
        <v>106.65</v>
      </c>
      <c r="H7" s="1"/>
      <c r="I7" s="1">
        <f>VLOOKUP(A7,manday,34,FALSE)</f>
        <v>98</v>
      </c>
      <c r="J7" s="12">
        <f>G7/I7</f>
        <v>1.088265306122449</v>
      </c>
      <c r="L7" s="93">
        <f>VLOOKUP(A7,year2022to23,188,FALSE)</f>
        <v>9.77</v>
      </c>
      <c r="M7" s="93">
        <f>VLOOKUP(A7,year2022to23,189,FALSE)</f>
        <v>27.17</v>
      </c>
      <c r="N7" s="476">
        <f>VLOOKUP(A7,year2022to23,190,FALSE)</f>
        <v>0</v>
      </c>
      <c r="O7" s="480">
        <f>SUM(L7:N7)</f>
        <v>36.94</v>
      </c>
      <c r="P7" s="478">
        <f>VLOOKUP(A7,year2022to23,193,FALSE)</f>
        <v>15.36</v>
      </c>
      <c r="Q7" s="93">
        <f>VLOOKUP(A7,year2022to23,194,FALSE)</f>
        <v>24.08</v>
      </c>
      <c r="R7" s="476">
        <f>VLOOKUP(A7,year2022to23,195,FALSE)</f>
        <v>0</v>
      </c>
      <c r="S7" s="480">
        <f>SUM(P7:R7)</f>
        <v>39.44</v>
      </c>
      <c r="T7" s="478">
        <f>VLOOKUP(A7,year2022to23,198,FALSE)</f>
        <v>15.14</v>
      </c>
      <c r="U7" s="93">
        <f>VLOOKUP(A7,year2022to23,199,FALSE)</f>
        <v>7.87</v>
      </c>
      <c r="V7" s="476">
        <f>VLOOKUP(A7,year2022to23,200,FALSE)</f>
        <v>4.54</v>
      </c>
      <c r="W7" s="480">
        <f>SUM(T7:V7)</f>
        <v>27.55</v>
      </c>
      <c r="X7" s="478">
        <f>VLOOKUP(A7,year2022to23,203,FALSE)</f>
        <v>20.25</v>
      </c>
      <c r="Y7" s="93">
        <f>VLOOKUP(A7,year2022to23,204,FALSE)</f>
        <v>13.88</v>
      </c>
      <c r="Z7" s="476">
        <f>VLOOKUP(A7,year2022to23,205,FALSE)</f>
        <v>0</v>
      </c>
      <c r="AA7" s="480">
        <f>SUM(X7:Z7)</f>
        <v>34.130000000000003</v>
      </c>
      <c r="AB7" s="478">
        <f>VLOOKUP(A7,year2022to23,208,FALSE)</f>
        <v>45.97</v>
      </c>
      <c r="AC7" s="93">
        <f>VLOOKUP(A7,year2022to23,209,FALSE)</f>
        <v>12.94</v>
      </c>
      <c r="AD7" s="476">
        <f>VLOOKUP(A7,year2022to23,210,FALSE)</f>
        <v>0</v>
      </c>
      <c r="AE7" s="480">
        <f>SUM(AB7:AD7)</f>
        <v>58.91</v>
      </c>
      <c r="AF7" s="478">
        <f>VLOOKUP(A7,year2022to23,213,FALSE)</f>
        <v>40.75</v>
      </c>
      <c r="AG7" s="93">
        <f>VLOOKUP(A7,year2022to23,214,FALSE)</f>
        <v>13.29</v>
      </c>
      <c r="AH7" s="476">
        <f>VLOOKUP(A7,year2022to23,215,FALSE)</f>
        <v>0</v>
      </c>
      <c r="AI7" s="480">
        <f>SUM(AF7:AH7)</f>
        <v>54.04</v>
      </c>
      <c r="AJ7" s="478">
        <f>VLOOKUP(A7,year2022to23,218,FALSE)</f>
        <v>28.57</v>
      </c>
      <c r="AK7" s="93">
        <f>VLOOKUP(A7,year2022to23,219,FALSE)</f>
        <v>16.23</v>
      </c>
      <c r="AL7" s="476">
        <f>VLOOKUP(A7,year2022to23,220,FALSE)</f>
        <v>0</v>
      </c>
      <c r="AM7" s="480">
        <f>SUM(AJ7:AL7)</f>
        <v>44.8</v>
      </c>
      <c r="AN7" s="478">
        <f>VLOOKUP(A7,year2022to23,223,FALSE)</f>
        <v>33.31</v>
      </c>
      <c r="AO7" s="93">
        <f>VLOOKUP(A7,year2022to23,224,FALSE)</f>
        <v>32.630000000000003</v>
      </c>
      <c r="AP7" s="476">
        <f>VLOOKUP(A7,year2022to23,225,FALSE)</f>
        <v>0</v>
      </c>
      <c r="AQ7" s="480">
        <f>SUM(AN7:AP7)</f>
        <v>65.94</v>
      </c>
      <c r="AR7" s="478">
        <f>VLOOKUP(A7,year2022to23,228,FALSE)</f>
        <v>24.71</v>
      </c>
      <c r="AS7" s="93">
        <f>VLOOKUP(A7,year2022to23,229,FALSE)</f>
        <v>26.41</v>
      </c>
      <c r="AT7" s="476">
        <f>VLOOKUP(A7,year2022to23,230,FALSE)</f>
        <v>0</v>
      </c>
      <c r="AU7" s="482">
        <f>SUM(AR7:AT7)</f>
        <v>51.120000000000005</v>
      </c>
      <c r="AV7" s="478">
        <f>VLOOKUP(A7,year2022to23,233,FALSE)</f>
        <v>68.66</v>
      </c>
      <c r="AW7" s="93">
        <f>VLOOKUP(A7,year2022to23,234,FALSE)</f>
        <v>39.69</v>
      </c>
      <c r="AX7" s="476">
        <f>VLOOKUP(A7,year2022to23,235,FALSE)</f>
        <v>0</v>
      </c>
      <c r="AY7" s="482">
        <f>SUM(AV7:AX7)</f>
        <v>108.35</v>
      </c>
      <c r="AZ7" s="478">
        <f>VLOOKUP(A7,year2022to23,238,FALSE)</f>
        <v>40.619999999999997</v>
      </c>
      <c r="BA7" s="93">
        <f>VLOOKUP(A7,year2022to23,239,FALSE)</f>
        <v>9.34</v>
      </c>
      <c r="BB7" s="476">
        <f>VLOOKUP(A7,year2022to23,240,FALSE)</f>
        <v>53.889999999999993</v>
      </c>
      <c r="BC7" s="482">
        <f>SUM(AZ7:BB7)</f>
        <v>103.85</v>
      </c>
      <c r="BD7" s="478">
        <f>VLOOKUP(A7,year2022to23,243,FALSE)</f>
        <v>65.930000000000007</v>
      </c>
      <c r="BE7" s="93">
        <f>VLOOKUP(A7,year2022to23,244,FALSE)</f>
        <v>16.14</v>
      </c>
      <c r="BF7" s="476">
        <f>VLOOKUP(A7,year2022to23,245,FALSE)</f>
        <v>0</v>
      </c>
      <c r="BG7" s="482">
        <f>SUM(BD7:BF7)</f>
        <v>82.070000000000007</v>
      </c>
    </row>
    <row r="8" spans="1:59" x14ac:dyDescent="0.25">
      <c r="A8" s="1">
        <v>3</v>
      </c>
      <c r="B8" s="1">
        <v>69.2</v>
      </c>
      <c r="C8" s="1">
        <f>VLOOKUP(A8,ffbbudgettwofive,18,FALSE)</f>
        <v>138</v>
      </c>
      <c r="D8" s="1">
        <f>VLOOKUP(A8,harvestinground,5,FALSE)</f>
        <v>15.21</v>
      </c>
      <c r="E8" s="1">
        <f>VLOOKUP(A8,harvestinground,6,FALSE)</f>
        <v>64.8</v>
      </c>
      <c r="F8" s="1">
        <f>VLOOKUP(A8,harvestinground,7,FALSE)</f>
        <v>0</v>
      </c>
      <c r="G8" s="1">
        <f>SUM(D8:F8)</f>
        <v>80.009999999999991</v>
      </c>
      <c r="H8" s="1"/>
      <c r="I8" s="1">
        <f>VLOOKUP(A8,manday,34,FALSE)</f>
        <v>67</v>
      </c>
      <c r="J8" s="12">
        <f>G8/I8</f>
        <v>1.1941791044776118</v>
      </c>
      <c r="L8" s="93">
        <f>VLOOKUP(A8,year2022to23,188,FALSE)</f>
        <v>51.04</v>
      </c>
      <c r="M8" s="93">
        <f>VLOOKUP(A8,year2022to23,189,FALSE)</f>
        <v>20.2</v>
      </c>
      <c r="N8" s="476">
        <f>VLOOKUP(A8,year2022to23,190,FALSE)</f>
        <v>0</v>
      </c>
      <c r="O8" s="480">
        <f>SUM(L8:N8)</f>
        <v>71.239999999999995</v>
      </c>
      <c r="P8" s="478">
        <f>VLOOKUP(A8,year2022to23,193,FALSE)</f>
        <v>14.17</v>
      </c>
      <c r="Q8" s="93">
        <f>VLOOKUP(A8,year2022to23,194,FALSE)</f>
        <v>24.44</v>
      </c>
      <c r="R8" s="476">
        <f>VLOOKUP(A8,year2022to23,195,FALSE)</f>
        <v>0</v>
      </c>
      <c r="S8" s="480">
        <f>SUM(P8:R8)</f>
        <v>38.61</v>
      </c>
      <c r="T8" s="478">
        <f>VLOOKUP(A8,year2022to23,198,FALSE)</f>
        <v>12.73</v>
      </c>
      <c r="U8" s="93">
        <f>VLOOKUP(A8,year2022to23,199,FALSE)</f>
        <v>2.87</v>
      </c>
      <c r="V8" s="476">
        <f>VLOOKUP(A8,year2022to23,200,FALSE)</f>
        <v>0</v>
      </c>
      <c r="W8" s="480">
        <f>SUM(T8:V8)</f>
        <v>15.600000000000001</v>
      </c>
      <c r="X8" s="478">
        <f>VLOOKUP(A8,year2022to23,203,FALSE)</f>
        <v>34.22</v>
      </c>
      <c r="Y8" s="93">
        <f>VLOOKUP(A8,year2022to23,204,FALSE)</f>
        <v>15.52</v>
      </c>
      <c r="Z8" s="476">
        <f>VLOOKUP(A8,year2022to23,205,FALSE)</f>
        <v>0</v>
      </c>
      <c r="AA8" s="480">
        <f>SUM(X8:Z8)</f>
        <v>49.739999999999995</v>
      </c>
      <c r="AB8" s="478">
        <f>VLOOKUP(A8,year2022to23,208,FALSE)</f>
        <v>49.54</v>
      </c>
      <c r="AC8" s="93">
        <f>VLOOKUP(A8,year2022to23,209,FALSE)</f>
        <v>11.01</v>
      </c>
      <c r="AD8" s="476">
        <f>VLOOKUP(A8,year2022to23,210,FALSE)</f>
        <v>0</v>
      </c>
      <c r="AE8" s="480">
        <f>SUM(AB8:AD8)</f>
        <v>60.55</v>
      </c>
      <c r="AF8" s="478">
        <f>VLOOKUP(A8,year2022to23,213,FALSE)</f>
        <v>47.06</v>
      </c>
      <c r="AG8" s="93">
        <f>VLOOKUP(A8,year2022to23,214,FALSE)</f>
        <v>10.6</v>
      </c>
      <c r="AH8" s="476">
        <f>VLOOKUP(A8,year2022to23,215,FALSE)</f>
        <v>0</v>
      </c>
      <c r="AI8" s="480">
        <f>SUM(AF8:AH8)</f>
        <v>57.660000000000004</v>
      </c>
      <c r="AJ8" s="478">
        <f>VLOOKUP(A8,year2022to23,218,FALSE)</f>
        <v>49.22</v>
      </c>
      <c r="AK8" s="93">
        <f>VLOOKUP(A8,year2022to23,219,FALSE)</f>
        <v>16.170000000000002</v>
      </c>
      <c r="AL8" s="476">
        <f>VLOOKUP(A8,year2022to23,220,FALSE)</f>
        <v>0</v>
      </c>
      <c r="AM8" s="480">
        <f>SUM(AJ8:AL8)</f>
        <v>65.39</v>
      </c>
      <c r="AN8" s="478">
        <f>VLOOKUP(A8,year2022to23,223,FALSE)</f>
        <v>82.38</v>
      </c>
      <c r="AO8" s="93">
        <f>VLOOKUP(A8,year2022to23,224,FALSE)</f>
        <v>31.87</v>
      </c>
      <c r="AP8" s="476">
        <f>VLOOKUP(A8,year2022to23,225,FALSE)</f>
        <v>0</v>
      </c>
      <c r="AQ8" s="480">
        <f>SUM(AN8:AP8)</f>
        <v>114.25</v>
      </c>
      <c r="AR8" s="478">
        <f>VLOOKUP(A8,year2022to23,228,FALSE)</f>
        <v>53.67</v>
      </c>
      <c r="AS8" s="93">
        <f>VLOOKUP(A8,year2022to23,229,FALSE)</f>
        <v>40.25</v>
      </c>
      <c r="AT8" s="476">
        <f>VLOOKUP(A8,year2022to23,230,FALSE)</f>
        <v>0</v>
      </c>
      <c r="AU8" s="482">
        <f>SUM(AR8:AT8)</f>
        <v>93.92</v>
      </c>
      <c r="AV8" s="478">
        <f>VLOOKUP(A8,year2022to23,233,FALSE)</f>
        <v>130.71</v>
      </c>
      <c r="AW8" s="93">
        <f>VLOOKUP(A8,year2022to23,234,FALSE)</f>
        <v>16.11</v>
      </c>
      <c r="AX8" s="476">
        <f>VLOOKUP(A8,year2022to23,235,FALSE)</f>
        <v>0</v>
      </c>
      <c r="AY8" s="482">
        <f>SUM(AV8:AX8)</f>
        <v>146.82</v>
      </c>
      <c r="AZ8" s="478">
        <f>VLOOKUP(A8,year2022to23,238,FALSE)</f>
        <v>23.8</v>
      </c>
      <c r="BA8" s="93">
        <f>VLOOKUP(A8,year2022to23,239,FALSE)</f>
        <v>37.81</v>
      </c>
      <c r="BB8" s="476">
        <f>VLOOKUP(A8,year2022to23,240,FALSE)</f>
        <v>0</v>
      </c>
      <c r="BC8" s="482">
        <f>SUM(AZ8:BB8)</f>
        <v>61.61</v>
      </c>
      <c r="BD8" s="478">
        <f>VLOOKUP(A8,year2022to23,243,FALSE)</f>
        <v>111.05</v>
      </c>
      <c r="BE8" s="93">
        <f>VLOOKUP(A8,year2022to23,244,FALSE)</f>
        <v>40.630000000000003</v>
      </c>
      <c r="BF8" s="476">
        <f>VLOOKUP(A8,year2022to23,245,FALSE)</f>
        <v>0</v>
      </c>
      <c r="BG8" s="482">
        <f>SUM(BD8:BF8)</f>
        <v>151.68</v>
      </c>
    </row>
    <row r="9" spans="1:59" x14ac:dyDescent="0.25">
      <c r="A9" s="1">
        <v>14</v>
      </c>
      <c r="B9" s="1">
        <v>41.6</v>
      </c>
      <c r="C9" s="1">
        <f>VLOOKUP(A9,ffbbudgettwofive,18,FALSE)</f>
        <v>87</v>
      </c>
      <c r="D9" s="1">
        <f>VLOOKUP(A9,harvestinground,5,FALSE)</f>
        <v>45.839999999999996</v>
      </c>
      <c r="E9" s="1">
        <f>VLOOKUP(A9,harvestinground,6,FALSE)</f>
        <v>0</v>
      </c>
      <c r="F9" s="1">
        <f>VLOOKUP(A9,harvestinground,7,FALSE)</f>
        <v>0</v>
      </c>
      <c r="G9" s="1">
        <f>SUM(D9:F9)</f>
        <v>45.839999999999996</v>
      </c>
      <c r="H9" s="1"/>
      <c r="I9" s="1">
        <f>VLOOKUP(A9,manday,34,FALSE)</f>
        <v>45</v>
      </c>
      <c r="J9" s="12">
        <f>G9/I9</f>
        <v>1.0186666666666666</v>
      </c>
      <c r="L9" s="93">
        <f>VLOOKUP(A9,year2022to23,188,FALSE)</f>
        <v>49.21</v>
      </c>
      <c r="M9" s="93">
        <f>VLOOKUP(A9,year2022to23,189,FALSE)</f>
        <v>3.66</v>
      </c>
      <c r="N9" s="476">
        <f>VLOOKUP(A9,year2022to23,190,FALSE)</f>
        <v>0</v>
      </c>
      <c r="O9" s="480">
        <f>SUM(L9:N9)</f>
        <v>52.870000000000005</v>
      </c>
      <c r="P9" s="478">
        <f>VLOOKUP(A9,year2022to23,193,FALSE)</f>
        <v>15.54</v>
      </c>
      <c r="Q9" s="93">
        <f>VLOOKUP(A9,year2022to23,194,FALSE)</f>
        <v>23.28</v>
      </c>
      <c r="R9" s="476">
        <f>VLOOKUP(A9,year2022to23,195,FALSE)</f>
        <v>0</v>
      </c>
      <c r="S9" s="480">
        <f>SUM(P9:R9)</f>
        <v>38.82</v>
      </c>
      <c r="T9" s="478">
        <f>VLOOKUP(A9,year2022to23,198,FALSE)</f>
        <v>12.49</v>
      </c>
      <c r="U9" s="93">
        <f>VLOOKUP(A9,year2022to23,199,FALSE)</f>
        <v>6.09</v>
      </c>
      <c r="V9" s="476">
        <f>VLOOKUP(A9,year2022to23,200,FALSE)</f>
        <v>0</v>
      </c>
      <c r="W9" s="480">
        <f>SUM(T9:V9)</f>
        <v>18.579999999999998</v>
      </c>
      <c r="X9" s="478">
        <f>VLOOKUP(A9,year2022to23,203,FALSE)</f>
        <v>28.29</v>
      </c>
      <c r="Y9" s="93">
        <f>VLOOKUP(A9,year2022to23,204,FALSE)</f>
        <v>19.72</v>
      </c>
      <c r="Z9" s="476">
        <f>VLOOKUP(A9,year2022to23,205,FALSE)</f>
        <v>0</v>
      </c>
      <c r="AA9" s="480">
        <f>SUM(X9:Z9)</f>
        <v>48.01</v>
      </c>
      <c r="AB9" s="478">
        <f>VLOOKUP(A9,year2022to23,208,FALSE)</f>
        <v>44.78</v>
      </c>
      <c r="AC9" s="93">
        <f>VLOOKUP(A9,year2022to23,209,FALSE)</f>
        <v>26.98</v>
      </c>
      <c r="AD9" s="476">
        <f>VLOOKUP(A9,year2022to23,210,FALSE)</f>
        <v>0</v>
      </c>
      <c r="AE9" s="480">
        <f>SUM(AB9:AD9)</f>
        <v>71.760000000000005</v>
      </c>
      <c r="AF9" s="478">
        <f>VLOOKUP(A9,year2022to23,213,FALSE)</f>
        <v>25.46</v>
      </c>
      <c r="AG9" s="93">
        <f>VLOOKUP(A9,year2022to23,214,FALSE)</f>
        <v>15.82</v>
      </c>
      <c r="AH9" s="476">
        <f>VLOOKUP(A9,year2022to23,215,FALSE)</f>
        <v>0</v>
      </c>
      <c r="AI9" s="480">
        <f>SUM(AF9:AH9)</f>
        <v>41.28</v>
      </c>
      <c r="AJ9" s="478">
        <f>VLOOKUP(A9,year2022to23,218,FALSE)</f>
        <v>41.1</v>
      </c>
      <c r="AK9" s="93">
        <f>VLOOKUP(A9,year2022to23,219,FALSE)</f>
        <v>11.93</v>
      </c>
      <c r="AL9" s="476">
        <f>VLOOKUP(A9,year2022to23,220,FALSE)</f>
        <v>0</v>
      </c>
      <c r="AM9" s="480">
        <f>SUM(AJ9:AL9)</f>
        <v>53.03</v>
      </c>
      <c r="AN9" s="478">
        <f>VLOOKUP(A9,year2022to23,223,FALSE)</f>
        <v>87.25</v>
      </c>
      <c r="AO9" s="93">
        <f>VLOOKUP(A9,year2022to23,224,FALSE)</f>
        <v>17.93</v>
      </c>
      <c r="AP9" s="476">
        <f>VLOOKUP(A9,year2022to23,225,FALSE)</f>
        <v>0</v>
      </c>
      <c r="AQ9" s="480">
        <f>SUM(AN9:AP9)</f>
        <v>105.18</v>
      </c>
      <c r="AR9" s="478">
        <f>VLOOKUP(A9,year2022to23,228,FALSE)</f>
        <v>3.62</v>
      </c>
      <c r="AS9" s="93">
        <f>VLOOKUP(A9,year2022to23,229,FALSE)</f>
        <v>46.62</v>
      </c>
      <c r="AT9" s="476">
        <f>VLOOKUP(A9,year2022to23,230,FALSE)</f>
        <v>34.22</v>
      </c>
      <c r="AU9" s="482">
        <f>SUM(AR9:AT9)</f>
        <v>84.46</v>
      </c>
      <c r="AV9" s="478">
        <f>VLOOKUP(A9,year2022to23,233,FALSE)</f>
        <v>32.299999999999997</v>
      </c>
      <c r="AW9" s="93">
        <f>VLOOKUP(A9,year2022to23,234,FALSE)</f>
        <v>63.89</v>
      </c>
      <c r="AX9" s="476">
        <f>VLOOKUP(A9,year2022to23,235,FALSE)</f>
        <v>0</v>
      </c>
      <c r="AY9" s="482">
        <f>SUM(AV9:AX9)</f>
        <v>96.19</v>
      </c>
      <c r="AZ9" s="478">
        <f>VLOOKUP(A9,year2022to23,238,FALSE)</f>
        <v>31.495999999999999</v>
      </c>
      <c r="BA9" s="93">
        <f>VLOOKUP(A9,year2022to23,239,FALSE)</f>
        <v>27.1</v>
      </c>
      <c r="BB9" s="476">
        <f>VLOOKUP(A9,year2022to23,240,FALSE)</f>
        <v>0</v>
      </c>
      <c r="BC9" s="482">
        <f>SUM(AZ9:BB9)</f>
        <v>58.596000000000004</v>
      </c>
      <c r="BD9" s="478">
        <f>VLOOKUP(A9,year2022to23,243,FALSE)</f>
        <v>59.76</v>
      </c>
      <c r="BE9" s="93">
        <f>VLOOKUP(A9,year2022to23,244,FALSE)</f>
        <v>34.15</v>
      </c>
      <c r="BF9" s="476">
        <f>VLOOKUP(A9,year2022to23,245,FALSE)</f>
        <v>0</v>
      </c>
      <c r="BG9" s="482">
        <f>SUM(BD9:BF9)</f>
        <v>93.91</v>
      </c>
    </row>
    <row r="10" spans="1:59" s="6" customFormat="1" ht="15.75" thickBot="1" x14ac:dyDescent="0.3">
      <c r="B10" s="6">
        <f t="shared" ref="B10:G10" si="0">SUM(B7:B9)</f>
        <v>164</v>
      </c>
      <c r="C10" s="6">
        <f t="shared" si="0"/>
        <v>331</v>
      </c>
      <c r="D10" s="6">
        <f t="shared" si="0"/>
        <v>106.52</v>
      </c>
      <c r="E10" s="6">
        <f t="shared" si="0"/>
        <v>125.98</v>
      </c>
      <c r="F10" s="6">
        <f t="shared" si="0"/>
        <v>0</v>
      </c>
      <c r="G10" s="6">
        <f t="shared" si="0"/>
        <v>232.5</v>
      </c>
      <c r="I10" s="6">
        <f>SUM(I7:I9)</f>
        <v>210</v>
      </c>
      <c r="L10" s="472">
        <f t="shared" ref="L10:BG10" si="1">SUM(L7:L9)</f>
        <v>110.02000000000001</v>
      </c>
      <c r="M10" s="472">
        <f t="shared" si="1"/>
        <v>51.03</v>
      </c>
      <c r="N10" s="472">
        <f t="shared" si="1"/>
        <v>0</v>
      </c>
      <c r="O10" s="481">
        <f t="shared" si="1"/>
        <v>161.05000000000001</v>
      </c>
      <c r="P10" s="472">
        <f t="shared" si="1"/>
        <v>45.07</v>
      </c>
      <c r="Q10" s="472">
        <f t="shared" si="1"/>
        <v>71.8</v>
      </c>
      <c r="R10" s="472">
        <f t="shared" si="1"/>
        <v>0</v>
      </c>
      <c r="S10" s="481">
        <f t="shared" si="1"/>
        <v>116.87</v>
      </c>
      <c r="T10" s="472">
        <f t="shared" si="1"/>
        <v>40.36</v>
      </c>
      <c r="U10" s="472">
        <f t="shared" si="1"/>
        <v>16.829999999999998</v>
      </c>
      <c r="V10" s="472">
        <f t="shared" si="1"/>
        <v>4.54</v>
      </c>
      <c r="W10" s="481">
        <f t="shared" si="1"/>
        <v>61.730000000000004</v>
      </c>
      <c r="X10" s="472">
        <f t="shared" si="1"/>
        <v>82.759999999999991</v>
      </c>
      <c r="Y10" s="472">
        <f t="shared" si="1"/>
        <v>49.12</v>
      </c>
      <c r="Z10" s="472">
        <f t="shared" si="1"/>
        <v>0</v>
      </c>
      <c r="AA10" s="481">
        <f t="shared" si="1"/>
        <v>131.88</v>
      </c>
      <c r="AB10" s="472">
        <f t="shared" si="1"/>
        <v>140.29</v>
      </c>
      <c r="AC10" s="472">
        <f t="shared" si="1"/>
        <v>50.93</v>
      </c>
      <c r="AD10" s="472">
        <f t="shared" si="1"/>
        <v>0</v>
      </c>
      <c r="AE10" s="481">
        <f t="shared" si="1"/>
        <v>191.22</v>
      </c>
      <c r="AF10" s="472">
        <f t="shared" si="1"/>
        <v>113.27000000000001</v>
      </c>
      <c r="AG10" s="472">
        <f t="shared" si="1"/>
        <v>39.71</v>
      </c>
      <c r="AH10" s="472">
        <f t="shared" si="1"/>
        <v>0</v>
      </c>
      <c r="AI10" s="481">
        <f t="shared" si="1"/>
        <v>152.98000000000002</v>
      </c>
      <c r="AJ10" s="472">
        <f t="shared" si="1"/>
        <v>118.88999999999999</v>
      </c>
      <c r="AK10" s="472">
        <f t="shared" si="1"/>
        <v>44.330000000000005</v>
      </c>
      <c r="AL10" s="472">
        <f t="shared" si="1"/>
        <v>0</v>
      </c>
      <c r="AM10" s="481">
        <f t="shared" si="1"/>
        <v>163.22</v>
      </c>
      <c r="AN10" s="472">
        <f t="shared" si="1"/>
        <v>202.94</v>
      </c>
      <c r="AO10" s="472">
        <f t="shared" si="1"/>
        <v>82.43</v>
      </c>
      <c r="AP10" s="472">
        <f t="shared" si="1"/>
        <v>0</v>
      </c>
      <c r="AQ10" s="481">
        <f t="shared" si="1"/>
        <v>285.37</v>
      </c>
      <c r="AR10" s="472">
        <f t="shared" si="1"/>
        <v>82</v>
      </c>
      <c r="AS10" s="472">
        <f t="shared" si="1"/>
        <v>113.28</v>
      </c>
      <c r="AT10" s="472">
        <f t="shared" si="1"/>
        <v>34.22</v>
      </c>
      <c r="AU10" s="481">
        <f t="shared" si="1"/>
        <v>229.5</v>
      </c>
      <c r="AV10" s="472">
        <f t="shared" si="1"/>
        <v>231.67000000000002</v>
      </c>
      <c r="AW10" s="472">
        <f t="shared" si="1"/>
        <v>119.69</v>
      </c>
      <c r="AX10" s="472">
        <f t="shared" si="1"/>
        <v>0</v>
      </c>
      <c r="AY10" s="481">
        <f t="shared" si="1"/>
        <v>351.36</v>
      </c>
      <c r="AZ10" s="472">
        <f t="shared" si="1"/>
        <v>95.915999999999997</v>
      </c>
      <c r="BA10" s="472">
        <f t="shared" si="1"/>
        <v>74.25</v>
      </c>
      <c r="BB10" s="472">
        <f t="shared" si="1"/>
        <v>53.889999999999993</v>
      </c>
      <c r="BC10" s="481">
        <f t="shared" si="1"/>
        <v>224.05599999999998</v>
      </c>
      <c r="BD10" s="472">
        <f t="shared" si="1"/>
        <v>236.74</v>
      </c>
      <c r="BE10" s="472">
        <f t="shared" si="1"/>
        <v>90.92</v>
      </c>
      <c r="BF10" s="472">
        <f t="shared" si="1"/>
        <v>0</v>
      </c>
      <c r="BG10" s="481">
        <f t="shared" si="1"/>
        <v>327.65999999999997</v>
      </c>
    </row>
    <row r="11" spans="1:59" ht="15.75" thickBot="1" x14ac:dyDescent="0.3"/>
    <row r="12" spans="1:59" ht="30" x14ac:dyDescent="0.25">
      <c r="J12" s="197" t="s">
        <v>108</v>
      </c>
    </row>
    <row r="13" spans="1:59" ht="15.75" thickBot="1" x14ac:dyDescent="0.3">
      <c r="J13" s="198">
        <f>G10/(D3-D4)</f>
        <v>25.833333333333332</v>
      </c>
    </row>
    <row r="15" spans="1:59" ht="15.75" thickBot="1" x14ac:dyDescent="0.3"/>
    <row r="16" spans="1:59" ht="30" x14ac:dyDescent="0.25">
      <c r="J16" s="197" t="s">
        <v>107</v>
      </c>
    </row>
    <row r="17" spans="2:10" ht="15.75" thickBot="1" x14ac:dyDescent="0.3">
      <c r="J17" s="198">
        <f>B10/(D3-D4)</f>
        <v>18.222222222222221</v>
      </c>
    </row>
    <row r="19" spans="2:10" ht="15.75" thickBot="1" x14ac:dyDescent="0.3"/>
    <row r="20" spans="2:10" ht="60" x14ac:dyDescent="0.25">
      <c r="J20" s="197" t="s">
        <v>111</v>
      </c>
    </row>
    <row r="21" spans="2:10" ht="15.75" thickBot="1" x14ac:dyDescent="0.3">
      <c r="J21" s="198" t="str">
        <f>J17/J17&amp;":"&amp;ROUND(J13/J17,2)</f>
        <v>1:1.42</v>
      </c>
    </row>
    <row r="24" spans="2:10" x14ac:dyDescent="0.25">
      <c r="B24" t="s">
        <v>113</v>
      </c>
    </row>
    <row r="25" spans="2:10" x14ac:dyDescent="0.25">
      <c r="B25" t="s">
        <v>114</v>
      </c>
    </row>
    <row r="26" spans="2:10" x14ac:dyDescent="0.25">
      <c r="B26" t="s">
        <v>115</v>
      </c>
    </row>
    <row r="55" spans="5:8" ht="75" x14ac:dyDescent="0.25">
      <c r="E55" s="586" t="s">
        <v>209</v>
      </c>
      <c r="H55" t="s">
        <v>210</v>
      </c>
    </row>
    <row r="105" spans="5:8" ht="375" x14ac:dyDescent="0.25">
      <c r="E105" s="586" t="s">
        <v>211</v>
      </c>
      <c r="H105" s="586" t="s">
        <v>212</v>
      </c>
    </row>
  </sheetData>
  <mergeCells count="12">
    <mergeCell ref="BD5:BG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</mergeCells>
  <conditionalFormatting sqref="G7:G9">
    <cfRule type="expression" dxfId="146" priority="7">
      <formula>G7&gt;C7</formula>
    </cfRule>
    <cfRule type="expression" dxfId="145" priority="8">
      <formula>G7&lt;C7</formula>
    </cfRule>
  </conditionalFormatting>
  <conditionalFormatting sqref="O7:O9 S7:S9 W7:W9 AA7:AA9 AE7:AE9 AI7:AI9 AM7:AM9 AQ7:AQ9 AU7:AU9 AY7:AY9 BC7:BC9 BG7:BG9">
    <cfRule type="expression" dxfId="144" priority="1">
      <formula>O7&gt;#REF!</formula>
    </cfRule>
    <cfRule type="expression" dxfId="143" priority="2">
      <formula>O7&lt;#REF!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11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BC47-56DF-45D7-A7B9-21AE3141F103}">
  <dimension ref="A1:BG105"/>
  <sheetViews>
    <sheetView view="pageBreakPreview" zoomScaleNormal="100" zoomScaleSheetLayoutView="100" workbookViewId="0">
      <selection activeCell="O23" sqref="O23"/>
    </sheetView>
  </sheetViews>
  <sheetFormatPr defaultRowHeight="15" x14ac:dyDescent="0.25"/>
  <cols>
    <col min="8" max="8" width="0.5703125" customWidth="1"/>
    <col min="10" max="10" width="9.140625" style="8"/>
  </cols>
  <sheetData>
    <row r="1" spans="1:59" s="5" customFormat="1" x14ac:dyDescent="0.25">
      <c r="A1" s="5" t="str">
        <f>'HARVESTING ROUND'!A1</f>
        <v>HARVESTER PERFORMANCE CHART FOR THE MONTH OF DEC 2025 (1ST - 31ST)</v>
      </c>
      <c r="J1" s="195"/>
      <c r="K1" s="5" t="str">
        <f>'HARVESTING ROUND'!H1</f>
        <v>HARVESTER PERFORMANCE CHART FOR THE MONTH OF SEPT 2024 (1ST - 30TH)</v>
      </c>
    </row>
    <row r="2" spans="1:59" x14ac:dyDescent="0.25">
      <c r="A2" t="s">
        <v>9</v>
      </c>
    </row>
    <row r="3" spans="1:59" x14ac:dyDescent="0.25">
      <c r="A3" t="s">
        <v>104</v>
      </c>
      <c r="D3" s="194">
        <v>17</v>
      </c>
    </row>
    <row r="4" spans="1:59" x14ac:dyDescent="0.25">
      <c r="A4" t="s">
        <v>105</v>
      </c>
      <c r="D4" s="194">
        <v>3</v>
      </c>
    </row>
    <row r="5" spans="1:59" ht="15.75" thickBot="1" x14ac:dyDescent="0.3">
      <c r="L5" s="961">
        <v>45292</v>
      </c>
      <c r="M5" s="961"/>
      <c r="N5" s="961"/>
      <c r="O5" s="962"/>
      <c r="P5" s="961">
        <v>45323</v>
      </c>
      <c r="Q5" s="961"/>
      <c r="R5" s="961"/>
      <c r="S5" s="962"/>
      <c r="T5" s="961">
        <v>45352</v>
      </c>
      <c r="U5" s="961"/>
      <c r="V5" s="961"/>
      <c r="W5" s="962"/>
      <c r="X5" s="961">
        <v>45383</v>
      </c>
      <c r="Y5" s="961"/>
      <c r="Z5" s="961"/>
      <c r="AA5" s="962"/>
      <c r="AB5" s="961">
        <v>45413</v>
      </c>
      <c r="AC5" s="961"/>
      <c r="AD5" s="961"/>
      <c r="AE5" s="962"/>
      <c r="AF5" s="961">
        <v>45444</v>
      </c>
      <c r="AG5" s="961"/>
      <c r="AH5" s="961"/>
      <c r="AI5" s="962"/>
      <c r="AJ5" s="961">
        <v>45474</v>
      </c>
      <c r="AK5" s="961"/>
      <c r="AL5" s="961"/>
      <c r="AM5" s="962"/>
      <c r="AN5" s="961">
        <v>45505</v>
      </c>
      <c r="AO5" s="961"/>
      <c r="AP5" s="961"/>
      <c r="AQ5" s="962"/>
      <c r="AR5" s="961">
        <v>45536</v>
      </c>
      <c r="AS5" s="961"/>
      <c r="AT5" s="961"/>
      <c r="AU5" s="962"/>
      <c r="AV5" s="961">
        <v>45566</v>
      </c>
      <c r="AW5" s="961"/>
      <c r="AX5" s="961"/>
      <c r="AY5" s="962"/>
      <c r="AZ5" s="961">
        <v>45597</v>
      </c>
      <c r="BA5" s="961"/>
      <c r="BB5" s="961"/>
      <c r="BC5" s="962"/>
      <c r="BD5" s="961">
        <v>45627</v>
      </c>
      <c r="BE5" s="961"/>
      <c r="BF5" s="961"/>
      <c r="BG5" s="962"/>
    </row>
    <row r="6" spans="1:59" ht="30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I6" s="2" t="s">
        <v>103</v>
      </c>
      <c r="J6" s="196" t="s">
        <v>106</v>
      </c>
      <c r="L6" s="2" t="s">
        <v>3</v>
      </c>
      <c r="M6" s="2" t="s">
        <v>4</v>
      </c>
      <c r="N6" s="475" t="s">
        <v>5</v>
      </c>
      <c r="O6" s="479" t="s">
        <v>6</v>
      </c>
      <c r="P6" s="477" t="s">
        <v>3</v>
      </c>
      <c r="Q6" s="2" t="s">
        <v>4</v>
      </c>
      <c r="R6" s="475" t="s">
        <v>5</v>
      </c>
      <c r="S6" s="479" t="s">
        <v>6</v>
      </c>
      <c r="T6" s="477" t="s">
        <v>3</v>
      </c>
      <c r="U6" s="2" t="s">
        <v>4</v>
      </c>
      <c r="V6" s="475" t="s">
        <v>5</v>
      </c>
      <c r="W6" s="479" t="s">
        <v>6</v>
      </c>
      <c r="X6" s="477" t="s">
        <v>3</v>
      </c>
      <c r="Y6" s="2" t="s">
        <v>4</v>
      </c>
      <c r="Z6" s="475" t="s">
        <v>5</v>
      </c>
      <c r="AA6" s="479" t="s">
        <v>6</v>
      </c>
      <c r="AB6" s="477" t="s">
        <v>3</v>
      </c>
      <c r="AC6" s="2" t="s">
        <v>4</v>
      </c>
      <c r="AD6" s="475" t="s">
        <v>5</v>
      </c>
      <c r="AE6" s="479" t="s">
        <v>6</v>
      </c>
      <c r="AF6" s="477" t="s">
        <v>3</v>
      </c>
      <c r="AG6" s="2" t="s">
        <v>4</v>
      </c>
      <c r="AH6" s="475" t="s">
        <v>5</v>
      </c>
      <c r="AI6" s="479" t="s">
        <v>6</v>
      </c>
      <c r="AJ6" s="477" t="s">
        <v>3</v>
      </c>
      <c r="AK6" s="2" t="s">
        <v>4</v>
      </c>
      <c r="AL6" s="475" t="s">
        <v>5</v>
      </c>
      <c r="AM6" s="479" t="s">
        <v>6</v>
      </c>
      <c r="AN6" s="477" t="s">
        <v>3</v>
      </c>
      <c r="AO6" s="2" t="s">
        <v>4</v>
      </c>
      <c r="AP6" s="475" t="s">
        <v>5</v>
      </c>
      <c r="AQ6" s="479" t="s">
        <v>6</v>
      </c>
      <c r="AR6" s="477" t="s">
        <v>3</v>
      </c>
      <c r="AS6" s="2" t="s">
        <v>4</v>
      </c>
      <c r="AT6" s="475" t="s">
        <v>5</v>
      </c>
      <c r="AU6" s="479" t="s">
        <v>6</v>
      </c>
      <c r="AV6" s="477" t="s">
        <v>3</v>
      </c>
      <c r="AW6" s="2" t="s">
        <v>4</v>
      </c>
      <c r="AX6" s="475" t="s">
        <v>5</v>
      </c>
      <c r="AY6" s="479" t="s">
        <v>6</v>
      </c>
      <c r="AZ6" s="477" t="s">
        <v>3</v>
      </c>
      <c r="BA6" s="2" t="s">
        <v>4</v>
      </c>
      <c r="BB6" s="475" t="s">
        <v>5</v>
      </c>
      <c r="BC6" s="479" t="s">
        <v>6</v>
      </c>
      <c r="BD6" s="477" t="s">
        <v>3</v>
      </c>
      <c r="BE6" s="2" t="s">
        <v>4</v>
      </c>
      <c r="BF6" s="475" t="s">
        <v>5</v>
      </c>
      <c r="BG6" s="479" t="s">
        <v>6</v>
      </c>
    </row>
    <row r="7" spans="1:59" x14ac:dyDescent="0.25">
      <c r="A7" s="1">
        <v>15</v>
      </c>
      <c r="B7" s="1">
        <v>49.3</v>
      </c>
      <c r="C7" s="1">
        <f t="shared" ref="C7:C13" si="0">VLOOKUP(A7,ffbbudgettwofive,18,FALSE)</f>
        <v>99</v>
      </c>
      <c r="D7" s="1">
        <f t="shared" ref="D7:D13" si="1">VLOOKUP(A7,harvestinground,5,FALSE)</f>
        <v>70.900000000000006</v>
      </c>
      <c r="E7" s="1">
        <f t="shared" ref="E7:E13" si="2">VLOOKUP(A7,harvestinground,6,FALSE)</f>
        <v>53.16</v>
      </c>
      <c r="F7" s="1">
        <f t="shared" ref="F7:F13" si="3">VLOOKUP(A7,harvestinground,7,FALSE)</f>
        <v>0</v>
      </c>
      <c r="G7" s="1">
        <f>SUM(D7:F7)</f>
        <v>124.06</v>
      </c>
      <c r="I7" s="1">
        <f t="shared" ref="I7:I13" si="4">VLOOKUP(A7,manday,34,FALSE)</f>
        <v>60</v>
      </c>
      <c r="J7" s="12">
        <f>IFERROR(G7/I7,0)</f>
        <v>2.0676666666666668</v>
      </c>
      <c r="L7" s="93">
        <f t="shared" ref="L7:L13" si="5">VLOOKUP(A7,year2022to23,188,FALSE)</f>
        <v>22.07</v>
      </c>
      <c r="M7" s="93">
        <f t="shared" ref="M7:M13" si="6">VLOOKUP(A7,year2022to23,189,FALSE)</f>
        <v>15.31</v>
      </c>
      <c r="N7" s="476">
        <f t="shared" ref="N7:N13" si="7">VLOOKUP(A7,year2022to23,190,FALSE)</f>
        <v>0</v>
      </c>
      <c r="O7" s="480">
        <f t="shared" ref="O7:O13" si="8">SUM(L7:N7)</f>
        <v>37.380000000000003</v>
      </c>
      <c r="P7" s="478">
        <f t="shared" ref="P7:P13" si="9">VLOOKUP(A7,year2022to23,193,FALSE)</f>
        <v>9.6199999999999992</v>
      </c>
      <c r="Q7" s="93">
        <f t="shared" ref="Q7:Q13" si="10">VLOOKUP(A7,year2022to23,194,FALSE)</f>
        <v>7.33</v>
      </c>
      <c r="R7" s="476">
        <f t="shared" ref="R7:R13" si="11">VLOOKUP(A7,year2022to23,195,FALSE)</f>
        <v>0</v>
      </c>
      <c r="S7" s="480">
        <f t="shared" ref="S7:S13" si="12">SUM(P7:R7)</f>
        <v>16.95</v>
      </c>
      <c r="T7" s="478">
        <f t="shared" ref="T7:T13" si="13">VLOOKUP(A7,year2022to23,198,FALSE)</f>
        <v>8.48</v>
      </c>
      <c r="U7" s="93">
        <f t="shared" ref="U7:U13" si="14">VLOOKUP(A7,year2022to23,199,FALSE)</f>
        <v>4.96</v>
      </c>
      <c r="V7" s="476">
        <f t="shared" ref="V7:V13" si="15">VLOOKUP(A7,year2022to23,200,FALSE)</f>
        <v>0</v>
      </c>
      <c r="W7" s="480">
        <f t="shared" ref="W7:W13" si="16">SUM(T7:V7)</f>
        <v>13.440000000000001</v>
      </c>
      <c r="X7" s="478">
        <f t="shared" ref="X7:X13" si="17">VLOOKUP(A7,year2022to23,203,FALSE)</f>
        <v>14.53</v>
      </c>
      <c r="Y7" s="93">
        <f t="shared" ref="Y7:Y13" si="18">VLOOKUP(A7,year2022to23,204,FALSE)</f>
        <v>0</v>
      </c>
      <c r="Z7" s="476">
        <f t="shared" ref="Z7:Z13" si="19">VLOOKUP(A7,year2022to23,205,FALSE)</f>
        <v>0</v>
      </c>
      <c r="AA7" s="480">
        <f t="shared" ref="AA7:AA13" si="20">SUM(X7:Z7)</f>
        <v>14.53</v>
      </c>
      <c r="AB7" s="478">
        <f t="shared" ref="AB7:AB13" si="21">VLOOKUP(A7,year2022to23,208,FALSE)</f>
        <v>7.23</v>
      </c>
      <c r="AC7" s="93">
        <f t="shared" ref="AC7:AC13" si="22">VLOOKUP(A7,year2022to23,209,FALSE)</f>
        <v>10.7</v>
      </c>
      <c r="AD7" s="476">
        <f t="shared" ref="AD7:AD13" si="23">VLOOKUP(A7,year2022to23,210,FALSE)</f>
        <v>14.57</v>
      </c>
      <c r="AE7" s="480">
        <f t="shared" ref="AE7:AE13" si="24">SUM(AB7:AD7)</f>
        <v>32.5</v>
      </c>
      <c r="AF7" s="478">
        <f t="shared" ref="AF7:AF13" si="25">VLOOKUP(A7,year2022to23,213,FALSE)</f>
        <v>26.78</v>
      </c>
      <c r="AG7" s="93">
        <f t="shared" ref="AG7:AG13" si="26">VLOOKUP(A7,year2022to23,214,FALSE)</f>
        <v>22.72</v>
      </c>
      <c r="AH7" s="476">
        <f t="shared" ref="AH7:AH13" si="27">VLOOKUP(A7,year2022to23,215,FALSE)</f>
        <v>0</v>
      </c>
      <c r="AI7" s="480">
        <f t="shared" ref="AI7:AI13" si="28">SUM(AF7:AH7)</f>
        <v>49.5</v>
      </c>
      <c r="AJ7" s="478">
        <f t="shared" ref="AJ7:AJ13" si="29">VLOOKUP(A7,year2022to23,218,FALSE)</f>
        <v>20.97</v>
      </c>
      <c r="AK7" s="93">
        <f t="shared" ref="AK7:AK13" si="30">VLOOKUP(A7,year2022to23,219,FALSE)</f>
        <v>13.11</v>
      </c>
      <c r="AL7" s="476">
        <f t="shared" ref="AL7:AL13" si="31">VLOOKUP(A7,year2022to23,220,FALSE)</f>
        <v>0</v>
      </c>
      <c r="AM7" s="480">
        <f t="shared" ref="AM7:AM13" si="32">SUM(AJ7:AL7)</f>
        <v>34.08</v>
      </c>
      <c r="AN7" s="478">
        <f t="shared" ref="AN7:AN13" si="33">VLOOKUP(A7,year2022to23,223,FALSE)</f>
        <v>34.42</v>
      </c>
      <c r="AO7" s="93">
        <f t="shared" ref="AO7:AO13" si="34">VLOOKUP(A7,year2022to23,224,FALSE)</f>
        <v>62.02</v>
      </c>
      <c r="AP7" s="476">
        <f t="shared" ref="AP7:AP13" si="35">VLOOKUP(A7,year2022to23,225,FALSE)</f>
        <v>0</v>
      </c>
      <c r="AQ7" s="480">
        <f t="shared" ref="AQ7:AQ13" si="36">SUM(AN7:AP7)</f>
        <v>96.44</v>
      </c>
      <c r="AR7" s="478">
        <f t="shared" ref="AR7:AR13" si="37">VLOOKUP(A7,year2022to23,228,FALSE)</f>
        <v>79.52</v>
      </c>
      <c r="AS7" s="93">
        <f t="shared" ref="AS7:AS13" si="38">VLOOKUP(A7,year2022to23,229,FALSE)</f>
        <v>0</v>
      </c>
      <c r="AT7" s="476">
        <f t="shared" ref="AT7:AT13" si="39">VLOOKUP(A7,year2022to23,230,FALSE)</f>
        <v>0</v>
      </c>
      <c r="AU7" s="482">
        <f t="shared" ref="AU7:AU13" si="40">SUM(AR7:AT7)</f>
        <v>79.52</v>
      </c>
      <c r="AV7" s="478">
        <f t="shared" ref="AV7:AV13" si="41">VLOOKUP(A7,year2022to23,233,FALSE)</f>
        <v>69.789999999999992</v>
      </c>
      <c r="AW7" s="93">
        <f t="shared" ref="AW7:AW13" si="42">VLOOKUP(A7,year2022to23,234,FALSE)</f>
        <v>37.229999999999997</v>
      </c>
      <c r="AX7" s="476">
        <f t="shared" ref="AX7:AX13" si="43">VLOOKUP(A7,year2022to23,235,FALSE)</f>
        <v>0</v>
      </c>
      <c r="AY7" s="482">
        <f t="shared" ref="AY7:AY13" si="44">SUM(AV7:AX7)</f>
        <v>107.01999999999998</v>
      </c>
      <c r="AZ7" s="478">
        <f t="shared" ref="AZ7:AZ13" si="45">VLOOKUP(A7,year2022to23,238,FALSE)</f>
        <v>46.04</v>
      </c>
      <c r="BA7" s="93">
        <f t="shared" ref="BA7:BA13" si="46">VLOOKUP(A7,year2022to23,239,FALSE)</f>
        <v>31.87</v>
      </c>
      <c r="BB7" s="476">
        <f t="shared" ref="BB7:BB13" si="47">VLOOKUP(A7,year2022to23,240,FALSE)</f>
        <v>0</v>
      </c>
      <c r="BC7" s="482">
        <f t="shared" ref="BC7:BC13" si="48">SUM(AZ7:BB7)</f>
        <v>77.91</v>
      </c>
      <c r="BD7" s="478">
        <f t="shared" ref="BD7:BD13" si="49">VLOOKUP(A7,year2022to23,243,FALSE)</f>
        <v>34.21</v>
      </c>
      <c r="BE7" s="93">
        <f t="shared" ref="BE7:BE13" si="50">VLOOKUP(A7,year2022to23,244,FALSE)</f>
        <v>26.28</v>
      </c>
      <c r="BF7" s="476">
        <f t="shared" ref="BF7:BF13" si="51">VLOOKUP(A7,year2022to23,245,FALSE)</f>
        <v>0</v>
      </c>
      <c r="BG7" s="482">
        <f t="shared" ref="BG7:BG13" si="52">SUM(BD7:BF7)</f>
        <v>60.49</v>
      </c>
    </row>
    <row r="8" spans="1:59" x14ac:dyDescent="0.25">
      <c r="A8" s="1">
        <v>16</v>
      </c>
      <c r="B8" s="1">
        <v>53.2</v>
      </c>
      <c r="C8" s="1">
        <f t="shared" si="0"/>
        <v>106</v>
      </c>
      <c r="D8" s="1">
        <f t="shared" si="1"/>
        <v>53.38</v>
      </c>
      <c r="E8" s="1">
        <f t="shared" si="2"/>
        <v>58.28</v>
      </c>
      <c r="F8" s="1">
        <f t="shared" si="3"/>
        <v>0</v>
      </c>
      <c r="G8" s="1">
        <f t="shared" ref="G8:G13" si="53">SUM(D8:F8)</f>
        <v>111.66</v>
      </c>
      <c r="I8" s="1">
        <f t="shared" si="4"/>
        <v>60</v>
      </c>
      <c r="J8" s="12">
        <f t="shared" ref="J8:J13" si="54">IFERROR(G8/I8,0)</f>
        <v>1.861</v>
      </c>
      <c r="L8" s="93">
        <f t="shared" si="5"/>
        <v>24.88</v>
      </c>
      <c r="M8" s="93">
        <f t="shared" si="6"/>
        <v>23.45</v>
      </c>
      <c r="N8" s="476">
        <f t="shared" si="7"/>
        <v>0</v>
      </c>
      <c r="O8" s="480">
        <f t="shared" si="8"/>
        <v>48.33</v>
      </c>
      <c r="P8" s="478">
        <f t="shared" si="9"/>
        <v>20.88</v>
      </c>
      <c r="Q8" s="93">
        <f t="shared" si="10"/>
        <v>13.31</v>
      </c>
      <c r="R8" s="476">
        <f t="shared" si="11"/>
        <v>0</v>
      </c>
      <c r="S8" s="480">
        <f t="shared" si="12"/>
        <v>34.19</v>
      </c>
      <c r="T8" s="478">
        <f t="shared" si="13"/>
        <v>12.31</v>
      </c>
      <c r="U8" s="93">
        <f t="shared" si="14"/>
        <v>11.32</v>
      </c>
      <c r="V8" s="476">
        <f t="shared" si="15"/>
        <v>0</v>
      </c>
      <c r="W8" s="480">
        <f t="shared" si="16"/>
        <v>23.630000000000003</v>
      </c>
      <c r="X8" s="478">
        <f t="shared" si="17"/>
        <v>32.729999999999997</v>
      </c>
      <c r="Y8" s="93">
        <f t="shared" si="18"/>
        <v>22.68</v>
      </c>
      <c r="Z8" s="476">
        <f t="shared" si="19"/>
        <v>0</v>
      </c>
      <c r="AA8" s="480">
        <f t="shared" si="20"/>
        <v>55.41</v>
      </c>
      <c r="AB8" s="478">
        <f t="shared" si="21"/>
        <v>20.99</v>
      </c>
      <c r="AC8" s="93">
        <f t="shared" si="22"/>
        <v>19.54</v>
      </c>
      <c r="AD8" s="476">
        <f t="shared" si="23"/>
        <v>0</v>
      </c>
      <c r="AE8" s="480">
        <f t="shared" si="24"/>
        <v>40.53</v>
      </c>
      <c r="AF8" s="478">
        <f t="shared" si="25"/>
        <v>30.08</v>
      </c>
      <c r="AG8" s="93">
        <f t="shared" si="26"/>
        <v>38.6</v>
      </c>
      <c r="AH8" s="476">
        <f t="shared" si="27"/>
        <v>0</v>
      </c>
      <c r="AI8" s="480">
        <f t="shared" si="28"/>
        <v>68.680000000000007</v>
      </c>
      <c r="AJ8" s="478">
        <f t="shared" si="29"/>
        <v>34.64</v>
      </c>
      <c r="AK8" s="93">
        <f t="shared" si="30"/>
        <v>33.57</v>
      </c>
      <c r="AL8" s="476">
        <f t="shared" si="31"/>
        <v>0</v>
      </c>
      <c r="AM8" s="480">
        <f t="shared" si="32"/>
        <v>68.210000000000008</v>
      </c>
      <c r="AN8" s="478">
        <f t="shared" si="33"/>
        <v>40.1</v>
      </c>
      <c r="AO8" s="93">
        <f t="shared" si="34"/>
        <v>75.62</v>
      </c>
      <c r="AP8" s="476">
        <f t="shared" si="35"/>
        <v>0</v>
      </c>
      <c r="AQ8" s="480">
        <f t="shared" si="36"/>
        <v>115.72</v>
      </c>
      <c r="AR8" s="478">
        <f t="shared" si="37"/>
        <v>88.25</v>
      </c>
      <c r="AS8" s="93">
        <f t="shared" si="38"/>
        <v>0</v>
      </c>
      <c r="AT8" s="476">
        <f t="shared" si="39"/>
        <v>0</v>
      </c>
      <c r="AU8" s="482">
        <f t="shared" si="40"/>
        <v>88.25</v>
      </c>
      <c r="AV8" s="478">
        <f t="shared" si="41"/>
        <v>76.39</v>
      </c>
      <c r="AW8" s="93">
        <f t="shared" si="42"/>
        <v>39.22</v>
      </c>
      <c r="AX8" s="476">
        <f t="shared" si="43"/>
        <v>0</v>
      </c>
      <c r="AY8" s="482">
        <f t="shared" si="44"/>
        <v>115.61</v>
      </c>
      <c r="AZ8" s="478">
        <f t="shared" si="45"/>
        <v>51.38</v>
      </c>
      <c r="BA8" s="93">
        <f t="shared" si="46"/>
        <v>39.630000000000003</v>
      </c>
      <c r="BB8" s="476">
        <f t="shared" si="47"/>
        <v>0</v>
      </c>
      <c r="BC8" s="482">
        <f t="shared" si="48"/>
        <v>91.01</v>
      </c>
      <c r="BD8" s="478">
        <f t="shared" si="49"/>
        <v>28.6</v>
      </c>
      <c r="BE8" s="93">
        <f t="shared" si="50"/>
        <v>27.35</v>
      </c>
      <c r="BF8" s="476">
        <f t="shared" si="51"/>
        <v>31.71</v>
      </c>
      <c r="BG8" s="482">
        <f t="shared" si="52"/>
        <v>87.66</v>
      </c>
    </row>
    <row r="9" spans="1:59" x14ac:dyDescent="0.25">
      <c r="A9" s="1">
        <v>17</v>
      </c>
      <c r="B9" s="1">
        <v>45.7</v>
      </c>
      <c r="C9" s="1">
        <f t="shared" si="0"/>
        <v>101</v>
      </c>
      <c r="D9" s="1">
        <f t="shared" si="1"/>
        <v>43.17</v>
      </c>
      <c r="E9" s="1">
        <f t="shared" si="2"/>
        <v>0</v>
      </c>
      <c r="F9" s="1">
        <f t="shared" si="3"/>
        <v>0</v>
      </c>
      <c r="G9" s="1">
        <f t="shared" si="53"/>
        <v>43.17</v>
      </c>
      <c r="H9" s="2"/>
      <c r="I9" s="1">
        <f t="shared" si="4"/>
        <v>26</v>
      </c>
      <c r="J9" s="12">
        <f t="shared" si="54"/>
        <v>1.6603846153846153</v>
      </c>
      <c r="L9" s="93">
        <f t="shared" si="5"/>
        <v>25.52</v>
      </c>
      <c r="M9" s="93">
        <f t="shared" si="6"/>
        <v>20.25</v>
      </c>
      <c r="N9" s="476">
        <f t="shared" si="7"/>
        <v>0</v>
      </c>
      <c r="O9" s="480">
        <f t="shared" si="8"/>
        <v>45.769999999999996</v>
      </c>
      <c r="P9" s="478">
        <f t="shared" si="9"/>
        <v>16</v>
      </c>
      <c r="Q9" s="93">
        <f t="shared" si="10"/>
        <v>10.55</v>
      </c>
      <c r="R9" s="476">
        <f t="shared" si="11"/>
        <v>0</v>
      </c>
      <c r="S9" s="480">
        <f t="shared" si="12"/>
        <v>26.55</v>
      </c>
      <c r="T9" s="478">
        <f t="shared" si="13"/>
        <v>13.09</v>
      </c>
      <c r="U9" s="93">
        <f t="shared" si="14"/>
        <v>8.3699999999999992</v>
      </c>
      <c r="V9" s="476">
        <f t="shared" si="15"/>
        <v>0</v>
      </c>
      <c r="W9" s="480">
        <f t="shared" si="16"/>
        <v>21.46</v>
      </c>
      <c r="X9" s="478">
        <f t="shared" si="17"/>
        <v>22.98</v>
      </c>
      <c r="Y9" s="93">
        <f t="shared" si="18"/>
        <v>34.08</v>
      </c>
      <c r="Z9" s="476">
        <f t="shared" si="19"/>
        <v>0</v>
      </c>
      <c r="AA9" s="480">
        <f t="shared" si="20"/>
        <v>57.06</v>
      </c>
      <c r="AB9" s="478">
        <f t="shared" si="21"/>
        <v>29.02</v>
      </c>
      <c r="AC9" s="93">
        <f t="shared" si="22"/>
        <v>28</v>
      </c>
      <c r="AD9" s="476">
        <f t="shared" si="23"/>
        <v>0</v>
      </c>
      <c r="AE9" s="480">
        <f t="shared" si="24"/>
        <v>57.019999999999996</v>
      </c>
      <c r="AF9" s="478">
        <f t="shared" si="25"/>
        <v>27.28</v>
      </c>
      <c r="AG9" s="93">
        <f t="shared" si="26"/>
        <v>32.26</v>
      </c>
      <c r="AH9" s="476">
        <f t="shared" si="27"/>
        <v>0</v>
      </c>
      <c r="AI9" s="480">
        <f t="shared" si="28"/>
        <v>59.54</v>
      </c>
      <c r="AJ9" s="478">
        <f t="shared" si="29"/>
        <v>33.229999999999997</v>
      </c>
      <c r="AK9" s="93">
        <f t="shared" si="30"/>
        <v>29.44</v>
      </c>
      <c r="AL9" s="476">
        <f t="shared" si="31"/>
        <v>0</v>
      </c>
      <c r="AM9" s="480">
        <f t="shared" si="32"/>
        <v>62.67</v>
      </c>
      <c r="AN9" s="478">
        <f t="shared" si="33"/>
        <v>40.450000000000003</v>
      </c>
      <c r="AO9" s="93">
        <f t="shared" si="34"/>
        <v>73.62</v>
      </c>
      <c r="AP9" s="476">
        <f t="shared" si="35"/>
        <v>0</v>
      </c>
      <c r="AQ9" s="480">
        <f t="shared" si="36"/>
        <v>114.07000000000001</v>
      </c>
      <c r="AR9" s="478">
        <f t="shared" si="37"/>
        <v>78.14</v>
      </c>
      <c r="AS9" s="93">
        <f t="shared" si="38"/>
        <v>0</v>
      </c>
      <c r="AT9" s="476">
        <f t="shared" si="39"/>
        <v>0</v>
      </c>
      <c r="AU9" s="482">
        <f t="shared" si="40"/>
        <v>78.14</v>
      </c>
      <c r="AV9" s="478">
        <f t="shared" si="41"/>
        <v>74.97</v>
      </c>
      <c r="AW9" s="93">
        <f t="shared" si="42"/>
        <v>45.7</v>
      </c>
      <c r="AX9" s="476">
        <f t="shared" si="43"/>
        <v>0</v>
      </c>
      <c r="AY9" s="482">
        <f t="shared" si="44"/>
        <v>120.67</v>
      </c>
      <c r="AZ9" s="478">
        <f t="shared" si="45"/>
        <v>44.69</v>
      </c>
      <c r="BA9" s="93">
        <f t="shared" si="46"/>
        <v>30.02</v>
      </c>
      <c r="BB9" s="476">
        <f t="shared" si="47"/>
        <v>0</v>
      </c>
      <c r="BC9" s="482">
        <f t="shared" si="48"/>
        <v>74.709999999999994</v>
      </c>
      <c r="BD9" s="478">
        <f t="shared" si="49"/>
        <v>28.85</v>
      </c>
      <c r="BE9" s="93">
        <f t="shared" si="50"/>
        <v>35.46</v>
      </c>
      <c r="BF9" s="476">
        <f t="shared" si="51"/>
        <v>32.58</v>
      </c>
      <c r="BG9" s="482">
        <f t="shared" si="52"/>
        <v>96.89</v>
      </c>
    </row>
    <row r="10" spans="1:59" x14ac:dyDescent="0.25">
      <c r="A10" s="1">
        <v>19</v>
      </c>
      <c r="B10" s="1">
        <v>50.62</v>
      </c>
      <c r="C10" s="1">
        <f t="shared" si="0"/>
        <v>106</v>
      </c>
      <c r="D10" s="1">
        <f t="shared" si="1"/>
        <v>56.22</v>
      </c>
      <c r="E10" s="1">
        <f t="shared" si="2"/>
        <v>33.75</v>
      </c>
      <c r="F10" s="1">
        <f t="shared" si="3"/>
        <v>0</v>
      </c>
      <c r="G10" s="1">
        <f t="shared" si="53"/>
        <v>89.97</v>
      </c>
      <c r="H10" s="1"/>
      <c r="I10" s="1">
        <f t="shared" si="4"/>
        <v>52</v>
      </c>
      <c r="J10" s="12">
        <f t="shared" si="54"/>
        <v>1.7301923076923076</v>
      </c>
      <c r="L10" s="93">
        <f t="shared" si="5"/>
        <v>27.52</v>
      </c>
      <c r="M10" s="93">
        <f t="shared" si="6"/>
        <v>20.74</v>
      </c>
      <c r="N10" s="476">
        <f t="shared" si="7"/>
        <v>0</v>
      </c>
      <c r="O10" s="480">
        <f t="shared" si="8"/>
        <v>48.26</v>
      </c>
      <c r="P10" s="478">
        <f t="shared" si="9"/>
        <v>15.06</v>
      </c>
      <c r="Q10" s="93">
        <f t="shared" si="10"/>
        <v>11</v>
      </c>
      <c r="R10" s="476">
        <f t="shared" si="11"/>
        <v>0</v>
      </c>
      <c r="S10" s="480">
        <f t="shared" si="12"/>
        <v>26.060000000000002</v>
      </c>
      <c r="T10" s="478">
        <f t="shared" si="13"/>
        <v>11.64</v>
      </c>
      <c r="U10" s="93">
        <f t="shared" si="14"/>
        <v>8.18</v>
      </c>
      <c r="V10" s="476">
        <f t="shared" si="15"/>
        <v>7.52</v>
      </c>
      <c r="W10" s="480">
        <f t="shared" si="16"/>
        <v>27.34</v>
      </c>
      <c r="X10" s="478">
        <f t="shared" si="17"/>
        <v>37.159999999999997</v>
      </c>
      <c r="Y10" s="93">
        <f t="shared" si="18"/>
        <v>0</v>
      </c>
      <c r="Z10" s="476">
        <f t="shared" si="19"/>
        <v>0</v>
      </c>
      <c r="AA10" s="480">
        <f t="shared" si="20"/>
        <v>37.159999999999997</v>
      </c>
      <c r="AB10" s="478">
        <f t="shared" si="21"/>
        <v>19.32</v>
      </c>
      <c r="AC10" s="93">
        <f t="shared" si="22"/>
        <v>19.190000000000001</v>
      </c>
      <c r="AD10" s="476">
        <f t="shared" si="23"/>
        <v>20.010000000000002</v>
      </c>
      <c r="AE10" s="480">
        <f t="shared" si="24"/>
        <v>58.52000000000001</v>
      </c>
      <c r="AF10" s="478">
        <f t="shared" si="25"/>
        <v>4.3499999999999996</v>
      </c>
      <c r="AG10" s="93">
        <f t="shared" si="26"/>
        <v>19.75</v>
      </c>
      <c r="AH10" s="476">
        <f t="shared" si="27"/>
        <v>27.34</v>
      </c>
      <c r="AI10" s="480">
        <f t="shared" si="28"/>
        <v>51.44</v>
      </c>
      <c r="AJ10" s="478">
        <f t="shared" si="29"/>
        <v>25.51</v>
      </c>
      <c r="AK10" s="93">
        <f t="shared" si="30"/>
        <v>14.72</v>
      </c>
      <c r="AL10" s="476">
        <f t="shared" si="31"/>
        <v>0</v>
      </c>
      <c r="AM10" s="480">
        <f t="shared" si="32"/>
        <v>40.230000000000004</v>
      </c>
      <c r="AN10" s="478">
        <f t="shared" si="33"/>
        <v>68.5</v>
      </c>
      <c r="AO10" s="93">
        <f t="shared" si="34"/>
        <v>0</v>
      </c>
      <c r="AP10" s="476">
        <f t="shared" si="35"/>
        <v>0</v>
      </c>
      <c r="AQ10" s="480">
        <f t="shared" si="36"/>
        <v>68.5</v>
      </c>
      <c r="AR10" s="478">
        <f t="shared" si="37"/>
        <v>87.75</v>
      </c>
      <c r="AS10" s="93">
        <f t="shared" si="38"/>
        <v>87.18</v>
      </c>
      <c r="AT10" s="476">
        <f t="shared" si="39"/>
        <v>0</v>
      </c>
      <c r="AU10" s="482">
        <f t="shared" si="40"/>
        <v>174.93</v>
      </c>
      <c r="AV10" s="478">
        <f t="shared" si="41"/>
        <v>61.76</v>
      </c>
      <c r="AW10" s="93">
        <f t="shared" si="42"/>
        <v>27.95</v>
      </c>
      <c r="AX10" s="476">
        <f t="shared" si="43"/>
        <v>0</v>
      </c>
      <c r="AY10" s="482">
        <f t="shared" si="44"/>
        <v>89.71</v>
      </c>
      <c r="AZ10" s="478">
        <f t="shared" si="45"/>
        <v>50.74</v>
      </c>
      <c r="BA10" s="93">
        <f t="shared" si="46"/>
        <v>23.71</v>
      </c>
      <c r="BB10" s="476">
        <f t="shared" si="47"/>
        <v>0</v>
      </c>
      <c r="BC10" s="482">
        <f t="shared" si="48"/>
        <v>74.45</v>
      </c>
      <c r="BD10" s="478">
        <f t="shared" si="49"/>
        <v>40.1</v>
      </c>
      <c r="BE10" s="93">
        <f t="shared" si="50"/>
        <v>9.11</v>
      </c>
      <c r="BF10" s="476">
        <f t="shared" si="51"/>
        <v>0</v>
      </c>
      <c r="BG10" s="482">
        <f t="shared" si="52"/>
        <v>49.21</v>
      </c>
    </row>
    <row r="11" spans="1:59" x14ac:dyDescent="0.25">
      <c r="A11" s="1">
        <v>20</v>
      </c>
      <c r="B11" s="1">
        <v>62.08</v>
      </c>
      <c r="C11" s="1">
        <f t="shared" si="0"/>
        <v>130</v>
      </c>
      <c r="D11" s="1">
        <f t="shared" si="1"/>
        <v>84.19</v>
      </c>
      <c r="E11" s="1">
        <f t="shared" si="2"/>
        <v>52.47</v>
      </c>
      <c r="F11" s="1">
        <f t="shared" si="3"/>
        <v>0</v>
      </c>
      <c r="G11" s="1">
        <f t="shared" si="53"/>
        <v>136.66</v>
      </c>
      <c r="H11" s="1"/>
      <c r="I11" s="1">
        <f t="shared" si="4"/>
        <v>77</v>
      </c>
      <c r="J11" s="12">
        <f t="shared" si="54"/>
        <v>1.7748051948051948</v>
      </c>
      <c r="L11" s="93">
        <f t="shared" si="5"/>
        <v>29.16</v>
      </c>
      <c r="M11" s="93">
        <f t="shared" si="6"/>
        <v>20.350000000000001</v>
      </c>
      <c r="N11" s="476">
        <f t="shared" si="7"/>
        <v>0</v>
      </c>
      <c r="O11" s="480">
        <f t="shared" si="8"/>
        <v>49.510000000000005</v>
      </c>
      <c r="P11" s="478">
        <f t="shared" si="9"/>
        <v>14.02</v>
      </c>
      <c r="Q11" s="93">
        <f t="shared" si="10"/>
        <v>10.06</v>
      </c>
      <c r="R11" s="476">
        <f t="shared" si="11"/>
        <v>0</v>
      </c>
      <c r="S11" s="480">
        <f t="shared" si="12"/>
        <v>24.08</v>
      </c>
      <c r="T11" s="478">
        <f t="shared" si="13"/>
        <v>7.04</v>
      </c>
      <c r="U11" s="93">
        <f t="shared" si="14"/>
        <v>3.67</v>
      </c>
      <c r="V11" s="476">
        <f t="shared" si="15"/>
        <v>5.84</v>
      </c>
      <c r="W11" s="480">
        <f t="shared" si="16"/>
        <v>16.55</v>
      </c>
      <c r="X11" s="478">
        <f t="shared" si="17"/>
        <v>22.51</v>
      </c>
      <c r="Y11" s="93">
        <f t="shared" si="18"/>
        <v>0</v>
      </c>
      <c r="Z11" s="476">
        <f t="shared" si="19"/>
        <v>0</v>
      </c>
      <c r="AA11" s="480">
        <f t="shared" si="20"/>
        <v>22.51</v>
      </c>
      <c r="AB11" s="478">
        <f t="shared" si="21"/>
        <v>22.64</v>
      </c>
      <c r="AC11" s="93">
        <f t="shared" si="22"/>
        <v>23.19</v>
      </c>
      <c r="AD11" s="476">
        <f t="shared" si="23"/>
        <v>0</v>
      </c>
      <c r="AE11" s="480">
        <f t="shared" si="24"/>
        <v>45.83</v>
      </c>
      <c r="AF11" s="478">
        <f t="shared" si="25"/>
        <v>25.81</v>
      </c>
      <c r="AG11" s="93">
        <f t="shared" si="26"/>
        <v>22.15</v>
      </c>
      <c r="AH11" s="476">
        <f t="shared" si="27"/>
        <v>16.850000000000001</v>
      </c>
      <c r="AI11" s="480">
        <f t="shared" si="28"/>
        <v>64.81</v>
      </c>
      <c r="AJ11" s="478">
        <f t="shared" si="29"/>
        <v>13.96</v>
      </c>
      <c r="AK11" s="93">
        <f t="shared" si="30"/>
        <v>33.44</v>
      </c>
      <c r="AL11" s="476">
        <f t="shared" si="31"/>
        <v>21.88</v>
      </c>
      <c r="AM11" s="480">
        <f t="shared" si="32"/>
        <v>69.28</v>
      </c>
      <c r="AN11" s="478">
        <f t="shared" si="33"/>
        <v>70.23</v>
      </c>
      <c r="AO11" s="93">
        <f t="shared" si="34"/>
        <v>0</v>
      </c>
      <c r="AP11" s="476">
        <f t="shared" si="35"/>
        <v>0</v>
      </c>
      <c r="AQ11" s="480">
        <f t="shared" si="36"/>
        <v>70.23</v>
      </c>
      <c r="AR11" s="478">
        <f t="shared" si="37"/>
        <v>84.53</v>
      </c>
      <c r="AS11" s="93">
        <f t="shared" si="38"/>
        <v>84.03</v>
      </c>
      <c r="AT11" s="476">
        <f t="shared" si="39"/>
        <v>0</v>
      </c>
      <c r="AU11" s="482">
        <f t="shared" si="40"/>
        <v>168.56</v>
      </c>
      <c r="AV11" s="478">
        <f t="shared" si="41"/>
        <v>77.52000000000001</v>
      </c>
      <c r="AW11" s="93">
        <f t="shared" si="42"/>
        <v>37.82</v>
      </c>
      <c r="AX11" s="476">
        <f t="shared" si="43"/>
        <v>0</v>
      </c>
      <c r="AY11" s="482">
        <f t="shared" si="44"/>
        <v>115.34</v>
      </c>
      <c r="AZ11" s="478">
        <f t="shared" si="45"/>
        <v>60.64</v>
      </c>
      <c r="BA11" s="93">
        <f t="shared" si="46"/>
        <v>23.65</v>
      </c>
      <c r="BB11" s="476">
        <f t="shared" si="47"/>
        <v>0</v>
      </c>
      <c r="BC11" s="482">
        <f t="shared" si="48"/>
        <v>84.289999999999992</v>
      </c>
      <c r="BD11" s="478">
        <f t="shared" si="49"/>
        <v>47.96</v>
      </c>
      <c r="BE11" s="93">
        <f t="shared" si="50"/>
        <v>21.04</v>
      </c>
      <c r="BF11" s="476">
        <f t="shared" si="51"/>
        <v>0</v>
      </c>
      <c r="BG11" s="482">
        <f t="shared" si="52"/>
        <v>69</v>
      </c>
    </row>
    <row r="12" spans="1:59" x14ac:dyDescent="0.25">
      <c r="A12" s="1">
        <v>21</v>
      </c>
      <c r="B12" s="1">
        <v>72.2</v>
      </c>
      <c r="C12" s="1">
        <f t="shared" si="0"/>
        <v>166</v>
      </c>
      <c r="D12" s="1">
        <f t="shared" si="1"/>
        <v>101.30000000000001</v>
      </c>
      <c r="E12" s="1">
        <f t="shared" si="2"/>
        <v>20.9</v>
      </c>
      <c r="F12" s="1">
        <f t="shared" si="3"/>
        <v>0</v>
      </c>
      <c r="G12" s="1">
        <f t="shared" si="53"/>
        <v>122.20000000000002</v>
      </c>
      <c r="H12" s="1"/>
      <c r="I12" s="1">
        <f t="shared" si="4"/>
        <v>58</v>
      </c>
      <c r="J12" s="12">
        <f t="shared" si="54"/>
        <v>2.1068965517241383</v>
      </c>
      <c r="L12" s="93">
        <f t="shared" si="5"/>
        <v>47.8</v>
      </c>
      <c r="M12" s="93">
        <f t="shared" si="6"/>
        <v>38.65</v>
      </c>
      <c r="N12" s="476">
        <f t="shared" si="7"/>
        <v>0</v>
      </c>
      <c r="O12" s="480">
        <f t="shared" si="8"/>
        <v>86.449999999999989</v>
      </c>
      <c r="P12" s="478">
        <f t="shared" si="9"/>
        <v>30.27</v>
      </c>
      <c r="Q12" s="93">
        <f t="shared" si="10"/>
        <v>20.51</v>
      </c>
      <c r="R12" s="476">
        <f t="shared" si="11"/>
        <v>0</v>
      </c>
      <c r="S12" s="480">
        <f t="shared" si="12"/>
        <v>50.78</v>
      </c>
      <c r="T12" s="478">
        <f t="shared" si="13"/>
        <v>24.16</v>
      </c>
      <c r="U12" s="93">
        <f t="shared" si="14"/>
        <v>21.92</v>
      </c>
      <c r="V12" s="476">
        <f t="shared" si="15"/>
        <v>0</v>
      </c>
      <c r="W12" s="480">
        <f t="shared" si="16"/>
        <v>46.08</v>
      </c>
      <c r="X12" s="478">
        <f t="shared" si="17"/>
        <v>20.9</v>
      </c>
      <c r="Y12" s="93">
        <f t="shared" si="18"/>
        <v>49.48</v>
      </c>
      <c r="Z12" s="476">
        <f t="shared" si="19"/>
        <v>0</v>
      </c>
      <c r="AA12" s="480">
        <f t="shared" si="20"/>
        <v>70.38</v>
      </c>
      <c r="AB12" s="478">
        <f t="shared" si="21"/>
        <v>39.369999999999997</v>
      </c>
      <c r="AC12" s="93">
        <f t="shared" si="22"/>
        <v>29.69</v>
      </c>
      <c r="AD12" s="476">
        <f t="shared" si="23"/>
        <v>8.5399999999999991</v>
      </c>
      <c r="AE12" s="480">
        <f t="shared" si="24"/>
        <v>77.599999999999994</v>
      </c>
      <c r="AF12" s="478">
        <f t="shared" si="25"/>
        <v>53.6</v>
      </c>
      <c r="AG12" s="93">
        <f t="shared" si="26"/>
        <v>51.84</v>
      </c>
      <c r="AH12" s="476">
        <f t="shared" si="27"/>
        <v>0</v>
      </c>
      <c r="AI12" s="480">
        <f t="shared" si="28"/>
        <v>105.44</v>
      </c>
      <c r="AJ12" s="478">
        <f t="shared" si="29"/>
        <v>62.45</v>
      </c>
      <c r="AK12" s="93">
        <f t="shared" si="30"/>
        <v>61.58</v>
      </c>
      <c r="AL12" s="476">
        <f t="shared" si="31"/>
        <v>36.35</v>
      </c>
      <c r="AM12" s="480">
        <f t="shared" si="32"/>
        <v>160.38</v>
      </c>
      <c r="AN12" s="478">
        <f t="shared" si="33"/>
        <v>10</v>
      </c>
      <c r="AO12" s="93">
        <f t="shared" si="34"/>
        <v>105.14</v>
      </c>
      <c r="AP12" s="476">
        <f t="shared" si="35"/>
        <v>0</v>
      </c>
      <c r="AQ12" s="480">
        <f t="shared" si="36"/>
        <v>115.14</v>
      </c>
      <c r="AR12" s="478">
        <f t="shared" si="37"/>
        <v>122.07</v>
      </c>
      <c r="AS12" s="93">
        <f t="shared" si="38"/>
        <v>20.48</v>
      </c>
      <c r="AT12" s="476">
        <f t="shared" si="39"/>
        <v>0</v>
      </c>
      <c r="AU12" s="482">
        <f t="shared" si="40"/>
        <v>142.54999999999998</v>
      </c>
      <c r="AV12" s="478">
        <f t="shared" si="41"/>
        <v>108.95</v>
      </c>
      <c r="AW12" s="93">
        <f t="shared" si="42"/>
        <v>82.15</v>
      </c>
      <c r="AX12" s="476">
        <f t="shared" si="43"/>
        <v>8.81</v>
      </c>
      <c r="AY12" s="482">
        <f t="shared" si="44"/>
        <v>199.91000000000003</v>
      </c>
      <c r="AZ12" s="478">
        <f t="shared" si="45"/>
        <v>55.88</v>
      </c>
      <c r="BA12" s="93">
        <f t="shared" si="46"/>
        <v>61.53</v>
      </c>
      <c r="BB12" s="476">
        <f t="shared" si="47"/>
        <v>36.82</v>
      </c>
      <c r="BC12" s="482">
        <f t="shared" si="48"/>
        <v>154.22999999999999</v>
      </c>
      <c r="BD12" s="478">
        <f t="shared" si="49"/>
        <v>46.57</v>
      </c>
      <c r="BE12" s="93">
        <f t="shared" si="50"/>
        <v>49.48</v>
      </c>
      <c r="BF12" s="476">
        <f t="shared" si="51"/>
        <v>0</v>
      </c>
      <c r="BG12" s="482">
        <f t="shared" si="52"/>
        <v>96.05</v>
      </c>
    </row>
    <row r="13" spans="1:59" x14ac:dyDescent="0.25">
      <c r="A13" s="1">
        <v>22</v>
      </c>
      <c r="B13" s="1">
        <v>52.3</v>
      </c>
      <c r="C13" s="1">
        <f t="shared" si="0"/>
        <v>110</v>
      </c>
      <c r="D13" s="1">
        <f t="shared" si="1"/>
        <v>64.45</v>
      </c>
      <c r="E13" s="1">
        <f t="shared" si="2"/>
        <v>0</v>
      </c>
      <c r="F13" s="1">
        <f t="shared" si="3"/>
        <v>0</v>
      </c>
      <c r="G13" s="1">
        <f t="shared" si="53"/>
        <v>64.45</v>
      </c>
      <c r="H13" s="1"/>
      <c r="I13" s="1">
        <f t="shared" si="4"/>
        <v>31</v>
      </c>
      <c r="J13" s="12">
        <f t="shared" si="54"/>
        <v>2.0790322580645162</v>
      </c>
      <c r="L13" s="93">
        <f t="shared" si="5"/>
        <v>33.450000000000003</v>
      </c>
      <c r="M13" s="93">
        <f t="shared" si="6"/>
        <v>25.22</v>
      </c>
      <c r="N13" s="476">
        <f t="shared" si="7"/>
        <v>0</v>
      </c>
      <c r="O13" s="480">
        <f t="shared" si="8"/>
        <v>58.67</v>
      </c>
      <c r="P13" s="478">
        <f t="shared" si="9"/>
        <v>20.78</v>
      </c>
      <c r="Q13" s="93">
        <f t="shared" si="10"/>
        <v>15.28</v>
      </c>
      <c r="R13" s="476">
        <f t="shared" si="11"/>
        <v>0</v>
      </c>
      <c r="S13" s="480">
        <f t="shared" si="12"/>
        <v>36.06</v>
      </c>
      <c r="T13" s="478">
        <f t="shared" si="13"/>
        <v>16.43</v>
      </c>
      <c r="U13" s="93">
        <f t="shared" si="14"/>
        <v>10.62</v>
      </c>
      <c r="V13" s="476">
        <f t="shared" si="15"/>
        <v>0</v>
      </c>
      <c r="W13" s="480">
        <f t="shared" si="16"/>
        <v>27.049999999999997</v>
      </c>
      <c r="X13" s="478">
        <f t="shared" si="17"/>
        <v>16.18</v>
      </c>
      <c r="Y13" s="93">
        <f t="shared" si="18"/>
        <v>27.63</v>
      </c>
      <c r="Z13" s="476">
        <f t="shared" si="19"/>
        <v>0</v>
      </c>
      <c r="AA13" s="480">
        <f t="shared" si="20"/>
        <v>43.81</v>
      </c>
      <c r="AB13" s="478">
        <f t="shared" si="21"/>
        <v>16.559999999999999</v>
      </c>
      <c r="AC13" s="93">
        <f t="shared" si="22"/>
        <v>22.03</v>
      </c>
      <c r="AD13" s="476">
        <f t="shared" si="23"/>
        <v>0</v>
      </c>
      <c r="AE13" s="480">
        <f t="shared" si="24"/>
        <v>38.590000000000003</v>
      </c>
      <c r="AF13" s="478">
        <f t="shared" si="25"/>
        <v>28.5</v>
      </c>
      <c r="AG13" s="93">
        <f t="shared" si="26"/>
        <v>30.42</v>
      </c>
      <c r="AH13" s="476">
        <f t="shared" si="27"/>
        <v>0</v>
      </c>
      <c r="AI13" s="480">
        <f t="shared" si="28"/>
        <v>58.92</v>
      </c>
      <c r="AJ13" s="478">
        <f t="shared" si="29"/>
        <v>40.74</v>
      </c>
      <c r="AK13" s="93">
        <f t="shared" si="30"/>
        <v>28.13</v>
      </c>
      <c r="AL13" s="476">
        <f t="shared" si="31"/>
        <v>0</v>
      </c>
      <c r="AM13" s="480">
        <f t="shared" si="32"/>
        <v>68.87</v>
      </c>
      <c r="AN13" s="478">
        <f t="shared" si="33"/>
        <v>32.130000000000003</v>
      </c>
      <c r="AO13" s="93">
        <f t="shared" si="34"/>
        <v>68.430000000000007</v>
      </c>
      <c r="AP13" s="476">
        <f t="shared" si="35"/>
        <v>0</v>
      </c>
      <c r="AQ13" s="480">
        <f t="shared" si="36"/>
        <v>100.56</v>
      </c>
      <c r="AR13" s="478">
        <f t="shared" si="37"/>
        <v>75.260000000000005</v>
      </c>
      <c r="AS13" s="93">
        <f t="shared" si="38"/>
        <v>0</v>
      </c>
      <c r="AT13" s="476">
        <f t="shared" si="39"/>
        <v>0</v>
      </c>
      <c r="AU13" s="482">
        <f t="shared" si="40"/>
        <v>75.260000000000005</v>
      </c>
      <c r="AV13" s="478">
        <f t="shared" si="41"/>
        <v>83.04</v>
      </c>
      <c r="AW13" s="93">
        <f t="shared" si="42"/>
        <v>50.38</v>
      </c>
      <c r="AX13" s="476">
        <f t="shared" si="43"/>
        <v>0</v>
      </c>
      <c r="AY13" s="482">
        <f t="shared" si="44"/>
        <v>133.42000000000002</v>
      </c>
      <c r="AZ13" s="478">
        <f t="shared" si="45"/>
        <v>40.15</v>
      </c>
      <c r="BA13" s="93">
        <f t="shared" si="46"/>
        <v>35.04</v>
      </c>
      <c r="BB13" s="476">
        <f t="shared" si="47"/>
        <v>18.22</v>
      </c>
      <c r="BC13" s="482">
        <f t="shared" si="48"/>
        <v>93.41</v>
      </c>
      <c r="BD13" s="478">
        <f t="shared" si="49"/>
        <v>7.25</v>
      </c>
      <c r="BE13" s="93">
        <f t="shared" si="50"/>
        <v>29.27</v>
      </c>
      <c r="BF13" s="476">
        <f t="shared" si="51"/>
        <v>31.16</v>
      </c>
      <c r="BG13" s="482">
        <f t="shared" si="52"/>
        <v>67.679999999999993</v>
      </c>
    </row>
    <row r="14" spans="1:59" s="6" customFormat="1" ht="15.75" thickBot="1" x14ac:dyDescent="0.3">
      <c r="B14" s="6">
        <f t="shared" ref="B14:G14" si="55">SUM(B7:B13)</f>
        <v>385.4</v>
      </c>
      <c r="C14" s="6">
        <f t="shared" si="55"/>
        <v>818</v>
      </c>
      <c r="D14" s="6">
        <f t="shared" si="55"/>
        <v>473.61</v>
      </c>
      <c r="E14" s="6">
        <f t="shared" si="55"/>
        <v>218.56</v>
      </c>
      <c r="F14" s="6">
        <f t="shared" si="55"/>
        <v>0</v>
      </c>
      <c r="G14" s="6">
        <f t="shared" si="55"/>
        <v>692.17000000000007</v>
      </c>
      <c r="H14"/>
      <c r="I14" s="6">
        <f>SUM(I7:I13)</f>
        <v>364</v>
      </c>
      <c r="J14" s="8"/>
      <c r="L14" s="472">
        <f t="shared" ref="L14:BG14" si="56">SUM(L7:L13)</f>
        <v>210.39999999999998</v>
      </c>
      <c r="M14" s="472">
        <f t="shared" si="56"/>
        <v>163.97</v>
      </c>
      <c r="N14" s="472">
        <f t="shared" si="56"/>
        <v>0</v>
      </c>
      <c r="O14" s="481">
        <f t="shared" si="56"/>
        <v>374.37</v>
      </c>
      <c r="P14" s="472">
        <f t="shared" si="56"/>
        <v>126.63</v>
      </c>
      <c r="Q14" s="472">
        <f t="shared" si="56"/>
        <v>88.04</v>
      </c>
      <c r="R14" s="472">
        <f t="shared" si="56"/>
        <v>0</v>
      </c>
      <c r="S14" s="481">
        <f t="shared" si="56"/>
        <v>214.67000000000002</v>
      </c>
      <c r="T14" s="472">
        <f t="shared" si="56"/>
        <v>93.15</v>
      </c>
      <c r="U14" s="472">
        <f t="shared" si="56"/>
        <v>69.040000000000006</v>
      </c>
      <c r="V14" s="472">
        <f t="shared" si="56"/>
        <v>13.36</v>
      </c>
      <c r="W14" s="481">
        <f t="shared" si="56"/>
        <v>175.55</v>
      </c>
      <c r="X14" s="472">
        <f t="shared" si="56"/>
        <v>166.99</v>
      </c>
      <c r="Y14" s="472">
        <f t="shared" si="56"/>
        <v>133.87</v>
      </c>
      <c r="Z14" s="472">
        <f t="shared" si="56"/>
        <v>0</v>
      </c>
      <c r="AA14" s="481">
        <f t="shared" si="56"/>
        <v>300.85999999999996</v>
      </c>
      <c r="AB14" s="472">
        <f t="shared" si="56"/>
        <v>155.13</v>
      </c>
      <c r="AC14" s="472">
        <f t="shared" si="56"/>
        <v>152.34</v>
      </c>
      <c r="AD14" s="472">
        <f t="shared" si="56"/>
        <v>43.12</v>
      </c>
      <c r="AE14" s="481">
        <f t="shared" si="56"/>
        <v>350.59000000000003</v>
      </c>
      <c r="AF14" s="472">
        <f t="shared" si="56"/>
        <v>196.4</v>
      </c>
      <c r="AG14" s="472">
        <f t="shared" si="56"/>
        <v>217.74</v>
      </c>
      <c r="AH14" s="472">
        <f t="shared" si="56"/>
        <v>44.19</v>
      </c>
      <c r="AI14" s="481">
        <f t="shared" si="56"/>
        <v>458.33000000000004</v>
      </c>
      <c r="AJ14" s="472">
        <f t="shared" si="56"/>
        <v>231.5</v>
      </c>
      <c r="AK14" s="472">
        <f t="shared" si="56"/>
        <v>213.99</v>
      </c>
      <c r="AL14" s="472">
        <f t="shared" si="56"/>
        <v>58.230000000000004</v>
      </c>
      <c r="AM14" s="481">
        <f t="shared" si="56"/>
        <v>503.72</v>
      </c>
      <c r="AN14" s="472">
        <f t="shared" si="56"/>
        <v>295.83000000000004</v>
      </c>
      <c r="AO14" s="472">
        <f t="shared" si="56"/>
        <v>384.83000000000004</v>
      </c>
      <c r="AP14" s="472">
        <f t="shared" si="56"/>
        <v>0</v>
      </c>
      <c r="AQ14" s="481">
        <f t="shared" si="56"/>
        <v>680.66000000000008</v>
      </c>
      <c r="AR14" s="472">
        <f t="shared" si="56"/>
        <v>615.52</v>
      </c>
      <c r="AS14" s="472">
        <f t="shared" si="56"/>
        <v>191.69</v>
      </c>
      <c r="AT14" s="472">
        <f t="shared" si="56"/>
        <v>0</v>
      </c>
      <c r="AU14" s="481">
        <f t="shared" si="56"/>
        <v>807.20999999999992</v>
      </c>
      <c r="AV14" s="472">
        <f t="shared" si="56"/>
        <v>552.42000000000007</v>
      </c>
      <c r="AW14" s="472">
        <f t="shared" si="56"/>
        <v>320.45</v>
      </c>
      <c r="AX14" s="472">
        <f t="shared" si="56"/>
        <v>8.81</v>
      </c>
      <c r="AY14" s="481">
        <f t="shared" si="56"/>
        <v>881.68000000000006</v>
      </c>
      <c r="AZ14" s="472">
        <f t="shared" si="56"/>
        <v>349.52</v>
      </c>
      <c r="BA14" s="472">
        <f t="shared" si="56"/>
        <v>245.45</v>
      </c>
      <c r="BB14" s="472">
        <f t="shared" si="56"/>
        <v>55.04</v>
      </c>
      <c r="BC14" s="481">
        <f t="shared" si="56"/>
        <v>650.01</v>
      </c>
      <c r="BD14" s="472">
        <f t="shared" si="56"/>
        <v>233.54</v>
      </c>
      <c r="BE14" s="472">
        <f t="shared" si="56"/>
        <v>197.99</v>
      </c>
      <c r="BF14" s="472">
        <f t="shared" si="56"/>
        <v>95.449999999999989</v>
      </c>
      <c r="BG14" s="481">
        <f t="shared" si="56"/>
        <v>526.98</v>
      </c>
    </row>
    <row r="15" spans="1:59" ht="15.75" thickBot="1" x14ac:dyDescent="0.3">
      <c r="L15" s="472"/>
      <c r="M15" s="472"/>
      <c r="N15" s="472"/>
      <c r="O15" s="472"/>
      <c r="P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</row>
    <row r="16" spans="1:59" ht="30" x14ac:dyDescent="0.25">
      <c r="J16" s="197" t="s">
        <v>108</v>
      </c>
    </row>
    <row r="17" spans="10:17" ht="15.75" thickBot="1" x14ac:dyDescent="0.3">
      <c r="J17" s="198">
        <f>G14/(D3-D4)</f>
        <v>49.440714285714293</v>
      </c>
    </row>
    <row r="19" spans="10:17" ht="15.75" thickBot="1" x14ac:dyDescent="0.3">
      <c r="L19" s="6"/>
      <c r="M19" s="6"/>
      <c r="N19" s="6"/>
      <c r="O19" s="6"/>
      <c r="P19" s="6"/>
      <c r="Q19" s="6"/>
    </row>
    <row r="20" spans="10:17" ht="30" x14ac:dyDescent="0.25">
      <c r="J20" s="197" t="s">
        <v>107</v>
      </c>
    </row>
    <row r="21" spans="10:17" ht="15.75" thickBot="1" x14ac:dyDescent="0.3">
      <c r="J21" s="198">
        <f>B14/(D3-D4)</f>
        <v>27.528571428571428</v>
      </c>
    </row>
    <row r="23" spans="10:17" ht="15.75" thickBot="1" x14ac:dyDescent="0.3"/>
    <row r="24" spans="10:17" ht="60" x14ac:dyDescent="0.25">
      <c r="J24" s="197" t="s">
        <v>111</v>
      </c>
    </row>
    <row r="25" spans="10:17" ht="15.75" thickBot="1" x14ac:dyDescent="0.3">
      <c r="J25" s="198" t="str">
        <f>J21/J21&amp;":"&amp;ROUND(J17/J21,2)</f>
        <v>1:1.8</v>
      </c>
    </row>
    <row r="55" spans="5:8" ht="75" x14ac:dyDescent="0.25">
      <c r="E55" s="586" t="s">
        <v>209</v>
      </c>
      <c r="H55" t="s">
        <v>210</v>
      </c>
    </row>
    <row r="105" spans="5:8" ht="375" x14ac:dyDescent="0.25">
      <c r="E105" s="586" t="s">
        <v>211</v>
      </c>
      <c r="H105" s="586" t="s">
        <v>212</v>
      </c>
    </row>
  </sheetData>
  <mergeCells count="12">
    <mergeCell ref="BD5:BG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</mergeCells>
  <conditionalFormatting sqref="G7:G13">
    <cfRule type="expression" dxfId="142" priority="27">
      <formula>G7&gt;C7</formula>
    </cfRule>
    <cfRule type="expression" dxfId="141" priority="28">
      <formula>G7&lt;C7</formula>
    </cfRule>
  </conditionalFormatting>
  <conditionalFormatting sqref="O7:O13 S7:S13 W7:W13 AA7:AA13 AE7:AE13 AI7:AI13 AM7:AM13 AQ7:AQ13 AU7:AU13 AY7:AY13 BC7:BC13 BG7:BG13">
    <cfRule type="expression" dxfId="140" priority="23">
      <formula>O7&gt;#REF!</formula>
    </cfRule>
    <cfRule type="expression" dxfId="139" priority="24">
      <formula>O7&lt;#REF!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11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015C6-1C80-4BCB-BBF6-E66D6BAEB051}">
  <dimension ref="A1:BG105"/>
  <sheetViews>
    <sheetView view="pageBreakPreview" zoomScaleNormal="100" zoomScaleSheetLayoutView="100" workbookViewId="0">
      <selection activeCell="AW21" sqref="AW21"/>
    </sheetView>
  </sheetViews>
  <sheetFormatPr defaultRowHeight="15" x14ac:dyDescent="0.25"/>
  <cols>
    <col min="8" max="8" width="0.5703125" customWidth="1"/>
    <col min="10" max="10" width="9.140625" style="8"/>
    <col min="12" max="43" width="0" hidden="1" customWidth="1"/>
  </cols>
  <sheetData>
    <row r="1" spans="1:59" s="5" customFormat="1" x14ac:dyDescent="0.25">
      <c r="A1" s="5" t="str">
        <f>'HARVESTING ROUND'!A1</f>
        <v>HARVESTER PERFORMANCE CHART FOR THE MONTH OF DEC 2025 (1ST - 31ST)</v>
      </c>
      <c r="J1" s="195"/>
      <c r="K1" s="5" t="str">
        <f>'HARVESTING ROUND'!H1</f>
        <v>HARVESTER PERFORMANCE CHART FOR THE MONTH OF SEPT 2024 (1ST - 30TH)</v>
      </c>
    </row>
    <row r="2" spans="1:59" x14ac:dyDescent="0.25">
      <c r="A2" t="s">
        <v>271</v>
      </c>
    </row>
    <row r="3" spans="1:59" x14ac:dyDescent="0.25">
      <c r="A3" t="s">
        <v>104</v>
      </c>
      <c r="D3" s="194">
        <v>5</v>
      </c>
    </row>
    <row r="4" spans="1:59" x14ac:dyDescent="0.25">
      <c r="A4" t="s">
        <v>105</v>
      </c>
      <c r="D4" s="194">
        <v>0</v>
      </c>
    </row>
    <row r="5" spans="1:59" ht="15.75" thickBot="1" x14ac:dyDescent="0.3">
      <c r="L5" s="961">
        <v>45292</v>
      </c>
      <c r="M5" s="961"/>
      <c r="N5" s="961"/>
      <c r="O5" s="962"/>
      <c r="P5" s="961">
        <v>45323</v>
      </c>
      <c r="Q5" s="961"/>
      <c r="R5" s="961"/>
      <c r="S5" s="962"/>
      <c r="T5" s="961">
        <v>45352</v>
      </c>
      <c r="U5" s="961"/>
      <c r="V5" s="961"/>
      <c r="W5" s="962"/>
      <c r="X5" s="961">
        <v>45383</v>
      </c>
      <c r="Y5" s="961"/>
      <c r="Z5" s="961"/>
      <c r="AA5" s="962"/>
      <c r="AB5" s="961">
        <v>45413</v>
      </c>
      <c r="AC5" s="961"/>
      <c r="AD5" s="961"/>
      <c r="AE5" s="962"/>
      <c r="AF5" s="961">
        <v>45444</v>
      </c>
      <c r="AG5" s="961"/>
      <c r="AH5" s="961"/>
      <c r="AI5" s="962"/>
      <c r="AJ5" s="961">
        <v>45474</v>
      </c>
      <c r="AK5" s="961"/>
      <c r="AL5" s="961"/>
      <c r="AM5" s="962"/>
      <c r="AN5" s="961">
        <v>45505</v>
      </c>
      <c r="AO5" s="961"/>
      <c r="AP5" s="961"/>
      <c r="AQ5" s="962"/>
      <c r="AR5" s="961">
        <v>45536</v>
      </c>
      <c r="AS5" s="961"/>
      <c r="AT5" s="961"/>
      <c r="AU5" s="962"/>
      <c r="AV5" s="961">
        <v>45566</v>
      </c>
      <c r="AW5" s="961"/>
      <c r="AX5" s="961"/>
      <c r="AY5" s="962"/>
      <c r="AZ5" s="961">
        <v>45597</v>
      </c>
      <c r="BA5" s="961"/>
      <c r="BB5" s="961"/>
      <c r="BC5" s="962"/>
      <c r="BD5" s="961">
        <v>45627</v>
      </c>
      <c r="BE5" s="961"/>
      <c r="BF5" s="961"/>
      <c r="BG5" s="962"/>
    </row>
    <row r="6" spans="1:59" ht="30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I6" s="2" t="s">
        <v>103</v>
      </c>
      <c r="J6" s="196" t="s">
        <v>106</v>
      </c>
      <c r="L6" s="2" t="s">
        <v>3</v>
      </c>
      <c r="M6" s="2" t="s">
        <v>4</v>
      </c>
      <c r="N6" s="475" t="s">
        <v>5</v>
      </c>
      <c r="O6" s="479" t="s">
        <v>6</v>
      </c>
      <c r="P6" s="477" t="s">
        <v>3</v>
      </c>
      <c r="Q6" s="2" t="s">
        <v>4</v>
      </c>
      <c r="R6" s="475" t="s">
        <v>5</v>
      </c>
      <c r="S6" s="479" t="s">
        <v>6</v>
      </c>
      <c r="T6" s="477" t="s">
        <v>3</v>
      </c>
      <c r="U6" s="2" t="s">
        <v>4</v>
      </c>
      <c r="V6" s="475" t="s">
        <v>5</v>
      </c>
      <c r="W6" s="479" t="s">
        <v>6</v>
      </c>
      <c r="X6" s="477" t="s">
        <v>3</v>
      </c>
      <c r="Y6" s="2" t="s">
        <v>4</v>
      </c>
      <c r="Z6" s="475" t="s">
        <v>5</v>
      </c>
      <c r="AA6" s="479" t="s">
        <v>6</v>
      </c>
      <c r="AB6" s="477" t="s">
        <v>3</v>
      </c>
      <c r="AC6" s="2" t="s">
        <v>4</v>
      </c>
      <c r="AD6" s="475" t="s">
        <v>5</v>
      </c>
      <c r="AE6" s="479" t="s">
        <v>6</v>
      </c>
      <c r="AF6" s="477" t="s">
        <v>3</v>
      </c>
      <c r="AG6" s="2" t="s">
        <v>4</v>
      </c>
      <c r="AH6" s="475" t="s">
        <v>5</v>
      </c>
      <c r="AI6" s="479" t="s">
        <v>6</v>
      </c>
      <c r="AJ6" s="477" t="s">
        <v>3</v>
      </c>
      <c r="AK6" s="2" t="s">
        <v>4</v>
      </c>
      <c r="AL6" s="475" t="s">
        <v>5</v>
      </c>
      <c r="AM6" s="479" t="s">
        <v>6</v>
      </c>
      <c r="AN6" s="477" t="s">
        <v>3</v>
      </c>
      <c r="AO6" s="2" t="s">
        <v>4</v>
      </c>
      <c r="AP6" s="475" t="s">
        <v>5</v>
      </c>
      <c r="AQ6" s="479" t="s">
        <v>6</v>
      </c>
      <c r="AR6" s="477" t="s">
        <v>3</v>
      </c>
      <c r="AS6" s="2" t="s">
        <v>4</v>
      </c>
      <c r="AT6" s="475" t="s">
        <v>5</v>
      </c>
      <c r="AU6" s="479" t="s">
        <v>6</v>
      </c>
      <c r="AV6" s="477" t="s">
        <v>3</v>
      </c>
      <c r="AW6" s="2" t="s">
        <v>4</v>
      </c>
      <c r="AX6" s="475" t="s">
        <v>5</v>
      </c>
      <c r="AY6" s="479" t="s">
        <v>6</v>
      </c>
      <c r="AZ6" s="477" t="s">
        <v>3</v>
      </c>
      <c r="BA6" s="2" t="s">
        <v>4</v>
      </c>
      <c r="BB6" s="475" t="s">
        <v>5</v>
      </c>
      <c r="BC6" s="479" t="s">
        <v>6</v>
      </c>
      <c r="BD6" s="477" t="s">
        <v>3</v>
      </c>
      <c r="BE6" s="2" t="s">
        <v>4</v>
      </c>
      <c r="BF6" s="475" t="s">
        <v>5</v>
      </c>
      <c r="BG6" s="479" t="s">
        <v>6</v>
      </c>
    </row>
    <row r="7" spans="1:59" x14ac:dyDescent="0.25">
      <c r="A7" s="1">
        <v>2</v>
      </c>
      <c r="B7" s="1">
        <v>60.4</v>
      </c>
      <c r="C7" s="1">
        <f>VLOOKUP(A7,ffbbudgettwofive,18,FALSE)</f>
        <v>121</v>
      </c>
      <c r="D7" s="1">
        <f>VLOOKUP(A7,harvestinground,5,FALSE)</f>
        <v>57.309999999999995</v>
      </c>
      <c r="E7" s="1">
        <f>VLOOKUP(A7,harvestinground,6,FALSE)</f>
        <v>0</v>
      </c>
      <c r="F7" s="1">
        <f>VLOOKUP(A7,harvestinground,7,FALSE)</f>
        <v>0</v>
      </c>
      <c r="G7" s="1">
        <f>SUM(D7:F7)</f>
        <v>57.309999999999995</v>
      </c>
      <c r="I7" s="1">
        <f>VLOOKUP(A7,manday,34,FALSE)</f>
        <v>71</v>
      </c>
      <c r="J7" s="12">
        <f>G7/I7</f>
        <v>0.80718309859154924</v>
      </c>
      <c r="L7" s="93">
        <f>VLOOKUP(A7,year2022to23,188,FALSE)</f>
        <v>38.19</v>
      </c>
      <c r="M7" s="93">
        <f>VLOOKUP(A7,year2022to23,189,FALSE)</f>
        <v>34.75</v>
      </c>
      <c r="N7" s="476">
        <f>VLOOKUP(A7,year2022to23,190,FALSE)</f>
        <v>0</v>
      </c>
      <c r="O7" s="480">
        <f>SUM(L7:N7)</f>
        <v>72.94</v>
      </c>
      <c r="P7" s="478">
        <f>VLOOKUP(A7,year2022to23,193,FALSE)</f>
        <v>25.49</v>
      </c>
      <c r="Q7" s="93">
        <f>VLOOKUP(A7,year2022to23,194,FALSE)</f>
        <v>10.77</v>
      </c>
      <c r="R7" s="476">
        <f>VLOOKUP(A7,year2022to23,195,FALSE)</f>
        <v>0</v>
      </c>
      <c r="S7" s="480">
        <f>SUM(P7:R7)</f>
        <v>36.26</v>
      </c>
      <c r="T7" s="478">
        <f>VLOOKUP(A7,year2022to23,198,FALSE)</f>
        <v>8.17</v>
      </c>
      <c r="U7" s="93">
        <f>VLOOKUP(A7,year2022to23,199,FALSE)</f>
        <v>17.47</v>
      </c>
      <c r="V7" s="476">
        <f>VLOOKUP(A7,year2022to23,200,FALSE)</f>
        <v>13.67</v>
      </c>
      <c r="W7" s="480">
        <f>SUM(T7:V7)</f>
        <v>39.31</v>
      </c>
      <c r="X7" s="478">
        <f>VLOOKUP(A7,year2022to23,203,FALSE)</f>
        <v>31.68</v>
      </c>
      <c r="Y7" s="93">
        <f>VLOOKUP(A7,year2022to23,204,FALSE)</f>
        <v>24.06</v>
      </c>
      <c r="Z7" s="476">
        <f>VLOOKUP(A7,year2022to23,205,FALSE)</f>
        <v>0</v>
      </c>
      <c r="AA7" s="480">
        <f>SUM(X7:Z7)</f>
        <v>55.739999999999995</v>
      </c>
      <c r="AB7" s="478">
        <f>VLOOKUP(A7,year2022to23,208,FALSE)</f>
        <v>42.84</v>
      </c>
      <c r="AC7" s="93">
        <f>VLOOKUP(A7,year2022to23,209,FALSE)</f>
        <v>22.4</v>
      </c>
      <c r="AD7" s="476">
        <f>VLOOKUP(A7,year2022to23,210,FALSE)</f>
        <v>10.51</v>
      </c>
      <c r="AE7" s="480">
        <f>SUM(AB7:AD7)</f>
        <v>75.750000000000014</v>
      </c>
      <c r="AF7" s="478">
        <f>VLOOKUP(A7,year2022to23,213,FALSE)</f>
        <v>31.64</v>
      </c>
      <c r="AG7" s="93">
        <f>VLOOKUP(A7,year2022to23,214,FALSE)</f>
        <v>32.270000000000003</v>
      </c>
      <c r="AH7" s="476">
        <f>VLOOKUP(A7,year2022to23,215,FALSE)</f>
        <v>0</v>
      </c>
      <c r="AI7" s="480">
        <f>SUM(AF7:AH7)</f>
        <v>63.910000000000004</v>
      </c>
      <c r="AJ7" s="478">
        <f>VLOOKUP(A7,year2022to23,218,FALSE)</f>
        <v>30.86</v>
      </c>
      <c r="AK7" s="93">
        <f>VLOOKUP(A7,year2022to23,219,FALSE)</f>
        <v>20.6</v>
      </c>
      <c r="AL7" s="476">
        <f>VLOOKUP(A7,year2022to23,220,FALSE)</f>
        <v>0</v>
      </c>
      <c r="AM7" s="480">
        <f>SUM(AJ7:AL7)</f>
        <v>51.46</v>
      </c>
      <c r="AN7" s="478">
        <f>VLOOKUP(A7,year2022to23,223,FALSE)</f>
        <v>40.74</v>
      </c>
      <c r="AO7" s="93">
        <f>VLOOKUP(A7,year2022to23,224,FALSE)</f>
        <v>66.56</v>
      </c>
      <c r="AP7" s="476">
        <f>VLOOKUP(A7,year2022to23,225,FALSE)</f>
        <v>0</v>
      </c>
      <c r="AQ7" s="480">
        <f>SUM(AN7:AP7)</f>
        <v>107.30000000000001</v>
      </c>
      <c r="AR7" s="478">
        <f>VLOOKUP(A7,year2022to23,228,FALSE)</f>
        <v>75.03</v>
      </c>
      <c r="AS7" s="93">
        <f>VLOOKUP(A7,year2022to23,229,FALSE)</f>
        <v>0</v>
      </c>
      <c r="AT7" s="476">
        <f>VLOOKUP(A7,year2022to23,230,FALSE)</f>
        <v>0</v>
      </c>
      <c r="AU7" s="482">
        <f>SUM(AR7:AT7)</f>
        <v>75.03</v>
      </c>
      <c r="AV7" s="478">
        <f>VLOOKUP(A7,year2022to23,233,FALSE)</f>
        <v>55.01</v>
      </c>
      <c r="AW7" s="93">
        <f>VLOOKUP(A7,year2022to23,234,FALSE)</f>
        <v>29.3</v>
      </c>
      <c r="AX7" s="476">
        <f>VLOOKUP(A7,year2022to23,235,FALSE)</f>
        <v>0</v>
      </c>
      <c r="AY7" s="482">
        <f>SUM(AV7:AX7)</f>
        <v>84.31</v>
      </c>
      <c r="AZ7" s="478">
        <f>VLOOKUP(A7,year2022to23,238,FALSE)</f>
        <v>59.374000000000002</v>
      </c>
      <c r="BA7" s="93">
        <f>VLOOKUP(A7,year2022to23,239,FALSE)</f>
        <v>36.340000000000003</v>
      </c>
      <c r="BB7" s="476">
        <f>VLOOKUP(A7,year2022to23,240,FALSE)</f>
        <v>0</v>
      </c>
      <c r="BC7" s="482">
        <f>SUM(AZ7:BB7)</f>
        <v>95.713999999999999</v>
      </c>
      <c r="BD7" s="478">
        <f>VLOOKUP(A7,year2022to23,243,FALSE)</f>
        <v>62.25</v>
      </c>
      <c r="BE7" s="93">
        <f>VLOOKUP(A7,year2022to23,244,FALSE)</f>
        <v>8.74</v>
      </c>
      <c r="BF7" s="476">
        <f>VLOOKUP(A7,year2022to23,245,FALSE)</f>
        <v>0</v>
      </c>
      <c r="BG7" s="482">
        <f>SUM(BD7:BF7)</f>
        <v>70.989999999999995</v>
      </c>
    </row>
    <row r="8" spans="1:59" x14ac:dyDescent="0.25">
      <c r="A8" s="1">
        <v>11</v>
      </c>
      <c r="B8" s="1">
        <v>44.5</v>
      </c>
      <c r="C8" s="1">
        <f>VLOOKUP(A8,ffbbudgettwofive,18,FALSE)</f>
        <v>85</v>
      </c>
      <c r="D8" s="1">
        <f>VLOOKUP(A8,harvestinground,5,FALSE)</f>
        <v>32.42</v>
      </c>
      <c r="E8" s="1">
        <f>VLOOKUP(A8,harvestinground,6,FALSE)</f>
        <v>0</v>
      </c>
      <c r="F8" s="1">
        <f>VLOOKUP(A8,harvestinground,7,FALSE)</f>
        <v>0</v>
      </c>
      <c r="G8" s="1">
        <f>SUM(D8:F8)</f>
        <v>32.42</v>
      </c>
      <c r="I8" s="1">
        <f>VLOOKUP(A8,manday,34,FALSE)</f>
        <v>36</v>
      </c>
      <c r="J8" s="12">
        <f>G8/I8</f>
        <v>0.90055555555555555</v>
      </c>
      <c r="L8" s="93">
        <f>VLOOKUP(A8,year2022to23,188,FALSE)</f>
        <v>26.05</v>
      </c>
      <c r="M8" s="93">
        <f>VLOOKUP(A8,year2022to23,189,FALSE)</f>
        <v>3.74</v>
      </c>
      <c r="N8" s="476">
        <f>VLOOKUP(A8,year2022to23,190,FALSE)</f>
        <v>0</v>
      </c>
      <c r="O8" s="480">
        <f>SUM(L8:N8)</f>
        <v>29.79</v>
      </c>
      <c r="P8" s="478">
        <f>VLOOKUP(A8,year2022to23,193,FALSE)</f>
        <v>17.71</v>
      </c>
      <c r="Q8" s="93">
        <f>VLOOKUP(A8,year2022to23,194,FALSE)</f>
        <v>13.73</v>
      </c>
      <c r="R8" s="476">
        <f>VLOOKUP(A8,year2022to23,195,FALSE)</f>
        <v>0</v>
      </c>
      <c r="S8" s="480">
        <f>SUM(P8:R8)</f>
        <v>31.44</v>
      </c>
      <c r="T8" s="478">
        <f>VLOOKUP(A8,year2022to23,198,FALSE)</f>
        <v>11.6</v>
      </c>
      <c r="U8" s="93">
        <f>VLOOKUP(A8,year2022to23,199,FALSE)</f>
        <v>7.36</v>
      </c>
      <c r="V8" s="476">
        <f>VLOOKUP(A8,year2022to23,200,FALSE)</f>
        <v>11.3</v>
      </c>
      <c r="W8" s="480">
        <f>SUM(T8:V8)</f>
        <v>30.26</v>
      </c>
      <c r="X8" s="478">
        <f>VLOOKUP(A8,year2022to23,203,FALSE)</f>
        <v>37.340000000000003</v>
      </c>
      <c r="Y8" s="93">
        <f>VLOOKUP(A8,year2022to23,204,FALSE)</f>
        <v>0</v>
      </c>
      <c r="Z8" s="476">
        <f>VLOOKUP(A8,year2022to23,205,FALSE)</f>
        <v>0</v>
      </c>
      <c r="AA8" s="480">
        <f>SUM(X8:Z8)</f>
        <v>37.340000000000003</v>
      </c>
      <c r="AB8" s="478">
        <f>VLOOKUP(A8,year2022to23,208,FALSE)</f>
        <v>15.38</v>
      </c>
      <c r="AC8" s="93">
        <f>VLOOKUP(A8,year2022to23,209,FALSE)</f>
        <v>17.77</v>
      </c>
      <c r="AD8" s="476">
        <f>VLOOKUP(A8,year2022to23,210,FALSE)</f>
        <v>20.63</v>
      </c>
      <c r="AE8" s="480">
        <f>SUM(AB8:AD8)</f>
        <v>53.78</v>
      </c>
      <c r="AF8" s="478">
        <f>VLOOKUP(A8,year2022to23,213,FALSE)</f>
        <v>13.56</v>
      </c>
      <c r="AG8" s="93">
        <f>VLOOKUP(A8,year2022to23,214,FALSE)</f>
        <v>17.32</v>
      </c>
      <c r="AH8" s="476">
        <f>VLOOKUP(A8,year2022to23,215,FALSE)</f>
        <v>0</v>
      </c>
      <c r="AI8" s="480">
        <f>SUM(AF8:AH8)</f>
        <v>30.880000000000003</v>
      </c>
      <c r="AJ8" s="478">
        <f>VLOOKUP(A8,year2022to23,218,FALSE)</f>
        <v>17.920000000000002</v>
      </c>
      <c r="AK8" s="93">
        <f>VLOOKUP(A8,year2022to23,219,FALSE)</f>
        <v>6.9</v>
      </c>
      <c r="AL8" s="476">
        <f>VLOOKUP(A8,year2022to23,220,FALSE)</f>
        <v>0</v>
      </c>
      <c r="AM8" s="480">
        <f>SUM(AJ8:AL8)</f>
        <v>24.82</v>
      </c>
      <c r="AN8" s="478">
        <f>VLOOKUP(A8,year2022to23,223,FALSE)</f>
        <v>43.08</v>
      </c>
      <c r="AO8" s="93">
        <f>VLOOKUP(A8,year2022to23,224,FALSE)</f>
        <v>0</v>
      </c>
      <c r="AP8" s="476">
        <f>VLOOKUP(A8,year2022to23,225,FALSE)</f>
        <v>0</v>
      </c>
      <c r="AQ8" s="480">
        <f>SUM(AN8:AP8)</f>
        <v>43.08</v>
      </c>
      <c r="AR8" s="478">
        <f>VLOOKUP(A8,year2022to23,228,FALSE)</f>
        <v>48.81</v>
      </c>
      <c r="AS8" s="93">
        <f>VLOOKUP(A8,year2022to23,229,FALSE)</f>
        <v>49.45</v>
      </c>
      <c r="AT8" s="476">
        <f>VLOOKUP(A8,year2022to23,230,FALSE)</f>
        <v>0</v>
      </c>
      <c r="AU8" s="482">
        <f>SUM(AR8:AT8)</f>
        <v>98.26</v>
      </c>
      <c r="AV8" s="478">
        <f>VLOOKUP(A8,year2022to23,233,FALSE)</f>
        <v>45.33</v>
      </c>
      <c r="AW8" s="93">
        <f>VLOOKUP(A8,year2022to23,234,FALSE)</f>
        <v>0</v>
      </c>
      <c r="AX8" s="476">
        <f>VLOOKUP(A8,year2022to23,235,FALSE)</f>
        <v>0</v>
      </c>
      <c r="AY8" s="482">
        <f>SUM(AV8:AX8)</f>
        <v>45.33</v>
      </c>
      <c r="AZ8" s="478">
        <f>VLOOKUP(A8,year2022to23,238,FALSE)</f>
        <v>37.549999999999997</v>
      </c>
      <c r="BA8" s="93">
        <f>VLOOKUP(A8,year2022to23,239,FALSE)</f>
        <v>24.684000000000001</v>
      </c>
      <c r="BB8" s="476">
        <f>VLOOKUP(A8,year2022to23,240,FALSE)</f>
        <v>0</v>
      </c>
      <c r="BC8" s="482">
        <f>SUM(AZ8:BB8)</f>
        <v>62.233999999999995</v>
      </c>
      <c r="BD8" s="478">
        <f>VLOOKUP(A8,year2022to23,243,FALSE)</f>
        <v>29.38</v>
      </c>
      <c r="BE8" s="93">
        <f>VLOOKUP(A8,year2022to23,244,FALSE)</f>
        <v>22.62</v>
      </c>
      <c r="BF8" s="476">
        <f>VLOOKUP(A8,year2022to23,245,FALSE)</f>
        <v>0</v>
      </c>
      <c r="BG8" s="482">
        <f>SUM(BD8:BF8)</f>
        <v>52</v>
      </c>
    </row>
    <row r="9" spans="1:59" x14ac:dyDescent="0.25">
      <c r="A9" s="1">
        <v>29</v>
      </c>
      <c r="B9" s="1">
        <v>11.38</v>
      </c>
      <c r="C9" s="1">
        <f>VLOOKUP(A9,ffbbudgettwofive,18,FALSE)</f>
        <v>7</v>
      </c>
      <c r="D9" s="1">
        <f>VLOOKUP(A9,harvestinground,5,FALSE)</f>
        <v>4.74</v>
      </c>
      <c r="E9" s="1">
        <f>VLOOKUP(A9,harvestinground,6,FALSE)</f>
        <v>10.379999999999999</v>
      </c>
      <c r="F9" s="1">
        <f>VLOOKUP(A9,harvestinground,7,FALSE)</f>
        <v>0</v>
      </c>
      <c r="G9" s="1">
        <f>SUM(D9:F9)</f>
        <v>15.12</v>
      </c>
      <c r="I9" s="1">
        <f>VLOOKUP(A9,manday,34,FALSE)</f>
        <v>21</v>
      </c>
      <c r="J9" s="12">
        <f>G9/I9</f>
        <v>0.72</v>
      </c>
      <c r="L9" s="93">
        <f>VLOOKUP(A9,year2022to23,188,FALSE)</f>
        <v>0</v>
      </c>
      <c r="M9" s="93">
        <f>VLOOKUP(A9,year2022to23,189,FALSE)</f>
        <v>0</v>
      </c>
      <c r="N9" s="476">
        <f>VLOOKUP(A9,year2022to23,190,FALSE)</f>
        <v>0</v>
      </c>
      <c r="O9" s="480">
        <f>SUM(L9:N9)</f>
        <v>0</v>
      </c>
      <c r="P9" s="478">
        <f>VLOOKUP(A9,year2022to23,193,FALSE)</f>
        <v>0</v>
      </c>
      <c r="Q9" s="93">
        <f>VLOOKUP(A9,year2022to23,194,FALSE)</f>
        <v>0</v>
      </c>
      <c r="R9" s="476">
        <f>VLOOKUP(A9,year2022to23,195,FALSE)</f>
        <v>0</v>
      </c>
      <c r="S9" s="480">
        <f>SUM(P9:R9)</f>
        <v>0</v>
      </c>
      <c r="T9" s="478">
        <f>VLOOKUP(A9,year2022to23,198,FALSE)</f>
        <v>0</v>
      </c>
      <c r="U9" s="93">
        <f>VLOOKUP(A9,year2022to23,199,FALSE)</f>
        <v>0</v>
      </c>
      <c r="V9" s="476">
        <f>VLOOKUP(A9,year2022to23,200,FALSE)</f>
        <v>0</v>
      </c>
      <c r="W9" s="480">
        <f>SUM(T9:V9)</f>
        <v>0</v>
      </c>
      <c r="X9" s="478">
        <f>VLOOKUP(A9,year2022to23,203,FALSE)</f>
        <v>0</v>
      </c>
      <c r="Y9" s="93">
        <f>VLOOKUP(A9,year2022to23,204,FALSE)</f>
        <v>0</v>
      </c>
      <c r="Z9" s="476">
        <f>VLOOKUP(A9,year2022to23,205,FALSE)</f>
        <v>0</v>
      </c>
      <c r="AA9" s="480">
        <f>SUM(X9:Z9)</f>
        <v>0</v>
      </c>
      <c r="AB9" s="478">
        <f>VLOOKUP(A9,year2022to23,208,FALSE)</f>
        <v>0</v>
      </c>
      <c r="AC9" s="93">
        <f>VLOOKUP(A9,year2022to23,209,FALSE)</f>
        <v>0</v>
      </c>
      <c r="AD9" s="476">
        <f>VLOOKUP(A9,year2022to23,210,FALSE)</f>
        <v>0</v>
      </c>
      <c r="AE9" s="480">
        <f>SUM(AB9:AD9)</f>
        <v>0</v>
      </c>
      <c r="AF9" s="478">
        <f>VLOOKUP(A9,year2022to23,213,FALSE)</f>
        <v>1.99</v>
      </c>
      <c r="AG9" s="93">
        <f>VLOOKUP(A9,year2022to23,214,FALSE)</f>
        <v>0.54</v>
      </c>
      <c r="AH9" s="476">
        <f>VLOOKUP(A9,year2022to23,215,FALSE)</f>
        <v>0</v>
      </c>
      <c r="AI9" s="480">
        <f>SUM(AF9:AH9)</f>
        <v>2.5300000000000002</v>
      </c>
      <c r="AJ9" s="478">
        <f>VLOOKUP(A9,year2022to23,218,FALSE)</f>
        <v>0.52</v>
      </c>
      <c r="AK9" s="93">
        <f>VLOOKUP(A9,year2022to23,219,FALSE)</f>
        <v>1.32</v>
      </c>
      <c r="AL9" s="476">
        <f>VLOOKUP(A9,year2022to23,220,FALSE)</f>
        <v>0</v>
      </c>
      <c r="AM9" s="480">
        <f>SUM(AJ9:AL9)</f>
        <v>1.84</v>
      </c>
      <c r="AN9" s="478">
        <f>VLOOKUP(A9,year2022to23,223,FALSE)</f>
        <v>0.94</v>
      </c>
      <c r="AO9" s="93">
        <f>VLOOKUP(A9,year2022to23,224,FALSE)</f>
        <v>1.57</v>
      </c>
      <c r="AP9" s="476">
        <f>VLOOKUP(A9,year2022to23,225,FALSE)</f>
        <v>0</v>
      </c>
      <c r="AQ9" s="480">
        <f>SUM(AN9:AP9)</f>
        <v>2.5099999999999998</v>
      </c>
      <c r="AR9" s="478">
        <f>VLOOKUP(A9,year2022to23,228,FALSE)</f>
        <v>0.9</v>
      </c>
      <c r="AS9" s="93">
        <f>VLOOKUP(A9,year2022to23,229,FALSE)</f>
        <v>0</v>
      </c>
      <c r="AT9" s="476">
        <f>VLOOKUP(A9,year2022to23,230,FALSE)</f>
        <v>0</v>
      </c>
      <c r="AU9" s="482">
        <f>SUM(AR9:AT9)</f>
        <v>0.9</v>
      </c>
      <c r="AV9" s="478">
        <f>VLOOKUP(A9,year2022to23,233,FALSE)</f>
        <v>0.83</v>
      </c>
      <c r="AW9" s="93">
        <f>VLOOKUP(A9,year2022to23,234,FALSE)</f>
        <v>1</v>
      </c>
      <c r="AX9" s="476">
        <f>VLOOKUP(A9,year2022to23,235,FALSE)</f>
        <v>0</v>
      </c>
      <c r="AY9" s="482">
        <f>SUM(AV9:AX9)</f>
        <v>1.83</v>
      </c>
      <c r="AZ9" s="478">
        <f>VLOOKUP(A9,year2022to23,238,FALSE)</f>
        <v>1.04</v>
      </c>
      <c r="BA9" s="93">
        <f>VLOOKUP(A9,year2022to23,239,FALSE)</f>
        <v>3.27</v>
      </c>
      <c r="BB9" s="476">
        <f>VLOOKUP(A9,year2022to23,240,FALSE)</f>
        <v>0</v>
      </c>
      <c r="BC9" s="482">
        <f>SUM(AZ9:BB9)</f>
        <v>4.3100000000000005</v>
      </c>
      <c r="BD9" s="478">
        <f>VLOOKUP(A9,year2022to23,243,FALSE)</f>
        <v>1.3</v>
      </c>
      <c r="BE9" s="93">
        <f>VLOOKUP(A9,year2022to23,244,FALSE)</f>
        <v>1.4</v>
      </c>
      <c r="BF9" s="476">
        <f>VLOOKUP(A9,year2022to23,245,FALSE)</f>
        <v>0</v>
      </c>
      <c r="BG9" s="482">
        <f>SUM(BD9:BF9)</f>
        <v>2.7</v>
      </c>
    </row>
    <row r="10" spans="1:59" s="6" customFormat="1" ht="15.75" thickBot="1" x14ac:dyDescent="0.3">
      <c r="B10" s="6">
        <f t="shared" ref="B10:G10" si="0">SUM(B7:B9)</f>
        <v>116.28</v>
      </c>
      <c r="C10" s="6">
        <f t="shared" si="0"/>
        <v>213</v>
      </c>
      <c r="D10" s="6">
        <f t="shared" si="0"/>
        <v>94.469999999999985</v>
      </c>
      <c r="E10" s="6">
        <f t="shared" si="0"/>
        <v>10.379999999999999</v>
      </c>
      <c r="F10" s="6">
        <f t="shared" si="0"/>
        <v>0</v>
      </c>
      <c r="G10" s="6">
        <f t="shared" si="0"/>
        <v>104.85</v>
      </c>
      <c r="H10"/>
      <c r="I10" s="6">
        <f>SUM(I7:I9)</f>
        <v>128</v>
      </c>
      <c r="L10" s="472">
        <f t="shared" ref="L10:BG10" si="1">SUM(L7:L9)</f>
        <v>64.239999999999995</v>
      </c>
      <c r="M10" s="472">
        <f t="shared" si="1"/>
        <v>38.49</v>
      </c>
      <c r="N10" s="472">
        <f t="shared" si="1"/>
        <v>0</v>
      </c>
      <c r="O10" s="481">
        <f t="shared" si="1"/>
        <v>102.72999999999999</v>
      </c>
      <c r="P10" s="472">
        <f t="shared" si="1"/>
        <v>43.2</v>
      </c>
      <c r="Q10" s="472">
        <f t="shared" si="1"/>
        <v>24.5</v>
      </c>
      <c r="R10" s="472">
        <f t="shared" si="1"/>
        <v>0</v>
      </c>
      <c r="S10" s="481">
        <f t="shared" si="1"/>
        <v>67.7</v>
      </c>
      <c r="T10" s="472">
        <f t="shared" si="1"/>
        <v>19.77</v>
      </c>
      <c r="U10" s="472">
        <f t="shared" si="1"/>
        <v>24.83</v>
      </c>
      <c r="V10" s="472">
        <f t="shared" si="1"/>
        <v>24.97</v>
      </c>
      <c r="W10" s="481">
        <f t="shared" si="1"/>
        <v>69.570000000000007</v>
      </c>
      <c r="X10" s="472">
        <f t="shared" si="1"/>
        <v>69.02000000000001</v>
      </c>
      <c r="Y10" s="472">
        <f t="shared" si="1"/>
        <v>24.06</v>
      </c>
      <c r="Z10" s="472">
        <f t="shared" si="1"/>
        <v>0</v>
      </c>
      <c r="AA10" s="481">
        <f t="shared" si="1"/>
        <v>93.08</v>
      </c>
      <c r="AB10" s="472">
        <f t="shared" si="1"/>
        <v>58.220000000000006</v>
      </c>
      <c r="AC10" s="472">
        <f t="shared" si="1"/>
        <v>40.17</v>
      </c>
      <c r="AD10" s="472">
        <f t="shared" si="1"/>
        <v>31.14</v>
      </c>
      <c r="AE10" s="481">
        <f t="shared" si="1"/>
        <v>129.53000000000003</v>
      </c>
      <c r="AF10" s="472">
        <f t="shared" si="1"/>
        <v>47.190000000000005</v>
      </c>
      <c r="AG10" s="472">
        <f t="shared" si="1"/>
        <v>50.13</v>
      </c>
      <c r="AH10" s="472">
        <f t="shared" si="1"/>
        <v>0</v>
      </c>
      <c r="AI10" s="481">
        <f t="shared" si="1"/>
        <v>97.320000000000007</v>
      </c>
      <c r="AJ10" s="472">
        <f t="shared" si="1"/>
        <v>49.300000000000004</v>
      </c>
      <c r="AK10" s="472">
        <f t="shared" si="1"/>
        <v>28.82</v>
      </c>
      <c r="AL10" s="472">
        <f t="shared" si="1"/>
        <v>0</v>
      </c>
      <c r="AM10" s="481">
        <f t="shared" si="1"/>
        <v>78.12</v>
      </c>
      <c r="AN10" s="472">
        <f t="shared" si="1"/>
        <v>84.759999999999991</v>
      </c>
      <c r="AO10" s="472">
        <f t="shared" si="1"/>
        <v>68.13</v>
      </c>
      <c r="AP10" s="472">
        <f t="shared" si="1"/>
        <v>0</v>
      </c>
      <c r="AQ10" s="481">
        <f t="shared" si="1"/>
        <v>152.88999999999999</v>
      </c>
      <c r="AR10" s="472">
        <f t="shared" si="1"/>
        <v>124.74000000000001</v>
      </c>
      <c r="AS10" s="472">
        <f t="shared" si="1"/>
        <v>49.45</v>
      </c>
      <c r="AT10" s="472">
        <f t="shared" si="1"/>
        <v>0</v>
      </c>
      <c r="AU10" s="481">
        <f t="shared" si="1"/>
        <v>174.19000000000003</v>
      </c>
      <c r="AV10" s="472">
        <f t="shared" si="1"/>
        <v>101.17</v>
      </c>
      <c r="AW10" s="472">
        <f t="shared" si="1"/>
        <v>30.3</v>
      </c>
      <c r="AX10" s="472">
        <f t="shared" si="1"/>
        <v>0</v>
      </c>
      <c r="AY10" s="481">
        <f t="shared" si="1"/>
        <v>131.47</v>
      </c>
      <c r="AZ10" s="472">
        <f t="shared" si="1"/>
        <v>97.964000000000013</v>
      </c>
      <c r="BA10" s="472">
        <f t="shared" si="1"/>
        <v>64.293999999999997</v>
      </c>
      <c r="BB10" s="472">
        <f t="shared" si="1"/>
        <v>0</v>
      </c>
      <c r="BC10" s="481">
        <f t="shared" si="1"/>
        <v>162.25799999999998</v>
      </c>
      <c r="BD10" s="472">
        <f t="shared" si="1"/>
        <v>92.929999999999993</v>
      </c>
      <c r="BE10" s="472">
        <f t="shared" si="1"/>
        <v>32.76</v>
      </c>
      <c r="BF10" s="472">
        <f t="shared" si="1"/>
        <v>0</v>
      </c>
      <c r="BG10" s="481">
        <f t="shared" si="1"/>
        <v>125.69</v>
      </c>
    </row>
    <row r="11" spans="1:59" ht="15.75" thickBot="1" x14ac:dyDescent="0.3">
      <c r="I11" s="6"/>
      <c r="J11" s="6"/>
    </row>
    <row r="12" spans="1:59" ht="30" x14ac:dyDescent="0.25">
      <c r="J12" s="197" t="s">
        <v>108</v>
      </c>
    </row>
    <row r="13" spans="1:59" ht="15.75" thickBot="1" x14ac:dyDescent="0.3">
      <c r="J13" s="198">
        <f>G10/(D3-D4)</f>
        <v>20.97</v>
      </c>
    </row>
    <row r="14" spans="1:59" x14ac:dyDescent="0.25">
      <c r="H14" s="6"/>
    </row>
    <row r="15" spans="1:59" ht="15.75" thickBot="1" x14ac:dyDescent="0.3"/>
    <row r="16" spans="1:59" ht="30" x14ac:dyDescent="0.25">
      <c r="J16" s="197" t="s">
        <v>107</v>
      </c>
    </row>
    <row r="17" spans="10:10" ht="15.75" thickBot="1" x14ac:dyDescent="0.3">
      <c r="J17" s="198">
        <f>B10/(D3-D4)</f>
        <v>23.256</v>
      </c>
    </row>
    <row r="19" spans="10:10" ht="15.75" thickBot="1" x14ac:dyDescent="0.3"/>
    <row r="20" spans="10:10" ht="60" x14ac:dyDescent="0.25">
      <c r="J20" s="197" t="s">
        <v>111</v>
      </c>
    </row>
    <row r="21" spans="10:10" ht="15.75" thickBot="1" x14ac:dyDescent="0.3">
      <c r="J21" s="198" t="str">
        <f>J17/J17&amp;":"&amp;ROUND(J13/J17,2)</f>
        <v>1:0.9</v>
      </c>
    </row>
    <row r="55" spans="5:8" ht="75" x14ac:dyDescent="0.25">
      <c r="E55" s="586" t="s">
        <v>209</v>
      </c>
      <c r="H55" t="s">
        <v>210</v>
      </c>
    </row>
    <row r="105" spans="5:8" ht="375" x14ac:dyDescent="0.25">
      <c r="E105" s="586" t="s">
        <v>211</v>
      </c>
      <c r="H105" s="586" t="s">
        <v>212</v>
      </c>
    </row>
  </sheetData>
  <mergeCells count="12">
    <mergeCell ref="BD5:BG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</mergeCells>
  <conditionalFormatting sqref="G7:G9">
    <cfRule type="expression" dxfId="138" priority="27">
      <formula>G7&gt;C7</formula>
    </cfRule>
    <cfRule type="expression" dxfId="137" priority="28">
      <formula>G7&lt;C7</formula>
    </cfRule>
  </conditionalFormatting>
  <conditionalFormatting sqref="O7:O9">
    <cfRule type="expression" dxfId="136" priority="21">
      <formula>O7&gt;#REF!</formula>
    </cfRule>
    <cfRule type="expression" dxfId="135" priority="22">
      <formula>O7&lt;#REF!</formula>
    </cfRule>
  </conditionalFormatting>
  <conditionalFormatting sqref="S7:S9">
    <cfRule type="expression" dxfId="134" priority="19">
      <formula>S7&gt;#REF!</formula>
    </cfRule>
    <cfRule type="expression" dxfId="133" priority="20">
      <formula>S7&lt;#REF!</formula>
    </cfRule>
  </conditionalFormatting>
  <conditionalFormatting sqref="W7:W9">
    <cfRule type="expression" dxfId="132" priority="17">
      <formula>W7&gt;#REF!</formula>
    </cfRule>
    <cfRule type="expression" dxfId="131" priority="18">
      <formula>W7&lt;#REF!</formula>
    </cfRule>
  </conditionalFormatting>
  <conditionalFormatting sqref="AA7:AA9">
    <cfRule type="expression" dxfId="130" priority="15">
      <formula>AA7&gt;#REF!</formula>
    </cfRule>
    <cfRule type="expression" dxfId="129" priority="16">
      <formula>AA7&lt;#REF!</formula>
    </cfRule>
  </conditionalFormatting>
  <conditionalFormatting sqref="AE7:AE9">
    <cfRule type="expression" dxfId="128" priority="13">
      <formula>AE7&gt;#REF!</formula>
    </cfRule>
    <cfRule type="expression" dxfId="127" priority="14">
      <formula>AE7&lt;#REF!</formula>
    </cfRule>
  </conditionalFormatting>
  <conditionalFormatting sqref="AI7:AI9">
    <cfRule type="expression" dxfId="126" priority="11">
      <formula>AI7&gt;#REF!</formula>
    </cfRule>
    <cfRule type="expression" dxfId="125" priority="12">
      <formula>AI7&lt;#REF!</formula>
    </cfRule>
  </conditionalFormatting>
  <conditionalFormatting sqref="AM7:AM9">
    <cfRule type="expression" dxfId="124" priority="9">
      <formula>AM7&gt;#REF!</formula>
    </cfRule>
    <cfRule type="expression" dxfId="123" priority="10">
      <formula>AM7&lt;#REF!</formula>
    </cfRule>
  </conditionalFormatting>
  <conditionalFormatting sqref="AQ7:AQ9">
    <cfRule type="expression" dxfId="122" priority="7">
      <formula>AQ7&gt;#REF!</formula>
    </cfRule>
    <cfRule type="expression" dxfId="121" priority="8">
      <formula>AQ7&lt;#REF!</formula>
    </cfRule>
  </conditionalFormatting>
  <conditionalFormatting sqref="AU7:AU9">
    <cfRule type="expression" dxfId="120" priority="23">
      <formula>AU7&gt;#REF!</formula>
    </cfRule>
    <cfRule type="expression" dxfId="119" priority="24">
      <formula>AU7&lt;#REF!</formula>
    </cfRule>
  </conditionalFormatting>
  <conditionalFormatting sqref="AY7:AY9">
    <cfRule type="expression" dxfId="118" priority="5">
      <formula>AY7&gt;#REF!</formula>
    </cfRule>
    <cfRule type="expression" dxfId="117" priority="6">
      <formula>AY7&lt;#REF!</formula>
    </cfRule>
  </conditionalFormatting>
  <conditionalFormatting sqref="BC7:BC9">
    <cfRule type="expression" dxfId="116" priority="3">
      <formula>BC7&gt;#REF!</formula>
    </cfRule>
    <cfRule type="expression" dxfId="115" priority="4">
      <formula>BC7&lt;#REF!</formula>
    </cfRule>
  </conditionalFormatting>
  <conditionalFormatting sqref="BG7:BG9">
    <cfRule type="expression" dxfId="114" priority="1">
      <formula>BG7&gt;#REF!</formula>
    </cfRule>
    <cfRule type="expression" dxfId="113" priority="2">
      <formula>BG7&lt;#REF!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11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52B0F-0F61-4A88-88D3-9539ABF82FAA}">
  <dimension ref="A1:BG105"/>
  <sheetViews>
    <sheetView view="pageBreakPreview" zoomScaleNormal="100" zoomScaleSheetLayoutView="100" workbookViewId="0">
      <selection activeCell="AR7" sqref="AR7"/>
    </sheetView>
  </sheetViews>
  <sheetFormatPr defaultRowHeight="15" x14ac:dyDescent="0.25"/>
  <cols>
    <col min="8" max="8" width="0.5703125" customWidth="1"/>
    <col min="10" max="10" width="9.140625" style="8"/>
    <col min="12" max="43" width="0" hidden="1" customWidth="1"/>
  </cols>
  <sheetData>
    <row r="1" spans="1:59" s="5" customFormat="1" x14ac:dyDescent="0.25">
      <c r="A1" s="5" t="str">
        <f>'HARVESTING ROUND'!A1</f>
        <v>HARVESTER PERFORMANCE CHART FOR THE MONTH OF DEC 2025 (1ST - 31ST)</v>
      </c>
      <c r="J1" s="195"/>
      <c r="K1" s="5" t="str">
        <f>'HARVESTING ROUND'!H1</f>
        <v>HARVESTER PERFORMANCE CHART FOR THE MONTH OF SEPT 2024 (1ST - 30TH)</v>
      </c>
    </row>
    <row r="2" spans="1:59" x14ac:dyDescent="0.25">
      <c r="A2" t="s">
        <v>245</v>
      </c>
    </row>
    <row r="3" spans="1:59" x14ac:dyDescent="0.25">
      <c r="A3" t="s">
        <v>104</v>
      </c>
      <c r="D3" s="194">
        <v>12</v>
      </c>
    </row>
    <row r="4" spans="1:59" x14ac:dyDescent="0.25">
      <c r="A4" t="s">
        <v>105</v>
      </c>
      <c r="D4" s="194">
        <v>0</v>
      </c>
    </row>
    <row r="5" spans="1:59" ht="15.75" thickBot="1" x14ac:dyDescent="0.3">
      <c r="L5" s="961">
        <v>45292</v>
      </c>
      <c r="M5" s="961"/>
      <c r="N5" s="961"/>
      <c r="O5" s="962"/>
      <c r="P5" s="961">
        <v>45323</v>
      </c>
      <c r="Q5" s="961"/>
      <c r="R5" s="961"/>
      <c r="S5" s="962"/>
      <c r="T5" s="961">
        <v>45352</v>
      </c>
      <c r="U5" s="961"/>
      <c r="V5" s="961"/>
      <c r="W5" s="962"/>
      <c r="X5" s="961">
        <v>45383</v>
      </c>
      <c r="Y5" s="961"/>
      <c r="Z5" s="961"/>
      <c r="AA5" s="962"/>
      <c r="AB5" s="961">
        <v>45413</v>
      </c>
      <c r="AC5" s="961"/>
      <c r="AD5" s="961"/>
      <c r="AE5" s="962"/>
      <c r="AF5" s="961">
        <v>45444</v>
      </c>
      <c r="AG5" s="961"/>
      <c r="AH5" s="961"/>
      <c r="AI5" s="962"/>
      <c r="AJ5" s="961">
        <v>45474</v>
      </c>
      <c r="AK5" s="961"/>
      <c r="AL5" s="961"/>
      <c r="AM5" s="962"/>
      <c r="AN5" s="961">
        <v>45505</v>
      </c>
      <c r="AO5" s="961"/>
      <c r="AP5" s="961"/>
      <c r="AQ5" s="962"/>
      <c r="AR5" s="961">
        <v>45536</v>
      </c>
      <c r="AS5" s="961"/>
      <c r="AT5" s="961"/>
      <c r="AU5" s="962"/>
      <c r="AV5" s="961">
        <v>45566</v>
      </c>
      <c r="AW5" s="961"/>
      <c r="AX5" s="961"/>
      <c r="AY5" s="962"/>
      <c r="AZ5" s="961">
        <v>45597</v>
      </c>
      <c r="BA5" s="961"/>
      <c r="BB5" s="961"/>
      <c r="BC5" s="962"/>
      <c r="BD5" s="961">
        <v>45627</v>
      </c>
      <c r="BE5" s="961"/>
      <c r="BF5" s="961"/>
      <c r="BG5" s="962"/>
    </row>
    <row r="6" spans="1:59" ht="30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1"/>
      <c r="I6" s="2" t="s">
        <v>103</v>
      </c>
      <c r="J6" s="196" t="s">
        <v>106</v>
      </c>
      <c r="L6" s="2" t="s">
        <v>3</v>
      </c>
      <c r="M6" s="2" t="s">
        <v>4</v>
      </c>
      <c r="N6" s="475" t="s">
        <v>5</v>
      </c>
      <c r="O6" s="479" t="s">
        <v>6</v>
      </c>
      <c r="P6" s="477" t="s">
        <v>3</v>
      </c>
      <c r="Q6" s="2" t="s">
        <v>4</v>
      </c>
      <c r="R6" s="475" t="s">
        <v>5</v>
      </c>
      <c r="S6" s="479" t="s">
        <v>6</v>
      </c>
      <c r="T6" s="477" t="s">
        <v>3</v>
      </c>
      <c r="U6" s="2" t="s">
        <v>4</v>
      </c>
      <c r="V6" s="475" t="s">
        <v>5</v>
      </c>
      <c r="W6" s="479" t="s">
        <v>6</v>
      </c>
      <c r="X6" s="477" t="s">
        <v>3</v>
      </c>
      <c r="Y6" s="2" t="s">
        <v>4</v>
      </c>
      <c r="Z6" s="475" t="s">
        <v>5</v>
      </c>
      <c r="AA6" s="479" t="s">
        <v>6</v>
      </c>
      <c r="AB6" s="477" t="s">
        <v>3</v>
      </c>
      <c r="AC6" s="2" t="s">
        <v>4</v>
      </c>
      <c r="AD6" s="475" t="s">
        <v>5</v>
      </c>
      <c r="AE6" s="479" t="s">
        <v>6</v>
      </c>
      <c r="AF6" s="477" t="s">
        <v>3</v>
      </c>
      <c r="AG6" s="2" t="s">
        <v>4</v>
      </c>
      <c r="AH6" s="475" t="s">
        <v>5</v>
      </c>
      <c r="AI6" s="479" t="s">
        <v>6</v>
      </c>
      <c r="AJ6" s="477" t="s">
        <v>3</v>
      </c>
      <c r="AK6" s="2" t="s">
        <v>4</v>
      </c>
      <c r="AL6" s="475" t="s">
        <v>5</v>
      </c>
      <c r="AM6" s="479" t="s">
        <v>6</v>
      </c>
      <c r="AN6" s="477" t="s">
        <v>3</v>
      </c>
      <c r="AO6" s="2" t="s">
        <v>4</v>
      </c>
      <c r="AP6" s="475" t="s">
        <v>5</v>
      </c>
      <c r="AQ6" s="479" t="s">
        <v>6</v>
      </c>
      <c r="AR6" s="477" t="s">
        <v>3</v>
      </c>
      <c r="AS6" s="2" t="s">
        <v>4</v>
      </c>
      <c r="AT6" s="475" t="s">
        <v>5</v>
      </c>
      <c r="AU6" s="479" t="s">
        <v>6</v>
      </c>
      <c r="AV6" s="477" t="s">
        <v>3</v>
      </c>
      <c r="AW6" s="2" t="s">
        <v>4</v>
      </c>
      <c r="AX6" s="475" t="s">
        <v>5</v>
      </c>
      <c r="AY6" s="479" t="s">
        <v>6</v>
      </c>
      <c r="AZ6" s="477" t="s">
        <v>3</v>
      </c>
      <c r="BA6" s="2" t="s">
        <v>4</v>
      </c>
      <c r="BB6" s="475" t="s">
        <v>5</v>
      </c>
      <c r="BC6" s="479" t="s">
        <v>6</v>
      </c>
      <c r="BD6" s="477" t="s">
        <v>3</v>
      </c>
      <c r="BE6" s="2" t="s">
        <v>4</v>
      </c>
      <c r="BF6" s="475" t="s">
        <v>5</v>
      </c>
      <c r="BG6" s="479" t="s">
        <v>6</v>
      </c>
    </row>
    <row r="7" spans="1:59" x14ac:dyDescent="0.25">
      <c r="A7" s="1">
        <v>4</v>
      </c>
      <c r="B7" s="1">
        <v>70.599999999999994</v>
      </c>
      <c r="C7" s="1">
        <f t="shared" ref="C7:C12" si="0">VLOOKUP(A7,ffbbudgettwofive,18,FALSE)</f>
        <v>141</v>
      </c>
      <c r="D7" s="1">
        <f t="shared" ref="D7:D12" si="1">VLOOKUP(A7,harvestinground,5,FALSE)</f>
        <v>65.040000000000006</v>
      </c>
      <c r="E7" s="1">
        <f t="shared" ref="E7:E12" si="2">VLOOKUP(A7,harvestinground,6,FALSE)</f>
        <v>0</v>
      </c>
      <c r="F7" s="1">
        <f t="shared" ref="F7:F12" si="3">VLOOKUP(A7,harvestinground,7,FALSE)</f>
        <v>0</v>
      </c>
      <c r="G7" s="1">
        <f t="shared" ref="G7:G12" si="4">SUM(D7:F7)</f>
        <v>65.040000000000006</v>
      </c>
      <c r="H7" s="1"/>
      <c r="I7" s="1">
        <f t="shared" ref="I7:I12" si="5">VLOOKUP(A7,manday,34,FALSE)</f>
        <v>46</v>
      </c>
      <c r="J7" s="12">
        <f t="shared" ref="J7:J12" si="6">G7/I7</f>
        <v>1.413913043478261</v>
      </c>
      <c r="L7" s="93">
        <f t="shared" ref="L7:L12" si="7">VLOOKUP(A7,year2022to23,188,FALSE)</f>
        <v>72.989999999999995</v>
      </c>
      <c r="M7" s="93">
        <f t="shared" ref="M7:M12" si="8">VLOOKUP(A7,year2022to23,189,FALSE)</f>
        <v>3.85</v>
      </c>
      <c r="N7" s="476">
        <f t="shared" ref="N7:N12" si="9">VLOOKUP(A7,year2022to23,190,FALSE)</f>
        <v>0</v>
      </c>
      <c r="O7" s="480">
        <f t="shared" ref="O7:O12" si="10">SUM(L7:N7)</f>
        <v>76.839999999999989</v>
      </c>
      <c r="P7" s="478">
        <f t="shared" ref="P7:P12" si="11">VLOOKUP(A7,year2022to23,193,FALSE)</f>
        <v>29.59</v>
      </c>
      <c r="Q7" s="93">
        <f t="shared" ref="Q7:Q12" si="12">VLOOKUP(A7,year2022to23,194,FALSE)</f>
        <v>20.75</v>
      </c>
      <c r="R7" s="476">
        <f t="shared" ref="R7:R12" si="13">VLOOKUP(A7,year2022to23,195,FALSE)</f>
        <v>5.37</v>
      </c>
      <c r="S7" s="480">
        <f t="shared" ref="S7:S12" si="14">SUM(P7:R7)</f>
        <v>55.71</v>
      </c>
      <c r="T7" s="478">
        <f t="shared" ref="T7:T12" si="15">VLOOKUP(A7,year2022to23,198,FALSE)</f>
        <v>16.07</v>
      </c>
      <c r="U7" s="93">
        <f t="shared" ref="U7:U12" si="16">VLOOKUP(A7,year2022to23,199,FALSE)</f>
        <v>4.2300000000000004</v>
      </c>
      <c r="V7" s="476">
        <f t="shared" ref="V7:V12" si="17">VLOOKUP(A7,year2022to23,200,FALSE)</f>
        <v>0</v>
      </c>
      <c r="W7" s="480">
        <f t="shared" ref="W7:W12" si="18">SUM(T7:V7)</f>
        <v>20.3</v>
      </c>
      <c r="X7" s="478">
        <f t="shared" ref="X7:X12" si="19">VLOOKUP(A7,year2022to23,203,FALSE)</f>
        <v>27.87</v>
      </c>
      <c r="Y7" s="93">
        <f t="shared" ref="Y7:Y12" si="20">VLOOKUP(A7,year2022to23,204,FALSE)</f>
        <v>27.01</v>
      </c>
      <c r="Z7" s="476">
        <f t="shared" ref="Z7:Z12" si="21">VLOOKUP(A7,year2022to23,205,FALSE)</f>
        <v>0</v>
      </c>
      <c r="AA7" s="480">
        <f t="shared" ref="AA7:AA12" si="22">SUM(X7:Z7)</f>
        <v>54.88</v>
      </c>
      <c r="AB7" s="478">
        <f t="shared" ref="AB7:AB12" si="23">VLOOKUP(A7,year2022to23,208,FALSE)</f>
        <v>58.79</v>
      </c>
      <c r="AC7" s="93">
        <f t="shared" ref="AC7:AC12" si="24">VLOOKUP(A7,year2022to23,209,FALSE)</f>
        <v>18.04</v>
      </c>
      <c r="AD7" s="476">
        <f t="shared" ref="AD7:AD12" si="25">VLOOKUP(A7,year2022to23,210,FALSE)</f>
        <v>0</v>
      </c>
      <c r="AE7" s="480">
        <f t="shared" ref="AE7:AE12" si="26">SUM(AB7:AD7)</f>
        <v>76.83</v>
      </c>
      <c r="AF7" s="478">
        <f t="shared" ref="AF7:AF12" si="27">VLOOKUP(A7,year2022to23,213,FALSE)</f>
        <v>33.64</v>
      </c>
      <c r="AG7" s="93">
        <f t="shared" ref="AG7:AG12" si="28">VLOOKUP(A7,year2022to23,214,FALSE)</f>
        <v>31.44</v>
      </c>
      <c r="AH7" s="476">
        <f t="shared" ref="AH7:AH12" si="29">VLOOKUP(A7,year2022to23,215,FALSE)</f>
        <v>0</v>
      </c>
      <c r="AI7" s="480">
        <f t="shared" ref="AI7:AI12" si="30">SUM(AF7:AH7)</f>
        <v>65.08</v>
      </c>
      <c r="AJ7" s="478">
        <f t="shared" ref="AJ7:AJ12" si="31">VLOOKUP(A7,year2022to23,218,FALSE)</f>
        <v>71.55</v>
      </c>
      <c r="AK7" s="93">
        <f t="shared" ref="AK7:AK12" si="32">VLOOKUP(A7,year2022to23,219,FALSE)</f>
        <v>31.87</v>
      </c>
      <c r="AL7" s="476">
        <f t="shared" ref="AL7:AL12" si="33">VLOOKUP(A7,year2022to23,220,FALSE)</f>
        <v>0</v>
      </c>
      <c r="AM7" s="480">
        <f t="shared" ref="AM7:AM12" si="34">SUM(AJ7:AL7)</f>
        <v>103.42</v>
      </c>
      <c r="AN7" s="478">
        <f t="shared" ref="AN7:AN12" si="35">VLOOKUP(A7,year2022to23,223,FALSE)</f>
        <v>21.19</v>
      </c>
      <c r="AO7" s="93">
        <f t="shared" ref="AO7:AO12" si="36">VLOOKUP(A7,year2022to23,224,FALSE)</f>
        <v>73.38</v>
      </c>
      <c r="AP7" s="476">
        <f t="shared" ref="AP7:AP12" si="37">VLOOKUP(A7,year2022to23,225,FALSE)</f>
        <v>0</v>
      </c>
      <c r="AQ7" s="480">
        <f t="shared" ref="AQ7:AQ12" si="38">SUM(AN7:AP7)</f>
        <v>94.57</v>
      </c>
      <c r="AR7" s="478">
        <f t="shared" ref="AR7:AR12" si="39">VLOOKUP(A7,year2022to23,228,FALSE)</f>
        <v>104.9</v>
      </c>
      <c r="AS7" s="93">
        <f t="shared" ref="AS7:AS12" si="40">VLOOKUP(A7,year2022to23,229,FALSE)</f>
        <v>22.65</v>
      </c>
      <c r="AT7" s="476">
        <f t="shared" ref="AT7:AT12" si="41">VLOOKUP(A7,year2022to23,230,FALSE)</f>
        <v>0</v>
      </c>
      <c r="AU7" s="482">
        <f t="shared" ref="AU7:AU12" si="42">SUM(AR7:AT7)</f>
        <v>127.55000000000001</v>
      </c>
      <c r="AV7" s="478">
        <f t="shared" ref="AV7:AV12" si="43">VLOOKUP(A7,year2022to23,233,FALSE)</f>
        <v>66.59</v>
      </c>
      <c r="AW7" s="93">
        <f t="shared" ref="AW7:AW12" si="44">VLOOKUP(A7,year2022to23,234,FALSE)</f>
        <v>77.31</v>
      </c>
      <c r="AX7" s="476">
        <f t="shared" ref="AX7:AX12" si="45">VLOOKUP(A7,year2022to23,235,FALSE)</f>
        <v>0</v>
      </c>
      <c r="AY7" s="482">
        <f t="shared" ref="AY7:AY12" si="46">SUM(AV7:AX7)</f>
        <v>143.9</v>
      </c>
      <c r="AZ7" s="478">
        <f t="shared" ref="AZ7:AZ12" si="47">VLOOKUP(A7,year2022to23,238,FALSE)</f>
        <v>66.516000000000005</v>
      </c>
      <c r="BA7" s="93">
        <f t="shared" ref="BA7:BA12" si="48">VLOOKUP(A7,year2022to23,239,FALSE)</f>
        <v>71.307000000000002</v>
      </c>
      <c r="BB7" s="476">
        <f t="shared" ref="BB7:BB12" si="49">VLOOKUP(A7,year2022to23,240,FALSE)</f>
        <v>0</v>
      </c>
      <c r="BC7" s="482">
        <f t="shared" ref="BC7:BC12" si="50">SUM(AZ7:BB7)</f>
        <v>137.82300000000001</v>
      </c>
      <c r="BD7" s="478">
        <f t="shared" ref="BD7:BD12" si="51">VLOOKUP(A7,year2022to23,243,FALSE)</f>
        <v>70.53</v>
      </c>
      <c r="BE7" s="93">
        <f t="shared" ref="BE7:BE12" si="52">VLOOKUP(A7,year2022to23,244,FALSE)</f>
        <v>0</v>
      </c>
      <c r="BF7" s="476">
        <f t="shared" ref="BF7:BF12" si="53">VLOOKUP(A7,year2022to23,245,FALSE)</f>
        <v>0</v>
      </c>
      <c r="BG7" s="482">
        <f t="shared" ref="BG7:BG12" si="54">SUM(BD7:BF7)</f>
        <v>70.53</v>
      </c>
    </row>
    <row r="8" spans="1:59" x14ac:dyDescent="0.25">
      <c r="A8" s="1">
        <v>5</v>
      </c>
      <c r="B8" s="1">
        <v>50.4</v>
      </c>
      <c r="C8" s="1">
        <f t="shared" si="0"/>
        <v>101</v>
      </c>
      <c r="D8" s="1">
        <f t="shared" si="1"/>
        <v>47.44</v>
      </c>
      <c r="E8" s="1">
        <f t="shared" si="2"/>
        <v>32.090000000000003</v>
      </c>
      <c r="F8" s="1">
        <f t="shared" si="3"/>
        <v>0</v>
      </c>
      <c r="G8" s="1">
        <f t="shared" si="4"/>
        <v>79.53</v>
      </c>
      <c r="H8" s="1"/>
      <c r="I8" s="1">
        <f t="shared" si="5"/>
        <v>62</v>
      </c>
      <c r="J8" s="12">
        <f t="shared" si="6"/>
        <v>1.2827419354838709</v>
      </c>
      <c r="L8" s="93">
        <f t="shared" si="7"/>
        <v>45.32</v>
      </c>
      <c r="M8" s="93">
        <f t="shared" si="8"/>
        <v>0</v>
      </c>
      <c r="N8" s="476">
        <f t="shared" si="9"/>
        <v>0</v>
      </c>
      <c r="O8" s="480">
        <f t="shared" si="10"/>
        <v>45.32</v>
      </c>
      <c r="P8" s="478">
        <f t="shared" si="11"/>
        <v>13.96</v>
      </c>
      <c r="Q8" s="93">
        <f t="shared" si="12"/>
        <v>12.2</v>
      </c>
      <c r="R8" s="476">
        <f t="shared" si="13"/>
        <v>0</v>
      </c>
      <c r="S8" s="480">
        <f t="shared" si="14"/>
        <v>26.16</v>
      </c>
      <c r="T8" s="478">
        <f t="shared" si="15"/>
        <v>18.850000000000001</v>
      </c>
      <c r="U8" s="93">
        <f t="shared" si="16"/>
        <v>3.69</v>
      </c>
      <c r="V8" s="476">
        <f t="shared" si="17"/>
        <v>2.31</v>
      </c>
      <c r="W8" s="480">
        <f t="shared" si="18"/>
        <v>24.85</v>
      </c>
      <c r="X8" s="478">
        <f t="shared" si="19"/>
        <v>20.49</v>
      </c>
      <c r="Y8" s="93">
        <f t="shared" si="20"/>
        <v>24.39</v>
      </c>
      <c r="Z8" s="476">
        <f t="shared" si="21"/>
        <v>0</v>
      </c>
      <c r="AA8" s="480">
        <f t="shared" si="22"/>
        <v>44.879999999999995</v>
      </c>
      <c r="AB8" s="478">
        <f t="shared" si="23"/>
        <v>41.45</v>
      </c>
      <c r="AC8" s="93">
        <f t="shared" si="24"/>
        <v>24.85</v>
      </c>
      <c r="AD8" s="476">
        <f t="shared" si="25"/>
        <v>0</v>
      </c>
      <c r="AE8" s="480">
        <f t="shared" si="26"/>
        <v>66.300000000000011</v>
      </c>
      <c r="AF8" s="478">
        <f t="shared" si="27"/>
        <v>12.08</v>
      </c>
      <c r="AG8" s="93">
        <f t="shared" si="28"/>
        <v>24.44</v>
      </c>
      <c r="AH8" s="476">
        <f t="shared" si="29"/>
        <v>0</v>
      </c>
      <c r="AI8" s="480">
        <f t="shared" si="30"/>
        <v>36.520000000000003</v>
      </c>
      <c r="AJ8" s="478">
        <f t="shared" si="31"/>
        <v>40.9</v>
      </c>
      <c r="AK8" s="93">
        <f t="shared" si="32"/>
        <v>43.42</v>
      </c>
      <c r="AL8" s="476">
        <f t="shared" si="33"/>
        <v>0</v>
      </c>
      <c r="AM8" s="480">
        <f t="shared" si="34"/>
        <v>84.32</v>
      </c>
      <c r="AN8" s="478">
        <f t="shared" si="35"/>
        <v>49.93</v>
      </c>
      <c r="AO8" s="93">
        <f t="shared" si="36"/>
        <v>13.46</v>
      </c>
      <c r="AP8" s="476">
        <f t="shared" si="37"/>
        <v>0</v>
      </c>
      <c r="AQ8" s="480">
        <f t="shared" si="38"/>
        <v>63.39</v>
      </c>
      <c r="AR8" s="478">
        <f t="shared" si="39"/>
        <v>72.42</v>
      </c>
      <c r="AS8" s="93">
        <f t="shared" si="40"/>
        <v>41.96</v>
      </c>
      <c r="AT8" s="476">
        <f t="shared" si="41"/>
        <v>0</v>
      </c>
      <c r="AU8" s="482">
        <f t="shared" si="42"/>
        <v>114.38</v>
      </c>
      <c r="AV8" s="478">
        <f t="shared" si="43"/>
        <v>105.11999999999999</v>
      </c>
      <c r="AW8" s="93">
        <f t="shared" si="44"/>
        <v>0</v>
      </c>
      <c r="AX8" s="476">
        <f t="shared" si="45"/>
        <v>0</v>
      </c>
      <c r="AY8" s="482">
        <f t="shared" si="46"/>
        <v>105.11999999999999</v>
      </c>
      <c r="AZ8" s="478">
        <f t="shared" si="47"/>
        <v>40.94</v>
      </c>
      <c r="BA8" s="93">
        <f t="shared" si="48"/>
        <v>53.29</v>
      </c>
      <c r="BB8" s="476">
        <f t="shared" si="49"/>
        <v>0</v>
      </c>
      <c r="BC8" s="482">
        <f t="shared" si="50"/>
        <v>94.22999999999999</v>
      </c>
      <c r="BD8" s="478">
        <f t="shared" si="51"/>
        <v>37.130000000000003</v>
      </c>
      <c r="BE8" s="93">
        <f t="shared" si="52"/>
        <v>39.159999999999997</v>
      </c>
      <c r="BF8" s="476">
        <f t="shared" si="53"/>
        <v>0</v>
      </c>
      <c r="BG8" s="482">
        <f t="shared" si="54"/>
        <v>76.289999999999992</v>
      </c>
    </row>
    <row r="9" spans="1:59" x14ac:dyDescent="0.25">
      <c r="A9" s="1">
        <v>6</v>
      </c>
      <c r="B9" s="1">
        <v>58.6</v>
      </c>
      <c r="C9" s="1">
        <f t="shared" si="0"/>
        <v>117</v>
      </c>
      <c r="D9" s="1">
        <f t="shared" si="1"/>
        <v>60.33</v>
      </c>
      <c r="E9" s="1">
        <f t="shared" si="2"/>
        <v>64.91</v>
      </c>
      <c r="F9" s="1">
        <f t="shared" si="3"/>
        <v>0</v>
      </c>
      <c r="G9" s="1">
        <f t="shared" si="4"/>
        <v>125.24</v>
      </c>
      <c r="H9" s="1"/>
      <c r="I9" s="1">
        <f t="shared" si="5"/>
        <v>86</v>
      </c>
      <c r="J9" s="12">
        <f t="shared" si="6"/>
        <v>1.4562790697674417</v>
      </c>
      <c r="L9" s="93">
        <f t="shared" si="7"/>
        <v>54.29</v>
      </c>
      <c r="M9" s="93">
        <f t="shared" si="8"/>
        <v>33.729999999999997</v>
      </c>
      <c r="N9" s="476">
        <f t="shared" si="9"/>
        <v>0</v>
      </c>
      <c r="O9" s="480">
        <f t="shared" si="10"/>
        <v>88.02</v>
      </c>
      <c r="P9" s="478">
        <f t="shared" si="11"/>
        <v>27.04</v>
      </c>
      <c r="Q9" s="93">
        <f t="shared" si="12"/>
        <v>12.78</v>
      </c>
      <c r="R9" s="476">
        <f t="shared" si="13"/>
        <v>0</v>
      </c>
      <c r="S9" s="480">
        <f t="shared" si="14"/>
        <v>39.82</v>
      </c>
      <c r="T9" s="478">
        <f t="shared" si="15"/>
        <v>19.96</v>
      </c>
      <c r="U9" s="93">
        <f t="shared" si="16"/>
        <v>7.43</v>
      </c>
      <c r="V9" s="476">
        <f t="shared" si="17"/>
        <v>0</v>
      </c>
      <c r="W9" s="480">
        <f t="shared" si="18"/>
        <v>27.39</v>
      </c>
      <c r="X9" s="478">
        <f t="shared" si="19"/>
        <v>18.14</v>
      </c>
      <c r="Y9" s="93">
        <f t="shared" si="20"/>
        <v>21.49</v>
      </c>
      <c r="Z9" s="476">
        <f t="shared" si="21"/>
        <v>0</v>
      </c>
      <c r="AA9" s="480">
        <f t="shared" si="22"/>
        <v>39.629999999999995</v>
      </c>
      <c r="AB9" s="478">
        <f t="shared" si="23"/>
        <v>39.369999999999997</v>
      </c>
      <c r="AC9" s="93">
        <f t="shared" si="24"/>
        <v>29.56</v>
      </c>
      <c r="AD9" s="476">
        <f t="shared" si="25"/>
        <v>0</v>
      </c>
      <c r="AE9" s="480">
        <f t="shared" si="26"/>
        <v>68.929999999999993</v>
      </c>
      <c r="AF9" s="478">
        <f t="shared" si="27"/>
        <v>20.09</v>
      </c>
      <c r="AG9" s="93">
        <f t="shared" si="28"/>
        <v>19.05</v>
      </c>
      <c r="AH9" s="476">
        <f t="shared" si="29"/>
        <v>0</v>
      </c>
      <c r="AI9" s="480">
        <f t="shared" si="30"/>
        <v>39.14</v>
      </c>
      <c r="AJ9" s="478">
        <f t="shared" si="31"/>
        <v>67.45</v>
      </c>
      <c r="AK9" s="93">
        <f t="shared" si="32"/>
        <v>60.39</v>
      </c>
      <c r="AL9" s="476">
        <f t="shared" si="33"/>
        <v>0</v>
      </c>
      <c r="AM9" s="480">
        <f t="shared" si="34"/>
        <v>127.84</v>
      </c>
      <c r="AN9" s="478">
        <f t="shared" si="35"/>
        <v>64.3</v>
      </c>
      <c r="AO9" s="93">
        <f t="shared" si="36"/>
        <v>96.37</v>
      </c>
      <c r="AP9" s="476">
        <f t="shared" si="37"/>
        <v>0</v>
      </c>
      <c r="AQ9" s="480">
        <f t="shared" si="38"/>
        <v>160.67000000000002</v>
      </c>
      <c r="AR9" s="478">
        <f t="shared" si="39"/>
        <v>99.91</v>
      </c>
      <c r="AS9" s="93">
        <f t="shared" si="40"/>
        <v>0</v>
      </c>
      <c r="AT9" s="476">
        <f t="shared" si="41"/>
        <v>0</v>
      </c>
      <c r="AU9" s="482">
        <f t="shared" si="42"/>
        <v>99.91</v>
      </c>
      <c r="AV9" s="478">
        <f t="shared" si="43"/>
        <v>87.66</v>
      </c>
      <c r="AW9" s="93">
        <f t="shared" si="44"/>
        <v>26.25</v>
      </c>
      <c r="AX9" s="476">
        <f t="shared" si="45"/>
        <v>0</v>
      </c>
      <c r="AY9" s="482">
        <f t="shared" si="46"/>
        <v>113.91</v>
      </c>
      <c r="AZ9" s="478">
        <f t="shared" si="47"/>
        <v>31.71</v>
      </c>
      <c r="BA9" s="93">
        <f t="shared" si="48"/>
        <v>69.78</v>
      </c>
      <c r="BB9" s="476">
        <f t="shared" si="49"/>
        <v>0</v>
      </c>
      <c r="BC9" s="482">
        <f t="shared" si="50"/>
        <v>101.49000000000001</v>
      </c>
      <c r="BD9" s="478">
        <f t="shared" si="51"/>
        <v>44.18</v>
      </c>
      <c r="BE9" s="93">
        <f t="shared" si="52"/>
        <v>63.39</v>
      </c>
      <c r="BF9" s="476">
        <f t="shared" si="53"/>
        <v>0</v>
      </c>
      <c r="BG9" s="482">
        <f t="shared" si="54"/>
        <v>107.57</v>
      </c>
    </row>
    <row r="10" spans="1:59" x14ac:dyDescent="0.25">
      <c r="A10" s="1">
        <v>7</v>
      </c>
      <c r="B10" s="1">
        <v>23.6</v>
      </c>
      <c r="C10" s="1">
        <f t="shared" si="0"/>
        <v>40</v>
      </c>
      <c r="D10" s="1">
        <f t="shared" si="1"/>
        <v>19.149999999999999</v>
      </c>
      <c r="E10" s="1">
        <f t="shared" si="2"/>
        <v>0</v>
      </c>
      <c r="F10" s="1">
        <f t="shared" si="3"/>
        <v>0</v>
      </c>
      <c r="G10" s="1">
        <f t="shared" si="4"/>
        <v>19.149999999999999</v>
      </c>
      <c r="H10" s="1"/>
      <c r="I10" s="1">
        <f t="shared" si="5"/>
        <v>17</v>
      </c>
      <c r="J10" s="12">
        <f t="shared" si="6"/>
        <v>1.1264705882352941</v>
      </c>
      <c r="L10" s="93">
        <f t="shared" si="7"/>
        <v>17.940000000000001</v>
      </c>
      <c r="M10" s="93">
        <f t="shared" si="8"/>
        <v>7.89</v>
      </c>
      <c r="N10" s="476">
        <f t="shared" si="9"/>
        <v>0</v>
      </c>
      <c r="O10" s="480">
        <f t="shared" si="10"/>
        <v>25.830000000000002</v>
      </c>
      <c r="P10" s="478">
        <f t="shared" si="11"/>
        <v>6.73</v>
      </c>
      <c r="Q10" s="93">
        <f t="shared" si="12"/>
        <v>5.17</v>
      </c>
      <c r="R10" s="476">
        <f t="shared" si="13"/>
        <v>0</v>
      </c>
      <c r="S10" s="480">
        <f t="shared" si="14"/>
        <v>11.9</v>
      </c>
      <c r="T10" s="478">
        <f t="shared" si="15"/>
        <v>11.03</v>
      </c>
      <c r="U10" s="93">
        <f t="shared" si="16"/>
        <v>2.67</v>
      </c>
      <c r="V10" s="476">
        <f t="shared" si="17"/>
        <v>0</v>
      </c>
      <c r="W10" s="480">
        <f t="shared" si="18"/>
        <v>13.7</v>
      </c>
      <c r="X10" s="478">
        <f t="shared" si="19"/>
        <v>12.03</v>
      </c>
      <c r="Y10" s="93">
        <f t="shared" si="20"/>
        <v>12.37</v>
      </c>
      <c r="Z10" s="476">
        <f t="shared" si="21"/>
        <v>0</v>
      </c>
      <c r="AA10" s="480">
        <f t="shared" si="22"/>
        <v>24.4</v>
      </c>
      <c r="AB10" s="478">
        <f t="shared" si="23"/>
        <v>12.62</v>
      </c>
      <c r="AC10" s="93">
        <f t="shared" si="24"/>
        <v>5.03</v>
      </c>
      <c r="AD10" s="476">
        <f t="shared" si="25"/>
        <v>0</v>
      </c>
      <c r="AE10" s="480">
        <f t="shared" si="26"/>
        <v>17.649999999999999</v>
      </c>
      <c r="AF10" s="478">
        <f t="shared" si="27"/>
        <v>12.33</v>
      </c>
      <c r="AG10" s="93">
        <f t="shared" si="28"/>
        <v>7.17</v>
      </c>
      <c r="AH10" s="476">
        <f t="shared" si="29"/>
        <v>0</v>
      </c>
      <c r="AI10" s="480">
        <f t="shared" si="30"/>
        <v>19.5</v>
      </c>
      <c r="AJ10" s="478">
        <f t="shared" si="31"/>
        <v>16.73</v>
      </c>
      <c r="AK10" s="93">
        <f t="shared" si="32"/>
        <v>12.52</v>
      </c>
      <c r="AL10" s="476">
        <f t="shared" si="33"/>
        <v>0</v>
      </c>
      <c r="AM10" s="480">
        <f t="shared" si="34"/>
        <v>29.25</v>
      </c>
      <c r="AN10" s="478">
        <f t="shared" si="35"/>
        <v>29.03</v>
      </c>
      <c r="AO10" s="93">
        <f t="shared" si="36"/>
        <v>0</v>
      </c>
      <c r="AP10" s="476">
        <f t="shared" si="37"/>
        <v>0</v>
      </c>
      <c r="AQ10" s="480">
        <f t="shared" si="38"/>
        <v>29.03</v>
      </c>
      <c r="AR10" s="478">
        <f t="shared" si="39"/>
        <v>30.42</v>
      </c>
      <c r="AS10" s="93">
        <f t="shared" si="40"/>
        <v>30.56</v>
      </c>
      <c r="AT10" s="476">
        <f t="shared" si="41"/>
        <v>0</v>
      </c>
      <c r="AU10" s="482">
        <f t="shared" si="42"/>
        <v>60.980000000000004</v>
      </c>
      <c r="AV10" s="478">
        <f t="shared" si="43"/>
        <v>33.08</v>
      </c>
      <c r="AW10" s="93">
        <f t="shared" si="44"/>
        <v>0</v>
      </c>
      <c r="AX10" s="476">
        <f t="shared" si="45"/>
        <v>0</v>
      </c>
      <c r="AY10" s="482">
        <f t="shared" si="46"/>
        <v>33.08</v>
      </c>
      <c r="AZ10" s="478">
        <f t="shared" si="47"/>
        <v>16.594000000000001</v>
      </c>
      <c r="BA10" s="93">
        <f t="shared" si="48"/>
        <v>24.7</v>
      </c>
      <c r="BB10" s="476">
        <f t="shared" si="49"/>
        <v>0</v>
      </c>
      <c r="BC10" s="482">
        <f t="shared" si="50"/>
        <v>41.293999999999997</v>
      </c>
      <c r="BD10" s="478">
        <f t="shared" si="51"/>
        <v>25.65</v>
      </c>
      <c r="BE10" s="93">
        <f t="shared" si="52"/>
        <v>19.72</v>
      </c>
      <c r="BF10" s="476">
        <f t="shared" si="53"/>
        <v>0</v>
      </c>
      <c r="BG10" s="482">
        <f t="shared" si="54"/>
        <v>45.37</v>
      </c>
    </row>
    <row r="11" spans="1:59" x14ac:dyDescent="0.25">
      <c r="A11" s="1">
        <v>23</v>
      </c>
      <c r="B11" s="1">
        <v>14.6</v>
      </c>
      <c r="C11" s="1">
        <f t="shared" si="0"/>
        <v>31</v>
      </c>
      <c r="D11" s="1">
        <f t="shared" si="1"/>
        <v>25.259999999999998</v>
      </c>
      <c r="E11" s="1">
        <f t="shared" si="2"/>
        <v>0</v>
      </c>
      <c r="F11" s="1">
        <f t="shared" si="3"/>
        <v>0</v>
      </c>
      <c r="G11" s="1">
        <f t="shared" si="4"/>
        <v>25.259999999999998</v>
      </c>
      <c r="H11" s="1"/>
      <c r="I11" s="1">
        <f t="shared" si="5"/>
        <v>11</v>
      </c>
      <c r="J11" s="12">
        <f t="shared" si="6"/>
        <v>2.2963636363636364</v>
      </c>
      <c r="L11" s="93">
        <f t="shared" si="7"/>
        <v>13.68</v>
      </c>
      <c r="M11" s="93">
        <f t="shared" si="8"/>
        <v>7.15</v>
      </c>
      <c r="N11" s="476">
        <f t="shared" si="9"/>
        <v>0</v>
      </c>
      <c r="O11" s="480">
        <f t="shared" si="10"/>
        <v>20.83</v>
      </c>
      <c r="P11" s="478">
        <f t="shared" si="11"/>
        <v>7.71</v>
      </c>
      <c r="Q11" s="93">
        <f t="shared" si="12"/>
        <v>7.31</v>
      </c>
      <c r="R11" s="476">
        <f t="shared" si="13"/>
        <v>0</v>
      </c>
      <c r="S11" s="480">
        <f t="shared" si="14"/>
        <v>15.02</v>
      </c>
      <c r="T11" s="478">
        <f t="shared" si="15"/>
        <v>3.82</v>
      </c>
      <c r="U11" s="93">
        <f t="shared" si="16"/>
        <v>3.35</v>
      </c>
      <c r="V11" s="476">
        <f t="shared" si="17"/>
        <v>0</v>
      </c>
      <c r="W11" s="480">
        <f t="shared" si="18"/>
        <v>7.17</v>
      </c>
      <c r="X11" s="478">
        <f t="shared" si="19"/>
        <v>5.05</v>
      </c>
      <c r="Y11" s="93">
        <f t="shared" si="20"/>
        <v>7.32</v>
      </c>
      <c r="Z11" s="476">
        <f t="shared" si="21"/>
        <v>0</v>
      </c>
      <c r="AA11" s="480">
        <f t="shared" si="22"/>
        <v>12.370000000000001</v>
      </c>
      <c r="AB11" s="478">
        <f t="shared" si="23"/>
        <v>13.94</v>
      </c>
      <c r="AC11" s="93">
        <f t="shared" si="24"/>
        <v>10.199999999999999</v>
      </c>
      <c r="AD11" s="476">
        <f t="shared" si="25"/>
        <v>0</v>
      </c>
      <c r="AE11" s="480">
        <f t="shared" si="26"/>
        <v>24.14</v>
      </c>
      <c r="AF11" s="478">
        <f t="shared" si="27"/>
        <v>7.96</v>
      </c>
      <c r="AG11" s="93">
        <f t="shared" si="28"/>
        <v>7.36</v>
      </c>
      <c r="AH11" s="476">
        <f t="shared" si="29"/>
        <v>0</v>
      </c>
      <c r="AI11" s="480">
        <f t="shared" si="30"/>
        <v>15.32</v>
      </c>
      <c r="AJ11" s="478">
        <f t="shared" si="31"/>
        <v>12.46</v>
      </c>
      <c r="AK11" s="93">
        <f t="shared" si="32"/>
        <v>16.66</v>
      </c>
      <c r="AL11" s="476">
        <f t="shared" si="33"/>
        <v>0</v>
      </c>
      <c r="AM11" s="480">
        <f t="shared" si="34"/>
        <v>29.12</v>
      </c>
      <c r="AN11" s="478">
        <f t="shared" si="35"/>
        <v>12.77</v>
      </c>
      <c r="AO11" s="93">
        <f t="shared" si="36"/>
        <v>27.27</v>
      </c>
      <c r="AP11" s="476">
        <f t="shared" si="37"/>
        <v>0</v>
      </c>
      <c r="AQ11" s="480">
        <f t="shared" si="38"/>
        <v>40.04</v>
      </c>
      <c r="AR11" s="478">
        <f t="shared" si="39"/>
        <v>25.52</v>
      </c>
      <c r="AS11" s="93">
        <f t="shared" si="40"/>
        <v>0</v>
      </c>
      <c r="AT11" s="476">
        <f t="shared" si="41"/>
        <v>0</v>
      </c>
      <c r="AU11" s="482">
        <f t="shared" si="42"/>
        <v>25.52</v>
      </c>
      <c r="AV11" s="478">
        <f t="shared" si="43"/>
        <v>24.509999999999998</v>
      </c>
      <c r="AW11" s="93">
        <f t="shared" si="44"/>
        <v>19.52</v>
      </c>
      <c r="AX11" s="476">
        <f t="shared" si="45"/>
        <v>0</v>
      </c>
      <c r="AY11" s="482">
        <f t="shared" si="46"/>
        <v>44.03</v>
      </c>
      <c r="AZ11" s="478">
        <f t="shared" si="47"/>
        <v>17.55</v>
      </c>
      <c r="BA11" s="93">
        <f t="shared" si="48"/>
        <v>14.82</v>
      </c>
      <c r="BB11" s="476">
        <f t="shared" si="49"/>
        <v>0</v>
      </c>
      <c r="BC11" s="482">
        <f t="shared" si="50"/>
        <v>32.370000000000005</v>
      </c>
      <c r="BD11" s="478">
        <f t="shared" si="51"/>
        <v>4</v>
      </c>
      <c r="BE11" s="93">
        <f t="shared" si="52"/>
        <v>17.66</v>
      </c>
      <c r="BF11" s="476">
        <f t="shared" si="53"/>
        <v>0</v>
      </c>
      <c r="BG11" s="482">
        <f t="shared" si="54"/>
        <v>21.66</v>
      </c>
    </row>
    <row r="12" spans="1:59" x14ac:dyDescent="0.25">
      <c r="A12" s="1">
        <v>24</v>
      </c>
      <c r="B12" s="1">
        <v>44.7</v>
      </c>
      <c r="C12" s="1">
        <f t="shared" si="0"/>
        <v>81</v>
      </c>
      <c r="D12" s="1">
        <f t="shared" si="1"/>
        <v>49.910000000000004</v>
      </c>
      <c r="E12" s="1">
        <f t="shared" si="2"/>
        <v>0</v>
      </c>
      <c r="F12" s="1">
        <f t="shared" si="3"/>
        <v>0</v>
      </c>
      <c r="G12" s="1">
        <f t="shared" si="4"/>
        <v>49.910000000000004</v>
      </c>
      <c r="H12" s="1"/>
      <c r="I12" s="1">
        <f t="shared" si="5"/>
        <v>36</v>
      </c>
      <c r="J12" s="12">
        <f t="shared" si="6"/>
        <v>1.3863888888888889</v>
      </c>
      <c r="L12" s="93">
        <f t="shared" si="7"/>
        <v>40.47</v>
      </c>
      <c r="M12" s="93">
        <f t="shared" si="8"/>
        <v>11.98</v>
      </c>
      <c r="N12" s="476">
        <f t="shared" si="9"/>
        <v>0</v>
      </c>
      <c r="O12" s="480">
        <f t="shared" si="10"/>
        <v>52.45</v>
      </c>
      <c r="P12" s="478">
        <f t="shared" si="11"/>
        <v>10.65</v>
      </c>
      <c r="Q12" s="93">
        <f t="shared" si="12"/>
        <v>11.75</v>
      </c>
      <c r="R12" s="476">
        <f t="shared" si="13"/>
        <v>0</v>
      </c>
      <c r="S12" s="480">
        <f t="shared" si="14"/>
        <v>22.4</v>
      </c>
      <c r="T12" s="478">
        <f t="shared" si="15"/>
        <v>7.11</v>
      </c>
      <c r="U12" s="93">
        <f t="shared" si="16"/>
        <v>4.0199999999999996</v>
      </c>
      <c r="V12" s="476">
        <f t="shared" si="17"/>
        <v>2.67</v>
      </c>
      <c r="W12" s="480">
        <f t="shared" si="18"/>
        <v>13.799999999999999</v>
      </c>
      <c r="X12" s="478">
        <f t="shared" si="19"/>
        <v>14.27</v>
      </c>
      <c r="Y12" s="93">
        <f t="shared" si="20"/>
        <v>2.87</v>
      </c>
      <c r="Z12" s="476">
        <f t="shared" si="21"/>
        <v>0</v>
      </c>
      <c r="AA12" s="480">
        <f t="shared" si="22"/>
        <v>17.14</v>
      </c>
      <c r="AB12" s="478">
        <f t="shared" si="23"/>
        <v>40.590000000000003</v>
      </c>
      <c r="AC12" s="93">
        <f t="shared" si="24"/>
        <v>24.53</v>
      </c>
      <c r="AD12" s="476">
        <f t="shared" si="25"/>
        <v>0</v>
      </c>
      <c r="AE12" s="480">
        <f t="shared" si="26"/>
        <v>65.12</v>
      </c>
      <c r="AF12" s="478">
        <f t="shared" si="27"/>
        <v>16.11</v>
      </c>
      <c r="AG12" s="93">
        <f t="shared" si="28"/>
        <v>19.62</v>
      </c>
      <c r="AH12" s="476">
        <f t="shared" si="29"/>
        <v>27.34</v>
      </c>
      <c r="AI12" s="480">
        <f t="shared" si="30"/>
        <v>63.070000000000007</v>
      </c>
      <c r="AJ12" s="478">
        <f t="shared" si="31"/>
        <v>45.15</v>
      </c>
      <c r="AK12" s="93">
        <f t="shared" si="32"/>
        <v>11.87</v>
      </c>
      <c r="AL12" s="476">
        <f t="shared" si="33"/>
        <v>0</v>
      </c>
      <c r="AM12" s="480">
        <f t="shared" si="34"/>
        <v>57.019999999999996</v>
      </c>
      <c r="AN12" s="478">
        <f t="shared" si="35"/>
        <v>23.98</v>
      </c>
      <c r="AO12" s="93">
        <f t="shared" si="36"/>
        <v>73.34</v>
      </c>
      <c r="AP12" s="476">
        <f t="shared" si="37"/>
        <v>0</v>
      </c>
      <c r="AQ12" s="480">
        <f t="shared" si="38"/>
        <v>97.320000000000007</v>
      </c>
      <c r="AR12" s="478">
        <f t="shared" si="39"/>
        <v>87.79</v>
      </c>
      <c r="AS12" s="93">
        <f t="shared" si="40"/>
        <v>0</v>
      </c>
      <c r="AT12" s="476">
        <f t="shared" si="41"/>
        <v>0</v>
      </c>
      <c r="AU12" s="482">
        <f t="shared" si="42"/>
        <v>87.79</v>
      </c>
      <c r="AV12" s="478">
        <f t="shared" si="43"/>
        <v>86.78</v>
      </c>
      <c r="AW12" s="93">
        <f t="shared" si="44"/>
        <v>44.96</v>
      </c>
      <c r="AX12" s="476">
        <f t="shared" si="45"/>
        <v>0</v>
      </c>
      <c r="AY12" s="482">
        <f t="shared" si="46"/>
        <v>131.74</v>
      </c>
      <c r="AZ12" s="478">
        <f t="shared" si="47"/>
        <v>77.47</v>
      </c>
      <c r="BA12" s="93">
        <f t="shared" si="48"/>
        <v>22.06</v>
      </c>
      <c r="BB12" s="476">
        <f t="shared" si="49"/>
        <v>0</v>
      </c>
      <c r="BC12" s="482">
        <f t="shared" si="50"/>
        <v>99.53</v>
      </c>
      <c r="BD12" s="478">
        <f t="shared" si="51"/>
        <v>29.61</v>
      </c>
      <c r="BE12" s="93">
        <f t="shared" si="52"/>
        <v>57.95</v>
      </c>
      <c r="BF12" s="476">
        <f t="shared" si="53"/>
        <v>0</v>
      </c>
      <c r="BG12" s="482">
        <f t="shared" si="54"/>
        <v>87.56</v>
      </c>
    </row>
    <row r="13" spans="1:59" s="6" customFormat="1" ht="15.75" thickBot="1" x14ac:dyDescent="0.3">
      <c r="B13" s="6">
        <f t="shared" ref="B13:G13" si="55">SUM(B7:B12)</f>
        <v>262.5</v>
      </c>
      <c r="C13" s="6">
        <f t="shared" si="55"/>
        <v>511</v>
      </c>
      <c r="D13" s="6">
        <f t="shared" si="55"/>
        <v>267.13</v>
      </c>
      <c r="E13" s="6">
        <f t="shared" si="55"/>
        <v>97</v>
      </c>
      <c r="F13" s="6">
        <f t="shared" si="55"/>
        <v>0</v>
      </c>
      <c r="G13" s="6">
        <f t="shared" si="55"/>
        <v>364.13</v>
      </c>
      <c r="I13" s="6">
        <f>SUM(I7:I12)</f>
        <v>258</v>
      </c>
      <c r="L13" s="472">
        <f t="shared" ref="L13:BG13" si="56">SUM(L7:L12)</f>
        <v>244.69</v>
      </c>
      <c r="M13" s="472">
        <f t="shared" si="56"/>
        <v>64.599999999999994</v>
      </c>
      <c r="N13" s="472">
        <f t="shared" si="56"/>
        <v>0</v>
      </c>
      <c r="O13" s="481">
        <f t="shared" si="56"/>
        <v>309.29000000000002</v>
      </c>
      <c r="P13" s="472">
        <f t="shared" si="56"/>
        <v>95.68</v>
      </c>
      <c r="Q13" s="472">
        <f t="shared" si="56"/>
        <v>69.960000000000008</v>
      </c>
      <c r="R13" s="472">
        <f t="shared" si="56"/>
        <v>5.37</v>
      </c>
      <c r="S13" s="481">
        <f t="shared" si="56"/>
        <v>171.01000000000002</v>
      </c>
      <c r="T13" s="472">
        <f t="shared" si="56"/>
        <v>76.839999999999989</v>
      </c>
      <c r="U13" s="472">
        <f t="shared" si="56"/>
        <v>25.39</v>
      </c>
      <c r="V13" s="472">
        <f t="shared" si="56"/>
        <v>4.9800000000000004</v>
      </c>
      <c r="W13" s="481">
        <f t="shared" si="56"/>
        <v>107.21000000000001</v>
      </c>
      <c r="X13" s="472">
        <f t="shared" si="56"/>
        <v>97.85</v>
      </c>
      <c r="Y13" s="472">
        <f t="shared" si="56"/>
        <v>95.450000000000017</v>
      </c>
      <c r="Z13" s="472">
        <f t="shared" si="56"/>
        <v>0</v>
      </c>
      <c r="AA13" s="481">
        <f t="shared" si="56"/>
        <v>193.3</v>
      </c>
      <c r="AB13" s="472">
        <f t="shared" si="56"/>
        <v>206.76000000000002</v>
      </c>
      <c r="AC13" s="472">
        <f t="shared" si="56"/>
        <v>112.21000000000001</v>
      </c>
      <c r="AD13" s="472">
        <f t="shared" si="56"/>
        <v>0</v>
      </c>
      <c r="AE13" s="481">
        <f t="shared" si="56"/>
        <v>318.97000000000003</v>
      </c>
      <c r="AF13" s="472">
        <f t="shared" si="56"/>
        <v>102.21</v>
      </c>
      <c r="AG13" s="472">
        <f t="shared" si="56"/>
        <v>109.08000000000001</v>
      </c>
      <c r="AH13" s="472">
        <f t="shared" si="56"/>
        <v>27.34</v>
      </c>
      <c r="AI13" s="481">
        <f t="shared" si="56"/>
        <v>238.63</v>
      </c>
      <c r="AJ13" s="472">
        <f t="shared" si="56"/>
        <v>254.23999999999998</v>
      </c>
      <c r="AK13" s="472">
        <f t="shared" si="56"/>
        <v>176.73000000000002</v>
      </c>
      <c r="AL13" s="472">
        <f t="shared" si="56"/>
        <v>0</v>
      </c>
      <c r="AM13" s="481">
        <f t="shared" si="56"/>
        <v>430.97</v>
      </c>
      <c r="AN13" s="472">
        <f t="shared" si="56"/>
        <v>201.20000000000002</v>
      </c>
      <c r="AO13" s="472">
        <f t="shared" si="56"/>
        <v>283.82000000000005</v>
      </c>
      <c r="AP13" s="472">
        <f t="shared" si="56"/>
        <v>0</v>
      </c>
      <c r="AQ13" s="481">
        <f t="shared" si="56"/>
        <v>485.02</v>
      </c>
      <c r="AR13" s="472">
        <f t="shared" si="56"/>
        <v>420.96000000000004</v>
      </c>
      <c r="AS13" s="472">
        <f t="shared" si="56"/>
        <v>95.17</v>
      </c>
      <c r="AT13" s="472">
        <f t="shared" si="56"/>
        <v>0</v>
      </c>
      <c r="AU13" s="481">
        <f t="shared" si="56"/>
        <v>516.13</v>
      </c>
      <c r="AV13" s="472">
        <f t="shared" si="56"/>
        <v>403.74</v>
      </c>
      <c r="AW13" s="472">
        <f t="shared" si="56"/>
        <v>168.04</v>
      </c>
      <c r="AX13" s="472">
        <f t="shared" si="56"/>
        <v>0</v>
      </c>
      <c r="AY13" s="481">
        <f t="shared" si="56"/>
        <v>571.78</v>
      </c>
      <c r="AZ13" s="472">
        <f t="shared" si="56"/>
        <v>250.78</v>
      </c>
      <c r="BA13" s="472">
        <f t="shared" si="56"/>
        <v>255.95699999999999</v>
      </c>
      <c r="BB13" s="472">
        <f t="shared" si="56"/>
        <v>0</v>
      </c>
      <c r="BC13" s="481">
        <f t="shared" si="56"/>
        <v>506.73699999999997</v>
      </c>
      <c r="BD13" s="472">
        <f t="shared" si="56"/>
        <v>211.10000000000002</v>
      </c>
      <c r="BE13" s="472">
        <f t="shared" si="56"/>
        <v>197.88</v>
      </c>
      <c r="BF13" s="472">
        <f t="shared" si="56"/>
        <v>0</v>
      </c>
      <c r="BG13" s="481">
        <f t="shared" si="56"/>
        <v>408.98</v>
      </c>
    </row>
    <row r="14" spans="1:59" ht="15.75" thickBot="1" x14ac:dyDescent="0.3"/>
    <row r="15" spans="1:59" ht="30" x14ac:dyDescent="0.25">
      <c r="J15" s="197" t="s">
        <v>108</v>
      </c>
    </row>
    <row r="16" spans="1:59" ht="15.75" thickBot="1" x14ac:dyDescent="0.3">
      <c r="J16" s="198">
        <f>G13/(D3-D4)</f>
        <v>30.344166666666666</v>
      </c>
    </row>
    <row r="18" spans="10:10" ht="15.75" thickBot="1" x14ac:dyDescent="0.3"/>
    <row r="19" spans="10:10" ht="30" x14ac:dyDescent="0.25">
      <c r="J19" s="197" t="s">
        <v>107</v>
      </c>
    </row>
    <row r="20" spans="10:10" ht="15.75" thickBot="1" x14ac:dyDescent="0.3">
      <c r="J20" s="198">
        <f>B13/(D3-D4)</f>
        <v>21.875</v>
      </c>
    </row>
    <row r="22" spans="10:10" ht="15.75" thickBot="1" x14ac:dyDescent="0.3"/>
    <row r="23" spans="10:10" ht="60" x14ac:dyDescent="0.25">
      <c r="J23" s="197" t="s">
        <v>111</v>
      </c>
    </row>
    <row r="24" spans="10:10" ht="15.75" thickBot="1" x14ac:dyDescent="0.3">
      <c r="J24" s="198" t="str">
        <f>J20/J20&amp;":"&amp;ROUND(J16/J20,2)</f>
        <v>1:1.39</v>
      </c>
    </row>
    <row r="55" spans="5:8" ht="75" x14ac:dyDescent="0.25">
      <c r="E55" s="586" t="s">
        <v>209</v>
      </c>
      <c r="H55" t="s">
        <v>210</v>
      </c>
    </row>
    <row r="105" spans="5:8" ht="375" x14ac:dyDescent="0.25">
      <c r="E105" s="586" t="s">
        <v>211</v>
      </c>
      <c r="H105" s="586" t="s">
        <v>212</v>
      </c>
    </row>
  </sheetData>
  <mergeCells count="12">
    <mergeCell ref="BD5:BG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</mergeCells>
  <conditionalFormatting sqref="G7:G12">
    <cfRule type="expression" dxfId="112" priority="27">
      <formula>G7&gt;C7</formula>
    </cfRule>
    <cfRule type="expression" dxfId="111" priority="28">
      <formula>G7&lt;C7</formula>
    </cfRule>
  </conditionalFormatting>
  <conditionalFormatting sqref="O7:O12">
    <cfRule type="expression" dxfId="110" priority="21">
      <formula>O7&gt;#REF!</formula>
    </cfRule>
    <cfRule type="expression" dxfId="109" priority="22">
      <formula>O7&lt;#REF!</formula>
    </cfRule>
  </conditionalFormatting>
  <conditionalFormatting sqref="S7:S12">
    <cfRule type="expression" dxfId="108" priority="19">
      <formula>S7&gt;#REF!</formula>
    </cfRule>
    <cfRule type="expression" dxfId="107" priority="20">
      <formula>S7&lt;#REF!</formula>
    </cfRule>
  </conditionalFormatting>
  <conditionalFormatting sqref="W7:W12">
    <cfRule type="expression" dxfId="106" priority="17">
      <formula>W7&gt;#REF!</formula>
    </cfRule>
    <cfRule type="expression" dxfId="105" priority="18">
      <formula>W7&lt;#REF!</formula>
    </cfRule>
  </conditionalFormatting>
  <conditionalFormatting sqref="AA7:AA12">
    <cfRule type="expression" dxfId="104" priority="15">
      <formula>AA7&gt;#REF!</formula>
    </cfRule>
    <cfRule type="expression" dxfId="103" priority="16">
      <formula>AA7&lt;#REF!</formula>
    </cfRule>
  </conditionalFormatting>
  <conditionalFormatting sqref="AE7:AE12">
    <cfRule type="expression" dxfId="102" priority="13">
      <formula>AE7&gt;#REF!</formula>
    </cfRule>
    <cfRule type="expression" dxfId="101" priority="14">
      <formula>AE7&lt;#REF!</formula>
    </cfRule>
  </conditionalFormatting>
  <conditionalFormatting sqref="AI7:AI12">
    <cfRule type="expression" dxfId="100" priority="11">
      <formula>AI7&gt;#REF!</formula>
    </cfRule>
    <cfRule type="expression" dxfId="99" priority="12">
      <formula>AI7&lt;#REF!</formula>
    </cfRule>
  </conditionalFormatting>
  <conditionalFormatting sqref="AM7:AM12">
    <cfRule type="expression" dxfId="98" priority="9">
      <formula>AM7&gt;#REF!</formula>
    </cfRule>
    <cfRule type="expression" dxfId="97" priority="10">
      <formula>AM7&lt;#REF!</formula>
    </cfRule>
  </conditionalFormatting>
  <conditionalFormatting sqref="AQ7:AQ12">
    <cfRule type="expression" dxfId="96" priority="7">
      <formula>AQ7&gt;#REF!</formula>
    </cfRule>
    <cfRule type="expression" dxfId="95" priority="8">
      <formula>AQ7&lt;#REF!</formula>
    </cfRule>
  </conditionalFormatting>
  <conditionalFormatting sqref="AU7:AU12">
    <cfRule type="expression" dxfId="94" priority="23">
      <formula>AU7&gt;#REF!</formula>
    </cfRule>
    <cfRule type="expression" dxfId="93" priority="24">
      <formula>AU7&lt;#REF!</formula>
    </cfRule>
  </conditionalFormatting>
  <conditionalFormatting sqref="AY7:AY12">
    <cfRule type="expression" dxfId="92" priority="5">
      <formula>AY7&gt;#REF!</formula>
    </cfRule>
    <cfRule type="expression" dxfId="91" priority="6">
      <formula>AY7&lt;#REF!</formula>
    </cfRule>
  </conditionalFormatting>
  <conditionalFormatting sqref="BC7:BC12">
    <cfRule type="expression" dxfId="90" priority="3">
      <formula>BC7&gt;#REF!</formula>
    </cfRule>
    <cfRule type="expression" dxfId="89" priority="4">
      <formula>BC7&lt;#REF!</formula>
    </cfRule>
  </conditionalFormatting>
  <conditionalFormatting sqref="BG7:BG12">
    <cfRule type="expression" dxfId="88" priority="1">
      <formula>BG7&gt;#REF!</formula>
    </cfRule>
    <cfRule type="expression" dxfId="87" priority="2">
      <formula>BG7&lt;#REF!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11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8082-266A-4EC4-870C-35A0FFFA04D5}">
  <dimension ref="A1:BG105"/>
  <sheetViews>
    <sheetView view="pageBreakPreview" zoomScaleNormal="100" zoomScaleSheetLayoutView="100" workbookViewId="0">
      <selection activeCell="AY24" sqref="AY24"/>
    </sheetView>
  </sheetViews>
  <sheetFormatPr defaultRowHeight="15" x14ac:dyDescent="0.25"/>
  <cols>
    <col min="8" max="8" width="0.5703125" customWidth="1"/>
    <col min="10" max="10" width="9.140625" style="8"/>
    <col min="12" max="15" width="0" hidden="1" customWidth="1"/>
    <col min="16" max="16" width="9.140625" hidden="1" customWidth="1"/>
    <col min="17" max="43" width="0" hidden="1" customWidth="1"/>
  </cols>
  <sheetData>
    <row r="1" spans="1:59" s="5" customFormat="1" x14ac:dyDescent="0.25">
      <c r="A1" s="5" t="str">
        <f>'HARVESTING ROUND'!A1</f>
        <v>HARVESTER PERFORMANCE CHART FOR THE MONTH OF DEC 2025 (1ST - 31ST)</v>
      </c>
      <c r="J1" s="195"/>
      <c r="K1" s="5" t="str">
        <f>'HARVESTING ROUND'!H1</f>
        <v>HARVESTER PERFORMANCE CHART FOR THE MONTH OF SEPT 2024 (1ST - 30TH)</v>
      </c>
    </row>
    <row r="2" spans="1:59" x14ac:dyDescent="0.25">
      <c r="A2" t="s">
        <v>77</v>
      </c>
    </row>
    <row r="3" spans="1:59" x14ac:dyDescent="0.25">
      <c r="A3" t="s">
        <v>104</v>
      </c>
      <c r="D3" s="194">
        <v>9</v>
      </c>
    </row>
    <row r="4" spans="1:59" x14ac:dyDescent="0.25">
      <c r="A4" t="s">
        <v>105</v>
      </c>
      <c r="D4" s="194">
        <v>0</v>
      </c>
    </row>
    <row r="5" spans="1:59" ht="15.75" thickBot="1" x14ac:dyDescent="0.3">
      <c r="L5" s="961">
        <v>45292</v>
      </c>
      <c r="M5" s="961"/>
      <c r="N5" s="961"/>
      <c r="O5" s="962"/>
      <c r="P5" s="961">
        <v>45323</v>
      </c>
      <c r="Q5" s="961"/>
      <c r="R5" s="961"/>
      <c r="S5" s="962"/>
      <c r="T5" s="961">
        <v>45352</v>
      </c>
      <c r="U5" s="961"/>
      <c r="V5" s="961"/>
      <c r="W5" s="962"/>
      <c r="X5" s="961">
        <v>45383</v>
      </c>
      <c r="Y5" s="961"/>
      <c r="Z5" s="961"/>
      <c r="AA5" s="962"/>
      <c r="AB5" s="961">
        <v>45413</v>
      </c>
      <c r="AC5" s="961"/>
      <c r="AD5" s="961"/>
      <c r="AE5" s="962"/>
      <c r="AF5" s="961">
        <v>45444</v>
      </c>
      <c r="AG5" s="961"/>
      <c r="AH5" s="961"/>
      <c r="AI5" s="962"/>
      <c r="AJ5" s="961">
        <v>45474</v>
      </c>
      <c r="AK5" s="961"/>
      <c r="AL5" s="961"/>
      <c r="AM5" s="962"/>
      <c r="AN5" s="961">
        <v>45505</v>
      </c>
      <c r="AO5" s="961"/>
      <c r="AP5" s="961"/>
      <c r="AQ5" s="962"/>
      <c r="AR5" s="961">
        <v>45536</v>
      </c>
      <c r="AS5" s="961"/>
      <c r="AT5" s="961"/>
      <c r="AU5" s="962"/>
      <c r="AV5" s="961">
        <v>45566</v>
      </c>
      <c r="AW5" s="961"/>
      <c r="AX5" s="961"/>
      <c r="AY5" s="962"/>
      <c r="AZ5" s="961">
        <v>45597</v>
      </c>
      <c r="BA5" s="961"/>
      <c r="BB5" s="961"/>
      <c r="BC5" s="962"/>
      <c r="BD5" s="961">
        <v>45627</v>
      </c>
      <c r="BE5" s="961"/>
      <c r="BF5" s="961"/>
      <c r="BG5" s="962"/>
    </row>
    <row r="6" spans="1:59" ht="30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/>
      <c r="I6" s="2" t="s">
        <v>103</v>
      </c>
      <c r="J6" s="196" t="s">
        <v>106</v>
      </c>
      <c r="L6" s="2" t="s">
        <v>3</v>
      </c>
      <c r="M6" s="2" t="s">
        <v>4</v>
      </c>
      <c r="N6" s="475" t="s">
        <v>5</v>
      </c>
      <c r="O6" s="479" t="s">
        <v>6</v>
      </c>
      <c r="P6" s="477" t="s">
        <v>3</v>
      </c>
      <c r="Q6" s="2" t="s">
        <v>4</v>
      </c>
      <c r="R6" s="475" t="s">
        <v>5</v>
      </c>
      <c r="S6" s="479" t="s">
        <v>6</v>
      </c>
      <c r="T6" s="477" t="s">
        <v>3</v>
      </c>
      <c r="U6" s="2" t="s">
        <v>4</v>
      </c>
      <c r="V6" s="475" t="s">
        <v>5</v>
      </c>
      <c r="W6" s="479" t="s">
        <v>6</v>
      </c>
      <c r="X6" s="477" t="s">
        <v>3</v>
      </c>
      <c r="Y6" s="2" t="s">
        <v>4</v>
      </c>
      <c r="Z6" s="475" t="s">
        <v>5</v>
      </c>
      <c r="AA6" s="479" t="s">
        <v>6</v>
      </c>
      <c r="AB6" s="477" t="s">
        <v>3</v>
      </c>
      <c r="AC6" s="2" t="s">
        <v>4</v>
      </c>
      <c r="AD6" s="475" t="s">
        <v>5</v>
      </c>
      <c r="AE6" s="479" t="s">
        <v>6</v>
      </c>
      <c r="AF6" s="477" t="s">
        <v>3</v>
      </c>
      <c r="AG6" s="2" t="s">
        <v>4</v>
      </c>
      <c r="AH6" s="475" t="s">
        <v>5</v>
      </c>
      <c r="AI6" s="479" t="s">
        <v>6</v>
      </c>
      <c r="AJ6" s="477" t="s">
        <v>3</v>
      </c>
      <c r="AK6" s="2" t="s">
        <v>4</v>
      </c>
      <c r="AL6" s="475" t="s">
        <v>5</v>
      </c>
      <c r="AM6" s="479" t="s">
        <v>6</v>
      </c>
      <c r="AN6" s="477" t="s">
        <v>3</v>
      </c>
      <c r="AO6" s="2" t="s">
        <v>4</v>
      </c>
      <c r="AP6" s="475" t="s">
        <v>5</v>
      </c>
      <c r="AQ6" s="479" t="s">
        <v>6</v>
      </c>
      <c r="AR6" s="477" t="s">
        <v>3</v>
      </c>
      <c r="AS6" s="2" t="s">
        <v>4</v>
      </c>
      <c r="AT6" s="475" t="s">
        <v>5</v>
      </c>
      <c r="AU6" s="479" t="s">
        <v>6</v>
      </c>
      <c r="AV6" s="477" t="s">
        <v>3</v>
      </c>
      <c r="AW6" s="2" t="s">
        <v>4</v>
      </c>
      <c r="AX6" s="475" t="s">
        <v>5</v>
      </c>
      <c r="AY6" s="479" t="s">
        <v>6</v>
      </c>
      <c r="AZ6" s="477" t="s">
        <v>3</v>
      </c>
      <c r="BA6" s="2" t="s">
        <v>4</v>
      </c>
      <c r="BB6" s="475" t="s">
        <v>5</v>
      </c>
      <c r="BC6" s="479" t="s">
        <v>6</v>
      </c>
      <c r="BD6" s="477" t="s">
        <v>3</v>
      </c>
      <c r="BE6" s="2" t="s">
        <v>4</v>
      </c>
      <c r="BF6" s="475" t="s">
        <v>5</v>
      </c>
      <c r="BG6" s="479" t="s">
        <v>6</v>
      </c>
    </row>
    <row r="7" spans="1:59" x14ac:dyDescent="0.25">
      <c r="A7" s="1">
        <v>8</v>
      </c>
      <c r="B7" s="1">
        <v>61.6</v>
      </c>
      <c r="C7" s="1">
        <f t="shared" ref="C7:C12" si="0">VLOOKUP(A7,ffbbudgettwofive,18,FALSE)</f>
        <v>123</v>
      </c>
      <c r="D7" s="1">
        <f t="shared" ref="D7:D12" si="1">VLOOKUP(A7,harvestinground,5,FALSE)</f>
        <v>59.31</v>
      </c>
      <c r="E7" s="1">
        <f t="shared" ref="E7:E12" si="2">VLOOKUP(A7,harvestinground,6,FALSE)</f>
        <v>7.63</v>
      </c>
      <c r="F7" s="1">
        <f t="shared" ref="F7:F12" si="3">VLOOKUP(A7,harvestinground,7,FALSE)</f>
        <v>0</v>
      </c>
      <c r="G7" s="1">
        <f t="shared" ref="G7:G12" si="4">SUM(D7:F7)</f>
        <v>66.94</v>
      </c>
      <c r="H7" s="1"/>
      <c r="I7" s="1">
        <f t="shared" ref="I7:I12" si="5">VLOOKUP(A7,manday,34,FALSE)</f>
        <v>37</v>
      </c>
      <c r="J7" s="12">
        <f t="shared" ref="J7:J12" si="6">G7/I7</f>
        <v>1.8091891891891891</v>
      </c>
      <c r="L7" s="93">
        <f t="shared" ref="L7:L12" si="7">VLOOKUP(A7,year2022to23,188,FALSE)</f>
        <v>42.77</v>
      </c>
      <c r="M7" s="93">
        <f t="shared" ref="M7:M12" si="8">VLOOKUP(A7,year2022to23,189,FALSE)</f>
        <v>18.39</v>
      </c>
      <c r="N7" s="476">
        <f t="shared" ref="N7:N12" si="9">VLOOKUP(A7,year2022to23,190,FALSE)</f>
        <v>0</v>
      </c>
      <c r="O7" s="480">
        <f t="shared" ref="O7:O12" si="10">SUM(L7:N7)</f>
        <v>61.160000000000004</v>
      </c>
      <c r="P7" s="478">
        <f t="shared" ref="P7:P12" si="11">VLOOKUP(A7,year2022to23,193,FALSE)</f>
        <v>32.46</v>
      </c>
      <c r="Q7" s="93">
        <f t="shared" ref="Q7:Q12" si="12">VLOOKUP(A7,year2022to23,194,FALSE)</f>
        <v>20.34</v>
      </c>
      <c r="R7" s="476">
        <f t="shared" ref="R7:R12" si="13">VLOOKUP(A7,year2022to23,195,FALSE)</f>
        <v>0</v>
      </c>
      <c r="S7" s="480">
        <f t="shared" ref="S7:S12" si="14">SUM(P7:R7)</f>
        <v>52.8</v>
      </c>
      <c r="T7" s="478">
        <f t="shared" ref="T7:T12" si="15">VLOOKUP(A7,year2022to23,198,FALSE)</f>
        <v>22.63</v>
      </c>
      <c r="U7" s="93">
        <f t="shared" ref="U7:U12" si="16">VLOOKUP(A7,year2022to23,199,FALSE)</f>
        <v>19.03</v>
      </c>
      <c r="V7" s="476">
        <f t="shared" ref="V7:V12" si="17">VLOOKUP(A7,year2022to23,200,FALSE)</f>
        <v>0</v>
      </c>
      <c r="W7" s="480">
        <f t="shared" ref="W7:W12" si="18">SUM(T7:V7)</f>
        <v>41.66</v>
      </c>
      <c r="X7" s="478">
        <f t="shared" ref="X7:X12" si="19">VLOOKUP(A7,year2022to23,203,FALSE)</f>
        <v>31.29</v>
      </c>
      <c r="Y7" s="93">
        <f t="shared" ref="Y7:Y12" si="20">VLOOKUP(A7,year2022to23,204,FALSE)</f>
        <v>7.84</v>
      </c>
      <c r="Z7" s="476">
        <f t="shared" ref="Z7:Z12" si="21">VLOOKUP(A7,year2022to23,205,FALSE)</f>
        <v>0</v>
      </c>
      <c r="AA7" s="480">
        <f t="shared" ref="AA7:AA12" si="22">SUM(X7:Z7)</f>
        <v>39.129999999999995</v>
      </c>
      <c r="AB7" s="478">
        <f t="shared" ref="AB7:AB12" si="23">VLOOKUP(A7,year2022to23,208,FALSE)</f>
        <v>26.15</v>
      </c>
      <c r="AC7" s="93">
        <f t="shared" ref="AC7:AC12" si="24">VLOOKUP(A7,year2022to23,209,FALSE)</f>
        <v>30.05</v>
      </c>
      <c r="AD7" s="476">
        <f t="shared" ref="AD7:AD12" si="25">VLOOKUP(A7,year2022to23,210,FALSE)</f>
        <v>16.28</v>
      </c>
      <c r="AE7" s="480">
        <f t="shared" ref="AE7:AE12" si="26">SUM(AB7:AD7)</f>
        <v>72.48</v>
      </c>
      <c r="AF7" s="478">
        <f t="shared" ref="AF7:AF12" si="27">VLOOKUP(A7,year2022to23,213,FALSE)</f>
        <v>18.05</v>
      </c>
      <c r="AG7" s="93">
        <f t="shared" ref="AG7:AG12" si="28">VLOOKUP(A7,year2022to23,214,FALSE)</f>
        <v>23.72</v>
      </c>
      <c r="AH7" s="476">
        <f t="shared" ref="AH7:AH12" si="29">VLOOKUP(A7,year2022to23,215,FALSE)</f>
        <v>0</v>
      </c>
      <c r="AI7" s="480">
        <f t="shared" ref="AI7:AI12" si="30">SUM(AF7:AH7)</f>
        <v>41.769999999999996</v>
      </c>
      <c r="AJ7" s="478">
        <f t="shared" ref="AJ7:AJ12" si="31">VLOOKUP(A7,year2022to23,218,FALSE)</f>
        <v>24.42</v>
      </c>
      <c r="AK7" s="93">
        <f t="shared" ref="AK7:AK12" si="32">VLOOKUP(A7,year2022to23,219,FALSE)</f>
        <v>20.18</v>
      </c>
      <c r="AL7" s="476">
        <f t="shared" ref="AL7:AL12" si="33">VLOOKUP(A7,year2022to23,220,FALSE)</f>
        <v>8.36</v>
      </c>
      <c r="AM7" s="480">
        <f t="shared" ref="AM7:AM12" si="34">SUM(AJ7:AL7)</f>
        <v>52.96</v>
      </c>
      <c r="AN7" s="478">
        <f t="shared" ref="AN7:AN12" si="35">VLOOKUP(A7,year2022to23,223,FALSE)</f>
        <v>17.82</v>
      </c>
      <c r="AO7" s="93">
        <f t="shared" ref="AO7:AO12" si="36">VLOOKUP(A7,year2022to23,224,FALSE)</f>
        <v>37.83</v>
      </c>
      <c r="AP7" s="476">
        <f t="shared" ref="AP7:AP12" si="37">VLOOKUP(A7,year2022to23,225,FALSE)</f>
        <v>58.75</v>
      </c>
      <c r="AQ7" s="480">
        <f t="shared" ref="AQ7:AQ12" si="38">SUM(AN7:AP7)</f>
        <v>114.4</v>
      </c>
      <c r="AR7" s="478">
        <f t="shared" ref="AR7:AR12" si="39">VLOOKUP(A7,year2022to23,228,FALSE)</f>
        <v>78.790000000000006</v>
      </c>
      <c r="AS7" s="93">
        <f t="shared" ref="AS7:AS12" si="40">VLOOKUP(A7,year2022to23,229,FALSE)</f>
        <v>0</v>
      </c>
      <c r="AT7" s="476">
        <f t="shared" ref="AT7:AT12" si="41">VLOOKUP(A7,year2022to23,230,FALSE)</f>
        <v>0</v>
      </c>
      <c r="AU7" s="482">
        <f t="shared" ref="AU7:AU12" si="42">SUM(AR7:AT7)</f>
        <v>78.790000000000006</v>
      </c>
      <c r="AV7" s="478">
        <f t="shared" ref="AV7:AV12" si="43">VLOOKUP(A7,year2022to23,233,FALSE)</f>
        <v>94.64</v>
      </c>
      <c r="AW7" s="93">
        <f t="shared" ref="AW7:AW12" si="44">VLOOKUP(A7,year2022to23,234,FALSE)</f>
        <v>0</v>
      </c>
      <c r="AX7" s="476">
        <f t="shared" ref="AX7:AX12" si="45">VLOOKUP(A7,year2022to23,235,FALSE)</f>
        <v>0</v>
      </c>
      <c r="AY7" s="482">
        <f t="shared" ref="AY7:AY12" si="46">SUM(AV7:AX7)</f>
        <v>94.64</v>
      </c>
      <c r="AZ7" s="478">
        <f t="shared" ref="AZ7:AZ12" si="47">VLOOKUP(A7,year2022to23,238,FALSE)</f>
        <v>86.490000000000009</v>
      </c>
      <c r="BA7" s="93">
        <f t="shared" ref="BA7:BA12" si="48">VLOOKUP(A7,year2022to23,239,FALSE)</f>
        <v>64.989999999999995</v>
      </c>
      <c r="BB7" s="476">
        <f t="shared" ref="BB7:BB12" si="49">VLOOKUP(A7,year2022to23,240,FALSE)</f>
        <v>0</v>
      </c>
      <c r="BC7" s="482">
        <f t="shared" ref="BC7:BC12" si="50">SUM(AZ7:BB7)</f>
        <v>151.48000000000002</v>
      </c>
      <c r="BD7" s="478">
        <f t="shared" ref="BD7:BD12" si="51">VLOOKUP(A7,year2022to23,243,FALSE)</f>
        <v>61.18</v>
      </c>
      <c r="BE7" s="93">
        <f t="shared" ref="BE7:BE12" si="52">VLOOKUP(A7,year2022to23,244,FALSE)</f>
        <v>61.97</v>
      </c>
      <c r="BF7" s="476">
        <f t="shared" ref="BF7:BF12" si="53">VLOOKUP(A7,year2022to23,245,FALSE)</f>
        <v>0</v>
      </c>
      <c r="BG7" s="482">
        <f t="shared" ref="BG7:BG12" si="54">SUM(BD7:BF7)</f>
        <v>123.15</v>
      </c>
    </row>
    <row r="8" spans="1:59" x14ac:dyDescent="0.25">
      <c r="A8" s="1">
        <v>9</v>
      </c>
      <c r="B8" s="1">
        <v>38.299999999999997</v>
      </c>
      <c r="C8" s="1">
        <f t="shared" si="0"/>
        <v>69</v>
      </c>
      <c r="D8" s="1">
        <f t="shared" si="1"/>
        <v>33.010000000000005</v>
      </c>
      <c r="E8" s="1">
        <f t="shared" si="2"/>
        <v>0</v>
      </c>
      <c r="F8" s="1">
        <f t="shared" si="3"/>
        <v>0</v>
      </c>
      <c r="G8" s="1">
        <f t="shared" si="4"/>
        <v>33.010000000000005</v>
      </c>
      <c r="H8" s="1"/>
      <c r="I8" s="1">
        <f t="shared" si="5"/>
        <v>18</v>
      </c>
      <c r="J8" s="12">
        <f t="shared" si="6"/>
        <v>1.8338888888888891</v>
      </c>
      <c r="L8" s="93">
        <f t="shared" si="7"/>
        <v>27.43</v>
      </c>
      <c r="M8" s="93">
        <f t="shared" si="8"/>
        <v>10.62</v>
      </c>
      <c r="N8" s="476">
        <f t="shared" si="9"/>
        <v>0</v>
      </c>
      <c r="O8" s="480">
        <f t="shared" si="10"/>
        <v>38.049999999999997</v>
      </c>
      <c r="P8" s="478">
        <f t="shared" si="11"/>
        <v>6.51</v>
      </c>
      <c r="Q8" s="93">
        <f t="shared" si="12"/>
        <v>14.2</v>
      </c>
      <c r="R8" s="476">
        <f t="shared" si="13"/>
        <v>0</v>
      </c>
      <c r="S8" s="480">
        <f t="shared" si="14"/>
        <v>20.71</v>
      </c>
      <c r="T8" s="478">
        <f t="shared" si="15"/>
        <v>10.91</v>
      </c>
      <c r="U8" s="93">
        <f t="shared" si="16"/>
        <v>11.74</v>
      </c>
      <c r="V8" s="476">
        <f t="shared" si="17"/>
        <v>0</v>
      </c>
      <c r="W8" s="480">
        <f t="shared" si="18"/>
        <v>22.65</v>
      </c>
      <c r="X8" s="478">
        <f t="shared" si="19"/>
        <v>21.23</v>
      </c>
      <c r="Y8" s="93">
        <f t="shared" si="20"/>
        <v>0</v>
      </c>
      <c r="Z8" s="476">
        <f t="shared" si="21"/>
        <v>0</v>
      </c>
      <c r="AA8" s="480">
        <f t="shared" si="22"/>
        <v>21.23</v>
      </c>
      <c r="AB8" s="478">
        <f t="shared" si="23"/>
        <v>10.46</v>
      </c>
      <c r="AC8" s="93">
        <f t="shared" si="24"/>
        <v>10.23</v>
      </c>
      <c r="AD8" s="476">
        <f t="shared" si="25"/>
        <v>7.88</v>
      </c>
      <c r="AE8" s="480">
        <f t="shared" si="26"/>
        <v>28.57</v>
      </c>
      <c r="AF8" s="478">
        <f t="shared" si="27"/>
        <v>3.58</v>
      </c>
      <c r="AG8" s="93">
        <f t="shared" si="28"/>
        <v>10.74</v>
      </c>
      <c r="AH8" s="476">
        <f t="shared" si="29"/>
        <v>14.75</v>
      </c>
      <c r="AI8" s="480">
        <f t="shared" si="30"/>
        <v>29.07</v>
      </c>
      <c r="AJ8" s="478">
        <f t="shared" si="31"/>
        <v>13.44</v>
      </c>
      <c r="AK8" s="93">
        <f t="shared" si="32"/>
        <v>10</v>
      </c>
      <c r="AL8" s="476">
        <f t="shared" si="33"/>
        <v>0</v>
      </c>
      <c r="AM8" s="480">
        <f t="shared" si="34"/>
        <v>23.439999999999998</v>
      </c>
      <c r="AN8" s="478">
        <f t="shared" si="35"/>
        <v>11.36</v>
      </c>
      <c r="AO8" s="93">
        <f t="shared" si="36"/>
        <v>19.690000000000001</v>
      </c>
      <c r="AP8" s="476">
        <f t="shared" si="37"/>
        <v>12.66</v>
      </c>
      <c r="AQ8" s="480">
        <f t="shared" si="38"/>
        <v>43.71</v>
      </c>
      <c r="AR8" s="478">
        <f t="shared" si="39"/>
        <v>14.56</v>
      </c>
      <c r="AS8" s="93">
        <f t="shared" si="40"/>
        <v>45</v>
      </c>
      <c r="AT8" s="476">
        <f t="shared" si="41"/>
        <v>0</v>
      </c>
      <c r="AU8" s="482">
        <f t="shared" si="42"/>
        <v>59.56</v>
      </c>
      <c r="AV8" s="478">
        <f t="shared" si="43"/>
        <v>63.760000000000005</v>
      </c>
      <c r="AW8" s="93">
        <f t="shared" si="44"/>
        <v>0</v>
      </c>
      <c r="AX8" s="476">
        <f t="shared" si="45"/>
        <v>0</v>
      </c>
      <c r="AY8" s="482">
        <f t="shared" si="46"/>
        <v>63.760000000000005</v>
      </c>
      <c r="AZ8" s="478">
        <f t="shared" si="47"/>
        <v>33.729999999999997</v>
      </c>
      <c r="BA8" s="93">
        <f t="shared" si="48"/>
        <v>42.760000000000005</v>
      </c>
      <c r="BB8" s="476">
        <f t="shared" si="49"/>
        <v>0</v>
      </c>
      <c r="BC8" s="482">
        <f t="shared" si="50"/>
        <v>76.490000000000009</v>
      </c>
      <c r="BD8" s="478">
        <f t="shared" si="51"/>
        <v>27.91</v>
      </c>
      <c r="BE8" s="93">
        <f t="shared" si="52"/>
        <v>34.54</v>
      </c>
      <c r="BF8" s="476">
        <f t="shared" si="53"/>
        <v>0</v>
      </c>
      <c r="BG8" s="482">
        <f t="shared" si="54"/>
        <v>62.45</v>
      </c>
    </row>
    <row r="9" spans="1:59" x14ac:dyDescent="0.25">
      <c r="A9" s="1">
        <v>12</v>
      </c>
      <c r="B9" s="1">
        <v>71</v>
      </c>
      <c r="C9" s="1">
        <f t="shared" si="0"/>
        <v>142</v>
      </c>
      <c r="D9" s="1">
        <f t="shared" si="1"/>
        <v>49.47</v>
      </c>
      <c r="E9" s="1">
        <f t="shared" si="2"/>
        <v>43.91</v>
      </c>
      <c r="F9" s="1">
        <f t="shared" si="3"/>
        <v>0</v>
      </c>
      <c r="G9" s="1">
        <f t="shared" si="4"/>
        <v>93.38</v>
      </c>
      <c r="H9" s="1"/>
      <c r="I9" s="1">
        <f t="shared" si="5"/>
        <v>51</v>
      </c>
      <c r="J9" s="12">
        <f t="shared" si="6"/>
        <v>1.8309803921568626</v>
      </c>
      <c r="L9" s="93">
        <f t="shared" si="7"/>
        <v>40.06</v>
      </c>
      <c r="M9" s="93">
        <f t="shared" si="8"/>
        <v>38.47</v>
      </c>
      <c r="N9" s="476">
        <f t="shared" si="9"/>
        <v>0</v>
      </c>
      <c r="O9" s="480">
        <f t="shared" si="10"/>
        <v>78.53</v>
      </c>
      <c r="P9" s="478">
        <f t="shared" si="11"/>
        <v>26.29</v>
      </c>
      <c r="Q9" s="93">
        <f t="shared" si="12"/>
        <v>21.45</v>
      </c>
      <c r="R9" s="476">
        <f t="shared" si="13"/>
        <v>12.99</v>
      </c>
      <c r="S9" s="480">
        <f t="shared" si="14"/>
        <v>60.73</v>
      </c>
      <c r="T9" s="478">
        <f t="shared" si="15"/>
        <v>15.16</v>
      </c>
      <c r="U9" s="93">
        <f t="shared" si="16"/>
        <v>26.68</v>
      </c>
      <c r="V9" s="476">
        <f t="shared" si="17"/>
        <v>0</v>
      </c>
      <c r="W9" s="480">
        <f t="shared" si="18"/>
        <v>41.84</v>
      </c>
      <c r="X9" s="478">
        <f t="shared" si="19"/>
        <v>36.19</v>
      </c>
      <c r="Y9" s="93">
        <f t="shared" si="20"/>
        <v>48.89</v>
      </c>
      <c r="Z9" s="476">
        <f t="shared" si="21"/>
        <v>0</v>
      </c>
      <c r="AA9" s="480">
        <f t="shared" si="22"/>
        <v>85.08</v>
      </c>
      <c r="AB9" s="478">
        <f t="shared" si="23"/>
        <v>31.94</v>
      </c>
      <c r="AC9" s="93">
        <f t="shared" si="24"/>
        <v>28.78</v>
      </c>
      <c r="AD9" s="476">
        <f t="shared" si="25"/>
        <v>0</v>
      </c>
      <c r="AE9" s="480">
        <f t="shared" si="26"/>
        <v>60.72</v>
      </c>
      <c r="AF9" s="478">
        <f t="shared" si="27"/>
        <v>28.02</v>
      </c>
      <c r="AG9" s="93">
        <f t="shared" si="28"/>
        <v>24.12</v>
      </c>
      <c r="AH9" s="476">
        <f t="shared" si="29"/>
        <v>5.84</v>
      </c>
      <c r="AI9" s="480">
        <f t="shared" si="30"/>
        <v>57.980000000000004</v>
      </c>
      <c r="AJ9" s="478">
        <f t="shared" si="31"/>
        <v>17.68</v>
      </c>
      <c r="AK9" s="93">
        <f t="shared" si="32"/>
        <v>27.29</v>
      </c>
      <c r="AL9" s="476">
        <f t="shared" si="33"/>
        <v>17.2</v>
      </c>
      <c r="AM9" s="480">
        <f t="shared" si="34"/>
        <v>62.17</v>
      </c>
      <c r="AN9" s="478">
        <f t="shared" si="35"/>
        <v>30.32</v>
      </c>
      <c r="AO9" s="93">
        <f t="shared" si="36"/>
        <v>37.119999999999997</v>
      </c>
      <c r="AP9" s="476">
        <f t="shared" si="37"/>
        <v>0</v>
      </c>
      <c r="AQ9" s="480">
        <f t="shared" si="38"/>
        <v>67.44</v>
      </c>
      <c r="AR9" s="478">
        <f t="shared" si="39"/>
        <v>62.78</v>
      </c>
      <c r="AS9" s="93">
        <f t="shared" si="40"/>
        <v>84.76</v>
      </c>
      <c r="AT9" s="476">
        <f t="shared" si="41"/>
        <v>0</v>
      </c>
      <c r="AU9" s="482">
        <f t="shared" si="42"/>
        <v>147.54000000000002</v>
      </c>
      <c r="AV9" s="478">
        <f t="shared" si="43"/>
        <v>92.97</v>
      </c>
      <c r="AW9" s="93">
        <f t="shared" si="44"/>
        <v>0</v>
      </c>
      <c r="AX9" s="476">
        <f t="shared" si="45"/>
        <v>0</v>
      </c>
      <c r="AY9" s="482">
        <f t="shared" si="46"/>
        <v>92.97</v>
      </c>
      <c r="AZ9" s="478">
        <f t="shared" si="47"/>
        <v>69.650000000000006</v>
      </c>
      <c r="BA9" s="93">
        <f t="shared" si="48"/>
        <v>73.8</v>
      </c>
      <c r="BB9" s="476">
        <f t="shared" si="49"/>
        <v>0</v>
      </c>
      <c r="BC9" s="482">
        <f t="shared" si="50"/>
        <v>143.44999999999999</v>
      </c>
      <c r="BD9" s="478">
        <f t="shared" si="51"/>
        <v>58.8</v>
      </c>
      <c r="BE9" s="93">
        <f t="shared" si="52"/>
        <v>39.67</v>
      </c>
      <c r="BF9" s="476">
        <f t="shared" si="53"/>
        <v>0</v>
      </c>
      <c r="BG9" s="482">
        <f t="shared" si="54"/>
        <v>98.47</v>
      </c>
    </row>
    <row r="10" spans="1:59" x14ac:dyDescent="0.25">
      <c r="A10" s="1">
        <v>10</v>
      </c>
      <c r="B10" s="1">
        <v>19.100000000000001</v>
      </c>
      <c r="C10" s="1">
        <f t="shared" si="0"/>
        <v>36</v>
      </c>
      <c r="D10" s="1">
        <f t="shared" si="1"/>
        <v>13.41</v>
      </c>
      <c r="E10" s="1">
        <f t="shared" si="2"/>
        <v>0</v>
      </c>
      <c r="F10" s="1">
        <f t="shared" si="3"/>
        <v>0</v>
      </c>
      <c r="G10" s="1">
        <f t="shared" si="4"/>
        <v>13.41</v>
      </c>
      <c r="H10" s="1"/>
      <c r="I10" s="1">
        <f t="shared" si="5"/>
        <v>8</v>
      </c>
      <c r="J10" s="12">
        <f t="shared" si="6"/>
        <v>1.67625</v>
      </c>
      <c r="L10" s="93">
        <f t="shared" si="7"/>
        <v>11.88</v>
      </c>
      <c r="M10" s="93">
        <f t="shared" si="8"/>
        <v>7.71</v>
      </c>
      <c r="N10" s="476">
        <f t="shared" si="9"/>
        <v>0</v>
      </c>
      <c r="O10" s="480">
        <f t="shared" si="10"/>
        <v>19.59</v>
      </c>
      <c r="P10" s="478">
        <f t="shared" si="11"/>
        <v>5.47</v>
      </c>
      <c r="Q10" s="93">
        <f t="shared" si="12"/>
        <v>4.82</v>
      </c>
      <c r="R10" s="476">
        <f t="shared" si="13"/>
        <v>0</v>
      </c>
      <c r="S10" s="480">
        <f t="shared" si="14"/>
        <v>10.29</v>
      </c>
      <c r="T10" s="478">
        <f t="shared" si="15"/>
        <v>6.14</v>
      </c>
      <c r="U10" s="93">
        <f t="shared" si="16"/>
        <v>4.8</v>
      </c>
      <c r="V10" s="476">
        <f t="shared" si="17"/>
        <v>0</v>
      </c>
      <c r="W10" s="480">
        <f t="shared" si="18"/>
        <v>10.94</v>
      </c>
      <c r="X10" s="478">
        <f t="shared" si="19"/>
        <v>7.91</v>
      </c>
      <c r="Y10" s="93">
        <f t="shared" si="20"/>
        <v>0</v>
      </c>
      <c r="Z10" s="476">
        <f t="shared" si="21"/>
        <v>0</v>
      </c>
      <c r="AA10" s="480">
        <f t="shared" si="22"/>
        <v>7.91</v>
      </c>
      <c r="AB10" s="478">
        <f t="shared" si="23"/>
        <v>10.07</v>
      </c>
      <c r="AC10" s="93">
        <f t="shared" si="24"/>
        <v>6.52</v>
      </c>
      <c r="AD10" s="476">
        <f t="shared" si="25"/>
        <v>0</v>
      </c>
      <c r="AE10" s="480">
        <f t="shared" si="26"/>
        <v>16.59</v>
      </c>
      <c r="AF10" s="478">
        <f t="shared" si="27"/>
        <v>6.95</v>
      </c>
      <c r="AG10" s="93">
        <f t="shared" si="28"/>
        <v>7.07</v>
      </c>
      <c r="AH10" s="476">
        <f t="shared" si="29"/>
        <v>6.93</v>
      </c>
      <c r="AI10" s="480">
        <f t="shared" si="30"/>
        <v>20.95</v>
      </c>
      <c r="AJ10" s="478">
        <f t="shared" si="31"/>
        <v>6.11</v>
      </c>
      <c r="AK10" s="93">
        <f t="shared" si="32"/>
        <v>7.41</v>
      </c>
      <c r="AL10" s="476">
        <f t="shared" si="33"/>
        <v>0</v>
      </c>
      <c r="AM10" s="480">
        <f t="shared" si="34"/>
        <v>13.52</v>
      </c>
      <c r="AN10" s="478">
        <f t="shared" si="35"/>
        <v>10.08</v>
      </c>
      <c r="AO10" s="93">
        <f t="shared" si="36"/>
        <v>17.53</v>
      </c>
      <c r="AP10" s="476">
        <f t="shared" si="37"/>
        <v>0</v>
      </c>
      <c r="AQ10" s="480">
        <f t="shared" si="38"/>
        <v>27.61</v>
      </c>
      <c r="AR10" s="478">
        <f t="shared" si="39"/>
        <v>18.350000000000001</v>
      </c>
      <c r="AS10" s="93">
        <f t="shared" si="40"/>
        <v>22.22</v>
      </c>
      <c r="AT10" s="476">
        <f t="shared" si="41"/>
        <v>0</v>
      </c>
      <c r="AU10" s="482">
        <f t="shared" si="42"/>
        <v>40.57</v>
      </c>
      <c r="AV10" s="478">
        <f t="shared" si="43"/>
        <v>28.14</v>
      </c>
      <c r="AW10" s="93">
        <f t="shared" si="44"/>
        <v>0</v>
      </c>
      <c r="AX10" s="476">
        <f t="shared" si="45"/>
        <v>0</v>
      </c>
      <c r="AY10" s="482">
        <f t="shared" si="46"/>
        <v>28.14</v>
      </c>
      <c r="AZ10" s="478">
        <f t="shared" si="47"/>
        <v>15.56</v>
      </c>
      <c r="BA10" s="93">
        <f t="shared" si="48"/>
        <v>19.82</v>
      </c>
      <c r="BB10" s="476">
        <f t="shared" si="49"/>
        <v>0</v>
      </c>
      <c r="BC10" s="482">
        <f t="shared" si="50"/>
        <v>35.380000000000003</v>
      </c>
      <c r="BD10" s="478">
        <f t="shared" si="51"/>
        <v>14.74</v>
      </c>
      <c r="BE10" s="93">
        <f t="shared" si="52"/>
        <v>14.57</v>
      </c>
      <c r="BF10" s="476">
        <f t="shared" si="53"/>
        <v>0</v>
      </c>
      <c r="BG10" s="482">
        <f t="shared" si="54"/>
        <v>29.310000000000002</v>
      </c>
    </row>
    <row r="11" spans="1:59" x14ac:dyDescent="0.25">
      <c r="A11" s="1">
        <v>13</v>
      </c>
      <c r="B11" s="1">
        <v>60.8</v>
      </c>
      <c r="C11" s="1">
        <f t="shared" si="0"/>
        <v>134</v>
      </c>
      <c r="D11" s="1">
        <f t="shared" si="1"/>
        <v>59.580000000000005</v>
      </c>
      <c r="E11" s="1">
        <f t="shared" si="2"/>
        <v>53.370000000000005</v>
      </c>
      <c r="F11" s="1">
        <f t="shared" si="3"/>
        <v>0</v>
      </c>
      <c r="G11" s="1">
        <f t="shared" si="4"/>
        <v>112.95000000000002</v>
      </c>
      <c r="H11" s="1"/>
      <c r="I11" s="1">
        <f t="shared" si="5"/>
        <v>71</v>
      </c>
      <c r="J11" s="12">
        <f t="shared" si="6"/>
        <v>1.5908450704225354</v>
      </c>
      <c r="L11" s="93">
        <f t="shared" si="7"/>
        <v>46.01</v>
      </c>
      <c r="M11" s="93">
        <f t="shared" si="8"/>
        <v>28.91</v>
      </c>
      <c r="N11" s="476">
        <f t="shared" si="9"/>
        <v>0</v>
      </c>
      <c r="O11" s="480">
        <f t="shared" si="10"/>
        <v>74.92</v>
      </c>
      <c r="P11" s="478">
        <f t="shared" si="11"/>
        <v>29.21</v>
      </c>
      <c r="Q11" s="93">
        <f t="shared" si="12"/>
        <v>27.67</v>
      </c>
      <c r="R11" s="476">
        <f t="shared" si="13"/>
        <v>0</v>
      </c>
      <c r="S11" s="480">
        <f t="shared" si="14"/>
        <v>56.88</v>
      </c>
      <c r="T11" s="478">
        <f t="shared" si="15"/>
        <v>23.1</v>
      </c>
      <c r="U11" s="93">
        <f t="shared" si="16"/>
        <v>21.69</v>
      </c>
      <c r="V11" s="476">
        <f t="shared" si="17"/>
        <v>0</v>
      </c>
      <c r="W11" s="480">
        <f t="shared" si="18"/>
        <v>44.790000000000006</v>
      </c>
      <c r="X11" s="478">
        <f t="shared" si="19"/>
        <v>45.89</v>
      </c>
      <c r="Y11" s="93">
        <f t="shared" si="20"/>
        <v>22.12</v>
      </c>
      <c r="Z11" s="476">
        <f t="shared" si="21"/>
        <v>0</v>
      </c>
      <c r="AA11" s="480">
        <f t="shared" si="22"/>
        <v>68.010000000000005</v>
      </c>
      <c r="AB11" s="478">
        <f t="shared" si="23"/>
        <v>23.22</v>
      </c>
      <c r="AC11" s="93">
        <f t="shared" si="24"/>
        <v>24.79</v>
      </c>
      <c r="AD11" s="476">
        <f t="shared" si="25"/>
        <v>0</v>
      </c>
      <c r="AE11" s="480">
        <f t="shared" si="26"/>
        <v>48.01</v>
      </c>
      <c r="AF11" s="478">
        <f t="shared" si="27"/>
        <v>25.94</v>
      </c>
      <c r="AG11" s="93">
        <f t="shared" si="28"/>
        <v>27.51</v>
      </c>
      <c r="AH11" s="476">
        <f t="shared" si="29"/>
        <v>0</v>
      </c>
      <c r="AI11" s="480">
        <f t="shared" si="30"/>
        <v>53.45</v>
      </c>
      <c r="AJ11" s="478">
        <f t="shared" si="31"/>
        <v>25.66</v>
      </c>
      <c r="AK11" s="93">
        <f t="shared" si="32"/>
        <v>29.12</v>
      </c>
      <c r="AL11" s="476">
        <f t="shared" si="33"/>
        <v>16.309999999999999</v>
      </c>
      <c r="AM11" s="480">
        <f t="shared" si="34"/>
        <v>71.09</v>
      </c>
      <c r="AN11" s="478">
        <f t="shared" si="35"/>
        <v>38.74</v>
      </c>
      <c r="AO11" s="93">
        <f t="shared" si="36"/>
        <v>58.15</v>
      </c>
      <c r="AP11" s="476">
        <f t="shared" si="37"/>
        <v>0</v>
      </c>
      <c r="AQ11" s="480">
        <f t="shared" si="38"/>
        <v>96.89</v>
      </c>
      <c r="AR11" s="478">
        <f t="shared" si="39"/>
        <v>80.66</v>
      </c>
      <c r="AS11" s="93">
        <f t="shared" si="40"/>
        <v>0</v>
      </c>
      <c r="AT11" s="476">
        <f t="shared" si="41"/>
        <v>0</v>
      </c>
      <c r="AU11" s="482">
        <f t="shared" si="42"/>
        <v>80.66</v>
      </c>
      <c r="AV11" s="478">
        <f t="shared" si="43"/>
        <v>104.81</v>
      </c>
      <c r="AW11" s="93">
        <f t="shared" si="44"/>
        <v>79.900000000000006</v>
      </c>
      <c r="AX11" s="476">
        <f t="shared" si="45"/>
        <v>0</v>
      </c>
      <c r="AY11" s="482">
        <f t="shared" si="46"/>
        <v>184.71</v>
      </c>
      <c r="AZ11" s="478">
        <f t="shared" si="47"/>
        <v>47.77</v>
      </c>
      <c r="BA11" s="93">
        <f t="shared" si="48"/>
        <v>38.939000000000007</v>
      </c>
      <c r="BB11" s="476">
        <f t="shared" si="49"/>
        <v>52.42</v>
      </c>
      <c r="BC11" s="482">
        <f t="shared" si="50"/>
        <v>139.12900000000002</v>
      </c>
      <c r="BD11" s="478">
        <f t="shared" si="51"/>
        <v>28.76</v>
      </c>
      <c r="BE11" s="93">
        <f t="shared" si="52"/>
        <v>42.98</v>
      </c>
      <c r="BF11" s="476">
        <f t="shared" si="53"/>
        <v>8.58</v>
      </c>
      <c r="BG11" s="482">
        <f t="shared" si="54"/>
        <v>80.319999999999993</v>
      </c>
    </row>
    <row r="12" spans="1:59" x14ac:dyDescent="0.25">
      <c r="A12" s="1">
        <v>18</v>
      </c>
      <c r="B12" s="1">
        <v>40.799999999999997</v>
      </c>
      <c r="C12" s="1">
        <f t="shared" si="0"/>
        <v>90</v>
      </c>
      <c r="D12" s="1">
        <f t="shared" si="1"/>
        <v>45.21</v>
      </c>
      <c r="E12" s="1">
        <f t="shared" si="2"/>
        <v>40.72</v>
      </c>
      <c r="F12" s="1">
        <f t="shared" si="3"/>
        <v>0</v>
      </c>
      <c r="G12" s="1">
        <f t="shared" si="4"/>
        <v>85.93</v>
      </c>
      <c r="H12" s="1"/>
      <c r="I12" s="1">
        <f t="shared" si="5"/>
        <v>36</v>
      </c>
      <c r="J12" s="12">
        <f t="shared" si="6"/>
        <v>2.3869444444444445</v>
      </c>
      <c r="L12" s="93">
        <f t="shared" si="7"/>
        <v>35.35</v>
      </c>
      <c r="M12" s="93">
        <f t="shared" si="8"/>
        <v>22.66</v>
      </c>
      <c r="N12" s="476">
        <f t="shared" si="9"/>
        <v>0</v>
      </c>
      <c r="O12" s="480">
        <f t="shared" si="10"/>
        <v>58.010000000000005</v>
      </c>
      <c r="P12" s="478">
        <f t="shared" si="11"/>
        <v>19.2</v>
      </c>
      <c r="Q12" s="93">
        <f t="shared" si="12"/>
        <v>19.02</v>
      </c>
      <c r="R12" s="476">
        <f t="shared" si="13"/>
        <v>0</v>
      </c>
      <c r="S12" s="480">
        <f t="shared" si="14"/>
        <v>38.22</v>
      </c>
      <c r="T12" s="478">
        <f t="shared" si="15"/>
        <v>14.81</v>
      </c>
      <c r="U12" s="93">
        <f t="shared" si="16"/>
        <v>15.68</v>
      </c>
      <c r="V12" s="476">
        <f t="shared" si="17"/>
        <v>0</v>
      </c>
      <c r="W12" s="480">
        <f t="shared" si="18"/>
        <v>30.490000000000002</v>
      </c>
      <c r="X12" s="478">
        <f t="shared" si="19"/>
        <v>28.36</v>
      </c>
      <c r="Y12" s="93">
        <f t="shared" si="20"/>
        <v>26.78</v>
      </c>
      <c r="Z12" s="476">
        <f t="shared" si="21"/>
        <v>0</v>
      </c>
      <c r="AA12" s="480">
        <f t="shared" si="22"/>
        <v>55.14</v>
      </c>
      <c r="AB12" s="478">
        <f t="shared" si="23"/>
        <v>23.51</v>
      </c>
      <c r="AC12" s="93">
        <f t="shared" si="24"/>
        <v>22.56</v>
      </c>
      <c r="AD12" s="476">
        <f t="shared" si="25"/>
        <v>0</v>
      </c>
      <c r="AE12" s="480">
        <f t="shared" si="26"/>
        <v>46.07</v>
      </c>
      <c r="AF12" s="478">
        <f t="shared" si="27"/>
        <v>21.31</v>
      </c>
      <c r="AG12" s="93">
        <f t="shared" si="28"/>
        <v>19.22</v>
      </c>
      <c r="AH12" s="476">
        <f t="shared" si="29"/>
        <v>0</v>
      </c>
      <c r="AI12" s="480">
        <f t="shared" si="30"/>
        <v>40.53</v>
      </c>
      <c r="AJ12" s="478">
        <f t="shared" si="31"/>
        <v>23.65</v>
      </c>
      <c r="AK12" s="93">
        <f t="shared" si="32"/>
        <v>19.25</v>
      </c>
      <c r="AL12" s="476">
        <f t="shared" si="33"/>
        <v>16.86</v>
      </c>
      <c r="AM12" s="480">
        <f t="shared" si="34"/>
        <v>59.76</v>
      </c>
      <c r="AN12" s="478">
        <f t="shared" si="35"/>
        <v>27.26</v>
      </c>
      <c r="AO12" s="93">
        <f t="shared" si="36"/>
        <v>36.840000000000003</v>
      </c>
      <c r="AP12" s="476">
        <f t="shared" si="37"/>
        <v>0</v>
      </c>
      <c r="AQ12" s="480">
        <f t="shared" si="38"/>
        <v>64.100000000000009</v>
      </c>
      <c r="AR12" s="478">
        <f t="shared" si="39"/>
        <v>50.79</v>
      </c>
      <c r="AS12" s="93">
        <f t="shared" si="40"/>
        <v>28.25</v>
      </c>
      <c r="AT12" s="476">
        <f t="shared" si="41"/>
        <v>0</v>
      </c>
      <c r="AU12" s="482">
        <f t="shared" si="42"/>
        <v>79.039999999999992</v>
      </c>
      <c r="AV12" s="478">
        <f t="shared" si="43"/>
        <v>38.35</v>
      </c>
      <c r="AW12" s="93">
        <f t="shared" si="44"/>
        <v>70.31</v>
      </c>
      <c r="AX12" s="476">
        <f t="shared" si="45"/>
        <v>0</v>
      </c>
      <c r="AY12" s="482">
        <f t="shared" si="46"/>
        <v>108.66</v>
      </c>
      <c r="AZ12" s="478">
        <f t="shared" si="47"/>
        <v>47.65</v>
      </c>
      <c r="BA12" s="93">
        <f t="shared" si="48"/>
        <v>7.08</v>
      </c>
      <c r="BB12" s="476">
        <f t="shared" si="49"/>
        <v>0</v>
      </c>
      <c r="BC12" s="482">
        <f t="shared" si="50"/>
        <v>54.73</v>
      </c>
      <c r="BD12" s="478">
        <f t="shared" si="51"/>
        <v>45.2</v>
      </c>
      <c r="BE12" s="93">
        <f t="shared" si="52"/>
        <v>32.75</v>
      </c>
      <c r="BF12" s="476">
        <f t="shared" si="53"/>
        <v>24.38</v>
      </c>
      <c r="BG12" s="482">
        <f t="shared" si="54"/>
        <v>102.33</v>
      </c>
    </row>
    <row r="13" spans="1:59" s="6" customFormat="1" ht="15.75" thickBot="1" x14ac:dyDescent="0.3">
      <c r="B13" s="6">
        <f t="shared" ref="B13:G13" si="55">SUM(B7:B12)</f>
        <v>291.60000000000002</v>
      </c>
      <c r="C13" s="6">
        <f t="shared" si="55"/>
        <v>594</v>
      </c>
      <c r="D13" s="6">
        <f t="shared" si="55"/>
        <v>259.99</v>
      </c>
      <c r="E13" s="6">
        <f t="shared" si="55"/>
        <v>145.63</v>
      </c>
      <c r="F13" s="6">
        <f t="shared" si="55"/>
        <v>0</v>
      </c>
      <c r="G13" s="6">
        <f t="shared" si="55"/>
        <v>405.62</v>
      </c>
      <c r="I13" s="6">
        <f>SUM(I7:I12)</f>
        <v>221</v>
      </c>
      <c r="L13" s="472">
        <f t="shared" ref="L13:BG13" si="56">SUM(L7:L12)</f>
        <v>203.5</v>
      </c>
      <c r="M13" s="472">
        <f t="shared" si="56"/>
        <v>126.75999999999998</v>
      </c>
      <c r="N13" s="472">
        <f t="shared" si="56"/>
        <v>0</v>
      </c>
      <c r="O13" s="481">
        <f t="shared" si="56"/>
        <v>330.26</v>
      </c>
      <c r="P13" s="472">
        <f t="shared" si="56"/>
        <v>119.14</v>
      </c>
      <c r="Q13" s="472">
        <f t="shared" si="56"/>
        <v>107.49999999999999</v>
      </c>
      <c r="R13" s="472">
        <f t="shared" si="56"/>
        <v>12.99</v>
      </c>
      <c r="S13" s="481">
        <f t="shared" si="56"/>
        <v>239.62999999999997</v>
      </c>
      <c r="T13" s="472">
        <f t="shared" si="56"/>
        <v>92.75</v>
      </c>
      <c r="U13" s="472">
        <f t="shared" si="56"/>
        <v>99.62</v>
      </c>
      <c r="V13" s="472">
        <f t="shared" si="56"/>
        <v>0</v>
      </c>
      <c r="W13" s="481">
        <f t="shared" si="56"/>
        <v>192.37</v>
      </c>
      <c r="X13" s="472">
        <f t="shared" si="56"/>
        <v>170.87</v>
      </c>
      <c r="Y13" s="472">
        <f t="shared" si="56"/>
        <v>105.63000000000001</v>
      </c>
      <c r="Z13" s="472">
        <f t="shared" si="56"/>
        <v>0</v>
      </c>
      <c r="AA13" s="481">
        <f t="shared" si="56"/>
        <v>276.5</v>
      </c>
      <c r="AB13" s="472">
        <f t="shared" si="56"/>
        <v>125.35000000000001</v>
      </c>
      <c r="AC13" s="472">
        <f t="shared" si="56"/>
        <v>122.93</v>
      </c>
      <c r="AD13" s="472">
        <f t="shared" si="56"/>
        <v>24.16</v>
      </c>
      <c r="AE13" s="481">
        <f t="shared" si="56"/>
        <v>272.44</v>
      </c>
      <c r="AF13" s="472">
        <f t="shared" si="56"/>
        <v>103.85000000000001</v>
      </c>
      <c r="AG13" s="472">
        <f t="shared" si="56"/>
        <v>112.38000000000001</v>
      </c>
      <c r="AH13" s="472">
        <f t="shared" si="56"/>
        <v>27.52</v>
      </c>
      <c r="AI13" s="481">
        <f t="shared" si="56"/>
        <v>243.74999999999997</v>
      </c>
      <c r="AJ13" s="472">
        <f t="shared" si="56"/>
        <v>110.96000000000001</v>
      </c>
      <c r="AK13" s="472">
        <f t="shared" si="56"/>
        <v>113.25</v>
      </c>
      <c r="AL13" s="472">
        <f t="shared" si="56"/>
        <v>58.73</v>
      </c>
      <c r="AM13" s="481">
        <f t="shared" si="56"/>
        <v>282.94</v>
      </c>
      <c r="AN13" s="472">
        <f t="shared" si="56"/>
        <v>135.57999999999998</v>
      </c>
      <c r="AO13" s="472">
        <f t="shared" si="56"/>
        <v>207.16</v>
      </c>
      <c r="AP13" s="472">
        <f t="shared" si="56"/>
        <v>71.41</v>
      </c>
      <c r="AQ13" s="481">
        <f t="shared" si="56"/>
        <v>414.15000000000003</v>
      </c>
      <c r="AR13" s="472">
        <f t="shared" si="56"/>
        <v>305.93</v>
      </c>
      <c r="AS13" s="472">
        <f t="shared" si="56"/>
        <v>180.23</v>
      </c>
      <c r="AT13" s="472">
        <f t="shared" si="56"/>
        <v>0</v>
      </c>
      <c r="AU13" s="481">
        <f t="shared" si="56"/>
        <v>486.15999999999997</v>
      </c>
      <c r="AV13" s="472">
        <f t="shared" si="56"/>
        <v>422.67</v>
      </c>
      <c r="AW13" s="472">
        <f t="shared" si="56"/>
        <v>150.21</v>
      </c>
      <c r="AX13" s="472">
        <f t="shared" si="56"/>
        <v>0</v>
      </c>
      <c r="AY13" s="481">
        <f t="shared" si="56"/>
        <v>572.88</v>
      </c>
      <c r="AZ13" s="472">
        <f t="shared" si="56"/>
        <v>300.85000000000002</v>
      </c>
      <c r="BA13" s="472">
        <f t="shared" si="56"/>
        <v>247.38900000000004</v>
      </c>
      <c r="BB13" s="472">
        <f t="shared" si="56"/>
        <v>52.42</v>
      </c>
      <c r="BC13" s="481">
        <f t="shared" si="56"/>
        <v>600.65900000000011</v>
      </c>
      <c r="BD13" s="472">
        <f t="shared" si="56"/>
        <v>236.58999999999997</v>
      </c>
      <c r="BE13" s="472">
        <f t="shared" si="56"/>
        <v>226.48</v>
      </c>
      <c r="BF13" s="472">
        <f t="shared" si="56"/>
        <v>32.96</v>
      </c>
      <c r="BG13" s="481">
        <f t="shared" si="56"/>
        <v>496.03000000000003</v>
      </c>
    </row>
    <row r="14" spans="1:59" ht="15.75" thickBot="1" x14ac:dyDescent="0.3"/>
    <row r="15" spans="1:59" ht="30" x14ac:dyDescent="0.25">
      <c r="J15" s="197" t="s">
        <v>108</v>
      </c>
    </row>
    <row r="16" spans="1:59" ht="15.75" thickBot="1" x14ac:dyDescent="0.3">
      <c r="J16" s="198">
        <f>G13/(D3-D4)</f>
        <v>45.068888888888893</v>
      </c>
    </row>
    <row r="18" spans="10:10" ht="15.75" thickBot="1" x14ac:dyDescent="0.3"/>
    <row r="19" spans="10:10" ht="30" x14ac:dyDescent="0.25">
      <c r="J19" s="197" t="s">
        <v>107</v>
      </c>
    </row>
    <row r="20" spans="10:10" ht="15.75" thickBot="1" x14ac:dyDescent="0.3">
      <c r="J20" s="198">
        <f>B13/(D3-D4)</f>
        <v>32.400000000000006</v>
      </c>
    </row>
    <row r="22" spans="10:10" ht="15.75" thickBot="1" x14ac:dyDescent="0.3"/>
    <row r="23" spans="10:10" ht="60" x14ac:dyDescent="0.25">
      <c r="J23" s="197" t="s">
        <v>111</v>
      </c>
    </row>
    <row r="24" spans="10:10" ht="15.75" thickBot="1" x14ac:dyDescent="0.3">
      <c r="J24" s="198" t="str">
        <f>J20/J20&amp;":"&amp;ROUND(J16/J20,2)</f>
        <v>1:1.39</v>
      </c>
    </row>
    <row r="55" spans="5:8" ht="75" x14ac:dyDescent="0.25">
      <c r="E55" s="586" t="s">
        <v>209</v>
      </c>
      <c r="H55" t="s">
        <v>210</v>
      </c>
    </row>
    <row r="105" spans="5:8" ht="375" x14ac:dyDescent="0.25">
      <c r="E105" s="586" t="s">
        <v>211</v>
      </c>
      <c r="H105" s="586" t="s">
        <v>212</v>
      </c>
    </row>
  </sheetData>
  <mergeCells count="12">
    <mergeCell ref="BD5:BG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</mergeCells>
  <conditionalFormatting sqref="G7:G12">
    <cfRule type="expression" dxfId="86" priority="27">
      <formula>G7&gt;C7</formula>
    </cfRule>
    <cfRule type="expression" dxfId="85" priority="28">
      <formula>G7&lt;C7</formula>
    </cfRule>
  </conditionalFormatting>
  <conditionalFormatting sqref="O7:O12">
    <cfRule type="expression" dxfId="84" priority="21">
      <formula>O7&gt;#REF!</formula>
    </cfRule>
    <cfRule type="expression" dxfId="83" priority="22">
      <formula>O7&lt;#REF!</formula>
    </cfRule>
  </conditionalFormatting>
  <conditionalFormatting sqref="S7:S12">
    <cfRule type="expression" dxfId="82" priority="19">
      <formula>S7&gt;#REF!</formula>
    </cfRule>
    <cfRule type="expression" dxfId="81" priority="20">
      <formula>S7&lt;#REF!</formula>
    </cfRule>
  </conditionalFormatting>
  <conditionalFormatting sqref="W7:W12">
    <cfRule type="expression" dxfId="80" priority="17">
      <formula>W7&gt;#REF!</formula>
    </cfRule>
    <cfRule type="expression" dxfId="79" priority="18">
      <formula>W7&lt;#REF!</formula>
    </cfRule>
  </conditionalFormatting>
  <conditionalFormatting sqref="AA7:AA12">
    <cfRule type="expression" dxfId="78" priority="15">
      <formula>AA7&gt;#REF!</formula>
    </cfRule>
    <cfRule type="expression" dxfId="77" priority="16">
      <formula>AA7&lt;#REF!</formula>
    </cfRule>
  </conditionalFormatting>
  <conditionalFormatting sqref="AE7:AE12">
    <cfRule type="expression" dxfId="76" priority="13">
      <formula>AE7&gt;#REF!</formula>
    </cfRule>
    <cfRule type="expression" dxfId="75" priority="14">
      <formula>AE7&lt;#REF!</formula>
    </cfRule>
  </conditionalFormatting>
  <conditionalFormatting sqref="AI7:AI12">
    <cfRule type="expression" dxfId="74" priority="11">
      <formula>AI7&gt;#REF!</formula>
    </cfRule>
    <cfRule type="expression" dxfId="73" priority="12">
      <formula>AI7&lt;#REF!</formula>
    </cfRule>
  </conditionalFormatting>
  <conditionalFormatting sqref="AM7:AM12">
    <cfRule type="expression" dxfId="72" priority="9">
      <formula>AM7&gt;#REF!</formula>
    </cfRule>
    <cfRule type="expression" dxfId="71" priority="10">
      <formula>AM7&lt;#REF!</formula>
    </cfRule>
  </conditionalFormatting>
  <conditionalFormatting sqref="AQ7:AQ12">
    <cfRule type="expression" dxfId="70" priority="7">
      <formula>AQ7&gt;#REF!</formula>
    </cfRule>
    <cfRule type="expression" dxfId="69" priority="8">
      <formula>AQ7&lt;#REF!</formula>
    </cfRule>
  </conditionalFormatting>
  <conditionalFormatting sqref="AU7:AU12">
    <cfRule type="expression" dxfId="68" priority="23">
      <formula>AU7&gt;#REF!</formula>
    </cfRule>
    <cfRule type="expression" dxfId="67" priority="24">
      <formula>AU7&lt;#REF!</formula>
    </cfRule>
  </conditionalFormatting>
  <conditionalFormatting sqref="AY7:AY12">
    <cfRule type="expression" dxfId="66" priority="5">
      <formula>AY7&gt;#REF!</formula>
    </cfRule>
    <cfRule type="expression" dxfId="65" priority="6">
      <formula>AY7&lt;#REF!</formula>
    </cfRule>
  </conditionalFormatting>
  <conditionalFormatting sqref="BC7:BC12">
    <cfRule type="expression" dxfId="64" priority="3">
      <formula>BC7&gt;#REF!</formula>
    </cfRule>
    <cfRule type="expression" dxfId="63" priority="4">
      <formula>BC7&lt;#REF!</formula>
    </cfRule>
  </conditionalFormatting>
  <conditionalFormatting sqref="BG7:BG12">
    <cfRule type="expression" dxfId="62" priority="1">
      <formula>BG7&gt;#REF!</formula>
    </cfRule>
    <cfRule type="expression" dxfId="61" priority="2">
      <formula>BG7&lt;#REF!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11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E049-B086-448F-9407-48C3FDDB643D}">
  <dimension ref="A1:BG105"/>
  <sheetViews>
    <sheetView view="pageBreakPreview" zoomScaleNormal="100" zoomScaleSheetLayoutView="100" workbookViewId="0">
      <selection activeCell="AS19" sqref="AS19"/>
    </sheetView>
  </sheetViews>
  <sheetFormatPr defaultRowHeight="15" x14ac:dyDescent="0.25"/>
  <cols>
    <col min="8" max="8" width="0.5703125" customWidth="1"/>
    <col min="10" max="10" width="9.140625" style="8"/>
    <col min="12" max="14" width="0" hidden="1" customWidth="1"/>
    <col min="15" max="15" width="0" style="7" hidden="1" customWidth="1"/>
    <col min="16" max="18" width="0" hidden="1" customWidth="1"/>
    <col min="19" max="19" width="0" style="7" hidden="1" customWidth="1"/>
    <col min="20" max="43" width="0" hidden="1" customWidth="1"/>
  </cols>
  <sheetData>
    <row r="1" spans="1:59" s="5" customFormat="1" x14ac:dyDescent="0.25">
      <c r="A1" s="5" t="str">
        <f>'HARVESTING ROUND'!A1</f>
        <v>HARVESTER PERFORMANCE CHART FOR THE MONTH OF DEC 2025 (1ST - 31ST)</v>
      </c>
      <c r="J1" s="195"/>
      <c r="K1" s="5" t="str">
        <f>'HARVESTING ROUND'!H1</f>
        <v>HARVESTER PERFORMANCE CHART FOR THE MONTH OF SEPT 2024 (1ST - 30TH)</v>
      </c>
    </row>
    <row r="2" spans="1:59" x14ac:dyDescent="0.25">
      <c r="A2" t="s">
        <v>10</v>
      </c>
    </row>
    <row r="3" spans="1:59" x14ac:dyDescent="0.25">
      <c r="A3" t="s">
        <v>104</v>
      </c>
      <c r="D3" s="194">
        <v>7</v>
      </c>
    </row>
    <row r="4" spans="1:59" x14ac:dyDescent="0.25">
      <c r="A4" t="s">
        <v>105</v>
      </c>
      <c r="D4" s="194">
        <v>0</v>
      </c>
    </row>
    <row r="5" spans="1:59" ht="15.75" thickBot="1" x14ac:dyDescent="0.3">
      <c r="L5" s="961">
        <v>45292</v>
      </c>
      <c r="M5" s="961"/>
      <c r="N5" s="961"/>
      <c r="O5" s="962"/>
      <c r="P5" s="961">
        <v>45323</v>
      </c>
      <c r="Q5" s="961"/>
      <c r="R5" s="961"/>
      <c r="S5" s="962"/>
      <c r="T5" s="961">
        <v>45352</v>
      </c>
      <c r="U5" s="961"/>
      <c r="V5" s="961"/>
      <c r="W5" s="962"/>
      <c r="X5" s="961">
        <v>45383</v>
      </c>
      <c r="Y5" s="961"/>
      <c r="Z5" s="961"/>
      <c r="AA5" s="962"/>
      <c r="AB5" s="961">
        <v>45413</v>
      </c>
      <c r="AC5" s="961"/>
      <c r="AD5" s="961"/>
      <c r="AE5" s="962"/>
      <c r="AF5" s="961">
        <v>45444</v>
      </c>
      <c r="AG5" s="961"/>
      <c r="AH5" s="961"/>
      <c r="AI5" s="962"/>
      <c r="AJ5" s="961">
        <v>45474</v>
      </c>
      <c r="AK5" s="961"/>
      <c r="AL5" s="961"/>
      <c r="AM5" s="962"/>
      <c r="AN5" s="961">
        <v>45505</v>
      </c>
      <c r="AO5" s="961"/>
      <c r="AP5" s="961"/>
      <c r="AQ5" s="962"/>
      <c r="AR5" s="961">
        <v>45536</v>
      </c>
      <c r="AS5" s="961"/>
      <c r="AT5" s="961"/>
      <c r="AU5" s="962"/>
      <c r="AV5" s="961">
        <v>45566</v>
      </c>
      <c r="AW5" s="961"/>
      <c r="AX5" s="961"/>
      <c r="AY5" s="962"/>
      <c r="AZ5" s="961">
        <v>45597</v>
      </c>
      <c r="BA5" s="961"/>
      <c r="BB5" s="961"/>
      <c r="BC5" s="962"/>
      <c r="BD5" s="961">
        <v>45627</v>
      </c>
      <c r="BE5" s="961"/>
      <c r="BF5" s="961"/>
      <c r="BG5" s="962"/>
    </row>
    <row r="6" spans="1:59" ht="30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/>
      <c r="I6" s="2" t="s">
        <v>103</v>
      </c>
      <c r="J6" s="196" t="s">
        <v>106</v>
      </c>
      <c r="L6" s="2" t="s">
        <v>3</v>
      </c>
      <c r="M6" s="2" t="s">
        <v>4</v>
      </c>
      <c r="N6" s="475" t="s">
        <v>5</v>
      </c>
      <c r="O6" s="479" t="s">
        <v>6</v>
      </c>
      <c r="P6" s="477" t="s">
        <v>3</v>
      </c>
      <c r="Q6" s="2" t="s">
        <v>4</v>
      </c>
      <c r="R6" s="475" t="s">
        <v>5</v>
      </c>
      <c r="S6" s="479" t="s">
        <v>6</v>
      </c>
      <c r="T6" s="477" t="s">
        <v>3</v>
      </c>
      <c r="U6" s="2" t="s">
        <v>4</v>
      </c>
      <c r="V6" s="475" t="s">
        <v>5</v>
      </c>
      <c r="W6" s="479" t="s">
        <v>6</v>
      </c>
      <c r="X6" s="477" t="s">
        <v>3</v>
      </c>
      <c r="Y6" s="2" t="s">
        <v>4</v>
      </c>
      <c r="Z6" s="475" t="s">
        <v>5</v>
      </c>
      <c r="AA6" s="479" t="s">
        <v>6</v>
      </c>
      <c r="AB6" s="477" t="s">
        <v>3</v>
      </c>
      <c r="AC6" s="2" t="s">
        <v>4</v>
      </c>
      <c r="AD6" s="475" t="s">
        <v>5</v>
      </c>
      <c r="AE6" s="479" t="s">
        <v>6</v>
      </c>
      <c r="AF6" s="477" t="s">
        <v>3</v>
      </c>
      <c r="AG6" s="2" t="s">
        <v>4</v>
      </c>
      <c r="AH6" s="475" t="s">
        <v>5</v>
      </c>
      <c r="AI6" s="479" t="s">
        <v>6</v>
      </c>
      <c r="AJ6" s="477" t="s">
        <v>3</v>
      </c>
      <c r="AK6" s="2" t="s">
        <v>4</v>
      </c>
      <c r="AL6" s="475" t="s">
        <v>5</v>
      </c>
      <c r="AM6" s="479" t="s">
        <v>6</v>
      </c>
      <c r="AN6" s="477" t="s">
        <v>3</v>
      </c>
      <c r="AO6" s="2" t="s">
        <v>4</v>
      </c>
      <c r="AP6" s="475" t="s">
        <v>5</v>
      </c>
      <c r="AQ6" s="479" t="s">
        <v>6</v>
      </c>
      <c r="AR6" s="477" t="s">
        <v>3</v>
      </c>
      <c r="AS6" s="2" t="s">
        <v>4</v>
      </c>
      <c r="AT6" s="475" t="s">
        <v>5</v>
      </c>
      <c r="AU6" s="479" t="s">
        <v>6</v>
      </c>
      <c r="AV6" s="477" t="s">
        <v>3</v>
      </c>
      <c r="AW6" s="2" t="s">
        <v>4</v>
      </c>
      <c r="AX6" s="475" t="s">
        <v>5</v>
      </c>
      <c r="AY6" s="479" t="s">
        <v>6</v>
      </c>
      <c r="AZ6" s="477" t="s">
        <v>3</v>
      </c>
      <c r="BA6" s="2" t="s">
        <v>4</v>
      </c>
      <c r="BB6" s="475" t="s">
        <v>5</v>
      </c>
      <c r="BC6" s="479" t="s">
        <v>6</v>
      </c>
      <c r="BD6" s="477" t="s">
        <v>3</v>
      </c>
      <c r="BE6" s="2" t="s">
        <v>4</v>
      </c>
      <c r="BF6" s="475" t="s">
        <v>5</v>
      </c>
      <c r="BG6" s="479" t="s">
        <v>6</v>
      </c>
    </row>
    <row r="7" spans="1:59" x14ac:dyDescent="0.25">
      <c r="A7" s="4">
        <v>25</v>
      </c>
      <c r="B7" s="1">
        <v>38.22</v>
      </c>
      <c r="C7" s="1">
        <f t="shared" ref="C7:C14" si="0">VLOOKUP(A7,ffbbudgettwofive,18,FALSE)</f>
        <v>13</v>
      </c>
      <c r="D7" s="1">
        <f t="shared" ref="D7:D14" si="1">VLOOKUP(A7,harvestinground,5,FALSE)</f>
        <v>12.27</v>
      </c>
      <c r="E7" s="1">
        <f t="shared" ref="E7:E14" si="2">VLOOKUP(A7,harvestinground,6,FALSE)</f>
        <v>9.43</v>
      </c>
      <c r="F7" s="1">
        <f t="shared" ref="F7:F14" si="3">VLOOKUP(A7,harvestinground,7,FALSE)</f>
        <v>0</v>
      </c>
      <c r="G7" s="1">
        <f t="shared" ref="G7:G14" si="4">SUM(D7:F7)</f>
        <v>21.7</v>
      </c>
      <c r="H7" s="1"/>
      <c r="I7" s="1">
        <f t="shared" ref="I7:I14" si="5">VLOOKUP(A7,manday,34,FALSE)</f>
        <v>24</v>
      </c>
      <c r="J7" s="12">
        <f>IFERROR(G7/I7,0)</f>
        <v>0.90416666666666667</v>
      </c>
      <c r="L7" s="93">
        <f t="shared" ref="L7:L14" si="6">VLOOKUP(A7,year2022to23,188,FALSE)</f>
        <v>0.37</v>
      </c>
      <c r="M7" s="93">
        <f t="shared" ref="M7:M14" si="7">VLOOKUP(A7,year2022to23,189,FALSE)</f>
        <v>0.65</v>
      </c>
      <c r="N7" s="476">
        <f t="shared" ref="N7:N14" si="8">VLOOKUP(A7,year2022to23,190,FALSE)</f>
        <v>0</v>
      </c>
      <c r="O7" s="480">
        <f t="shared" ref="O7:O14" si="9">SUM(L7:N7)</f>
        <v>1.02</v>
      </c>
      <c r="P7" s="478">
        <f t="shared" ref="P7:P14" si="10">VLOOKUP(A7,year2022to23,193,FALSE)</f>
        <v>0.48</v>
      </c>
      <c r="Q7" s="93">
        <f t="shared" ref="Q7:Q14" si="11">VLOOKUP(A7,year2022to23,194,FALSE)</f>
        <v>0.54</v>
      </c>
      <c r="R7" s="476">
        <f t="shared" ref="R7:R14" si="12">VLOOKUP(A7,year2022to23,195,FALSE)</f>
        <v>0</v>
      </c>
      <c r="S7" s="480">
        <f t="shared" ref="S7:S14" si="13">SUM(P7:R7)</f>
        <v>1.02</v>
      </c>
      <c r="T7" s="478">
        <f t="shared" ref="T7:T14" si="14">VLOOKUP(A7,year2022to23,198,FALSE)</f>
        <v>0.94</v>
      </c>
      <c r="U7" s="93">
        <f t="shared" ref="U7:U14" si="15">VLOOKUP(A7,year2022to23,199,FALSE)</f>
        <v>1.34</v>
      </c>
      <c r="V7" s="476">
        <f t="shared" ref="V7:V14" si="16">VLOOKUP(A7,year2022to23,200,FALSE)</f>
        <v>0</v>
      </c>
      <c r="W7" s="480">
        <f t="shared" ref="W7:W14" si="17">SUM(T7:V7)</f>
        <v>2.2800000000000002</v>
      </c>
      <c r="X7" s="478">
        <f t="shared" ref="X7:X14" si="18">VLOOKUP(A7,year2022to23,203,FALSE)</f>
        <v>1.66</v>
      </c>
      <c r="Y7" s="93">
        <f t="shared" ref="Y7:Y14" si="19">VLOOKUP(A7,year2022to23,204,FALSE)</f>
        <v>1.77</v>
      </c>
      <c r="Z7" s="476">
        <f t="shared" ref="Z7:Z14" si="20">VLOOKUP(A7,year2022to23,205,FALSE)</f>
        <v>0</v>
      </c>
      <c r="AA7" s="480">
        <f t="shared" ref="AA7:AA14" si="21">SUM(X7:Z7)</f>
        <v>3.4299999999999997</v>
      </c>
      <c r="AB7" s="478">
        <f t="shared" ref="AB7:AB14" si="22">VLOOKUP(A7,year2022to23,208,FALSE)</f>
        <v>2.68</v>
      </c>
      <c r="AC7" s="93">
        <f t="shared" ref="AC7:AC14" si="23">VLOOKUP(A7,year2022to23,209,FALSE)</f>
        <v>6.66</v>
      </c>
      <c r="AD7" s="476">
        <f t="shared" ref="AD7:AD14" si="24">VLOOKUP(A7,year2022to23,210,FALSE)</f>
        <v>0</v>
      </c>
      <c r="AE7" s="480">
        <f t="shared" ref="AE7:AE14" si="25">SUM(AB7:AD7)</f>
        <v>9.34</v>
      </c>
      <c r="AF7" s="478">
        <f t="shared" ref="AF7:AF14" si="26">VLOOKUP(A7,year2022to23,213,FALSE)</f>
        <v>3.23</v>
      </c>
      <c r="AG7" s="93">
        <f t="shared" ref="AG7:AG14" si="27">VLOOKUP(A7,year2022to23,214,FALSE)</f>
        <v>8.94</v>
      </c>
      <c r="AH7" s="476">
        <f t="shared" ref="AH7:AH14" si="28">VLOOKUP(A7,year2022to23,215,FALSE)</f>
        <v>0</v>
      </c>
      <c r="AI7" s="480">
        <f t="shared" ref="AI7:AI14" si="29">SUM(AF7:AH7)</f>
        <v>12.17</v>
      </c>
      <c r="AJ7" s="478">
        <f t="shared" ref="AJ7:AJ14" si="30">VLOOKUP(A7,year2022to23,218,FALSE)</f>
        <v>1.51</v>
      </c>
      <c r="AK7" s="93">
        <f t="shared" ref="AK7:AK14" si="31">VLOOKUP(A7,year2022to23,219,FALSE)</f>
        <v>6.59</v>
      </c>
      <c r="AL7" s="476">
        <f t="shared" ref="AL7:AL14" si="32">VLOOKUP(A7,year2022to23,220,FALSE)</f>
        <v>0</v>
      </c>
      <c r="AM7" s="480">
        <f t="shared" ref="AM7:AM14" si="33">SUM(AJ7:AL7)</f>
        <v>8.1</v>
      </c>
      <c r="AN7" s="478">
        <f t="shared" ref="AN7:AN14" si="34">VLOOKUP(A7,year2022to23,223,FALSE)</f>
        <v>10.59</v>
      </c>
      <c r="AO7" s="93">
        <f t="shared" ref="AO7:AO14" si="35">VLOOKUP(A7,year2022to23,224,FALSE)</f>
        <v>0</v>
      </c>
      <c r="AP7" s="476">
        <f t="shared" ref="AP7:AP14" si="36">VLOOKUP(A7,year2022to23,225,FALSE)</f>
        <v>0</v>
      </c>
      <c r="AQ7" s="480">
        <f t="shared" ref="AQ7:AQ14" si="37">SUM(AN7:AP7)</f>
        <v>10.59</v>
      </c>
      <c r="AR7" s="478">
        <f t="shared" ref="AR7:AR14" si="38">VLOOKUP(A7,year2022to23,228,FALSE)</f>
        <v>8.4600000000000009</v>
      </c>
      <c r="AS7" s="93">
        <f t="shared" ref="AS7:AS14" si="39">VLOOKUP(A7,year2022to23,229,FALSE)</f>
        <v>6.37</v>
      </c>
      <c r="AT7" s="476">
        <f t="shared" ref="AT7:AT14" si="40">VLOOKUP(A7,year2022to23,230,FALSE)</f>
        <v>0</v>
      </c>
      <c r="AU7" s="482">
        <f t="shared" ref="AU7:AU14" si="41">SUM(AR7:AT7)</f>
        <v>14.830000000000002</v>
      </c>
      <c r="AV7" s="478">
        <f t="shared" ref="AV7:AV14" si="42">VLOOKUP(A7,year2022to23,233,FALSE)</f>
        <v>7.62</v>
      </c>
      <c r="AW7" s="93">
        <f t="shared" ref="AW7:AW14" si="43">VLOOKUP(A7,year2022to23,234,FALSE)</f>
        <v>5.59</v>
      </c>
      <c r="AX7" s="476">
        <f t="shared" ref="AX7:AX14" si="44">VLOOKUP(A7,year2022to23,235,FALSE)</f>
        <v>0</v>
      </c>
      <c r="AY7" s="482">
        <f t="shared" ref="AY7:AY14" si="45">SUM(AV7:AX7)</f>
        <v>13.21</v>
      </c>
      <c r="AZ7" s="478">
        <f t="shared" ref="AZ7:AZ14" si="46">VLOOKUP(A7,year2022to23,238,FALSE)</f>
        <v>11.73</v>
      </c>
      <c r="BA7" s="93">
        <f t="shared" ref="BA7:BA14" si="47">VLOOKUP(A7,year2022to23,239,FALSE)</f>
        <v>13.08</v>
      </c>
      <c r="BB7" s="476">
        <f t="shared" ref="BB7:BB14" si="48">VLOOKUP(A7,year2022to23,240,FALSE)</f>
        <v>0</v>
      </c>
      <c r="BC7" s="482">
        <f t="shared" ref="BC7:BC14" si="49">SUM(AZ7:BB7)</f>
        <v>24.810000000000002</v>
      </c>
      <c r="BD7" s="478">
        <f t="shared" ref="BD7:BD14" si="50">VLOOKUP(A7,year2022to23,243,FALSE)</f>
        <v>4.58</v>
      </c>
      <c r="BE7" s="93">
        <f t="shared" ref="BE7:BE14" si="51">VLOOKUP(A7,year2022to23,244,FALSE)</f>
        <v>4.53</v>
      </c>
      <c r="BF7" s="476">
        <f t="shared" ref="BF7:BF14" si="52">VLOOKUP(A7,year2022to23,245,FALSE)</f>
        <v>0</v>
      </c>
      <c r="BG7" s="482">
        <f t="shared" ref="BG7:BG14" si="53">SUM(BD7:BF7)</f>
        <v>9.11</v>
      </c>
    </row>
    <row r="8" spans="1:59" x14ac:dyDescent="0.25">
      <c r="A8" s="4" t="s">
        <v>7</v>
      </c>
      <c r="B8" s="1">
        <v>22.72</v>
      </c>
      <c r="C8" s="1">
        <f t="shared" si="0"/>
        <v>11</v>
      </c>
      <c r="D8" s="1">
        <f t="shared" si="1"/>
        <v>10.02</v>
      </c>
      <c r="E8" s="1">
        <f t="shared" si="2"/>
        <v>18.229999999999997</v>
      </c>
      <c r="F8" s="1">
        <f t="shared" si="3"/>
        <v>0</v>
      </c>
      <c r="G8" s="1">
        <f t="shared" si="4"/>
        <v>28.249999999999996</v>
      </c>
      <c r="H8" s="1"/>
      <c r="I8" s="1">
        <f t="shared" si="5"/>
        <v>21</v>
      </c>
      <c r="J8" s="12">
        <f t="shared" ref="J8:J14" si="54">IFERROR(G8/I8,0)</f>
        <v>1.3452380952380951</v>
      </c>
      <c r="L8" s="93">
        <f t="shared" si="6"/>
        <v>3.24</v>
      </c>
      <c r="M8" s="93">
        <f t="shared" si="7"/>
        <v>2.54</v>
      </c>
      <c r="N8" s="476">
        <f t="shared" si="8"/>
        <v>0</v>
      </c>
      <c r="O8" s="480">
        <f t="shared" si="9"/>
        <v>5.78</v>
      </c>
      <c r="P8" s="478">
        <f t="shared" si="10"/>
        <v>2.54</v>
      </c>
      <c r="Q8" s="93">
        <f t="shared" si="11"/>
        <v>2.27</v>
      </c>
      <c r="R8" s="476">
        <f t="shared" si="12"/>
        <v>0</v>
      </c>
      <c r="S8" s="480">
        <f t="shared" si="13"/>
        <v>4.8100000000000005</v>
      </c>
      <c r="T8" s="478">
        <f t="shared" si="14"/>
        <v>4.12</v>
      </c>
      <c r="U8" s="93">
        <f t="shared" si="15"/>
        <v>1.95</v>
      </c>
      <c r="V8" s="476">
        <f t="shared" si="16"/>
        <v>0</v>
      </c>
      <c r="W8" s="480">
        <f t="shared" si="17"/>
        <v>6.07</v>
      </c>
      <c r="X8" s="478">
        <f t="shared" si="18"/>
        <v>4.1900000000000004</v>
      </c>
      <c r="Y8" s="93">
        <f t="shared" si="19"/>
        <v>4.87</v>
      </c>
      <c r="Z8" s="476">
        <f t="shared" si="20"/>
        <v>0</v>
      </c>
      <c r="AA8" s="480">
        <f t="shared" si="21"/>
        <v>9.06</v>
      </c>
      <c r="AB8" s="478">
        <f t="shared" si="22"/>
        <v>8</v>
      </c>
      <c r="AC8" s="93">
        <f t="shared" si="23"/>
        <v>7.52</v>
      </c>
      <c r="AD8" s="476">
        <f t="shared" si="24"/>
        <v>0</v>
      </c>
      <c r="AE8" s="480">
        <f t="shared" si="25"/>
        <v>15.52</v>
      </c>
      <c r="AF8" s="478">
        <f t="shared" si="26"/>
        <v>5.66</v>
      </c>
      <c r="AG8" s="93">
        <f t="shared" si="27"/>
        <v>8.51</v>
      </c>
      <c r="AH8" s="476">
        <f t="shared" si="28"/>
        <v>0</v>
      </c>
      <c r="AI8" s="480">
        <f t="shared" si="29"/>
        <v>14.17</v>
      </c>
      <c r="AJ8" s="478">
        <f t="shared" si="30"/>
        <v>3.9</v>
      </c>
      <c r="AK8" s="93">
        <f t="shared" si="31"/>
        <v>5.77</v>
      </c>
      <c r="AL8" s="476">
        <f t="shared" si="32"/>
        <v>0</v>
      </c>
      <c r="AM8" s="480">
        <f t="shared" si="33"/>
        <v>9.67</v>
      </c>
      <c r="AN8" s="478">
        <f t="shared" si="34"/>
        <v>8.16</v>
      </c>
      <c r="AO8" s="93">
        <f t="shared" si="35"/>
        <v>12.98</v>
      </c>
      <c r="AP8" s="476">
        <f t="shared" si="36"/>
        <v>0</v>
      </c>
      <c r="AQ8" s="480">
        <f t="shared" si="37"/>
        <v>21.14</v>
      </c>
      <c r="AR8" s="478">
        <f t="shared" si="38"/>
        <v>10.89</v>
      </c>
      <c r="AS8" s="93">
        <f t="shared" si="39"/>
        <v>9.2100000000000009</v>
      </c>
      <c r="AT8" s="476">
        <f t="shared" si="40"/>
        <v>0</v>
      </c>
      <c r="AU8" s="482">
        <f t="shared" si="41"/>
        <v>20.100000000000001</v>
      </c>
      <c r="AV8" s="478">
        <f t="shared" si="42"/>
        <v>14.61</v>
      </c>
      <c r="AW8" s="93">
        <f t="shared" si="43"/>
        <v>2.0699999999999998</v>
      </c>
      <c r="AX8" s="476">
        <f t="shared" si="44"/>
        <v>0</v>
      </c>
      <c r="AY8" s="482">
        <f t="shared" si="45"/>
        <v>16.68</v>
      </c>
      <c r="AZ8" s="478">
        <f t="shared" si="46"/>
        <v>6.89</v>
      </c>
      <c r="BA8" s="93">
        <f t="shared" si="47"/>
        <v>12.92</v>
      </c>
      <c r="BB8" s="476">
        <f t="shared" si="48"/>
        <v>0</v>
      </c>
      <c r="BC8" s="482">
        <f t="shared" si="49"/>
        <v>19.809999999999999</v>
      </c>
      <c r="BD8" s="478">
        <f t="shared" si="50"/>
        <v>7.88</v>
      </c>
      <c r="BE8" s="93">
        <f t="shared" si="51"/>
        <v>14.17</v>
      </c>
      <c r="BF8" s="476">
        <f t="shared" si="52"/>
        <v>0</v>
      </c>
      <c r="BG8" s="482">
        <f t="shared" si="53"/>
        <v>22.05</v>
      </c>
    </row>
    <row r="9" spans="1:59" x14ac:dyDescent="0.25">
      <c r="A9" s="4">
        <v>27</v>
      </c>
      <c r="B9" s="1">
        <v>18.64</v>
      </c>
      <c r="C9" s="1">
        <f t="shared" si="0"/>
        <v>9</v>
      </c>
      <c r="D9" s="1">
        <f t="shared" si="1"/>
        <v>10</v>
      </c>
      <c r="E9" s="1">
        <f t="shared" si="2"/>
        <v>9</v>
      </c>
      <c r="F9" s="1">
        <f t="shared" si="3"/>
        <v>0</v>
      </c>
      <c r="G9" s="1">
        <f t="shared" si="4"/>
        <v>19</v>
      </c>
      <c r="H9" s="1"/>
      <c r="I9" s="1">
        <f t="shared" si="5"/>
        <v>18</v>
      </c>
      <c r="J9" s="12">
        <f t="shared" si="54"/>
        <v>1.0555555555555556</v>
      </c>
      <c r="L9" s="93">
        <f t="shared" si="6"/>
        <v>0.8</v>
      </c>
      <c r="M9" s="93">
        <f t="shared" si="7"/>
        <v>0.68</v>
      </c>
      <c r="N9" s="476">
        <f t="shared" si="8"/>
        <v>0.71</v>
      </c>
      <c r="O9" s="480">
        <f t="shared" si="9"/>
        <v>2.19</v>
      </c>
      <c r="P9" s="478">
        <f t="shared" si="10"/>
        <v>0.95</v>
      </c>
      <c r="Q9" s="93">
        <f t="shared" si="11"/>
        <v>1</v>
      </c>
      <c r="R9" s="476">
        <f t="shared" si="12"/>
        <v>0</v>
      </c>
      <c r="S9" s="480">
        <f t="shared" si="13"/>
        <v>1.95</v>
      </c>
      <c r="T9" s="478">
        <f t="shared" si="14"/>
        <v>0.41</v>
      </c>
      <c r="U9" s="93">
        <f t="shared" si="15"/>
        <v>2.56</v>
      </c>
      <c r="V9" s="476">
        <f t="shared" si="16"/>
        <v>0</v>
      </c>
      <c r="W9" s="480">
        <f t="shared" si="17"/>
        <v>2.97</v>
      </c>
      <c r="X9" s="478">
        <f t="shared" si="18"/>
        <v>3.37</v>
      </c>
      <c r="Y9" s="93">
        <f t="shared" si="19"/>
        <v>4.09</v>
      </c>
      <c r="Z9" s="476">
        <f t="shared" si="20"/>
        <v>0</v>
      </c>
      <c r="AA9" s="480">
        <f t="shared" si="21"/>
        <v>7.46</v>
      </c>
      <c r="AB9" s="478">
        <f t="shared" si="22"/>
        <v>4.37</v>
      </c>
      <c r="AC9" s="93">
        <f t="shared" si="23"/>
        <v>6.83</v>
      </c>
      <c r="AD9" s="476">
        <f t="shared" si="24"/>
        <v>0</v>
      </c>
      <c r="AE9" s="480">
        <f t="shared" si="25"/>
        <v>11.2</v>
      </c>
      <c r="AF9" s="478">
        <f t="shared" si="26"/>
        <v>5.05</v>
      </c>
      <c r="AG9" s="93">
        <f t="shared" si="27"/>
        <v>2.96</v>
      </c>
      <c r="AH9" s="476">
        <f t="shared" si="28"/>
        <v>0</v>
      </c>
      <c r="AI9" s="480">
        <f t="shared" si="29"/>
        <v>8.01</v>
      </c>
      <c r="AJ9" s="478">
        <f t="shared" si="30"/>
        <v>9.66</v>
      </c>
      <c r="AK9" s="93">
        <f t="shared" si="31"/>
        <v>3.87</v>
      </c>
      <c r="AL9" s="476">
        <f t="shared" si="32"/>
        <v>0</v>
      </c>
      <c r="AM9" s="480">
        <f t="shared" si="33"/>
        <v>13.530000000000001</v>
      </c>
      <c r="AN9" s="478">
        <f t="shared" si="34"/>
        <v>3.46</v>
      </c>
      <c r="AO9" s="93">
        <f t="shared" si="35"/>
        <v>4.34</v>
      </c>
      <c r="AP9" s="476">
        <f t="shared" si="36"/>
        <v>0</v>
      </c>
      <c r="AQ9" s="480">
        <f t="shared" si="37"/>
        <v>7.8</v>
      </c>
      <c r="AR9" s="478">
        <f t="shared" si="38"/>
        <v>4.2</v>
      </c>
      <c r="AS9" s="93">
        <f t="shared" si="39"/>
        <v>5.29</v>
      </c>
      <c r="AT9" s="476">
        <f t="shared" si="40"/>
        <v>0</v>
      </c>
      <c r="AU9" s="482">
        <f t="shared" si="41"/>
        <v>9.49</v>
      </c>
      <c r="AV9" s="478">
        <f t="shared" si="42"/>
        <v>9.64</v>
      </c>
      <c r="AW9" s="93">
        <f t="shared" si="43"/>
        <v>5.83</v>
      </c>
      <c r="AX9" s="476">
        <f t="shared" si="44"/>
        <v>0</v>
      </c>
      <c r="AY9" s="482">
        <f t="shared" si="45"/>
        <v>15.47</v>
      </c>
      <c r="AZ9" s="478">
        <f t="shared" si="46"/>
        <v>8.5500000000000007</v>
      </c>
      <c r="BA9" s="93">
        <f t="shared" si="47"/>
        <v>6.76</v>
      </c>
      <c r="BB9" s="476">
        <f t="shared" si="48"/>
        <v>0</v>
      </c>
      <c r="BC9" s="482">
        <f t="shared" si="49"/>
        <v>15.31</v>
      </c>
      <c r="BD9" s="478">
        <f t="shared" si="50"/>
        <v>6.36</v>
      </c>
      <c r="BE9" s="93">
        <f t="shared" si="51"/>
        <v>7.39</v>
      </c>
      <c r="BF9" s="476">
        <f t="shared" si="52"/>
        <v>0</v>
      </c>
      <c r="BG9" s="482">
        <f t="shared" si="53"/>
        <v>13.75</v>
      </c>
    </row>
    <row r="10" spans="1:59" x14ac:dyDescent="0.25">
      <c r="A10" s="4">
        <v>28</v>
      </c>
      <c r="B10" s="1">
        <v>25.5</v>
      </c>
      <c r="C10" s="1">
        <f t="shared" si="0"/>
        <v>26</v>
      </c>
      <c r="D10" s="1">
        <f t="shared" si="1"/>
        <v>23.75</v>
      </c>
      <c r="E10" s="1">
        <f t="shared" si="2"/>
        <v>0</v>
      </c>
      <c r="F10" s="1">
        <f t="shared" si="3"/>
        <v>0</v>
      </c>
      <c r="G10" s="1">
        <f t="shared" si="4"/>
        <v>23.75</v>
      </c>
      <c r="H10" s="1"/>
      <c r="I10" s="1">
        <f t="shared" si="5"/>
        <v>14</v>
      </c>
      <c r="J10" s="12">
        <f t="shared" si="54"/>
        <v>1.6964285714285714</v>
      </c>
      <c r="L10" s="93">
        <f t="shared" si="6"/>
        <v>11.54</v>
      </c>
      <c r="M10" s="93">
        <f t="shared" si="7"/>
        <v>6.35</v>
      </c>
      <c r="N10" s="476">
        <f t="shared" si="8"/>
        <v>0</v>
      </c>
      <c r="O10" s="480">
        <f t="shared" si="9"/>
        <v>17.89</v>
      </c>
      <c r="P10" s="478">
        <f t="shared" si="10"/>
        <v>7.38</v>
      </c>
      <c r="Q10" s="93">
        <f t="shared" si="11"/>
        <v>8.43</v>
      </c>
      <c r="R10" s="476">
        <f t="shared" si="12"/>
        <v>0</v>
      </c>
      <c r="S10" s="480">
        <f t="shared" si="13"/>
        <v>15.809999999999999</v>
      </c>
      <c r="T10" s="478">
        <f t="shared" si="14"/>
        <v>10.14</v>
      </c>
      <c r="U10" s="93">
        <f t="shared" si="15"/>
        <v>8.74</v>
      </c>
      <c r="V10" s="476">
        <f t="shared" si="16"/>
        <v>0</v>
      </c>
      <c r="W10" s="480">
        <f t="shared" si="17"/>
        <v>18.880000000000003</v>
      </c>
      <c r="X10" s="478">
        <f t="shared" si="18"/>
        <v>6.83</v>
      </c>
      <c r="Y10" s="93">
        <f t="shared" si="19"/>
        <v>13.91</v>
      </c>
      <c r="Z10" s="476">
        <f t="shared" si="20"/>
        <v>0</v>
      </c>
      <c r="AA10" s="480">
        <f t="shared" si="21"/>
        <v>20.740000000000002</v>
      </c>
      <c r="AB10" s="478">
        <f t="shared" si="22"/>
        <v>10.68</v>
      </c>
      <c r="AC10" s="93">
        <f t="shared" si="23"/>
        <v>9.7899999999999991</v>
      </c>
      <c r="AD10" s="476">
        <f t="shared" si="24"/>
        <v>0</v>
      </c>
      <c r="AE10" s="480">
        <f t="shared" si="25"/>
        <v>20.47</v>
      </c>
      <c r="AF10" s="478">
        <f t="shared" si="26"/>
        <v>9.1999999999999993</v>
      </c>
      <c r="AG10" s="93">
        <f t="shared" si="27"/>
        <v>14.41</v>
      </c>
      <c r="AH10" s="476">
        <f t="shared" si="28"/>
        <v>0</v>
      </c>
      <c r="AI10" s="480">
        <f t="shared" si="29"/>
        <v>23.61</v>
      </c>
      <c r="AJ10" s="478">
        <f t="shared" si="30"/>
        <v>8.6</v>
      </c>
      <c r="AK10" s="93">
        <f t="shared" si="31"/>
        <v>8.6199999999999992</v>
      </c>
      <c r="AL10" s="476">
        <f t="shared" si="32"/>
        <v>0</v>
      </c>
      <c r="AM10" s="480">
        <f t="shared" si="33"/>
        <v>17.22</v>
      </c>
      <c r="AN10" s="478">
        <f t="shared" si="34"/>
        <v>10.84</v>
      </c>
      <c r="AO10" s="93">
        <f t="shared" si="35"/>
        <v>13.11</v>
      </c>
      <c r="AP10" s="476">
        <f t="shared" si="36"/>
        <v>0</v>
      </c>
      <c r="AQ10" s="480">
        <f t="shared" si="37"/>
        <v>23.95</v>
      </c>
      <c r="AR10" s="478">
        <f t="shared" si="38"/>
        <v>11.38</v>
      </c>
      <c r="AS10" s="93">
        <f t="shared" si="39"/>
        <v>12.32</v>
      </c>
      <c r="AT10" s="476">
        <f t="shared" si="40"/>
        <v>0</v>
      </c>
      <c r="AU10" s="482">
        <f t="shared" si="41"/>
        <v>23.700000000000003</v>
      </c>
      <c r="AV10" s="478">
        <f t="shared" si="42"/>
        <v>16.940000000000001</v>
      </c>
      <c r="AW10" s="93">
        <f t="shared" si="43"/>
        <v>7.76</v>
      </c>
      <c r="AX10" s="476">
        <f t="shared" si="44"/>
        <v>0</v>
      </c>
      <c r="AY10" s="482">
        <f t="shared" si="45"/>
        <v>24.700000000000003</v>
      </c>
      <c r="AZ10" s="478">
        <f t="shared" si="46"/>
        <v>22.85</v>
      </c>
      <c r="BA10" s="93">
        <f t="shared" si="47"/>
        <v>0</v>
      </c>
      <c r="BB10" s="476">
        <f t="shared" si="48"/>
        <v>0</v>
      </c>
      <c r="BC10" s="482">
        <f t="shared" si="49"/>
        <v>22.85</v>
      </c>
      <c r="BD10" s="478">
        <f t="shared" si="50"/>
        <v>8.5399999999999991</v>
      </c>
      <c r="BE10" s="93">
        <f t="shared" si="51"/>
        <v>11.07</v>
      </c>
      <c r="BF10" s="476">
        <f t="shared" si="52"/>
        <v>0</v>
      </c>
      <c r="BG10" s="482">
        <f t="shared" si="53"/>
        <v>19.61</v>
      </c>
    </row>
    <row r="11" spans="1:59" x14ac:dyDescent="0.25">
      <c r="A11" s="4">
        <v>30</v>
      </c>
      <c r="B11" s="1">
        <v>24.35</v>
      </c>
      <c r="C11" s="1">
        <f t="shared" si="0"/>
        <v>7</v>
      </c>
      <c r="D11" s="1">
        <f t="shared" si="1"/>
        <v>12.309999999999999</v>
      </c>
      <c r="E11" s="1">
        <f t="shared" si="2"/>
        <v>0</v>
      </c>
      <c r="F11" s="1">
        <f t="shared" si="3"/>
        <v>0</v>
      </c>
      <c r="G11" s="1">
        <f t="shared" si="4"/>
        <v>12.309999999999999</v>
      </c>
      <c r="H11" s="1"/>
      <c r="I11" s="1">
        <f t="shared" si="5"/>
        <v>17</v>
      </c>
      <c r="J11" s="12">
        <f t="shared" si="54"/>
        <v>0.72411764705882342</v>
      </c>
      <c r="L11" s="93">
        <f t="shared" si="6"/>
        <v>0</v>
      </c>
      <c r="M11" s="93">
        <f t="shared" si="7"/>
        <v>0</v>
      </c>
      <c r="N11" s="476">
        <f t="shared" si="8"/>
        <v>0</v>
      </c>
      <c r="O11" s="480">
        <f t="shared" si="9"/>
        <v>0</v>
      </c>
      <c r="P11" s="478">
        <f t="shared" si="10"/>
        <v>1.6</v>
      </c>
      <c r="Q11" s="93">
        <f t="shared" si="11"/>
        <v>0.84</v>
      </c>
      <c r="R11" s="476">
        <f t="shared" si="12"/>
        <v>0</v>
      </c>
      <c r="S11" s="480">
        <f t="shared" si="13"/>
        <v>2.44</v>
      </c>
      <c r="T11" s="478">
        <f t="shared" si="14"/>
        <v>0.87</v>
      </c>
      <c r="U11" s="93">
        <f t="shared" si="15"/>
        <v>0.95</v>
      </c>
      <c r="V11" s="476">
        <f t="shared" si="16"/>
        <v>0</v>
      </c>
      <c r="W11" s="480">
        <f t="shared" si="17"/>
        <v>1.8199999999999998</v>
      </c>
      <c r="X11" s="478">
        <f t="shared" si="18"/>
        <v>1.02</v>
      </c>
      <c r="Y11" s="93">
        <f t="shared" si="19"/>
        <v>0</v>
      </c>
      <c r="Z11" s="476">
        <f t="shared" si="20"/>
        <v>0</v>
      </c>
      <c r="AA11" s="480">
        <f t="shared" si="21"/>
        <v>1.02</v>
      </c>
      <c r="AB11" s="478">
        <f t="shared" si="22"/>
        <v>1.26</v>
      </c>
      <c r="AC11" s="93">
        <f t="shared" si="23"/>
        <v>1.33</v>
      </c>
      <c r="AD11" s="476">
        <f t="shared" si="24"/>
        <v>0</v>
      </c>
      <c r="AE11" s="480">
        <f t="shared" si="25"/>
        <v>2.59</v>
      </c>
      <c r="AF11" s="478">
        <f t="shared" si="26"/>
        <v>1.67</v>
      </c>
      <c r="AG11" s="93">
        <f t="shared" si="27"/>
        <v>1.23</v>
      </c>
      <c r="AH11" s="476">
        <f t="shared" si="28"/>
        <v>0</v>
      </c>
      <c r="AI11" s="480">
        <f t="shared" si="29"/>
        <v>2.9</v>
      </c>
      <c r="AJ11" s="478">
        <f t="shared" si="30"/>
        <v>0.94</v>
      </c>
      <c r="AK11" s="93">
        <f t="shared" si="31"/>
        <v>0.67</v>
      </c>
      <c r="AL11" s="476">
        <f t="shared" si="32"/>
        <v>0</v>
      </c>
      <c r="AM11" s="480">
        <f t="shared" si="33"/>
        <v>1.6099999999999999</v>
      </c>
      <c r="AN11" s="478">
        <f t="shared" si="34"/>
        <v>2.96</v>
      </c>
      <c r="AO11" s="93">
        <f t="shared" si="35"/>
        <v>2.4900000000000002</v>
      </c>
      <c r="AP11" s="476">
        <f t="shared" si="36"/>
        <v>0</v>
      </c>
      <c r="AQ11" s="480">
        <f t="shared" si="37"/>
        <v>5.45</v>
      </c>
      <c r="AR11" s="478">
        <f t="shared" si="38"/>
        <v>1.97</v>
      </c>
      <c r="AS11" s="93">
        <f t="shared" si="39"/>
        <v>2.2000000000000002</v>
      </c>
      <c r="AT11" s="476">
        <f t="shared" si="40"/>
        <v>0</v>
      </c>
      <c r="AU11" s="482">
        <f t="shared" si="41"/>
        <v>4.17</v>
      </c>
      <c r="AV11" s="478">
        <f t="shared" si="42"/>
        <v>4.0999999999999996</v>
      </c>
      <c r="AW11" s="93">
        <f t="shared" si="43"/>
        <v>0</v>
      </c>
      <c r="AX11" s="476">
        <f t="shared" si="44"/>
        <v>0</v>
      </c>
      <c r="AY11" s="482">
        <f t="shared" si="45"/>
        <v>4.0999999999999996</v>
      </c>
      <c r="AZ11" s="478">
        <f t="shared" si="46"/>
        <v>12.16</v>
      </c>
      <c r="BA11" s="93">
        <f t="shared" si="47"/>
        <v>3.38</v>
      </c>
      <c r="BB11" s="476">
        <f t="shared" si="48"/>
        <v>0</v>
      </c>
      <c r="BC11" s="482">
        <f t="shared" si="49"/>
        <v>15.54</v>
      </c>
      <c r="BD11" s="478">
        <f t="shared" si="50"/>
        <v>2.2400000000000002</v>
      </c>
      <c r="BE11" s="93">
        <f t="shared" si="51"/>
        <v>0</v>
      </c>
      <c r="BF11" s="476">
        <f t="shared" si="52"/>
        <v>0</v>
      </c>
      <c r="BG11" s="482">
        <f t="shared" si="53"/>
        <v>2.2400000000000002</v>
      </c>
    </row>
    <row r="12" spans="1:59" x14ac:dyDescent="0.25">
      <c r="A12" s="4">
        <v>31</v>
      </c>
      <c r="B12" s="1">
        <v>34.08</v>
      </c>
      <c r="C12" s="1">
        <f t="shared" si="0"/>
        <v>12</v>
      </c>
      <c r="D12" s="1">
        <f t="shared" si="1"/>
        <v>14.02</v>
      </c>
      <c r="E12" s="1">
        <f t="shared" si="2"/>
        <v>0</v>
      </c>
      <c r="F12" s="1">
        <f t="shared" si="3"/>
        <v>0</v>
      </c>
      <c r="G12" s="1">
        <f t="shared" si="4"/>
        <v>14.02</v>
      </c>
      <c r="H12" s="1"/>
      <c r="I12" s="1">
        <f t="shared" si="5"/>
        <v>11</v>
      </c>
      <c r="J12" s="12">
        <f t="shared" si="54"/>
        <v>1.2745454545454544</v>
      </c>
      <c r="L12" s="93">
        <f t="shared" si="6"/>
        <v>0</v>
      </c>
      <c r="M12" s="93">
        <f t="shared" si="7"/>
        <v>0</v>
      </c>
      <c r="N12" s="476">
        <f t="shared" si="8"/>
        <v>0</v>
      </c>
      <c r="O12" s="480">
        <f t="shared" si="9"/>
        <v>0</v>
      </c>
      <c r="P12" s="478">
        <f t="shared" si="10"/>
        <v>0.95</v>
      </c>
      <c r="Q12" s="93">
        <f t="shared" si="11"/>
        <v>0</v>
      </c>
      <c r="R12" s="476">
        <f t="shared" si="12"/>
        <v>0</v>
      </c>
      <c r="S12" s="480">
        <f t="shared" si="13"/>
        <v>0.95</v>
      </c>
      <c r="T12" s="478">
        <f t="shared" si="14"/>
        <v>0.81</v>
      </c>
      <c r="U12" s="93">
        <f t="shared" si="15"/>
        <v>0.81</v>
      </c>
      <c r="V12" s="476">
        <f t="shared" si="16"/>
        <v>0</v>
      </c>
      <c r="W12" s="480">
        <f t="shared" si="17"/>
        <v>1.62</v>
      </c>
      <c r="X12" s="478">
        <f t="shared" si="18"/>
        <v>1.5329999999999999</v>
      </c>
      <c r="Y12" s="93">
        <f t="shared" si="19"/>
        <v>0</v>
      </c>
      <c r="Z12" s="476">
        <f t="shared" si="20"/>
        <v>0</v>
      </c>
      <c r="AA12" s="480">
        <f t="shared" si="21"/>
        <v>1.5329999999999999</v>
      </c>
      <c r="AB12" s="478">
        <f t="shared" si="22"/>
        <v>1.1499999999999999</v>
      </c>
      <c r="AC12" s="93">
        <f t="shared" si="23"/>
        <v>1.56</v>
      </c>
      <c r="AD12" s="476">
        <f t="shared" si="24"/>
        <v>0</v>
      </c>
      <c r="AE12" s="480">
        <f t="shared" si="25"/>
        <v>2.71</v>
      </c>
      <c r="AF12" s="478">
        <f t="shared" si="26"/>
        <v>1.04</v>
      </c>
      <c r="AG12" s="93">
        <f t="shared" si="27"/>
        <v>0.84</v>
      </c>
      <c r="AH12" s="476">
        <f t="shared" si="28"/>
        <v>0</v>
      </c>
      <c r="AI12" s="480">
        <f t="shared" si="29"/>
        <v>1.88</v>
      </c>
      <c r="AJ12" s="478">
        <f t="shared" si="30"/>
        <v>1.3</v>
      </c>
      <c r="AK12" s="93">
        <f t="shared" si="31"/>
        <v>1.47</v>
      </c>
      <c r="AL12" s="476">
        <f t="shared" si="32"/>
        <v>0</v>
      </c>
      <c r="AM12" s="480">
        <f t="shared" si="33"/>
        <v>2.77</v>
      </c>
      <c r="AN12" s="478">
        <f t="shared" si="34"/>
        <v>3.75</v>
      </c>
      <c r="AO12" s="93">
        <f t="shared" si="35"/>
        <v>4.79</v>
      </c>
      <c r="AP12" s="476">
        <f t="shared" si="36"/>
        <v>0</v>
      </c>
      <c r="AQ12" s="480">
        <f t="shared" si="37"/>
        <v>8.5399999999999991</v>
      </c>
      <c r="AR12" s="478">
        <f t="shared" si="38"/>
        <v>3.55</v>
      </c>
      <c r="AS12" s="93">
        <f t="shared" si="39"/>
        <v>2.21</v>
      </c>
      <c r="AT12" s="476">
        <f t="shared" si="40"/>
        <v>0</v>
      </c>
      <c r="AU12" s="482">
        <f t="shared" si="41"/>
        <v>5.76</v>
      </c>
      <c r="AV12" s="478">
        <f t="shared" si="42"/>
        <v>6.39</v>
      </c>
      <c r="AW12" s="93">
        <f t="shared" si="43"/>
        <v>1.33</v>
      </c>
      <c r="AX12" s="476">
        <f t="shared" si="44"/>
        <v>0</v>
      </c>
      <c r="AY12" s="482">
        <f t="shared" si="45"/>
        <v>7.72</v>
      </c>
      <c r="AZ12" s="478">
        <f t="shared" si="46"/>
        <v>11.64</v>
      </c>
      <c r="BA12" s="93">
        <f t="shared" si="47"/>
        <v>2.88</v>
      </c>
      <c r="BB12" s="476">
        <f t="shared" si="48"/>
        <v>0</v>
      </c>
      <c r="BC12" s="482">
        <f t="shared" si="49"/>
        <v>14.52</v>
      </c>
      <c r="BD12" s="478">
        <f t="shared" si="50"/>
        <v>3.33</v>
      </c>
      <c r="BE12" s="93">
        <f t="shared" si="51"/>
        <v>0</v>
      </c>
      <c r="BF12" s="476">
        <f t="shared" si="52"/>
        <v>0</v>
      </c>
      <c r="BG12" s="482">
        <f t="shared" si="53"/>
        <v>3.33</v>
      </c>
    </row>
    <row r="13" spans="1:59" x14ac:dyDescent="0.25">
      <c r="A13" s="4">
        <v>33</v>
      </c>
      <c r="B13" s="1">
        <v>28.72</v>
      </c>
      <c r="C13" s="1">
        <f t="shared" si="0"/>
        <v>43</v>
      </c>
      <c r="D13" s="1">
        <f t="shared" si="1"/>
        <v>24.580000000000002</v>
      </c>
      <c r="E13" s="1">
        <f t="shared" si="2"/>
        <v>25.439999999999998</v>
      </c>
      <c r="F13" s="1">
        <f t="shared" si="3"/>
        <v>0</v>
      </c>
      <c r="G13" s="1">
        <f t="shared" si="4"/>
        <v>50.019999999999996</v>
      </c>
      <c r="H13" s="1"/>
      <c r="I13" s="1">
        <f t="shared" si="5"/>
        <v>42</v>
      </c>
      <c r="J13" s="12">
        <f t="shared" si="54"/>
        <v>1.1909523809523808</v>
      </c>
      <c r="L13" s="93">
        <f t="shared" si="6"/>
        <v>11.13</v>
      </c>
      <c r="M13" s="93">
        <f t="shared" si="7"/>
        <v>9.5299999999999994</v>
      </c>
      <c r="N13" s="476">
        <f t="shared" si="8"/>
        <v>0</v>
      </c>
      <c r="O13" s="480">
        <f t="shared" si="9"/>
        <v>20.66</v>
      </c>
      <c r="P13" s="478">
        <f t="shared" si="10"/>
        <v>8.89</v>
      </c>
      <c r="Q13" s="93">
        <f t="shared" si="11"/>
        <v>6.29</v>
      </c>
      <c r="R13" s="476">
        <f t="shared" si="12"/>
        <v>0</v>
      </c>
      <c r="S13" s="480">
        <f t="shared" si="13"/>
        <v>15.18</v>
      </c>
      <c r="T13" s="478">
        <f t="shared" si="14"/>
        <v>9.2100000000000009</v>
      </c>
      <c r="U13" s="93">
        <f t="shared" si="15"/>
        <v>4.18</v>
      </c>
      <c r="V13" s="476">
        <f t="shared" si="16"/>
        <v>0</v>
      </c>
      <c r="W13" s="480">
        <f t="shared" si="17"/>
        <v>13.39</v>
      </c>
      <c r="X13" s="478">
        <f t="shared" si="18"/>
        <v>12.96</v>
      </c>
      <c r="Y13" s="93">
        <f t="shared" si="19"/>
        <v>10.77</v>
      </c>
      <c r="Z13" s="476">
        <f t="shared" si="20"/>
        <v>0</v>
      </c>
      <c r="AA13" s="480">
        <f t="shared" si="21"/>
        <v>23.73</v>
      </c>
      <c r="AB13" s="478">
        <f t="shared" si="22"/>
        <v>16.489999999999998</v>
      </c>
      <c r="AC13" s="93">
        <f t="shared" si="23"/>
        <v>9.48</v>
      </c>
      <c r="AD13" s="476">
        <f t="shared" si="24"/>
        <v>0</v>
      </c>
      <c r="AE13" s="480">
        <f t="shared" si="25"/>
        <v>25.97</v>
      </c>
      <c r="AF13" s="478">
        <f t="shared" si="26"/>
        <v>21.71</v>
      </c>
      <c r="AG13" s="93">
        <f t="shared" si="27"/>
        <v>8.4600000000000009</v>
      </c>
      <c r="AH13" s="476">
        <f t="shared" si="28"/>
        <v>0</v>
      </c>
      <c r="AI13" s="480">
        <f t="shared" si="29"/>
        <v>30.17</v>
      </c>
      <c r="AJ13" s="478">
        <f t="shared" si="30"/>
        <v>4.7300000000000004</v>
      </c>
      <c r="AK13" s="93">
        <f t="shared" si="31"/>
        <v>14.86</v>
      </c>
      <c r="AL13" s="476">
        <f t="shared" si="32"/>
        <v>4.1900000000000004</v>
      </c>
      <c r="AM13" s="480">
        <f t="shared" si="33"/>
        <v>23.78</v>
      </c>
      <c r="AN13" s="478">
        <f t="shared" si="34"/>
        <v>14.31</v>
      </c>
      <c r="AO13" s="93">
        <f t="shared" si="35"/>
        <v>23.55</v>
      </c>
      <c r="AP13" s="476">
        <f t="shared" si="36"/>
        <v>0</v>
      </c>
      <c r="AQ13" s="480">
        <f t="shared" si="37"/>
        <v>37.86</v>
      </c>
      <c r="AR13" s="478">
        <f t="shared" si="38"/>
        <v>21.87</v>
      </c>
      <c r="AS13" s="93">
        <f t="shared" si="39"/>
        <v>23.98</v>
      </c>
      <c r="AT13" s="476">
        <f t="shared" si="40"/>
        <v>0</v>
      </c>
      <c r="AU13" s="482">
        <f t="shared" si="41"/>
        <v>45.85</v>
      </c>
      <c r="AV13" s="478">
        <f t="shared" si="42"/>
        <v>29.02</v>
      </c>
      <c r="AW13" s="93">
        <f t="shared" si="43"/>
        <v>18.73</v>
      </c>
      <c r="AX13" s="476">
        <f t="shared" si="44"/>
        <v>0</v>
      </c>
      <c r="AY13" s="482">
        <f t="shared" si="45"/>
        <v>47.75</v>
      </c>
      <c r="AZ13" s="478">
        <f t="shared" si="46"/>
        <v>26.46</v>
      </c>
      <c r="BA13" s="93">
        <f t="shared" si="47"/>
        <v>17.61</v>
      </c>
      <c r="BB13" s="476">
        <f t="shared" si="48"/>
        <v>0</v>
      </c>
      <c r="BC13" s="482">
        <f t="shared" si="49"/>
        <v>44.07</v>
      </c>
      <c r="BD13" s="478">
        <f t="shared" si="50"/>
        <v>20.59</v>
      </c>
      <c r="BE13" s="93">
        <f t="shared" si="51"/>
        <v>10.199999999999999</v>
      </c>
      <c r="BF13" s="476">
        <f t="shared" si="52"/>
        <v>0</v>
      </c>
      <c r="BG13" s="482">
        <f t="shared" si="53"/>
        <v>30.79</v>
      </c>
    </row>
    <row r="14" spans="1:59" x14ac:dyDescent="0.25">
      <c r="A14" s="4">
        <v>39</v>
      </c>
      <c r="B14" s="1">
        <v>4.5</v>
      </c>
      <c r="C14" s="1">
        <f t="shared" si="0"/>
        <v>3</v>
      </c>
      <c r="D14" s="1">
        <f t="shared" si="1"/>
        <v>2.39</v>
      </c>
      <c r="E14" s="1">
        <f t="shared" si="2"/>
        <v>0</v>
      </c>
      <c r="F14" s="1">
        <f t="shared" si="3"/>
        <v>0</v>
      </c>
      <c r="G14" s="1">
        <f t="shared" si="4"/>
        <v>2.39</v>
      </c>
      <c r="H14" s="1"/>
      <c r="I14" s="1">
        <f t="shared" si="5"/>
        <v>7</v>
      </c>
      <c r="J14" s="12">
        <f t="shared" si="54"/>
        <v>0.34142857142857147</v>
      </c>
      <c r="L14" s="93">
        <f t="shared" si="6"/>
        <v>1.79</v>
      </c>
      <c r="M14" s="93">
        <f t="shared" si="7"/>
        <v>1.18</v>
      </c>
      <c r="N14" s="476">
        <f t="shared" si="8"/>
        <v>0</v>
      </c>
      <c r="O14" s="480">
        <f t="shared" si="9"/>
        <v>2.9699999999999998</v>
      </c>
      <c r="P14" s="478">
        <f t="shared" si="10"/>
        <v>0</v>
      </c>
      <c r="Q14" s="93">
        <f t="shared" si="11"/>
        <v>0</v>
      </c>
      <c r="R14" s="476">
        <f t="shared" si="12"/>
        <v>0</v>
      </c>
      <c r="S14" s="480">
        <f t="shared" si="13"/>
        <v>0</v>
      </c>
      <c r="T14" s="478">
        <f t="shared" si="14"/>
        <v>1.79</v>
      </c>
      <c r="U14" s="93">
        <f t="shared" si="15"/>
        <v>0.42</v>
      </c>
      <c r="V14" s="476">
        <f t="shared" si="16"/>
        <v>0</v>
      </c>
      <c r="W14" s="480">
        <f t="shared" si="17"/>
        <v>2.21</v>
      </c>
      <c r="X14" s="478">
        <f t="shared" si="18"/>
        <v>1.5</v>
      </c>
      <c r="Y14" s="93">
        <f t="shared" si="19"/>
        <v>0</v>
      </c>
      <c r="Z14" s="476">
        <f t="shared" si="20"/>
        <v>0</v>
      </c>
      <c r="AA14" s="480">
        <f t="shared" si="21"/>
        <v>1.5</v>
      </c>
      <c r="AB14" s="478">
        <f t="shared" si="22"/>
        <v>1.0900000000000001</v>
      </c>
      <c r="AC14" s="93">
        <f t="shared" si="23"/>
        <v>0.99</v>
      </c>
      <c r="AD14" s="476">
        <f t="shared" si="24"/>
        <v>0</v>
      </c>
      <c r="AE14" s="480">
        <f t="shared" si="25"/>
        <v>2.08</v>
      </c>
      <c r="AF14" s="478">
        <f t="shared" si="26"/>
        <v>1.02</v>
      </c>
      <c r="AG14" s="93">
        <f t="shared" si="27"/>
        <v>1.02</v>
      </c>
      <c r="AH14" s="476">
        <f t="shared" si="28"/>
        <v>0</v>
      </c>
      <c r="AI14" s="480">
        <f t="shared" si="29"/>
        <v>2.04</v>
      </c>
      <c r="AJ14" s="478">
        <f t="shared" si="30"/>
        <v>1</v>
      </c>
      <c r="AK14" s="93">
        <f t="shared" si="31"/>
        <v>0.9</v>
      </c>
      <c r="AL14" s="476">
        <f t="shared" si="32"/>
        <v>0</v>
      </c>
      <c r="AM14" s="480">
        <f t="shared" si="33"/>
        <v>1.9</v>
      </c>
      <c r="AN14" s="478">
        <f t="shared" si="34"/>
        <v>1.19</v>
      </c>
      <c r="AO14" s="93">
        <f t="shared" si="35"/>
        <v>2.21</v>
      </c>
      <c r="AP14" s="476">
        <f t="shared" si="36"/>
        <v>0</v>
      </c>
      <c r="AQ14" s="480">
        <f t="shared" si="37"/>
        <v>3.4</v>
      </c>
      <c r="AR14" s="478">
        <f t="shared" si="38"/>
        <v>2.21</v>
      </c>
      <c r="AS14" s="93">
        <f t="shared" si="39"/>
        <v>2.48</v>
      </c>
      <c r="AT14" s="476">
        <f t="shared" si="40"/>
        <v>0</v>
      </c>
      <c r="AU14" s="482">
        <f t="shared" si="41"/>
        <v>4.6899999999999995</v>
      </c>
      <c r="AV14" s="478">
        <f t="shared" si="42"/>
        <v>1.93</v>
      </c>
      <c r="AW14" s="93">
        <f t="shared" si="43"/>
        <v>0</v>
      </c>
      <c r="AX14" s="476">
        <f t="shared" si="44"/>
        <v>0</v>
      </c>
      <c r="AY14" s="482">
        <f t="shared" si="45"/>
        <v>1.93</v>
      </c>
      <c r="AZ14" s="478">
        <f t="shared" si="46"/>
        <v>2.4700000000000002</v>
      </c>
      <c r="BA14" s="93">
        <f t="shared" si="47"/>
        <v>1.84</v>
      </c>
      <c r="BB14" s="476">
        <f t="shared" si="48"/>
        <v>0</v>
      </c>
      <c r="BC14" s="482">
        <f t="shared" si="49"/>
        <v>4.3100000000000005</v>
      </c>
      <c r="BD14" s="478">
        <f t="shared" si="50"/>
        <v>1.19</v>
      </c>
      <c r="BE14" s="93">
        <f t="shared" si="51"/>
        <v>2.02</v>
      </c>
      <c r="BF14" s="476">
        <f t="shared" si="52"/>
        <v>0</v>
      </c>
      <c r="BG14" s="482">
        <f t="shared" si="53"/>
        <v>3.21</v>
      </c>
    </row>
    <row r="15" spans="1:59" s="6" customFormat="1" ht="15.75" thickBot="1" x14ac:dyDescent="0.3">
      <c r="B15" s="6">
        <f t="shared" ref="B15:G15" si="55">SUM(B7:B14)</f>
        <v>196.73</v>
      </c>
      <c r="C15" s="6">
        <f t="shared" si="55"/>
        <v>124</v>
      </c>
      <c r="D15" s="6">
        <f t="shared" si="55"/>
        <v>109.33999999999999</v>
      </c>
      <c r="E15" s="6">
        <f t="shared" si="55"/>
        <v>62.099999999999994</v>
      </c>
      <c r="F15" s="6">
        <f t="shared" si="55"/>
        <v>0</v>
      </c>
      <c r="G15" s="6">
        <f t="shared" si="55"/>
        <v>171.43999999999997</v>
      </c>
      <c r="H15"/>
      <c r="I15" s="6">
        <f>SUM(I7:I14)</f>
        <v>154</v>
      </c>
      <c r="L15" s="472">
        <f t="shared" ref="L15:BG15" si="56">SUM(L7:L14)</f>
        <v>28.869999999999997</v>
      </c>
      <c r="M15" s="472">
        <f t="shared" si="56"/>
        <v>20.93</v>
      </c>
      <c r="N15" s="472">
        <f t="shared" si="56"/>
        <v>0.71</v>
      </c>
      <c r="O15" s="481">
        <f t="shared" si="56"/>
        <v>50.510000000000005</v>
      </c>
      <c r="P15" s="472">
        <f t="shared" si="56"/>
        <v>22.79</v>
      </c>
      <c r="Q15" s="472">
        <f t="shared" si="56"/>
        <v>19.37</v>
      </c>
      <c r="R15" s="472">
        <f t="shared" si="56"/>
        <v>0</v>
      </c>
      <c r="S15" s="481">
        <f t="shared" si="56"/>
        <v>42.16</v>
      </c>
      <c r="T15" s="472">
        <f t="shared" si="56"/>
        <v>28.29</v>
      </c>
      <c r="U15" s="472">
        <f t="shared" si="56"/>
        <v>20.95</v>
      </c>
      <c r="V15" s="472">
        <f t="shared" si="56"/>
        <v>0</v>
      </c>
      <c r="W15" s="481">
        <f t="shared" si="56"/>
        <v>49.24</v>
      </c>
      <c r="X15" s="472">
        <f t="shared" si="56"/>
        <v>33.063000000000002</v>
      </c>
      <c r="Y15" s="472">
        <f t="shared" si="56"/>
        <v>35.409999999999997</v>
      </c>
      <c r="Z15" s="472">
        <f t="shared" si="56"/>
        <v>0</v>
      </c>
      <c r="AA15" s="481">
        <f t="shared" si="56"/>
        <v>68.472999999999999</v>
      </c>
      <c r="AB15" s="472">
        <f t="shared" si="56"/>
        <v>45.72</v>
      </c>
      <c r="AC15" s="472">
        <f t="shared" si="56"/>
        <v>44.160000000000004</v>
      </c>
      <c r="AD15" s="472">
        <f t="shared" si="56"/>
        <v>0</v>
      </c>
      <c r="AE15" s="481">
        <f t="shared" si="56"/>
        <v>89.88000000000001</v>
      </c>
      <c r="AF15" s="472">
        <f t="shared" si="56"/>
        <v>48.580000000000005</v>
      </c>
      <c r="AG15" s="472">
        <f t="shared" si="56"/>
        <v>46.370000000000005</v>
      </c>
      <c r="AH15" s="472">
        <f t="shared" si="56"/>
        <v>0</v>
      </c>
      <c r="AI15" s="481">
        <f t="shared" si="56"/>
        <v>94.95</v>
      </c>
      <c r="AJ15" s="472">
        <f t="shared" si="56"/>
        <v>31.640000000000004</v>
      </c>
      <c r="AK15" s="472">
        <f t="shared" si="56"/>
        <v>42.75</v>
      </c>
      <c r="AL15" s="472">
        <f t="shared" si="56"/>
        <v>4.1900000000000004</v>
      </c>
      <c r="AM15" s="481">
        <f t="shared" si="56"/>
        <v>78.580000000000013</v>
      </c>
      <c r="AN15" s="472">
        <f t="shared" si="56"/>
        <v>55.26</v>
      </c>
      <c r="AO15" s="472">
        <f t="shared" si="56"/>
        <v>63.470000000000006</v>
      </c>
      <c r="AP15" s="472">
        <f t="shared" si="56"/>
        <v>0</v>
      </c>
      <c r="AQ15" s="481">
        <f t="shared" si="56"/>
        <v>118.73</v>
      </c>
      <c r="AR15" s="472">
        <f t="shared" si="56"/>
        <v>64.529999999999987</v>
      </c>
      <c r="AS15" s="472">
        <f t="shared" si="56"/>
        <v>64.06</v>
      </c>
      <c r="AT15" s="472">
        <f t="shared" si="56"/>
        <v>0</v>
      </c>
      <c r="AU15" s="481">
        <f t="shared" si="56"/>
        <v>128.59</v>
      </c>
      <c r="AV15" s="472">
        <f t="shared" si="56"/>
        <v>90.250000000000014</v>
      </c>
      <c r="AW15" s="472">
        <f t="shared" si="56"/>
        <v>41.31</v>
      </c>
      <c r="AX15" s="472">
        <f t="shared" si="56"/>
        <v>0</v>
      </c>
      <c r="AY15" s="481">
        <f t="shared" si="56"/>
        <v>131.56</v>
      </c>
      <c r="AZ15" s="472">
        <f t="shared" si="56"/>
        <v>102.75</v>
      </c>
      <c r="BA15" s="472">
        <f t="shared" si="56"/>
        <v>58.470000000000006</v>
      </c>
      <c r="BB15" s="472">
        <f t="shared" si="56"/>
        <v>0</v>
      </c>
      <c r="BC15" s="481">
        <f t="shared" si="56"/>
        <v>161.22</v>
      </c>
      <c r="BD15" s="472">
        <f t="shared" si="56"/>
        <v>54.709999999999994</v>
      </c>
      <c r="BE15" s="472">
        <f t="shared" si="56"/>
        <v>49.38</v>
      </c>
      <c r="BF15" s="472">
        <f t="shared" si="56"/>
        <v>0</v>
      </c>
      <c r="BG15" s="481">
        <f t="shared" si="56"/>
        <v>104.08999999999999</v>
      </c>
    </row>
    <row r="16" spans="1:59" ht="15.75" thickBot="1" x14ac:dyDescent="0.3"/>
    <row r="17" spans="10:10" ht="30" x14ac:dyDescent="0.25">
      <c r="J17" s="197" t="s">
        <v>108</v>
      </c>
    </row>
    <row r="18" spans="10:10" ht="15.75" thickBot="1" x14ac:dyDescent="0.3">
      <c r="J18" s="198">
        <f>G15/(D3-D4)</f>
        <v>24.491428571428568</v>
      </c>
    </row>
    <row r="20" spans="10:10" ht="15.75" thickBot="1" x14ac:dyDescent="0.3"/>
    <row r="21" spans="10:10" ht="30" x14ac:dyDescent="0.25">
      <c r="J21" s="197" t="s">
        <v>107</v>
      </c>
    </row>
    <row r="22" spans="10:10" ht="15.75" thickBot="1" x14ac:dyDescent="0.3">
      <c r="J22" s="198">
        <f>B15/(D3-D4)</f>
        <v>28.104285714285712</v>
      </c>
    </row>
    <row r="24" spans="10:10" ht="15.75" thickBot="1" x14ac:dyDescent="0.3"/>
    <row r="25" spans="10:10" ht="60" x14ac:dyDescent="0.25">
      <c r="J25" s="197" t="s">
        <v>111</v>
      </c>
    </row>
    <row r="26" spans="10:10" ht="15.75" thickBot="1" x14ac:dyDescent="0.3">
      <c r="J26" s="198" t="str">
        <f>J22/J22&amp;":"&amp;ROUND(J18/J22,2)</f>
        <v>1:0.87</v>
      </c>
    </row>
    <row r="55" spans="5:8" ht="75" x14ac:dyDescent="0.25">
      <c r="E55" s="586" t="s">
        <v>209</v>
      </c>
      <c r="H55" t="s">
        <v>210</v>
      </c>
    </row>
    <row r="105" spans="5:8" ht="375" x14ac:dyDescent="0.25">
      <c r="E105" s="586" t="s">
        <v>211</v>
      </c>
      <c r="H105" s="586" t="s">
        <v>212</v>
      </c>
    </row>
  </sheetData>
  <mergeCells count="12">
    <mergeCell ref="AV5:AY5"/>
    <mergeCell ref="AZ5:BC5"/>
    <mergeCell ref="BD5:BG5"/>
    <mergeCell ref="AR5:AU5"/>
    <mergeCell ref="L5:O5"/>
    <mergeCell ref="P5:S5"/>
    <mergeCell ref="T5:W5"/>
    <mergeCell ref="X5:AA5"/>
    <mergeCell ref="AB5:AE5"/>
    <mergeCell ref="AF5:AI5"/>
    <mergeCell ref="AJ5:AM5"/>
    <mergeCell ref="AN5:AQ5"/>
  </mergeCells>
  <conditionalFormatting sqref="G7:G14">
    <cfRule type="expression" dxfId="60" priority="25">
      <formula>G7&gt;C7</formula>
    </cfRule>
    <cfRule type="expression" dxfId="59" priority="26">
      <formula>G7&lt;C7</formula>
    </cfRule>
  </conditionalFormatting>
  <conditionalFormatting sqref="O7:O14">
    <cfRule type="expression" dxfId="58" priority="21">
      <formula>O7&gt;#REF!</formula>
    </cfRule>
    <cfRule type="expression" dxfId="57" priority="22">
      <formula>O7&lt;#REF!</formula>
    </cfRule>
  </conditionalFormatting>
  <conditionalFormatting sqref="S7:S14">
    <cfRule type="expression" dxfId="56" priority="19">
      <formula>S7&gt;#REF!</formula>
    </cfRule>
    <cfRule type="expression" dxfId="55" priority="20">
      <formula>S7&lt;#REF!</formula>
    </cfRule>
  </conditionalFormatting>
  <conditionalFormatting sqref="W7:W14">
    <cfRule type="expression" dxfId="54" priority="17">
      <formula>W7&gt;#REF!</formula>
    </cfRule>
    <cfRule type="expression" dxfId="53" priority="18">
      <formula>W7&lt;#REF!</formula>
    </cfRule>
  </conditionalFormatting>
  <conditionalFormatting sqref="AA7:AA14">
    <cfRule type="expression" dxfId="52" priority="15">
      <formula>AA7&gt;#REF!</formula>
    </cfRule>
    <cfRule type="expression" dxfId="51" priority="16">
      <formula>AA7&lt;#REF!</formula>
    </cfRule>
  </conditionalFormatting>
  <conditionalFormatting sqref="AE7:AE14">
    <cfRule type="expression" dxfId="50" priority="13">
      <formula>AE7&gt;#REF!</formula>
    </cfRule>
    <cfRule type="expression" dxfId="49" priority="14">
      <formula>AE7&lt;#REF!</formula>
    </cfRule>
  </conditionalFormatting>
  <conditionalFormatting sqref="AI7:AI14">
    <cfRule type="expression" dxfId="48" priority="11">
      <formula>AI7&gt;#REF!</formula>
    </cfRule>
    <cfRule type="expression" dxfId="47" priority="12">
      <formula>AI7&lt;#REF!</formula>
    </cfRule>
  </conditionalFormatting>
  <conditionalFormatting sqref="AM7:AM14">
    <cfRule type="expression" dxfId="46" priority="9">
      <formula>AM7&gt;#REF!</formula>
    </cfRule>
    <cfRule type="expression" dxfId="45" priority="10">
      <formula>AM7&lt;#REF!</formula>
    </cfRule>
  </conditionalFormatting>
  <conditionalFormatting sqref="AQ7:AQ14">
    <cfRule type="expression" dxfId="44" priority="7">
      <formula>AQ7&gt;#REF!</formula>
    </cfRule>
    <cfRule type="expression" dxfId="43" priority="8">
      <formula>AQ7&lt;#REF!</formula>
    </cfRule>
  </conditionalFormatting>
  <conditionalFormatting sqref="AU7:AU14">
    <cfRule type="expression" dxfId="42" priority="23">
      <formula>AU7&gt;#REF!</formula>
    </cfRule>
    <cfRule type="expression" dxfId="41" priority="24">
      <formula>AU7&lt;#REF!</formula>
    </cfRule>
  </conditionalFormatting>
  <conditionalFormatting sqref="AY7:AY14">
    <cfRule type="expression" dxfId="40" priority="5">
      <formula>AY7&gt;#REF!</formula>
    </cfRule>
    <cfRule type="expression" dxfId="39" priority="6">
      <formula>AY7&lt;#REF!</formula>
    </cfRule>
  </conditionalFormatting>
  <conditionalFormatting sqref="BC7:BC14">
    <cfRule type="expression" dxfId="38" priority="3">
      <formula>BC7&gt;#REF!</formula>
    </cfRule>
    <cfRule type="expression" dxfId="37" priority="4">
      <formula>BC7&lt;#REF!</formula>
    </cfRule>
  </conditionalFormatting>
  <conditionalFormatting sqref="BG7:BG14">
    <cfRule type="expression" dxfId="36" priority="1">
      <formula>BG7&gt;#REF!</formula>
    </cfRule>
    <cfRule type="expression" dxfId="35" priority="2">
      <formula>BG7&lt;#REF!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11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98EA-4FC3-4685-8D4A-09C1AD832EF7}">
  <sheetPr>
    <pageSetUpPr fitToPage="1"/>
  </sheetPr>
  <dimension ref="A1:AD157"/>
  <sheetViews>
    <sheetView view="pageBreakPreview" topLeftCell="B23" zoomScaleNormal="100" zoomScaleSheetLayoutView="100" workbookViewId="0">
      <selection activeCell="D5" sqref="D5"/>
    </sheetView>
  </sheetViews>
  <sheetFormatPr defaultRowHeight="15" outlineLevelRow="1" x14ac:dyDescent="0.25"/>
  <cols>
    <col min="1" max="1" width="24.7109375" style="7" bestFit="1" customWidth="1"/>
    <col min="2" max="2" width="10" style="604" customWidth="1"/>
    <col min="3" max="3" width="10" bestFit="1" customWidth="1"/>
    <col min="4" max="4" width="9.140625" style="484"/>
    <col min="5" max="5" width="9.140625" style="605"/>
    <col min="6" max="8" width="9.140625" style="484"/>
    <col min="9" max="9" width="8.7109375" style="605" customWidth="1"/>
    <col min="10" max="12" width="9.140625" style="484"/>
    <col min="13" max="13" width="9.140625" style="605"/>
    <col min="14" max="14" width="9.140625" style="484"/>
    <col min="15" max="15" width="8.7109375" style="605" customWidth="1"/>
    <col min="16" max="16" width="1.140625" customWidth="1"/>
    <col min="17" max="17" width="9.140625" style="484"/>
    <col min="18" max="18" width="9.140625" style="606"/>
    <col min="19" max="21" width="9.140625" style="484"/>
    <col min="22" max="22" width="9.140625" style="606"/>
    <col min="23" max="24" width="9.140625" style="484"/>
    <col min="26" max="26" width="9.140625" style="564"/>
    <col min="28" max="28" width="10.5703125" style="604" customWidth="1"/>
  </cols>
  <sheetData>
    <row r="1" spans="1:28" x14ac:dyDescent="0.25">
      <c r="A1" s="5" t="s">
        <v>247</v>
      </c>
    </row>
    <row r="2" spans="1:28" ht="15.75" thickBot="1" x14ac:dyDescent="0.3"/>
    <row r="3" spans="1:28" s="7" customFormat="1" outlineLevel="1" x14ac:dyDescent="0.25">
      <c r="B3" s="485"/>
      <c r="D3" s="974">
        <v>2024</v>
      </c>
      <c r="E3" s="975"/>
      <c r="F3" s="975"/>
      <c r="G3" s="975"/>
      <c r="H3" s="975"/>
      <c r="I3" s="975"/>
      <c r="J3" s="975"/>
      <c r="K3" s="975"/>
      <c r="L3" s="975"/>
      <c r="M3" s="975"/>
      <c r="N3" s="975"/>
      <c r="O3" s="976"/>
      <c r="Q3" s="974">
        <v>2025</v>
      </c>
      <c r="R3" s="975"/>
      <c r="S3" s="975"/>
      <c r="T3" s="975"/>
      <c r="U3" s="975"/>
      <c r="V3" s="975"/>
      <c r="W3" s="975"/>
      <c r="X3" s="975"/>
      <c r="Y3" s="975"/>
      <c r="Z3" s="975"/>
      <c r="AA3" s="975"/>
      <c r="AB3" s="976"/>
    </row>
    <row r="4" spans="1:28" s="617" customFormat="1" ht="75.75" outlineLevel="1" thickBot="1" x14ac:dyDescent="0.3">
      <c r="A4" s="607" t="s">
        <v>83</v>
      </c>
      <c r="B4" s="607" t="s">
        <v>70</v>
      </c>
      <c r="C4" s="608" t="s">
        <v>85</v>
      </c>
      <c r="D4" s="609" t="s">
        <v>214</v>
      </c>
      <c r="E4" s="610" t="s">
        <v>215</v>
      </c>
      <c r="F4" s="611" t="s">
        <v>216</v>
      </c>
      <c r="G4" s="614" t="s">
        <v>234</v>
      </c>
      <c r="H4" s="612" t="s">
        <v>217</v>
      </c>
      <c r="I4" s="613" t="s">
        <v>215</v>
      </c>
      <c r="J4" s="612" t="s">
        <v>216</v>
      </c>
      <c r="K4" s="614" t="s">
        <v>236</v>
      </c>
      <c r="L4" s="614" t="s">
        <v>218</v>
      </c>
      <c r="M4" s="615" t="s">
        <v>215</v>
      </c>
      <c r="N4" s="614" t="s">
        <v>216</v>
      </c>
      <c r="O4" s="616" t="s">
        <v>219</v>
      </c>
      <c r="Q4" s="609" t="s">
        <v>214</v>
      </c>
      <c r="R4" s="618" t="s">
        <v>215</v>
      </c>
      <c r="S4" s="611" t="s">
        <v>216</v>
      </c>
      <c r="T4" s="614" t="s">
        <v>235</v>
      </c>
      <c r="U4" s="612" t="s">
        <v>217</v>
      </c>
      <c r="V4" s="619" t="s">
        <v>215</v>
      </c>
      <c r="W4" s="612" t="s">
        <v>216</v>
      </c>
      <c r="X4" s="614" t="s">
        <v>248</v>
      </c>
      <c r="Y4" s="614" t="s">
        <v>218</v>
      </c>
      <c r="Z4" s="615" t="s">
        <v>215</v>
      </c>
      <c r="AA4" s="614" t="s">
        <v>216</v>
      </c>
      <c r="AB4" s="616" t="s">
        <v>219</v>
      </c>
    </row>
    <row r="5" spans="1:28" ht="15" customHeight="1" outlineLevel="1" thickBot="1" x14ac:dyDescent="0.3">
      <c r="A5" s="963" t="s">
        <v>135</v>
      </c>
      <c r="B5" s="620">
        <v>2010</v>
      </c>
      <c r="C5" s="621">
        <v>1</v>
      </c>
      <c r="D5" s="622">
        <f t="shared" ref="D5:D39" si="0">VLOOKUP(C5,october2024,35,FALSE)+VLOOKUP(C5,october2024,36,FALSE)</f>
        <v>65.929999999999993</v>
      </c>
      <c r="E5" s="623" t="str">
        <f t="shared" ref="E5:E39" si="1">VLOOKUP(C5,october2024,39,FALSE)</f>
        <v>0</v>
      </c>
      <c r="F5" s="624">
        <f t="shared" ref="F5:F39" si="2">VLOOKUP(C5,october2024,40,FALSE)</f>
        <v>0</v>
      </c>
      <c r="G5" s="627" t="str">
        <f t="shared" ref="G5:G39" si="3">IF(VALUE(I5)=0,"",VLOOKUP(C5,october2024,43,FALSE)-VLOOKUP(C5,october2024,39,FALSE))</f>
        <v/>
      </c>
      <c r="H5" s="625">
        <f t="shared" ref="H5:H39" si="4">VLOOKUP(C5,october2024,41,FALSE)+VLOOKUP(C5,october2024,42,FALSE)</f>
        <v>16.14</v>
      </c>
      <c r="I5" s="626" t="str">
        <f t="shared" ref="I5:I39" si="5">VLOOKUP(C5,october2024,45,FALSE)</f>
        <v>0</v>
      </c>
      <c r="J5" s="625">
        <f t="shared" ref="J5:J39" si="6">VLOOKUP(C5,october2024,46,FALSE)</f>
        <v>0</v>
      </c>
      <c r="K5" s="810" t="str">
        <f t="shared" ref="K5:K39" si="7">IF(VALUE(M5)=0, "", VLOOKUP(C5, october2024, 49, FALSE) - VLOOKUP(C5, october2024, 45, FALSE))</f>
        <v/>
      </c>
      <c r="L5" s="627">
        <f>VLOOKUP(C5,october2024,47,FALSE)</f>
        <v>0</v>
      </c>
      <c r="M5" s="628" t="str">
        <f>VLOOKUP(C5,october2024,51,FALSE)</f>
        <v>0</v>
      </c>
      <c r="N5" s="627">
        <f>VLOOKUP(C5,october2024,49,FALSE)</f>
        <v>0</v>
      </c>
      <c r="O5" s="629">
        <f t="shared" ref="O5:O39" si="8">VLOOKUP(C5,october2024,34,FALSE)</f>
        <v>80</v>
      </c>
      <c r="P5" s="630"/>
      <c r="Q5" s="622">
        <f t="shared" ref="Q5:Q39" si="9">VLOOKUP(C5,manday,35,FALSE)</f>
        <v>45.47</v>
      </c>
      <c r="R5" s="631" t="str">
        <f t="shared" ref="R5:R39" si="10">VLOOKUP(C5,manday,39,FALSE)</f>
        <v>0</v>
      </c>
      <c r="S5" s="624">
        <f>IFERROR(Q5/R5,0)</f>
        <v>0</v>
      </c>
      <c r="T5" s="627" t="str">
        <f t="shared" ref="T5:T39" si="11">IF(VALUE(V5)=0,"",VLOOKUP(C5,manday,43,FALSE)-VLOOKUP(C5,manday,39,FALSE)-VLOOKUP(C5,manday,37,FALSE)+1)</f>
        <v/>
      </c>
      <c r="U5" s="625">
        <f t="shared" ref="U5:U39" si="12">VLOOKUP(C5,manday,41,FALSE)</f>
        <v>61.180000000000007</v>
      </c>
      <c r="V5" s="632">
        <f t="shared" ref="V5:V39" si="13">VLOOKUP(C5,manday,45,FALSE)</f>
        <v>0</v>
      </c>
      <c r="W5" s="625">
        <f>IFERROR(U5/V5,0)</f>
        <v>0</v>
      </c>
      <c r="X5" s="810" t="str">
        <f t="shared" ref="X5:X39" si="14">IF(VALUE(Z5)=0, "", VLOOKUP(C5, manday, 49, FALSE) - VLOOKUP(C5, manday, 45, FALSE))</f>
        <v/>
      </c>
      <c r="Y5" s="808">
        <f t="shared" ref="Y5:Y39" si="15">VLOOKUP(C5,manday,47,FALSE)</f>
        <v>0</v>
      </c>
      <c r="Z5" s="628" t="str">
        <f t="shared" ref="Z5:Z39" si="16">VLOOKUP(C5,manday,51,FALSE)</f>
        <v>0</v>
      </c>
      <c r="AA5" s="808">
        <f t="shared" ref="AA5:AA39" si="17">VLOOKUP(C5,manday,49,FALSE)</f>
        <v>0</v>
      </c>
      <c r="AB5" s="633">
        <f t="shared" ref="AB5:AB39" si="18">VLOOKUP(C5,manday,34,FALSE)</f>
        <v>98</v>
      </c>
    </row>
    <row r="6" spans="1:28" ht="15" customHeight="1" outlineLevel="1" x14ac:dyDescent="0.25">
      <c r="A6" s="964"/>
      <c r="B6" s="634">
        <v>2010</v>
      </c>
      <c r="C6" s="635">
        <v>3</v>
      </c>
      <c r="D6" s="636">
        <f t="shared" si="0"/>
        <v>111.05</v>
      </c>
      <c r="E6" s="637" t="str">
        <f t="shared" si="1"/>
        <v>0</v>
      </c>
      <c r="F6" s="638">
        <f t="shared" si="2"/>
        <v>0</v>
      </c>
      <c r="G6" s="627" t="str">
        <f t="shared" si="3"/>
        <v/>
      </c>
      <c r="H6" s="547">
        <f t="shared" si="4"/>
        <v>40.630000000000003</v>
      </c>
      <c r="I6" s="639" t="str">
        <f t="shared" si="5"/>
        <v>0</v>
      </c>
      <c r="J6" s="547">
        <f t="shared" si="6"/>
        <v>0</v>
      </c>
      <c r="K6" s="810" t="str">
        <f t="shared" si="7"/>
        <v/>
      </c>
      <c r="L6" s="93">
        <f t="shared" ref="L6:L39" si="19">VLOOKUP(C6,october2024,47,FALSE)</f>
        <v>0</v>
      </c>
      <c r="M6" s="640" t="str">
        <f t="shared" ref="M6:M39" si="20">VLOOKUP(C6,october2024,51,FALSE)</f>
        <v>0</v>
      </c>
      <c r="N6" s="93">
        <f t="shared" ref="N6:N39" si="21">VLOOKUP(C6,october2024,49,FALSE)</f>
        <v>0</v>
      </c>
      <c r="O6" s="641">
        <f t="shared" si="8"/>
        <v>108</v>
      </c>
      <c r="Q6" s="636">
        <f t="shared" si="9"/>
        <v>15.21</v>
      </c>
      <c r="R6" s="642" t="str">
        <f t="shared" si="10"/>
        <v>0</v>
      </c>
      <c r="S6" s="638">
        <f t="shared" ref="S6:S39" si="22">IFERROR(Q6/R6,0)</f>
        <v>0</v>
      </c>
      <c r="T6" s="627" t="str">
        <f t="shared" si="11"/>
        <v/>
      </c>
      <c r="U6" s="547">
        <f t="shared" si="12"/>
        <v>64.8</v>
      </c>
      <c r="V6" s="643">
        <f t="shared" si="13"/>
        <v>0</v>
      </c>
      <c r="W6" s="547">
        <f t="shared" ref="W6:W39" si="23">IFERROR(U6/V6,0)</f>
        <v>0</v>
      </c>
      <c r="X6" s="810" t="str">
        <f t="shared" si="14"/>
        <v/>
      </c>
      <c r="Y6" s="806">
        <f t="shared" si="15"/>
        <v>0</v>
      </c>
      <c r="Z6" s="640" t="str">
        <f t="shared" si="16"/>
        <v>0</v>
      </c>
      <c r="AA6" s="806">
        <f t="shared" si="17"/>
        <v>0</v>
      </c>
      <c r="AB6" s="644">
        <f t="shared" si="18"/>
        <v>67</v>
      </c>
    </row>
    <row r="7" spans="1:28" ht="15" customHeight="1" outlineLevel="1" thickBot="1" x14ac:dyDescent="0.3">
      <c r="A7" s="965"/>
      <c r="B7" s="645">
        <v>2011</v>
      </c>
      <c r="C7" s="646">
        <v>14</v>
      </c>
      <c r="D7" s="647">
        <f t="shared" si="0"/>
        <v>59.760000000000005</v>
      </c>
      <c r="E7" s="648" t="str">
        <f t="shared" si="1"/>
        <v>0</v>
      </c>
      <c r="F7" s="649">
        <f t="shared" si="2"/>
        <v>0</v>
      </c>
      <c r="G7" s="652" t="str">
        <f t="shared" si="3"/>
        <v/>
      </c>
      <c r="H7" s="650">
        <f t="shared" si="4"/>
        <v>34.15</v>
      </c>
      <c r="I7" s="651" t="str">
        <f t="shared" si="5"/>
        <v>0</v>
      </c>
      <c r="J7" s="650">
        <f t="shared" si="6"/>
        <v>0</v>
      </c>
      <c r="K7" s="811" t="str">
        <f t="shared" si="7"/>
        <v/>
      </c>
      <c r="L7" s="652">
        <f t="shared" si="19"/>
        <v>0</v>
      </c>
      <c r="M7" s="653" t="str">
        <f t="shared" si="20"/>
        <v>0</v>
      </c>
      <c r="N7" s="652">
        <f t="shared" si="21"/>
        <v>0</v>
      </c>
      <c r="O7" s="654">
        <f t="shared" si="8"/>
        <v>64</v>
      </c>
      <c r="P7" s="655"/>
      <c r="Q7" s="647">
        <f t="shared" si="9"/>
        <v>45.839999999999996</v>
      </c>
      <c r="R7" s="656" t="str">
        <f t="shared" si="10"/>
        <v>0</v>
      </c>
      <c r="S7" s="649">
        <f t="shared" si="22"/>
        <v>0</v>
      </c>
      <c r="T7" s="652" t="str">
        <f t="shared" si="11"/>
        <v/>
      </c>
      <c r="U7" s="650">
        <f t="shared" si="12"/>
        <v>0</v>
      </c>
      <c r="V7" s="657">
        <f t="shared" si="13"/>
        <v>0</v>
      </c>
      <c r="W7" s="650">
        <f t="shared" si="23"/>
        <v>0</v>
      </c>
      <c r="X7" s="811" t="str">
        <f t="shared" si="14"/>
        <v/>
      </c>
      <c r="Y7" s="807">
        <f t="shared" si="15"/>
        <v>0</v>
      </c>
      <c r="Z7" s="653" t="str">
        <f t="shared" si="16"/>
        <v>0</v>
      </c>
      <c r="AA7" s="807">
        <f t="shared" si="17"/>
        <v>0</v>
      </c>
      <c r="AB7" s="658">
        <f t="shared" si="18"/>
        <v>45</v>
      </c>
    </row>
    <row r="8" spans="1:28" ht="15" customHeight="1" outlineLevel="1" x14ac:dyDescent="0.25">
      <c r="A8" s="977" t="s">
        <v>240</v>
      </c>
      <c r="B8" s="620">
        <v>2010</v>
      </c>
      <c r="C8" s="621">
        <v>4</v>
      </c>
      <c r="D8" s="622">
        <f t="shared" si="0"/>
        <v>70.53</v>
      </c>
      <c r="E8" s="623" t="str">
        <f t="shared" si="1"/>
        <v>0</v>
      </c>
      <c r="F8" s="624">
        <f t="shared" si="2"/>
        <v>0</v>
      </c>
      <c r="G8" s="627" t="str">
        <f t="shared" si="3"/>
        <v/>
      </c>
      <c r="H8" s="625">
        <f t="shared" si="4"/>
        <v>0</v>
      </c>
      <c r="I8" s="626" t="str">
        <f t="shared" si="5"/>
        <v>0</v>
      </c>
      <c r="J8" s="625">
        <f t="shared" si="6"/>
        <v>0</v>
      </c>
      <c r="K8" s="812" t="str">
        <f t="shared" si="7"/>
        <v/>
      </c>
      <c r="L8" s="627">
        <f t="shared" si="19"/>
        <v>0</v>
      </c>
      <c r="M8" s="628" t="str">
        <f t="shared" si="20"/>
        <v>0</v>
      </c>
      <c r="N8" s="627">
        <f t="shared" si="21"/>
        <v>0</v>
      </c>
      <c r="O8" s="629">
        <f t="shared" si="8"/>
        <v>70</v>
      </c>
      <c r="P8" s="630"/>
      <c r="Q8" s="622">
        <f t="shared" si="9"/>
        <v>65.040000000000006</v>
      </c>
      <c r="R8" s="631" t="str">
        <f t="shared" si="10"/>
        <v>0</v>
      </c>
      <c r="S8" s="624">
        <f t="shared" si="22"/>
        <v>0</v>
      </c>
      <c r="T8" s="627" t="str">
        <f t="shared" si="11"/>
        <v/>
      </c>
      <c r="U8" s="625">
        <f t="shared" si="12"/>
        <v>0</v>
      </c>
      <c r="V8" s="632">
        <f t="shared" si="13"/>
        <v>0</v>
      </c>
      <c r="W8" s="625">
        <f t="shared" si="23"/>
        <v>0</v>
      </c>
      <c r="X8" s="812" t="str">
        <f t="shared" si="14"/>
        <v/>
      </c>
      <c r="Y8" s="808">
        <f t="shared" si="15"/>
        <v>0</v>
      </c>
      <c r="Z8" s="628" t="str">
        <f t="shared" si="16"/>
        <v>0</v>
      </c>
      <c r="AA8" s="808">
        <f t="shared" si="17"/>
        <v>0</v>
      </c>
      <c r="AB8" s="633">
        <f t="shared" si="18"/>
        <v>46</v>
      </c>
    </row>
    <row r="9" spans="1:28" ht="15" customHeight="1" outlineLevel="1" x14ac:dyDescent="0.25">
      <c r="A9" s="978"/>
      <c r="B9" s="634">
        <v>2010</v>
      </c>
      <c r="C9" s="635">
        <v>5</v>
      </c>
      <c r="D9" s="636">
        <f t="shared" si="0"/>
        <v>37.130000000000003</v>
      </c>
      <c r="E9" s="637" t="str">
        <f t="shared" si="1"/>
        <v>0</v>
      </c>
      <c r="F9" s="638">
        <f t="shared" si="2"/>
        <v>0</v>
      </c>
      <c r="G9" s="93" t="str">
        <f t="shared" si="3"/>
        <v/>
      </c>
      <c r="H9" s="547">
        <f t="shared" si="4"/>
        <v>39.159999999999997</v>
      </c>
      <c r="I9" s="639" t="str">
        <f t="shared" si="5"/>
        <v>0</v>
      </c>
      <c r="J9" s="547">
        <f t="shared" si="6"/>
        <v>0</v>
      </c>
      <c r="K9" s="810" t="str">
        <f t="shared" si="7"/>
        <v/>
      </c>
      <c r="L9" s="93">
        <f t="shared" si="19"/>
        <v>0</v>
      </c>
      <c r="M9" s="640" t="str">
        <f t="shared" si="20"/>
        <v>0</v>
      </c>
      <c r="N9" s="93">
        <f t="shared" si="21"/>
        <v>0</v>
      </c>
      <c r="O9" s="641">
        <f t="shared" si="8"/>
        <v>56</v>
      </c>
      <c r="Q9" s="636">
        <f t="shared" si="9"/>
        <v>47.44</v>
      </c>
      <c r="R9" s="642" t="str">
        <f t="shared" si="10"/>
        <v>0</v>
      </c>
      <c r="S9" s="638">
        <f t="shared" si="22"/>
        <v>0</v>
      </c>
      <c r="T9" s="93" t="str">
        <f t="shared" si="11"/>
        <v/>
      </c>
      <c r="U9" s="547">
        <f t="shared" si="12"/>
        <v>32.090000000000003</v>
      </c>
      <c r="V9" s="643">
        <f t="shared" si="13"/>
        <v>0</v>
      </c>
      <c r="W9" s="547">
        <f t="shared" si="23"/>
        <v>0</v>
      </c>
      <c r="X9" s="810" t="str">
        <f t="shared" si="14"/>
        <v/>
      </c>
      <c r="Y9" s="806">
        <f t="shared" si="15"/>
        <v>0</v>
      </c>
      <c r="Z9" s="640" t="str">
        <f t="shared" si="16"/>
        <v>0</v>
      </c>
      <c r="AA9" s="806">
        <f t="shared" si="17"/>
        <v>0</v>
      </c>
      <c r="AB9" s="644">
        <f t="shared" si="18"/>
        <v>62</v>
      </c>
    </row>
    <row r="10" spans="1:28" ht="15" customHeight="1" outlineLevel="1" x14ac:dyDescent="0.25">
      <c r="A10" s="978"/>
      <c r="B10" s="634">
        <v>2010</v>
      </c>
      <c r="C10" s="635">
        <v>6</v>
      </c>
      <c r="D10" s="636">
        <f t="shared" si="0"/>
        <v>44.18</v>
      </c>
      <c r="E10" s="637" t="str">
        <f t="shared" si="1"/>
        <v>0</v>
      </c>
      <c r="F10" s="638">
        <f t="shared" si="2"/>
        <v>0</v>
      </c>
      <c r="G10" s="93" t="str">
        <f t="shared" si="3"/>
        <v/>
      </c>
      <c r="H10" s="547">
        <f t="shared" si="4"/>
        <v>63.39</v>
      </c>
      <c r="I10" s="639" t="str">
        <f t="shared" si="5"/>
        <v>0</v>
      </c>
      <c r="J10" s="547">
        <f t="shared" si="6"/>
        <v>0</v>
      </c>
      <c r="K10" s="810" t="str">
        <f t="shared" si="7"/>
        <v/>
      </c>
      <c r="L10" s="93">
        <f t="shared" si="19"/>
        <v>0</v>
      </c>
      <c r="M10" s="640" t="str">
        <f t="shared" si="20"/>
        <v>0</v>
      </c>
      <c r="N10" s="93">
        <f t="shared" si="21"/>
        <v>0</v>
      </c>
      <c r="O10" s="641">
        <f t="shared" si="8"/>
        <v>62</v>
      </c>
      <c r="Q10" s="636">
        <f t="shared" si="9"/>
        <v>60.33</v>
      </c>
      <c r="R10" s="642" t="str">
        <f t="shared" si="10"/>
        <v>0</v>
      </c>
      <c r="S10" s="638">
        <f t="shared" si="22"/>
        <v>0</v>
      </c>
      <c r="T10" s="93" t="str">
        <f t="shared" si="11"/>
        <v/>
      </c>
      <c r="U10" s="547">
        <f t="shared" si="12"/>
        <v>64.91</v>
      </c>
      <c r="V10" s="643">
        <f t="shared" si="13"/>
        <v>0</v>
      </c>
      <c r="W10" s="547">
        <f t="shared" si="23"/>
        <v>0</v>
      </c>
      <c r="X10" s="810" t="str">
        <f t="shared" si="14"/>
        <v/>
      </c>
      <c r="Y10" s="806">
        <f t="shared" si="15"/>
        <v>0</v>
      </c>
      <c r="Z10" s="640" t="str">
        <f t="shared" si="16"/>
        <v>0</v>
      </c>
      <c r="AA10" s="806">
        <f t="shared" si="17"/>
        <v>0</v>
      </c>
      <c r="AB10" s="644">
        <f t="shared" si="18"/>
        <v>86</v>
      </c>
    </row>
    <row r="11" spans="1:28" ht="15" customHeight="1" outlineLevel="1" x14ac:dyDescent="0.25">
      <c r="A11" s="978"/>
      <c r="B11" s="634">
        <v>2010</v>
      </c>
      <c r="C11" s="635">
        <v>7</v>
      </c>
      <c r="D11" s="636">
        <f t="shared" si="0"/>
        <v>25.65</v>
      </c>
      <c r="E11" s="637" t="str">
        <f t="shared" si="1"/>
        <v>0</v>
      </c>
      <c r="F11" s="638">
        <f t="shared" si="2"/>
        <v>0</v>
      </c>
      <c r="G11" s="93" t="str">
        <f t="shared" si="3"/>
        <v/>
      </c>
      <c r="H11" s="547">
        <f t="shared" si="4"/>
        <v>19.72</v>
      </c>
      <c r="I11" s="639" t="str">
        <f t="shared" si="5"/>
        <v>0</v>
      </c>
      <c r="J11" s="547">
        <f t="shared" si="6"/>
        <v>0</v>
      </c>
      <c r="K11" s="810" t="str">
        <f t="shared" si="7"/>
        <v/>
      </c>
      <c r="L11" s="93">
        <f t="shared" si="19"/>
        <v>0</v>
      </c>
      <c r="M11" s="640" t="str">
        <f t="shared" si="20"/>
        <v>0</v>
      </c>
      <c r="N11" s="93">
        <f t="shared" si="21"/>
        <v>0</v>
      </c>
      <c r="O11" s="641">
        <f t="shared" si="8"/>
        <v>28</v>
      </c>
      <c r="Q11" s="636">
        <f t="shared" si="9"/>
        <v>19.149999999999999</v>
      </c>
      <c r="R11" s="642" t="str">
        <f t="shared" si="10"/>
        <v>0</v>
      </c>
      <c r="S11" s="638">
        <f t="shared" si="22"/>
        <v>0</v>
      </c>
      <c r="T11" s="93" t="str">
        <f t="shared" si="11"/>
        <v/>
      </c>
      <c r="U11" s="547">
        <f t="shared" si="12"/>
        <v>0</v>
      </c>
      <c r="V11" s="643">
        <f t="shared" si="13"/>
        <v>0</v>
      </c>
      <c r="W11" s="547">
        <f t="shared" si="23"/>
        <v>0</v>
      </c>
      <c r="X11" s="810" t="str">
        <f t="shared" si="14"/>
        <v/>
      </c>
      <c r="Y11" s="806">
        <f t="shared" si="15"/>
        <v>0</v>
      </c>
      <c r="Z11" s="640" t="str">
        <f t="shared" si="16"/>
        <v>0</v>
      </c>
      <c r="AA11" s="806">
        <f t="shared" si="17"/>
        <v>0</v>
      </c>
      <c r="AB11" s="644">
        <f t="shared" si="18"/>
        <v>17</v>
      </c>
    </row>
    <row r="12" spans="1:28" ht="15" customHeight="1" outlineLevel="1" x14ac:dyDescent="0.25">
      <c r="A12" s="978"/>
      <c r="B12" s="634">
        <v>2010</v>
      </c>
      <c r="C12" s="635">
        <v>23</v>
      </c>
      <c r="D12" s="636">
        <f t="shared" si="0"/>
        <v>4</v>
      </c>
      <c r="E12" s="637" t="str">
        <f t="shared" si="1"/>
        <v>0</v>
      </c>
      <c r="F12" s="638">
        <f t="shared" si="2"/>
        <v>0</v>
      </c>
      <c r="G12" s="93" t="str">
        <f t="shared" si="3"/>
        <v/>
      </c>
      <c r="H12" s="547">
        <f t="shared" si="4"/>
        <v>17.66</v>
      </c>
      <c r="I12" s="639" t="str">
        <f t="shared" si="5"/>
        <v>0</v>
      </c>
      <c r="J12" s="547">
        <f t="shared" si="6"/>
        <v>0</v>
      </c>
      <c r="K12" s="810" t="str">
        <f t="shared" si="7"/>
        <v/>
      </c>
      <c r="L12" s="93">
        <f t="shared" si="19"/>
        <v>0</v>
      </c>
      <c r="M12" s="640" t="str">
        <f t="shared" si="20"/>
        <v>0</v>
      </c>
      <c r="N12" s="93">
        <f t="shared" si="21"/>
        <v>0</v>
      </c>
      <c r="O12" s="641">
        <f t="shared" si="8"/>
        <v>15</v>
      </c>
      <c r="Q12" s="636">
        <f t="shared" si="9"/>
        <v>25.259999999999998</v>
      </c>
      <c r="R12" s="642" t="str">
        <f t="shared" si="10"/>
        <v>0</v>
      </c>
      <c r="S12" s="638">
        <f t="shared" si="22"/>
        <v>0</v>
      </c>
      <c r="T12" s="93" t="str">
        <f t="shared" si="11"/>
        <v/>
      </c>
      <c r="U12" s="547">
        <f t="shared" si="12"/>
        <v>0</v>
      </c>
      <c r="V12" s="643">
        <f t="shared" si="13"/>
        <v>0</v>
      </c>
      <c r="W12" s="547">
        <f t="shared" si="23"/>
        <v>0</v>
      </c>
      <c r="X12" s="810" t="str">
        <f t="shared" si="14"/>
        <v/>
      </c>
      <c r="Y12" s="806">
        <f t="shared" si="15"/>
        <v>0</v>
      </c>
      <c r="Z12" s="640" t="str">
        <f t="shared" si="16"/>
        <v>0</v>
      </c>
      <c r="AA12" s="806">
        <f t="shared" si="17"/>
        <v>0</v>
      </c>
      <c r="AB12" s="644">
        <f t="shared" si="18"/>
        <v>11</v>
      </c>
    </row>
    <row r="13" spans="1:28" ht="15" customHeight="1" outlineLevel="1" thickBot="1" x14ac:dyDescent="0.3">
      <c r="A13" s="979"/>
      <c r="B13" s="645">
        <v>2012</v>
      </c>
      <c r="C13" s="646">
        <v>24</v>
      </c>
      <c r="D13" s="647">
        <f t="shared" si="0"/>
        <v>29.610000000000003</v>
      </c>
      <c r="E13" s="648" t="str">
        <f t="shared" si="1"/>
        <v>0</v>
      </c>
      <c r="F13" s="649">
        <f t="shared" si="2"/>
        <v>0</v>
      </c>
      <c r="G13" s="652" t="str">
        <f t="shared" si="3"/>
        <v/>
      </c>
      <c r="H13" s="650">
        <f t="shared" si="4"/>
        <v>57.949999999999996</v>
      </c>
      <c r="I13" s="651" t="str">
        <f t="shared" si="5"/>
        <v>0</v>
      </c>
      <c r="J13" s="650">
        <f t="shared" si="6"/>
        <v>0</v>
      </c>
      <c r="K13" s="811" t="str">
        <f t="shared" si="7"/>
        <v/>
      </c>
      <c r="L13" s="652">
        <f t="shared" si="19"/>
        <v>0</v>
      </c>
      <c r="M13" s="653" t="str">
        <f t="shared" si="20"/>
        <v>0</v>
      </c>
      <c r="N13" s="652">
        <f t="shared" si="21"/>
        <v>0</v>
      </c>
      <c r="O13" s="654">
        <f t="shared" si="8"/>
        <v>69</v>
      </c>
      <c r="P13" s="655"/>
      <c r="Q13" s="647">
        <f t="shared" si="9"/>
        <v>49.910000000000004</v>
      </c>
      <c r="R13" s="656" t="str">
        <f t="shared" si="10"/>
        <v>0</v>
      </c>
      <c r="S13" s="649">
        <f t="shared" si="22"/>
        <v>0</v>
      </c>
      <c r="T13" s="652" t="str">
        <f t="shared" si="11"/>
        <v/>
      </c>
      <c r="U13" s="650">
        <f t="shared" si="12"/>
        <v>0</v>
      </c>
      <c r="V13" s="657">
        <f t="shared" si="13"/>
        <v>0</v>
      </c>
      <c r="W13" s="650">
        <f t="shared" si="23"/>
        <v>0</v>
      </c>
      <c r="X13" s="811" t="str">
        <f t="shared" si="14"/>
        <v/>
      </c>
      <c r="Y13" s="807">
        <f t="shared" si="15"/>
        <v>0</v>
      </c>
      <c r="Z13" s="653" t="str">
        <f t="shared" si="16"/>
        <v>0</v>
      </c>
      <c r="AA13" s="807">
        <f t="shared" si="17"/>
        <v>0</v>
      </c>
      <c r="AB13" s="658">
        <f t="shared" si="18"/>
        <v>36</v>
      </c>
    </row>
    <row r="14" spans="1:28" ht="15" customHeight="1" outlineLevel="1" x14ac:dyDescent="0.25">
      <c r="A14" s="963" t="s">
        <v>64</v>
      </c>
      <c r="B14" s="620">
        <v>2011</v>
      </c>
      <c r="C14" s="621">
        <v>15</v>
      </c>
      <c r="D14" s="622">
        <f t="shared" si="0"/>
        <v>34.21</v>
      </c>
      <c r="E14" s="623" t="str">
        <f t="shared" si="1"/>
        <v>0</v>
      </c>
      <c r="F14" s="624">
        <f t="shared" si="2"/>
        <v>0</v>
      </c>
      <c r="G14" s="627" t="str">
        <f t="shared" si="3"/>
        <v/>
      </c>
      <c r="H14" s="625">
        <f t="shared" si="4"/>
        <v>26.28</v>
      </c>
      <c r="I14" s="626" t="str">
        <f t="shared" si="5"/>
        <v>0</v>
      </c>
      <c r="J14" s="625">
        <f t="shared" si="6"/>
        <v>0</v>
      </c>
      <c r="K14" s="812" t="str">
        <f t="shared" si="7"/>
        <v/>
      </c>
      <c r="L14" s="627">
        <f t="shared" si="19"/>
        <v>0</v>
      </c>
      <c r="M14" s="628" t="str">
        <f t="shared" si="20"/>
        <v>0</v>
      </c>
      <c r="N14" s="627">
        <f t="shared" si="21"/>
        <v>0</v>
      </c>
      <c r="O14" s="629">
        <f t="shared" si="8"/>
        <v>71</v>
      </c>
      <c r="P14" s="630"/>
      <c r="Q14" s="622">
        <f t="shared" si="9"/>
        <v>70.900000000000006</v>
      </c>
      <c r="R14" s="631" t="str">
        <f t="shared" si="10"/>
        <v>0</v>
      </c>
      <c r="S14" s="624">
        <f t="shared" si="22"/>
        <v>0</v>
      </c>
      <c r="T14" s="627" t="str">
        <f t="shared" si="11"/>
        <v/>
      </c>
      <c r="U14" s="625">
        <f t="shared" si="12"/>
        <v>53.16</v>
      </c>
      <c r="V14" s="632">
        <f t="shared" si="13"/>
        <v>0</v>
      </c>
      <c r="W14" s="625">
        <f t="shared" si="23"/>
        <v>0</v>
      </c>
      <c r="X14" s="812" t="str">
        <f t="shared" si="14"/>
        <v/>
      </c>
      <c r="Y14" s="808">
        <f t="shared" si="15"/>
        <v>0</v>
      </c>
      <c r="Z14" s="628" t="str">
        <f t="shared" si="16"/>
        <v>0</v>
      </c>
      <c r="AA14" s="808">
        <f t="shared" si="17"/>
        <v>0</v>
      </c>
      <c r="AB14" s="633">
        <f t="shared" si="18"/>
        <v>60</v>
      </c>
    </row>
    <row r="15" spans="1:28" ht="15" customHeight="1" outlineLevel="1" x14ac:dyDescent="0.25">
      <c r="A15" s="964"/>
      <c r="B15" s="634">
        <v>2011</v>
      </c>
      <c r="C15" s="635">
        <v>16</v>
      </c>
      <c r="D15" s="636">
        <f t="shared" si="0"/>
        <v>28.6</v>
      </c>
      <c r="E15" s="637" t="str">
        <f t="shared" si="1"/>
        <v>0</v>
      </c>
      <c r="F15" s="638">
        <f t="shared" si="2"/>
        <v>0</v>
      </c>
      <c r="G15" s="93" t="str">
        <f t="shared" si="3"/>
        <v/>
      </c>
      <c r="H15" s="547">
        <f t="shared" si="4"/>
        <v>27.35</v>
      </c>
      <c r="I15" s="639" t="str">
        <f t="shared" si="5"/>
        <v>0</v>
      </c>
      <c r="J15" s="547">
        <f t="shared" si="6"/>
        <v>0</v>
      </c>
      <c r="K15" s="810" t="str">
        <f t="shared" si="7"/>
        <v/>
      </c>
      <c r="L15" s="93">
        <f t="shared" si="19"/>
        <v>31.71</v>
      </c>
      <c r="M15" s="640" t="str">
        <f t="shared" si="20"/>
        <v>0</v>
      </c>
      <c r="N15" s="93">
        <f t="shared" si="21"/>
        <v>0</v>
      </c>
      <c r="O15" s="641">
        <f t="shared" si="8"/>
        <v>70</v>
      </c>
      <c r="Q15" s="636">
        <f t="shared" si="9"/>
        <v>53.38</v>
      </c>
      <c r="R15" s="642" t="str">
        <f t="shared" si="10"/>
        <v>0</v>
      </c>
      <c r="S15" s="638">
        <f t="shared" si="22"/>
        <v>0</v>
      </c>
      <c r="T15" s="93" t="str">
        <f t="shared" si="11"/>
        <v/>
      </c>
      <c r="U15" s="547">
        <f t="shared" si="12"/>
        <v>58.28</v>
      </c>
      <c r="V15" s="643">
        <f t="shared" si="13"/>
        <v>0</v>
      </c>
      <c r="W15" s="547">
        <f t="shared" si="23"/>
        <v>0</v>
      </c>
      <c r="X15" s="810" t="str">
        <f t="shared" si="14"/>
        <v/>
      </c>
      <c r="Y15" s="806">
        <f t="shared" si="15"/>
        <v>0</v>
      </c>
      <c r="Z15" s="640" t="str">
        <f t="shared" si="16"/>
        <v>0</v>
      </c>
      <c r="AA15" s="806">
        <f t="shared" si="17"/>
        <v>0</v>
      </c>
      <c r="AB15" s="644">
        <f t="shared" si="18"/>
        <v>60</v>
      </c>
    </row>
    <row r="16" spans="1:28" ht="15" customHeight="1" outlineLevel="1" x14ac:dyDescent="0.25">
      <c r="A16" s="964"/>
      <c r="B16" s="634">
        <v>2011</v>
      </c>
      <c r="C16" s="635">
        <v>17</v>
      </c>
      <c r="D16" s="636">
        <f t="shared" si="0"/>
        <v>28.849999999999998</v>
      </c>
      <c r="E16" s="637" t="str">
        <f t="shared" si="1"/>
        <v>0</v>
      </c>
      <c r="F16" s="638">
        <f t="shared" si="2"/>
        <v>0</v>
      </c>
      <c r="G16" s="93" t="str">
        <f t="shared" si="3"/>
        <v/>
      </c>
      <c r="H16" s="547">
        <f t="shared" si="4"/>
        <v>35.46</v>
      </c>
      <c r="I16" s="639" t="str">
        <f t="shared" si="5"/>
        <v>0</v>
      </c>
      <c r="J16" s="547">
        <f t="shared" si="6"/>
        <v>0</v>
      </c>
      <c r="K16" s="810" t="str">
        <f t="shared" si="7"/>
        <v/>
      </c>
      <c r="L16" s="93">
        <f t="shared" si="19"/>
        <v>32.58</v>
      </c>
      <c r="M16" s="640" t="str">
        <f t="shared" si="20"/>
        <v>0</v>
      </c>
      <c r="N16" s="93">
        <f t="shared" si="21"/>
        <v>0</v>
      </c>
      <c r="O16" s="641">
        <f t="shared" si="8"/>
        <v>82</v>
      </c>
      <c r="Q16" s="636">
        <f t="shared" si="9"/>
        <v>43.17</v>
      </c>
      <c r="R16" s="642" t="str">
        <f t="shared" si="10"/>
        <v>0</v>
      </c>
      <c r="S16" s="638">
        <f t="shared" si="22"/>
        <v>0</v>
      </c>
      <c r="T16" s="93" t="str">
        <f t="shared" si="11"/>
        <v/>
      </c>
      <c r="U16" s="547">
        <f t="shared" si="12"/>
        <v>0</v>
      </c>
      <c r="V16" s="643">
        <f t="shared" si="13"/>
        <v>0</v>
      </c>
      <c r="W16" s="547">
        <f t="shared" si="23"/>
        <v>0</v>
      </c>
      <c r="X16" s="810" t="str">
        <f t="shared" si="14"/>
        <v/>
      </c>
      <c r="Y16" s="806">
        <f t="shared" si="15"/>
        <v>0</v>
      </c>
      <c r="Z16" s="640" t="str">
        <f t="shared" si="16"/>
        <v>0</v>
      </c>
      <c r="AA16" s="806">
        <f t="shared" si="17"/>
        <v>0</v>
      </c>
      <c r="AB16" s="644">
        <f t="shared" si="18"/>
        <v>26</v>
      </c>
    </row>
    <row r="17" spans="1:28" ht="15" customHeight="1" outlineLevel="1" x14ac:dyDescent="0.25">
      <c r="A17" s="964"/>
      <c r="B17" s="634">
        <v>2012</v>
      </c>
      <c r="C17" s="635">
        <v>19</v>
      </c>
      <c r="D17" s="636">
        <f t="shared" si="0"/>
        <v>40.1</v>
      </c>
      <c r="E17" s="637" t="str">
        <f t="shared" si="1"/>
        <v>0</v>
      </c>
      <c r="F17" s="638">
        <f t="shared" si="2"/>
        <v>0</v>
      </c>
      <c r="G17" s="93" t="str">
        <f t="shared" si="3"/>
        <v/>
      </c>
      <c r="H17" s="547">
        <f t="shared" si="4"/>
        <v>9.11</v>
      </c>
      <c r="I17" s="639" t="str">
        <f t="shared" si="5"/>
        <v>0</v>
      </c>
      <c r="J17" s="547">
        <f t="shared" si="6"/>
        <v>0</v>
      </c>
      <c r="K17" s="810" t="str">
        <f t="shared" si="7"/>
        <v/>
      </c>
      <c r="L17" s="93">
        <f t="shared" si="19"/>
        <v>0</v>
      </c>
      <c r="M17" s="640" t="str">
        <f t="shared" si="20"/>
        <v>0</v>
      </c>
      <c r="N17" s="93">
        <f t="shared" si="21"/>
        <v>0</v>
      </c>
      <c r="O17" s="641">
        <f t="shared" si="8"/>
        <v>34</v>
      </c>
      <c r="Q17" s="636">
        <f t="shared" si="9"/>
        <v>56.22</v>
      </c>
      <c r="R17" s="642" t="str">
        <f t="shared" si="10"/>
        <v>0</v>
      </c>
      <c r="S17" s="638">
        <f t="shared" si="22"/>
        <v>0</v>
      </c>
      <c r="T17" s="93" t="str">
        <f t="shared" si="11"/>
        <v/>
      </c>
      <c r="U17" s="547">
        <f t="shared" si="12"/>
        <v>33.75</v>
      </c>
      <c r="V17" s="643">
        <f t="shared" si="13"/>
        <v>0</v>
      </c>
      <c r="W17" s="547">
        <f t="shared" si="23"/>
        <v>0</v>
      </c>
      <c r="X17" s="810" t="str">
        <f t="shared" si="14"/>
        <v/>
      </c>
      <c r="Y17" s="806">
        <f t="shared" si="15"/>
        <v>0</v>
      </c>
      <c r="Z17" s="640" t="str">
        <f t="shared" si="16"/>
        <v>0</v>
      </c>
      <c r="AA17" s="806">
        <f t="shared" si="17"/>
        <v>0</v>
      </c>
      <c r="AB17" s="644">
        <f t="shared" si="18"/>
        <v>52</v>
      </c>
    </row>
    <row r="18" spans="1:28" ht="15" customHeight="1" outlineLevel="1" x14ac:dyDescent="0.25">
      <c r="A18" s="964"/>
      <c r="B18" s="634">
        <v>2012</v>
      </c>
      <c r="C18" s="635">
        <v>20</v>
      </c>
      <c r="D18" s="636">
        <f t="shared" si="0"/>
        <v>47.959999999999994</v>
      </c>
      <c r="E18" s="637" t="str">
        <f t="shared" si="1"/>
        <v>0</v>
      </c>
      <c r="F18" s="638">
        <f t="shared" si="2"/>
        <v>0</v>
      </c>
      <c r="G18" s="93" t="str">
        <f t="shared" si="3"/>
        <v/>
      </c>
      <c r="H18" s="547">
        <f t="shared" si="4"/>
        <v>21.04</v>
      </c>
      <c r="I18" s="639" t="str">
        <f t="shared" si="5"/>
        <v>0</v>
      </c>
      <c r="J18" s="547">
        <f t="shared" si="6"/>
        <v>0</v>
      </c>
      <c r="K18" s="810" t="str">
        <f t="shared" si="7"/>
        <v/>
      </c>
      <c r="L18" s="93">
        <f t="shared" si="19"/>
        <v>0</v>
      </c>
      <c r="M18" s="640" t="str">
        <f t="shared" si="20"/>
        <v>0</v>
      </c>
      <c r="N18" s="93">
        <f t="shared" si="21"/>
        <v>0</v>
      </c>
      <c r="O18" s="641">
        <f t="shared" si="8"/>
        <v>47</v>
      </c>
      <c r="Q18" s="636">
        <f t="shared" si="9"/>
        <v>84.19</v>
      </c>
      <c r="R18" s="642" t="str">
        <f t="shared" si="10"/>
        <v>0</v>
      </c>
      <c r="S18" s="638">
        <f t="shared" si="22"/>
        <v>0</v>
      </c>
      <c r="T18" s="93" t="str">
        <f t="shared" si="11"/>
        <v/>
      </c>
      <c r="U18" s="547">
        <f t="shared" si="12"/>
        <v>52.47</v>
      </c>
      <c r="V18" s="643">
        <f t="shared" si="13"/>
        <v>0</v>
      </c>
      <c r="W18" s="547">
        <f t="shared" si="23"/>
        <v>0</v>
      </c>
      <c r="X18" s="810" t="str">
        <f t="shared" si="14"/>
        <v/>
      </c>
      <c r="Y18" s="806">
        <f t="shared" si="15"/>
        <v>0</v>
      </c>
      <c r="Z18" s="640" t="str">
        <f t="shared" si="16"/>
        <v>0</v>
      </c>
      <c r="AA18" s="806">
        <f t="shared" si="17"/>
        <v>0</v>
      </c>
      <c r="AB18" s="644">
        <f t="shared" si="18"/>
        <v>77</v>
      </c>
    </row>
    <row r="19" spans="1:28" ht="15" customHeight="1" outlineLevel="1" x14ac:dyDescent="0.25">
      <c r="A19" s="964"/>
      <c r="B19" s="634">
        <v>2012</v>
      </c>
      <c r="C19" s="635">
        <v>21</v>
      </c>
      <c r="D19" s="636">
        <f t="shared" si="0"/>
        <v>46.57</v>
      </c>
      <c r="E19" s="637" t="str">
        <f t="shared" si="1"/>
        <v>0</v>
      </c>
      <c r="F19" s="638">
        <f t="shared" si="2"/>
        <v>0</v>
      </c>
      <c r="G19" s="93" t="str">
        <f t="shared" si="3"/>
        <v/>
      </c>
      <c r="H19" s="547">
        <f t="shared" si="4"/>
        <v>49.48</v>
      </c>
      <c r="I19" s="639" t="str">
        <f t="shared" si="5"/>
        <v>0</v>
      </c>
      <c r="J19" s="547">
        <f t="shared" si="6"/>
        <v>0</v>
      </c>
      <c r="K19" s="810" t="str">
        <f t="shared" si="7"/>
        <v/>
      </c>
      <c r="L19" s="93">
        <f t="shared" si="19"/>
        <v>0</v>
      </c>
      <c r="M19" s="640" t="str">
        <f t="shared" si="20"/>
        <v>0</v>
      </c>
      <c r="N19" s="93">
        <f t="shared" si="21"/>
        <v>0</v>
      </c>
      <c r="O19" s="641">
        <f t="shared" si="8"/>
        <v>76</v>
      </c>
      <c r="Q19" s="636">
        <f t="shared" si="9"/>
        <v>101.30000000000001</v>
      </c>
      <c r="R19" s="642" t="str">
        <f t="shared" si="10"/>
        <v>0</v>
      </c>
      <c r="S19" s="638">
        <f t="shared" si="22"/>
        <v>0</v>
      </c>
      <c r="T19" s="93" t="str">
        <f t="shared" si="11"/>
        <v/>
      </c>
      <c r="U19" s="547">
        <f t="shared" si="12"/>
        <v>20.9</v>
      </c>
      <c r="V19" s="643">
        <f t="shared" si="13"/>
        <v>0</v>
      </c>
      <c r="W19" s="547">
        <f t="shared" si="23"/>
        <v>0</v>
      </c>
      <c r="X19" s="810" t="str">
        <f t="shared" si="14"/>
        <v/>
      </c>
      <c r="Y19" s="806">
        <f t="shared" si="15"/>
        <v>0</v>
      </c>
      <c r="Z19" s="640" t="str">
        <f t="shared" si="16"/>
        <v>0</v>
      </c>
      <c r="AA19" s="806">
        <f t="shared" si="17"/>
        <v>0</v>
      </c>
      <c r="AB19" s="644">
        <f t="shared" si="18"/>
        <v>58</v>
      </c>
    </row>
    <row r="20" spans="1:28" ht="15" customHeight="1" outlineLevel="1" thickBot="1" x14ac:dyDescent="0.3">
      <c r="A20" s="965"/>
      <c r="B20" s="645">
        <v>2012</v>
      </c>
      <c r="C20" s="646">
        <v>22</v>
      </c>
      <c r="D20" s="647">
        <f t="shared" si="0"/>
        <v>7.25</v>
      </c>
      <c r="E20" s="648" t="str">
        <f t="shared" si="1"/>
        <v>0</v>
      </c>
      <c r="F20" s="649">
        <f t="shared" si="2"/>
        <v>0</v>
      </c>
      <c r="G20" s="652" t="str">
        <f t="shared" si="3"/>
        <v/>
      </c>
      <c r="H20" s="650">
        <f t="shared" si="4"/>
        <v>29.27</v>
      </c>
      <c r="I20" s="651" t="str">
        <f t="shared" si="5"/>
        <v>0</v>
      </c>
      <c r="J20" s="650">
        <f t="shared" si="6"/>
        <v>0</v>
      </c>
      <c r="K20" s="811" t="str">
        <f t="shared" si="7"/>
        <v/>
      </c>
      <c r="L20" s="652">
        <f t="shared" si="19"/>
        <v>31.16</v>
      </c>
      <c r="M20" s="653" t="str">
        <f t="shared" si="20"/>
        <v>0</v>
      </c>
      <c r="N20" s="652">
        <f t="shared" si="21"/>
        <v>0</v>
      </c>
      <c r="O20" s="654">
        <f t="shared" si="8"/>
        <v>78</v>
      </c>
      <c r="P20" s="655"/>
      <c r="Q20" s="647">
        <f t="shared" si="9"/>
        <v>64.45</v>
      </c>
      <c r="R20" s="656" t="str">
        <f t="shared" si="10"/>
        <v>0</v>
      </c>
      <c r="S20" s="649">
        <f t="shared" si="22"/>
        <v>0</v>
      </c>
      <c r="T20" s="652" t="str">
        <f t="shared" si="11"/>
        <v/>
      </c>
      <c r="U20" s="650">
        <f t="shared" si="12"/>
        <v>0</v>
      </c>
      <c r="V20" s="657">
        <f t="shared" si="13"/>
        <v>0</v>
      </c>
      <c r="W20" s="650">
        <f t="shared" si="23"/>
        <v>0</v>
      </c>
      <c r="X20" s="811" t="str">
        <f t="shared" si="14"/>
        <v/>
      </c>
      <c r="Y20" s="807">
        <f t="shared" si="15"/>
        <v>0</v>
      </c>
      <c r="Z20" s="653" t="str">
        <f t="shared" si="16"/>
        <v>0</v>
      </c>
      <c r="AA20" s="807">
        <f t="shared" si="17"/>
        <v>0</v>
      </c>
      <c r="AB20" s="658">
        <f t="shared" si="18"/>
        <v>31</v>
      </c>
    </row>
    <row r="21" spans="1:28" ht="15" customHeight="1" outlineLevel="1" x14ac:dyDescent="0.25">
      <c r="A21" s="963" t="s">
        <v>136</v>
      </c>
      <c r="B21" s="620">
        <v>2010</v>
      </c>
      <c r="C21" s="621">
        <v>8</v>
      </c>
      <c r="D21" s="622">
        <f t="shared" si="0"/>
        <v>61.179999999999993</v>
      </c>
      <c r="E21" s="623" t="str">
        <f t="shared" si="1"/>
        <v>0</v>
      </c>
      <c r="F21" s="624">
        <f t="shared" si="2"/>
        <v>0</v>
      </c>
      <c r="G21" s="627" t="str">
        <f t="shared" si="3"/>
        <v/>
      </c>
      <c r="H21" s="625">
        <f t="shared" si="4"/>
        <v>61.97</v>
      </c>
      <c r="I21" s="626" t="str">
        <f t="shared" si="5"/>
        <v>0</v>
      </c>
      <c r="J21" s="625">
        <f t="shared" si="6"/>
        <v>0</v>
      </c>
      <c r="K21" s="812" t="str">
        <f t="shared" si="7"/>
        <v/>
      </c>
      <c r="L21" s="627">
        <f t="shared" si="19"/>
        <v>0</v>
      </c>
      <c r="M21" s="628" t="str">
        <f t="shared" si="20"/>
        <v>0</v>
      </c>
      <c r="N21" s="627">
        <f t="shared" si="21"/>
        <v>0</v>
      </c>
      <c r="O21" s="629">
        <f t="shared" si="8"/>
        <v>64</v>
      </c>
      <c r="P21" s="630"/>
      <c r="Q21" s="622">
        <f t="shared" si="9"/>
        <v>59.31</v>
      </c>
      <c r="R21" s="631" t="str">
        <f t="shared" si="10"/>
        <v>0</v>
      </c>
      <c r="S21" s="624">
        <f t="shared" si="22"/>
        <v>0</v>
      </c>
      <c r="T21" s="627" t="str">
        <f t="shared" si="11"/>
        <v/>
      </c>
      <c r="U21" s="625">
        <f t="shared" si="12"/>
        <v>7.63</v>
      </c>
      <c r="V21" s="632">
        <f t="shared" si="13"/>
        <v>0</v>
      </c>
      <c r="W21" s="625">
        <f t="shared" si="23"/>
        <v>0</v>
      </c>
      <c r="X21" s="812" t="str">
        <f t="shared" si="14"/>
        <v/>
      </c>
      <c r="Y21" s="808">
        <f t="shared" si="15"/>
        <v>0</v>
      </c>
      <c r="Z21" s="628" t="str">
        <f t="shared" si="16"/>
        <v>0</v>
      </c>
      <c r="AA21" s="808">
        <f t="shared" si="17"/>
        <v>0</v>
      </c>
      <c r="AB21" s="633">
        <f t="shared" si="18"/>
        <v>37</v>
      </c>
    </row>
    <row r="22" spans="1:28" ht="15" customHeight="1" outlineLevel="1" x14ac:dyDescent="0.25">
      <c r="A22" s="964"/>
      <c r="B22" s="659">
        <v>2010</v>
      </c>
      <c r="C22" s="635">
        <v>9</v>
      </c>
      <c r="D22" s="636">
        <f t="shared" si="0"/>
        <v>27.910000000000004</v>
      </c>
      <c r="E22" s="637" t="str">
        <f t="shared" si="1"/>
        <v>0</v>
      </c>
      <c r="F22" s="638">
        <f t="shared" si="2"/>
        <v>0</v>
      </c>
      <c r="G22" s="93" t="str">
        <f t="shared" si="3"/>
        <v/>
      </c>
      <c r="H22" s="547">
        <f t="shared" si="4"/>
        <v>34.54</v>
      </c>
      <c r="I22" s="639" t="str">
        <f t="shared" si="5"/>
        <v>0</v>
      </c>
      <c r="J22" s="547">
        <f t="shared" si="6"/>
        <v>0</v>
      </c>
      <c r="K22" s="810" t="str">
        <f t="shared" si="7"/>
        <v/>
      </c>
      <c r="L22" s="93">
        <f t="shared" si="19"/>
        <v>0</v>
      </c>
      <c r="M22" s="640" t="str">
        <f t="shared" si="20"/>
        <v>0</v>
      </c>
      <c r="N22" s="93">
        <f t="shared" si="21"/>
        <v>0</v>
      </c>
      <c r="O22" s="641">
        <f t="shared" si="8"/>
        <v>37</v>
      </c>
      <c r="Q22" s="636">
        <f t="shared" si="9"/>
        <v>33.010000000000005</v>
      </c>
      <c r="R22" s="642" t="str">
        <f t="shared" si="10"/>
        <v>0</v>
      </c>
      <c r="S22" s="638">
        <f t="shared" si="22"/>
        <v>0</v>
      </c>
      <c r="T22" s="93" t="str">
        <f t="shared" si="11"/>
        <v/>
      </c>
      <c r="U22" s="547">
        <f t="shared" si="12"/>
        <v>0</v>
      </c>
      <c r="V22" s="643">
        <f t="shared" si="13"/>
        <v>0</v>
      </c>
      <c r="W22" s="547">
        <f t="shared" si="23"/>
        <v>0</v>
      </c>
      <c r="X22" s="810" t="str">
        <f t="shared" si="14"/>
        <v/>
      </c>
      <c r="Y22" s="806">
        <f t="shared" si="15"/>
        <v>0</v>
      </c>
      <c r="Z22" s="640" t="str">
        <f t="shared" si="16"/>
        <v>0</v>
      </c>
      <c r="AA22" s="806">
        <f t="shared" si="17"/>
        <v>0</v>
      </c>
      <c r="AB22" s="644">
        <f t="shared" si="18"/>
        <v>18</v>
      </c>
    </row>
    <row r="23" spans="1:28" ht="15" customHeight="1" outlineLevel="1" x14ac:dyDescent="0.25">
      <c r="A23" s="964"/>
      <c r="B23" s="659">
        <v>2010</v>
      </c>
      <c r="C23" s="635">
        <v>12</v>
      </c>
      <c r="D23" s="636">
        <f t="shared" si="0"/>
        <v>58.8</v>
      </c>
      <c r="E23" s="637" t="str">
        <f t="shared" si="1"/>
        <v>0</v>
      </c>
      <c r="F23" s="638">
        <f t="shared" si="2"/>
        <v>0</v>
      </c>
      <c r="G23" s="93" t="str">
        <f t="shared" si="3"/>
        <v/>
      </c>
      <c r="H23" s="547">
        <f t="shared" si="4"/>
        <v>39.67</v>
      </c>
      <c r="I23" s="639" t="str">
        <f t="shared" si="5"/>
        <v>0</v>
      </c>
      <c r="J23" s="547">
        <f t="shared" si="6"/>
        <v>0</v>
      </c>
      <c r="K23" s="810" t="str">
        <f t="shared" si="7"/>
        <v/>
      </c>
      <c r="L23" s="93">
        <f t="shared" si="19"/>
        <v>0</v>
      </c>
      <c r="M23" s="640" t="str">
        <f t="shared" si="20"/>
        <v>0</v>
      </c>
      <c r="N23" s="93">
        <f t="shared" si="21"/>
        <v>0</v>
      </c>
      <c r="O23" s="641">
        <f t="shared" si="8"/>
        <v>57</v>
      </c>
      <c r="Q23" s="636">
        <f t="shared" si="9"/>
        <v>49.47</v>
      </c>
      <c r="R23" s="642" t="str">
        <f t="shared" si="10"/>
        <v>0</v>
      </c>
      <c r="S23" s="638">
        <f t="shared" si="22"/>
        <v>0</v>
      </c>
      <c r="T23" s="93" t="str">
        <f t="shared" si="11"/>
        <v/>
      </c>
      <c r="U23" s="547">
        <f t="shared" si="12"/>
        <v>43.91</v>
      </c>
      <c r="V23" s="643">
        <f t="shared" si="13"/>
        <v>0</v>
      </c>
      <c r="W23" s="547">
        <f t="shared" si="23"/>
        <v>0</v>
      </c>
      <c r="X23" s="810" t="str">
        <f t="shared" si="14"/>
        <v/>
      </c>
      <c r="Y23" s="806">
        <f t="shared" si="15"/>
        <v>0</v>
      </c>
      <c r="Z23" s="640" t="str">
        <f t="shared" si="16"/>
        <v>0</v>
      </c>
      <c r="AA23" s="806">
        <f t="shared" si="17"/>
        <v>0</v>
      </c>
      <c r="AB23" s="644">
        <f t="shared" si="18"/>
        <v>51</v>
      </c>
    </row>
    <row r="24" spans="1:28" ht="15" customHeight="1" outlineLevel="1" x14ac:dyDescent="0.25">
      <c r="A24" s="964"/>
      <c r="B24" s="659">
        <v>2011</v>
      </c>
      <c r="C24" s="635">
        <v>10</v>
      </c>
      <c r="D24" s="636">
        <f t="shared" si="0"/>
        <v>14.74</v>
      </c>
      <c r="E24" s="637" t="str">
        <f t="shared" si="1"/>
        <v>0</v>
      </c>
      <c r="F24" s="638">
        <f t="shared" si="2"/>
        <v>0</v>
      </c>
      <c r="G24" s="93" t="str">
        <f t="shared" si="3"/>
        <v/>
      </c>
      <c r="H24" s="547">
        <f t="shared" si="4"/>
        <v>14.57</v>
      </c>
      <c r="I24" s="639" t="str">
        <f t="shared" si="5"/>
        <v>0</v>
      </c>
      <c r="J24" s="547">
        <f t="shared" si="6"/>
        <v>0</v>
      </c>
      <c r="K24" s="810" t="str">
        <f t="shared" si="7"/>
        <v/>
      </c>
      <c r="L24" s="93">
        <f t="shared" si="19"/>
        <v>0</v>
      </c>
      <c r="M24" s="640" t="str">
        <f t="shared" si="20"/>
        <v>0</v>
      </c>
      <c r="N24" s="93">
        <f t="shared" si="21"/>
        <v>0</v>
      </c>
      <c r="O24" s="641">
        <f t="shared" si="8"/>
        <v>18</v>
      </c>
      <c r="Q24" s="636">
        <f t="shared" si="9"/>
        <v>13.41</v>
      </c>
      <c r="R24" s="642" t="str">
        <f t="shared" si="10"/>
        <v>0</v>
      </c>
      <c r="S24" s="638">
        <f t="shared" si="22"/>
        <v>0</v>
      </c>
      <c r="T24" s="93" t="str">
        <f t="shared" si="11"/>
        <v/>
      </c>
      <c r="U24" s="547">
        <f t="shared" si="12"/>
        <v>0</v>
      </c>
      <c r="V24" s="643">
        <f t="shared" si="13"/>
        <v>0</v>
      </c>
      <c r="W24" s="547">
        <f t="shared" si="23"/>
        <v>0</v>
      </c>
      <c r="X24" s="810" t="str">
        <f t="shared" si="14"/>
        <v/>
      </c>
      <c r="Y24" s="806">
        <f t="shared" si="15"/>
        <v>0</v>
      </c>
      <c r="Z24" s="640" t="str">
        <f t="shared" si="16"/>
        <v>0</v>
      </c>
      <c r="AA24" s="806">
        <f t="shared" si="17"/>
        <v>0</v>
      </c>
      <c r="AB24" s="644">
        <f t="shared" si="18"/>
        <v>8</v>
      </c>
    </row>
    <row r="25" spans="1:28" ht="15" customHeight="1" outlineLevel="1" x14ac:dyDescent="0.25">
      <c r="A25" s="964"/>
      <c r="B25" s="659">
        <v>2011</v>
      </c>
      <c r="C25" s="635">
        <v>13</v>
      </c>
      <c r="D25" s="636">
        <f t="shared" si="0"/>
        <v>28.759999999999998</v>
      </c>
      <c r="E25" s="637" t="str">
        <f t="shared" si="1"/>
        <v>0</v>
      </c>
      <c r="F25" s="638">
        <f t="shared" si="2"/>
        <v>0</v>
      </c>
      <c r="G25" s="93" t="str">
        <f t="shared" si="3"/>
        <v/>
      </c>
      <c r="H25" s="547">
        <f t="shared" si="4"/>
        <v>42.980000000000004</v>
      </c>
      <c r="I25" s="639" t="str">
        <f t="shared" si="5"/>
        <v>0</v>
      </c>
      <c r="J25" s="547">
        <f t="shared" si="6"/>
        <v>0</v>
      </c>
      <c r="K25" s="810" t="str">
        <f t="shared" si="7"/>
        <v/>
      </c>
      <c r="L25" s="93">
        <f t="shared" si="19"/>
        <v>8.58</v>
      </c>
      <c r="M25" s="640" t="str">
        <f t="shared" si="20"/>
        <v>0</v>
      </c>
      <c r="N25" s="93">
        <f t="shared" si="21"/>
        <v>0</v>
      </c>
      <c r="O25" s="641">
        <f t="shared" si="8"/>
        <v>40</v>
      </c>
      <c r="Q25" s="636">
        <f t="shared" si="9"/>
        <v>59.580000000000005</v>
      </c>
      <c r="R25" s="642" t="str">
        <f t="shared" si="10"/>
        <v>0</v>
      </c>
      <c r="S25" s="638">
        <f t="shared" si="22"/>
        <v>0</v>
      </c>
      <c r="T25" s="93" t="str">
        <f t="shared" si="11"/>
        <v/>
      </c>
      <c r="U25" s="547">
        <f t="shared" si="12"/>
        <v>53.370000000000005</v>
      </c>
      <c r="V25" s="643">
        <f t="shared" si="13"/>
        <v>0</v>
      </c>
      <c r="W25" s="547">
        <f t="shared" si="23"/>
        <v>0</v>
      </c>
      <c r="X25" s="810" t="str">
        <f t="shared" si="14"/>
        <v/>
      </c>
      <c r="Y25" s="806">
        <f t="shared" si="15"/>
        <v>0</v>
      </c>
      <c r="Z25" s="640" t="str">
        <f t="shared" si="16"/>
        <v>0</v>
      </c>
      <c r="AA25" s="806">
        <f t="shared" si="17"/>
        <v>0</v>
      </c>
      <c r="AB25" s="644">
        <f t="shared" si="18"/>
        <v>71</v>
      </c>
    </row>
    <row r="26" spans="1:28" ht="15" customHeight="1" outlineLevel="1" thickBot="1" x14ac:dyDescent="0.3">
      <c r="A26" s="965"/>
      <c r="B26" s="660">
        <v>2011</v>
      </c>
      <c r="C26" s="646">
        <v>18</v>
      </c>
      <c r="D26" s="647">
        <f t="shared" si="0"/>
        <v>45.2</v>
      </c>
      <c r="E26" s="648" t="str">
        <f t="shared" si="1"/>
        <v>0</v>
      </c>
      <c r="F26" s="649">
        <f t="shared" si="2"/>
        <v>0</v>
      </c>
      <c r="G26" s="652" t="str">
        <f t="shared" si="3"/>
        <v/>
      </c>
      <c r="H26" s="650">
        <f t="shared" si="4"/>
        <v>32.75</v>
      </c>
      <c r="I26" s="651" t="str">
        <f t="shared" si="5"/>
        <v>0</v>
      </c>
      <c r="J26" s="650">
        <f t="shared" si="6"/>
        <v>0</v>
      </c>
      <c r="K26" s="811" t="str">
        <f t="shared" si="7"/>
        <v/>
      </c>
      <c r="L26" s="652">
        <f t="shared" si="19"/>
        <v>24.38</v>
      </c>
      <c r="M26" s="653" t="str">
        <f t="shared" si="20"/>
        <v>0</v>
      </c>
      <c r="N26" s="652">
        <f t="shared" si="21"/>
        <v>0</v>
      </c>
      <c r="O26" s="654">
        <f t="shared" si="8"/>
        <v>53</v>
      </c>
      <c r="P26" s="655"/>
      <c r="Q26" s="647">
        <f t="shared" si="9"/>
        <v>45.21</v>
      </c>
      <c r="R26" s="656" t="str">
        <f t="shared" si="10"/>
        <v>0</v>
      </c>
      <c r="S26" s="649">
        <f t="shared" si="22"/>
        <v>0</v>
      </c>
      <c r="T26" s="652" t="str">
        <f t="shared" si="11"/>
        <v/>
      </c>
      <c r="U26" s="650">
        <f t="shared" si="12"/>
        <v>40.72</v>
      </c>
      <c r="V26" s="657">
        <f t="shared" si="13"/>
        <v>0</v>
      </c>
      <c r="W26" s="650">
        <f t="shared" si="23"/>
        <v>0</v>
      </c>
      <c r="X26" s="811" t="str">
        <f t="shared" si="14"/>
        <v/>
      </c>
      <c r="Y26" s="807">
        <f t="shared" si="15"/>
        <v>0</v>
      </c>
      <c r="Z26" s="653" t="str">
        <f t="shared" si="16"/>
        <v>0</v>
      </c>
      <c r="AA26" s="807">
        <f t="shared" si="17"/>
        <v>0</v>
      </c>
      <c r="AB26" s="658">
        <f t="shared" si="18"/>
        <v>36</v>
      </c>
    </row>
    <row r="27" spans="1:28" ht="15" customHeight="1" outlineLevel="1" x14ac:dyDescent="0.25">
      <c r="A27" s="963" t="s">
        <v>96</v>
      </c>
      <c r="B27" s="661">
        <v>2015</v>
      </c>
      <c r="C27" s="621">
        <v>25</v>
      </c>
      <c r="D27" s="622">
        <f t="shared" si="0"/>
        <v>4.58</v>
      </c>
      <c r="E27" s="623" t="str">
        <f t="shared" si="1"/>
        <v>0</v>
      </c>
      <c r="F27" s="624">
        <f t="shared" si="2"/>
        <v>0</v>
      </c>
      <c r="G27" s="627" t="str">
        <f t="shared" si="3"/>
        <v/>
      </c>
      <c r="H27" s="625">
        <f t="shared" si="4"/>
        <v>4.53</v>
      </c>
      <c r="I27" s="626" t="str">
        <f t="shared" si="5"/>
        <v>0</v>
      </c>
      <c r="J27" s="625">
        <f t="shared" si="6"/>
        <v>0</v>
      </c>
      <c r="K27" s="812" t="str">
        <f t="shared" si="7"/>
        <v/>
      </c>
      <c r="L27" s="627">
        <f t="shared" si="19"/>
        <v>0</v>
      </c>
      <c r="M27" s="628" t="str">
        <f t="shared" si="20"/>
        <v>0</v>
      </c>
      <c r="N27" s="627">
        <f t="shared" si="21"/>
        <v>0</v>
      </c>
      <c r="O27" s="629">
        <f t="shared" si="8"/>
        <v>18</v>
      </c>
      <c r="P27" s="630"/>
      <c r="Q27" s="622">
        <f t="shared" si="9"/>
        <v>12.27</v>
      </c>
      <c r="R27" s="631" t="str">
        <f t="shared" si="10"/>
        <v>0</v>
      </c>
      <c r="S27" s="624">
        <f t="shared" si="22"/>
        <v>0</v>
      </c>
      <c r="T27" s="627" t="str">
        <f t="shared" si="11"/>
        <v/>
      </c>
      <c r="U27" s="625">
        <f t="shared" si="12"/>
        <v>9.43</v>
      </c>
      <c r="V27" s="632">
        <f t="shared" si="13"/>
        <v>0</v>
      </c>
      <c r="W27" s="625">
        <f t="shared" si="23"/>
        <v>0</v>
      </c>
      <c r="X27" s="812" t="str">
        <f t="shared" si="14"/>
        <v/>
      </c>
      <c r="Y27" s="808">
        <f t="shared" si="15"/>
        <v>0</v>
      </c>
      <c r="Z27" s="628" t="str">
        <f t="shared" si="16"/>
        <v>0</v>
      </c>
      <c r="AA27" s="808">
        <f t="shared" si="17"/>
        <v>0</v>
      </c>
      <c r="AB27" s="633">
        <f t="shared" si="18"/>
        <v>24</v>
      </c>
    </row>
    <row r="28" spans="1:28" ht="15" customHeight="1" outlineLevel="1" x14ac:dyDescent="0.25">
      <c r="A28" s="964"/>
      <c r="B28" s="659">
        <v>2015</v>
      </c>
      <c r="C28" s="635" t="s">
        <v>7</v>
      </c>
      <c r="D28" s="636">
        <f t="shared" si="0"/>
        <v>7.88</v>
      </c>
      <c r="E28" s="637" t="str">
        <f t="shared" si="1"/>
        <v>0</v>
      </c>
      <c r="F28" s="638">
        <f t="shared" si="2"/>
        <v>0</v>
      </c>
      <c r="G28" s="93" t="str">
        <f t="shared" si="3"/>
        <v/>
      </c>
      <c r="H28" s="547">
        <f t="shared" si="4"/>
        <v>14.17</v>
      </c>
      <c r="I28" s="639" t="str">
        <f t="shared" si="5"/>
        <v>0</v>
      </c>
      <c r="J28" s="547">
        <f t="shared" si="6"/>
        <v>0</v>
      </c>
      <c r="K28" s="810" t="str">
        <f t="shared" si="7"/>
        <v/>
      </c>
      <c r="L28" s="93">
        <f t="shared" si="19"/>
        <v>0</v>
      </c>
      <c r="M28" s="640" t="str">
        <f t="shared" si="20"/>
        <v>0</v>
      </c>
      <c r="N28" s="93">
        <f t="shared" si="21"/>
        <v>0</v>
      </c>
      <c r="O28" s="641">
        <f t="shared" si="8"/>
        <v>30</v>
      </c>
      <c r="Q28" s="636">
        <f t="shared" si="9"/>
        <v>10.02</v>
      </c>
      <c r="R28" s="642" t="str">
        <f t="shared" si="10"/>
        <v>0</v>
      </c>
      <c r="S28" s="638">
        <f t="shared" si="22"/>
        <v>0</v>
      </c>
      <c r="T28" s="93" t="str">
        <f t="shared" si="11"/>
        <v/>
      </c>
      <c r="U28" s="547">
        <f t="shared" si="12"/>
        <v>18.229999999999997</v>
      </c>
      <c r="V28" s="643">
        <f t="shared" si="13"/>
        <v>0</v>
      </c>
      <c r="W28" s="547">
        <f t="shared" si="23"/>
        <v>0</v>
      </c>
      <c r="X28" s="810" t="str">
        <f t="shared" si="14"/>
        <v/>
      </c>
      <c r="Y28" s="806">
        <f t="shared" si="15"/>
        <v>0</v>
      </c>
      <c r="Z28" s="640" t="str">
        <f t="shared" si="16"/>
        <v>0</v>
      </c>
      <c r="AA28" s="806">
        <f t="shared" si="17"/>
        <v>0</v>
      </c>
      <c r="AB28" s="644">
        <f t="shared" si="18"/>
        <v>21</v>
      </c>
    </row>
    <row r="29" spans="1:28" ht="15" customHeight="1" outlineLevel="1" x14ac:dyDescent="0.25">
      <c r="A29" s="964"/>
      <c r="B29" s="659">
        <v>2015</v>
      </c>
      <c r="C29" s="635">
        <v>27</v>
      </c>
      <c r="D29" s="636">
        <f t="shared" si="0"/>
        <v>6.3599999999999994</v>
      </c>
      <c r="E29" s="637" t="str">
        <f t="shared" si="1"/>
        <v>0</v>
      </c>
      <c r="F29" s="638">
        <f t="shared" si="2"/>
        <v>0</v>
      </c>
      <c r="G29" s="93" t="str">
        <f t="shared" si="3"/>
        <v/>
      </c>
      <c r="H29" s="547">
        <f t="shared" si="4"/>
        <v>7.39</v>
      </c>
      <c r="I29" s="639" t="str">
        <f t="shared" si="5"/>
        <v>0</v>
      </c>
      <c r="J29" s="547">
        <f t="shared" si="6"/>
        <v>0</v>
      </c>
      <c r="K29" s="810" t="str">
        <f t="shared" si="7"/>
        <v/>
      </c>
      <c r="L29" s="93">
        <f t="shared" si="19"/>
        <v>0</v>
      </c>
      <c r="M29" s="640" t="str">
        <f t="shared" si="20"/>
        <v>0</v>
      </c>
      <c r="N29" s="93">
        <f t="shared" si="21"/>
        <v>0</v>
      </c>
      <c r="O29" s="641">
        <f t="shared" si="8"/>
        <v>12</v>
      </c>
      <c r="Q29" s="636">
        <f t="shared" si="9"/>
        <v>10</v>
      </c>
      <c r="R29" s="642" t="str">
        <f t="shared" si="10"/>
        <v>0</v>
      </c>
      <c r="S29" s="638">
        <f t="shared" si="22"/>
        <v>0</v>
      </c>
      <c r="T29" s="93" t="str">
        <f t="shared" si="11"/>
        <v/>
      </c>
      <c r="U29" s="547">
        <f t="shared" si="12"/>
        <v>9</v>
      </c>
      <c r="V29" s="643">
        <f t="shared" si="13"/>
        <v>0</v>
      </c>
      <c r="W29" s="547">
        <f t="shared" si="23"/>
        <v>0</v>
      </c>
      <c r="X29" s="810" t="str">
        <f t="shared" si="14"/>
        <v/>
      </c>
      <c r="Y29" s="806">
        <f t="shared" si="15"/>
        <v>0</v>
      </c>
      <c r="Z29" s="640" t="str">
        <f t="shared" si="16"/>
        <v>0</v>
      </c>
      <c r="AA29" s="806">
        <f t="shared" si="17"/>
        <v>0</v>
      </c>
      <c r="AB29" s="644">
        <f t="shared" si="18"/>
        <v>18</v>
      </c>
    </row>
    <row r="30" spans="1:28" ht="15" customHeight="1" outlineLevel="1" x14ac:dyDescent="0.25">
      <c r="A30" s="964"/>
      <c r="B30" s="659">
        <v>2015</v>
      </c>
      <c r="C30" s="635">
        <v>28</v>
      </c>
      <c r="D30" s="636">
        <f t="shared" si="0"/>
        <v>8.5400000000000009</v>
      </c>
      <c r="E30" s="637" t="str">
        <f t="shared" si="1"/>
        <v>0</v>
      </c>
      <c r="F30" s="638">
        <f t="shared" si="2"/>
        <v>0</v>
      </c>
      <c r="G30" s="93" t="str">
        <f t="shared" si="3"/>
        <v/>
      </c>
      <c r="H30" s="547">
        <f t="shared" si="4"/>
        <v>11.07</v>
      </c>
      <c r="I30" s="639" t="str">
        <f t="shared" si="5"/>
        <v>0</v>
      </c>
      <c r="J30" s="547">
        <f t="shared" si="6"/>
        <v>0</v>
      </c>
      <c r="K30" s="810" t="str">
        <f t="shared" si="7"/>
        <v/>
      </c>
      <c r="L30" s="93">
        <f t="shared" si="19"/>
        <v>0</v>
      </c>
      <c r="M30" s="640" t="str">
        <f t="shared" si="20"/>
        <v>0</v>
      </c>
      <c r="N30" s="93">
        <f t="shared" si="21"/>
        <v>0</v>
      </c>
      <c r="O30" s="641">
        <f t="shared" si="8"/>
        <v>24</v>
      </c>
      <c r="Q30" s="636">
        <f t="shared" si="9"/>
        <v>23.75</v>
      </c>
      <c r="R30" s="642" t="str">
        <f t="shared" si="10"/>
        <v>0</v>
      </c>
      <c r="S30" s="638">
        <f t="shared" si="22"/>
        <v>0</v>
      </c>
      <c r="T30" s="93" t="str">
        <f t="shared" si="11"/>
        <v/>
      </c>
      <c r="U30" s="547">
        <f t="shared" si="12"/>
        <v>0</v>
      </c>
      <c r="V30" s="643">
        <f t="shared" si="13"/>
        <v>0</v>
      </c>
      <c r="W30" s="547">
        <f t="shared" si="23"/>
        <v>0</v>
      </c>
      <c r="X30" s="810" t="str">
        <f t="shared" si="14"/>
        <v/>
      </c>
      <c r="Y30" s="806">
        <f t="shared" si="15"/>
        <v>0</v>
      </c>
      <c r="Z30" s="640" t="str">
        <f t="shared" si="16"/>
        <v>0</v>
      </c>
      <c r="AA30" s="806">
        <f t="shared" si="17"/>
        <v>0</v>
      </c>
      <c r="AB30" s="644">
        <f t="shared" si="18"/>
        <v>14</v>
      </c>
    </row>
    <row r="31" spans="1:28" ht="15" customHeight="1" outlineLevel="1" x14ac:dyDescent="0.25">
      <c r="A31" s="964"/>
      <c r="B31" s="659">
        <v>2015</v>
      </c>
      <c r="C31" s="635">
        <v>30</v>
      </c>
      <c r="D31" s="636">
        <f t="shared" si="0"/>
        <v>2.2400000000000002</v>
      </c>
      <c r="E31" s="637" t="str">
        <f t="shared" si="1"/>
        <v>0</v>
      </c>
      <c r="F31" s="638">
        <f t="shared" si="2"/>
        <v>0</v>
      </c>
      <c r="G31" s="93" t="str">
        <f t="shared" si="3"/>
        <v/>
      </c>
      <c r="H31" s="547">
        <f t="shared" si="4"/>
        <v>0</v>
      </c>
      <c r="I31" s="639" t="str">
        <f t="shared" si="5"/>
        <v>0</v>
      </c>
      <c r="J31" s="547">
        <f t="shared" si="6"/>
        <v>0</v>
      </c>
      <c r="K31" s="810" t="str">
        <f t="shared" si="7"/>
        <v/>
      </c>
      <c r="L31" s="93">
        <f t="shared" si="19"/>
        <v>0</v>
      </c>
      <c r="M31" s="640" t="str">
        <f t="shared" si="20"/>
        <v>0</v>
      </c>
      <c r="N31" s="93">
        <f t="shared" si="21"/>
        <v>0</v>
      </c>
      <c r="O31" s="641">
        <f t="shared" si="8"/>
        <v>6</v>
      </c>
      <c r="Q31" s="636">
        <f t="shared" si="9"/>
        <v>12.309999999999999</v>
      </c>
      <c r="R31" s="642" t="str">
        <f t="shared" si="10"/>
        <v>0</v>
      </c>
      <c r="S31" s="638">
        <f t="shared" si="22"/>
        <v>0</v>
      </c>
      <c r="T31" s="93" t="str">
        <f t="shared" si="11"/>
        <v/>
      </c>
      <c r="U31" s="547">
        <f t="shared" si="12"/>
        <v>0</v>
      </c>
      <c r="V31" s="643">
        <f t="shared" si="13"/>
        <v>0</v>
      </c>
      <c r="W31" s="547">
        <f t="shared" si="23"/>
        <v>0</v>
      </c>
      <c r="X31" s="810" t="str">
        <f t="shared" si="14"/>
        <v/>
      </c>
      <c r="Y31" s="806">
        <f t="shared" si="15"/>
        <v>0</v>
      </c>
      <c r="Z31" s="640" t="str">
        <f t="shared" si="16"/>
        <v>0</v>
      </c>
      <c r="AA31" s="806">
        <f t="shared" si="17"/>
        <v>0</v>
      </c>
      <c r="AB31" s="644">
        <f t="shared" si="18"/>
        <v>17</v>
      </c>
    </row>
    <row r="32" spans="1:28" ht="15" customHeight="1" outlineLevel="1" x14ac:dyDescent="0.25">
      <c r="A32" s="964"/>
      <c r="B32" s="659">
        <v>2015</v>
      </c>
      <c r="C32" s="635">
        <v>31</v>
      </c>
      <c r="D32" s="636">
        <f t="shared" si="0"/>
        <v>3.33</v>
      </c>
      <c r="E32" s="637" t="str">
        <f t="shared" si="1"/>
        <v>0</v>
      </c>
      <c r="F32" s="638">
        <f t="shared" si="2"/>
        <v>0</v>
      </c>
      <c r="G32" s="93" t="str">
        <f t="shared" si="3"/>
        <v/>
      </c>
      <c r="H32" s="547">
        <f t="shared" si="4"/>
        <v>0</v>
      </c>
      <c r="I32" s="639" t="str">
        <f t="shared" si="5"/>
        <v>0</v>
      </c>
      <c r="J32" s="547">
        <f t="shared" si="6"/>
        <v>0</v>
      </c>
      <c r="K32" s="810" t="str">
        <f t="shared" si="7"/>
        <v/>
      </c>
      <c r="L32" s="93">
        <f t="shared" si="19"/>
        <v>0</v>
      </c>
      <c r="M32" s="640" t="str">
        <f t="shared" si="20"/>
        <v>0</v>
      </c>
      <c r="N32" s="93">
        <f t="shared" si="21"/>
        <v>0</v>
      </c>
      <c r="O32" s="641">
        <f t="shared" si="8"/>
        <v>21</v>
      </c>
      <c r="Q32" s="636">
        <f t="shared" si="9"/>
        <v>14.02</v>
      </c>
      <c r="R32" s="642" t="str">
        <f t="shared" si="10"/>
        <v>0</v>
      </c>
      <c r="S32" s="638">
        <f t="shared" si="22"/>
        <v>0</v>
      </c>
      <c r="T32" s="93" t="str">
        <f t="shared" si="11"/>
        <v/>
      </c>
      <c r="U32" s="547">
        <f t="shared" si="12"/>
        <v>0</v>
      </c>
      <c r="V32" s="643">
        <f t="shared" si="13"/>
        <v>0</v>
      </c>
      <c r="W32" s="547">
        <f t="shared" si="23"/>
        <v>0</v>
      </c>
      <c r="X32" s="810" t="str">
        <f t="shared" si="14"/>
        <v/>
      </c>
      <c r="Y32" s="806">
        <f t="shared" si="15"/>
        <v>0</v>
      </c>
      <c r="Z32" s="640" t="str">
        <f t="shared" si="16"/>
        <v>0</v>
      </c>
      <c r="AA32" s="806">
        <f t="shared" si="17"/>
        <v>0</v>
      </c>
      <c r="AB32" s="644">
        <f t="shared" si="18"/>
        <v>11</v>
      </c>
    </row>
    <row r="33" spans="1:28" ht="15" customHeight="1" outlineLevel="1" x14ac:dyDescent="0.25">
      <c r="A33" s="964"/>
      <c r="B33" s="659">
        <v>2016</v>
      </c>
      <c r="C33" s="635">
        <v>33</v>
      </c>
      <c r="D33" s="636">
        <f t="shared" si="0"/>
        <v>20.59</v>
      </c>
      <c r="E33" s="637" t="str">
        <f t="shared" si="1"/>
        <v>0</v>
      </c>
      <c r="F33" s="638">
        <f t="shared" si="2"/>
        <v>0</v>
      </c>
      <c r="G33" s="93" t="str">
        <f t="shared" si="3"/>
        <v/>
      </c>
      <c r="H33" s="547">
        <f t="shared" si="4"/>
        <v>10.199999999999999</v>
      </c>
      <c r="I33" s="639" t="str">
        <f t="shared" si="5"/>
        <v>0</v>
      </c>
      <c r="J33" s="547">
        <f t="shared" si="6"/>
        <v>0</v>
      </c>
      <c r="K33" s="810" t="str">
        <f t="shared" si="7"/>
        <v/>
      </c>
      <c r="L33" s="93">
        <f t="shared" si="19"/>
        <v>0</v>
      </c>
      <c r="M33" s="640" t="str">
        <f t="shared" si="20"/>
        <v>0</v>
      </c>
      <c r="N33" s="93">
        <f t="shared" si="21"/>
        <v>0</v>
      </c>
      <c r="O33" s="641">
        <f t="shared" si="8"/>
        <v>36</v>
      </c>
      <c r="Q33" s="636">
        <f t="shared" si="9"/>
        <v>24.580000000000002</v>
      </c>
      <c r="R33" s="642" t="str">
        <f t="shared" si="10"/>
        <v>0</v>
      </c>
      <c r="S33" s="638">
        <f t="shared" si="22"/>
        <v>0</v>
      </c>
      <c r="T33" s="93" t="str">
        <f t="shared" si="11"/>
        <v/>
      </c>
      <c r="U33" s="547">
        <f t="shared" si="12"/>
        <v>25.439999999999998</v>
      </c>
      <c r="V33" s="643">
        <f t="shared" si="13"/>
        <v>0</v>
      </c>
      <c r="W33" s="547">
        <f t="shared" si="23"/>
        <v>0</v>
      </c>
      <c r="X33" s="810" t="str">
        <f t="shared" si="14"/>
        <v/>
      </c>
      <c r="Y33" s="806">
        <f t="shared" si="15"/>
        <v>0</v>
      </c>
      <c r="Z33" s="640" t="str">
        <f t="shared" si="16"/>
        <v>0</v>
      </c>
      <c r="AA33" s="806">
        <f t="shared" si="17"/>
        <v>0</v>
      </c>
      <c r="AB33" s="644">
        <f t="shared" si="18"/>
        <v>42</v>
      </c>
    </row>
    <row r="34" spans="1:28" ht="15" customHeight="1" outlineLevel="1" thickBot="1" x14ac:dyDescent="0.3">
      <c r="A34" s="965"/>
      <c r="B34" s="660">
        <v>2016</v>
      </c>
      <c r="C34" s="646">
        <v>39</v>
      </c>
      <c r="D34" s="647">
        <f t="shared" si="0"/>
        <v>1.19</v>
      </c>
      <c r="E34" s="648" t="str">
        <f t="shared" si="1"/>
        <v>0</v>
      </c>
      <c r="F34" s="649">
        <f t="shared" si="2"/>
        <v>0</v>
      </c>
      <c r="G34" s="652" t="str">
        <f t="shared" si="3"/>
        <v/>
      </c>
      <c r="H34" s="650">
        <f t="shared" si="4"/>
        <v>2.02</v>
      </c>
      <c r="I34" s="651" t="str">
        <f t="shared" si="5"/>
        <v>0</v>
      </c>
      <c r="J34" s="650">
        <f t="shared" si="6"/>
        <v>0</v>
      </c>
      <c r="K34" s="811" t="str">
        <f t="shared" si="7"/>
        <v/>
      </c>
      <c r="L34" s="652">
        <f t="shared" si="19"/>
        <v>0</v>
      </c>
      <c r="M34" s="653" t="str">
        <f t="shared" si="20"/>
        <v>0</v>
      </c>
      <c r="N34" s="652">
        <f t="shared" si="21"/>
        <v>0</v>
      </c>
      <c r="O34" s="654">
        <f t="shared" si="8"/>
        <v>12</v>
      </c>
      <c r="P34" s="655"/>
      <c r="Q34" s="647">
        <f t="shared" si="9"/>
        <v>2.39</v>
      </c>
      <c r="R34" s="656" t="str">
        <f t="shared" si="10"/>
        <v>0</v>
      </c>
      <c r="S34" s="649">
        <f t="shared" si="22"/>
        <v>0</v>
      </c>
      <c r="T34" s="652" t="str">
        <f t="shared" si="11"/>
        <v/>
      </c>
      <c r="U34" s="650">
        <f t="shared" si="12"/>
        <v>0</v>
      </c>
      <c r="V34" s="657">
        <f t="shared" si="13"/>
        <v>0</v>
      </c>
      <c r="W34" s="650">
        <f t="shared" si="23"/>
        <v>0</v>
      </c>
      <c r="X34" s="811" t="str">
        <f t="shared" si="14"/>
        <v/>
      </c>
      <c r="Y34" s="807">
        <f t="shared" si="15"/>
        <v>0</v>
      </c>
      <c r="Z34" s="653" t="str">
        <f t="shared" si="16"/>
        <v>0</v>
      </c>
      <c r="AA34" s="807">
        <f t="shared" si="17"/>
        <v>0</v>
      </c>
      <c r="AB34" s="658">
        <f t="shared" si="18"/>
        <v>7</v>
      </c>
    </row>
    <row r="35" spans="1:28" ht="15" customHeight="1" outlineLevel="1" x14ac:dyDescent="0.25">
      <c r="A35" s="966" t="s">
        <v>246</v>
      </c>
      <c r="B35" s="661">
        <v>2010</v>
      </c>
      <c r="C35" s="662">
        <v>2</v>
      </c>
      <c r="D35" s="622">
        <f t="shared" si="0"/>
        <v>62.25</v>
      </c>
      <c r="E35" s="623" t="str">
        <f t="shared" si="1"/>
        <v>0</v>
      </c>
      <c r="F35" s="624">
        <f t="shared" si="2"/>
        <v>0</v>
      </c>
      <c r="G35" s="627" t="str">
        <f t="shared" si="3"/>
        <v/>
      </c>
      <c r="H35" s="625">
        <f t="shared" si="4"/>
        <v>8.74</v>
      </c>
      <c r="I35" s="626" t="str">
        <f t="shared" si="5"/>
        <v>0</v>
      </c>
      <c r="J35" s="625">
        <f t="shared" si="6"/>
        <v>0</v>
      </c>
      <c r="K35" s="812" t="str">
        <f t="shared" si="7"/>
        <v/>
      </c>
      <c r="L35" s="627">
        <f t="shared" si="19"/>
        <v>0</v>
      </c>
      <c r="M35" s="628" t="str">
        <f t="shared" si="20"/>
        <v>0</v>
      </c>
      <c r="N35" s="627">
        <f t="shared" si="21"/>
        <v>0</v>
      </c>
      <c r="O35" s="629">
        <f t="shared" si="8"/>
        <v>52</v>
      </c>
      <c r="P35" s="630"/>
      <c r="Q35" s="622">
        <f t="shared" si="9"/>
        <v>57.309999999999995</v>
      </c>
      <c r="R35" s="631" t="str">
        <f t="shared" si="10"/>
        <v>0</v>
      </c>
      <c r="S35" s="624">
        <f t="shared" si="22"/>
        <v>0</v>
      </c>
      <c r="T35" s="627" t="str">
        <f t="shared" si="11"/>
        <v/>
      </c>
      <c r="U35" s="625">
        <f t="shared" si="12"/>
        <v>0</v>
      </c>
      <c r="V35" s="632">
        <f t="shared" si="13"/>
        <v>0</v>
      </c>
      <c r="W35" s="625">
        <f t="shared" si="23"/>
        <v>0</v>
      </c>
      <c r="X35" s="812" t="str">
        <f t="shared" si="14"/>
        <v/>
      </c>
      <c r="Y35" s="808">
        <f t="shared" si="15"/>
        <v>0</v>
      </c>
      <c r="Z35" s="628" t="str">
        <f t="shared" si="16"/>
        <v>0</v>
      </c>
      <c r="AA35" s="808">
        <f t="shared" si="17"/>
        <v>0</v>
      </c>
      <c r="AB35" s="633">
        <f t="shared" si="18"/>
        <v>71</v>
      </c>
    </row>
    <row r="36" spans="1:28" ht="15" customHeight="1" outlineLevel="1" x14ac:dyDescent="0.25">
      <c r="A36" s="967"/>
      <c r="B36" s="659">
        <v>2010</v>
      </c>
      <c r="C36" s="663">
        <v>11</v>
      </c>
      <c r="D36" s="636">
        <f t="shared" si="0"/>
        <v>29.380000000000003</v>
      </c>
      <c r="E36" s="637" t="str">
        <f t="shared" si="1"/>
        <v>0</v>
      </c>
      <c r="F36" s="638">
        <f t="shared" si="2"/>
        <v>0</v>
      </c>
      <c r="G36" s="93" t="str">
        <f t="shared" si="3"/>
        <v/>
      </c>
      <c r="H36" s="547">
        <f t="shared" si="4"/>
        <v>22.619999999999997</v>
      </c>
      <c r="I36" s="639" t="str">
        <f t="shared" si="5"/>
        <v>0</v>
      </c>
      <c r="J36" s="547">
        <f t="shared" si="6"/>
        <v>0</v>
      </c>
      <c r="K36" s="810" t="str">
        <f t="shared" si="7"/>
        <v/>
      </c>
      <c r="L36" s="93">
        <f t="shared" si="19"/>
        <v>0</v>
      </c>
      <c r="M36" s="640" t="str">
        <f t="shared" si="20"/>
        <v>0</v>
      </c>
      <c r="N36" s="93">
        <f t="shared" si="21"/>
        <v>0</v>
      </c>
      <c r="O36" s="641">
        <f t="shared" si="8"/>
        <v>32</v>
      </c>
      <c r="Q36" s="636">
        <f t="shared" si="9"/>
        <v>32.42</v>
      </c>
      <c r="R36" s="642" t="str">
        <f t="shared" si="10"/>
        <v>0</v>
      </c>
      <c r="S36" s="638">
        <f t="shared" si="22"/>
        <v>0</v>
      </c>
      <c r="T36" s="93" t="str">
        <f t="shared" si="11"/>
        <v/>
      </c>
      <c r="U36" s="547">
        <f t="shared" si="12"/>
        <v>0</v>
      </c>
      <c r="V36" s="643">
        <f t="shared" si="13"/>
        <v>0</v>
      </c>
      <c r="W36" s="547">
        <f t="shared" si="23"/>
        <v>0</v>
      </c>
      <c r="X36" s="810" t="str">
        <f t="shared" si="14"/>
        <v/>
      </c>
      <c r="Y36" s="806">
        <f t="shared" si="15"/>
        <v>0</v>
      </c>
      <c r="Z36" s="640" t="str">
        <f t="shared" si="16"/>
        <v>0</v>
      </c>
      <c r="AA36" s="806">
        <f t="shared" si="17"/>
        <v>0</v>
      </c>
      <c r="AB36" s="644">
        <f t="shared" si="18"/>
        <v>36</v>
      </c>
    </row>
    <row r="37" spans="1:28" ht="15" customHeight="1" outlineLevel="1" thickBot="1" x14ac:dyDescent="0.3">
      <c r="A37" s="968"/>
      <c r="B37" s="660">
        <v>2015</v>
      </c>
      <c r="C37" s="664">
        <v>29</v>
      </c>
      <c r="D37" s="647">
        <f t="shared" si="0"/>
        <v>1.3</v>
      </c>
      <c r="E37" s="648" t="str">
        <f t="shared" si="1"/>
        <v>0</v>
      </c>
      <c r="F37" s="649">
        <f t="shared" si="2"/>
        <v>0</v>
      </c>
      <c r="G37" s="652" t="str">
        <f t="shared" si="3"/>
        <v/>
      </c>
      <c r="H37" s="650">
        <f t="shared" si="4"/>
        <v>1.4</v>
      </c>
      <c r="I37" s="651" t="str">
        <f t="shared" si="5"/>
        <v>0</v>
      </c>
      <c r="J37" s="650">
        <f t="shared" si="6"/>
        <v>0</v>
      </c>
      <c r="K37" s="811" t="str">
        <f t="shared" si="7"/>
        <v/>
      </c>
      <c r="L37" s="652">
        <f t="shared" si="19"/>
        <v>0</v>
      </c>
      <c r="M37" s="653" t="str">
        <f t="shared" si="20"/>
        <v>0</v>
      </c>
      <c r="N37" s="652">
        <f t="shared" si="21"/>
        <v>0</v>
      </c>
      <c r="O37" s="654">
        <f t="shared" si="8"/>
        <v>12</v>
      </c>
      <c r="P37" s="655"/>
      <c r="Q37" s="647">
        <f t="shared" si="9"/>
        <v>4.74</v>
      </c>
      <c r="R37" s="656" t="str">
        <f t="shared" si="10"/>
        <v>0</v>
      </c>
      <c r="S37" s="649">
        <f t="shared" si="22"/>
        <v>0</v>
      </c>
      <c r="T37" s="652" t="str">
        <f t="shared" si="11"/>
        <v/>
      </c>
      <c r="U37" s="650">
        <f t="shared" si="12"/>
        <v>10.379999999999999</v>
      </c>
      <c r="V37" s="657">
        <f t="shared" si="13"/>
        <v>0</v>
      </c>
      <c r="W37" s="650">
        <f t="shared" si="23"/>
        <v>0</v>
      </c>
      <c r="X37" s="811" t="str">
        <f t="shared" si="14"/>
        <v/>
      </c>
      <c r="Y37" s="807">
        <f t="shared" si="15"/>
        <v>0</v>
      </c>
      <c r="Z37" s="653" t="str">
        <f t="shared" si="16"/>
        <v>0</v>
      </c>
      <c r="AA37" s="807">
        <f t="shared" si="17"/>
        <v>0</v>
      </c>
      <c r="AB37" s="658">
        <f t="shared" si="18"/>
        <v>21</v>
      </c>
    </row>
    <row r="38" spans="1:28" ht="15" customHeight="1" outlineLevel="1" x14ac:dyDescent="0.25">
      <c r="A38" s="665"/>
      <c r="B38" s="666">
        <v>2014</v>
      </c>
      <c r="C38" s="667">
        <v>105</v>
      </c>
      <c r="D38" s="668">
        <f t="shared" si="0"/>
        <v>0</v>
      </c>
      <c r="E38" s="669">
        <f t="shared" si="1"/>
        <v>0</v>
      </c>
      <c r="F38" s="670">
        <f t="shared" si="2"/>
        <v>0</v>
      </c>
      <c r="G38" s="526" t="str">
        <f t="shared" si="3"/>
        <v/>
      </c>
      <c r="H38" s="546">
        <f t="shared" si="4"/>
        <v>0</v>
      </c>
      <c r="I38" s="671">
        <f t="shared" si="5"/>
        <v>0</v>
      </c>
      <c r="J38" s="546">
        <f t="shared" si="6"/>
        <v>0</v>
      </c>
      <c r="K38" s="813" t="str">
        <f t="shared" si="7"/>
        <v/>
      </c>
      <c r="L38" s="526">
        <f t="shared" si="19"/>
        <v>0</v>
      </c>
      <c r="M38" s="672">
        <f t="shared" si="20"/>
        <v>0</v>
      </c>
      <c r="N38" s="526">
        <f t="shared" si="21"/>
        <v>0</v>
      </c>
      <c r="O38" s="673">
        <f t="shared" si="8"/>
        <v>0</v>
      </c>
      <c r="Q38" s="668">
        <f t="shared" si="9"/>
        <v>0</v>
      </c>
      <c r="R38" s="674">
        <f t="shared" si="10"/>
        <v>0</v>
      </c>
      <c r="S38" s="670">
        <f t="shared" si="22"/>
        <v>0</v>
      </c>
      <c r="T38" s="526" t="str">
        <f t="shared" si="11"/>
        <v/>
      </c>
      <c r="U38" s="546">
        <f t="shared" si="12"/>
        <v>0</v>
      </c>
      <c r="V38" s="675">
        <f t="shared" si="13"/>
        <v>0</v>
      </c>
      <c r="W38" s="546">
        <f t="shared" si="23"/>
        <v>0</v>
      </c>
      <c r="X38" s="813" t="str">
        <f t="shared" si="14"/>
        <v/>
      </c>
      <c r="Y38" s="809">
        <f t="shared" si="15"/>
        <v>0</v>
      </c>
      <c r="Z38" s="672">
        <f t="shared" si="16"/>
        <v>0</v>
      </c>
      <c r="AA38" s="809">
        <f t="shared" si="17"/>
        <v>0</v>
      </c>
      <c r="AB38" s="676">
        <f t="shared" si="18"/>
        <v>0</v>
      </c>
    </row>
    <row r="39" spans="1:28" ht="15" customHeight="1" outlineLevel="1" thickBot="1" x14ac:dyDescent="0.3">
      <c r="A39" s="99"/>
      <c r="B39" s="659">
        <v>2008</v>
      </c>
      <c r="C39" s="635">
        <v>114</v>
      </c>
      <c r="D39" s="647">
        <f t="shared" si="0"/>
        <v>0</v>
      </c>
      <c r="E39" s="648">
        <f t="shared" si="1"/>
        <v>0</v>
      </c>
      <c r="F39" s="649">
        <f t="shared" si="2"/>
        <v>0</v>
      </c>
      <c r="G39" s="652" t="str">
        <f t="shared" si="3"/>
        <v/>
      </c>
      <c r="H39" s="650">
        <f t="shared" si="4"/>
        <v>0</v>
      </c>
      <c r="I39" s="651">
        <f t="shared" si="5"/>
        <v>0</v>
      </c>
      <c r="J39" s="650">
        <f t="shared" si="6"/>
        <v>0</v>
      </c>
      <c r="K39" s="811" t="str">
        <f t="shared" si="7"/>
        <v/>
      </c>
      <c r="L39" s="652">
        <f t="shared" si="19"/>
        <v>0</v>
      </c>
      <c r="M39" s="653">
        <f t="shared" si="20"/>
        <v>0</v>
      </c>
      <c r="N39" s="652">
        <f t="shared" si="21"/>
        <v>0</v>
      </c>
      <c r="O39" s="654">
        <f t="shared" si="8"/>
        <v>0</v>
      </c>
      <c r="Q39" s="647">
        <f t="shared" si="9"/>
        <v>0</v>
      </c>
      <c r="R39" s="656">
        <f t="shared" si="10"/>
        <v>0</v>
      </c>
      <c r="S39" s="649">
        <f t="shared" si="22"/>
        <v>0</v>
      </c>
      <c r="T39" s="652" t="str">
        <f t="shared" si="11"/>
        <v/>
      </c>
      <c r="U39" s="650">
        <f t="shared" si="12"/>
        <v>0</v>
      </c>
      <c r="V39" s="657">
        <f t="shared" si="13"/>
        <v>0</v>
      </c>
      <c r="W39" s="650">
        <f t="shared" si="23"/>
        <v>0</v>
      </c>
      <c r="X39" s="811" t="str">
        <f t="shared" si="14"/>
        <v/>
      </c>
      <c r="Y39" s="807">
        <f t="shared" si="15"/>
        <v>0</v>
      </c>
      <c r="Z39" s="653">
        <f t="shared" si="16"/>
        <v>0</v>
      </c>
      <c r="AA39" s="807">
        <f t="shared" si="17"/>
        <v>0</v>
      </c>
      <c r="AB39" s="658">
        <f t="shared" si="18"/>
        <v>0</v>
      </c>
    </row>
    <row r="40" spans="1:28" s="7" customFormat="1" ht="15" customHeight="1" outlineLevel="1" x14ac:dyDescent="0.25">
      <c r="B40" s="485"/>
      <c r="D40" s="472">
        <f>SUM(D5:D39)</f>
        <v>1065.6100000000004</v>
      </c>
      <c r="E40" s="677">
        <f>SUM(E5:E39)</f>
        <v>0</v>
      </c>
      <c r="F40" s="472" t="e">
        <f>D40/E40</f>
        <v>#DIV/0!</v>
      </c>
      <c r="G40" s="472">
        <f>SUM(G5:G39)</f>
        <v>0</v>
      </c>
      <c r="H40" s="472">
        <f>SUM(H5:H39)</f>
        <v>795.41</v>
      </c>
      <c r="I40" s="677">
        <f>SUM(I5:I39)</f>
        <v>0</v>
      </c>
      <c r="J40" s="472" t="e">
        <f>H40/I40</f>
        <v>#DIV/0!</v>
      </c>
      <c r="K40" s="472">
        <f>SUM(K5:K39)</f>
        <v>0</v>
      </c>
      <c r="L40" s="472">
        <f>SUM(L5:L39)</f>
        <v>128.41</v>
      </c>
      <c r="M40" s="677">
        <f>SUM(M5:M39)</f>
        <v>0</v>
      </c>
      <c r="N40" s="472" t="e">
        <f>L40/M40</f>
        <v>#DIV/0!</v>
      </c>
      <c r="O40" s="677">
        <f>SUM(O5:O39)/33</f>
        <v>46.484848484848484</v>
      </c>
      <c r="Q40" s="472">
        <f>SUM(Q5:Q39)</f>
        <v>1311.06</v>
      </c>
      <c r="R40" s="677">
        <f>SUM(R5:R39)</f>
        <v>0</v>
      </c>
      <c r="S40" s="472" t="e">
        <f>Q40/R40</f>
        <v>#DIV/0!</v>
      </c>
      <c r="T40" s="472">
        <f>SUM(T5:T39)</f>
        <v>0</v>
      </c>
      <c r="U40" s="472">
        <f>SUM(U5:U39)</f>
        <v>659.65</v>
      </c>
      <c r="V40" s="677">
        <f>SUM(V5:V39)</f>
        <v>0</v>
      </c>
      <c r="W40" s="472" t="e">
        <f>U40/V40</f>
        <v>#DIV/0!</v>
      </c>
      <c r="X40" s="472"/>
      <c r="Z40" s="815"/>
      <c r="AB40" s="677">
        <f>SUM(AB5:AB39)/33</f>
        <v>40.454545454545453</v>
      </c>
    </row>
    <row r="41" spans="1:28" ht="15" customHeight="1" outlineLevel="1" x14ac:dyDescent="0.25"/>
    <row r="42" spans="1:28" ht="15" customHeight="1" outlineLevel="1" x14ac:dyDescent="0.25">
      <c r="B42" s="678">
        <v>2</v>
      </c>
      <c r="C42" t="s">
        <v>220</v>
      </c>
    </row>
    <row r="43" spans="1:28" ht="15" customHeight="1" outlineLevel="1" x14ac:dyDescent="0.25">
      <c r="B43" s="678">
        <v>11</v>
      </c>
      <c r="C43" t="s">
        <v>220</v>
      </c>
    </row>
    <row r="44" spans="1:28" ht="15" customHeight="1" outlineLevel="1" x14ac:dyDescent="0.25">
      <c r="B44" s="678">
        <v>29</v>
      </c>
      <c r="C44" t="s">
        <v>221</v>
      </c>
    </row>
    <row r="45" spans="1:28" ht="15" customHeight="1" outlineLevel="1" x14ac:dyDescent="0.25"/>
    <row r="46" spans="1:28" ht="30.75" customHeight="1" outlineLevel="1" x14ac:dyDescent="0.25">
      <c r="B46" s="679" t="s">
        <v>135</v>
      </c>
      <c r="C46" t="s">
        <v>222</v>
      </c>
    </row>
    <row r="47" spans="1:28" ht="15" customHeight="1" outlineLevel="1" x14ac:dyDescent="0.25"/>
    <row r="48" spans="1:28" ht="15" customHeight="1" outlineLevel="1" x14ac:dyDescent="0.25"/>
    <row r="49" ht="15" customHeight="1" outlineLevel="1" x14ac:dyDescent="0.25"/>
    <row r="50" ht="15" customHeight="1" outlineLevel="1" x14ac:dyDescent="0.25"/>
    <row r="51" ht="15" customHeight="1" outlineLevel="1" x14ac:dyDescent="0.25"/>
    <row r="52" ht="15" customHeight="1" outlineLevel="1" x14ac:dyDescent="0.25"/>
    <row r="53" ht="15" customHeight="1" outlineLevel="1" x14ac:dyDescent="0.25"/>
    <row r="54" ht="15" customHeight="1" outlineLevel="1" x14ac:dyDescent="0.25"/>
    <row r="55" ht="15" customHeight="1" outlineLevel="1" x14ac:dyDescent="0.25"/>
    <row r="56" ht="15" customHeight="1" outlineLevel="1" x14ac:dyDescent="0.25"/>
    <row r="57" ht="15" customHeight="1" outlineLevel="1" x14ac:dyDescent="0.25"/>
    <row r="58" ht="15" customHeight="1" outlineLevel="1" x14ac:dyDescent="0.25"/>
    <row r="59" ht="15" customHeight="1" outlineLevel="1" x14ac:dyDescent="0.25"/>
    <row r="60" ht="15" customHeight="1" outlineLevel="1" x14ac:dyDescent="0.25"/>
    <row r="61" ht="15" customHeight="1" outlineLevel="1" x14ac:dyDescent="0.25"/>
    <row r="62" ht="15" customHeight="1" outlineLevel="1" x14ac:dyDescent="0.25"/>
    <row r="63" ht="15" customHeight="1" outlineLevel="1" x14ac:dyDescent="0.25"/>
    <row r="64" ht="15" customHeight="1" outlineLevel="1" x14ac:dyDescent="0.25"/>
    <row r="65" ht="15" customHeight="1" outlineLevel="1" x14ac:dyDescent="0.25"/>
    <row r="66" ht="15" customHeight="1" outlineLevel="1" x14ac:dyDescent="0.25"/>
    <row r="67" ht="15" customHeight="1" outlineLevel="1" x14ac:dyDescent="0.25"/>
    <row r="68" ht="15" customHeight="1" outlineLevel="1" x14ac:dyDescent="0.25"/>
    <row r="69" ht="15" customHeight="1" outlineLevel="1" x14ac:dyDescent="0.25"/>
    <row r="70" ht="15" customHeight="1" outlineLevel="1" x14ac:dyDescent="0.25"/>
    <row r="71" ht="15" customHeight="1" outlineLevel="1" x14ac:dyDescent="0.25"/>
    <row r="72" ht="15" customHeight="1" outlineLevel="1" x14ac:dyDescent="0.25"/>
    <row r="73" ht="15" customHeight="1" outlineLevel="1" x14ac:dyDescent="0.25"/>
    <row r="74" ht="15" customHeight="1" outlineLevel="1" x14ac:dyDescent="0.25"/>
    <row r="75" ht="15" customHeight="1" outlineLevel="1" x14ac:dyDescent="0.25"/>
    <row r="76" ht="15" customHeight="1" outlineLevel="1" x14ac:dyDescent="0.25"/>
    <row r="77" ht="15" customHeight="1" outlineLevel="1" x14ac:dyDescent="0.25"/>
    <row r="78" ht="15" customHeight="1" outlineLevel="1" x14ac:dyDescent="0.25"/>
    <row r="79" ht="15" customHeight="1" outlineLevel="1" x14ac:dyDescent="0.25"/>
    <row r="80" ht="15" customHeight="1" outlineLevel="1" x14ac:dyDescent="0.25"/>
    <row r="81" ht="15" customHeight="1" outlineLevel="1" x14ac:dyDescent="0.25"/>
    <row r="82" ht="15" customHeight="1" outlineLevel="1" x14ac:dyDescent="0.25"/>
    <row r="83" ht="15" customHeight="1" outlineLevel="1" x14ac:dyDescent="0.25"/>
    <row r="84" ht="15" customHeight="1" outlineLevel="1" x14ac:dyDescent="0.25"/>
    <row r="85" ht="15" customHeight="1" outlineLevel="1" x14ac:dyDescent="0.25"/>
    <row r="86" ht="15" customHeight="1" outlineLevel="1" x14ac:dyDescent="0.25"/>
    <row r="87" ht="15" customHeight="1" outlineLevel="1" x14ac:dyDescent="0.25"/>
    <row r="88" ht="15" customHeight="1" outlineLevel="1" x14ac:dyDescent="0.25"/>
    <row r="89" ht="15" customHeight="1" outlineLevel="1" x14ac:dyDescent="0.25"/>
    <row r="90" ht="15" customHeight="1" outlineLevel="1" x14ac:dyDescent="0.25"/>
    <row r="91" ht="15" customHeight="1" outlineLevel="1" x14ac:dyDescent="0.25"/>
    <row r="92" ht="15" customHeight="1" outlineLevel="1" x14ac:dyDescent="0.25"/>
    <row r="93" ht="15" customHeight="1" outlineLevel="1" x14ac:dyDescent="0.25"/>
    <row r="94" ht="15" customHeight="1" outlineLevel="1" x14ac:dyDescent="0.25"/>
    <row r="95" ht="15" customHeight="1" outlineLevel="1" x14ac:dyDescent="0.25"/>
    <row r="96" ht="15" customHeight="1" outlineLevel="1" x14ac:dyDescent="0.25"/>
    <row r="97" ht="15" customHeight="1" outlineLevel="1" x14ac:dyDescent="0.25"/>
    <row r="98" ht="15" customHeight="1" outlineLevel="1" x14ac:dyDescent="0.25"/>
    <row r="99" ht="15" customHeight="1" outlineLevel="1" x14ac:dyDescent="0.25"/>
    <row r="100" ht="15" customHeight="1" outlineLevel="1" x14ac:dyDescent="0.25"/>
    <row r="101" ht="15" customHeight="1" outlineLevel="1" x14ac:dyDescent="0.25"/>
    <row r="102" ht="15" customHeight="1" outlineLevel="1" x14ac:dyDescent="0.25"/>
    <row r="103" ht="15" customHeight="1" outlineLevel="1" x14ac:dyDescent="0.25"/>
    <row r="104" ht="15" customHeight="1" outlineLevel="1" x14ac:dyDescent="0.25"/>
    <row r="105" ht="15" customHeight="1" outlineLevel="1" x14ac:dyDescent="0.25"/>
    <row r="106" ht="15" customHeight="1" outlineLevel="1" x14ac:dyDescent="0.25"/>
    <row r="107" ht="15" customHeight="1" outlineLevel="1" x14ac:dyDescent="0.25"/>
    <row r="108" ht="15" customHeight="1" outlineLevel="1" x14ac:dyDescent="0.25"/>
    <row r="109" ht="15" customHeight="1" outlineLevel="1" x14ac:dyDescent="0.25"/>
    <row r="110" ht="15" customHeight="1" outlineLevel="1" x14ac:dyDescent="0.25"/>
    <row r="111" ht="15" customHeight="1" outlineLevel="1" x14ac:dyDescent="0.25"/>
    <row r="112" ht="15" customHeight="1" outlineLevel="1" x14ac:dyDescent="0.25"/>
    <row r="113" spans="1:28" ht="15" customHeight="1" outlineLevel="1" x14ac:dyDescent="0.25"/>
    <row r="114" spans="1:28" ht="15" customHeight="1" outlineLevel="1" x14ac:dyDescent="0.25"/>
    <row r="115" spans="1:28" ht="15" customHeight="1" outlineLevel="1" x14ac:dyDescent="0.25"/>
    <row r="116" spans="1:28" ht="15" customHeight="1" outlineLevel="1" thickBot="1" x14ac:dyDescent="0.3"/>
    <row r="117" spans="1:28" s="617" customFormat="1" ht="34.5" customHeight="1" x14ac:dyDescent="0.25">
      <c r="C117" s="981">
        <v>2024</v>
      </c>
      <c r="D117" s="982"/>
      <c r="E117" s="982"/>
      <c r="F117" s="982"/>
      <c r="G117" s="982"/>
      <c r="H117" s="983"/>
      <c r="I117" s="981">
        <v>2025</v>
      </c>
      <c r="J117" s="982"/>
      <c r="K117" s="982"/>
      <c r="L117" s="982"/>
      <c r="M117" s="982"/>
      <c r="N117" s="984"/>
      <c r="O117" s="7"/>
      <c r="P117" s="7"/>
      <c r="Q117" s="981" t="s">
        <v>224</v>
      </c>
      <c r="R117" s="982"/>
      <c r="S117" s="982"/>
      <c r="T117" s="982"/>
      <c r="U117" s="983"/>
      <c r="V117" s="7"/>
      <c r="W117" s="7"/>
      <c r="X117" s="7"/>
      <c r="Y117" s="7"/>
      <c r="Z117" s="815"/>
    </row>
    <row r="118" spans="1:28" s="617" customFormat="1" ht="60" x14ac:dyDescent="0.25">
      <c r="A118" s="989" t="s">
        <v>83</v>
      </c>
      <c r="B118" s="990"/>
      <c r="C118" s="708" t="s">
        <v>225</v>
      </c>
      <c r="D118" s="587" t="s">
        <v>226</v>
      </c>
      <c r="E118" s="709" t="s">
        <v>216</v>
      </c>
      <c r="F118" s="587" t="s">
        <v>219</v>
      </c>
      <c r="G118" s="709" t="s">
        <v>227</v>
      </c>
      <c r="H118" s="710" t="s">
        <v>228</v>
      </c>
      <c r="I118" s="708" t="s">
        <v>225</v>
      </c>
      <c r="J118" s="587" t="s">
        <v>226</v>
      </c>
      <c r="K118" s="709" t="s">
        <v>216</v>
      </c>
      <c r="L118" s="587" t="s">
        <v>219</v>
      </c>
      <c r="M118" s="709" t="s">
        <v>227</v>
      </c>
      <c r="N118" s="710" t="s">
        <v>228</v>
      </c>
      <c r="O118" s="7"/>
      <c r="P118" s="7"/>
      <c r="Q118" s="708" t="s">
        <v>225</v>
      </c>
      <c r="R118" s="587" t="s">
        <v>226</v>
      </c>
      <c r="S118" s="709" t="s">
        <v>216</v>
      </c>
      <c r="T118" s="587" t="s">
        <v>219</v>
      </c>
      <c r="U118" s="711" t="s">
        <v>227</v>
      </c>
      <c r="V118" s="3"/>
      <c r="W118" s="3"/>
      <c r="X118" s="3"/>
      <c r="Y118" s="3"/>
      <c r="Z118" s="816"/>
    </row>
    <row r="119" spans="1:28" ht="15" customHeight="1" x14ac:dyDescent="0.25">
      <c r="A119" s="987" t="s">
        <v>63</v>
      </c>
      <c r="B119" s="988"/>
      <c r="C119" s="712">
        <f>D132+H132+L132</f>
        <v>327.66000000000003</v>
      </c>
      <c r="D119" s="713">
        <f>E132+I132+M132</f>
        <v>0</v>
      </c>
      <c r="E119" s="714" t="e">
        <f>C119/D119</f>
        <v>#DIV/0!</v>
      </c>
      <c r="F119" s="713">
        <f>O132</f>
        <v>252</v>
      </c>
      <c r="G119" s="715">
        <f>ROUND(F119/29,0)</f>
        <v>9</v>
      </c>
      <c r="H119" s="716">
        <f>IFERROR(C119/G119,0)</f>
        <v>36.406666666666666</v>
      </c>
      <c r="I119" s="717"/>
      <c r="J119" s="718"/>
      <c r="K119" s="718"/>
      <c r="L119" s="718"/>
      <c r="M119" s="719"/>
      <c r="N119" s="720"/>
      <c r="O119" s="7"/>
      <c r="P119" s="7"/>
      <c r="Q119" s="721"/>
      <c r="R119" s="722"/>
      <c r="S119" s="723"/>
      <c r="T119" s="722"/>
      <c r="U119" s="724"/>
      <c r="V119" s="7"/>
      <c r="W119" s="7"/>
      <c r="X119" s="7"/>
      <c r="AB119"/>
    </row>
    <row r="120" spans="1:28" ht="15" customHeight="1" x14ac:dyDescent="0.25">
      <c r="A120" s="987" t="s">
        <v>135</v>
      </c>
      <c r="B120" s="988"/>
      <c r="C120" s="725"/>
      <c r="D120" s="723"/>
      <c r="E120" s="723"/>
      <c r="F120" s="723"/>
      <c r="G120" s="719"/>
      <c r="H120" s="720"/>
      <c r="I120" s="712">
        <f t="shared" ref="I120:J125" si="24">Q133+U133+Y133</f>
        <v>232.5</v>
      </c>
      <c r="J120" s="713">
        <f t="shared" si="24"/>
        <v>0</v>
      </c>
      <c r="K120" s="714" t="e">
        <f t="shared" ref="K120:K126" si="25">I120/J120</f>
        <v>#DIV/0!</v>
      </c>
      <c r="L120" s="713">
        <f t="shared" ref="L120:L125" si="26">AB133</f>
        <v>210</v>
      </c>
      <c r="M120" s="715">
        <f t="shared" ref="M120:M124" si="27">ROUND(L120/29,0)</f>
        <v>7</v>
      </c>
      <c r="N120" s="716">
        <f t="shared" ref="N120:N125" si="28">IFERROR(I120/M120,0)</f>
        <v>33.214285714285715</v>
      </c>
      <c r="O120" s="7"/>
      <c r="P120" s="7"/>
      <c r="Q120" s="712">
        <f>I120-C119</f>
        <v>-95.160000000000025</v>
      </c>
      <c r="R120" s="713">
        <f>J120-D119</f>
        <v>0</v>
      </c>
      <c r="S120" s="714" t="e">
        <f>K120-E119</f>
        <v>#DIV/0!</v>
      </c>
      <c r="T120" s="713">
        <f>L120-F119</f>
        <v>-42</v>
      </c>
      <c r="U120" s="726">
        <f>ROUND(M120-G119,0)</f>
        <v>-2</v>
      </c>
      <c r="V120" s="604"/>
      <c r="W120" s="7"/>
      <c r="X120" s="7"/>
      <c r="Y120" s="7"/>
      <c r="AB120"/>
    </row>
    <row r="121" spans="1:28" ht="15" customHeight="1" x14ac:dyDescent="0.25">
      <c r="A121" s="972" t="s">
        <v>95</v>
      </c>
      <c r="B121" s="973"/>
      <c r="C121" s="727">
        <f t="shared" ref="C121:D124" si="29">D134+H134+L134</f>
        <v>408.98</v>
      </c>
      <c r="D121" s="93">
        <f t="shared" si="29"/>
        <v>0</v>
      </c>
      <c r="E121" s="728" t="e">
        <f>C121/D121</f>
        <v>#DIV/0!</v>
      </c>
      <c r="F121" s="93">
        <f>O134</f>
        <v>300</v>
      </c>
      <c r="G121" s="729">
        <f>ROUND(F121/29,0)</f>
        <v>10</v>
      </c>
      <c r="H121" s="730">
        <f>IFERROR(C121/G121,0)</f>
        <v>40.898000000000003</v>
      </c>
      <c r="I121" s="727">
        <f t="shared" si="24"/>
        <v>364.13</v>
      </c>
      <c r="J121" s="93">
        <f t="shared" si="24"/>
        <v>0</v>
      </c>
      <c r="K121" s="728" t="e">
        <f t="shared" si="25"/>
        <v>#DIV/0!</v>
      </c>
      <c r="L121" s="93">
        <f t="shared" si="26"/>
        <v>258</v>
      </c>
      <c r="M121" s="729">
        <f t="shared" si="27"/>
        <v>9</v>
      </c>
      <c r="N121" s="730">
        <f t="shared" si="28"/>
        <v>40.458888888888886</v>
      </c>
      <c r="O121" s="7"/>
      <c r="P121" s="7"/>
      <c r="Q121" s="727">
        <f>I121-C121</f>
        <v>-44.850000000000023</v>
      </c>
      <c r="R121" s="93">
        <f>J121-D121</f>
        <v>0</v>
      </c>
      <c r="S121" s="728" t="e">
        <f>K121-E121</f>
        <v>#DIV/0!</v>
      </c>
      <c r="T121" s="93">
        <f>L121-F121</f>
        <v>-42</v>
      </c>
      <c r="U121" s="731">
        <f>ROUND(M121-G121,0)</f>
        <v>-1</v>
      </c>
      <c r="V121" s="7"/>
      <c r="W121"/>
      <c r="X121"/>
      <c r="Y121" s="7"/>
      <c r="AB121"/>
    </row>
    <row r="122" spans="1:28" ht="15" customHeight="1" x14ac:dyDescent="0.25">
      <c r="A122" s="972" t="s">
        <v>64</v>
      </c>
      <c r="B122" s="973"/>
      <c r="C122" s="727">
        <f t="shared" si="29"/>
        <v>649.97</v>
      </c>
      <c r="D122" s="93">
        <f t="shared" si="29"/>
        <v>0</v>
      </c>
      <c r="E122" s="728" t="e">
        <f>C122/D122</f>
        <v>#DIV/0!</v>
      </c>
      <c r="F122" s="93">
        <f>O135</f>
        <v>542</v>
      </c>
      <c r="G122" s="729">
        <f>ROUND(F122/29,0)</f>
        <v>19</v>
      </c>
      <c r="H122" s="730">
        <f>IFERROR(C122/G122,0)</f>
        <v>34.208947368421057</v>
      </c>
      <c r="I122" s="727">
        <f t="shared" si="24"/>
        <v>692.17000000000007</v>
      </c>
      <c r="J122" s="93">
        <f t="shared" si="24"/>
        <v>0</v>
      </c>
      <c r="K122" s="728" t="e">
        <f t="shared" si="25"/>
        <v>#DIV/0!</v>
      </c>
      <c r="L122" s="93">
        <f t="shared" si="26"/>
        <v>364</v>
      </c>
      <c r="M122" s="729">
        <f t="shared" si="27"/>
        <v>13</v>
      </c>
      <c r="N122" s="730">
        <f t="shared" si="28"/>
        <v>53.243846153846157</v>
      </c>
      <c r="O122" s="7"/>
      <c r="P122" s="7"/>
      <c r="Q122" s="727">
        <f>I122-(C122)</f>
        <v>42.200000000000045</v>
      </c>
      <c r="R122" s="93">
        <f t="shared" ref="R122:T125" si="30">J122-D122</f>
        <v>0</v>
      </c>
      <c r="S122" s="728" t="e">
        <f t="shared" si="30"/>
        <v>#DIV/0!</v>
      </c>
      <c r="T122" s="93">
        <f t="shared" si="30"/>
        <v>-178</v>
      </c>
      <c r="U122" s="731">
        <f>ROUND(M122-G122,0)</f>
        <v>-6</v>
      </c>
      <c r="V122" s="7"/>
      <c r="W122" s="7"/>
      <c r="X122" s="7"/>
      <c r="Y122" s="7"/>
      <c r="AB122"/>
    </row>
    <row r="123" spans="1:28" x14ac:dyDescent="0.25">
      <c r="A123" s="972" t="s">
        <v>136</v>
      </c>
      <c r="B123" s="973"/>
      <c r="C123" s="727">
        <f t="shared" si="29"/>
        <v>496.03</v>
      </c>
      <c r="D123" s="93">
        <f t="shared" si="29"/>
        <v>0</v>
      </c>
      <c r="E123" s="728" t="e">
        <f>C123/D123</f>
        <v>#DIV/0!</v>
      </c>
      <c r="F123" s="93">
        <f>O136</f>
        <v>269</v>
      </c>
      <c r="G123" s="729">
        <f>ROUND(F123/29,0)</f>
        <v>9</v>
      </c>
      <c r="H123" s="730">
        <f>IFERROR(C123/G123,0)</f>
        <v>55.114444444444445</v>
      </c>
      <c r="I123" s="727">
        <f t="shared" si="24"/>
        <v>405.62</v>
      </c>
      <c r="J123" s="93">
        <f t="shared" si="24"/>
        <v>0</v>
      </c>
      <c r="K123" s="728" t="e">
        <f t="shared" si="25"/>
        <v>#DIV/0!</v>
      </c>
      <c r="L123" s="93">
        <f t="shared" si="26"/>
        <v>221</v>
      </c>
      <c r="M123" s="729">
        <f t="shared" si="27"/>
        <v>8</v>
      </c>
      <c r="N123" s="730">
        <f t="shared" si="28"/>
        <v>50.702500000000001</v>
      </c>
      <c r="O123" s="7"/>
      <c r="P123" s="7"/>
      <c r="Q123" s="727">
        <f>I123-C123</f>
        <v>-90.409999999999968</v>
      </c>
      <c r="R123" s="93">
        <f t="shared" si="30"/>
        <v>0</v>
      </c>
      <c r="S123" s="728" t="e">
        <f t="shared" si="30"/>
        <v>#DIV/0!</v>
      </c>
      <c r="T123" s="93">
        <f t="shared" si="30"/>
        <v>-48</v>
      </c>
      <c r="U123" s="731">
        <f>ROUND(M123-G123,0)</f>
        <v>-1</v>
      </c>
      <c r="V123" s="7"/>
      <c r="W123" s="7"/>
      <c r="X123" s="7"/>
      <c r="Y123" s="7"/>
      <c r="AB123"/>
    </row>
    <row r="124" spans="1:28" x14ac:dyDescent="0.25">
      <c r="A124" s="972" t="s">
        <v>96</v>
      </c>
      <c r="B124" s="973"/>
      <c r="C124" s="727">
        <f t="shared" si="29"/>
        <v>106.78999999999999</v>
      </c>
      <c r="D124" s="93">
        <f t="shared" si="29"/>
        <v>0</v>
      </c>
      <c r="E124" s="728" t="e">
        <f>C124/D124</f>
        <v>#DIV/0!</v>
      </c>
      <c r="F124" s="93">
        <f>O137</f>
        <v>171</v>
      </c>
      <c r="G124" s="729">
        <f>ROUND(F124/29,0)</f>
        <v>6</v>
      </c>
      <c r="H124" s="730">
        <f>IFERROR(C124/G124,0)</f>
        <v>17.798333333333332</v>
      </c>
      <c r="I124" s="727">
        <f t="shared" si="24"/>
        <v>171.44</v>
      </c>
      <c r="J124" s="93">
        <f t="shared" si="24"/>
        <v>0</v>
      </c>
      <c r="K124" s="728" t="e">
        <f t="shared" si="25"/>
        <v>#DIV/0!</v>
      </c>
      <c r="L124" s="93">
        <f t="shared" si="26"/>
        <v>154</v>
      </c>
      <c r="M124" s="729">
        <f t="shared" si="27"/>
        <v>5</v>
      </c>
      <c r="N124" s="730">
        <f t="shared" si="28"/>
        <v>34.287999999999997</v>
      </c>
      <c r="O124" s="7"/>
      <c r="P124" s="7"/>
      <c r="Q124" s="727">
        <f>I124-(C124)</f>
        <v>64.650000000000006</v>
      </c>
      <c r="R124" s="93">
        <f t="shared" si="30"/>
        <v>0</v>
      </c>
      <c r="S124" s="728" t="e">
        <f t="shared" si="30"/>
        <v>#DIV/0!</v>
      </c>
      <c r="T124" s="93">
        <f t="shared" si="30"/>
        <v>-17</v>
      </c>
      <c r="U124" s="731">
        <f>ROUND(M124-G124,0)</f>
        <v>-1</v>
      </c>
      <c r="V124" s="7"/>
      <c r="W124" s="7"/>
      <c r="X124" s="7"/>
      <c r="Y124" s="7"/>
      <c r="AB124"/>
    </row>
    <row r="125" spans="1:28" ht="15.75" thickBot="1" x14ac:dyDescent="0.3">
      <c r="A125" s="991" t="s">
        <v>137</v>
      </c>
      <c r="B125" s="992"/>
      <c r="C125" s="732"/>
      <c r="D125" s="733"/>
      <c r="E125" s="733"/>
      <c r="F125" s="733"/>
      <c r="G125" s="734"/>
      <c r="H125" s="735">
        <f>IFERROR(C125/G125,0)</f>
        <v>0</v>
      </c>
      <c r="I125" s="736">
        <f t="shared" si="24"/>
        <v>104.84999999999998</v>
      </c>
      <c r="J125" s="582">
        <f t="shared" si="24"/>
        <v>0</v>
      </c>
      <c r="K125" s="737" t="e">
        <f t="shared" si="25"/>
        <v>#DIV/0!</v>
      </c>
      <c r="L125" s="582">
        <f t="shared" si="26"/>
        <v>128</v>
      </c>
      <c r="M125" s="738">
        <f>ROUND(L125/29,0)</f>
        <v>4</v>
      </c>
      <c r="N125" s="739">
        <f t="shared" si="28"/>
        <v>26.212499999999995</v>
      </c>
      <c r="O125" s="7"/>
      <c r="P125" s="7"/>
      <c r="Q125" s="740">
        <f>I125-C125</f>
        <v>104.84999999999998</v>
      </c>
      <c r="R125" s="652">
        <f t="shared" si="30"/>
        <v>0</v>
      </c>
      <c r="S125" s="741" t="e">
        <f t="shared" si="30"/>
        <v>#DIV/0!</v>
      </c>
      <c r="T125" s="652">
        <f t="shared" si="30"/>
        <v>128</v>
      </c>
      <c r="U125" s="742">
        <f>ROUND(M125-G125,0)</f>
        <v>4</v>
      </c>
      <c r="V125" s="7"/>
      <c r="W125" s="7"/>
      <c r="X125" s="7"/>
      <c r="Y125" s="7"/>
      <c r="AB125"/>
    </row>
    <row r="126" spans="1:28" s="7" customFormat="1" ht="15.75" thickBot="1" x14ac:dyDescent="0.3">
      <c r="C126" s="743">
        <f>SUM(C119:C125)</f>
        <v>1989.43</v>
      </c>
      <c r="D126" s="744">
        <f>SUM(D119:D125)</f>
        <v>0</v>
      </c>
      <c r="E126" s="745" t="e">
        <f>C126/D126</f>
        <v>#DIV/0!</v>
      </c>
      <c r="F126" s="744">
        <f>SUM(F119:F125)</f>
        <v>1534</v>
      </c>
      <c r="G126" s="746">
        <f>SUM(G119:G125)</f>
        <v>53</v>
      </c>
      <c r="H126" s="747">
        <f>C126/G126</f>
        <v>37.536415094339624</v>
      </c>
      <c r="I126" s="748">
        <f>SUM(I119:I125)</f>
        <v>1970.71</v>
      </c>
      <c r="J126" s="749">
        <f>SUM(J119:J125)</f>
        <v>0</v>
      </c>
      <c r="K126" s="750" t="e">
        <f t="shared" si="25"/>
        <v>#DIV/0!</v>
      </c>
      <c r="L126" s="749">
        <f>SUM(L119:L125)</f>
        <v>1335</v>
      </c>
      <c r="M126" s="751">
        <f>SUM(M119:M125)</f>
        <v>46</v>
      </c>
      <c r="N126" s="752">
        <f>I126/M126</f>
        <v>42.841521739130435</v>
      </c>
      <c r="Q126" s="743">
        <f>SUM(Q119:Q125)</f>
        <v>-18.719999999999985</v>
      </c>
      <c r="R126" s="744">
        <f>SUM(R119:R125)</f>
        <v>0</v>
      </c>
      <c r="S126" s="799" t="e">
        <f>K126-E126</f>
        <v>#DIV/0!</v>
      </c>
      <c r="T126" s="744">
        <f>SUM(T119:T125)</f>
        <v>-199</v>
      </c>
      <c r="U126" s="753">
        <f>SUM(U119:U125)</f>
        <v>-7</v>
      </c>
      <c r="Z126" s="815"/>
    </row>
    <row r="127" spans="1:28" s="7" customFormat="1" x14ac:dyDescent="0.25">
      <c r="Z127" s="815"/>
    </row>
    <row r="128" spans="1:28" s="7" customFormat="1" x14ac:dyDescent="0.25">
      <c r="Z128" s="815"/>
    </row>
    <row r="129" spans="1:30" hidden="1" x14ac:dyDescent="0.25">
      <c r="H129" s="605"/>
      <c r="I129" s="484"/>
      <c r="K129" s="605"/>
      <c r="N129"/>
      <c r="O129" s="484"/>
      <c r="P129" s="606"/>
      <c r="R129" s="484"/>
      <c r="S129" s="606"/>
      <c r="U129"/>
      <c r="V129"/>
      <c r="W129"/>
      <c r="X129"/>
      <c r="Y129" s="604"/>
      <c r="AB129"/>
    </row>
    <row r="130" spans="1:30" s="7" customFormat="1" hidden="1" x14ac:dyDescent="0.25">
      <c r="B130" s="485"/>
      <c r="D130" s="969">
        <v>2024</v>
      </c>
      <c r="E130" s="970"/>
      <c r="F130" s="970"/>
      <c r="G130" s="970"/>
      <c r="H130" s="970"/>
      <c r="I130" s="970"/>
      <c r="J130" s="970"/>
      <c r="K130" s="970"/>
      <c r="L130" s="970"/>
      <c r="M130" s="970"/>
      <c r="N130" s="970"/>
      <c r="O130" s="971"/>
      <c r="Q130" s="969">
        <v>2025</v>
      </c>
      <c r="R130" s="970"/>
      <c r="S130" s="970"/>
      <c r="T130" s="970"/>
      <c r="U130" s="970"/>
      <c r="V130" s="970"/>
      <c r="W130" s="970"/>
      <c r="X130" s="970"/>
      <c r="Y130" s="970"/>
      <c r="Z130" s="970"/>
      <c r="AA130" s="970"/>
      <c r="AB130" s="971"/>
    </row>
    <row r="131" spans="1:30" s="617" customFormat="1" ht="60" hidden="1" x14ac:dyDescent="0.25">
      <c r="A131" s="986" t="s">
        <v>83</v>
      </c>
      <c r="B131" s="986"/>
      <c r="C131" s="680" t="s">
        <v>223</v>
      </c>
      <c r="D131" s="681" t="s">
        <v>214</v>
      </c>
      <c r="E131" s="682" t="s">
        <v>215</v>
      </c>
      <c r="F131" s="683" t="s">
        <v>216</v>
      </c>
      <c r="G131" s="797"/>
      <c r="H131" s="684" t="s">
        <v>217</v>
      </c>
      <c r="I131" s="685" t="s">
        <v>215</v>
      </c>
      <c r="J131" s="686" t="s">
        <v>216</v>
      </c>
      <c r="K131" s="797"/>
      <c r="L131" s="687" t="s">
        <v>218</v>
      </c>
      <c r="M131" s="688" t="s">
        <v>215</v>
      </c>
      <c r="N131" s="689" t="s">
        <v>216</v>
      </c>
      <c r="O131" s="690" t="s">
        <v>219</v>
      </c>
      <c r="Q131" s="681" t="s">
        <v>214</v>
      </c>
      <c r="R131" s="691" t="s">
        <v>215</v>
      </c>
      <c r="S131" s="683" t="s">
        <v>216</v>
      </c>
      <c r="T131" s="614" t="s">
        <v>233</v>
      </c>
      <c r="U131" s="684" t="s">
        <v>217</v>
      </c>
      <c r="V131" s="692" t="s">
        <v>215</v>
      </c>
      <c r="W131" s="686" t="s">
        <v>216</v>
      </c>
      <c r="X131" s="814"/>
      <c r="Y131" s="687" t="s">
        <v>218</v>
      </c>
      <c r="Z131" s="688" t="s">
        <v>215</v>
      </c>
      <c r="AA131" s="689" t="s">
        <v>216</v>
      </c>
      <c r="AB131" s="690" t="s">
        <v>219</v>
      </c>
    </row>
    <row r="132" spans="1:30" ht="15" hidden="1" customHeight="1" x14ac:dyDescent="0.25">
      <c r="A132" s="985" t="s">
        <v>63</v>
      </c>
      <c r="B132" s="985"/>
      <c r="C132" s="693">
        <v>3</v>
      </c>
      <c r="D132" s="694">
        <f>SUM(D5:D7)</f>
        <v>236.74</v>
      </c>
      <c r="E132" s="93">
        <f>SUM(E5:E7)</f>
        <v>0</v>
      </c>
      <c r="F132" s="695" t="e">
        <f>D132/E132</f>
        <v>#DIV/0!</v>
      </c>
      <c r="G132" s="775"/>
      <c r="H132" s="694">
        <f>SUM(H5:H7)</f>
        <v>90.92</v>
      </c>
      <c r="I132" s="93">
        <f>SUM(I5:I7)</f>
        <v>0</v>
      </c>
      <c r="J132" s="695" t="e">
        <f>H132/I132</f>
        <v>#DIV/0!</v>
      </c>
      <c r="K132" s="775"/>
      <c r="L132" s="694">
        <f>SUM(L5:L7)</f>
        <v>0</v>
      </c>
      <c r="M132" s="93">
        <f>SUM(M5:M7)</f>
        <v>0</v>
      </c>
      <c r="N132" s="695">
        <f>IFERROR(L132/M132,0)</f>
        <v>0</v>
      </c>
      <c r="O132" s="482">
        <f>SUM(O5:O7)</f>
        <v>252</v>
      </c>
      <c r="Q132" s="696"/>
      <c r="R132" s="697"/>
      <c r="S132" s="698"/>
      <c r="T132" s="775"/>
      <c r="U132" s="696"/>
      <c r="V132" s="697"/>
      <c r="W132" s="698"/>
      <c r="X132" s="798"/>
      <c r="Y132" s="699"/>
      <c r="Z132" s="817"/>
      <c r="AA132" s="700"/>
      <c r="AB132" s="701"/>
    </row>
    <row r="133" spans="1:30" ht="15" hidden="1" customHeight="1" x14ac:dyDescent="0.25">
      <c r="A133" s="985" t="s">
        <v>135</v>
      </c>
      <c r="B133" s="985"/>
      <c r="C133" s="693">
        <v>3</v>
      </c>
      <c r="D133" s="696"/>
      <c r="E133" s="702"/>
      <c r="F133" s="698"/>
      <c r="G133" s="798"/>
      <c r="H133" s="696"/>
      <c r="I133" s="702"/>
      <c r="J133" s="698"/>
      <c r="K133" s="798"/>
      <c r="L133" s="696"/>
      <c r="M133" s="702"/>
      <c r="N133" s="698"/>
      <c r="O133" s="703"/>
      <c r="Q133" s="694">
        <f>SUM(Q5:Q7)</f>
        <v>106.52</v>
      </c>
      <c r="R133" s="93">
        <f>SUM(R5:R7)</f>
        <v>0</v>
      </c>
      <c r="S133" s="695" t="e">
        <f t="shared" ref="S133:S139" si="31">Q133/R133</f>
        <v>#DIV/0!</v>
      </c>
      <c r="T133" s="775">
        <f>SUM(T5:T7)</f>
        <v>0</v>
      </c>
      <c r="U133" s="694">
        <f>SUM(U5:U7)</f>
        <v>125.98</v>
      </c>
      <c r="V133" s="93">
        <f>SUM(V5:V7)</f>
        <v>0</v>
      </c>
      <c r="W133" s="695" t="e">
        <f t="shared" ref="W133:W139" si="32">U133/V133</f>
        <v>#DIV/0!</v>
      </c>
      <c r="X133" s="775"/>
      <c r="Y133" s="694">
        <f>SUM(Y5:Y7)</f>
        <v>0</v>
      </c>
      <c r="Z133" s="199">
        <f>SUM(Z5:Z7)</f>
        <v>0</v>
      </c>
      <c r="AA133" s="695">
        <f t="shared" ref="AA133:AA139" si="33">IFERROR(Y133/Z133,0)</f>
        <v>0</v>
      </c>
      <c r="AB133" s="482">
        <f>SUM(AB5:AB7)</f>
        <v>210</v>
      </c>
    </row>
    <row r="134" spans="1:30" ht="15" hidden="1" customHeight="1" x14ac:dyDescent="0.25">
      <c r="A134" s="980" t="s">
        <v>95</v>
      </c>
      <c r="B134" s="980"/>
      <c r="C134" s="704">
        <v>6</v>
      </c>
      <c r="D134" s="694">
        <f>SUM(D8:D13)</f>
        <v>211.10000000000002</v>
      </c>
      <c r="E134" s="93">
        <f>SUM(E8:E13)</f>
        <v>0</v>
      </c>
      <c r="F134" s="695" t="e">
        <f>D134/E134</f>
        <v>#DIV/0!</v>
      </c>
      <c r="G134" s="775"/>
      <c r="H134" s="694">
        <f>SUM(H8:H13)</f>
        <v>197.88</v>
      </c>
      <c r="I134" s="93">
        <f>SUM(I8:I13)</f>
        <v>0</v>
      </c>
      <c r="J134" s="695" t="e">
        <f>H134/I134</f>
        <v>#DIV/0!</v>
      </c>
      <c r="K134" s="775"/>
      <c r="L134" s="694">
        <f>SUM(L8:L13)</f>
        <v>0</v>
      </c>
      <c r="M134" s="93">
        <f>SUM(M8:M13)</f>
        <v>0</v>
      </c>
      <c r="N134" s="695">
        <f>IFERROR(L134/M134,0)</f>
        <v>0</v>
      </c>
      <c r="O134" s="482">
        <f>SUM(O8:O13)</f>
        <v>300</v>
      </c>
      <c r="Q134" s="694">
        <f>SUM(Q8:Q13)</f>
        <v>267.13</v>
      </c>
      <c r="R134" s="93">
        <f>SUM(R8:R13)</f>
        <v>0</v>
      </c>
      <c r="S134" s="695" t="e">
        <f t="shared" si="31"/>
        <v>#DIV/0!</v>
      </c>
      <c r="T134" s="93">
        <f>SUM(T8:T13)</f>
        <v>0</v>
      </c>
      <c r="U134" s="694">
        <f>SUM(U8:U13)</f>
        <v>97</v>
      </c>
      <c r="V134" s="93">
        <f>SUM(V8:V13)</f>
        <v>0</v>
      </c>
      <c r="W134" s="695" t="e">
        <f t="shared" si="32"/>
        <v>#DIV/0!</v>
      </c>
      <c r="X134" s="775"/>
      <c r="Y134" s="694">
        <f>SUM(Y8:Y13)</f>
        <v>0</v>
      </c>
      <c r="Z134" s="199">
        <f>SUM(Z8:Z13)</f>
        <v>0</v>
      </c>
      <c r="AA134" s="695">
        <f t="shared" si="33"/>
        <v>0</v>
      </c>
      <c r="AB134" s="482">
        <f>SUM(AB8:AB13)</f>
        <v>258</v>
      </c>
    </row>
    <row r="135" spans="1:30" ht="15" hidden="1" customHeight="1" x14ac:dyDescent="0.25">
      <c r="A135" s="980" t="s">
        <v>64</v>
      </c>
      <c r="B135" s="980"/>
      <c r="C135" s="704">
        <v>7</v>
      </c>
      <c r="D135" s="694">
        <f>SUM(D14:D20)+D35+D36</f>
        <v>325.16999999999996</v>
      </c>
      <c r="E135" s="93">
        <f>SUM(E14:E20)+E35+E36</f>
        <v>0</v>
      </c>
      <c r="F135" s="695" t="e">
        <f>D135/E135</f>
        <v>#DIV/0!</v>
      </c>
      <c r="G135" s="775"/>
      <c r="H135" s="694">
        <f>SUM(H14:H20)+H35+H36</f>
        <v>229.35000000000002</v>
      </c>
      <c r="I135" s="93">
        <f>SUM(I14:I20)+I35+I36</f>
        <v>0</v>
      </c>
      <c r="J135" s="695" t="e">
        <f>H135/I135</f>
        <v>#DIV/0!</v>
      </c>
      <c r="K135" s="775"/>
      <c r="L135" s="694">
        <f>SUM(L14:L20)+L35+L36</f>
        <v>95.449999999999989</v>
      </c>
      <c r="M135" s="93">
        <f>SUM(M14:M20)+M35+M36</f>
        <v>0</v>
      </c>
      <c r="N135" s="695">
        <f>IFERROR(L135/M135,0)</f>
        <v>0</v>
      </c>
      <c r="O135" s="482">
        <f>SUM(O14:O20)+O35+O36</f>
        <v>542</v>
      </c>
      <c r="Q135" s="694">
        <f>SUM(Q14:Q20)</f>
        <v>473.61</v>
      </c>
      <c r="R135" s="93">
        <f>SUM(R14:R20)</f>
        <v>0</v>
      </c>
      <c r="S135" s="695" t="e">
        <f t="shared" si="31"/>
        <v>#DIV/0!</v>
      </c>
      <c r="T135" s="775">
        <f>SUM(T14:T20)</f>
        <v>0</v>
      </c>
      <c r="U135" s="694">
        <f>SUM(U14:U20)</f>
        <v>218.56</v>
      </c>
      <c r="V135" s="93">
        <f>SUM(V14:V20)</f>
        <v>0</v>
      </c>
      <c r="W135" s="695" t="e">
        <f t="shared" si="32"/>
        <v>#DIV/0!</v>
      </c>
      <c r="X135" s="775"/>
      <c r="Y135" s="694">
        <f>SUM(Y14:Y20)</f>
        <v>0</v>
      </c>
      <c r="Z135" s="199">
        <f>SUM(Z14:Z20)</f>
        <v>0</v>
      </c>
      <c r="AA135" s="695">
        <f t="shared" si="33"/>
        <v>0</v>
      </c>
      <c r="AB135" s="482">
        <f>SUM(AB14:AB20)</f>
        <v>364</v>
      </c>
    </row>
    <row r="136" spans="1:30" hidden="1" x14ac:dyDescent="0.25">
      <c r="A136" s="980" t="s">
        <v>136</v>
      </c>
      <c r="B136" s="980"/>
      <c r="C136" s="704">
        <v>6</v>
      </c>
      <c r="D136" s="694">
        <f>SUM(D21:D26)</f>
        <v>236.58999999999997</v>
      </c>
      <c r="E136" s="93">
        <f>SUM(E21:E26)</f>
        <v>0</v>
      </c>
      <c r="F136" s="695" t="e">
        <f>D136/E136</f>
        <v>#DIV/0!</v>
      </c>
      <c r="G136" s="775"/>
      <c r="H136" s="694">
        <f>SUM(H21:H26)</f>
        <v>226.48000000000002</v>
      </c>
      <c r="I136" s="93">
        <f>SUM(I21:I26)</f>
        <v>0</v>
      </c>
      <c r="J136" s="695" t="e">
        <f>H136/I136</f>
        <v>#DIV/0!</v>
      </c>
      <c r="K136" s="775"/>
      <c r="L136" s="694">
        <f>SUM(L21:L26)</f>
        <v>32.96</v>
      </c>
      <c r="M136" s="93">
        <f>SUM(M21:M26)</f>
        <v>0</v>
      </c>
      <c r="N136" s="695">
        <f>IFERROR(L136/M136,0)</f>
        <v>0</v>
      </c>
      <c r="O136" s="482">
        <f>SUM(O21:O26)</f>
        <v>269</v>
      </c>
      <c r="Q136" s="694">
        <f>SUM(Q21:Q26)</f>
        <v>259.99</v>
      </c>
      <c r="R136" s="93">
        <f>SUM(R21:R26)</f>
        <v>0</v>
      </c>
      <c r="S136" s="695" t="e">
        <f t="shared" si="31"/>
        <v>#DIV/0!</v>
      </c>
      <c r="T136" s="775">
        <f>SUM(T21:T26)</f>
        <v>0</v>
      </c>
      <c r="U136" s="694">
        <f>SUM(U21:U26)</f>
        <v>145.63</v>
      </c>
      <c r="V136" s="93">
        <f>SUM(V21:V26)</f>
        <v>0</v>
      </c>
      <c r="W136" s="695" t="e">
        <f t="shared" si="32"/>
        <v>#DIV/0!</v>
      </c>
      <c r="X136" s="775"/>
      <c r="Y136" s="694">
        <f>SUM(Y21:Y26)</f>
        <v>0</v>
      </c>
      <c r="Z136" s="199">
        <f>SUM(Z21:Z26)</f>
        <v>0</v>
      </c>
      <c r="AA136" s="695">
        <f t="shared" si="33"/>
        <v>0</v>
      </c>
      <c r="AB136" s="482">
        <f>SUM(AB21:AB26)</f>
        <v>221</v>
      </c>
    </row>
    <row r="137" spans="1:30" hidden="1" x14ac:dyDescent="0.25">
      <c r="A137" s="980" t="s">
        <v>96</v>
      </c>
      <c r="B137" s="980"/>
      <c r="C137" s="704">
        <v>8</v>
      </c>
      <c r="D137" s="694">
        <f>SUM(D27:D34)+D37</f>
        <v>56.009999999999991</v>
      </c>
      <c r="E137" s="93">
        <f>SUM(E27:E34)+E37</f>
        <v>0</v>
      </c>
      <c r="F137" s="695" t="e">
        <f>D137/E137</f>
        <v>#DIV/0!</v>
      </c>
      <c r="G137" s="775"/>
      <c r="H137" s="694">
        <f>SUM(H27:H34)+H37</f>
        <v>50.78</v>
      </c>
      <c r="I137" s="93">
        <f>SUM(I27:I34)+I37</f>
        <v>0</v>
      </c>
      <c r="J137" s="695" t="e">
        <f>H137/I137</f>
        <v>#DIV/0!</v>
      </c>
      <c r="K137" s="775"/>
      <c r="L137" s="694">
        <f>SUM(L27:L34)+L37</f>
        <v>0</v>
      </c>
      <c r="M137" s="93">
        <f>SUM(M27:M34)+M37</f>
        <v>0</v>
      </c>
      <c r="N137" s="695">
        <f>IFERROR(L137/M137,0)</f>
        <v>0</v>
      </c>
      <c r="O137" s="482">
        <f>SUM(O27:O34)+O37</f>
        <v>171</v>
      </c>
      <c r="Q137" s="694">
        <f>SUM(Q27:Q34)</f>
        <v>109.33999999999999</v>
      </c>
      <c r="R137" s="93">
        <f>SUM(R27:R34)</f>
        <v>0</v>
      </c>
      <c r="S137" s="695" t="e">
        <f t="shared" si="31"/>
        <v>#DIV/0!</v>
      </c>
      <c r="T137" s="775">
        <f>SUM(T27:T34)</f>
        <v>0</v>
      </c>
      <c r="U137" s="694">
        <f>SUM(U27:U34)</f>
        <v>62.099999999999994</v>
      </c>
      <c r="V137" s="93">
        <f>SUM(V27:V34)</f>
        <v>0</v>
      </c>
      <c r="W137" s="695" t="e">
        <f t="shared" si="32"/>
        <v>#DIV/0!</v>
      </c>
      <c r="X137" s="775"/>
      <c r="Y137" s="694">
        <f>SUM(Y27:Y34)</f>
        <v>0</v>
      </c>
      <c r="Z137" s="199">
        <f>SUM(Z27:Z34)</f>
        <v>0</v>
      </c>
      <c r="AA137" s="695">
        <f t="shared" si="33"/>
        <v>0</v>
      </c>
      <c r="AB137" s="482">
        <f>SUM(AB27:AB34)</f>
        <v>154</v>
      </c>
    </row>
    <row r="138" spans="1:30" hidden="1" x14ac:dyDescent="0.25">
      <c r="A138" s="980" t="s">
        <v>137</v>
      </c>
      <c r="B138" s="980"/>
      <c r="C138" s="704">
        <v>3</v>
      </c>
      <c r="D138" s="696"/>
      <c r="E138" s="702"/>
      <c r="F138" s="698"/>
      <c r="G138" s="798"/>
      <c r="H138" s="696"/>
      <c r="I138" s="702"/>
      <c r="J138" s="698"/>
      <c r="K138" s="798"/>
      <c r="L138" s="696"/>
      <c r="M138" s="702"/>
      <c r="N138" s="698"/>
      <c r="O138" s="703"/>
      <c r="Q138" s="694">
        <f>SUM(Q35:Q37)</f>
        <v>94.469999999999985</v>
      </c>
      <c r="R138" s="93">
        <f>SUM(R35:R37)</f>
        <v>0</v>
      </c>
      <c r="S138" s="695" t="e">
        <f t="shared" si="31"/>
        <v>#DIV/0!</v>
      </c>
      <c r="T138" s="775">
        <f>SUM(T35:T37)</f>
        <v>0</v>
      </c>
      <c r="U138" s="694">
        <f>SUM(U35:U37)</f>
        <v>10.379999999999999</v>
      </c>
      <c r="V138" s="93">
        <f>SUM(V35:V37)</f>
        <v>0</v>
      </c>
      <c r="W138" s="695" t="e">
        <f t="shared" si="32"/>
        <v>#DIV/0!</v>
      </c>
      <c r="X138" s="775"/>
      <c r="Y138" s="694">
        <f>SUM(Y35:Y37)</f>
        <v>0</v>
      </c>
      <c r="Z138" s="199">
        <f>SUM(Z35:Z37)</f>
        <v>0</v>
      </c>
      <c r="AA138" s="695">
        <f t="shared" si="33"/>
        <v>0</v>
      </c>
      <c r="AB138" s="482">
        <f>SUM(AB35:AB37)</f>
        <v>128</v>
      </c>
    </row>
    <row r="139" spans="1:30" s="7" customFormat="1" ht="15.75" hidden="1" thickBot="1" x14ac:dyDescent="0.3">
      <c r="B139" s="485"/>
      <c r="D139" s="705">
        <f>SUM(D132:D138)</f>
        <v>1065.6099999999999</v>
      </c>
      <c r="E139" s="706">
        <f>SUM(E132:E138)</f>
        <v>0</v>
      </c>
      <c r="F139" s="707" t="e">
        <f>D139/E139</f>
        <v>#DIV/0!</v>
      </c>
      <c r="G139" s="706"/>
      <c r="H139" s="705">
        <f>SUM(H132:H138)</f>
        <v>795.41000000000008</v>
      </c>
      <c r="I139" s="706">
        <f>SUM(I132:I138)</f>
        <v>0</v>
      </c>
      <c r="J139" s="707" t="e">
        <f>H139/I139</f>
        <v>#DIV/0!</v>
      </c>
      <c r="K139" s="706"/>
      <c r="L139" s="705">
        <f>SUM(L132:L138)</f>
        <v>128.41</v>
      </c>
      <c r="M139" s="706">
        <f>SUM(M132:M138)</f>
        <v>0</v>
      </c>
      <c r="N139" s="707" t="e">
        <f>L139/M139</f>
        <v>#DIV/0!</v>
      </c>
      <c r="O139" s="481">
        <f>SUM(O132:O138)</f>
        <v>1534</v>
      </c>
      <c r="Q139" s="705">
        <f>SUM(Q132:Q138)</f>
        <v>1311.06</v>
      </c>
      <c r="R139" s="706">
        <f>SUM(R132:R138)</f>
        <v>0</v>
      </c>
      <c r="S139" s="707" t="e">
        <f t="shared" si="31"/>
        <v>#DIV/0!</v>
      </c>
      <c r="T139" s="706">
        <f>SUM(T132:T138)</f>
        <v>0</v>
      </c>
      <c r="U139" s="705">
        <f>SUM(U132:U138)</f>
        <v>659.65000000000009</v>
      </c>
      <c r="V139" s="706">
        <f>SUM(V132:V138)</f>
        <v>0</v>
      </c>
      <c r="W139" s="707" t="e">
        <f t="shared" si="32"/>
        <v>#DIV/0!</v>
      </c>
      <c r="X139" s="706"/>
      <c r="Y139" s="705">
        <f>SUM(Y132:Y138)</f>
        <v>0</v>
      </c>
      <c r="Z139" s="818">
        <f>SUM(Z132:Z138)</f>
        <v>0</v>
      </c>
      <c r="AA139" s="707">
        <f t="shared" si="33"/>
        <v>0</v>
      </c>
      <c r="AB139" s="481">
        <f>SUM(AB132:AB138)</f>
        <v>1335</v>
      </c>
    </row>
    <row r="140" spans="1:30" hidden="1" x14ac:dyDescent="0.25"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815"/>
      <c r="AA140" s="7"/>
      <c r="AB140" s="7"/>
      <c r="AC140" s="7"/>
      <c r="AD140" s="7"/>
    </row>
    <row r="141" spans="1:30" s="7" customFormat="1" hidden="1" x14ac:dyDescent="0.25">
      <c r="B141" s="485"/>
      <c r="Z141" s="815"/>
    </row>
    <row r="142" spans="1:30" x14ac:dyDescent="0.25">
      <c r="B142" s="194"/>
      <c r="L142" s="605"/>
      <c r="M142" s="484"/>
      <c r="N142" s="605"/>
      <c r="O142"/>
      <c r="P142" s="484"/>
      <c r="Q142" s="606"/>
      <c r="R142" s="484"/>
      <c r="U142" s="606"/>
      <c r="V142" s="484"/>
      <c r="W142"/>
      <c r="X142"/>
      <c r="AA142" s="604"/>
      <c r="AB142"/>
    </row>
    <row r="143" spans="1:30" x14ac:dyDescent="0.25">
      <c r="H143" s="593"/>
      <c r="L143" s="593"/>
      <c r="M143" s="484"/>
      <c r="N143" s="605"/>
      <c r="O143"/>
      <c r="P143" s="484"/>
      <c r="Q143" s="606"/>
      <c r="R143" s="484"/>
      <c r="U143" s="606"/>
      <c r="V143" s="484"/>
      <c r="W143"/>
      <c r="X143"/>
      <c r="AA143" s="604"/>
      <c r="AB143"/>
    </row>
    <row r="144" spans="1:30" x14ac:dyDescent="0.25">
      <c r="H144" s="593"/>
      <c r="L144" s="593"/>
      <c r="M144" s="484"/>
      <c r="N144" s="605"/>
      <c r="O144"/>
      <c r="P144" s="484"/>
      <c r="Q144" s="606"/>
      <c r="R144" s="484"/>
      <c r="U144" s="606"/>
      <c r="V144" s="484"/>
      <c r="W144"/>
      <c r="X144"/>
      <c r="AA144" s="604"/>
      <c r="AB144"/>
    </row>
    <row r="145" spans="1:28" x14ac:dyDescent="0.25">
      <c r="H145" s="593"/>
      <c r="L145" s="593"/>
      <c r="M145" s="484"/>
      <c r="N145" s="605"/>
      <c r="O145"/>
      <c r="P145" s="484"/>
      <c r="Q145" s="606"/>
      <c r="R145" s="484"/>
      <c r="U145" s="606"/>
      <c r="V145" s="484"/>
      <c r="W145"/>
      <c r="X145"/>
      <c r="AA145" s="604"/>
      <c r="AB145"/>
    </row>
    <row r="146" spans="1:28" x14ac:dyDescent="0.25">
      <c r="A146" s="484"/>
      <c r="B146" s="484"/>
      <c r="C146" s="484"/>
      <c r="E146" s="484"/>
      <c r="M146" s="593"/>
    </row>
    <row r="147" spans="1:28" x14ac:dyDescent="0.25">
      <c r="A147" s="484"/>
      <c r="B147" s="484"/>
      <c r="C147" s="484"/>
      <c r="E147" s="484"/>
      <c r="M147" s="593"/>
    </row>
    <row r="148" spans="1:28" x14ac:dyDescent="0.25">
      <c r="A148" s="484"/>
      <c r="B148" s="484"/>
      <c r="C148" s="484"/>
      <c r="E148" s="484"/>
      <c r="M148" s="593"/>
    </row>
    <row r="149" spans="1:28" x14ac:dyDescent="0.25">
      <c r="A149" s="484"/>
      <c r="B149" s="484"/>
      <c r="C149" s="484"/>
      <c r="E149" s="484"/>
      <c r="M149" s="593"/>
    </row>
    <row r="150" spans="1:28" x14ac:dyDescent="0.25">
      <c r="A150" s="484"/>
      <c r="B150" s="484"/>
      <c r="C150" s="484"/>
      <c r="E150" s="484"/>
    </row>
    <row r="151" spans="1:28" x14ac:dyDescent="0.25">
      <c r="A151" s="484"/>
      <c r="B151" s="484"/>
      <c r="C151" s="484"/>
      <c r="E151" s="484"/>
    </row>
    <row r="152" spans="1:28" x14ac:dyDescent="0.25">
      <c r="A152" s="484"/>
      <c r="B152" s="484"/>
      <c r="C152" s="484"/>
      <c r="E152" s="484"/>
    </row>
    <row r="153" spans="1:28" x14ac:dyDescent="0.25">
      <c r="A153" s="484"/>
      <c r="B153" s="484"/>
      <c r="C153" s="484"/>
      <c r="E153" s="484"/>
    </row>
    <row r="154" spans="1:28" x14ac:dyDescent="0.25">
      <c r="A154" s="484"/>
      <c r="B154" s="484"/>
      <c r="C154" s="484"/>
      <c r="E154" s="484"/>
    </row>
    <row r="155" spans="1:28" x14ac:dyDescent="0.25">
      <c r="A155" s="484"/>
      <c r="B155" s="484"/>
      <c r="C155" s="484"/>
      <c r="E155" s="484"/>
    </row>
    <row r="156" spans="1:28" x14ac:dyDescent="0.25">
      <c r="A156" s="484"/>
      <c r="B156" s="484"/>
      <c r="C156" s="484"/>
      <c r="E156" s="484"/>
    </row>
    <row r="157" spans="1:28" x14ac:dyDescent="0.25">
      <c r="A157" s="484"/>
      <c r="B157" s="484"/>
      <c r="C157" s="484"/>
      <c r="E157" s="484"/>
    </row>
  </sheetData>
  <mergeCells count="29">
    <mergeCell ref="A138:B138"/>
    <mergeCell ref="C117:H117"/>
    <mergeCell ref="I117:N117"/>
    <mergeCell ref="Q117:U117"/>
    <mergeCell ref="A132:B132"/>
    <mergeCell ref="A131:B131"/>
    <mergeCell ref="A133:B133"/>
    <mergeCell ref="A134:B134"/>
    <mergeCell ref="A135:B135"/>
    <mergeCell ref="A136:B136"/>
    <mergeCell ref="A137:B137"/>
    <mergeCell ref="A120:B120"/>
    <mergeCell ref="A119:B119"/>
    <mergeCell ref="A118:B118"/>
    <mergeCell ref="A125:B125"/>
    <mergeCell ref="A124:B124"/>
    <mergeCell ref="D3:O3"/>
    <mergeCell ref="Q3:AB3"/>
    <mergeCell ref="A5:A7"/>
    <mergeCell ref="A8:A13"/>
    <mergeCell ref="A14:A20"/>
    <mergeCell ref="A21:A26"/>
    <mergeCell ref="A27:A34"/>
    <mergeCell ref="A35:A37"/>
    <mergeCell ref="D130:O130"/>
    <mergeCell ref="Q130:AB130"/>
    <mergeCell ref="A123:B123"/>
    <mergeCell ref="A122:B122"/>
    <mergeCell ref="A121:B121"/>
  </mergeCells>
  <conditionalFormatting sqref="G5:G39">
    <cfRule type="cellIs" dxfId="34" priority="5" operator="greaterThan">
      <formula>14</formula>
    </cfRule>
  </conditionalFormatting>
  <conditionalFormatting sqref="K1:K1048576">
    <cfRule type="cellIs" priority="3" operator="equal">
      <formula>0</formula>
    </cfRule>
  </conditionalFormatting>
  <conditionalFormatting sqref="K5:K39">
    <cfRule type="cellIs" dxfId="33" priority="4" operator="greaterThan">
      <formula>14</formula>
    </cfRule>
  </conditionalFormatting>
  <conditionalFormatting sqref="T5:T39">
    <cfRule type="cellIs" dxfId="32" priority="6" operator="greaterThan">
      <formula>14</formula>
    </cfRule>
  </conditionalFormatting>
  <conditionalFormatting sqref="U5:W39">
    <cfRule type="cellIs" dxfId="31" priority="9" operator="equal">
      <formula>0</formula>
    </cfRule>
  </conditionalFormatting>
  <conditionalFormatting sqref="X4:X39">
    <cfRule type="cellIs" priority="1" operator="equal">
      <formula>0</formula>
    </cfRule>
  </conditionalFormatting>
  <conditionalFormatting sqref="X5:X39">
    <cfRule type="cellIs" dxfId="30" priority="2" operator="greaterThan">
      <formula>14</formula>
    </cfRule>
  </conditionalFormatting>
  <pageMargins left="0.25" right="0.25" top="0.75" bottom="0.75" header="0.3" footer="0.3"/>
  <pageSetup paperSize="9" scale="53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3ECE-F81F-4BF1-82F8-C5A2F4962E4C}">
  <sheetPr>
    <tabColor rgb="FF00B050"/>
  </sheetPr>
  <dimension ref="A1:BH111"/>
  <sheetViews>
    <sheetView view="pageBreakPreview" topLeftCell="AB47" zoomScale="60" zoomScaleNormal="60" workbookViewId="0">
      <selection activeCell="P81" sqref="P81"/>
    </sheetView>
  </sheetViews>
  <sheetFormatPr defaultColWidth="8.85546875" defaultRowHeight="21" x14ac:dyDescent="0.35"/>
  <cols>
    <col min="1" max="1" width="21" style="102" customWidth="1"/>
    <col min="2" max="2" width="8.85546875" style="102" customWidth="1"/>
    <col min="3" max="3" width="8.85546875" style="103" customWidth="1"/>
    <col min="4" max="4" width="12.42578125" style="103" customWidth="1"/>
    <col min="5" max="35" width="9.140625" style="103" customWidth="1"/>
    <col min="36" max="36" width="22" style="103" customWidth="1"/>
    <col min="37" max="38" width="14.85546875" style="102" customWidth="1"/>
    <col min="39" max="41" width="14.85546875" style="755" customWidth="1"/>
    <col min="42" max="42" width="14.85546875" style="102" customWidth="1"/>
    <col min="43" max="44" width="15.42578125" style="102" customWidth="1"/>
    <col min="45" max="47" width="14.85546875" style="755" customWidth="1"/>
    <col min="48" max="48" width="14.85546875" style="102" customWidth="1"/>
    <col min="49" max="50" width="13.7109375" style="102" customWidth="1"/>
    <col min="51" max="53" width="14.85546875" style="755" customWidth="1"/>
    <col min="54" max="54" width="14.85546875" style="102" customWidth="1"/>
    <col min="55" max="56" width="11.140625" style="102" customWidth="1"/>
    <col min="57" max="57" width="19.7109375" style="102" customWidth="1"/>
    <col min="58" max="58" width="22.5703125" style="102" customWidth="1"/>
    <col min="59" max="59" width="8.85546875" style="103" customWidth="1"/>
    <col min="60" max="60" width="11.28515625" style="102" customWidth="1"/>
    <col min="61" max="61" width="8.85546875" style="102"/>
    <col min="62" max="62" width="12" style="102" bestFit="1" customWidth="1"/>
    <col min="63" max="63" width="10.5703125" style="102" bestFit="1" customWidth="1"/>
    <col min="64" max="16384" width="8.85546875" style="102"/>
  </cols>
  <sheetData>
    <row r="1" spans="1:60" x14ac:dyDescent="0.35">
      <c r="A1" s="160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01"/>
      <c r="BE1" s="101"/>
      <c r="BF1" s="101"/>
      <c r="BG1" s="102"/>
    </row>
    <row r="2" spans="1:60" ht="26.25" x14ac:dyDescent="0.4">
      <c r="Q2" s="103" t="s">
        <v>76</v>
      </c>
      <c r="AQ2" s="161" t="s">
        <v>81</v>
      </c>
      <c r="AR2" s="161"/>
      <c r="AS2" s="161"/>
      <c r="AT2" s="161"/>
      <c r="AU2" s="161"/>
      <c r="AV2" s="161"/>
      <c r="AW2" s="161"/>
      <c r="AX2" s="104"/>
      <c r="AY2" s="104"/>
      <c r="AZ2" s="104"/>
      <c r="BA2" s="104"/>
      <c r="BB2" s="104"/>
      <c r="BC2" s="105" t="s">
        <v>154</v>
      </c>
      <c r="BD2" s="105"/>
    </row>
    <row r="3" spans="1:60" ht="83.25" customHeight="1" x14ac:dyDescent="0.35">
      <c r="A3" s="1014" t="s">
        <v>83</v>
      </c>
      <c r="B3" s="1014" t="s">
        <v>84</v>
      </c>
      <c r="C3" s="106" t="s">
        <v>85</v>
      </c>
      <c r="D3" s="106" t="s">
        <v>20</v>
      </c>
      <c r="E3" s="107">
        <v>1</v>
      </c>
      <c r="F3" s="108">
        <v>2</v>
      </c>
      <c r="G3" s="108">
        <v>3</v>
      </c>
      <c r="H3" s="108">
        <v>4</v>
      </c>
      <c r="I3" s="108">
        <v>5</v>
      </c>
      <c r="J3" s="108">
        <v>6</v>
      </c>
      <c r="K3" s="108">
        <v>7</v>
      </c>
      <c r="L3" s="108">
        <v>8</v>
      </c>
      <c r="M3" s="108">
        <v>9</v>
      </c>
      <c r="N3" s="108">
        <v>10</v>
      </c>
      <c r="O3" s="108">
        <v>11</v>
      </c>
      <c r="P3" s="108">
        <v>12</v>
      </c>
      <c r="Q3" s="108">
        <v>13</v>
      </c>
      <c r="R3" s="108">
        <v>14</v>
      </c>
      <c r="S3" s="108">
        <v>15</v>
      </c>
      <c r="T3" s="108">
        <v>16</v>
      </c>
      <c r="U3" s="108">
        <v>17</v>
      </c>
      <c r="V3" s="108">
        <v>18</v>
      </c>
      <c r="W3" s="108">
        <v>19</v>
      </c>
      <c r="X3" s="108">
        <v>20</v>
      </c>
      <c r="Y3" s="108">
        <v>21</v>
      </c>
      <c r="Z3" s="108">
        <v>22</v>
      </c>
      <c r="AA3" s="108">
        <v>23</v>
      </c>
      <c r="AB3" s="108">
        <v>24</v>
      </c>
      <c r="AC3" s="108">
        <v>25</v>
      </c>
      <c r="AD3" s="108">
        <v>26</v>
      </c>
      <c r="AE3" s="108">
        <v>27</v>
      </c>
      <c r="AF3" s="108">
        <v>28</v>
      </c>
      <c r="AG3" s="108">
        <v>29</v>
      </c>
      <c r="AH3" s="108">
        <v>30</v>
      </c>
      <c r="AI3" s="108">
        <v>31</v>
      </c>
      <c r="AJ3" s="145" t="s">
        <v>86</v>
      </c>
      <c r="AK3" s="162" t="s">
        <v>87</v>
      </c>
      <c r="AL3" s="163"/>
      <c r="AM3" s="756"/>
      <c r="AN3" s="756"/>
      <c r="AO3" s="756"/>
      <c r="AP3" s="756"/>
      <c r="AQ3" s="164" t="s">
        <v>88</v>
      </c>
      <c r="AR3" s="165"/>
      <c r="AS3" s="776"/>
      <c r="AT3" s="776"/>
      <c r="AU3" s="776"/>
      <c r="AV3" s="776"/>
      <c r="AW3" s="166" t="s">
        <v>89</v>
      </c>
      <c r="AX3" s="167"/>
      <c r="AY3" s="777"/>
      <c r="AZ3" s="777"/>
      <c r="BA3" s="777"/>
      <c r="BB3" s="777"/>
      <c r="BC3" s="168" t="s">
        <v>90</v>
      </c>
      <c r="BD3" s="169"/>
      <c r="BE3" s="1012" t="s">
        <v>91</v>
      </c>
      <c r="BF3" s="1013"/>
      <c r="BG3" s="109" t="s">
        <v>85</v>
      </c>
    </row>
    <row r="4" spans="1:60" x14ac:dyDescent="0.35">
      <c r="A4" s="1015"/>
      <c r="B4" s="1015"/>
      <c r="C4" s="110" t="s">
        <v>92</v>
      </c>
      <c r="D4" s="110"/>
      <c r="E4" s="1016"/>
      <c r="F4" s="1016"/>
      <c r="G4" s="1016"/>
      <c r="H4" s="1016"/>
      <c r="I4" s="1016"/>
      <c r="J4" s="1016"/>
      <c r="K4" s="1016"/>
      <c r="L4" s="1016"/>
      <c r="M4" s="1016"/>
      <c r="N4" s="1016"/>
      <c r="O4" s="1016"/>
      <c r="P4" s="1016"/>
      <c r="Q4" s="1016"/>
      <c r="R4" s="1016"/>
      <c r="S4" s="1016"/>
      <c r="T4" s="1016"/>
      <c r="U4" s="1016"/>
      <c r="V4" s="1016"/>
      <c r="W4" s="1016"/>
      <c r="X4" s="1016"/>
      <c r="Y4" s="1016"/>
      <c r="Z4" s="1016"/>
      <c r="AA4" s="1016"/>
      <c r="AB4" s="1016"/>
      <c r="AC4" s="1016"/>
      <c r="AD4" s="1016"/>
      <c r="AE4" s="1016"/>
      <c r="AF4" s="1016"/>
      <c r="AG4" s="1016"/>
      <c r="AH4" s="111"/>
      <c r="AI4" s="111"/>
      <c r="AJ4" s="146"/>
      <c r="AK4" s="112" t="s">
        <v>93</v>
      </c>
      <c r="AL4" s="112" t="s">
        <v>94</v>
      </c>
      <c r="AM4" s="758" t="s">
        <v>229</v>
      </c>
      <c r="AN4" s="758" t="s">
        <v>230</v>
      </c>
      <c r="AO4" s="758" t="s">
        <v>231</v>
      </c>
      <c r="AP4" s="112" t="s">
        <v>232</v>
      </c>
      <c r="AQ4" s="113" t="s">
        <v>93</v>
      </c>
      <c r="AR4" s="113" t="s">
        <v>94</v>
      </c>
      <c r="AS4" s="767" t="s">
        <v>229</v>
      </c>
      <c r="AT4" s="767" t="s">
        <v>230</v>
      </c>
      <c r="AU4" s="767" t="s">
        <v>231</v>
      </c>
      <c r="AV4" s="113" t="s">
        <v>232</v>
      </c>
      <c r="AW4" s="114" t="s">
        <v>93</v>
      </c>
      <c r="AX4" s="114" t="s">
        <v>94</v>
      </c>
      <c r="AY4" s="778" t="s">
        <v>229</v>
      </c>
      <c r="AZ4" s="778" t="s">
        <v>230</v>
      </c>
      <c r="BA4" s="778" t="s">
        <v>231</v>
      </c>
      <c r="BB4" s="114" t="s">
        <v>232</v>
      </c>
      <c r="BC4" s="115" t="s">
        <v>93</v>
      </c>
      <c r="BD4" s="115" t="s">
        <v>94</v>
      </c>
      <c r="BE4" s="116" t="s">
        <v>93</v>
      </c>
      <c r="BF4" s="117" t="s">
        <v>94</v>
      </c>
      <c r="BG4" s="110" t="s">
        <v>92</v>
      </c>
    </row>
    <row r="5" spans="1:60" ht="24" customHeight="1" x14ac:dyDescent="0.35">
      <c r="A5" s="1017" t="s">
        <v>63</v>
      </c>
      <c r="B5" s="1018">
        <v>2010</v>
      </c>
      <c r="C5" s="1014">
        <v>3</v>
      </c>
      <c r="D5" s="106">
        <v>69.2</v>
      </c>
      <c r="E5" s="112">
        <v>1</v>
      </c>
      <c r="F5" s="112">
        <v>2</v>
      </c>
      <c r="G5" s="588">
        <v>3</v>
      </c>
      <c r="H5" s="112">
        <v>4</v>
      </c>
      <c r="I5" s="112">
        <v>5</v>
      </c>
      <c r="J5" s="112">
        <v>6</v>
      </c>
      <c r="K5" s="112">
        <v>7</v>
      </c>
      <c r="L5" s="112">
        <v>8</v>
      </c>
      <c r="M5" s="588">
        <v>9</v>
      </c>
      <c r="N5" s="588">
        <v>10</v>
      </c>
      <c r="O5" s="588">
        <v>11</v>
      </c>
      <c r="P5" s="588">
        <v>12</v>
      </c>
      <c r="Q5" s="588">
        <v>13</v>
      </c>
      <c r="R5" s="588">
        <v>14</v>
      </c>
      <c r="S5" s="588">
        <v>15</v>
      </c>
      <c r="T5" s="588">
        <v>16</v>
      </c>
      <c r="U5" s="588">
        <v>17</v>
      </c>
      <c r="V5" s="588">
        <v>18</v>
      </c>
      <c r="W5" s="588">
        <v>19</v>
      </c>
      <c r="X5" s="113">
        <v>1</v>
      </c>
      <c r="Y5" s="113">
        <v>2</v>
      </c>
      <c r="Z5" s="113">
        <v>3</v>
      </c>
      <c r="AA5" s="113">
        <v>4</v>
      </c>
      <c r="AB5" s="113">
        <v>5</v>
      </c>
      <c r="AC5" s="588">
        <v>6</v>
      </c>
      <c r="AD5" s="588">
        <v>7</v>
      </c>
      <c r="AE5" s="588">
        <v>8</v>
      </c>
      <c r="AF5" s="588">
        <v>9</v>
      </c>
      <c r="AG5" s="588">
        <v>10</v>
      </c>
      <c r="AH5" s="588">
        <v>11</v>
      </c>
      <c r="AI5" s="588">
        <v>12</v>
      </c>
      <c r="AJ5" s="155">
        <f>SUM(D6:AI6)</f>
        <v>108</v>
      </c>
      <c r="AK5" s="1029">
        <f>5.31+12.83+6.99+4.8+15.31+13.79+12.16+13.36+13.17+13.33</f>
        <v>111.05</v>
      </c>
      <c r="AL5" s="147"/>
      <c r="AM5" s="779"/>
      <c r="AN5" s="779"/>
      <c r="AO5" s="779" t="str">
        <f>IF(COUNT(AM5,AN5)&lt;2, "0", AN5 - AM5 + 1)</f>
        <v>0</v>
      </c>
      <c r="AP5" s="780">
        <f>IFERROR((AK5+AL5)/AO5,0)</f>
        <v>0</v>
      </c>
      <c r="AQ5" s="1031">
        <f>10.16+14.46+16.01</f>
        <v>40.630000000000003</v>
      </c>
      <c r="AR5" s="1031"/>
      <c r="AS5" s="781"/>
      <c r="AT5" s="781"/>
      <c r="AU5" s="781" t="str">
        <f>IF(COUNT(AS5,AT5)&lt;2, "0", AT5 - AS5 )</f>
        <v>0</v>
      </c>
      <c r="AV5" s="782">
        <f>IFERROR((AQ5+AR5)/AU5,0)</f>
        <v>0</v>
      </c>
      <c r="AW5" s="1035"/>
      <c r="AX5" s="142"/>
      <c r="AY5" s="783"/>
      <c r="AZ5" s="783"/>
      <c r="BA5" s="783" t="str">
        <f>IF(COUNT(AY5,AZ5)&lt;2, "0", AZ5 - AY5 )</f>
        <v>0</v>
      </c>
      <c r="BB5" s="784">
        <f>IFERROR((AW5+AX5)/BA5,0)</f>
        <v>0</v>
      </c>
      <c r="BC5" s="144"/>
      <c r="BD5" s="144"/>
      <c r="BE5" s="995">
        <f>AK5+AQ5+AW5+BC5</f>
        <v>151.68</v>
      </c>
      <c r="BF5" s="995">
        <f>AL5+AR5+AX5+BD5</f>
        <v>0</v>
      </c>
      <c r="BG5" s="1010">
        <v>3</v>
      </c>
      <c r="BH5" s="119"/>
    </row>
    <row r="6" spans="1:60" ht="24" customHeight="1" x14ac:dyDescent="0.35">
      <c r="A6" s="1017"/>
      <c r="B6" s="1018"/>
      <c r="C6" s="1015"/>
      <c r="D6" s="110"/>
      <c r="E6" s="589">
        <v>9</v>
      </c>
      <c r="F6" s="589">
        <v>8</v>
      </c>
      <c r="G6" s="589"/>
      <c r="H6" s="589">
        <v>10</v>
      </c>
      <c r="I6" s="589">
        <v>9</v>
      </c>
      <c r="J6" s="589">
        <v>9</v>
      </c>
      <c r="K6" s="589">
        <v>8</v>
      </c>
      <c r="L6" s="589">
        <v>10</v>
      </c>
      <c r="M6" s="589"/>
      <c r="N6" s="589"/>
      <c r="O6" s="589"/>
      <c r="P6" s="589"/>
      <c r="Q6" s="589"/>
      <c r="R6" s="589"/>
      <c r="S6" s="589"/>
      <c r="T6" s="589"/>
      <c r="U6" s="589"/>
      <c r="V6" s="589"/>
      <c r="W6" s="589"/>
      <c r="X6" s="589">
        <v>10</v>
      </c>
      <c r="Y6" s="589">
        <v>10</v>
      </c>
      <c r="Z6" s="589">
        <v>10</v>
      </c>
      <c r="AA6" s="589">
        <v>10</v>
      </c>
      <c r="AB6" s="589">
        <v>5</v>
      </c>
      <c r="AC6" s="589"/>
      <c r="AD6" s="589"/>
      <c r="AE6" s="589"/>
      <c r="AF6" s="589"/>
      <c r="AG6" s="589"/>
      <c r="AH6" s="589"/>
      <c r="AI6" s="589"/>
      <c r="AJ6" s="156"/>
      <c r="AK6" s="1030"/>
      <c r="AL6" s="148"/>
      <c r="AM6" s="779"/>
      <c r="AN6" s="779"/>
      <c r="AO6" s="779"/>
      <c r="AP6" s="780"/>
      <c r="AQ6" s="1032"/>
      <c r="AR6" s="1032"/>
      <c r="AS6" s="781"/>
      <c r="AT6" s="781"/>
      <c r="AU6" s="781"/>
      <c r="AV6" s="782"/>
      <c r="AW6" s="1036"/>
      <c r="AX6" s="143"/>
      <c r="AY6" s="783"/>
      <c r="AZ6" s="783"/>
      <c r="BA6" s="783"/>
      <c r="BB6" s="784"/>
      <c r="BC6" s="122"/>
      <c r="BD6" s="122"/>
      <c r="BE6" s="1003"/>
      <c r="BF6" s="1003"/>
      <c r="BG6" s="1011"/>
      <c r="BH6" s="119"/>
    </row>
    <row r="7" spans="1:60" ht="24" customHeight="1" x14ac:dyDescent="0.35">
      <c r="A7" s="1017"/>
      <c r="B7" s="1014">
        <v>2010</v>
      </c>
      <c r="C7" s="1014">
        <v>1</v>
      </c>
      <c r="D7" s="106">
        <v>53.2</v>
      </c>
      <c r="E7" s="588">
        <v>8</v>
      </c>
      <c r="F7" s="588">
        <v>9</v>
      </c>
      <c r="G7" s="588">
        <v>10</v>
      </c>
      <c r="H7" s="588">
        <v>11</v>
      </c>
      <c r="I7" s="588">
        <v>12</v>
      </c>
      <c r="J7" s="588">
        <v>13</v>
      </c>
      <c r="K7" s="588">
        <v>14</v>
      </c>
      <c r="L7" s="588">
        <v>15</v>
      </c>
      <c r="M7" s="588">
        <v>16</v>
      </c>
      <c r="N7" s="588">
        <v>17</v>
      </c>
      <c r="O7" s="588">
        <v>18</v>
      </c>
      <c r="P7" s="588">
        <v>19</v>
      </c>
      <c r="Q7" s="112">
        <v>1</v>
      </c>
      <c r="R7" s="588">
        <v>2</v>
      </c>
      <c r="S7" s="112">
        <v>3</v>
      </c>
      <c r="T7" s="112">
        <v>4</v>
      </c>
      <c r="U7" s="112">
        <v>5</v>
      </c>
      <c r="V7" s="112">
        <v>6</v>
      </c>
      <c r="W7" s="112">
        <v>7</v>
      </c>
      <c r="X7" s="588">
        <v>8</v>
      </c>
      <c r="Y7" s="588">
        <v>9</v>
      </c>
      <c r="Z7" s="588">
        <v>10</v>
      </c>
      <c r="AA7" s="588">
        <v>11</v>
      </c>
      <c r="AB7" s="588">
        <v>12</v>
      </c>
      <c r="AC7" s="588">
        <v>13</v>
      </c>
      <c r="AD7" s="588">
        <v>14</v>
      </c>
      <c r="AE7" s="588">
        <v>15</v>
      </c>
      <c r="AF7" s="588">
        <v>16</v>
      </c>
      <c r="AG7" s="113">
        <v>1</v>
      </c>
      <c r="AH7" s="113">
        <v>2</v>
      </c>
      <c r="AI7" s="588">
        <v>3</v>
      </c>
      <c r="AJ7" s="155">
        <f>SUM(D8:AI8)</f>
        <v>80</v>
      </c>
      <c r="AK7" s="1029">
        <f>14.8+13.78+12.61+7.06+4.93+4.83+7.92</f>
        <v>65.929999999999993</v>
      </c>
      <c r="AL7" s="780"/>
      <c r="AM7" s="785"/>
      <c r="AN7" s="785"/>
      <c r="AO7" s="779" t="str">
        <f>IF(COUNT(AM7,AN7)&lt;2, "0", AN7 - AM7 + 1)</f>
        <v>0</v>
      </c>
      <c r="AP7" s="780">
        <f>IFERROR((AK7+AL7)/AO7,0)</f>
        <v>0</v>
      </c>
      <c r="AQ7" s="1031">
        <f>4.91+8.29+2.94</f>
        <v>16.14</v>
      </c>
      <c r="AR7" s="1031"/>
      <c r="AS7" s="766"/>
      <c r="AT7" s="766"/>
      <c r="AU7" s="781" t="str">
        <f>IF(COUNT(AS7,AT7)&lt;2, "0", AT7 - AS7 )</f>
        <v>0</v>
      </c>
      <c r="AV7" s="782">
        <f>IFERROR((AQ7+AR7)/AU7,0)</f>
        <v>0</v>
      </c>
      <c r="AW7" s="1035"/>
      <c r="AX7" s="142"/>
      <c r="AY7" s="786"/>
      <c r="AZ7" s="786"/>
      <c r="BA7" s="783" t="str">
        <f>IF(COUNT(AY7,AZ7)&lt;2, "0", AZ7 - AY7 )</f>
        <v>0</v>
      </c>
      <c r="BB7" s="784">
        <f>IFERROR((AW7+AX7)/BA7,0)</f>
        <v>0</v>
      </c>
      <c r="BC7" s="144"/>
      <c r="BD7" s="144"/>
      <c r="BE7" s="995">
        <f>AK7+AQ7+AW7+BC7</f>
        <v>82.07</v>
      </c>
      <c r="BF7" s="995">
        <f>AL7+AR7+AX7+BD7</f>
        <v>0</v>
      </c>
      <c r="BG7" s="1010">
        <v>1</v>
      </c>
      <c r="BH7" s="119"/>
    </row>
    <row r="8" spans="1:60" ht="24" customHeight="1" x14ac:dyDescent="0.35">
      <c r="A8" s="1017"/>
      <c r="B8" s="1015"/>
      <c r="C8" s="1015"/>
      <c r="D8" s="110"/>
      <c r="E8" s="589"/>
      <c r="F8" s="589"/>
      <c r="G8" s="589"/>
      <c r="H8" s="589"/>
      <c r="I8" s="589"/>
      <c r="J8" s="589"/>
      <c r="K8" s="589"/>
      <c r="L8" s="589"/>
      <c r="M8" s="589"/>
      <c r="N8" s="589"/>
      <c r="O8" s="589"/>
      <c r="P8" s="589"/>
      <c r="Q8" s="589">
        <v>10</v>
      </c>
      <c r="R8" s="589"/>
      <c r="S8" s="589">
        <v>10</v>
      </c>
      <c r="T8" s="589">
        <v>10</v>
      </c>
      <c r="U8" s="589">
        <v>10</v>
      </c>
      <c r="V8" s="589">
        <v>10</v>
      </c>
      <c r="W8" s="589">
        <v>10</v>
      </c>
      <c r="X8" s="589"/>
      <c r="Y8" s="589"/>
      <c r="Z8" s="589"/>
      <c r="AA8" s="589"/>
      <c r="AB8" s="589"/>
      <c r="AC8" s="589"/>
      <c r="AD8" s="589"/>
      <c r="AE8" s="589"/>
      <c r="AF8" s="589"/>
      <c r="AG8" s="589">
        <v>10</v>
      </c>
      <c r="AH8" s="589">
        <v>10</v>
      </c>
      <c r="AI8" s="589"/>
      <c r="AJ8" s="156"/>
      <c r="AK8" s="1030"/>
      <c r="AL8" s="780"/>
      <c r="AM8" s="787"/>
      <c r="AN8" s="787"/>
      <c r="AO8" s="779"/>
      <c r="AP8" s="780"/>
      <c r="AQ8" s="1032"/>
      <c r="AR8" s="1032"/>
      <c r="AS8" s="768"/>
      <c r="AT8" s="768"/>
      <c r="AU8" s="781"/>
      <c r="AV8" s="782"/>
      <c r="AW8" s="1036"/>
      <c r="AX8" s="143"/>
      <c r="AY8" s="788"/>
      <c r="AZ8" s="788"/>
      <c r="BA8" s="783"/>
      <c r="BB8" s="784"/>
      <c r="BC8" s="122"/>
      <c r="BD8" s="122"/>
      <c r="BE8" s="1003"/>
      <c r="BF8" s="1003"/>
      <c r="BG8" s="1011"/>
      <c r="BH8" s="119"/>
    </row>
    <row r="9" spans="1:60" ht="24" customHeight="1" x14ac:dyDescent="0.35">
      <c r="A9" s="1017"/>
      <c r="B9" s="1018">
        <v>2011</v>
      </c>
      <c r="C9" s="1014">
        <v>14</v>
      </c>
      <c r="D9" s="106">
        <v>41.6</v>
      </c>
      <c r="E9" s="588">
        <v>17</v>
      </c>
      <c r="F9" s="588">
        <v>18</v>
      </c>
      <c r="G9" s="588">
        <v>19</v>
      </c>
      <c r="H9" s="588">
        <v>20</v>
      </c>
      <c r="I9" s="588">
        <v>21</v>
      </c>
      <c r="J9" s="588">
        <v>22</v>
      </c>
      <c r="K9" s="588">
        <v>23</v>
      </c>
      <c r="L9" s="588">
        <v>24</v>
      </c>
      <c r="M9" s="112">
        <v>1</v>
      </c>
      <c r="N9" s="112">
        <v>2</v>
      </c>
      <c r="O9" s="112">
        <v>3</v>
      </c>
      <c r="P9" s="112">
        <v>4</v>
      </c>
      <c r="Q9" s="588">
        <v>5</v>
      </c>
      <c r="R9" s="588">
        <v>6</v>
      </c>
      <c r="S9" s="588">
        <v>7</v>
      </c>
      <c r="T9" s="588">
        <v>8</v>
      </c>
      <c r="U9" s="588">
        <v>9</v>
      </c>
      <c r="V9" s="588">
        <v>10</v>
      </c>
      <c r="W9" s="588">
        <v>11</v>
      </c>
      <c r="X9" s="588">
        <v>12</v>
      </c>
      <c r="Y9" s="588">
        <v>13</v>
      </c>
      <c r="Z9" s="588">
        <v>14</v>
      </c>
      <c r="AA9" s="588">
        <v>15</v>
      </c>
      <c r="AB9" s="113">
        <v>1</v>
      </c>
      <c r="AC9" s="588">
        <v>2</v>
      </c>
      <c r="AD9" s="588">
        <v>3</v>
      </c>
      <c r="AE9" s="113">
        <v>4</v>
      </c>
      <c r="AF9" s="113">
        <v>5</v>
      </c>
      <c r="AG9" s="588">
        <v>6</v>
      </c>
      <c r="AH9" s="588">
        <v>7</v>
      </c>
      <c r="AI9" s="588">
        <v>8</v>
      </c>
      <c r="AJ9" s="155">
        <f>SUM(D10:AI10)</f>
        <v>64</v>
      </c>
      <c r="AK9" s="1029">
        <f>9.42+13.81+19.73+16.8</f>
        <v>59.760000000000005</v>
      </c>
      <c r="AL9" s="789"/>
      <c r="AM9" s="790"/>
      <c r="AN9" s="790"/>
      <c r="AO9" s="779" t="str">
        <f>IF(COUNT(AM9,AN9)&lt;2, "0", AN9 - AM9 + 1)</f>
        <v>0</v>
      </c>
      <c r="AP9" s="780">
        <f>IFERROR((AK9+AL9)/AO9,0)</f>
        <v>0</v>
      </c>
      <c r="AQ9" s="1031">
        <f>4.48+9.32+16.37+3.98</f>
        <v>34.15</v>
      </c>
      <c r="AR9" s="1031"/>
      <c r="AS9" s="791"/>
      <c r="AT9" s="791"/>
      <c r="AU9" s="781" t="str">
        <f>IF(COUNT(AS9,AT9)&lt;2, "0", AT9 - AS9 )</f>
        <v>0</v>
      </c>
      <c r="AV9" s="782">
        <f>IFERROR((AQ9+AR9)/AU9,0)</f>
        <v>0</v>
      </c>
      <c r="AW9" s="1035"/>
      <c r="AX9" s="142"/>
      <c r="AY9" s="792"/>
      <c r="AZ9" s="792"/>
      <c r="BA9" s="783" t="str">
        <f>IF(COUNT(AY9,AZ9)&lt;2, "0", AZ9 - AY9 )</f>
        <v>0</v>
      </c>
      <c r="BB9" s="784">
        <f>IFERROR((AW9+AX9)/BA9,0)</f>
        <v>0</v>
      </c>
      <c r="BC9" s="144"/>
      <c r="BD9" s="144"/>
      <c r="BE9" s="995">
        <f>AK9+AQ9+AW9+BC9</f>
        <v>93.91</v>
      </c>
      <c r="BF9" s="995">
        <f>AL9+AR9+AX9+BD9</f>
        <v>0</v>
      </c>
      <c r="BG9" s="1010">
        <v>14</v>
      </c>
      <c r="BH9" s="119"/>
    </row>
    <row r="10" spans="1:60" ht="24" customHeight="1" x14ac:dyDescent="0.35">
      <c r="A10" s="1017"/>
      <c r="B10" s="1018"/>
      <c r="C10" s="1015"/>
      <c r="D10" s="110"/>
      <c r="E10" s="589"/>
      <c r="F10" s="589"/>
      <c r="G10" s="589"/>
      <c r="H10" s="589"/>
      <c r="I10" s="589"/>
      <c r="J10" s="589"/>
      <c r="K10" s="589"/>
      <c r="L10" s="589"/>
      <c r="M10" s="589">
        <v>9</v>
      </c>
      <c r="N10" s="589">
        <v>10</v>
      </c>
      <c r="O10" s="589">
        <v>10</v>
      </c>
      <c r="P10" s="589">
        <v>10</v>
      </c>
      <c r="Q10" s="589"/>
      <c r="R10" s="589"/>
      <c r="S10" s="589"/>
      <c r="T10" s="589"/>
      <c r="U10" s="589"/>
      <c r="V10" s="589"/>
      <c r="W10" s="589"/>
      <c r="X10" s="589"/>
      <c r="Y10" s="589"/>
      <c r="Z10" s="589"/>
      <c r="AA10" s="589"/>
      <c r="AB10" s="589">
        <v>5</v>
      </c>
      <c r="AC10" s="589"/>
      <c r="AD10" s="589"/>
      <c r="AE10" s="589">
        <v>10</v>
      </c>
      <c r="AF10" s="589">
        <v>10</v>
      </c>
      <c r="AG10" s="589"/>
      <c r="AH10" s="589"/>
      <c r="AI10" s="589"/>
      <c r="AJ10" s="156"/>
      <c r="AK10" s="1030"/>
      <c r="AL10" s="148"/>
      <c r="AM10" s="787"/>
      <c r="AN10" s="787"/>
      <c r="AO10" s="779"/>
      <c r="AP10" s="780"/>
      <c r="AQ10" s="1032"/>
      <c r="AR10" s="1032"/>
      <c r="AS10" s="768"/>
      <c r="AT10" s="768"/>
      <c r="AU10" s="781"/>
      <c r="AV10" s="782"/>
      <c r="AW10" s="1036"/>
      <c r="AX10" s="143"/>
      <c r="AY10" s="788"/>
      <c r="AZ10" s="788"/>
      <c r="BA10" s="783"/>
      <c r="BB10" s="784"/>
      <c r="BC10" s="122"/>
      <c r="BD10" s="122"/>
      <c r="BE10" s="1003"/>
      <c r="BF10" s="1003"/>
      <c r="BG10" s="1011"/>
      <c r="BH10" s="120"/>
    </row>
    <row r="11" spans="1:60" ht="24" customHeight="1" x14ac:dyDescent="0.35">
      <c r="A11" s="1019" t="s">
        <v>95</v>
      </c>
      <c r="B11" s="1014">
        <v>2010</v>
      </c>
      <c r="C11" s="1014">
        <v>4</v>
      </c>
      <c r="D11" s="106">
        <v>70.599999999999994</v>
      </c>
      <c r="E11" s="588">
        <v>7</v>
      </c>
      <c r="F11" s="588">
        <v>8</v>
      </c>
      <c r="G11" s="588">
        <v>9</v>
      </c>
      <c r="H11" s="588">
        <v>10</v>
      </c>
      <c r="I11" s="588">
        <v>11</v>
      </c>
      <c r="J11" s="588">
        <v>12</v>
      </c>
      <c r="K11" s="588">
        <v>13</v>
      </c>
      <c r="L11" s="588">
        <v>14</v>
      </c>
      <c r="M11" s="588">
        <v>15</v>
      </c>
      <c r="N11" s="588">
        <v>16</v>
      </c>
      <c r="O11" s="112">
        <v>1</v>
      </c>
      <c r="P11" s="112">
        <v>2</v>
      </c>
      <c r="Q11" s="112">
        <v>3</v>
      </c>
      <c r="R11" s="588">
        <v>4</v>
      </c>
      <c r="S11" s="112">
        <v>5</v>
      </c>
      <c r="T11" s="112">
        <v>6</v>
      </c>
      <c r="U11" s="112">
        <v>7</v>
      </c>
      <c r="V11" s="588">
        <v>8</v>
      </c>
      <c r="W11" s="588">
        <v>9</v>
      </c>
      <c r="X11" s="588">
        <v>10</v>
      </c>
      <c r="Y11" s="588">
        <v>11</v>
      </c>
      <c r="Z11" s="588">
        <v>12</v>
      </c>
      <c r="AA11" s="588">
        <v>13</v>
      </c>
      <c r="AB11" s="588">
        <v>14</v>
      </c>
      <c r="AC11" s="588">
        <v>15</v>
      </c>
      <c r="AD11" s="588">
        <v>16</v>
      </c>
      <c r="AE11" s="588">
        <v>17</v>
      </c>
      <c r="AF11" s="588">
        <v>18</v>
      </c>
      <c r="AG11" s="588">
        <v>19</v>
      </c>
      <c r="AH11" s="588">
        <v>20</v>
      </c>
      <c r="AI11" s="113">
        <v>1</v>
      </c>
      <c r="AJ11" s="155">
        <f>SUM(D12:AI12)</f>
        <v>70</v>
      </c>
      <c r="AK11" s="1029">
        <f>14.78+12.09+4.37+4.45+16.8+18.04</f>
        <v>70.53</v>
      </c>
      <c r="AL11" s="599"/>
      <c r="AM11" s="790"/>
      <c r="AN11" s="790"/>
      <c r="AO11" s="779" t="str">
        <f>IF(COUNT(AM11,AN11)&lt;2, "0", AN11 - AM11 + 1)</f>
        <v>0</v>
      </c>
      <c r="AP11" s="780">
        <f>IFERROR((AK11+AL11)/AO11,0)</f>
        <v>0</v>
      </c>
      <c r="AQ11" s="1031"/>
      <c r="AR11" s="1031"/>
      <c r="AS11" s="791"/>
      <c r="AT11" s="791"/>
      <c r="AU11" s="781" t="str">
        <f>IF(COUNT(AS11,AT11)&lt;2, "0", AT11 - AS11 )</f>
        <v>0</v>
      </c>
      <c r="AV11" s="782">
        <f>IFERROR((AQ11+AR11)/AU11,0)</f>
        <v>0</v>
      </c>
      <c r="AW11" s="1035"/>
      <c r="AX11" s="142"/>
      <c r="AY11" s="792"/>
      <c r="AZ11" s="792"/>
      <c r="BA11" s="783" t="str">
        <f>IF(COUNT(AY11,AZ11)&lt;2, "0", AZ11 - AY11 )</f>
        <v>0</v>
      </c>
      <c r="BB11" s="784">
        <f>IFERROR((AW11+AX11)/BA11,0)</f>
        <v>0</v>
      </c>
      <c r="BC11" s="144"/>
      <c r="BD11" s="144"/>
      <c r="BE11" s="995">
        <f>AK11+AQ11</f>
        <v>70.53</v>
      </c>
      <c r="BF11" s="995">
        <f>AL11+AR11+AX11+BD11</f>
        <v>0</v>
      </c>
      <c r="BG11" s="1008">
        <v>4</v>
      </c>
      <c r="BH11" s="119"/>
    </row>
    <row r="12" spans="1:60" ht="24" customHeight="1" x14ac:dyDescent="0.35">
      <c r="A12" s="1019"/>
      <c r="B12" s="1018"/>
      <c r="C12" s="1015"/>
      <c r="D12" s="110"/>
      <c r="E12" s="589"/>
      <c r="F12" s="589"/>
      <c r="G12" s="589"/>
      <c r="H12" s="589"/>
      <c r="I12" s="589"/>
      <c r="J12" s="589"/>
      <c r="K12" s="589"/>
      <c r="L12" s="589"/>
      <c r="M12" s="589"/>
      <c r="N12" s="589"/>
      <c r="O12" s="589">
        <v>10</v>
      </c>
      <c r="P12" s="589">
        <v>11</v>
      </c>
      <c r="Q12" s="589">
        <v>11</v>
      </c>
      <c r="R12" s="589"/>
      <c r="S12" s="589">
        <v>11</v>
      </c>
      <c r="T12" s="589">
        <v>11</v>
      </c>
      <c r="U12" s="589">
        <v>5</v>
      </c>
      <c r="V12" s="589"/>
      <c r="W12" s="589"/>
      <c r="X12" s="589"/>
      <c r="Y12" s="589"/>
      <c r="Z12" s="589"/>
      <c r="AA12" s="589"/>
      <c r="AB12" s="589"/>
      <c r="AC12" s="589"/>
      <c r="AD12" s="589"/>
      <c r="AE12" s="589"/>
      <c r="AF12" s="589"/>
      <c r="AG12" s="589"/>
      <c r="AH12" s="589"/>
      <c r="AI12" s="589">
        <v>11</v>
      </c>
      <c r="AJ12" s="156"/>
      <c r="AK12" s="1030"/>
      <c r="AL12" s="600"/>
      <c r="AM12" s="787"/>
      <c r="AN12" s="787"/>
      <c r="AO12" s="779"/>
      <c r="AP12" s="780"/>
      <c r="AQ12" s="1032"/>
      <c r="AR12" s="1032"/>
      <c r="AS12" s="768"/>
      <c r="AT12" s="768"/>
      <c r="AU12" s="781"/>
      <c r="AV12" s="782"/>
      <c r="AW12" s="1036"/>
      <c r="AX12" s="143"/>
      <c r="AY12" s="788"/>
      <c r="AZ12" s="788"/>
      <c r="BA12" s="783"/>
      <c r="BB12" s="784"/>
      <c r="BC12" s="122"/>
      <c r="BD12" s="122"/>
      <c r="BE12" s="1003"/>
      <c r="BF12" s="1003"/>
      <c r="BG12" s="1009"/>
      <c r="BH12" s="119"/>
    </row>
    <row r="13" spans="1:60" ht="24" customHeight="1" x14ac:dyDescent="0.35">
      <c r="A13" s="1019"/>
      <c r="B13" s="1018">
        <v>2010</v>
      </c>
      <c r="C13" s="1014">
        <v>5</v>
      </c>
      <c r="D13" s="106">
        <v>54.3</v>
      </c>
      <c r="E13" s="588">
        <v>10</v>
      </c>
      <c r="F13" s="588">
        <v>11</v>
      </c>
      <c r="G13" s="588">
        <v>12</v>
      </c>
      <c r="H13" s="588">
        <v>13</v>
      </c>
      <c r="I13" s="588">
        <v>14</v>
      </c>
      <c r="J13" s="588">
        <v>15</v>
      </c>
      <c r="K13" s="112">
        <v>1</v>
      </c>
      <c r="L13" s="112">
        <v>2</v>
      </c>
      <c r="M13" s="112">
        <v>3</v>
      </c>
      <c r="N13" s="588">
        <v>4</v>
      </c>
      <c r="O13" s="588">
        <v>5</v>
      </c>
      <c r="P13" s="588">
        <v>6</v>
      </c>
      <c r="Q13" s="588">
        <v>7</v>
      </c>
      <c r="R13" s="588">
        <v>8</v>
      </c>
      <c r="S13" s="588">
        <v>9</v>
      </c>
      <c r="T13" s="588">
        <v>10</v>
      </c>
      <c r="U13" s="588">
        <v>11</v>
      </c>
      <c r="V13" s="588">
        <v>12</v>
      </c>
      <c r="W13" s="588">
        <v>13</v>
      </c>
      <c r="X13" s="588">
        <v>14</v>
      </c>
      <c r="Y13" s="588">
        <v>15</v>
      </c>
      <c r="Z13" s="588">
        <v>16</v>
      </c>
      <c r="AA13" s="588">
        <v>17</v>
      </c>
      <c r="AB13" s="588">
        <v>18</v>
      </c>
      <c r="AC13" s="588">
        <v>19</v>
      </c>
      <c r="AD13" s="588">
        <v>20</v>
      </c>
      <c r="AE13" s="588">
        <v>21</v>
      </c>
      <c r="AF13" s="113">
        <v>1</v>
      </c>
      <c r="AG13" s="113">
        <v>2</v>
      </c>
      <c r="AH13" s="113">
        <v>3</v>
      </c>
      <c r="AI13" s="588">
        <v>4</v>
      </c>
      <c r="AJ13" s="158">
        <f>SUM(D14:AI14)</f>
        <v>56</v>
      </c>
      <c r="AK13" s="1029">
        <f>10.27+22.35+4.51</f>
        <v>37.130000000000003</v>
      </c>
      <c r="AL13" s="147"/>
      <c r="AM13" s="790"/>
      <c r="AN13" s="790"/>
      <c r="AO13" s="779" t="str">
        <f>IF(COUNT(AM13,AN13)&lt;2, "0", AN13 - AM13 + 1)</f>
        <v>0</v>
      </c>
      <c r="AP13" s="780">
        <f>IFERROR((AK13+AL13)/AO13,0)</f>
        <v>0</v>
      </c>
      <c r="AQ13" s="1031">
        <f>4.43+16.99+17.74</f>
        <v>39.159999999999997</v>
      </c>
      <c r="AR13" s="1031"/>
      <c r="AS13" s="791"/>
      <c r="AT13" s="791"/>
      <c r="AU13" s="781" t="str">
        <f>IF(COUNT(AS13,AT13)&lt;2, "0", AT13 - AS13 )</f>
        <v>0</v>
      </c>
      <c r="AV13" s="782">
        <f>IFERROR((AQ13+AR13)/AU13,0)</f>
        <v>0</v>
      </c>
      <c r="AW13" s="1035"/>
      <c r="AX13" s="142"/>
      <c r="AY13" s="792"/>
      <c r="AZ13" s="792"/>
      <c r="BA13" s="783" t="str">
        <f>IF(COUNT(AY13,AZ13)&lt;2, "0", AZ13 - AY13 )</f>
        <v>0</v>
      </c>
      <c r="BB13" s="784">
        <f>IFERROR((AW13+AX13)/BA13,0)</f>
        <v>0</v>
      </c>
      <c r="BC13" s="144"/>
      <c r="BD13" s="144"/>
      <c r="BE13" s="995">
        <f>AK13+AQ13+AW13+BC13</f>
        <v>76.289999999999992</v>
      </c>
      <c r="BF13" s="995">
        <f>AL13+AR13+AX13+BD13</f>
        <v>0</v>
      </c>
      <c r="BG13" s="1008">
        <v>5</v>
      </c>
      <c r="BH13" s="119"/>
    </row>
    <row r="14" spans="1:60" ht="24" customHeight="1" x14ac:dyDescent="0.35">
      <c r="A14" s="1019"/>
      <c r="B14" s="1018"/>
      <c r="C14" s="1015"/>
      <c r="D14" s="110"/>
      <c r="E14" s="589"/>
      <c r="F14" s="589"/>
      <c r="G14" s="589"/>
      <c r="H14" s="589"/>
      <c r="I14" s="589"/>
      <c r="J14" s="589"/>
      <c r="K14" s="589">
        <v>11</v>
      </c>
      <c r="L14" s="589">
        <v>9</v>
      </c>
      <c r="M14" s="589">
        <v>10</v>
      </c>
      <c r="N14" s="589"/>
      <c r="O14" s="589"/>
      <c r="P14" s="589"/>
      <c r="Q14" s="589"/>
      <c r="R14" s="589"/>
      <c r="S14" s="589"/>
      <c r="T14" s="589"/>
      <c r="U14" s="589"/>
      <c r="V14" s="589"/>
      <c r="W14" s="589"/>
      <c r="X14" s="589"/>
      <c r="Y14" s="589"/>
      <c r="Z14" s="589"/>
      <c r="AA14" s="589"/>
      <c r="AB14" s="589"/>
      <c r="AC14" s="589"/>
      <c r="AD14" s="589"/>
      <c r="AE14" s="589"/>
      <c r="AF14" s="589">
        <v>5</v>
      </c>
      <c r="AG14" s="589">
        <v>10</v>
      </c>
      <c r="AH14" s="589">
        <v>11</v>
      </c>
      <c r="AI14" s="589"/>
      <c r="AJ14" s="159"/>
      <c r="AK14" s="1030"/>
      <c r="AL14" s="148"/>
      <c r="AM14" s="787"/>
      <c r="AN14" s="787"/>
      <c r="AO14" s="779"/>
      <c r="AP14" s="780"/>
      <c r="AQ14" s="1032"/>
      <c r="AR14" s="1032"/>
      <c r="AS14" s="768"/>
      <c r="AT14" s="768"/>
      <c r="AU14" s="781"/>
      <c r="AV14" s="782"/>
      <c r="AW14" s="1036"/>
      <c r="AX14" s="143"/>
      <c r="AY14" s="788"/>
      <c r="AZ14" s="788"/>
      <c r="BA14" s="783"/>
      <c r="BB14" s="784"/>
      <c r="BC14" s="122"/>
      <c r="BD14" s="122"/>
      <c r="BE14" s="1003"/>
      <c r="BF14" s="1003"/>
      <c r="BG14" s="1009"/>
      <c r="BH14" s="119"/>
    </row>
    <row r="15" spans="1:60" ht="24" customHeight="1" x14ac:dyDescent="0.35">
      <c r="A15" s="1019"/>
      <c r="B15" s="1018">
        <v>2010</v>
      </c>
      <c r="C15" s="1014">
        <v>6</v>
      </c>
      <c r="D15" s="106">
        <v>58.6</v>
      </c>
      <c r="E15" s="588">
        <v>14</v>
      </c>
      <c r="F15" s="588">
        <v>15</v>
      </c>
      <c r="G15" s="588">
        <v>16</v>
      </c>
      <c r="H15" s="112">
        <v>1</v>
      </c>
      <c r="I15" s="112">
        <v>2</v>
      </c>
      <c r="J15" s="112">
        <v>3</v>
      </c>
      <c r="K15" s="588">
        <v>4</v>
      </c>
      <c r="L15" s="588">
        <v>5</v>
      </c>
      <c r="M15" s="588">
        <v>6</v>
      </c>
      <c r="N15" s="588">
        <v>7</v>
      </c>
      <c r="O15" s="588">
        <v>8</v>
      </c>
      <c r="P15" s="588">
        <v>9</v>
      </c>
      <c r="Q15" s="588">
        <v>10</v>
      </c>
      <c r="R15" s="588">
        <v>11</v>
      </c>
      <c r="S15" s="588">
        <v>12</v>
      </c>
      <c r="T15" s="588">
        <v>13</v>
      </c>
      <c r="U15" s="588">
        <v>14</v>
      </c>
      <c r="V15" s="588">
        <v>15</v>
      </c>
      <c r="W15" s="588">
        <v>16</v>
      </c>
      <c r="X15" s="588">
        <v>17</v>
      </c>
      <c r="Y15" s="588">
        <v>18</v>
      </c>
      <c r="Z15" s="588">
        <v>19</v>
      </c>
      <c r="AA15" s="113">
        <v>1</v>
      </c>
      <c r="AB15" s="113">
        <v>2</v>
      </c>
      <c r="AC15" s="588">
        <v>3</v>
      </c>
      <c r="AD15" s="588">
        <v>4</v>
      </c>
      <c r="AE15" s="113">
        <v>5</v>
      </c>
      <c r="AF15" s="113">
        <v>6</v>
      </c>
      <c r="AG15" s="588">
        <v>7</v>
      </c>
      <c r="AH15" s="588">
        <v>8</v>
      </c>
      <c r="AI15" s="588">
        <v>9</v>
      </c>
      <c r="AJ15" s="158">
        <f>SUM(D16:AI16)</f>
        <v>62</v>
      </c>
      <c r="AK15" s="1029">
        <f>4.14+4.46+21.26+5.04+9.28</f>
        <v>44.18</v>
      </c>
      <c r="AL15" s="147"/>
      <c r="AM15" s="790"/>
      <c r="AN15" s="790"/>
      <c r="AO15" s="779" t="str">
        <f>IF(COUNT(AM15,AN15)&lt;2, "0", AN15 - AM15 + 1)</f>
        <v>0</v>
      </c>
      <c r="AP15" s="780">
        <f>IFERROR((AK15+AL15)/AO15,0)</f>
        <v>0</v>
      </c>
      <c r="AQ15" s="1031">
        <f>17.6+13.21+2.73+9.51+20.34</f>
        <v>63.39</v>
      </c>
      <c r="AR15" s="1031"/>
      <c r="AS15" s="791"/>
      <c r="AT15" s="791"/>
      <c r="AU15" s="781" t="str">
        <f>IF(COUNT(AS15,AT15)&lt;2, "0", AT15 - AS15 )</f>
        <v>0</v>
      </c>
      <c r="AV15" s="782">
        <f>IFERROR((AQ15+AR15)/AU15,0)</f>
        <v>0</v>
      </c>
      <c r="AW15" s="1035"/>
      <c r="AX15" s="142"/>
      <c r="AY15" s="792"/>
      <c r="AZ15" s="792"/>
      <c r="BA15" s="783" t="str">
        <f>IF(COUNT(AY15,AZ15)&lt;2, "0", AZ15 - AY15 )</f>
        <v>0</v>
      </c>
      <c r="BB15" s="784">
        <f>IFERROR((AW15+AX15)/BA15,0)</f>
        <v>0</v>
      </c>
      <c r="BC15" s="144"/>
      <c r="BD15" s="144"/>
      <c r="BE15" s="995">
        <f>AK15+AQ15+AW15+BC15</f>
        <v>107.57</v>
      </c>
      <c r="BF15" s="995">
        <f>AL15+AR15+AX15+BD15</f>
        <v>0</v>
      </c>
      <c r="BG15" s="1008">
        <v>6</v>
      </c>
      <c r="BH15" s="119"/>
    </row>
    <row r="16" spans="1:60" ht="24" customHeight="1" x14ac:dyDescent="0.35">
      <c r="A16" s="1019"/>
      <c r="B16" s="1018"/>
      <c r="C16" s="1015"/>
      <c r="D16" s="110"/>
      <c r="E16" s="589"/>
      <c r="F16" s="589"/>
      <c r="G16" s="589"/>
      <c r="H16" s="589">
        <v>7</v>
      </c>
      <c r="I16" s="589">
        <v>10</v>
      </c>
      <c r="J16" s="589">
        <v>11</v>
      </c>
      <c r="K16" s="589"/>
      <c r="L16" s="589"/>
      <c r="M16" s="589"/>
      <c r="N16" s="589"/>
      <c r="O16" s="589"/>
      <c r="P16" s="589"/>
      <c r="Q16" s="589"/>
      <c r="R16" s="589"/>
      <c r="S16" s="589"/>
      <c r="T16" s="589"/>
      <c r="U16" s="589"/>
      <c r="V16" s="589"/>
      <c r="W16" s="589"/>
      <c r="X16" s="589"/>
      <c r="Y16" s="589"/>
      <c r="Z16" s="589"/>
      <c r="AA16" s="589">
        <v>9</v>
      </c>
      <c r="AB16" s="589">
        <v>9</v>
      </c>
      <c r="AC16" s="589"/>
      <c r="AD16" s="589"/>
      <c r="AE16" s="589">
        <v>11</v>
      </c>
      <c r="AF16" s="589">
        <v>5</v>
      </c>
      <c r="AG16" s="589"/>
      <c r="AH16" s="589"/>
      <c r="AI16" s="589"/>
      <c r="AJ16" s="159"/>
      <c r="AK16" s="1030"/>
      <c r="AL16" s="148"/>
      <c r="AM16" s="787"/>
      <c r="AN16" s="787"/>
      <c r="AO16" s="779"/>
      <c r="AP16" s="780"/>
      <c r="AQ16" s="1032"/>
      <c r="AR16" s="1032"/>
      <c r="AS16" s="768"/>
      <c r="AT16" s="768"/>
      <c r="AU16" s="781"/>
      <c r="AV16" s="782"/>
      <c r="AW16" s="1036"/>
      <c r="AX16" s="143"/>
      <c r="AY16" s="788"/>
      <c r="AZ16" s="788"/>
      <c r="BA16" s="783"/>
      <c r="BB16" s="784"/>
      <c r="BC16" s="122"/>
      <c r="BD16" s="122"/>
      <c r="BE16" s="1003"/>
      <c r="BF16" s="1003"/>
      <c r="BG16" s="1009"/>
      <c r="BH16" s="119"/>
    </row>
    <row r="17" spans="1:59" ht="24" customHeight="1" x14ac:dyDescent="0.35">
      <c r="A17" s="1019"/>
      <c r="B17" s="1018">
        <v>2010</v>
      </c>
      <c r="C17" s="1014">
        <v>7</v>
      </c>
      <c r="D17" s="106">
        <v>23.6</v>
      </c>
      <c r="E17" s="588">
        <v>8</v>
      </c>
      <c r="F17" s="588">
        <v>9</v>
      </c>
      <c r="G17" s="588">
        <v>10</v>
      </c>
      <c r="H17" s="588">
        <v>11</v>
      </c>
      <c r="I17" s="588">
        <v>12</v>
      </c>
      <c r="J17" s="588">
        <v>13</v>
      </c>
      <c r="K17" s="588">
        <v>14</v>
      </c>
      <c r="L17" s="588">
        <v>15</v>
      </c>
      <c r="M17" s="588">
        <v>16</v>
      </c>
      <c r="N17" s="112">
        <v>1</v>
      </c>
      <c r="O17" s="588">
        <v>2</v>
      </c>
      <c r="P17" s="588">
        <v>3</v>
      </c>
      <c r="Q17" s="588">
        <v>4</v>
      </c>
      <c r="R17" s="588">
        <v>5</v>
      </c>
      <c r="S17" s="588">
        <v>6</v>
      </c>
      <c r="T17" s="588">
        <v>7</v>
      </c>
      <c r="U17" s="588">
        <v>8</v>
      </c>
      <c r="V17" s="588">
        <v>9</v>
      </c>
      <c r="W17" s="588">
        <v>10</v>
      </c>
      <c r="X17" s="588">
        <v>11</v>
      </c>
      <c r="Y17" s="588">
        <v>12</v>
      </c>
      <c r="Z17" s="588">
        <v>13</v>
      </c>
      <c r="AA17" s="588">
        <v>14</v>
      </c>
      <c r="AB17" s="588">
        <v>15</v>
      </c>
      <c r="AC17" s="588">
        <v>16</v>
      </c>
      <c r="AD17" s="588">
        <v>17</v>
      </c>
      <c r="AE17" s="588">
        <v>18</v>
      </c>
      <c r="AF17" s="588">
        <v>19</v>
      </c>
      <c r="AG17" s="113">
        <v>1</v>
      </c>
      <c r="AH17" s="588">
        <v>2</v>
      </c>
      <c r="AI17" s="588">
        <v>3</v>
      </c>
      <c r="AJ17" s="158">
        <f>SUM(D18:AI18)</f>
        <v>28</v>
      </c>
      <c r="AK17" s="1029">
        <f>12.72+12.93</f>
        <v>25.65</v>
      </c>
      <c r="AL17" s="147"/>
      <c r="AM17" s="790"/>
      <c r="AN17" s="790"/>
      <c r="AO17" s="779" t="str">
        <f>IF(COUNT(AM17,AN17)&lt;2, "0", AN17 - AM17 + 1)</f>
        <v>0</v>
      </c>
      <c r="AP17" s="780">
        <f>IFERROR((AK17+AL17)/AO17,0)</f>
        <v>0</v>
      </c>
      <c r="AQ17" s="1031">
        <f>12.39+7.33</f>
        <v>19.72</v>
      </c>
      <c r="AR17" s="1031"/>
      <c r="AS17" s="791"/>
      <c r="AT17" s="791"/>
      <c r="AU17" s="781" t="str">
        <f>IF(COUNT(AS17,AT17)&lt;2, "0", AT17 - AS17 )</f>
        <v>0</v>
      </c>
      <c r="AV17" s="782">
        <f>IFERROR((AQ17+AR17)/AU17,0)</f>
        <v>0</v>
      </c>
      <c r="AW17" s="1035"/>
      <c r="AX17" s="142"/>
      <c r="AY17" s="792"/>
      <c r="AZ17" s="792"/>
      <c r="BA17" s="783" t="str">
        <f>IF(COUNT(AY17,AZ17)&lt;2, "0", AZ17 - AY17 )</f>
        <v>0</v>
      </c>
      <c r="BB17" s="784">
        <f>IFERROR((AW17+AX17)/BA17,0)</f>
        <v>0</v>
      </c>
      <c r="BC17" s="144"/>
      <c r="BD17" s="144"/>
      <c r="BE17" s="995">
        <f>AK17+AQ17+AW17+BC17</f>
        <v>45.37</v>
      </c>
      <c r="BF17" s="995">
        <f>AL17+AR17+AX17+BD17</f>
        <v>0</v>
      </c>
      <c r="BG17" s="1008">
        <v>7</v>
      </c>
    </row>
    <row r="18" spans="1:59" ht="24" customHeight="1" x14ac:dyDescent="0.35">
      <c r="A18" s="1019"/>
      <c r="B18" s="1018"/>
      <c r="C18" s="1015"/>
      <c r="D18" s="110"/>
      <c r="E18" s="589"/>
      <c r="F18" s="589"/>
      <c r="G18" s="589"/>
      <c r="H18" s="589"/>
      <c r="I18" s="589"/>
      <c r="J18" s="589"/>
      <c r="K18" s="589"/>
      <c r="L18" s="589"/>
      <c r="M18" s="589"/>
      <c r="N18" s="589">
        <v>10</v>
      </c>
      <c r="O18" s="589"/>
      <c r="P18" s="589"/>
      <c r="Q18" s="589"/>
      <c r="R18" s="589"/>
      <c r="S18" s="589"/>
      <c r="T18" s="589"/>
      <c r="U18" s="589"/>
      <c r="V18" s="589"/>
      <c r="W18" s="589"/>
      <c r="X18" s="589"/>
      <c r="Y18" s="589"/>
      <c r="Z18" s="589"/>
      <c r="AA18" s="589"/>
      <c r="AB18" s="589"/>
      <c r="AC18" s="589"/>
      <c r="AD18" s="589"/>
      <c r="AE18" s="589"/>
      <c r="AF18" s="589"/>
      <c r="AG18" s="589">
        <v>18</v>
      </c>
      <c r="AH18" s="589"/>
      <c r="AI18" s="589"/>
      <c r="AJ18" s="159"/>
      <c r="AK18" s="1030"/>
      <c r="AL18" s="148"/>
      <c r="AM18" s="787"/>
      <c r="AN18" s="787"/>
      <c r="AO18" s="779"/>
      <c r="AP18" s="780"/>
      <c r="AQ18" s="1032"/>
      <c r="AR18" s="1032"/>
      <c r="AS18" s="768"/>
      <c r="AT18" s="768"/>
      <c r="AU18" s="781"/>
      <c r="AV18" s="782"/>
      <c r="AW18" s="1036"/>
      <c r="AX18" s="143"/>
      <c r="AY18" s="788"/>
      <c r="AZ18" s="788"/>
      <c r="BA18" s="783"/>
      <c r="BB18" s="784"/>
      <c r="BC18" s="122"/>
      <c r="BD18" s="122"/>
      <c r="BE18" s="1003"/>
      <c r="BF18" s="1003"/>
      <c r="BG18" s="1009"/>
    </row>
    <row r="19" spans="1:59" ht="24" customHeight="1" x14ac:dyDescent="0.35">
      <c r="A19" s="1019"/>
      <c r="B19" s="1018">
        <v>2010</v>
      </c>
      <c r="C19" s="1014">
        <v>23</v>
      </c>
      <c r="D19" s="106">
        <v>14.6</v>
      </c>
      <c r="E19" s="588">
        <v>4</v>
      </c>
      <c r="F19" s="588">
        <v>5</v>
      </c>
      <c r="G19" s="588">
        <v>6</v>
      </c>
      <c r="H19" s="112">
        <v>1</v>
      </c>
      <c r="I19" s="588">
        <v>2</v>
      </c>
      <c r="J19" s="588">
        <v>3</v>
      </c>
      <c r="K19" s="588">
        <v>4</v>
      </c>
      <c r="L19" s="588">
        <v>5</v>
      </c>
      <c r="M19" s="588">
        <v>6</v>
      </c>
      <c r="N19" s="588">
        <v>7</v>
      </c>
      <c r="O19" s="588">
        <v>8</v>
      </c>
      <c r="P19" s="588">
        <v>9</v>
      </c>
      <c r="Q19" s="588">
        <v>10</v>
      </c>
      <c r="R19" s="588">
        <v>11</v>
      </c>
      <c r="S19" s="588">
        <v>12</v>
      </c>
      <c r="T19" s="588">
        <v>13</v>
      </c>
      <c r="U19" s="588">
        <v>14</v>
      </c>
      <c r="V19" s="588">
        <v>15</v>
      </c>
      <c r="W19" s="588">
        <v>16</v>
      </c>
      <c r="X19" s="588">
        <v>17</v>
      </c>
      <c r="Y19" s="588">
        <v>18</v>
      </c>
      <c r="Z19" s="113">
        <v>1</v>
      </c>
      <c r="AA19" s="588">
        <v>2</v>
      </c>
      <c r="AB19" s="588">
        <v>3</v>
      </c>
      <c r="AC19" s="588">
        <v>4</v>
      </c>
      <c r="AD19" s="588">
        <v>5</v>
      </c>
      <c r="AE19" s="588">
        <v>6</v>
      </c>
      <c r="AF19" s="588">
        <v>7</v>
      </c>
      <c r="AG19" s="588">
        <v>8</v>
      </c>
      <c r="AH19" s="588">
        <v>9</v>
      </c>
      <c r="AI19" s="588">
        <v>10</v>
      </c>
      <c r="AJ19" s="155">
        <f>SUM(D20:AI20)</f>
        <v>15</v>
      </c>
      <c r="AK19" s="1029">
        <f>4</f>
        <v>4</v>
      </c>
      <c r="AL19" s="147"/>
      <c r="AM19" s="790"/>
      <c r="AN19" s="790"/>
      <c r="AO19" s="779" t="str">
        <f>IF(COUNT(AM19,AN19)&lt;2, "0", AN19 - AM19 + 1)</f>
        <v>0</v>
      </c>
      <c r="AP19" s="780">
        <f>IFERROR((AK19+AL19)/AO19,0)</f>
        <v>0</v>
      </c>
      <c r="AQ19" s="1031">
        <f>8.9+8.76</f>
        <v>17.66</v>
      </c>
      <c r="AR19" s="1031"/>
      <c r="AS19" s="791"/>
      <c r="AT19" s="791"/>
      <c r="AU19" s="781" t="str">
        <f>IF(COUNT(AS19,AT19)&lt;2, "0", AT19 - AS19 )</f>
        <v>0</v>
      </c>
      <c r="AV19" s="782">
        <f>IFERROR((AQ19+AR19)/AU19,0)</f>
        <v>0</v>
      </c>
      <c r="AW19" s="1035"/>
      <c r="AX19" s="142"/>
      <c r="AY19" s="792"/>
      <c r="AZ19" s="792"/>
      <c r="BA19" s="783" t="str">
        <f>IF(COUNT(AY19,AZ19)&lt;2, "0", AZ19 - AY19 )</f>
        <v>0</v>
      </c>
      <c r="BB19" s="784">
        <f>IFERROR((AW19+AX19)/BA19,0)</f>
        <v>0</v>
      </c>
      <c r="BC19" s="144"/>
      <c r="BD19" s="144"/>
      <c r="BE19" s="995">
        <f>AK19+AQ19+AW19+BC19</f>
        <v>21.66</v>
      </c>
      <c r="BF19" s="995">
        <f>AL19+AR19+AX19+BD19</f>
        <v>0</v>
      </c>
      <c r="BG19" s="1008">
        <v>23</v>
      </c>
    </row>
    <row r="20" spans="1:59" ht="24" customHeight="1" x14ac:dyDescent="0.35">
      <c r="A20" s="1019"/>
      <c r="B20" s="1018"/>
      <c r="C20" s="1015"/>
      <c r="D20" s="110"/>
      <c r="E20" s="589"/>
      <c r="F20" s="589"/>
      <c r="G20" s="589"/>
      <c r="H20" s="589">
        <v>5</v>
      </c>
      <c r="I20" s="589"/>
      <c r="J20" s="589"/>
      <c r="K20" s="589"/>
      <c r="L20" s="589"/>
      <c r="M20" s="589"/>
      <c r="N20" s="589"/>
      <c r="O20" s="589"/>
      <c r="P20" s="589"/>
      <c r="Q20" s="589"/>
      <c r="R20" s="589"/>
      <c r="S20" s="589"/>
      <c r="T20" s="589"/>
      <c r="U20" s="589"/>
      <c r="V20" s="589"/>
      <c r="W20" s="589"/>
      <c r="X20" s="589"/>
      <c r="Y20" s="589"/>
      <c r="Z20" s="589">
        <v>10</v>
      </c>
      <c r="AA20" s="589"/>
      <c r="AB20" s="589"/>
      <c r="AC20" s="589"/>
      <c r="AD20" s="589"/>
      <c r="AE20" s="589"/>
      <c r="AF20" s="589"/>
      <c r="AG20" s="589"/>
      <c r="AH20" s="589"/>
      <c r="AI20" s="589"/>
      <c r="AJ20" s="156"/>
      <c r="AK20" s="1030"/>
      <c r="AL20" s="148"/>
      <c r="AM20" s="787"/>
      <c r="AN20" s="787"/>
      <c r="AO20" s="779"/>
      <c r="AP20" s="780"/>
      <c r="AQ20" s="1032"/>
      <c r="AR20" s="1032"/>
      <c r="AS20" s="768"/>
      <c r="AT20" s="768"/>
      <c r="AU20" s="781"/>
      <c r="AV20" s="782"/>
      <c r="AW20" s="1036"/>
      <c r="AX20" s="143"/>
      <c r="AY20" s="788"/>
      <c r="AZ20" s="788"/>
      <c r="BA20" s="783"/>
      <c r="BB20" s="784"/>
      <c r="BC20" s="122"/>
      <c r="BD20" s="122"/>
      <c r="BE20" s="1003"/>
      <c r="BF20" s="1003"/>
      <c r="BG20" s="1009"/>
    </row>
    <row r="21" spans="1:59" ht="24" customHeight="1" x14ac:dyDescent="0.35">
      <c r="A21" s="1019"/>
      <c r="B21" s="1018">
        <v>2012</v>
      </c>
      <c r="C21" s="1014">
        <v>24</v>
      </c>
      <c r="D21" s="121">
        <v>44.7</v>
      </c>
      <c r="E21" s="112">
        <v>3</v>
      </c>
      <c r="F21" s="112">
        <v>4</v>
      </c>
      <c r="G21" s="588">
        <v>5</v>
      </c>
      <c r="H21" s="588">
        <v>6</v>
      </c>
      <c r="I21" s="588">
        <v>7</v>
      </c>
      <c r="J21" s="588">
        <v>8</v>
      </c>
      <c r="K21" s="588">
        <v>9</v>
      </c>
      <c r="L21" s="588">
        <v>10</v>
      </c>
      <c r="M21" s="588">
        <v>11</v>
      </c>
      <c r="N21" s="588">
        <v>12</v>
      </c>
      <c r="O21" s="588">
        <v>13</v>
      </c>
      <c r="P21" s="588">
        <v>14</v>
      </c>
      <c r="Q21" s="588">
        <v>15</v>
      </c>
      <c r="R21" s="588">
        <v>16</v>
      </c>
      <c r="S21" s="588">
        <v>17</v>
      </c>
      <c r="T21" s="588">
        <v>18</v>
      </c>
      <c r="U21" s="113">
        <v>1</v>
      </c>
      <c r="V21" s="113">
        <v>2</v>
      </c>
      <c r="W21" s="113">
        <v>3</v>
      </c>
      <c r="X21" s="113">
        <v>4</v>
      </c>
      <c r="Y21" s="113">
        <v>5</v>
      </c>
      <c r="Z21" s="588">
        <v>6</v>
      </c>
      <c r="AA21" s="588">
        <v>7</v>
      </c>
      <c r="AB21" s="588">
        <v>8</v>
      </c>
      <c r="AC21" s="588">
        <v>9</v>
      </c>
      <c r="AD21" s="588">
        <v>10</v>
      </c>
      <c r="AE21" s="588">
        <v>11</v>
      </c>
      <c r="AF21" s="588">
        <v>12</v>
      </c>
      <c r="AG21" s="588">
        <v>13</v>
      </c>
      <c r="AH21" s="588">
        <v>14</v>
      </c>
      <c r="AI21" s="588">
        <v>15</v>
      </c>
      <c r="AJ21" s="158">
        <f>SUM(D22:AI22)</f>
        <v>69</v>
      </c>
      <c r="AK21" s="1029">
        <f>4.19+16.94+8.48</f>
        <v>29.610000000000003</v>
      </c>
      <c r="AL21" s="147"/>
      <c r="AM21" s="790"/>
      <c r="AN21" s="790"/>
      <c r="AO21" s="779" t="str">
        <f>IF(COUNT(AM21,AN21)&lt;2, "0", AN21 - AM21 + 1)</f>
        <v>0</v>
      </c>
      <c r="AP21" s="780">
        <f>IFERROR((AK21+AL21)/AO21,0)</f>
        <v>0</v>
      </c>
      <c r="AQ21" s="1031">
        <f>8.69+4.34+4.66+9.01+26.89+4.36</f>
        <v>57.949999999999996</v>
      </c>
      <c r="AR21" s="1031"/>
      <c r="AS21" s="791"/>
      <c r="AT21" s="791"/>
      <c r="AU21" s="781" t="str">
        <f>IF(COUNT(AS21,AT21)&lt;2, "0", AT21 - AS21 )</f>
        <v>0</v>
      </c>
      <c r="AV21" s="782">
        <f>IFERROR((AQ21+AR21)/AU21,0)</f>
        <v>0</v>
      </c>
      <c r="AW21" s="1035"/>
      <c r="AX21" s="142"/>
      <c r="AY21" s="792"/>
      <c r="AZ21" s="792"/>
      <c r="BA21" s="783" t="str">
        <f>IF(COUNT(AY21,AZ21)&lt;2, "0", AZ21 - AY21 )</f>
        <v>0</v>
      </c>
      <c r="BB21" s="784">
        <f>IFERROR((AW21+AX21)/BA21,0)</f>
        <v>0</v>
      </c>
      <c r="BC21" s="144"/>
      <c r="BD21" s="144"/>
      <c r="BE21" s="995">
        <f>AK21+AQ21+AW21+BC21</f>
        <v>87.56</v>
      </c>
      <c r="BF21" s="995">
        <f>AL21+AR21+AX21+BD21</f>
        <v>0</v>
      </c>
      <c r="BG21" s="1008">
        <v>24</v>
      </c>
    </row>
    <row r="22" spans="1:59" ht="24" customHeight="1" x14ac:dyDescent="0.35">
      <c r="A22" s="1020"/>
      <c r="B22" s="1015"/>
      <c r="C22" s="1015"/>
      <c r="D22" s="110"/>
      <c r="E22" s="589">
        <v>9</v>
      </c>
      <c r="F22" s="589">
        <v>11</v>
      </c>
      <c r="G22" s="589"/>
      <c r="H22" s="589"/>
      <c r="I22" s="589"/>
      <c r="J22" s="589"/>
      <c r="K22" s="589"/>
      <c r="L22" s="589"/>
      <c r="M22" s="589"/>
      <c r="N22" s="589"/>
      <c r="O22" s="589"/>
      <c r="P22" s="589"/>
      <c r="Q22" s="589"/>
      <c r="R22" s="589"/>
      <c r="S22" s="589"/>
      <c r="T22" s="589"/>
      <c r="U22" s="589">
        <v>6</v>
      </c>
      <c r="V22" s="589">
        <v>10</v>
      </c>
      <c r="W22" s="589">
        <v>11</v>
      </c>
      <c r="X22" s="589">
        <v>11</v>
      </c>
      <c r="Y22" s="589">
        <v>11</v>
      </c>
      <c r="Z22" s="589"/>
      <c r="AA22" s="589"/>
      <c r="AB22" s="589"/>
      <c r="AC22" s="589"/>
      <c r="AD22" s="589"/>
      <c r="AE22" s="589"/>
      <c r="AF22" s="589"/>
      <c r="AG22" s="589"/>
      <c r="AH22" s="589"/>
      <c r="AI22" s="589"/>
      <c r="AJ22" s="159"/>
      <c r="AK22" s="1030"/>
      <c r="AL22" s="148"/>
      <c r="AM22" s="787"/>
      <c r="AN22" s="787"/>
      <c r="AO22" s="779"/>
      <c r="AP22" s="780"/>
      <c r="AQ22" s="1032"/>
      <c r="AR22" s="1032"/>
      <c r="AS22" s="768"/>
      <c r="AT22" s="768"/>
      <c r="AU22" s="781"/>
      <c r="AV22" s="782"/>
      <c r="AW22" s="1036"/>
      <c r="AX22" s="143"/>
      <c r="AY22" s="788"/>
      <c r="AZ22" s="788"/>
      <c r="BA22" s="783"/>
      <c r="BB22" s="784"/>
      <c r="BC22" s="122"/>
      <c r="BD22" s="122"/>
      <c r="BE22" s="1003"/>
      <c r="BF22" s="1003"/>
      <c r="BG22" s="1009"/>
    </row>
    <row r="23" spans="1:59" ht="24" customHeight="1" x14ac:dyDescent="0.35">
      <c r="A23" s="1021" t="s">
        <v>64</v>
      </c>
      <c r="B23" s="1014">
        <v>2010</v>
      </c>
      <c r="C23" s="1014">
        <v>2</v>
      </c>
      <c r="D23" s="106">
        <v>60.4</v>
      </c>
      <c r="E23" s="588">
        <v>13</v>
      </c>
      <c r="F23" s="588">
        <v>14</v>
      </c>
      <c r="G23" s="588">
        <v>15</v>
      </c>
      <c r="H23" s="588">
        <v>16</v>
      </c>
      <c r="I23" s="588">
        <v>17</v>
      </c>
      <c r="J23" s="588">
        <v>18</v>
      </c>
      <c r="K23" s="588">
        <v>19</v>
      </c>
      <c r="L23" s="588">
        <v>20</v>
      </c>
      <c r="M23" s="588">
        <v>21</v>
      </c>
      <c r="N23" s="588">
        <v>22</v>
      </c>
      <c r="O23" s="588">
        <v>23</v>
      </c>
      <c r="P23" s="588">
        <v>24</v>
      </c>
      <c r="Q23" s="112">
        <v>1</v>
      </c>
      <c r="R23" s="588">
        <v>2</v>
      </c>
      <c r="S23" s="112">
        <v>3</v>
      </c>
      <c r="T23" s="112">
        <v>4</v>
      </c>
      <c r="U23" s="112">
        <v>5</v>
      </c>
      <c r="V23" s="112">
        <v>6</v>
      </c>
      <c r="W23" s="112">
        <v>7</v>
      </c>
      <c r="X23" s="112">
        <v>8</v>
      </c>
      <c r="Y23" s="112">
        <v>9</v>
      </c>
      <c r="Z23" s="112">
        <v>10</v>
      </c>
      <c r="AA23" s="588">
        <v>11</v>
      </c>
      <c r="AB23" s="588">
        <v>12</v>
      </c>
      <c r="AC23" s="588">
        <v>13</v>
      </c>
      <c r="AD23" s="588">
        <v>14</v>
      </c>
      <c r="AE23" s="588">
        <v>15</v>
      </c>
      <c r="AF23" s="113">
        <v>1</v>
      </c>
      <c r="AG23" s="113">
        <v>2</v>
      </c>
      <c r="AH23" s="113">
        <v>3</v>
      </c>
      <c r="AI23" s="113">
        <v>4</v>
      </c>
      <c r="AJ23" s="155">
        <f>SUM(D24:AI24)</f>
        <v>52</v>
      </c>
      <c r="AK23" s="1029">
        <f>3.91+7.65+8.61+4.31+9.17+7.78+17.04+3.78</f>
        <v>62.25</v>
      </c>
      <c r="AL23" s="147"/>
      <c r="AM23" s="790"/>
      <c r="AN23" s="790"/>
      <c r="AO23" s="779" t="str">
        <f>IF(COUNT(AM23,AN23)&lt;2, "0", AN23 - AM23 + 1)</f>
        <v>0</v>
      </c>
      <c r="AP23" s="780">
        <f>IFERROR((AK23+AL23)/AO23,0)</f>
        <v>0</v>
      </c>
      <c r="AQ23" s="1031">
        <f>4.42+4.32</f>
        <v>8.74</v>
      </c>
      <c r="AR23" s="1031"/>
      <c r="AS23" s="791"/>
      <c r="AT23" s="791"/>
      <c r="AU23" s="781" t="str">
        <f>IF(COUNT(AS23,AT23)&lt;2, "0", AT23 - AS23 )</f>
        <v>0</v>
      </c>
      <c r="AV23" s="782">
        <f>IFERROR((AQ23+AR23)/AU23,0)</f>
        <v>0</v>
      </c>
      <c r="AW23" s="1035"/>
      <c r="AX23" s="142"/>
      <c r="AY23" s="792"/>
      <c r="AZ23" s="792"/>
      <c r="BA23" s="783" t="str">
        <f>IF(COUNT(AY23,AZ23)&lt;2, "0", AZ23 - AY23 )</f>
        <v>0</v>
      </c>
      <c r="BB23" s="784">
        <f>IFERROR((AW23+AX23)/BA23,0)</f>
        <v>0</v>
      </c>
      <c r="BC23" s="144"/>
      <c r="BD23" s="144"/>
      <c r="BE23" s="995">
        <f>AK23+AQ23+AW23+BC23</f>
        <v>70.989999999999995</v>
      </c>
      <c r="BF23" s="995">
        <f>AL23+AR23+AX23+BD23</f>
        <v>0</v>
      </c>
      <c r="BG23" s="1006">
        <v>2</v>
      </c>
    </row>
    <row r="24" spans="1:59" ht="24" customHeight="1" x14ac:dyDescent="0.35">
      <c r="A24" s="1019"/>
      <c r="B24" s="1018"/>
      <c r="C24" s="1015"/>
      <c r="D24" s="110"/>
      <c r="E24" s="589"/>
      <c r="F24" s="589"/>
      <c r="G24" s="589"/>
      <c r="H24" s="589"/>
      <c r="I24" s="589"/>
      <c r="J24" s="589"/>
      <c r="K24" s="589"/>
      <c r="L24" s="589"/>
      <c r="M24" s="589"/>
      <c r="N24" s="589"/>
      <c r="O24" s="589"/>
      <c r="P24" s="589"/>
      <c r="Q24" s="589">
        <v>4</v>
      </c>
      <c r="R24" s="589"/>
      <c r="S24" s="589">
        <v>4</v>
      </c>
      <c r="T24" s="589">
        <v>4</v>
      </c>
      <c r="U24" s="589">
        <v>4</v>
      </c>
      <c r="V24" s="589">
        <v>4</v>
      </c>
      <c r="W24" s="589">
        <v>4</v>
      </c>
      <c r="X24" s="589">
        <v>4</v>
      </c>
      <c r="Y24" s="589">
        <v>4</v>
      </c>
      <c r="Z24" s="589">
        <v>4</v>
      </c>
      <c r="AA24" s="589"/>
      <c r="AB24" s="589"/>
      <c r="AC24" s="589"/>
      <c r="AD24" s="589"/>
      <c r="AE24" s="589"/>
      <c r="AF24" s="589">
        <v>4</v>
      </c>
      <c r="AG24" s="589">
        <v>4</v>
      </c>
      <c r="AH24" s="589">
        <v>4</v>
      </c>
      <c r="AI24" s="589">
        <v>4</v>
      </c>
      <c r="AJ24" s="156"/>
      <c r="AK24" s="1030"/>
      <c r="AL24" s="148"/>
      <c r="AM24" s="787"/>
      <c r="AN24" s="787"/>
      <c r="AO24" s="779"/>
      <c r="AP24" s="780"/>
      <c r="AQ24" s="1032"/>
      <c r="AR24" s="1032"/>
      <c r="AS24" s="768"/>
      <c r="AT24" s="768"/>
      <c r="AU24" s="781"/>
      <c r="AV24" s="782"/>
      <c r="AW24" s="1036"/>
      <c r="AX24" s="143"/>
      <c r="AY24" s="788"/>
      <c r="AZ24" s="788"/>
      <c r="BA24" s="783"/>
      <c r="BB24" s="784"/>
      <c r="BC24" s="122"/>
      <c r="BD24" s="122"/>
      <c r="BE24" s="1003"/>
      <c r="BF24" s="1003"/>
      <c r="BG24" s="1007"/>
    </row>
    <row r="25" spans="1:59" ht="24" customHeight="1" x14ac:dyDescent="0.35">
      <c r="A25" s="1019"/>
      <c r="B25" s="1018">
        <v>2011</v>
      </c>
      <c r="C25" s="1014">
        <v>15</v>
      </c>
      <c r="D25" s="106">
        <v>49.3</v>
      </c>
      <c r="E25" s="588">
        <v>9</v>
      </c>
      <c r="F25" s="588">
        <v>10</v>
      </c>
      <c r="G25" s="588">
        <v>11</v>
      </c>
      <c r="H25" s="588">
        <v>12</v>
      </c>
      <c r="I25" s="112">
        <v>1</v>
      </c>
      <c r="J25" s="112">
        <v>2</v>
      </c>
      <c r="K25" s="588">
        <v>3</v>
      </c>
      <c r="L25" s="588">
        <v>4</v>
      </c>
      <c r="M25" s="588">
        <v>5</v>
      </c>
      <c r="N25" s="588">
        <v>6</v>
      </c>
      <c r="O25" s="588">
        <v>7</v>
      </c>
      <c r="P25" s="588">
        <v>8</v>
      </c>
      <c r="Q25" s="588">
        <v>9</v>
      </c>
      <c r="R25" s="588">
        <v>10</v>
      </c>
      <c r="S25" s="588">
        <v>11</v>
      </c>
      <c r="T25" s="588">
        <v>12</v>
      </c>
      <c r="U25" s="113">
        <v>1</v>
      </c>
      <c r="V25" s="113">
        <v>2</v>
      </c>
      <c r="W25" s="588">
        <v>3</v>
      </c>
      <c r="X25" s="588">
        <v>4</v>
      </c>
      <c r="Y25" s="588">
        <v>5</v>
      </c>
      <c r="Z25" s="588">
        <v>6</v>
      </c>
      <c r="AA25" s="588">
        <v>7</v>
      </c>
      <c r="AB25" s="588">
        <v>8</v>
      </c>
      <c r="AC25" s="588">
        <v>9</v>
      </c>
      <c r="AD25" s="588">
        <v>10</v>
      </c>
      <c r="AE25" s="588">
        <v>11</v>
      </c>
      <c r="AF25" s="588">
        <v>12</v>
      </c>
      <c r="AG25" s="588">
        <v>13</v>
      </c>
      <c r="AH25" s="588">
        <v>14</v>
      </c>
      <c r="AI25" s="114">
        <v>1</v>
      </c>
      <c r="AJ25" s="155">
        <f>SUM(D26:AI26)</f>
        <v>71</v>
      </c>
      <c r="AK25" s="1029">
        <f>4.3+23.34+6.57</f>
        <v>34.21</v>
      </c>
      <c r="AL25" s="147"/>
      <c r="AM25" s="790"/>
      <c r="AN25" s="790"/>
      <c r="AO25" s="779" t="str">
        <f>IF(COUNT(AM25,AN25)&lt;2, "0", AN25 - AM25 + 1)</f>
        <v>0</v>
      </c>
      <c r="AP25" s="780">
        <f>IFERROR((AK25+AL25)/AO25,0)</f>
        <v>0</v>
      </c>
      <c r="AQ25" s="1031">
        <f>3.87+7.9+14.51</f>
        <v>26.28</v>
      </c>
      <c r="AR25" s="1031"/>
      <c r="AS25" s="791"/>
      <c r="AT25" s="791"/>
      <c r="AU25" s="781" t="str">
        <f>IF(COUNT(AS25,AT25)&lt;2, "0", AT25 - AS25 )</f>
        <v>0</v>
      </c>
      <c r="AV25" s="782">
        <f>IFERROR((AQ25+AR25)/AU25,0)</f>
        <v>0</v>
      </c>
      <c r="AW25" s="1035"/>
      <c r="AX25" s="142"/>
      <c r="AY25" s="792"/>
      <c r="AZ25" s="792"/>
      <c r="BA25" s="783" t="str">
        <f>IF(COUNT(AY25,AZ25)&lt;2, "0", AZ25 - AY25 )</f>
        <v>0</v>
      </c>
      <c r="BB25" s="784">
        <f>IFERROR((AW25+AX25)/BA25,0)</f>
        <v>0</v>
      </c>
      <c r="BC25" s="144"/>
      <c r="BD25" s="144"/>
      <c r="BE25" s="995">
        <f>AK25+AQ25+AW25+BC25</f>
        <v>60.49</v>
      </c>
      <c r="BF25" s="995">
        <f>AL25+AR25+AX25+BD25</f>
        <v>0</v>
      </c>
      <c r="BG25" s="1006">
        <v>15</v>
      </c>
    </row>
    <row r="26" spans="1:59" ht="24" customHeight="1" x14ac:dyDescent="0.35">
      <c r="A26" s="1019"/>
      <c r="B26" s="1018"/>
      <c r="C26" s="1015"/>
      <c r="D26" s="110"/>
      <c r="E26" s="589"/>
      <c r="F26" s="589"/>
      <c r="G26" s="589"/>
      <c r="H26" s="589"/>
      <c r="I26" s="589">
        <v>10</v>
      </c>
      <c r="J26" s="589">
        <v>16</v>
      </c>
      <c r="K26" s="589"/>
      <c r="L26" s="589"/>
      <c r="M26" s="589"/>
      <c r="N26" s="589"/>
      <c r="O26" s="589"/>
      <c r="P26" s="589"/>
      <c r="Q26" s="589"/>
      <c r="R26" s="589"/>
      <c r="S26" s="589"/>
      <c r="T26" s="589"/>
      <c r="U26" s="589">
        <v>10</v>
      </c>
      <c r="V26" s="589">
        <v>18</v>
      </c>
      <c r="W26" s="589"/>
      <c r="X26" s="589"/>
      <c r="Y26" s="589"/>
      <c r="Z26" s="589"/>
      <c r="AA26" s="589"/>
      <c r="AB26" s="589"/>
      <c r="AC26" s="589"/>
      <c r="AD26" s="589"/>
      <c r="AE26" s="589"/>
      <c r="AF26" s="589"/>
      <c r="AG26" s="589"/>
      <c r="AH26" s="589"/>
      <c r="AI26" s="589">
        <v>17</v>
      </c>
      <c r="AJ26" s="156"/>
      <c r="AK26" s="1030"/>
      <c r="AL26" s="148"/>
      <c r="AM26" s="787"/>
      <c r="AN26" s="787"/>
      <c r="AO26" s="779"/>
      <c r="AP26" s="780"/>
      <c r="AQ26" s="1032"/>
      <c r="AR26" s="1032"/>
      <c r="AS26" s="768"/>
      <c r="AT26" s="768"/>
      <c r="AU26" s="781"/>
      <c r="AV26" s="782"/>
      <c r="AW26" s="1036"/>
      <c r="AX26" s="143"/>
      <c r="AY26" s="788"/>
      <c r="AZ26" s="788"/>
      <c r="BA26" s="783"/>
      <c r="BB26" s="784"/>
      <c r="BC26" s="122"/>
      <c r="BD26" s="122"/>
      <c r="BE26" s="1003"/>
      <c r="BF26" s="1003"/>
      <c r="BG26" s="1007"/>
    </row>
    <row r="27" spans="1:59" ht="24" customHeight="1" x14ac:dyDescent="0.35">
      <c r="A27" s="1019"/>
      <c r="B27" s="1018">
        <v>2011</v>
      </c>
      <c r="C27" s="1014">
        <v>16</v>
      </c>
      <c r="D27" s="106">
        <v>50.4</v>
      </c>
      <c r="E27" s="588">
        <v>10</v>
      </c>
      <c r="F27" s="588">
        <v>11</v>
      </c>
      <c r="G27" s="588">
        <v>12</v>
      </c>
      <c r="H27" s="112">
        <v>1</v>
      </c>
      <c r="I27" s="112">
        <v>2</v>
      </c>
      <c r="J27" s="588">
        <v>3</v>
      </c>
      <c r="K27" s="588">
        <v>4</v>
      </c>
      <c r="L27" s="588">
        <v>5</v>
      </c>
      <c r="M27" s="588">
        <v>6</v>
      </c>
      <c r="N27" s="588">
        <v>7</v>
      </c>
      <c r="O27" s="588">
        <v>8</v>
      </c>
      <c r="P27" s="588">
        <v>9</v>
      </c>
      <c r="Q27" s="588">
        <v>10</v>
      </c>
      <c r="R27" s="588">
        <v>11</v>
      </c>
      <c r="S27" s="588">
        <v>12</v>
      </c>
      <c r="T27" s="113">
        <v>1</v>
      </c>
      <c r="U27" s="113">
        <v>2</v>
      </c>
      <c r="V27" s="588">
        <v>3</v>
      </c>
      <c r="W27" s="588">
        <v>4</v>
      </c>
      <c r="X27" s="588">
        <v>5</v>
      </c>
      <c r="Y27" s="588">
        <v>6</v>
      </c>
      <c r="Z27" s="588">
        <v>7</v>
      </c>
      <c r="AA27" s="588">
        <v>8</v>
      </c>
      <c r="AB27" s="588">
        <v>9</v>
      </c>
      <c r="AC27" s="588">
        <v>10</v>
      </c>
      <c r="AD27" s="588">
        <v>11</v>
      </c>
      <c r="AE27" s="588">
        <v>12</v>
      </c>
      <c r="AF27" s="114">
        <v>1</v>
      </c>
      <c r="AG27" s="588">
        <v>2</v>
      </c>
      <c r="AH27" s="114">
        <v>3</v>
      </c>
      <c r="AI27" s="588">
        <v>4</v>
      </c>
      <c r="AJ27" s="155">
        <f>SUM(D28:AI28)</f>
        <v>70</v>
      </c>
      <c r="AK27" s="1029">
        <f>13.01+15.59</f>
        <v>28.6</v>
      </c>
      <c r="AL27" s="147"/>
      <c r="AM27" s="790"/>
      <c r="AN27" s="790"/>
      <c r="AO27" s="779" t="str">
        <f>IF(COUNT(AM27,AN27)&lt;2, "0", AN27 - AM27 + 1)</f>
        <v>0</v>
      </c>
      <c r="AP27" s="780">
        <f>IFERROR((AK27+AL27)/AO27,0)</f>
        <v>0</v>
      </c>
      <c r="AQ27" s="1031">
        <f>16.72+10.63</f>
        <v>27.35</v>
      </c>
      <c r="AR27" s="1031"/>
      <c r="AS27" s="791"/>
      <c r="AT27" s="791"/>
      <c r="AU27" s="781" t="str">
        <f>IF(COUNT(AS27,AT27)&lt;2, "0", AT27 - AS27 )</f>
        <v>0</v>
      </c>
      <c r="AV27" s="782">
        <f>IFERROR((AQ27+AR27)/AU27,0)</f>
        <v>0</v>
      </c>
      <c r="AW27" s="1035">
        <f>19.2+12.51</f>
        <v>31.71</v>
      </c>
      <c r="AX27" s="142"/>
      <c r="AY27" s="792"/>
      <c r="AZ27" s="792"/>
      <c r="BA27" s="783" t="str">
        <f>IF(COUNT(AY27,AZ27)&lt;2, "0", AZ27 - AY27 )</f>
        <v>0</v>
      </c>
      <c r="BB27" s="784">
        <f>IFERROR((AW27+AX27)/BA27,0)</f>
        <v>0</v>
      </c>
      <c r="BC27" s="144"/>
      <c r="BD27" s="144"/>
      <c r="BE27" s="995">
        <f>AK27+AQ27+AW27+BC27</f>
        <v>87.66</v>
      </c>
      <c r="BF27" s="995">
        <f>AL27+AR27+AX27+BD27</f>
        <v>0</v>
      </c>
      <c r="BG27" s="1006">
        <v>16</v>
      </c>
    </row>
    <row r="28" spans="1:59" ht="24" customHeight="1" x14ac:dyDescent="0.35">
      <c r="A28" s="1019"/>
      <c r="B28" s="1018"/>
      <c r="C28" s="1015"/>
      <c r="D28" s="110"/>
      <c r="E28" s="589"/>
      <c r="F28" s="589"/>
      <c r="G28" s="589"/>
      <c r="H28" s="589">
        <v>6</v>
      </c>
      <c r="I28" s="589">
        <v>6</v>
      </c>
      <c r="J28" s="589"/>
      <c r="K28" s="589"/>
      <c r="L28" s="589"/>
      <c r="M28" s="589"/>
      <c r="N28" s="589"/>
      <c r="O28" s="589"/>
      <c r="P28" s="589"/>
      <c r="Q28" s="589"/>
      <c r="R28" s="589"/>
      <c r="S28" s="589"/>
      <c r="T28" s="589">
        <v>16</v>
      </c>
      <c r="U28" s="589">
        <v>7</v>
      </c>
      <c r="V28" s="589"/>
      <c r="W28" s="589"/>
      <c r="X28" s="589"/>
      <c r="Y28" s="589"/>
      <c r="Z28" s="589"/>
      <c r="AA28" s="589"/>
      <c r="AB28" s="589"/>
      <c r="AC28" s="589"/>
      <c r="AD28" s="589"/>
      <c r="AE28" s="589"/>
      <c r="AF28" s="589">
        <v>18</v>
      </c>
      <c r="AG28" s="589"/>
      <c r="AH28" s="589">
        <v>17</v>
      </c>
      <c r="AI28" s="589"/>
      <c r="AJ28" s="156"/>
      <c r="AK28" s="1030"/>
      <c r="AL28" s="148"/>
      <c r="AM28" s="787"/>
      <c r="AN28" s="787"/>
      <c r="AO28" s="779"/>
      <c r="AP28" s="780"/>
      <c r="AQ28" s="1032"/>
      <c r="AR28" s="1032"/>
      <c r="AS28" s="768"/>
      <c r="AT28" s="768"/>
      <c r="AU28" s="781"/>
      <c r="AV28" s="782"/>
      <c r="AW28" s="1036"/>
      <c r="AX28" s="143"/>
      <c r="AY28" s="788"/>
      <c r="AZ28" s="788"/>
      <c r="BA28" s="783"/>
      <c r="BB28" s="784"/>
      <c r="BC28" s="122"/>
      <c r="BD28" s="122"/>
      <c r="BE28" s="1003"/>
      <c r="BF28" s="1003"/>
      <c r="BG28" s="1007"/>
    </row>
    <row r="29" spans="1:59" ht="24" customHeight="1" x14ac:dyDescent="0.35">
      <c r="A29" s="1019"/>
      <c r="B29" s="1018">
        <v>2011</v>
      </c>
      <c r="C29" s="1014">
        <v>17</v>
      </c>
      <c r="D29" s="106">
        <v>45.7</v>
      </c>
      <c r="E29" s="112">
        <v>1</v>
      </c>
      <c r="F29" s="588">
        <v>2</v>
      </c>
      <c r="G29" s="112">
        <v>3</v>
      </c>
      <c r="H29" s="588">
        <v>4</v>
      </c>
      <c r="I29" s="588">
        <v>5</v>
      </c>
      <c r="J29" s="588">
        <v>6</v>
      </c>
      <c r="K29" s="112">
        <v>7</v>
      </c>
      <c r="L29" s="588">
        <v>8</v>
      </c>
      <c r="M29" s="588">
        <v>9</v>
      </c>
      <c r="N29" s="588">
        <v>10</v>
      </c>
      <c r="O29" s="588">
        <v>11</v>
      </c>
      <c r="P29" s="588">
        <v>12</v>
      </c>
      <c r="Q29" s="113">
        <v>1</v>
      </c>
      <c r="R29" s="588">
        <v>2</v>
      </c>
      <c r="S29" s="113">
        <v>3</v>
      </c>
      <c r="T29" s="588">
        <v>4</v>
      </c>
      <c r="U29" s="588">
        <v>5</v>
      </c>
      <c r="V29" s="588">
        <v>6</v>
      </c>
      <c r="W29" s="588">
        <v>7</v>
      </c>
      <c r="X29" s="588">
        <v>8</v>
      </c>
      <c r="Y29" s="588">
        <v>9</v>
      </c>
      <c r="Z29" s="588">
        <v>10</v>
      </c>
      <c r="AA29" s="588">
        <v>11</v>
      </c>
      <c r="AB29" s="588">
        <v>12</v>
      </c>
      <c r="AC29" s="588">
        <v>13</v>
      </c>
      <c r="AD29" s="114">
        <v>1</v>
      </c>
      <c r="AE29" s="114">
        <v>2</v>
      </c>
      <c r="AF29" s="588">
        <v>3</v>
      </c>
      <c r="AG29" s="588">
        <v>4</v>
      </c>
      <c r="AH29" s="588">
        <v>5</v>
      </c>
      <c r="AI29" s="588">
        <v>6</v>
      </c>
      <c r="AJ29" s="155">
        <f>SUM(D30:AI30)</f>
        <v>82</v>
      </c>
      <c r="AK29" s="1029">
        <f>7.81+21.04</f>
        <v>28.849999999999998</v>
      </c>
      <c r="AL29" s="147"/>
      <c r="AM29" s="790"/>
      <c r="AN29" s="790"/>
      <c r="AO29" s="779" t="str">
        <f>IF(COUNT(AM29,AN29)&lt;2, "0", AN29 - AM29 + 1)</f>
        <v>0</v>
      </c>
      <c r="AP29" s="780">
        <f>IFERROR((AK29+AL29)/AO29,0)</f>
        <v>0</v>
      </c>
      <c r="AQ29" s="1031">
        <f>11.99+15.65+7.82</f>
        <v>35.46</v>
      </c>
      <c r="AR29" s="1031"/>
      <c r="AS29" s="791"/>
      <c r="AT29" s="791"/>
      <c r="AU29" s="781" t="str">
        <f>IF(COUNT(AS29,AT29)&lt;2, "0", AT29 - AS29 )</f>
        <v>0</v>
      </c>
      <c r="AV29" s="782">
        <f>IFERROR((AQ29+AR29)/AU29,0)</f>
        <v>0</v>
      </c>
      <c r="AW29" s="1035">
        <f>11.06+21.52</f>
        <v>32.58</v>
      </c>
      <c r="AX29" s="142"/>
      <c r="AY29" s="792"/>
      <c r="AZ29" s="792"/>
      <c r="BA29" s="783" t="str">
        <f>IF(COUNT(AY29,AZ29)&lt;2, "0", AZ29 - AY29 )</f>
        <v>0</v>
      </c>
      <c r="BB29" s="784">
        <f>IFERROR((AW29+AX29)/BA29,0)</f>
        <v>0</v>
      </c>
      <c r="BC29" s="144"/>
      <c r="BD29" s="144"/>
      <c r="BE29" s="995">
        <f>AK29+AQ29+AW29+BC29</f>
        <v>96.89</v>
      </c>
      <c r="BF29" s="995">
        <f>AL29+AR29+AX29+BD29</f>
        <v>0</v>
      </c>
      <c r="BG29" s="1006">
        <v>17</v>
      </c>
    </row>
    <row r="30" spans="1:59" ht="24" customHeight="1" x14ac:dyDescent="0.35">
      <c r="A30" s="1019"/>
      <c r="B30" s="1018"/>
      <c r="C30" s="1015"/>
      <c r="D30" s="110"/>
      <c r="E30" s="589">
        <v>10</v>
      </c>
      <c r="F30" s="589"/>
      <c r="G30" s="589">
        <v>15</v>
      </c>
      <c r="H30" s="589"/>
      <c r="I30" s="589"/>
      <c r="J30" s="589"/>
      <c r="K30" s="589">
        <v>7</v>
      </c>
      <c r="L30" s="589"/>
      <c r="M30" s="589"/>
      <c r="N30" s="589"/>
      <c r="O30" s="589"/>
      <c r="P30" s="589"/>
      <c r="Q30" s="589">
        <v>10</v>
      </c>
      <c r="R30" s="589"/>
      <c r="S30" s="589">
        <v>15</v>
      </c>
      <c r="T30" s="589"/>
      <c r="U30" s="589"/>
      <c r="V30" s="589"/>
      <c r="W30" s="589"/>
      <c r="X30" s="589"/>
      <c r="Y30" s="589"/>
      <c r="Z30" s="589"/>
      <c r="AA30" s="589"/>
      <c r="AB30" s="589"/>
      <c r="AC30" s="589"/>
      <c r="AD30" s="589">
        <v>7</v>
      </c>
      <c r="AE30" s="589">
        <v>18</v>
      </c>
      <c r="AF30" s="589"/>
      <c r="AG30" s="589"/>
      <c r="AH30" s="589"/>
      <c r="AI30" s="589"/>
      <c r="AJ30" s="156"/>
      <c r="AK30" s="1030"/>
      <c r="AL30" s="148"/>
      <c r="AM30" s="787"/>
      <c r="AN30" s="787"/>
      <c r="AO30" s="779"/>
      <c r="AP30" s="780"/>
      <c r="AQ30" s="1032"/>
      <c r="AR30" s="1032"/>
      <c r="AS30" s="768"/>
      <c r="AT30" s="768"/>
      <c r="AU30" s="781"/>
      <c r="AV30" s="782"/>
      <c r="AW30" s="1036"/>
      <c r="AX30" s="143"/>
      <c r="AY30" s="788"/>
      <c r="AZ30" s="788"/>
      <c r="BA30" s="783"/>
      <c r="BB30" s="784"/>
      <c r="BC30" s="122"/>
      <c r="BD30" s="122"/>
      <c r="BE30" s="1003"/>
      <c r="BF30" s="1003"/>
      <c r="BG30" s="1007"/>
    </row>
    <row r="31" spans="1:59" x14ac:dyDescent="0.35">
      <c r="A31" s="1019"/>
      <c r="B31" s="1018">
        <v>2012</v>
      </c>
      <c r="C31" s="1014">
        <v>19</v>
      </c>
      <c r="D31" s="106">
        <v>50.6</v>
      </c>
      <c r="E31" s="588">
        <v>7</v>
      </c>
      <c r="F31" s="588">
        <v>8</v>
      </c>
      <c r="G31" s="588">
        <v>9</v>
      </c>
      <c r="H31" s="588">
        <v>10</v>
      </c>
      <c r="I31" s="588">
        <v>11</v>
      </c>
      <c r="J31" s="588">
        <v>12</v>
      </c>
      <c r="K31" s="112">
        <v>1</v>
      </c>
      <c r="L31" s="588">
        <v>2</v>
      </c>
      <c r="M31" s="588">
        <v>3</v>
      </c>
      <c r="N31" s="588">
        <v>4</v>
      </c>
      <c r="O31" s="588">
        <v>5</v>
      </c>
      <c r="P31" s="588">
        <v>6</v>
      </c>
      <c r="Q31" s="588">
        <v>7</v>
      </c>
      <c r="R31" s="588">
        <v>8</v>
      </c>
      <c r="S31" s="588">
        <v>9</v>
      </c>
      <c r="T31" s="588">
        <v>10</v>
      </c>
      <c r="U31" s="588">
        <v>11</v>
      </c>
      <c r="V31" s="588">
        <v>12</v>
      </c>
      <c r="W31" s="113">
        <v>1</v>
      </c>
      <c r="X31" s="113">
        <v>2</v>
      </c>
      <c r="Y31" s="588">
        <v>3</v>
      </c>
      <c r="Z31" s="588">
        <v>4</v>
      </c>
      <c r="AA31" s="588">
        <v>5</v>
      </c>
      <c r="AB31" s="588">
        <v>6</v>
      </c>
      <c r="AC31" s="588">
        <v>7</v>
      </c>
      <c r="AD31" s="588">
        <v>8</v>
      </c>
      <c r="AE31" s="588">
        <v>9</v>
      </c>
      <c r="AF31" s="588">
        <v>10</v>
      </c>
      <c r="AG31" s="588">
        <v>11</v>
      </c>
      <c r="AH31" s="588">
        <v>12</v>
      </c>
      <c r="AI31" s="588">
        <v>13</v>
      </c>
      <c r="AJ31" s="155">
        <f>SUM(D32:AI32)</f>
        <v>34</v>
      </c>
      <c r="AK31" s="1029">
        <f>11.65+8.75+3.97+8.66+7.07</f>
        <v>40.1</v>
      </c>
      <c r="AL31" s="147"/>
      <c r="AM31" s="790"/>
      <c r="AN31" s="790"/>
      <c r="AO31" s="779" t="str">
        <f>IF(COUNT(AM31,AN31)&lt;2, "0", AN31 - AM31 + 1)</f>
        <v>0</v>
      </c>
      <c r="AP31" s="780">
        <f>IFERROR((AK31+AL31)/AO31,0)</f>
        <v>0</v>
      </c>
      <c r="AQ31" s="1031">
        <f>9.11</f>
        <v>9.11</v>
      </c>
      <c r="AR31" s="1031"/>
      <c r="AS31" s="791"/>
      <c r="AT31" s="791"/>
      <c r="AU31" s="781" t="str">
        <f>IF(COUNT(AS31,AT31)&lt;2, "0", AT31 - AS31 )</f>
        <v>0</v>
      </c>
      <c r="AV31" s="782">
        <f>IFERROR((AQ31+AR31)/AU31,0)</f>
        <v>0</v>
      </c>
      <c r="AW31" s="1035"/>
      <c r="AX31" s="142"/>
      <c r="AY31" s="792"/>
      <c r="AZ31" s="792"/>
      <c r="BA31" s="783" t="str">
        <f>IF(COUNT(AY31,AZ31)&lt;2, "0", AZ31 - AY31 )</f>
        <v>0</v>
      </c>
      <c r="BB31" s="784">
        <f>IFERROR((AW31+AX31)/BA31,0)</f>
        <v>0</v>
      </c>
      <c r="BC31" s="144"/>
      <c r="BD31" s="144"/>
      <c r="BE31" s="995">
        <f>AK31+AQ31+AW31+BC31</f>
        <v>49.21</v>
      </c>
      <c r="BF31" s="995">
        <f>AL31+AR31+AX31+BD31</f>
        <v>0</v>
      </c>
      <c r="BG31" s="1006">
        <v>19</v>
      </c>
    </row>
    <row r="32" spans="1:59" ht="24" customHeight="1" x14ac:dyDescent="0.35">
      <c r="A32" s="1019"/>
      <c r="B32" s="1018"/>
      <c r="C32" s="1015"/>
      <c r="D32" s="110"/>
      <c r="E32" s="589"/>
      <c r="F32" s="589"/>
      <c r="G32" s="589"/>
      <c r="H32" s="589"/>
      <c r="I32" s="589"/>
      <c r="J32" s="589"/>
      <c r="K32" s="589">
        <v>10</v>
      </c>
      <c r="L32" s="589"/>
      <c r="M32" s="589"/>
      <c r="N32" s="589"/>
      <c r="O32" s="589"/>
      <c r="P32" s="589"/>
      <c r="Q32" s="589"/>
      <c r="R32" s="589"/>
      <c r="S32" s="589"/>
      <c r="T32" s="589"/>
      <c r="U32" s="589"/>
      <c r="V32" s="589"/>
      <c r="W32" s="589">
        <v>6</v>
      </c>
      <c r="X32" s="589">
        <v>18</v>
      </c>
      <c r="Y32" s="589"/>
      <c r="Z32" s="589"/>
      <c r="AA32" s="589"/>
      <c r="AB32" s="589"/>
      <c r="AC32" s="589"/>
      <c r="AD32" s="589"/>
      <c r="AE32" s="589"/>
      <c r="AF32" s="589"/>
      <c r="AG32" s="589"/>
      <c r="AH32" s="589"/>
      <c r="AI32" s="589"/>
      <c r="AJ32" s="156"/>
      <c r="AK32" s="1030"/>
      <c r="AL32" s="148"/>
      <c r="AM32" s="787"/>
      <c r="AN32" s="787"/>
      <c r="AO32" s="779"/>
      <c r="AP32" s="780"/>
      <c r="AQ32" s="1032"/>
      <c r="AR32" s="1032"/>
      <c r="AS32" s="768"/>
      <c r="AT32" s="768"/>
      <c r="AU32" s="781"/>
      <c r="AV32" s="782"/>
      <c r="AW32" s="1036"/>
      <c r="AX32" s="143"/>
      <c r="AY32" s="788"/>
      <c r="AZ32" s="788"/>
      <c r="BA32" s="783"/>
      <c r="BB32" s="784"/>
      <c r="BC32" s="122"/>
      <c r="BD32" s="122"/>
      <c r="BE32" s="1003"/>
      <c r="BF32" s="1003"/>
      <c r="BG32" s="1007"/>
    </row>
    <row r="33" spans="1:59" ht="24" customHeight="1" x14ac:dyDescent="0.35">
      <c r="A33" s="1019"/>
      <c r="B33" s="1018">
        <v>2012</v>
      </c>
      <c r="C33" s="1014">
        <v>20</v>
      </c>
      <c r="D33" s="106">
        <v>62.1</v>
      </c>
      <c r="E33" s="588">
        <v>6</v>
      </c>
      <c r="F33" s="588">
        <v>7</v>
      </c>
      <c r="G33" s="588">
        <v>8</v>
      </c>
      <c r="H33" s="588">
        <v>9</v>
      </c>
      <c r="I33" s="588">
        <v>10</v>
      </c>
      <c r="J33" s="588">
        <v>11</v>
      </c>
      <c r="K33" s="588">
        <v>12</v>
      </c>
      <c r="L33" s="112">
        <v>1</v>
      </c>
      <c r="M33" s="112">
        <v>2</v>
      </c>
      <c r="N33" s="588">
        <v>3</v>
      </c>
      <c r="O33" s="588">
        <v>4</v>
      </c>
      <c r="P33" s="588">
        <v>5</v>
      </c>
      <c r="Q33" s="588">
        <v>6</v>
      </c>
      <c r="R33" s="588">
        <v>7</v>
      </c>
      <c r="S33" s="588">
        <v>8</v>
      </c>
      <c r="T33" s="588">
        <v>9</v>
      </c>
      <c r="U33" s="588">
        <v>10</v>
      </c>
      <c r="V33" s="588">
        <v>11</v>
      </c>
      <c r="W33" s="588">
        <v>12</v>
      </c>
      <c r="X33" s="588">
        <v>13</v>
      </c>
      <c r="Y33" s="113">
        <v>1</v>
      </c>
      <c r="Z33" s="113">
        <v>2</v>
      </c>
      <c r="AA33" s="588">
        <v>3</v>
      </c>
      <c r="AB33" s="588">
        <v>4</v>
      </c>
      <c r="AC33" s="588">
        <v>5</v>
      </c>
      <c r="AD33" s="588">
        <v>6</v>
      </c>
      <c r="AE33" s="588">
        <v>7</v>
      </c>
      <c r="AF33" s="588">
        <v>8</v>
      </c>
      <c r="AG33" s="588">
        <v>9</v>
      </c>
      <c r="AH33" s="588">
        <v>10</v>
      </c>
      <c r="AI33" s="588">
        <v>11</v>
      </c>
      <c r="AJ33" s="155">
        <f>SUM(D34:AI34)</f>
        <v>47</v>
      </c>
      <c r="AK33" s="1029">
        <f>8.82+26.84+12.3</f>
        <v>47.959999999999994</v>
      </c>
      <c r="AL33" s="147"/>
      <c r="AM33" s="790"/>
      <c r="AN33" s="790"/>
      <c r="AO33" s="779" t="str">
        <f>IF(COUNT(AM33,AN33)&lt;2, "0", AN33 - AM33 + 1)</f>
        <v>0</v>
      </c>
      <c r="AP33" s="780">
        <f>IFERROR((AK33+AL33)/AO33,0)</f>
        <v>0</v>
      </c>
      <c r="AQ33" s="1031">
        <f>21.04</f>
        <v>21.04</v>
      </c>
      <c r="AR33" s="1031"/>
      <c r="AS33" s="791"/>
      <c r="AT33" s="791"/>
      <c r="AU33" s="781" t="str">
        <f>IF(COUNT(AS33,AT33)&lt;2, "0", AT33 - AS33 )</f>
        <v>0</v>
      </c>
      <c r="AV33" s="782">
        <f>IFERROR((AQ33+AR33)/AU33,0)</f>
        <v>0</v>
      </c>
      <c r="AW33" s="1035"/>
      <c r="AX33" s="142"/>
      <c r="AY33" s="792"/>
      <c r="AZ33" s="792"/>
      <c r="BA33" s="783" t="str">
        <f>IF(COUNT(AY33,AZ33)&lt;2, "0", AZ33 - AY33 )</f>
        <v>0</v>
      </c>
      <c r="BB33" s="784">
        <f>IFERROR((AW33+AX33)/BA33,0)</f>
        <v>0</v>
      </c>
      <c r="BC33" s="144"/>
      <c r="BD33" s="144"/>
      <c r="BE33" s="995">
        <f>AK33+AQ33+AW33+BC33</f>
        <v>69</v>
      </c>
      <c r="BF33" s="995">
        <f>AL33+AR33+AX33+BD33</f>
        <v>0</v>
      </c>
      <c r="BG33" s="1006">
        <v>20</v>
      </c>
    </row>
    <row r="34" spans="1:59" ht="24" customHeight="1" x14ac:dyDescent="0.35">
      <c r="A34" s="1019"/>
      <c r="B34" s="1018"/>
      <c r="C34" s="1015"/>
      <c r="D34" s="110"/>
      <c r="E34" s="589"/>
      <c r="F34" s="589"/>
      <c r="G34" s="589"/>
      <c r="H34" s="589"/>
      <c r="I34" s="589"/>
      <c r="J34" s="589"/>
      <c r="K34" s="589"/>
      <c r="L34" s="589">
        <v>15</v>
      </c>
      <c r="M34" s="589">
        <v>6</v>
      </c>
      <c r="N34" s="589"/>
      <c r="O34" s="589"/>
      <c r="P34" s="589"/>
      <c r="Q34" s="589"/>
      <c r="R34" s="589"/>
      <c r="S34" s="589"/>
      <c r="T34" s="589"/>
      <c r="U34" s="589"/>
      <c r="V34" s="589"/>
      <c r="W34" s="589"/>
      <c r="X34" s="589"/>
      <c r="Y34" s="589">
        <v>18</v>
      </c>
      <c r="Z34" s="589">
        <v>8</v>
      </c>
      <c r="AA34" s="589"/>
      <c r="AB34" s="589"/>
      <c r="AC34" s="589"/>
      <c r="AD34" s="589"/>
      <c r="AE34" s="589"/>
      <c r="AF34" s="589"/>
      <c r="AG34" s="589"/>
      <c r="AH34" s="589"/>
      <c r="AI34" s="589"/>
      <c r="AJ34" s="156"/>
      <c r="AK34" s="1030"/>
      <c r="AL34" s="148"/>
      <c r="AM34" s="787"/>
      <c r="AN34" s="787"/>
      <c r="AO34" s="779"/>
      <c r="AP34" s="780"/>
      <c r="AQ34" s="1032"/>
      <c r="AR34" s="1032"/>
      <c r="AS34" s="768"/>
      <c r="AT34" s="768"/>
      <c r="AU34" s="781"/>
      <c r="AV34" s="782"/>
      <c r="AW34" s="1036"/>
      <c r="AX34" s="143"/>
      <c r="AY34" s="788"/>
      <c r="AZ34" s="788"/>
      <c r="BA34" s="783"/>
      <c r="BB34" s="784"/>
      <c r="BC34" s="122"/>
      <c r="BD34" s="122"/>
      <c r="BE34" s="1003"/>
      <c r="BF34" s="1003"/>
      <c r="BG34" s="1007"/>
    </row>
    <row r="35" spans="1:59" ht="24" customHeight="1" x14ac:dyDescent="0.35">
      <c r="A35" s="1019"/>
      <c r="B35" s="1018">
        <v>2012</v>
      </c>
      <c r="C35" s="1014">
        <v>21</v>
      </c>
      <c r="D35" s="106">
        <v>72.2</v>
      </c>
      <c r="E35" s="588">
        <v>5</v>
      </c>
      <c r="F35" s="588">
        <v>6</v>
      </c>
      <c r="G35" s="588">
        <v>7</v>
      </c>
      <c r="H35" s="588">
        <v>8</v>
      </c>
      <c r="I35" s="588">
        <v>9</v>
      </c>
      <c r="J35" s="588">
        <v>10</v>
      </c>
      <c r="K35" s="588">
        <v>11</v>
      </c>
      <c r="L35" s="588">
        <v>12</v>
      </c>
      <c r="M35" s="112">
        <v>1</v>
      </c>
      <c r="N35" s="112">
        <v>2</v>
      </c>
      <c r="O35" s="112">
        <v>3</v>
      </c>
      <c r="P35" s="588">
        <v>4</v>
      </c>
      <c r="Q35" s="588">
        <v>5</v>
      </c>
      <c r="R35" s="588">
        <v>6</v>
      </c>
      <c r="S35" s="588">
        <v>7</v>
      </c>
      <c r="T35" s="588">
        <v>8</v>
      </c>
      <c r="U35" s="588">
        <v>9</v>
      </c>
      <c r="V35" s="588">
        <v>10</v>
      </c>
      <c r="W35" s="113">
        <v>1</v>
      </c>
      <c r="X35" s="588">
        <v>2</v>
      </c>
      <c r="Y35" s="588">
        <v>3</v>
      </c>
      <c r="Z35" s="113">
        <v>4</v>
      </c>
      <c r="AA35" s="113">
        <v>5</v>
      </c>
      <c r="AB35" s="113">
        <v>6</v>
      </c>
      <c r="AC35" s="588">
        <v>7</v>
      </c>
      <c r="AD35" s="588">
        <v>8</v>
      </c>
      <c r="AE35" s="588">
        <v>9</v>
      </c>
      <c r="AF35" s="588">
        <v>10</v>
      </c>
      <c r="AG35" s="588">
        <v>11</v>
      </c>
      <c r="AH35" s="588">
        <v>12</v>
      </c>
      <c r="AI35" s="588">
        <v>13</v>
      </c>
      <c r="AJ35" s="158">
        <f>SUM(D36:AI36)</f>
        <v>76</v>
      </c>
      <c r="AK35" s="1029">
        <f>11.55+19.48+15.54</f>
        <v>46.57</v>
      </c>
      <c r="AL35" s="147"/>
      <c r="AM35" s="790"/>
      <c r="AN35" s="790"/>
      <c r="AO35" s="779" t="str">
        <f>IF(COUNT(AM35,AN35)&lt;2, "0", AN35 - AM35 + 1)</f>
        <v>0</v>
      </c>
      <c r="AP35" s="780">
        <f>IFERROR((AK35+AL35)/AO35,0)</f>
        <v>0</v>
      </c>
      <c r="AQ35" s="1031">
        <f>24.74+21.51+3.23</f>
        <v>49.48</v>
      </c>
      <c r="AR35" s="1031"/>
      <c r="AS35" s="791"/>
      <c r="AT35" s="791"/>
      <c r="AU35" s="781" t="str">
        <f>IF(COUNT(AS35,AT35)&lt;2, "0", AT35 - AS35 )</f>
        <v>0</v>
      </c>
      <c r="AV35" s="782">
        <f>IFERROR((AQ35+AR35)/AU35,0)</f>
        <v>0</v>
      </c>
      <c r="AW35" s="1035"/>
      <c r="AX35" s="142"/>
      <c r="AY35" s="792"/>
      <c r="AZ35" s="792"/>
      <c r="BA35" s="783" t="str">
        <f>IF(COUNT(AY35,AZ35)&lt;2, "0", AZ35 - AY35 )</f>
        <v>0</v>
      </c>
      <c r="BB35" s="784">
        <f>IFERROR((AW35+AX35)/BA35,0)</f>
        <v>0</v>
      </c>
      <c r="BC35" s="144"/>
      <c r="BD35" s="144"/>
      <c r="BE35" s="995">
        <f>AK35+AQ35+AW35+BC35</f>
        <v>96.05</v>
      </c>
      <c r="BF35" s="995">
        <f>AL35+AR35+AX35+BD35</f>
        <v>0</v>
      </c>
      <c r="BG35" s="1006">
        <v>21</v>
      </c>
    </row>
    <row r="36" spans="1:59" ht="24" customHeight="1" x14ac:dyDescent="0.35">
      <c r="A36" s="1019"/>
      <c r="B36" s="1018"/>
      <c r="C36" s="1015"/>
      <c r="D36" s="110"/>
      <c r="E36" s="589"/>
      <c r="F36" s="589"/>
      <c r="G36" s="589"/>
      <c r="H36" s="589"/>
      <c r="I36" s="589"/>
      <c r="J36" s="589"/>
      <c r="K36" s="589"/>
      <c r="L36" s="589"/>
      <c r="M36" s="589">
        <v>10</v>
      </c>
      <c r="N36" s="589">
        <v>18</v>
      </c>
      <c r="O36" s="589">
        <v>6</v>
      </c>
      <c r="P36" s="589"/>
      <c r="Q36" s="589"/>
      <c r="R36" s="589"/>
      <c r="S36" s="589"/>
      <c r="T36" s="589"/>
      <c r="U36" s="589"/>
      <c r="V36" s="589"/>
      <c r="W36" s="589">
        <v>8</v>
      </c>
      <c r="X36" s="589"/>
      <c r="Y36" s="589"/>
      <c r="Z36" s="589">
        <v>10</v>
      </c>
      <c r="AA36" s="589">
        <v>17</v>
      </c>
      <c r="AB36" s="589">
        <v>7</v>
      </c>
      <c r="AC36" s="589"/>
      <c r="AD36" s="589"/>
      <c r="AE36" s="589"/>
      <c r="AF36" s="589"/>
      <c r="AG36" s="589"/>
      <c r="AH36" s="589"/>
      <c r="AI36" s="589"/>
      <c r="AJ36" s="159"/>
      <c r="AK36" s="1030"/>
      <c r="AL36" s="148"/>
      <c r="AM36" s="787"/>
      <c r="AN36" s="787"/>
      <c r="AO36" s="779"/>
      <c r="AP36" s="780"/>
      <c r="AQ36" s="1032"/>
      <c r="AR36" s="1032"/>
      <c r="AS36" s="768"/>
      <c r="AT36" s="768"/>
      <c r="AU36" s="781"/>
      <c r="AV36" s="782"/>
      <c r="AW36" s="1036"/>
      <c r="AX36" s="143"/>
      <c r="AY36" s="788"/>
      <c r="AZ36" s="788"/>
      <c r="BA36" s="783"/>
      <c r="BB36" s="784"/>
      <c r="BC36" s="122"/>
      <c r="BD36" s="122"/>
      <c r="BE36" s="1003"/>
      <c r="BF36" s="1003"/>
      <c r="BG36" s="1007"/>
    </row>
    <row r="37" spans="1:59" ht="24" customHeight="1" x14ac:dyDescent="0.35">
      <c r="A37" s="1019"/>
      <c r="B37" s="1014">
        <v>2010</v>
      </c>
      <c r="C37" s="1014">
        <v>11</v>
      </c>
      <c r="D37" s="106">
        <v>44.5</v>
      </c>
      <c r="E37" s="588">
        <v>17</v>
      </c>
      <c r="F37" s="588">
        <v>18</v>
      </c>
      <c r="G37" s="588">
        <v>19</v>
      </c>
      <c r="H37" s="588">
        <v>20</v>
      </c>
      <c r="I37" s="588">
        <v>21</v>
      </c>
      <c r="J37" s="588">
        <v>22</v>
      </c>
      <c r="K37" s="588">
        <v>23</v>
      </c>
      <c r="L37" s="588">
        <v>24</v>
      </c>
      <c r="M37" s="112">
        <v>1</v>
      </c>
      <c r="N37" s="112">
        <v>2</v>
      </c>
      <c r="O37" s="112">
        <v>3</v>
      </c>
      <c r="P37" s="112">
        <v>4</v>
      </c>
      <c r="Q37" s="588">
        <v>5</v>
      </c>
      <c r="R37" s="588">
        <v>6</v>
      </c>
      <c r="S37" s="588">
        <v>7</v>
      </c>
      <c r="T37" s="588">
        <v>8</v>
      </c>
      <c r="U37" s="588">
        <v>9</v>
      </c>
      <c r="V37" s="588">
        <v>10</v>
      </c>
      <c r="W37" s="588">
        <v>11</v>
      </c>
      <c r="X37" s="588">
        <v>12</v>
      </c>
      <c r="Y37" s="588">
        <v>13</v>
      </c>
      <c r="Z37" s="588">
        <v>14</v>
      </c>
      <c r="AA37" s="113">
        <v>1</v>
      </c>
      <c r="AB37" s="113">
        <v>2</v>
      </c>
      <c r="AC37" s="588">
        <v>3</v>
      </c>
      <c r="AD37" s="113">
        <v>4</v>
      </c>
      <c r="AE37" s="113">
        <v>5</v>
      </c>
      <c r="AF37" s="588">
        <v>6</v>
      </c>
      <c r="AG37" s="588">
        <v>7</v>
      </c>
      <c r="AH37" s="588">
        <v>8</v>
      </c>
      <c r="AI37" s="588">
        <v>9</v>
      </c>
      <c r="AJ37" s="158">
        <f>SUM(D38:AI38)</f>
        <v>32</v>
      </c>
      <c r="AK37" s="1029">
        <f>4.03+7.49+11.9+5.96</f>
        <v>29.380000000000003</v>
      </c>
      <c r="AL37" s="147"/>
      <c r="AM37" s="790"/>
      <c r="AN37" s="790"/>
      <c r="AO37" s="779" t="str">
        <f>IF(COUNT(AM37,AN37)&lt;2, "0", AN37 - AM37 + 1)</f>
        <v>0</v>
      </c>
      <c r="AP37" s="780">
        <f>IFERROR((AK37+AL37)/AO37,0)</f>
        <v>0</v>
      </c>
      <c r="AQ37" s="1031">
        <f>3.79+3.71+2.32+4.35+8.45</f>
        <v>22.619999999999997</v>
      </c>
      <c r="AR37" s="1031"/>
      <c r="AS37" s="791"/>
      <c r="AT37" s="791"/>
      <c r="AU37" s="781" t="str">
        <f>IF(COUNT(AS37,AT37)&lt;2, "0", AT37 - AS37 )</f>
        <v>0</v>
      </c>
      <c r="AV37" s="782">
        <f>IFERROR((AQ37+AR37)/AU37,0)</f>
        <v>0</v>
      </c>
      <c r="AW37" s="1035"/>
      <c r="AX37" s="142"/>
      <c r="AY37" s="792"/>
      <c r="AZ37" s="792"/>
      <c r="BA37" s="783" t="str">
        <f>IF(COUNT(AY37,AZ37)&lt;2, "0", AZ37 - AY37 )</f>
        <v>0</v>
      </c>
      <c r="BB37" s="784">
        <f>IFERROR((AW37+AX37)/BA37,0)</f>
        <v>0</v>
      </c>
      <c r="BC37" s="144"/>
      <c r="BD37" s="144"/>
      <c r="BE37" s="995">
        <f>AK37+AQ37+AW37+BC37</f>
        <v>52</v>
      </c>
      <c r="BF37" s="995">
        <f>AL37+AR37+AX37+BD37</f>
        <v>0</v>
      </c>
      <c r="BG37" s="1006">
        <v>11</v>
      </c>
    </row>
    <row r="38" spans="1:59" ht="24" customHeight="1" x14ac:dyDescent="0.35">
      <c r="A38" s="1019"/>
      <c r="B38" s="1015"/>
      <c r="C38" s="1015"/>
      <c r="D38" s="110"/>
      <c r="E38" s="589"/>
      <c r="F38" s="589"/>
      <c r="G38" s="589"/>
      <c r="H38" s="589"/>
      <c r="I38" s="589"/>
      <c r="J38" s="589"/>
      <c r="K38" s="589"/>
      <c r="L38" s="589"/>
      <c r="M38" s="589">
        <v>4</v>
      </c>
      <c r="N38" s="589">
        <v>4</v>
      </c>
      <c r="O38" s="589">
        <v>4</v>
      </c>
      <c r="P38" s="589">
        <v>4</v>
      </c>
      <c r="Q38" s="589"/>
      <c r="R38" s="589"/>
      <c r="S38" s="589"/>
      <c r="T38" s="589"/>
      <c r="U38" s="589"/>
      <c r="V38" s="589"/>
      <c r="W38" s="589"/>
      <c r="X38" s="589"/>
      <c r="Y38" s="589"/>
      <c r="Z38" s="589"/>
      <c r="AA38" s="589">
        <v>4</v>
      </c>
      <c r="AB38" s="589">
        <v>4</v>
      </c>
      <c r="AC38" s="589"/>
      <c r="AD38" s="589">
        <v>4</v>
      </c>
      <c r="AE38" s="589">
        <v>4</v>
      </c>
      <c r="AF38" s="589"/>
      <c r="AG38" s="589"/>
      <c r="AH38" s="589"/>
      <c r="AI38" s="589"/>
      <c r="AJ38" s="159"/>
      <c r="AK38" s="1030"/>
      <c r="AL38" s="148"/>
      <c r="AM38" s="787"/>
      <c r="AN38" s="787"/>
      <c r="AO38" s="779"/>
      <c r="AP38" s="780"/>
      <c r="AQ38" s="1032"/>
      <c r="AR38" s="1032"/>
      <c r="AS38" s="768"/>
      <c r="AT38" s="768"/>
      <c r="AU38" s="781"/>
      <c r="AV38" s="782"/>
      <c r="AW38" s="1036"/>
      <c r="AX38" s="143"/>
      <c r="AY38" s="788"/>
      <c r="AZ38" s="788"/>
      <c r="BA38" s="783"/>
      <c r="BB38" s="784"/>
      <c r="BC38" s="122"/>
      <c r="BD38" s="122"/>
      <c r="BE38" s="1003"/>
      <c r="BF38" s="1003"/>
      <c r="BG38" s="1007"/>
    </row>
    <row r="39" spans="1:59" ht="24" customHeight="1" x14ac:dyDescent="0.35">
      <c r="A39" s="1019"/>
      <c r="B39" s="1018">
        <v>2012</v>
      </c>
      <c r="C39" s="1014">
        <v>22</v>
      </c>
      <c r="D39" s="106">
        <v>52.3</v>
      </c>
      <c r="E39" s="112">
        <v>3</v>
      </c>
      <c r="F39" s="588">
        <v>4</v>
      </c>
      <c r="G39" s="588">
        <v>5</v>
      </c>
      <c r="H39" s="588">
        <v>6</v>
      </c>
      <c r="I39" s="588">
        <v>7</v>
      </c>
      <c r="J39" s="588">
        <v>8</v>
      </c>
      <c r="K39" s="588">
        <v>9</v>
      </c>
      <c r="L39" s="588">
        <v>10</v>
      </c>
      <c r="M39" s="588">
        <v>11</v>
      </c>
      <c r="N39" s="588">
        <v>12</v>
      </c>
      <c r="O39" s="113">
        <v>1</v>
      </c>
      <c r="P39" s="113">
        <v>2</v>
      </c>
      <c r="Q39" s="113">
        <v>3</v>
      </c>
      <c r="R39" s="588">
        <v>4</v>
      </c>
      <c r="S39" s="588">
        <v>5</v>
      </c>
      <c r="T39" s="588">
        <v>6</v>
      </c>
      <c r="U39" s="588">
        <v>7</v>
      </c>
      <c r="V39" s="588">
        <v>8</v>
      </c>
      <c r="W39" s="588">
        <v>9</v>
      </c>
      <c r="X39" s="588">
        <v>10</v>
      </c>
      <c r="Y39" s="588">
        <v>11</v>
      </c>
      <c r="Z39" s="588">
        <v>12</v>
      </c>
      <c r="AA39" s="588">
        <v>13</v>
      </c>
      <c r="AB39" s="114">
        <v>1</v>
      </c>
      <c r="AC39" s="114">
        <v>2</v>
      </c>
      <c r="AD39" s="114">
        <v>3</v>
      </c>
      <c r="AE39" s="588">
        <v>4</v>
      </c>
      <c r="AF39" s="588">
        <v>5</v>
      </c>
      <c r="AG39" s="588">
        <v>6</v>
      </c>
      <c r="AH39" s="588">
        <v>7</v>
      </c>
      <c r="AI39" s="588">
        <v>8</v>
      </c>
      <c r="AJ39" s="158">
        <f>SUM(D40:AI40)</f>
        <v>78</v>
      </c>
      <c r="AK39" s="1029">
        <f>7.25</f>
        <v>7.25</v>
      </c>
      <c r="AL39" s="147"/>
      <c r="AM39" s="790"/>
      <c r="AN39" s="790"/>
      <c r="AO39" s="779" t="str">
        <f>IF(COUNT(AM39,AN39)&lt;2, "0", AN39 - AM39 + 1)</f>
        <v>0</v>
      </c>
      <c r="AP39" s="780">
        <f>IFERROR((AK39+AL39)/AO39,0)</f>
        <v>0</v>
      </c>
      <c r="AQ39" s="1031">
        <f>4.7+16.03+8.54</f>
        <v>29.27</v>
      </c>
      <c r="AR39" s="1031"/>
      <c r="AS39" s="791"/>
      <c r="AT39" s="791"/>
      <c r="AU39" s="781" t="str">
        <f>IF(COUNT(AS39,AT39)&lt;2, "0", AT39 - AS39 )</f>
        <v>0</v>
      </c>
      <c r="AV39" s="782">
        <f>IFERROR((AQ39+AR39)/AU39,0)</f>
        <v>0</v>
      </c>
      <c r="AW39" s="1035">
        <f>12.55+18.61</f>
        <v>31.16</v>
      </c>
      <c r="AX39" s="142"/>
      <c r="AY39" s="792"/>
      <c r="AZ39" s="792"/>
      <c r="BA39" s="783" t="str">
        <f>IF(COUNT(AY39,AZ39)&lt;2, "0", AZ39 - AY39 )</f>
        <v>0</v>
      </c>
      <c r="BB39" s="784">
        <f>IFERROR((AW39+AX39)/BA39,0)</f>
        <v>0</v>
      </c>
      <c r="BC39" s="144"/>
      <c r="BD39" s="144"/>
      <c r="BE39" s="995">
        <f>AK39+AQ39+AW39+BC39</f>
        <v>67.679999999999993</v>
      </c>
      <c r="BF39" s="995">
        <f>AL39+AR39+AX39+BD39</f>
        <v>0</v>
      </c>
      <c r="BG39" s="1006">
        <v>22</v>
      </c>
    </row>
    <row r="40" spans="1:59" ht="24" customHeight="1" x14ac:dyDescent="0.35">
      <c r="A40" s="1020"/>
      <c r="B40" s="1015"/>
      <c r="C40" s="1015"/>
      <c r="D40" s="110"/>
      <c r="E40" s="589">
        <v>6</v>
      </c>
      <c r="F40" s="589"/>
      <c r="G40" s="589"/>
      <c r="H40" s="589"/>
      <c r="I40" s="589"/>
      <c r="J40" s="589"/>
      <c r="K40" s="589"/>
      <c r="L40" s="589"/>
      <c r="M40" s="589"/>
      <c r="N40" s="589"/>
      <c r="O40" s="589">
        <v>10</v>
      </c>
      <c r="P40" s="589">
        <v>17</v>
      </c>
      <c r="Q40" s="589">
        <v>8</v>
      </c>
      <c r="R40" s="589"/>
      <c r="S40" s="589"/>
      <c r="T40" s="589"/>
      <c r="U40" s="589"/>
      <c r="V40" s="589"/>
      <c r="W40" s="589"/>
      <c r="X40" s="589"/>
      <c r="Y40" s="589"/>
      <c r="Z40" s="589"/>
      <c r="AA40" s="589"/>
      <c r="AB40" s="589">
        <v>10</v>
      </c>
      <c r="AC40" s="589">
        <v>17</v>
      </c>
      <c r="AD40" s="589">
        <v>10</v>
      </c>
      <c r="AE40" s="589"/>
      <c r="AF40" s="589"/>
      <c r="AG40" s="589"/>
      <c r="AH40" s="589"/>
      <c r="AI40" s="589"/>
      <c r="AJ40" s="159"/>
      <c r="AK40" s="1030"/>
      <c r="AL40" s="148"/>
      <c r="AM40" s="787"/>
      <c r="AN40" s="787"/>
      <c r="AO40" s="779"/>
      <c r="AP40" s="780"/>
      <c r="AQ40" s="1032"/>
      <c r="AR40" s="1032"/>
      <c r="AS40" s="768"/>
      <c r="AT40" s="768"/>
      <c r="AU40" s="781"/>
      <c r="AV40" s="782"/>
      <c r="AW40" s="1036"/>
      <c r="AX40" s="143"/>
      <c r="AY40" s="788"/>
      <c r="AZ40" s="788"/>
      <c r="BA40" s="783"/>
      <c r="BB40" s="784"/>
      <c r="BC40" s="122"/>
      <c r="BD40" s="122"/>
      <c r="BE40" s="1003"/>
      <c r="BF40" s="1003"/>
      <c r="BG40" s="1007"/>
    </row>
    <row r="41" spans="1:59" ht="24" customHeight="1" x14ac:dyDescent="0.35">
      <c r="A41" s="1019" t="s">
        <v>67</v>
      </c>
      <c r="B41" s="1014">
        <v>2011</v>
      </c>
      <c r="C41" s="1014">
        <v>10</v>
      </c>
      <c r="D41" s="106">
        <v>19.100000000000001</v>
      </c>
      <c r="E41" s="588">
        <v>9</v>
      </c>
      <c r="F41" s="588">
        <v>10</v>
      </c>
      <c r="G41" s="588">
        <v>11</v>
      </c>
      <c r="H41" s="588">
        <v>12</v>
      </c>
      <c r="I41" s="588">
        <v>13</v>
      </c>
      <c r="J41" s="588">
        <v>14</v>
      </c>
      <c r="K41" s="588">
        <v>15</v>
      </c>
      <c r="L41" s="112">
        <v>1</v>
      </c>
      <c r="M41" s="588">
        <v>2</v>
      </c>
      <c r="N41" s="588">
        <v>3</v>
      </c>
      <c r="O41" s="588">
        <v>4</v>
      </c>
      <c r="P41" s="588">
        <v>5</v>
      </c>
      <c r="Q41" s="588">
        <v>6</v>
      </c>
      <c r="R41" s="588">
        <v>7</v>
      </c>
      <c r="S41" s="588">
        <v>8</v>
      </c>
      <c r="T41" s="588">
        <v>9</v>
      </c>
      <c r="U41" s="588">
        <v>10</v>
      </c>
      <c r="V41" s="588">
        <v>11</v>
      </c>
      <c r="W41" s="588">
        <v>12</v>
      </c>
      <c r="X41" s="588">
        <v>13</v>
      </c>
      <c r="Y41" s="588">
        <v>14</v>
      </c>
      <c r="Z41" s="588">
        <v>15</v>
      </c>
      <c r="AA41" s="588">
        <v>16</v>
      </c>
      <c r="AB41" s="588">
        <v>17</v>
      </c>
      <c r="AC41" s="588">
        <v>18</v>
      </c>
      <c r="AD41" s="588">
        <v>19</v>
      </c>
      <c r="AE41" s="113">
        <v>1</v>
      </c>
      <c r="AF41" s="588">
        <v>2</v>
      </c>
      <c r="AG41" s="588">
        <v>3</v>
      </c>
      <c r="AH41" s="588">
        <v>4</v>
      </c>
      <c r="AI41" s="588">
        <v>5</v>
      </c>
      <c r="AJ41" s="155">
        <f>SUM(D42:AI42)</f>
        <v>18</v>
      </c>
      <c r="AK41" s="1029">
        <f>11.66+3.08</f>
        <v>14.74</v>
      </c>
      <c r="AL41" s="147"/>
      <c r="AM41" s="790"/>
      <c r="AN41" s="790"/>
      <c r="AO41" s="779" t="str">
        <f>IF(COUNT(AM41,AN41)&lt;2, "0", AN41 - AM41 + 1)</f>
        <v>0</v>
      </c>
      <c r="AP41" s="780">
        <f>IFERROR((AK41+AL41)/AO41,0)</f>
        <v>0</v>
      </c>
      <c r="AQ41" s="1031">
        <f>14.57</f>
        <v>14.57</v>
      </c>
      <c r="AR41" s="1031"/>
      <c r="AS41" s="791"/>
      <c r="AT41" s="791"/>
      <c r="AU41" s="781" t="str">
        <f>IF(COUNT(AS41,AT41)&lt;2, "0", AT41 - AS41 )</f>
        <v>0</v>
      </c>
      <c r="AV41" s="782">
        <f>IFERROR((AQ41+AR41)/AU41,0)</f>
        <v>0</v>
      </c>
      <c r="AW41" s="1035"/>
      <c r="AX41" s="142"/>
      <c r="AY41" s="792"/>
      <c r="AZ41" s="792"/>
      <c r="BA41" s="783" t="str">
        <f>IF(COUNT(AY41,AZ41)&lt;2, "0", AZ41 - AY41 )</f>
        <v>0</v>
      </c>
      <c r="BB41" s="784">
        <f>IFERROR((AW41+AX41)/BA41,0)</f>
        <v>0</v>
      </c>
      <c r="BC41" s="144"/>
      <c r="BD41" s="144"/>
      <c r="BE41" s="995">
        <f>AK41+AQ41+AW41+BC41</f>
        <v>29.310000000000002</v>
      </c>
      <c r="BF41" s="995">
        <f>AL41+AR41+AX41+BD41</f>
        <v>0</v>
      </c>
      <c r="BG41" s="1004">
        <v>10</v>
      </c>
    </row>
    <row r="42" spans="1:59" ht="24" customHeight="1" x14ac:dyDescent="0.35">
      <c r="A42" s="1019"/>
      <c r="B42" s="1015"/>
      <c r="C42" s="1015"/>
      <c r="D42" s="110"/>
      <c r="E42" s="589"/>
      <c r="F42" s="589"/>
      <c r="G42" s="589"/>
      <c r="H42" s="589"/>
      <c r="I42" s="589"/>
      <c r="J42" s="589"/>
      <c r="K42" s="589"/>
      <c r="L42" s="589">
        <v>9</v>
      </c>
      <c r="M42" s="589"/>
      <c r="N42" s="589"/>
      <c r="O42" s="589"/>
      <c r="P42" s="589"/>
      <c r="Q42" s="589"/>
      <c r="R42" s="589"/>
      <c r="S42" s="589"/>
      <c r="T42" s="589"/>
      <c r="U42" s="589"/>
      <c r="V42" s="589"/>
      <c r="W42" s="589"/>
      <c r="X42" s="589"/>
      <c r="Y42" s="589"/>
      <c r="Z42" s="589"/>
      <c r="AA42" s="589"/>
      <c r="AB42" s="589"/>
      <c r="AC42" s="589"/>
      <c r="AD42" s="589"/>
      <c r="AE42" s="589">
        <v>9</v>
      </c>
      <c r="AF42" s="589"/>
      <c r="AG42" s="589"/>
      <c r="AH42" s="589"/>
      <c r="AI42" s="589"/>
      <c r="AJ42" s="156"/>
      <c r="AK42" s="1030"/>
      <c r="AL42" s="148"/>
      <c r="AM42" s="787"/>
      <c r="AN42" s="787"/>
      <c r="AO42" s="779"/>
      <c r="AP42" s="780"/>
      <c r="AQ42" s="1032"/>
      <c r="AR42" s="1032"/>
      <c r="AS42" s="768"/>
      <c r="AT42" s="768"/>
      <c r="AU42" s="781"/>
      <c r="AV42" s="782"/>
      <c r="AW42" s="1036"/>
      <c r="AX42" s="143"/>
      <c r="AY42" s="788"/>
      <c r="AZ42" s="788"/>
      <c r="BA42" s="783"/>
      <c r="BB42" s="784"/>
      <c r="BC42" s="122"/>
      <c r="BD42" s="122"/>
      <c r="BE42" s="1003"/>
      <c r="BF42" s="1003"/>
      <c r="BG42" s="1005"/>
    </row>
    <row r="43" spans="1:59" ht="24" customHeight="1" x14ac:dyDescent="0.35">
      <c r="A43" s="1019"/>
      <c r="B43" s="1014">
        <v>2010</v>
      </c>
      <c r="C43" s="1014">
        <v>8</v>
      </c>
      <c r="D43" s="106">
        <v>61.6</v>
      </c>
      <c r="E43" s="112">
        <v>1</v>
      </c>
      <c r="F43" s="588">
        <v>2</v>
      </c>
      <c r="G43" s="112">
        <v>3</v>
      </c>
      <c r="H43" s="112">
        <v>4</v>
      </c>
      <c r="I43" s="112">
        <v>5</v>
      </c>
      <c r="J43" s="112">
        <v>6</v>
      </c>
      <c r="K43" s="588">
        <v>7</v>
      </c>
      <c r="L43" s="588">
        <v>8</v>
      </c>
      <c r="M43" s="588">
        <v>9</v>
      </c>
      <c r="N43" s="588">
        <v>10</v>
      </c>
      <c r="O43" s="588">
        <v>11</v>
      </c>
      <c r="P43" s="588">
        <v>12</v>
      </c>
      <c r="Q43" s="588">
        <v>13</v>
      </c>
      <c r="R43" s="588">
        <v>14</v>
      </c>
      <c r="S43" s="588">
        <v>15</v>
      </c>
      <c r="T43" s="588">
        <v>16</v>
      </c>
      <c r="U43" s="588">
        <v>17</v>
      </c>
      <c r="V43" s="588">
        <v>18</v>
      </c>
      <c r="W43" s="588">
        <v>19</v>
      </c>
      <c r="X43" s="588">
        <v>20</v>
      </c>
      <c r="Y43" s="113">
        <v>1</v>
      </c>
      <c r="Z43" s="113">
        <v>2</v>
      </c>
      <c r="AA43" s="113">
        <v>3</v>
      </c>
      <c r="AB43" s="113">
        <v>4</v>
      </c>
      <c r="AC43" s="588">
        <v>5</v>
      </c>
      <c r="AD43" s="588">
        <v>6</v>
      </c>
      <c r="AE43" s="588">
        <v>7</v>
      </c>
      <c r="AF43" s="588">
        <v>8</v>
      </c>
      <c r="AG43" s="588">
        <v>9</v>
      </c>
      <c r="AH43" s="588">
        <v>10</v>
      </c>
      <c r="AI43" s="588">
        <v>11</v>
      </c>
      <c r="AJ43" s="158">
        <f>SUM(D44:AI44)</f>
        <v>64</v>
      </c>
      <c r="AK43" s="1029">
        <f>3.55+17.32+11.12+11.95+12.77+4.47</f>
        <v>61.179999999999993</v>
      </c>
      <c r="AL43" s="147"/>
      <c r="AM43" s="790"/>
      <c r="AN43" s="790"/>
      <c r="AO43" s="779" t="str">
        <f>IF(COUNT(AM43,AN43)&lt;2, "0", AN43 - AM43 + 1)</f>
        <v>0</v>
      </c>
      <c r="AP43" s="780">
        <f>IFERROR((AK43+AL43)/AO43,0)</f>
        <v>0</v>
      </c>
      <c r="AQ43" s="1031">
        <f>24.2+14.42+19.29+4.06</f>
        <v>61.97</v>
      </c>
      <c r="AR43" s="1031"/>
      <c r="AS43" s="791"/>
      <c r="AT43" s="791"/>
      <c r="AU43" s="781" t="str">
        <f>IF(COUNT(AS43,AT43)&lt;2, "0", AT43 - AS43 )</f>
        <v>0</v>
      </c>
      <c r="AV43" s="782">
        <f>IFERROR((AQ43+AR43)/AU43,0)</f>
        <v>0</v>
      </c>
      <c r="AW43" s="1035"/>
      <c r="AX43" s="142"/>
      <c r="AY43" s="792"/>
      <c r="AZ43" s="792"/>
      <c r="BA43" s="783" t="str">
        <f>IF(COUNT(AY43,AZ43)&lt;2, "0", AZ43 - AY43 )</f>
        <v>0</v>
      </c>
      <c r="BB43" s="784">
        <f>IFERROR((AW43+AX43)/BA43,0)</f>
        <v>0</v>
      </c>
      <c r="BC43" s="144"/>
      <c r="BD43" s="144"/>
      <c r="BE43" s="995">
        <f>AK43+AQ43+AW43+BC43</f>
        <v>123.14999999999999</v>
      </c>
      <c r="BF43" s="995">
        <f>AL43+AR43+AX43+BD43</f>
        <v>0</v>
      </c>
      <c r="BG43" s="1004">
        <v>8</v>
      </c>
    </row>
    <row r="44" spans="1:59" ht="24" customHeight="1" x14ac:dyDescent="0.35">
      <c r="A44" s="1019"/>
      <c r="B44" s="1018"/>
      <c r="C44" s="1015"/>
      <c r="D44" s="110"/>
      <c r="E44" s="589">
        <v>4</v>
      </c>
      <c r="F44" s="589"/>
      <c r="G44" s="589">
        <v>9</v>
      </c>
      <c r="H44" s="589">
        <v>9</v>
      </c>
      <c r="I44" s="589">
        <v>9</v>
      </c>
      <c r="J44" s="589">
        <v>4</v>
      </c>
      <c r="K44" s="589"/>
      <c r="L44" s="589"/>
      <c r="M44" s="589"/>
      <c r="N44" s="589"/>
      <c r="O44" s="589"/>
      <c r="P44" s="589"/>
      <c r="Q44" s="589"/>
      <c r="R44" s="589"/>
      <c r="S44" s="589"/>
      <c r="T44" s="589"/>
      <c r="U44" s="589"/>
      <c r="V44" s="589"/>
      <c r="W44" s="589"/>
      <c r="X44" s="589"/>
      <c r="Y44" s="589">
        <v>8</v>
      </c>
      <c r="Z44" s="589">
        <v>8</v>
      </c>
      <c r="AA44" s="589">
        <v>9</v>
      </c>
      <c r="AB44" s="589">
        <v>4</v>
      </c>
      <c r="AC44" s="589"/>
      <c r="AD44" s="589"/>
      <c r="AE44" s="589"/>
      <c r="AF44" s="589"/>
      <c r="AG44" s="589"/>
      <c r="AH44" s="589"/>
      <c r="AI44" s="589"/>
      <c r="AJ44" s="159"/>
      <c r="AK44" s="1030"/>
      <c r="AL44" s="148"/>
      <c r="AM44" s="787"/>
      <c r="AN44" s="787"/>
      <c r="AO44" s="779"/>
      <c r="AP44" s="780"/>
      <c r="AQ44" s="1032"/>
      <c r="AR44" s="1032"/>
      <c r="AS44" s="768"/>
      <c r="AT44" s="768"/>
      <c r="AU44" s="781"/>
      <c r="AV44" s="782"/>
      <c r="AW44" s="1036"/>
      <c r="AX44" s="143"/>
      <c r="AY44" s="788"/>
      <c r="AZ44" s="788"/>
      <c r="BA44" s="783"/>
      <c r="BB44" s="784"/>
      <c r="BC44" s="122"/>
      <c r="BD44" s="122"/>
      <c r="BE44" s="1003"/>
      <c r="BF44" s="1003"/>
      <c r="BG44" s="1005"/>
    </row>
    <row r="45" spans="1:59" ht="24" customHeight="1" x14ac:dyDescent="0.35">
      <c r="A45" s="1019"/>
      <c r="B45" s="1018">
        <v>2010</v>
      </c>
      <c r="C45" s="1014">
        <v>9</v>
      </c>
      <c r="D45" s="106">
        <v>38.299999999999997</v>
      </c>
      <c r="E45" s="588">
        <v>12</v>
      </c>
      <c r="F45" s="588">
        <v>13</v>
      </c>
      <c r="G45" s="588">
        <v>14</v>
      </c>
      <c r="H45" s="588">
        <v>15</v>
      </c>
      <c r="I45" s="588">
        <v>16</v>
      </c>
      <c r="J45" s="112">
        <v>1</v>
      </c>
      <c r="K45" s="112">
        <v>2</v>
      </c>
      <c r="L45" s="588">
        <v>3</v>
      </c>
      <c r="M45" s="588">
        <v>4</v>
      </c>
      <c r="N45" s="588">
        <v>5</v>
      </c>
      <c r="O45" s="588">
        <v>6</v>
      </c>
      <c r="P45" s="588">
        <v>7</v>
      </c>
      <c r="Q45" s="588">
        <v>8</v>
      </c>
      <c r="R45" s="588">
        <v>9</v>
      </c>
      <c r="S45" s="588">
        <v>10</v>
      </c>
      <c r="T45" s="588">
        <v>11</v>
      </c>
      <c r="U45" s="588">
        <v>12</v>
      </c>
      <c r="V45" s="588">
        <v>13</v>
      </c>
      <c r="W45" s="588">
        <v>14</v>
      </c>
      <c r="X45" s="588">
        <v>15</v>
      </c>
      <c r="Y45" s="588">
        <v>16</v>
      </c>
      <c r="Z45" s="588">
        <v>17</v>
      </c>
      <c r="AA45" s="588">
        <v>18</v>
      </c>
      <c r="AB45" s="113">
        <v>1</v>
      </c>
      <c r="AC45" s="113">
        <v>2</v>
      </c>
      <c r="AD45" s="113">
        <v>2</v>
      </c>
      <c r="AE45" s="588">
        <v>3</v>
      </c>
      <c r="AF45" s="588">
        <v>4</v>
      </c>
      <c r="AG45" s="588">
        <v>5</v>
      </c>
      <c r="AH45" s="588">
        <v>6</v>
      </c>
      <c r="AI45" s="588">
        <v>7</v>
      </c>
      <c r="AJ45" s="158">
        <f>SUM(D46:AI46)</f>
        <v>37</v>
      </c>
      <c r="AK45" s="1029">
        <f>4.04+15.72+8.15</f>
        <v>27.910000000000004</v>
      </c>
      <c r="AL45" s="147"/>
      <c r="AM45" s="790"/>
      <c r="AN45" s="790"/>
      <c r="AO45" s="779" t="str">
        <f>IF(COUNT(AM45,AN45)&lt;2, "0", AN45 - AM45 + 1)</f>
        <v>0</v>
      </c>
      <c r="AP45" s="780">
        <f>IFERROR((AK45+AL45)/AO45,0)</f>
        <v>0</v>
      </c>
      <c r="AQ45" s="1031">
        <f>3.23+31.31</f>
        <v>34.54</v>
      </c>
      <c r="AR45" s="1031"/>
      <c r="AS45" s="791"/>
      <c r="AT45" s="791"/>
      <c r="AU45" s="781" t="str">
        <f>IF(COUNT(AS45,AT45)&lt;2, "0", AT45 - AS45 )</f>
        <v>0</v>
      </c>
      <c r="AV45" s="782">
        <f>IFERROR((AQ45+AR45)/AU45,0)</f>
        <v>0</v>
      </c>
      <c r="AW45" s="1035"/>
      <c r="AX45" s="142"/>
      <c r="AY45" s="792"/>
      <c r="AZ45" s="792"/>
      <c r="BA45" s="783" t="str">
        <f>IF(COUNT(AY45,AZ45)&lt;2, "0", AZ45 - AY45 )</f>
        <v>0</v>
      </c>
      <c r="BB45" s="784">
        <f>IFERROR((AW45+AX45)/BA45,0)</f>
        <v>0</v>
      </c>
      <c r="BC45" s="509"/>
      <c r="BD45" s="144"/>
      <c r="BE45" s="995">
        <f>AK45+AQ45+AW45+BC45</f>
        <v>62.45</v>
      </c>
      <c r="BF45" s="995">
        <f>AL45+AR45+AX45+BD45</f>
        <v>0</v>
      </c>
      <c r="BG45" s="1004">
        <v>9</v>
      </c>
    </row>
    <row r="46" spans="1:59" ht="24" customHeight="1" x14ac:dyDescent="0.35">
      <c r="A46" s="1019"/>
      <c r="B46" s="1015"/>
      <c r="C46" s="1015"/>
      <c r="D46" s="121"/>
      <c r="E46" s="589"/>
      <c r="F46" s="589"/>
      <c r="G46" s="589"/>
      <c r="H46" s="589"/>
      <c r="I46" s="589"/>
      <c r="J46" s="589">
        <v>5</v>
      </c>
      <c r="K46" s="589">
        <v>9</v>
      </c>
      <c r="L46" s="589"/>
      <c r="M46" s="589"/>
      <c r="N46" s="589"/>
      <c r="O46" s="589"/>
      <c r="P46" s="589"/>
      <c r="Q46" s="589"/>
      <c r="R46" s="589"/>
      <c r="S46" s="589"/>
      <c r="T46" s="589"/>
      <c r="U46" s="589"/>
      <c r="V46" s="589"/>
      <c r="W46" s="589"/>
      <c r="X46" s="589"/>
      <c r="Y46" s="589"/>
      <c r="Z46" s="589"/>
      <c r="AA46" s="589"/>
      <c r="AB46" s="589">
        <v>5</v>
      </c>
      <c r="AC46" s="589">
        <v>9</v>
      </c>
      <c r="AD46" s="589">
        <v>9</v>
      </c>
      <c r="AE46" s="589"/>
      <c r="AF46" s="589"/>
      <c r="AG46" s="589"/>
      <c r="AH46" s="589"/>
      <c r="AI46" s="589"/>
      <c r="AJ46" s="159"/>
      <c r="AK46" s="1030"/>
      <c r="AL46" s="148"/>
      <c r="AM46" s="787"/>
      <c r="AN46" s="787"/>
      <c r="AO46" s="779"/>
      <c r="AP46" s="780"/>
      <c r="AQ46" s="1032"/>
      <c r="AR46" s="1032"/>
      <c r="AS46" s="768"/>
      <c r="AT46" s="768"/>
      <c r="AU46" s="781"/>
      <c r="AV46" s="782"/>
      <c r="AW46" s="1036"/>
      <c r="AX46" s="143"/>
      <c r="AY46" s="788"/>
      <c r="AZ46" s="788"/>
      <c r="BA46" s="783"/>
      <c r="BB46" s="784"/>
      <c r="BC46" s="509"/>
      <c r="BD46" s="122"/>
      <c r="BE46" s="1003"/>
      <c r="BF46" s="1003"/>
      <c r="BG46" s="1005"/>
    </row>
    <row r="47" spans="1:59" ht="24" customHeight="1" x14ac:dyDescent="0.35">
      <c r="A47" s="1019"/>
      <c r="B47" s="1014">
        <v>2010</v>
      </c>
      <c r="C47" s="1014">
        <v>12</v>
      </c>
      <c r="D47" s="106">
        <v>71</v>
      </c>
      <c r="E47" s="588">
        <v>8</v>
      </c>
      <c r="F47" s="588">
        <v>9</v>
      </c>
      <c r="G47" s="588">
        <v>10</v>
      </c>
      <c r="H47" s="588">
        <v>11</v>
      </c>
      <c r="I47" s="588">
        <v>12</v>
      </c>
      <c r="J47" s="588">
        <v>13</v>
      </c>
      <c r="K47" s="588">
        <v>14</v>
      </c>
      <c r="L47" s="588">
        <v>15</v>
      </c>
      <c r="M47" s="112">
        <v>1</v>
      </c>
      <c r="N47" s="112">
        <v>2</v>
      </c>
      <c r="O47" s="112">
        <v>3</v>
      </c>
      <c r="P47" s="112">
        <v>4</v>
      </c>
      <c r="Q47" s="588">
        <v>5</v>
      </c>
      <c r="R47" s="588">
        <v>6</v>
      </c>
      <c r="S47" s="588">
        <v>7</v>
      </c>
      <c r="T47" s="588">
        <v>8</v>
      </c>
      <c r="U47" s="588">
        <v>9</v>
      </c>
      <c r="V47" s="588">
        <v>10</v>
      </c>
      <c r="W47" s="588">
        <v>11</v>
      </c>
      <c r="X47" s="588">
        <v>12</v>
      </c>
      <c r="Y47" s="588">
        <v>13</v>
      </c>
      <c r="Z47" s="588">
        <v>14</v>
      </c>
      <c r="AA47" s="588">
        <v>15</v>
      </c>
      <c r="AB47" s="588">
        <v>16</v>
      </c>
      <c r="AC47" s="588">
        <v>17</v>
      </c>
      <c r="AD47" s="588">
        <v>18</v>
      </c>
      <c r="AE47" s="588">
        <v>19</v>
      </c>
      <c r="AF47" s="113">
        <v>1</v>
      </c>
      <c r="AG47" s="113">
        <v>2</v>
      </c>
      <c r="AH47" s="113">
        <v>3</v>
      </c>
      <c r="AI47" s="588">
        <v>4</v>
      </c>
      <c r="AJ47" s="158">
        <f>SUM(D48:AI48)</f>
        <v>57</v>
      </c>
      <c r="AK47" s="1029">
        <f>13.26+11.12+22.2+12.22</f>
        <v>58.8</v>
      </c>
      <c r="AL47" s="147"/>
      <c r="AM47" s="790"/>
      <c r="AN47" s="790"/>
      <c r="AO47" s="779" t="str">
        <f>IF(COUNT(AM47,AN47)&lt;2, "0", AN47 - AM47 + 1)</f>
        <v>0</v>
      </c>
      <c r="AP47" s="780">
        <f>IFERROR((AK47+AL47)/AO47,0)</f>
        <v>0</v>
      </c>
      <c r="AQ47" s="1031">
        <f>28.3+7.29+4.08</f>
        <v>39.67</v>
      </c>
      <c r="AR47" s="1031"/>
      <c r="AS47" s="791"/>
      <c r="AT47" s="791"/>
      <c r="AU47" s="781" t="str">
        <f>IF(COUNT(AS47,AT47)&lt;2, "0", AT47 - AS47 )</f>
        <v>0</v>
      </c>
      <c r="AV47" s="782">
        <f>IFERROR((AQ47+AR47)/AU47,0)</f>
        <v>0</v>
      </c>
      <c r="AW47" s="1035"/>
      <c r="AX47" s="142"/>
      <c r="AY47" s="792"/>
      <c r="AZ47" s="792"/>
      <c r="BA47" s="783" t="str">
        <f>IF(COUNT(AY47,AZ47)&lt;2, "0", AZ47 - AY47 )</f>
        <v>0</v>
      </c>
      <c r="BB47" s="784">
        <f>IFERROR((AW47+AX47)/BA47,0)</f>
        <v>0</v>
      </c>
      <c r="BC47" s="144"/>
      <c r="BD47" s="144"/>
      <c r="BE47" s="995">
        <f>AK47+AQ47+AW47+BC47</f>
        <v>98.47</v>
      </c>
      <c r="BF47" s="995">
        <f>AL47+AR47+AX47+BD47</f>
        <v>0</v>
      </c>
      <c r="BG47" s="1004">
        <v>12</v>
      </c>
    </row>
    <row r="48" spans="1:59" ht="24" customHeight="1" x14ac:dyDescent="0.35">
      <c r="A48" s="1019"/>
      <c r="B48" s="1015"/>
      <c r="C48" s="1015"/>
      <c r="D48" s="110"/>
      <c r="E48" s="589"/>
      <c r="F48" s="589"/>
      <c r="G48" s="589"/>
      <c r="H48" s="589"/>
      <c r="I48" s="589"/>
      <c r="J48" s="589"/>
      <c r="K48" s="589"/>
      <c r="L48" s="589"/>
      <c r="M48" s="589">
        <v>9</v>
      </c>
      <c r="N48" s="589">
        <v>9</v>
      </c>
      <c r="O48" s="589">
        <v>9</v>
      </c>
      <c r="P48" s="589">
        <v>9</v>
      </c>
      <c r="Q48" s="589"/>
      <c r="R48" s="589"/>
      <c r="S48" s="589"/>
      <c r="T48" s="589"/>
      <c r="U48" s="589"/>
      <c r="V48" s="589"/>
      <c r="W48" s="589"/>
      <c r="X48" s="589"/>
      <c r="Y48" s="589"/>
      <c r="Z48" s="589"/>
      <c r="AA48" s="589"/>
      <c r="AB48" s="589"/>
      <c r="AC48" s="589"/>
      <c r="AD48" s="589"/>
      <c r="AE48" s="589"/>
      <c r="AF48" s="589">
        <v>9</v>
      </c>
      <c r="AG48" s="589">
        <v>5</v>
      </c>
      <c r="AH48" s="589">
        <v>7</v>
      </c>
      <c r="AI48" s="589"/>
      <c r="AJ48" s="159"/>
      <c r="AK48" s="1030"/>
      <c r="AL48" s="148"/>
      <c r="AM48" s="787"/>
      <c r="AN48" s="787"/>
      <c r="AO48" s="779"/>
      <c r="AP48" s="780"/>
      <c r="AQ48" s="1032"/>
      <c r="AR48" s="1032"/>
      <c r="AS48" s="768"/>
      <c r="AT48" s="768"/>
      <c r="AU48" s="781"/>
      <c r="AV48" s="782"/>
      <c r="AW48" s="1036"/>
      <c r="AX48" s="143"/>
      <c r="AY48" s="788"/>
      <c r="AZ48" s="788"/>
      <c r="BA48" s="783"/>
      <c r="BB48" s="784"/>
      <c r="BC48" s="122"/>
      <c r="BD48" s="122"/>
      <c r="BE48" s="1003"/>
      <c r="BF48" s="1003"/>
      <c r="BG48" s="1005"/>
    </row>
    <row r="49" spans="1:59" ht="24" customHeight="1" x14ac:dyDescent="0.35">
      <c r="A49" s="1019"/>
      <c r="B49" s="1014">
        <v>2011</v>
      </c>
      <c r="C49" s="1014">
        <v>13</v>
      </c>
      <c r="D49" s="106">
        <v>60.8</v>
      </c>
      <c r="E49" s="112">
        <v>5</v>
      </c>
      <c r="F49" s="588">
        <v>6</v>
      </c>
      <c r="G49" s="588">
        <v>7</v>
      </c>
      <c r="H49" s="588">
        <v>8</v>
      </c>
      <c r="I49" s="588">
        <v>9</v>
      </c>
      <c r="J49" s="588">
        <v>10</v>
      </c>
      <c r="K49" s="588">
        <v>11</v>
      </c>
      <c r="L49" s="588">
        <v>12</v>
      </c>
      <c r="M49" s="588">
        <v>13</v>
      </c>
      <c r="N49" s="588">
        <v>14</v>
      </c>
      <c r="O49" s="588">
        <v>15</v>
      </c>
      <c r="P49" s="588">
        <v>16</v>
      </c>
      <c r="Q49" s="588">
        <v>17</v>
      </c>
      <c r="R49" s="588">
        <v>18</v>
      </c>
      <c r="S49" s="588">
        <v>19</v>
      </c>
      <c r="T49" s="113">
        <v>1</v>
      </c>
      <c r="U49" s="113">
        <v>2</v>
      </c>
      <c r="V49" s="113">
        <v>3</v>
      </c>
      <c r="W49" s="588">
        <v>4</v>
      </c>
      <c r="X49" s="113">
        <v>5</v>
      </c>
      <c r="Y49" s="588">
        <v>6</v>
      </c>
      <c r="Z49" s="588">
        <v>7</v>
      </c>
      <c r="AA49" s="588">
        <v>8</v>
      </c>
      <c r="AB49" s="588">
        <v>9</v>
      </c>
      <c r="AC49" s="588">
        <v>10</v>
      </c>
      <c r="AD49" s="588">
        <v>11</v>
      </c>
      <c r="AE49" s="588">
        <v>12</v>
      </c>
      <c r="AF49" s="588">
        <v>13</v>
      </c>
      <c r="AG49" s="588">
        <v>14</v>
      </c>
      <c r="AH49" s="588">
        <v>15</v>
      </c>
      <c r="AI49" s="114">
        <v>1</v>
      </c>
      <c r="AJ49" s="155">
        <f>SUM(D50:AI50)</f>
        <v>40</v>
      </c>
      <c r="AK49" s="1029">
        <f>11.79+16.97</f>
        <v>28.759999999999998</v>
      </c>
      <c r="AL49" s="147"/>
      <c r="AM49" s="790"/>
      <c r="AN49" s="790"/>
      <c r="AO49" s="779" t="str">
        <f>IF(COUNT(AM49,AN49)&lt;2, "0", AN49 - AM49 + 1)</f>
        <v>0</v>
      </c>
      <c r="AP49" s="780">
        <f>IFERROR((AK49+AL49)/AO49,0)</f>
        <v>0</v>
      </c>
      <c r="AQ49" s="1031">
        <f>7.76+11.91+16.39+6.92</f>
        <v>42.980000000000004</v>
      </c>
      <c r="AR49" s="1031"/>
      <c r="AS49" s="791"/>
      <c r="AT49" s="791"/>
      <c r="AU49" s="781" t="str">
        <f>IF(COUNT(AS49,AT49)&lt;2, "0", AT49 - AS49 )</f>
        <v>0</v>
      </c>
      <c r="AV49" s="782">
        <f>IFERROR((AQ49+AR49)/AU49,0)</f>
        <v>0</v>
      </c>
      <c r="AW49" s="1035">
        <f>8.58</f>
        <v>8.58</v>
      </c>
      <c r="AX49" s="142"/>
      <c r="AY49" s="792"/>
      <c r="AZ49" s="792"/>
      <c r="BA49" s="783" t="str">
        <f>IF(COUNT(AY49,AZ49)&lt;2, "0", AZ49 - AY49 )</f>
        <v>0</v>
      </c>
      <c r="BB49" s="784">
        <f>IFERROR((AW49+AX49)/BA49,0)</f>
        <v>0</v>
      </c>
      <c r="BC49" s="144"/>
      <c r="BD49" s="144"/>
      <c r="BE49" s="995">
        <f>AK49+AQ49+AW49+BC49</f>
        <v>80.320000000000007</v>
      </c>
      <c r="BF49" s="995">
        <f>AL49+AR49+AX49+BD49</f>
        <v>0</v>
      </c>
      <c r="BG49" s="1004">
        <v>13</v>
      </c>
    </row>
    <row r="50" spans="1:59" ht="24" customHeight="1" x14ac:dyDescent="0.35">
      <c r="A50" s="1019"/>
      <c r="B50" s="1015"/>
      <c r="C50" s="1015"/>
      <c r="D50" s="110"/>
      <c r="E50" s="589">
        <v>5</v>
      </c>
      <c r="F50" s="589"/>
      <c r="G50" s="589"/>
      <c r="H50" s="589"/>
      <c r="I50" s="589"/>
      <c r="J50" s="589"/>
      <c r="K50" s="589"/>
      <c r="L50" s="589"/>
      <c r="M50" s="589"/>
      <c r="N50" s="589"/>
      <c r="O50" s="589"/>
      <c r="P50" s="589"/>
      <c r="Q50" s="589"/>
      <c r="R50" s="589"/>
      <c r="S50" s="589"/>
      <c r="T50" s="589">
        <v>4</v>
      </c>
      <c r="U50" s="589">
        <v>7</v>
      </c>
      <c r="V50" s="589">
        <v>8</v>
      </c>
      <c r="W50" s="589"/>
      <c r="X50" s="589">
        <v>8</v>
      </c>
      <c r="Y50" s="589"/>
      <c r="Z50" s="589"/>
      <c r="AA50" s="589"/>
      <c r="AB50" s="589"/>
      <c r="AC50" s="589"/>
      <c r="AD50" s="589"/>
      <c r="AE50" s="589"/>
      <c r="AF50" s="589"/>
      <c r="AG50" s="589"/>
      <c r="AH50" s="589"/>
      <c r="AI50" s="589">
        <v>8</v>
      </c>
      <c r="AJ50" s="156"/>
      <c r="AK50" s="1030"/>
      <c r="AL50" s="148"/>
      <c r="AM50" s="787"/>
      <c r="AN50" s="787"/>
      <c r="AO50" s="779"/>
      <c r="AP50" s="780"/>
      <c r="AQ50" s="1032"/>
      <c r="AR50" s="1032"/>
      <c r="AS50" s="768"/>
      <c r="AT50" s="768"/>
      <c r="AU50" s="781"/>
      <c r="AV50" s="782"/>
      <c r="AW50" s="1036"/>
      <c r="AX50" s="143"/>
      <c r="AY50" s="788"/>
      <c r="AZ50" s="788"/>
      <c r="BA50" s="783"/>
      <c r="BB50" s="784"/>
      <c r="BC50" s="122"/>
      <c r="BD50" s="122"/>
      <c r="BE50" s="1003"/>
      <c r="BF50" s="1003"/>
      <c r="BG50" s="1005"/>
    </row>
    <row r="51" spans="1:59" ht="24" customHeight="1" x14ac:dyDescent="0.35">
      <c r="A51" s="1019"/>
      <c r="B51" s="1018">
        <v>2011</v>
      </c>
      <c r="C51" s="1014">
        <v>18</v>
      </c>
      <c r="D51" s="106">
        <v>40.799999999999997</v>
      </c>
      <c r="E51" s="112">
        <v>3</v>
      </c>
      <c r="F51" s="588">
        <v>4</v>
      </c>
      <c r="G51" s="112">
        <v>5</v>
      </c>
      <c r="H51" s="112">
        <v>6</v>
      </c>
      <c r="I51" s="112">
        <v>7</v>
      </c>
      <c r="J51" s="112">
        <v>8</v>
      </c>
      <c r="K51" s="112">
        <v>9</v>
      </c>
      <c r="L51" s="112">
        <v>10</v>
      </c>
      <c r="M51" s="588">
        <v>11</v>
      </c>
      <c r="N51" s="588">
        <v>12</v>
      </c>
      <c r="O51" s="588">
        <v>13</v>
      </c>
      <c r="P51" s="588">
        <v>14</v>
      </c>
      <c r="Q51" s="113">
        <v>1</v>
      </c>
      <c r="R51" s="588">
        <v>2</v>
      </c>
      <c r="S51" s="113">
        <v>3</v>
      </c>
      <c r="T51" s="113">
        <v>4</v>
      </c>
      <c r="U51" s="588">
        <v>5</v>
      </c>
      <c r="V51" s="588">
        <v>6</v>
      </c>
      <c r="W51" s="588">
        <v>7</v>
      </c>
      <c r="X51" s="588">
        <v>8</v>
      </c>
      <c r="Y51" s="588">
        <v>9</v>
      </c>
      <c r="Z51" s="588">
        <v>10</v>
      </c>
      <c r="AA51" s="588">
        <v>11</v>
      </c>
      <c r="AB51" s="588">
        <v>12</v>
      </c>
      <c r="AC51" s="588">
        <v>13</v>
      </c>
      <c r="AD51" s="588">
        <v>14</v>
      </c>
      <c r="AE51" s="588">
        <v>15</v>
      </c>
      <c r="AF51" s="588">
        <v>16</v>
      </c>
      <c r="AG51" s="114">
        <v>1</v>
      </c>
      <c r="AH51" s="588">
        <v>2</v>
      </c>
      <c r="AI51" s="588">
        <v>3</v>
      </c>
      <c r="AJ51" s="155">
        <f>SUM(D52:AI52)</f>
        <v>53</v>
      </c>
      <c r="AK51" s="1029">
        <f>4.32+4.24+4.33+3.68+5.68+7.94+12.04+2.97</f>
        <v>45.2</v>
      </c>
      <c r="AL51" s="147"/>
      <c r="AM51" s="790"/>
      <c r="AN51" s="790"/>
      <c r="AO51" s="779" t="str">
        <f>IF(COUNT(AM51,AN51)&lt;2, "0", AN51 - AM51 + 1)</f>
        <v>0</v>
      </c>
      <c r="AP51" s="780">
        <f>IFERROR((AK51+AL51)/AO51,0)</f>
        <v>0</v>
      </c>
      <c r="AQ51" s="1031">
        <f>13.29+8.76+10.7</f>
        <v>32.75</v>
      </c>
      <c r="AR51" s="1031"/>
      <c r="AS51" s="791"/>
      <c r="AT51" s="791"/>
      <c r="AU51" s="781" t="str">
        <f>IF(COUNT(AS51,AT51)&lt;2, "0", AT51 - AS51 )</f>
        <v>0</v>
      </c>
      <c r="AV51" s="782">
        <f>IFERROR((AQ51+AR51)/AU51,0)</f>
        <v>0</v>
      </c>
      <c r="AW51" s="1035">
        <f>3.28+8.56+12.54</f>
        <v>24.38</v>
      </c>
      <c r="AX51" s="142"/>
      <c r="AY51" s="792"/>
      <c r="AZ51" s="792"/>
      <c r="BA51" s="783" t="str">
        <f>IF(COUNT(AY51,AZ51)&lt;2, "0", AZ51 - AY51 )</f>
        <v>0</v>
      </c>
      <c r="BB51" s="784">
        <f>IFERROR((AW51+AX51)/BA51,0)</f>
        <v>0</v>
      </c>
      <c r="BC51" s="144"/>
      <c r="BD51" s="144"/>
      <c r="BE51" s="995">
        <f>AK51+AQ51+AW51+BC51</f>
        <v>102.33</v>
      </c>
      <c r="BF51" s="995">
        <f>AL51+AR51+AX51+BD51</f>
        <v>0</v>
      </c>
      <c r="BG51" s="1004">
        <v>18</v>
      </c>
    </row>
    <row r="52" spans="1:59" ht="24" customHeight="1" x14ac:dyDescent="0.35">
      <c r="A52" s="1020"/>
      <c r="B52" s="1015"/>
      <c r="C52" s="1015"/>
      <c r="D52" s="110"/>
      <c r="E52" s="589">
        <v>4</v>
      </c>
      <c r="F52" s="589"/>
      <c r="G52" s="589">
        <v>4</v>
      </c>
      <c r="H52" s="589">
        <v>4</v>
      </c>
      <c r="I52" s="589">
        <v>4</v>
      </c>
      <c r="J52" s="589">
        <v>4</v>
      </c>
      <c r="K52" s="589">
        <v>4</v>
      </c>
      <c r="L52" s="589">
        <v>4</v>
      </c>
      <c r="M52" s="589"/>
      <c r="N52" s="589"/>
      <c r="O52" s="589"/>
      <c r="P52" s="589"/>
      <c r="Q52" s="589">
        <v>9</v>
      </c>
      <c r="R52" s="589"/>
      <c r="S52" s="589">
        <v>8</v>
      </c>
      <c r="T52" s="589">
        <v>4</v>
      </c>
      <c r="U52" s="589"/>
      <c r="V52" s="589"/>
      <c r="W52" s="589"/>
      <c r="X52" s="589"/>
      <c r="Y52" s="589"/>
      <c r="Z52" s="589"/>
      <c r="AA52" s="589"/>
      <c r="AB52" s="589"/>
      <c r="AC52" s="589"/>
      <c r="AD52" s="589"/>
      <c r="AE52" s="589"/>
      <c r="AF52" s="589"/>
      <c r="AG52" s="589">
        <v>4</v>
      </c>
      <c r="AH52" s="589"/>
      <c r="AI52" s="589"/>
      <c r="AJ52" s="156"/>
      <c r="AK52" s="1030"/>
      <c r="AL52" s="148"/>
      <c r="AM52" s="787"/>
      <c r="AN52" s="787"/>
      <c r="AO52" s="779"/>
      <c r="AP52" s="780"/>
      <c r="AQ52" s="1032"/>
      <c r="AR52" s="1032"/>
      <c r="AS52" s="768"/>
      <c r="AT52" s="768"/>
      <c r="AU52" s="781"/>
      <c r="AV52" s="782"/>
      <c r="AW52" s="1036"/>
      <c r="AX52" s="143"/>
      <c r="AY52" s="788"/>
      <c r="AZ52" s="788"/>
      <c r="BA52" s="783"/>
      <c r="BB52" s="784"/>
      <c r="BC52" s="122"/>
      <c r="BD52" s="122"/>
      <c r="BE52" s="1003"/>
      <c r="BF52" s="1003"/>
      <c r="BG52" s="1005"/>
    </row>
    <row r="53" spans="1:59" ht="24" customHeight="1" x14ac:dyDescent="0.35">
      <c r="A53" s="1024" t="s">
        <v>96</v>
      </c>
      <c r="B53" s="1018">
        <v>2016</v>
      </c>
      <c r="C53" s="1014">
        <v>39</v>
      </c>
      <c r="D53" s="106">
        <v>1.48</v>
      </c>
      <c r="E53" s="112">
        <v>1</v>
      </c>
      <c r="F53" s="588">
        <v>2</v>
      </c>
      <c r="G53" s="588">
        <v>3</v>
      </c>
      <c r="H53" s="588">
        <v>4</v>
      </c>
      <c r="I53" s="588">
        <v>5</v>
      </c>
      <c r="J53" s="588">
        <v>6</v>
      </c>
      <c r="K53" s="588">
        <v>7</v>
      </c>
      <c r="L53" s="588">
        <v>8</v>
      </c>
      <c r="M53" s="588">
        <v>9</v>
      </c>
      <c r="N53" s="588">
        <v>10</v>
      </c>
      <c r="O53" s="588">
        <v>11</v>
      </c>
      <c r="P53" s="588">
        <v>12</v>
      </c>
      <c r="Q53" s="588">
        <v>13</v>
      </c>
      <c r="R53" s="588">
        <v>14</v>
      </c>
      <c r="S53" s="588">
        <v>15</v>
      </c>
      <c r="T53" s="588">
        <v>16</v>
      </c>
      <c r="U53" s="588">
        <v>17</v>
      </c>
      <c r="V53" s="113">
        <v>1</v>
      </c>
      <c r="W53" s="588">
        <v>2</v>
      </c>
      <c r="X53" s="588">
        <v>3</v>
      </c>
      <c r="Y53" s="588">
        <v>4</v>
      </c>
      <c r="Z53" s="588">
        <v>5</v>
      </c>
      <c r="AA53" s="588">
        <v>6</v>
      </c>
      <c r="AB53" s="588">
        <v>7</v>
      </c>
      <c r="AC53" s="588">
        <v>8</v>
      </c>
      <c r="AD53" s="588">
        <v>9</v>
      </c>
      <c r="AE53" s="588">
        <v>10</v>
      </c>
      <c r="AF53" s="588">
        <v>11</v>
      </c>
      <c r="AG53" s="588">
        <v>12</v>
      </c>
      <c r="AH53" s="588">
        <v>13</v>
      </c>
      <c r="AI53" s="588">
        <v>14</v>
      </c>
      <c r="AJ53" s="155">
        <f>SUM(D54:AI54)</f>
        <v>12</v>
      </c>
      <c r="AK53" s="1029">
        <f>1.19</f>
        <v>1.19</v>
      </c>
      <c r="AL53" s="147"/>
      <c r="AM53" s="790"/>
      <c r="AN53" s="790"/>
      <c r="AO53" s="779" t="str">
        <f>IF(COUNT(AM53,AN53)&lt;2, "0", AN53 - AM53 + 1)</f>
        <v>0</v>
      </c>
      <c r="AP53" s="780">
        <f>IFERROR((AK53+AL53)/AO53,0)</f>
        <v>0</v>
      </c>
      <c r="AQ53" s="1031">
        <f>2.02</f>
        <v>2.02</v>
      </c>
      <c r="AR53" s="1031"/>
      <c r="AS53" s="791"/>
      <c r="AT53" s="791"/>
      <c r="AU53" s="781" t="str">
        <f>IF(COUNT(AS53,AT53)&lt;2, "0", AT53 - AS53 )</f>
        <v>0</v>
      </c>
      <c r="AV53" s="782">
        <f>IFERROR((AQ53+AR53)/AU53,0)</f>
        <v>0</v>
      </c>
      <c r="AW53" s="1035"/>
      <c r="AX53" s="142"/>
      <c r="AY53" s="792"/>
      <c r="AZ53" s="792"/>
      <c r="BA53" s="783" t="str">
        <f>IF(COUNT(AY53,AZ53)&lt;2, "0", AZ53 - AY53 )</f>
        <v>0</v>
      </c>
      <c r="BB53" s="784">
        <f>IFERROR((AW53+AX53)/BA53,0)</f>
        <v>0</v>
      </c>
      <c r="BC53" s="144"/>
      <c r="BD53" s="144"/>
      <c r="BE53" s="995">
        <f>AK53+AQ53+AW53+BC53</f>
        <v>3.21</v>
      </c>
      <c r="BF53" s="995">
        <f>AL53+AR53+AX53+BD53</f>
        <v>0</v>
      </c>
      <c r="BG53" s="997">
        <v>39</v>
      </c>
    </row>
    <row r="54" spans="1:59" ht="24" customHeight="1" x14ac:dyDescent="0.35">
      <c r="A54" s="1025"/>
      <c r="B54" s="1018"/>
      <c r="C54" s="1015"/>
      <c r="D54" s="110"/>
      <c r="E54" s="589">
        <v>6</v>
      </c>
      <c r="F54" s="589"/>
      <c r="G54" s="589"/>
      <c r="H54" s="589"/>
      <c r="I54" s="589"/>
      <c r="J54" s="589"/>
      <c r="K54" s="589"/>
      <c r="L54" s="589"/>
      <c r="M54" s="589"/>
      <c r="N54" s="589"/>
      <c r="O54" s="589"/>
      <c r="P54" s="589"/>
      <c r="Q54" s="589"/>
      <c r="R54" s="589"/>
      <c r="S54" s="589"/>
      <c r="T54" s="589"/>
      <c r="U54" s="589"/>
      <c r="V54" s="589">
        <v>6</v>
      </c>
      <c r="W54" s="589"/>
      <c r="X54" s="589"/>
      <c r="Y54" s="589"/>
      <c r="Z54" s="589"/>
      <c r="AA54" s="589"/>
      <c r="AB54" s="589"/>
      <c r="AC54" s="589"/>
      <c r="AD54" s="589"/>
      <c r="AE54" s="589"/>
      <c r="AF54" s="589"/>
      <c r="AG54" s="589"/>
      <c r="AH54" s="589"/>
      <c r="AI54" s="589"/>
      <c r="AJ54" s="156"/>
      <c r="AK54" s="1030"/>
      <c r="AL54" s="148"/>
      <c r="AM54" s="787"/>
      <c r="AN54" s="787"/>
      <c r="AO54" s="779"/>
      <c r="AP54" s="780"/>
      <c r="AQ54" s="1032"/>
      <c r="AR54" s="1032"/>
      <c r="AS54" s="768"/>
      <c r="AT54" s="768"/>
      <c r="AU54" s="781"/>
      <c r="AV54" s="782"/>
      <c r="AW54" s="1036"/>
      <c r="AX54" s="143"/>
      <c r="AY54" s="788"/>
      <c r="AZ54" s="788"/>
      <c r="BA54" s="783"/>
      <c r="BB54" s="784"/>
      <c r="BC54" s="122"/>
      <c r="BD54" s="122"/>
      <c r="BE54" s="1003"/>
      <c r="BF54" s="1003"/>
      <c r="BG54" s="998"/>
    </row>
    <row r="55" spans="1:59" ht="24" customHeight="1" x14ac:dyDescent="0.35">
      <c r="A55" s="1025"/>
      <c r="B55" s="1014">
        <v>2016</v>
      </c>
      <c r="C55" s="1027">
        <v>33</v>
      </c>
      <c r="D55" s="121">
        <v>28.72</v>
      </c>
      <c r="E55" s="590">
        <v>5</v>
      </c>
      <c r="F55" s="590">
        <v>6</v>
      </c>
      <c r="G55" s="588">
        <v>7</v>
      </c>
      <c r="H55" s="590">
        <v>8</v>
      </c>
      <c r="I55" s="588">
        <v>9</v>
      </c>
      <c r="J55" s="590">
        <v>10</v>
      </c>
      <c r="K55" s="588">
        <v>11</v>
      </c>
      <c r="L55" s="590">
        <v>12</v>
      </c>
      <c r="M55" s="590">
        <v>13</v>
      </c>
      <c r="N55" s="590">
        <v>14</v>
      </c>
      <c r="O55" s="505">
        <v>1</v>
      </c>
      <c r="P55" s="505">
        <v>2</v>
      </c>
      <c r="Q55" s="505">
        <v>3</v>
      </c>
      <c r="R55" s="590">
        <v>4</v>
      </c>
      <c r="S55" s="590">
        <v>5</v>
      </c>
      <c r="T55" s="590">
        <v>6</v>
      </c>
      <c r="U55" s="590">
        <v>7</v>
      </c>
      <c r="V55" s="590">
        <v>8</v>
      </c>
      <c r="W55" s="590">
        <v>9</v>
      </c>
      <c r="X55" s="590">
        <v>10</v>
      </c>
      <c r="Y55" s="590">
        <v>11</v>
      </c>
      <c r="Z55" s="590">
        <v>12</v>
      </c>
      <c r="AA55" s="590">
        <v>13</v>
      </c>
      <c r="AB55" s="590">
        <v>14</v>
      </c>
      <c r="AC55" s="590">
        <v>15</v>
      </c>
      <c r="AD55" s="590">
        <v>16</v>
      </c>
      <c r="AE55" s="590">
        <v>17</v>
      </c>
      <c r="AF55" s="590">
        <v>18</v>
      </c>
      <c r="AG55" s="113">
        <v>1</v>
      </c>
      <c r="AH55" s="506">
        <v>2</v>
      </c>
      <c r="AI55" s="113">
        <v>3</v>
      </c>
      <c r="AJ55" s="155">
        <f>SUM(D56:AI56)</f>
        <v>36</v>
      </c>
      <c r="AK55" s="1029">
        <f>7.78+8.77+4.04</f>
        <v>20.59</v>
      </c>
      <c r="AL55" s="147"/>
      <c r="AM55" s="790"/>
      <c r="AN55" s="790"/>
      <c r="AO55" s="779" t="str">
        <f>IF(COUNT(AM55,AN55)&lt;2, "0", AN55 - AM55 + 1)</f>
        <v>0</v>
      </c>
      <c r="AP55" s="780">
        <f>IFERROR((AK55+AL55)/AO55,0)</f>
        <v>0</v>
      </c>
      <c r="AQ55" s="1031">
        <f>2.78+7.42</f>
        <v>10.199999999999999</v>
      </c>
      <c r="AR55" s="1031"/>
      <c r="AS55" s="791"/>
      <c r="AT55" s="791"/>
      <c r="AU55" s="781" t="str">
        <f>IF(COUNT(AS55,AT55)&lt;2, "0", AT55 - AS55 )</f>
        <v>0</v>
      </c>
      <c r="AV55" s="782">
        <f>IFERROR((AQ55+AR55)/AU55,0)</f>
        <v>0</v>
      </c>
      <c r="AW55" s="1035"/>
      <c r="AX55" s="142"/>
      <c r="AY55" s="792"/>
      <c r="AZ55" s="792"/>
      <c r="BA55" s="783" t="str">
        <f>IF(COUNT(AY55,AZ55)&lt;2, "0", AZ55 - AY55 )</f>
        <v>0</v>
      </c>
      <c r="BB55" s="784">
        <f>IFERROR((AW55+AX55)/BA55,0)</f>
        <v>0</v>
      </c>
      <c r="BC55" s="510"/>
      <c r="BD55" s="144"/>
      <c r="BE55" s="995">
        <f>AK55+AQ55+AW55+BC55</f>
        <v>30.79</v>
      </c>
      <c r="BF55" s="995">
        <f>AL55+AR55+AX55+BD55</f>
        <v>0</v>
      </c>
      <c r="BG55" s="997">
        <v>33</v>
      </c>
    </row>
    <row r="56" spans="1:59" ht="24" customHeight="1" x14ac:dyDescent="0.35">
      <c r="A56" s="1025"/>
      <c r="B56" s="1015"/>
      <c r="C56" s="1028"/>
      <c r="D56" s="110"/>
      <c r="E56" s="589"/>
      <c r="F56" s="589"/>
      <c r="G56" s="589"/>
      <c r="H56" s="589"/>
      <c r="I56" s="589"/>
      <c r="J56" s="589"/>
      <c r="K56" s="589"/>
      <c r="L56" s="589"/>
      <c r="M56" s="589"/>
      <c r="N56" s="589"/>
      <c r="O56" s="589">
        <v>6</v>
      </c>
      <c r="P56" s="589">
        <v>6</v>
      </c>
      <c r="Q56" s="589">
        <v>6</v>
      </c>
      <c r="R56" s="589"/>
      <c r="S56" s="589"/>
      <c r="T56" s="589"/>
      <c r="U56" s="589"/>
      <c r="V56" s="589"/>
      <c r="W56" s="589"/>
      <c r="X56" s="589"/>
      <c r="Y56" s="589"/>
      <c r="Z56" s="589"/>
      <c r="AA56" s="589"/>
      <c r="AB56" s="589"/>
      <c r="AC56" s="589"/>
      <c r="AD56" s="589"/>
      <c r="AE56" s="589"/>
      <c r="AF56" s="589"/>
      <c r="AG56" s="589">
        <v>6</v>
      </c>
      <c r="AH56" s="589">
        <v>6</v>
      </c>
      <c r="AI56" s="589">
        <v>6</v>
      </c>
      <c r="AJ56" s="156"/>
      <c r="AK56" s="1030"/>
      <c r="AL56" s="148"/>
      <c r="AM56" s="787"/>
      <c r="AN56" s="787"/>
      <c r="AO56" s="779"/>
      <c r="AP56" s="780"/>
      <c r="AQ56" s="1032"/>
      <c r="AR56" s="1032"/>
      <c r="AS56" s="768"/>
      <c r="AT56" s="768"/>
      <c r="AU56" s="781"/>
      <c r="AV56" s="782"/>
      <c r="AW56" s="1036"/>
      <c r="AX56" s="143"/>
      <c r="AY56" s="788"/>
      <c r="AZ56" s="788"/>
      <c r="BA56" s="783"/>
      <c r="BB56" s="784"/>
      <c r="BC56" s="122"/>
      <c r="BD56" s="122"/>
      <c r="BE56" s="1003"/>
      <c r="BF56" s="1003"/>
      <c r="BG56" s="998"/>
    </row>
    <row r="57" spans="1:59" ht="24" customHeight="1" x14ac:dyDescent="0.35">
      <c r="A57" s="1025"/>
      <c r="B57" s="1014">
        <v>2015</v>
      </c>
      <c r="C57" s="1022">
        <v>28</v>
      </c>
      <c r="D57" s="1023">
        <v>25.54</v>
      </c>
      <c r="E57" s="588">
        <v>11</v>
      </c>
      <c r="F57" s="112">
        <v>1</v>
      </c>
      <c r="G57" s="588">
        <v>2</v>
      </c>
      <c r="H57" s="112">
        <v>3</v>
      </c>
      <c r="I57" s="588">
        <v>4</v>
      </c>
      <c r="J57" s="588">
        <v>5</v>
      </c>
      <c r="K57" s="588">
        <v>6</v>
      </c>
      <c r="L57" s="588">
        <v>7</v>
      </c>
      <c r="M57" s="588">
        <v>8</v>
      </c>
      <c r="N57" s="588">
        <v>9</v>
      </c>
      <c r="O57" s="588">
        <v>10</v>
      </c>
      <c r="P57" s="588">
        <v>11</v>
      </c>
      <c r="Q57" s="588">
        <v>12</v>
      </c>
      <c r="R57" s="588">
        <v>13</v>
      </c>
      <c r="S57" s="588">
        <v>14</v>
      </c>
      <c r="T57" s="588">
        <v>15</v>
      </c>
      <c r="U57" s="588">
        <v>16</v>
      </c>
      <c r="V57" s="588">
        <v>17</v>
      </c>
      <c r="W57" s="588">
        <v>18</v>
      </c>
      <c r="X57" s="113">
        <v>1</v>
      </c>
      <c r="Y57" s="113">
        <v>2</v>
      </c>
      <c r="Z57" s="588">
        <v>3</v>
      </c>
      <c r="AA57" s="588">
        <v>4</v>
      </c>
      <c r="AB57" s="588">
        <v>5</v>
      </c>
      <c r="AC57" s="588">
        <v>6</v>
      </c>
      <c r="AD57" s="588">
        <v>7</v>
      </c>
      <c r="AE57" s="588">
        <v>8</v>
      </c>
      <c r="AF57" s="588">
        <v>9</v>
      </c>
      <c r="AG57" s="588">
        <v>10</v>
      </c>
      <c r="AH57" s="588">
        <v>11</v>
      </c>
      <c r="AI57" s="588">
        <v>12</v>
      </c>
      <c r="AJ57" s="155">
        <f>SUM(D58:AI58)</f>
        <v>24</v>
      </c>
      <c r="AK57" s="1029">
        <f>3.97+4.57</f>
        <v>8.5400000000000009</v>
      </c>
      <c r="AL57" s="147"/>
      <c r="AM57" s="790"/>
      <c r="AN57" s="790"/>
      <c r="AO57" s="779" t="str">
        <f>IF(COUNT(AM57,AN57)&lt;2, "0", AN57 - AM57 + 1)</f>
        <v>0</v>
      </c>
      <c r="AP57" s="780">
        <f>IFERROR((AK57+AL57)/AO57,0)</f>
        <v>0</v>
      </c>
      <c r="AQ57" s="1031">
        <f>7.93+3.14</f>
        <v>11.07</v>
      </c>
      <c r="AR57" s="1031"/>
      <c r="AS57" s="791"/>
      <c r="AT57" s="791"/>
      <c r="AU57" s="781" t="str">
        <f>IF(COUNT(AS57,AT57)&lt;2, "0", AT57 - AS57 )</f>
        <v>0</v>
      </c>
      <c r="AV57" s="782">
        <f>IFERROR((AQ57+AR57)/AU57,0)</f>
        <v>0</v>
      </c>
      <c r="AW57" s="508"/>
      <c r="AX57" s="142"/>
      <c r="AY57" s="792"/>
      <c r="AZ57" s="792"/>
      <c r="BA57" s="783" t="str">
        <f>IF(COUNT(AY57,AZ57)&lt;2, "0", AZ57 - AY57 )</f>
        <v>0</v>
      </c>
      <c r="BB57" s="784">
        <f>IFERROR((AW57+AX57)/BA57,0)</f>
        <v>0</v>
      </c>
      <c r="BC57" s="509"/>
      <c r="BD57" s="144"/>
      <c r="BE57" s="995">
        <f>AK57+AQ57+AW57+BC57</f>
        <v>19.61</v>
      </c>
      <c r="BF57" s="995">
        <f>AL57+AR57+AX57+BD57</f>
        <v>0</v>
      </c>
      <c r="BG57" s="997">
        <v>28</v>
      </c>
    </row>
    <row r="58" spans="1:59" ht="24" customHeight="1" x14ac:dyDescent="0.35">
      <c r="A58" s="1025"/>
      <c r="B58" s="1018"/>
      <c r="C58" s="1022"/>
      <c r="D58" s="1023"/>
      <c r="E58" s="589"/>
      <c r="F58" s="589">
        <v>6</v>
      </c>
      <c r="G58" s="589"/>
      <c r="H58" s="589">
        <v>6</v>
      </c>
      <c r="I58" s="589"/>
      <c r="J58" s="589"/>
      <c r="K58" s="589"/>
      <c r="L58" s="589"/>
      <c r="M58" s="589"/>
      <c r="N58" s="589"/>
      <c r="O58" s="589"/>
      <c r="P58" s="589"/>
      <c r="Q58" s="589"/>
      <c r="R58" s="589"/>
      <c r="S58" s="589"/>
      <c r="T58" s="589"/>
      <c r="U58" s="589"/>
      <c r="V58" s="589"/>
      <c r="W58" s="589"/>
      <c r="X58" s="589">
        <v>6</v>
      </c>
      <c r="Y58" s="589">
        <v>6</v>
      </c>
      <c r="Z58" s="589"/>
      <c r="AA58" s="589"/>
      <c r="AB58" s="589"/>
      <c r="AC58" s="589"/>
      <c r="AD58" s="589"/>
      <c r="AE58" s="589"/>
      <c r="AF58" s="589"/>
      <c r="AG58" s="589"/>
      <c r="AH58" s="589"/>
      <c r="AI58" s="589"/>
      <c r="AJ58" s="156"/>
      <c r="AK58" s="1033"/>
      <c r="AL58" s="148"/>
      <c r="AM58" s="787"/>
      <c r="AN58" s="787"/>
      <c r="AO58" s="779"/>
      <c r="AP58" s="780"/>
      <c r="AQ58" s="1034"/>
      <c r="AR58" s="1032"/>
      <c r="AS58" s="768"/>
      <c r="AT58" s="768"/>
      <c r="AU58" s="781"/>
      <c r="AV58" s="782"/>
      <c r="AW58" s="508"/>
      <c r="AX58" s="143"/>
      <c r="AY58" s="788"/>
      <c r="AZ58" s="788"/>
      <c r="BA58" s="783"/>
      <c r="BB58" s="784"/>
      <c r="BC58" s="509"/>
      <c r="BD58" s="122"/>
      <c r="BE58" s="1003"/>
      <c r="BF58" s="1003"/>
      <c r="BG58" s="998"/>
    </row>
    <row r="59" spans="1:59" ht="24" customHeight="1" x14ac:dyDescent="0.35">
      <c r="A59" s="1025"/>
      <c r="B59" s="1018"/>
      <c r="C59" s="1014">
        <v>27</v>
      </c>
      <c r="D59" s="1014">
        <v>35.93</v>
      </c>
      <c r="E59" s="588">
        <v>6</v>
      </c>
      <c r="F59" s="588">
        <v>7</v>
      </c>
      <c r="G59" s="588">
        <v>8</v>
      </c>
      <c r="H59" s="588">
        <v>9</v>
      </c>
      <c r="I59" s="588">
        <v>10</v>
      </c>
      <c r="J59" s="588">
        <v>11</v>
      </c>
      <c r="K59" s="588">
        <v>12</v>
      </c>
      <c r="L59" s="112">
        <v>1</v>
      </c>
      <c r="M59" s="588">
        <v>2</v>
      </c>
      <c r="N59" s="588">
        <v>3</v>
      </c>
      <c r="O59" s="588">
        <v>4</v>
      </c>
      <c r="P59" s="588">
        <v>5</v>
      </c>
      <c r="Q59" s="588">
        <v>6</v>
      </c>
      <c r="R59" s="588">
        <v>7</v>
      </c>
      <c r="S59" s="588">
        <v>8</v>
      </c>
      <c r="T59" s="588">
        <v>9</v>
      </c>
      <c r="U59" s="588">
        <v>10</v>
      </c>
      <c r="V59" s="588">
        <v>11</v>
      </c>
      <c r="W59" s="588">
        <v>12</v>
      </c>
      <c r="X59" s="588">
        <v>13</v>
      </c>
      <c r="Y59" s="588">
        <v>14</v>
      </c>
      <c r="Z59" s="588">
        <v>15</v>
      </c>
      <c r="AA59" s="588">
        <v>16</v>
      </c>
      <c r="AB59" s="885">
        <v>17</v>
      </c>
      <c r="AC59" s="885">
        <v>18</v>
      </c>
      <c r="AD59" s="588">
        <v>19</v>
      </c>
      <c r="AE59" s="113">
        <v>1</v>
      </c>
      <c r="AF59" s="588">
        <v>2</v>
      </c>
      <c r="AG59" s="588">
        <v>3</v>
      </c>
      <c r="AH59" s="588">
        <v>4</v>
      </c>
      <c r="AI59" s="588">
        <v>5</v>
      </c>
      <c r="AJ59" s="155">
        <f>SUM(D60:AI60)</f>
        <v>12</v>
      </c>
      <c r="AK59" s="1029">
        <f>2.36+4</f>
        <v>6.3599999999999994</v>
      </c>
      <c r="AL59" s="147"/>
      <c r="AM59" s="790"/>
      <c r="AN59" s="790"/>
      <c r="AO59" s="779" t="str">
        <f>IF(COUNT(AM59,AN59)&lt;2, "0", AN59 - AM59 + 1)</f>
        <v>0</v>
      </c>
      <c r="AP59" s="780">
        <f>IFERROR((AK59+AL59)/AO59,0)</f>
        <v>0</v>
      </c>
      <c r="AQ59" s="1031">
        <f>7.39</f>
        <v>7.39</v>
      </c>
      <c r="AR59" s="1031"/>
      <c r="AS59" s="791"/>
      <c r="AT59" s="791"/>
      <c r="AU59" s="781" t="str">
        <f>IF(COUNT(AS59,AT59)&lt;2, "0", AT59 - AS59 )</f>
        <v>0</v>
      </c>
      <c r="AV59" s="782">
        <f>IFERROR((AQ59+AR59)/AU59,0)</f>
        <v>0</v>
      </c>
      <c r="AW59" s="1035"/>
      <c r="AX59" s="142"/>
      <c r="AY59" s="792"/>
      <c r="AZ59" s="792"/>
      <c r="BA59" s="783" t="str">
        <f>IF(COUNT(AY59,AZ59)&lt;2, "0", AZ59 - AY59 )</f>
        <v>0</v>
      </c>
      <c r="BB59" s="784">
        <f>IFERROR((AW59+AX59)/BA59,0)</f>
        <v>0</v>
      </c>
      <c r="BC59" s="513"/>
      <c r="BD59" s="144"/>
      <c r="BE59" s="995">
        <f>AK59+AQ59+AW59+BC59</f>
        <v>13.75</v>
      </c>
      <c r="BF59" s="995">
        <f>AL59+AR59+AX59+BD59</f>
        <v>0</v>
      </c>
      <c r="BG59" s="997">
        <v>27</v>
      </c>
    </row>
    <row r="60" spans="1:59" ht="24" customHeight="1" x14ac:dyDescent="0.35">
      <c r="A60" s="1025"/>
      <c r="B60" s="1018"/>
      <c r="C60" s="1015"/>
      <c r="D60" s="1015"/>
      <c r="E60" s="589"/>
      <c r="F60" s="589"/>
      <c r="G60" s="589"/>
      <c r="H60" s="589"/>
      <c r="I60" s="589"/>
      <c r="J60" s="589"/>
      <c r="K60" s="589"/>
      <c r="L60" s="589">
        <v>6</v>
      </c>
      <c r="M60" s="589"/>
      <c r="N60" s="589"/>
      <c r="O60" s="589"/>
      <c r="P60" s="589"/>
      <c r="Q60" s="589"/>
      <c r="R60" s="589"/>
      <c r="S60" s="589"/>
      <c r="T60" s="589"/>
      <c r="U60" s="589"/>
      <c r="V60" s="589"/>
      <c r="W60" s="589"/>
      <c r="X60" s="589"/>
      <c r="Y60" s="589"/>
      <c r="Z60" s="589"/>
      <c r="AA60" s="589"/>
      <c r="AB60" s="589"/>
      <c r="AC60" s="589"/>
      <c r="AD60" s="589"/>
      <c r="AE60" s="589">
        <v>6</v>
      </c>
      <c r="AF60" s="589"/>
      <c r="AG60" s="589"/>
      <c r="AH60" s="589"/>
      <c r="AI60" s="589"/>
      <c r="AJ60" s="156"/>
      <c r="AK60" s="1030"/>
      <c r="AL60" s="148"/>
      <c r="AM60" s="787"/>
      <c r="AN60" s="787"/>
      <c r="AO60" s="779"/>
      <c r="AP60" s="780"/>
      <c r="AQ60" s="1032"/>
      <c r="AR60" s="1032"/>
      <c r="AS60" s="768"/>
      <c r="AT60" s="768"/>
      <c r="AU60" s="781"/>
      <c r="AV60" s="782"/>
      <c r="AW60" s="1036"/>
      <c r="AX60" s="143"/>
      <c r="AY60" s="788"/>
      <c r="AZ60" s="788"/>
      <c r="BA60" s="783"/>
      <c r="BB60" s="784"/>
      <c r="BC60" s="514"/>
      <c r="BD60" s="122"/>
      <c r="BE60" s="1003"/>
      <c r="BF60" s="1003"/>
      <c r="BG60" s="998"/>
    </row>
    <row r="61" spans="1:59" ht="24" customHeight="1" x14ac:dyDescent="0.35">
      <c r="A61" s="1025"/>
      <c r="B61" s="1018"/>
      <c r="C61" s="1014">
        <v>25</v>
      </c>
      <c r="D61" s="1014">
        <v>36.64</v>
      </c>
      <c r="E61" s="588">
        <v>6</v>
      </c>
      <c r="F61" s="588">
        <v>7</v>
      </c>
      <c r="G61" s="588">
        <v>8</v>
      </c>
      <c r="H61" s="588">
        <v>9</v>
      </c>
      <c r="I61" s="588">
        <v>10</v>
      </c>
      <c r="J61" s="588">
        <v>11</v>
      </c>
      <c r="K61" s="588">
        <v>12</v>
      </c>
      <c r="L61" s="588">
        <v>13</v>
      </c>
      <c r="M61" s="112">
        <v>1</v>
      </c>
      <c r="N61" s="112">
        <v>2</v>
      </c>
      <c r="O61" s="588">
        <v>3</v>
      </c>
      <c r="P61" s="588">
        <v>4</v>
      </c>
      <c r="Q61" s="588">
        <v>5</v>
      </c>
      <c r="R61" s="588">
        <v>6</v>
      </c>
      <c r="S61" s="588">
        <v>7</v>
      </c>
      <c r="T61" s="588">
        <v>8</v>
      </c>
      <c r="U61" s="588">
        <v>9</v>
      </c>
      <c r="V61" s="588">
        <v>10</v>
      </c>
      <c r="W61" s="588">
        <v>11</v>
      </c>
      <c r="X61" s="588">
        <v>12</v>
      </c>
      <c r="Y61" s="588">
        <v>13</v>
      </c>
      <c r="Z61" s="588">
        <v>14</v>
      </c>
      <c r="AA61" s="588">
        <v>15</v>
      </c>
      <c r="AB61" s="588">
        <v>16</v>
      </c>
      <c r="AC61" s="588">
        <v>17</v>
      </c>
      <c r="AD61" s="588">
        <v>18</v>
      </c>
      <c r="AE61" s="588">
        <v>19</v>
      </c>
      <c r="AF61" s="113">
        <v>1</v>
      </c>
      <c r="AG61" s="588">
        <v>2</v>
      </c>
      <c r="AH61" s="588">
        <v>3</v>
      </c>
      <c r="AI61" s="588">
        <v>4</v>
      </c>
      <c r="AJ61" s="155">
        <f>SUM(D62:AI62)</f>
        <v>18</v>
      </c>
      <c r="AK61" s="1029">
        <f>4.58</f>
        <v>4.58</v>
      </c>
      <c r="AL61" s="147"/>
      <c r="AM61" s="790"/>
      <c r="AN61" s="790"/>
      <c r="AO61" s="779" t="str">
        <f>IF(COUNT(AM61,AN61)&lt;2, "0", AN61 - AM61 + 1)</f>
        <v>0</v>
      </c>
      <c r="AP61" s="780">
        <f>IFERROR((AK61+AL61)/AO61,0)</f>
        <v>0</v>
      </c>
      <c r="AQ61" s="1031">
        <f>4.53</f>
        <v>4.53</v>
      </c>
      <c r="AR61" s="1031"/>
      <c r="AS61" s="791"/>
      <c r="AT61" s="791"/>
      <c r="AU61" s="781" t="str">
        <f>IF(COUNT(AS61,AT61)&lt;2, "0", AT61 - AS61 )</f>
        <v>0</v>
      </c>
      <c r="AV61" s="782">
        <f>IFERROR((AQ61+AR61)/AU61,0)</f>
        <v>0</v>
      </c>
      <c r="AW61" s="515"/>
      <c r="AX61" s="142"/>
      <c r="AY61" s="792"/>
      <c r="AZ61" s="792"/>
      <c r="BA61" s="783" t="str">
        <f>IF(COUNT(AY61,AZ61)&lt;2, "0", AZ61 - AY61 )</f>
        <v>0</v>
      </c>
      <c r="BB61" s="784">
        <f>IFERROR((AW61+AX61)/BA61,0)</f>
        <v>0</v>
      </c>
      <c r="BC61" s="513"/>
      <c r="BD61" s="144"/>
      <c r="BE61" s="995">
        <f>AK61+AQ61+AW61+BC61</f>
        <v>9.11</v>
      </c>
      <c r="BF61" s="995">
        <f>AL61+AR61+AX61+BD61</f>
        <v>0</v>
      </c>
      <c r="BG61" s="997">
        <v>25</v>
      </c>
    </row>
    <row r="62" spans="1:59" ht="24" customHeight="1" x14ac:dyDescent="0.35">
      <c r="A62" s="1025"/>
      <c r="B62" s="1018"/>
      <c r="C62" s="1015"/>
      <c r="D62" s="1015"/>
      <c r="E62" s="589"/>
      <c r="F62" s="589"/>
      <c r="G62" s="589"/>
      <c r="H62" s="589"/>
      <c r="I62" s="589"/>
      <c r="J62" s="589"/>
      <c r="K62" s="589"/>
      <c r="L62" s="589"/>
      <c r="M62" s="589">
        <v>6</v>
      </c>
      <c r="N62" s="589">
        <v>6</v>
      </c>
      <c r="O62" s="589"/>
      <c r="P62" s="589"/>
      <c r="Q62" s="589"/>
      <c r="R62" s="589"/>
      <c r="S62" s="589"/>
      <c r="T62" s="589"/>
      <c r="U62" s="589"/>
      <c r="V62" s="589"/>
      <c r="W62" s="589"/>
      <c r="X62" s="589"/>
      <c r="Y62" s="589"/>
      <c r="Z62" s="589"/>
      <c r="AA62" s="589"/>
      <c r="AB62" s="589"/>
      <c r="AC62" s="589"/>
      <c r="AD62" s="589"/>
      <c r="AE62" s="589"/>
      <c r="AF62" s="589">
        <v>6</v>
      </c>
      <c r="AG62" s="589"/>
      <c r="AH62" s="589"/>
      <c r="AI62" s="589"/>
      <c r="AJ62" s="156"/>
      <c r="AK62" s="1030"/>
      <c r="AL62" s="148"/>
      <c r="AM62" s="787"/>
      <c r="AN62" s="787"/>
      <c r="AO62" s="779"/>
      <c r="AP62" s="780"/>
      <c r="AQ62" s="1032"/>
      <c r="AR62" s="1032"/>
      <c r="AS62" s="768"/>
      <c r="AT62" s="768"/>
      <c r="AU62" s="781"/>
      <c r="AV62" s="782"/>
      <c r="AW62" s="516"/>
      <c r="AX62" s="143"/>
      <c r="AY62" s="788"/>
      <c r="AZ62" s="788"/>
      <c r="BA62" s="783"/>
      <c r="BB62" s="784"/>
      <c r="BC62" s="514"/>
      <c r="BD62" s="122"/>
      <c r="BE62" s="1003"/>
      <c r="BF62" s="1003"/>
      <c r="BG62" s="998"/>
    </row>
    <row r="63" spans="1:59" ht="24" customHeight="1" x14ac:dyDescent="0.35">
      <c r="A63" s="1025"/>
      <c r="B63" s="1018"/>
      <c r="C63" s="1022" t="s">
        <v>7</v>
      </c>
      <c r="D63" s="1023">
        <v>22.75</v>
      </c>
      <c r="E63" s="588">
        <v>9</v>
      </c>
      <c r="F63" s="588">
        <v>10</v>
      </c>
      <c r="G63" s="588">
        <v>11</v>
      </c>
      <c r="H63" s="588">
        <v>12</v>
      </c>
      <c r="I63" s="112">
        <v>1</v>
      </c>
      <c r="J63" s="112">
        <v>2</v>
      </c>
      <c r="K63" s="588">
        <v>3</v>
      </c>
      <c r="L63" s="588">
        <v>4</v>
      </c>
      <c r="M63" s="588">
        <v>5</v>
      </c>
      <c r="N63" s="588">
        <v>6</v>
      </c>
      <c r="O63" s="588">
        <v>7</v>
      </c>
      <c r="P63" s="588">
        <v>8</v>
      </c>
      <c r="Q63" s="588">
        <v>9</v>
      </c>
      <c r="R63" s="588">
        <v>10</v>
      </c>
      <c r="S63" s="588">
        <v>11</v>
      </c>
      <c r="T63" s="588">
        <v>12</v>
      </c>
      <c r="U63" s="588">
        <v>13</v>
      </c>
      <c r="V63" s="588">
        <v>14</v>
      </c>
      <c r="W63" s="588">
        <v>15</v>
      </c>
      <c r="X63" s="588">
        <v>16</v>
      </c>
      <c r="Y63" s="588">
        <v>17</v>
      </c>
      <c r="Z63" s="113">
        <v>1</v>
      </c>
      <c r="AA63" s="113">
        <v>2</v>
      </c>
      <c r="AB63" s="113">
        <v>3</v>
      </c>
      <c r="AC63" s="588">
        <v>4</v>
      </c>
      <c r="AD63" s="588">
        <v>5</v>
      </c>
      <c r="AE63" s="588">
        <v>6</v>
      </c>
      <c r="AF63" s="588">
        <v>7</v>
      </c>
      <c r="AG63" s="588">
        <v>8</v>
      </c>
      <c r="AH63" s="588">
        <v>9</v>
      </c>
      <c r="AI63" s="588">
        <v>10</v>
      </c>
      <c r="AJ63" s="155">
        <f>SUM(D64:AI64)</f>
        <v>30</v>
      </c>
      <c r="AK63" s="1029">
        <f>3.87+4.01</f>
        <v>7.88</v>
      </c>
      <c r="AL63" s="147"/>
      <c r="AM63" s="790"/>
      <c r="AN63" s="790"/>
      <c r="AO63" s="779" t="str">
        <f>IF(COUNT(AM63,AN63)&lt;2, "0", AN63 - AM63 + 1)</f>
        <v>0</v>
      </c>
      <c r="AP63" s="780">
        <f>IFERROR((AK63+AL63)/AO63,0)</f>
        <v>0</v>
      </c>
      <c r="AQ63" s="1031">
        <f>8.59+3.01+2.57</f>
        <v>14.17</v>
      </c>
      <c r="AR63" s="1031"/>
      <c r="AS63" s="791"/>
      <c r="AT63" s="791"/>
      <c r="AU63" s="781" t="str">
        <f>IF(COUNT(AS63,AT63)&lt;2, "0", AT63 - AS63 )</f>
        <v>0</v>
      </c>
      <c r="AV63" s="782">
        <f>IFERROR((AQ63+AR63)/AU63,0)</f>
        <v>0</v>
      </c>
      <c r="AW63" s="1035"/>
      <c r="AX63" s="142"/>
      <c r="AY63" s="792"/>
      <c r="AZ63" s="792"/>
      <c r="BA63" s="783" t="str">
        <f>IF(COUNT(AY63,AZ63)&lt;2, "0", AZ63 - AY63 )</f>
        <v>0</v>
      </c>
      <c r="BB63" s="784">
        <f>IFERROR((AW63+AX63)/BA63,0)</f>
        <v>0</v>
      </c>
      <c r="BC63" s="793"/>
      <c r="BD63" s="144"/>
      <c r="BE63" s="995">
        <f>AK63+AQ63+AW63+BC63</f>
        <v>22.05</v>
      </c>
      <c r="BF63" s="995">
        <f>AL63+AR63+AX63+BD63</f>
        <v>0</v>
      </c>
      <c r="BG63" s="997" t="s">
        <v>7</v>
      </c>
    </row>
    <row r="64" spans="1:59" ht="24" customHeight="1" x14ac:dyDescent="0.35">
      <c r="A64" s="1026"/>
      <c r="B64" s="1015"/>
      <c r="C64" s="1022"/>
      <c r="D64" s="1023"/>
      <c r="E64" s="589"/>
      <c r="F64" s="589"/>
      <c r="G64" s="589"/>
      <c r="H64" s="589"/>
      <c r="I64" s="589">
        <v>6</v>
      </c>
      <c r="J64" s="589">
        <v>6</v>
      </c>
      <c r="K64" s="589"/>
      <c r="L64" s="589"/>
      <c r="M64" s="589"/>
      <c r="N64" s="589"/>
      <c r="O64" s="589"/>
      <c r="P64" s="589"/>
      <c r="Q64" s="589"/>
      <c r="R64" s="589"/>
      <c r="S64" s="589"/>
      <c r="T64" s="589"/>
      <c r="U64" s="589"/>
      <c r="V64" s="589"/>
      <c r="W64" s="589"/>
      <c r="X64" s="589"/>
      <c r="Y64" s="589"/>
      <c r="Z64" s="589">
        <v>6</v>
      </c>
      <c r="AA64" s="589">
        <v>6</v>
      </c>
      <c r="AB64" s="589">
        <v>6</v>
      </c>
      <c r="AC64" s="589"/>
      <c r="AD64" s="589"/>
      <c r="AE64" s="589"/>
      <c r="AF64" s="589"/>
      <c r="AG64" s="589"/>
      <c r="AH64" s="589"/>
      <c r="AI64" s="589"/>
      <c r="AJ64" s="156"/>
      <c r="AK64" s="1030"/>
      <c r="AL64" s="148"/>
      <c r="AM64" s="787"/>
      <c r="AN64" s="787"/>
      <c r="AO64" s="779"/>
      <c r="AP64" s="780"/>
      <c r="AQ64" s="1032"/>
      <c r="AR64" s="1032"/>
      <c r="AS64" s="768"/>
      <c r="AT64" s="768"/>
      <c r="AU64" s="781"/>
      <c r="AV64" s="782"/>
      <c r="AW64" s="1036"/>
      <c r="AX64" s="143"/>
      <c r="AY64" s="788"/>
      <c r="AZ64" s="788"/>
      <c r="BA64" s="783"/>
      <c r="BB64" s="784"/>
      <c r="BC64" s="793"/>
      <c r="BD64" s="122"/>
      <c r="BE64" s="1003"/>
      <c r="BF64" s="1003"/>
      <c r="BG64" s="998"/>
    </row>
    <row r="65" spans="1:59" ht="24" customHeight="1" x14ac:dyDescent="0.35">
      <c r="A65" s="1024"/>
      <c r="B65" s="1014">
        <v>2015</v>
      </c>
      <c r="C65" s="1014">
        <v>30</v>
      </c>
      <c r="D65" s="1014">
        <v>66.13</v>
      </c>
      <c r="E65" s="590">
        <v>3</v>
      </c>
      <c r="F65" s="590">
        <v>4</v>
      </c>
      <c r="G65" s="588">
        <v>5</v>
      </c>
      <c r="H65" s="590">
        <v>6</v>
      </c>
      <c r="I65" s="590">
        <v>7</v>
      </c>
      <c r="J65" s="590">
        <v>8</v>
      </c>
      <c r="K65" s="590">
        <v>9</v>
      </c>
      <c r="L65" s="590">
        <v>10</v>
      </c>
      <c r="M65" s="590">
        <v>11</v>
      </c>
      <c r="N65" s="590">
        <v>12</v>
      </c>
      <c r="O65" s="590">
        <v>13</v>
      </c>
      <c r="P65" s="590">
        <v>14</v>
      </c>
      <c r="Q65" s="590">
        <v>15</v>
      </c>
      <c r="R65" s="590">
        <v>16</v>
      </c>
      <c r="S65" s="590">
        <v>17</v>
      </c>
      <c r="T65" s="590">
        <v>18</v>
      </c>
      <c r="U65" s="505">
        <v>1</v>
      </c>
      <c r="V65" s="590">
        <v>2</v>
      </c>
      <c r="W65" s="590">
        <v>3</v>
      </c>
      <c r="X65" s="590">
        <v>4</v>
      </c>
      <c r="Y65" s="590">
        <v>5</v>
      </c>
      <c r="Z65" s="590">
        <v>6</v>
      </c>
      <c r="AA65" s="590">
        <v>7</v>
      </c>
      <c r="AB65" s="590">
        <v>8</v>
      </c>
      <c r="AC65" s="590">
        <v>9</v>
      </c>
      <c r="AD65" s="590">
        <v>10</v>
      </c>
      <c r="AE65" s="590">
        <v>11</v>
      </c>
      <c r="AF65" s="590">
        <v>12</v>
      </c>
      <c r="AG65" s="590">
        <v>13</v>
      </c>
      <c r="AH65" s="590">
        <v>14</v>
      </c>
      <c r="AI65" s="590">
        <v>15</v>
      </c>
      <c r="AJ65" s="155">
        <f>SUM(D66:AI66)</f>
        <v>6</v>
      </c>
      <c r="AK65" s="1029">
        <f>2.24</f>
        <v>2.2400000000000002</v>
      </c>
      <c r="AL65" s="147"/>
      <c r="AM65" s="790"/>
      <c r="AN65" s="790"/>
      <c r="AO65" s="779" t="str">
        <f>IF(COUNT(AM65,AN65)&lt;2, "0", AN65 - AM65 + 1)</f>
        <v>0</v>
      </c>
      <c r="AP65" s="780">
        <f>IFERROR((AK65+AL65)/AO65,0)</f>
        <v>0</v>
      </c>
      <c r="AQ65" s="1031"/>
      <c r="AR65" s="1031"/>
      <c r="AS65" s="791"/>
      <c r="AT65" s="791"/>
      <c r="AU65" s="781" t="str">
        <f>IF(COUNT(AS65,AT65)&lt;2, "0", AT65 - AS65 )</f>
        <v>0</v>
      </c>
      <c r="AV65" s="782">
        <f>IFERROR((AQ65+AR65)/AU65,0)</f>
        <v>0</v>
      </c>
      <c r="AW65" s="1037"/>
      <c r="AX65" s="142"/>
      <c r="AY65" s="792"/>
      <c r="AZ65" s="792"/>
      <c r="BA65" s="783" t="str">
        <f>IF(COUNT(AY65,AZ65)&lt;2, "0", AZ65 - AY65 )</f>
        <v>0</v>
      </c>
      <c r="BB65" s="784">
        <f>IFERROR((AW65+AX65)/BA65,0)</f>
        <v>0</v>
      </c>
      <c r="BC65" s="144"/>
      <c r="BD65" s="144"/>
      <c r="BE65" s="995">
        <f>AK65+AQ65+AW65+BC65</f>
        <v>2.2400000000000002</v>
      </c>
      <c r="BF65" s="995">
        <f>AL65+AR65+AX65+BD65</f>
        <v>0</v>
      </c>
      <c r="BG65" s="997">
        <v>30</v>
      </c>
    </row>
    <row r="66" spans="1:59" ht="24" customHeight="1" x14ac:dyDescent="0.35">
      <c r="A66" s="1026"/>
      <c r="B66" s="1015"/>
      <c r="C66" s="1015"/>
      <c r="D66" s="1015"/>
      <c r="E66" s="589"/>
      <c r="F66" s="589"/>
      <c r="G66" s="589"/>
      <c r="H66" s="589"/>
      <c r="I66" s="589"/>
      <c r="J66" s="589"/>
      <c r="K66" s="589"/>
      <c r="L66" s="589"/>
      <c r="M66" s="589"/>
      <c r="N66" s="589"/>
      <c r="O66" s="589"/>
      <c r="P66" s="589"/>
      <c r="Q66" s="589"/>
      <c r="R66" s="589"/>
      <c r="S66" s="589"/>
      <c r="T66" s="589"/>
      <c r="U66" s="589">
        <v>6</v>
      </c>
      <c r="V66" s="589"/>
      <c r="W66" s="589"/>
      <c r="X66" s="589"/>
      <c r="Y66" s="589"/>
      <c r="Z66" s="589"/>
      <c r="AA66" s="589"/>
      <c r="AB66" s="589"/>
      <c r="AC66" s="589"/>
      <c r="AD66" s="589"/>
      <c r="AE66" s="589"/>
      <c r="AF66" s="589"/>
      <c r="AG66" s="589"/>
      <c r="AH66" s="589"/>
      <c r="AI66" s="589"/>
      <c r="AJ66" s="156"/>
      <c r="AK66" s="1030"/>
      <c r="AL66" s="148"/>
      <c r="AM66" s="787"/>
      <c r="AN66" s="787"/>
      <c r="AO66" s="779"/>
      <c r="AP66" s="780"/>
      <c r="AQ66" s="1032"/>
      <c r="AR66" s="1032"/>
      <c r="AS66" s="768"/>
      <c r="AT66" s="768"/>
      <c r="AU66" s="781"/>
      <c r="AV66" s="782"/>
      <c r="AW66" s="1037"/>
      <c r="AX66" s="143"/>
      <c r="AY66" s="788"/>
      <c r="AZ66" s="788"/>
      <c r="BA66" s="783"/>
      <c r="BB66" s="784"/>
      <c r="BC66" s="122"/>
      <c r="BD66" s="122"/>
      <c r="BE66" s="1003"/>
      <c r="BF66" s="1003"/>
      <c r="BG66" s="998"/>
    </row>
    <row r="67" spans="1:59" ht="24" customHeight="1" x14ac:dyDescent="0.35">
      <c r="A67" s="1024"/>
      <c r="B67" s="1014">
        <v>2015</v>
      </c>
      <c r="C67" s="1014">
        <v>31</v>
      </c>
      <c r="D67" s="121">
        <v>34.08</v>
      </c>
      <c r="E67" s="590">
        <v>3</v>
      </c>
      <c r="F67" s="590">
        <v>4</v>
      </c>
      <c r="G67" s="588">
        <v>5</v>
      </c>
      <c r="H67" s="590">
        <v>6</v>
      </c>
      <c r="I67" s="590">
        <v>7</v>
      </c>
      <c r="J67" s="590">
        <v>8</v>
      </c>
      <c r="K67" s="590">
        <v>9</v>
      </c>
      <c r="L67" s="590">
        <v>10</v>
      </c>
      <c r="M67" s="590">
        <v>11</v>
      </c>
      <c r="N67" s="590">
        <v>12</v>
      </c>
      <c r="O67" s="590">
        <v>13</v>
      </c>
      <c r="P67" s="590">
        <v>14</v>
      </c>
      <c r="Q67" s="590">
        <v>15</v>
      </c>
      <c r="R67" s="590">
        <v>16</v>
      </c>
      <c r="S67" s="505">
        <v>1</v>
      </c>
      <c r="T67" s="505">
        <v>2</v>
      </c>
      <c r="U67" s="590">
        <v>3</v>
      </c>
      <c r="V67" s="590">
        <v>4</v>
      </c>
      <c r="W67" s="590">
        <v>5</v>
      </c>
      <c r="X67" s="590">
        <v>6</v>
      </c>
      <c r="Y67" s="590">
        <v>7</v>
      </c>
      <c r="Z67" s="590">
        <v>8</v>
      </c>
      <c r="AA67" s="590">
        <v>9</v>
      </c>
      <c r="AB67" s="590">
        <v>10</v>
      </c>
      <c r="AC67" s="590">
        <v>11</v>
      </c>
      <c r="AD67" s="590">
        <v>12</v>
      </c>
      <c r="AE67" s="590">
        <v>13</v>
      </c>
      <c r="AF67" s="590">
        <v>14</v>
      </c>
      <c r="AG67" s="588">
        <v>15</v>
      </c>
      <c r="AH67" s="590">
        <v>16</v>
      </c>
      <c r="AI67" s="506">
        <v>1</v>
      </c>
      <c r="AJ67" s="155">
        <f>SUM(D68:AI68)</f>
        <v>21</v>
      </c>
      <c r="AK67" s="1029">
        <f>3.33</f>
        <v>3.33</v>
      </c>
      <c r="AL67" s="147"/>
      <c r="AM67" s="790"/>
      <c r="AN67" s="790"/>
      <c r="AO67" s="779" t="str">
        <f>IF(COUNT(AM67,AN67)&lt;2, "0", AN67 - AM67 + 1)</f>
        <v>0</v>
      </c>
      <c r="AP67" s="780">
        <f>IFERROR((AK67+AL67)/AO67,0)</f>
        <v>0</v>
      </c>
      <c r="AQ67" s="1031"/>
      <c r="AR67" s="1031"/>
      <c r="AS67" s="791"/>
      <c r="AT67" s="791"/>
      <c r="AU67" s="781" t="str">
        <f>IF(COUNT(AS67,AT67)&lt;2, "0", AT67 - AS67 )</f>
        <v>0</v>
      </c>
      <c r="AV67" s="782">
        <f>IFERROR((AQ67+AR67)/AU67,0)</f>
        <v>0</v>
      </c>
      <c r="AW67" s="1037"/>
      <c r="AX67" s="142"/>
      <c r="AY67" s="792"/>
      <c r="AZ67" s="792"/>
      <c r="BA67" s="783" t="str">
        <f>IF(COUNT(AY67,AZ67)&lt;2, "0", AZ67 - AY67 )</f>
        <v>0</v>
      </c>
      <c r="BB67" s="784">
        <f>IFERROR((AW67+AX67)/BA67,0)</f>
        <v>0</v>
      </c>
      <c r="BC67" s="144"/>
      <c r="BD67" s="144"/>
      <c r="BE67" s="995">
        <f>AK67+AQ67+AW67+BC67</f>
        <v>3.33</v>
      </c>
      <c r="BF67" s="995">
        <f>AL67+AR67+AX67+BD67</f>
        <v>0</v>
      </c>
      <c r="BG67" s="997">
        <v>31</v>
      </c>
    </row>
    <row r="68" spans="1:59" ht="24" customHeight="1" x14ac:dyDescent="0.35">
      <c r="A68" s="1026"/>
      <c r="B68" s="1015"/>
      <c r="C68" s="1015"/>
      <c r="D68" s="110"/>
      <c r="E68" s="589"/>
      <c r="F68" s="589"/>
      <c r="G68" s="589"/>
      <c r="H68" s="589"/>
      <c r="I68" s="589"/>
      <c r="J68" s="589"/>
      <c r="K68" s="589"/>
      <c r="L68" s="589"/>
      <c r="M68" s="589"/>
      <c r="N68" s="589"/>
      <c r="O68" s="589"/>
      <c r="P68" s="589"/>
      <c r="Q68" s="589"/>
      <c r="R68" s="589"/>
      <c r="S68" s="589">
        <v>6</v>
      </c>
      <c r="T68" s="589">
        <v>6</v>
      </c>
      <c r="U68" s="589"/>
      <c r="V68" s="589"/>
      <c r="W68" s="589"/>
      <c r="X68" s="589"/>
      <c r="Y68" s="589"/>
      <c r="Z68" s="589"/>
      <c r="AA68" s="589"/>
      <c r="AB68" s="589"/>
      <c r="AC68" s="589"/>
      <c r="AD68" s="589"/>
      <c r="AE68" s="589"/>
      <c r="AF68" s="589"/>
      <c r="AG68" s="589"/>
      <c r="AH68" s="589"/>
      <c r="AI68" s="589">
        <v>9</v>
      </c>
      <c r="AJ68" s="156"/>
      <c r="AK68" s="1030"/>
      <c r="AL68" s="148"/>
      <c r="AM68" s="787"/>
      <c r="AN68" s="787"/>
      <c r="AO68" s="779"/>
      <c r="AP68" s="780"/>
      <c r="AQ68" s="1032"/>
      <c r="AR68" s="1032"/>
      <c r="AS68" s="768"/>
      <c r="AT68" s="768"/>
      <c r="AU68" s="781"/>
      <c r="AV68" s="782"/>
      <c r="AW68" s="1037"/>
      <c r="AX68" s="143"/>
      <c r="AY68" s="788"/>
      <c r="AZ68" s="788"/>
      <c r="BA68" s="783"/>
      <c r="BB68" s="784"/>
      <c r="BC68" s="122"/>
      <c r="BD68" s="122"/>
      <c r="BE68" s="1003"/>
      <c r="BF68" s="1003"/>
      <c r="BG68" s="998"/>
    </row>
    <row r="69" spans="1:59" ht="24" customHeight="1" x14ac:dyDescent="0.35">
      <c r="A69" s="794"/>
      <c r="B69" s="1014">
        <v>2015</v>
      </c>
      <c r="C69" s="1014">
        <v>29</v>
      </c>
      <c r="D69" s="121">
        <v>11.38</v>
      </c>
      <c r="E69" s="590">
        <v>10</v>
      </c>
      <c r="F69" s="590">
        <v>11</v>
      </c>
      <c r="G69" s="588">
        <v>12</v>
      </c>
      <c r="H69" s="590">
        <v>13</v>
      </c>
      <c r="I69" s="590">
        <v>14</v>
      </c>
      <c r="J69" s="590">
        <v>15</v>
      </c>
      <c r="K69" s="505">
        <v>1</v>
      </c>
      <c r="L69" s="590">
        <v>2</v>
      </c>
      <c r="M69" s="590">
        <v>3</v>
      </c>
      <c r="N69" s="590">
        <v>4</v>
      </c>
      <c r="O69" s="590">
        <v>5</v>
      </c>
      <c r="P69" s="590">
        <v>6</v>
      </c>
      <c r="Q69" s="590">
        <v>7</v>
      </c>
      <c r="R69" s="590">
        <v>8</v>
      </c>
      <c r="S69" s="590">
        <v>9</v>
      </c>
      <c r="T69" s="590">
        <v>10</v>
      </c>
      <c r="U69" s="590">
        <v>11</v>
      </c>
      <c r="V69" s="590">
        <v>12</v>
      </c>
      <c r="W69" s="506">
        <v>1</v>
      </c>
      <c r="X69" s="590">
        <v>2</v>
      </c>
      <c r="Y69" s="590">
        <v>3</v>
      </c>
      <c r="Z69" s="590">
        <v>4</v>
      </c>
      <c r="AA69" s="590">
        <v>5</v>
      </c>
      <c r="AB69" s="590">
        <v>6</v>
      </c>
      <c r="AC69" s="590">
        <v>7</v>
      </c>
      <c r="AD69" s="590">
        <v>8</v>
      </c>
      <c r="AE69" s="590">
        <v>9</v>
      </c>
      <c r="AF69" s="590">
        <v>10</v>
      </c>
      <c r="AG69" s="588">
        <v>11</v>
      </c>
      <c r="AH69" s="590">
        <v>12</v>
      </c>
      <c r="AI69" s="590">
        <v>13</v>
      </c>
      <c r="AJ69" s="155">
        <f>SUM(D70:AI70)</f>
        <v>12</v>
      </c>
      <c r="AK69" s="1029">
        <f>1.3</f>
        <v>1.3</v>
      </c>
      <c r="AL69" s="147"/>
      <c r="AM69" s="790"/>
      <c r="AN69" s="790"/>
      <c r="AO69" s="779" t="str">
        <f>IF(COUNT(AM69,AN69)&lt;2, "0", AN69 - AM69 + 1)</f>
        <v>0</v>
      </c>
      <c r="AP69" s="780">
        <f>IFERROR((AK69+AL69)/AO69,0)</f>
        <v>0</v>
      </c>
      <c r="AQ69" s="1031">
        <f>1.4</f>
        <v>1.4</v>
      </c>
      <c r="AR69" s="1031"/>
      <c r="AS69" s="791"/>
      <c r="AT69" s="791"/>
      <c r="AU69" s="781" t="str">
        <f>IF(COUNT(AS69,AT69)&lt;2, "0", AT69 - AS69 )</f>
        <v>0</v>
      </c>
      <c r="AV69" s="782">
        <f>IFERROR((AQ69+AR69)/AU69,0)</f>
        <v>0</v>
      </c>
      <c r="AW69" s="1035"/>
      <c r="AX69" s="142"/>
      <c r="AY69" s="792"/>
      <c r="AZ69" s="792"/>
      <c r="BA69" s="783" t="str">
        <f>IF(COUNT(AY69,AZ69)&lt;2, "0", AZ69 - AY69 )</f>
        <v>0</v>
      </c>
      <c r="BB69" s="784">
        <f>IFERROR((AW69+AX69)/BA69,0)</f>
        <v>0</v>
      </c>
      <c r="BC69" s="509"/>
      <c r="BD69" s="144"/>
      <c r="BE69" s="995">
        <f>AK69+AQ69+AW69+BC69</f>
        <v>2.7</v>
      </c>
      <c r="BF69" s="995">
        <f>AL69+AR69+AX69+BD69</f>
        <v>0</v>
      </c>
      <c r="BG69" s="997">
        <v>29</v>
      </c>
    </row>
    <row r="70" spans="1:59" ht="24" customHeight="1" x14ac:dyDescent="0.35">
      <c r="A70" s="794"/>
      <c r="B70" s="1015"/>
      <c r="C70" s="1015"/>
      <c r="D70" s="121"/>
      <c r="E70" s="591"/>
      <c r="F70" s="591"/>
      <c r="G70" s="589"/>
      <c r="H70" s="591"/>
      <c r="I70" s="591"/>
      <c r="J70" s="591"/>
      <c r="K70" s="591">
        <v>6</v>
      </c>
      <c r="L70" s="591"/>
      <c r="M70" s="591"/>
      <c r="N70" s="591"/>
      <c r="O70" s="591"/>
      <c r="P70" s="591"/>
      <c r="Q70" s="591"/>
      <c r="R70" s="591"/>
      <c r="S70" s="591"/>
      <c r="T70" s="591"/>
      <c r="U70" s="591"/>
      <c r="V70" s="591"/>
      <c r="W70" s="591">
        <v>6</v>
      </c>
      <c r="X70" s="591"/>
      <c r="Y70" s="591"/>
      <c r="Z70" s="591"/>
      <c r="AA70" s="591"/>
      <c r="AB70" s="591"/>
      <c r="AC70" s="591"/>
      <c r="AD70" s="591"/>
      <c r="AE70" s="591"/>
      <c r="AF70" s="591"/>
      <c r="AG70" s="589"/>
      <c r="AH70" s="591"/>
      <c r="AI70" s="591"/>
      <c r="AJ70" s="156"/>
      <c r="AK70" s="1030"/>
      <c r="AL70" s="148"/>
      <c r="AM70" s="787"/>
      <c r="AN70" s="787"/>
      <c r="AO70" s="779"/>
      <c r="AP70" s="780"/>
      <c r="AQ70" s="1032"/>
      <c r="AR70" s="1032"/>
      <c r="AS70" s="768"/>
      <c r="AT70" s="768"/>
      <c r="AU70" s="781"/>
      <c r="AV70" s="782"/>
      <c r="AW70" s="1036"/>
      <c r="AX70" s="143"/>
      <c r="AY70" s="788"/>
      <c r="AZ70" s="788"/>
      <c r="BA70" s="783"/>
      <c r="BB70" s="784"/>
      <c r="BC70" s="509"/>
      <c r="BD70" s="122"/>
      <c r="BE70" s="1003"/>
      <c r="BF70" s="1003"/>
      <c r="BG70" s="998"/>
    </row>
    <row r="71" spans="1:59" ht="24" customHeight="1" x14ac:dyDescent="0.35">
      <c r="A71" s="1024"/>
      <c r="B71" s="1014">
        <v>2014</v>
      </c>
      <c r="C71" s="1014">
        <v>105</v>
      </c>
      <c r="D71" s="1014"/>
      <c r="E71" s="590">
        <v>181</v>
      </c>
      <c r="F71" s="590">
        <v>182</v>
      </c>
      <c r="G71" s="588">
        <v>183</v>
      </c>
      <c r="H71" s="590">
        <v>184</v>
      </c>
      <c r="I71" s="590">
        <v>185</v>
      </c>
      <c r="J71" s="590">
        <v>186</v>
      </c>
      <c r="K71" s="590">
        <v>187</v>
      </c>
      <c r="L71" s="590">
        <v>188</v>
      </c>
      <c r="M71" s="590">
        <v>189</v>
      </c>
      <c r="N71" s="590">
        <v>190</v>
      </c>
      <c r="O71" s="590">
        <v>191</v>
      </c>
      <c r="P71" s="590">
        <v>192</v>
      </c>
      <c r="Q71" s="590">
        <v>193</v>
      </c>
      <c r="R71" s="590">
        <v>194</v>
      </c>
      <c r="S71" s="590">
        <v>195</v>
      </c>
      <c r="T71" s="590">
        <v>196</v>
      </c>
      <c r="U71" s="590">
        <v>197</v>
      </c>
      <c r="V71" s="590">
        <v>198</v>
      </c>
      <c r="W71" s="590">
        <v>199</v>
      </c>
      <c r="X71" s="590">
        <v>200</v>
      </c>
      <c r="Y71" s="590">
        <v>201</v>
      </c>
      <c r="Z71" s="590">
        <v>202</v>
      </c>
      <c r="AA71" s="590">
        <v>203</v>
      </c>
      <c r="AB71" s="590">
        <v>204</v>
      </c>
      <c r="AC71" s="590">
        <v>205</v>
      </c>
      <c r="AD71" s="590">
        <v>206</v>
      </c>
      <c r="AE71" s="590">
        <v>207</v>
      </c>
      <c r="AF71" s="590">
        <v>208</v>
      </c>
      <c r="AG71" s="588">
        <v>209</v>
      </c>
      <c r="AH71" s="590">
        <v>210</v>
      </c>
      <c r="AI71" s="590">
        <v>211</v>
      </c>
      <c r="AJ71" s="155">
        <f>SUM(D72:AI72)</f>
        <v>0</v>
      </c>
      <c r="AK71" s="1029"/>
      <c r="AL71" s="147"/>
      <c r="AM71" s="785"/>
      <c r="AN71" s="760"/>
      <c r="AO71" s="760"/>
      <c r="AP71" s="599"/>
      <c r="AQ71" s="1031"/>
      <c r="AR71" s="1031"/>
      <c r="AS71" s="766"/>
      <c r="AT71" s="769"/>
      <c r="AU71" s="769"/>
      <c r="AV71" s="601"/>
      <c r="AW71" s="1037"/>
      <c r="AX71" s="142"/>
      <c r="AY71" s="786"/>
      <c r="AZ71" s="795"/>
      <c r="BA71" s="795"/>
      <c r="BB71" s="515"/>
      <c r="BC71" s="144"/>
      <c r="BD71" s="144"/>
      <c r="BE71" s="995">
        <f>AK71+AQ71+AW71+BC71</f>
        <v>0</v>
      </c>
      <c r="BF71" s="995">
        <f>AL71+AR71+AX71+BD71</f>
        <v>0</v>
      </c>
      <c r="BG71" s="997">
        <v>105</v>
      </c>
    </row>
    <row r="72" spans="1:59" ht="24" customHeight="1" x14ac:dyDescent="0.35">
      <c r="A72" s="1026"/>
      <c r="B72" s="1015"/>
      <c r="C72" s="1015"/>
      <c r="D72" s="1015"/>
      <c r="E72" s="589"/>
      <c r="F72" s="589"/>
      <c r="G72" s="589"/>
      <c r="H72" s="589"/>
      <c r="I72" s="589"/>
      <c r="J72" s="589"/>
      <c r="K72" s="589"/>
      <c r="L72" s="589"/>
      <c r="M72" s="589"/>
      <c r="N72" s="589"/>
      <c r="O72" s="589"/>
      <c r="P72" s="589"/>
      <c r="Q72" s="589"/>
      <c r="R72" s="589"/>
      <c r="S72" s="589"/>
      <c r="T72" s="589"/>
      <c r="U72" s="589"/>
      <c r="V72" s="589"/>
      <c r="W72" s="589"/>
      <c r="X72" s="589"/>
      <c r="Y72" s="589"/>
      <c r="Z72" s="589"/>
      <c r="AA72" s="589"/>
      <c r="AB72" s="589"/>
      <c r="AC72" s="589"/>
      <c r="AD72" s="589"/>
      <c r="AE72" s="589"/>
      <c r="AF72" s="589"/>
      <c r="AG72" s="589"/>
      <c r="AH72" s="589"/>
      <c r="AI72" s="589"/>
      <c r="AJ72" s="156"/>
      <c r="AK72" s="1030"/>
      <c r="AL72" s="148"/>
      <c r="AM72" s="787"/>
      <c r="AN72" s="761"/>
      <c r="AO72" s="761"/>
      <c r="AP72" s="600"/>
      <c r="AQ72" s="1032"/>
      <c r="AR72" s="1032"/>
      <c r="AS72" s="768"/>
      <c r="AT72" s="770"/>
      <c r="AU72" s="770"/>
      <c r="AV72" s="602"/>
      <c r="AW72" s="1037"/>
      <c r="AX72" s="143"/>
      <c r="AY72" s="788"/>
      <c r="AZ72" s="796"/>
      <c r="BA72" s="796"/>
      <c r="BB72" s="516"/>
      <c r="BC72" s="122"/>
      <c r="BD72" s="122"/>
      <c r="BE72" s="1003"/>
      <c r="BF72" s="1003"/>
      <c r="BG72" s="998"/>
    </row>
    <row r="73" spans="1:59" ht="24" customHeight="1" x14ac:dyDescent="0.35">
      <c r="A73" s="1024"/>
      <c r="B73" s="1014">
        <v>2008</v>
      </c>
      <c r="C73" s="1014">
        <v>114</v>
      </c>
      <c r="D73" s="121"/>
      <c r="E73" s="590">
        <v>181</v>
      </c>
      <c r="F73" s="590">
        <v>182</v>
      </c>
      <c r="G73" s="588">
        <v>183</v>
      </c>
      <c r="H73" s="590">
        <v>184</v>
      </c>
      <c r="I73" s="590">
        <v>185</v>
      </c>
      <c r="J73" s="590">
        <v>186</v>
      </c>
      <c r="K73" s="590">
        <v>187</v>
      </c>
      <c r="L73" s="590">
        <v>188</v>
      </c>
      <c r="M73" s="590">
        <v>189</v>
      </c>
      <c r="N73" s="590">
        <v>190</v>
      </c>
      <c r="O73" s="590">
        <v>191</v>
      </c>
      <c r="P73" s="590">
        <v>192</v>
      </c>
      <c r="Q73" s="590">
        <v>193</v>
      </c>
      <c r="R73" s="590">
        <v>194</v>
      </c>
      <c r="S73" s="590">
        <v>195</v>
      </c>
      <c r="T73" s="590">
        <v>196</v>
      </c>
      <c r="U73" s="590">
        <v>197</v>
      </c>
      <c r="V73" s="590">
        <v>198</v>
      </c>
      <c r="W73" s="590">
        <v>199</v>
      </c>
      <c r="X73" s="590">
        <v>200</v>
      </c>
      <c r="Y73" s="590">
        <v>201</v>
      </c>
      <c r="Z73" s="590">
        <v>202</v>
      </c>
      <c r="AA73" s="590">
        <v>203</v>
      </c>
      <c r="AB73" s="590">
        <v>204</v>
      </c>
      <c r="AC73" s="590">
        <v>205</v>
      </c>
      <c r="AD73" s="590">
        <v>206</v>
      </c>
      <c r="AE73" s="590">
        <v>207</v>
      </c>
      <c r="AF73" s="590">
        <v>208</v>
      </c>
      <c r="AG73" s="588">
        <v>209</v>
      </c>
      <c r="AH73" s="590">
        <v>210</v>
      </c>
      <c r="AI73" s="590">
        <v>211</v>
      </c>
      <c r="AJ73" s="155">
        <f>SUM(D74:AI74)</f>
        <v>0</v>
      </c>
      <c r="AK73" s="1029"/>
      <c r="AL73" s="147"/>
      <c r="AM73" s="785"/>
      <c r="AN73" s="760"/>
      <c r="AO73" s="760"/>
      <c r="AP73" s="599"/>
      <c r="AQ73" s="1031"/>
      <c r="AR73" s="1031"/>
      <c r="AS73" s="766"/>
      <c r="AT73" s="769"/>
      <c r="AU73" s="769"/>
      <c r="AV73" s="601"/>
      <c r="AW73" s="1037"/>
      <c r="AX73" s="142"/>
      <c r="AY73" s="786"/>
      <c r="AZ73" s="795"/>
      <c r="BA73" s="795"/>
      <c r="BB73" s="515"/>
      <c r="BC73" s="144"/>
      <c r="BD73" s="144"/>
      <c r="BE73" s="995">
        <f>AK73+AQ73+AW73+BC73</f>
        <v>0</v>
      </c>
      <c r="BF73" s="995">
        <f>AL73+AR73+AX73+BD73</f>
        <v>0</v>
      </c>
      <c r="BG73" s="997">
        <v>114</v>
      </c>
    </row>
    <row r="74" spans="1:59" ht="24" customHeight="1" thickBot="1" x14ac:dyDescent="0.4">
      <c r="A74" s="1026"/>
      <c r="B74" s="1015"/>
      <c r="C74" s="1015"/>
      <c r="D74" s="110"/>
      <c r="E74" s="589"/>
      <c r="F74" s="589"/>
      <c r="G74" s="589"/>
      <c r="H74" s="589"/>
      <c r="I74" s="589"/>
      <c r="J74" s="589"/>
      <c r="K74" s="589"/>
      <c r="L74" s="589"/>
      <c r="M74" s="589"/>
      <c r="N74" s="589"/>
      <c r="O74" s="589"/>
      <c r="P74" s="589"/>
      <c r="Q74" s="589"/>
      <c r="R74" s="589"/>
      <c r="S74" s="589"/>
      <c r="T74" s="589"/>
      <c r="U74" s="589"/>
      <c r="V74" s="589"/>
      <c r="W74" s="589"/>
      <c r="X74" s="589"/>
      <c r="Y74" s="589"/>
      <c r="Z74" s="589"/>
      <c r="AA74" s="589"/>
      <c r="AB74" s="589"/>
      <c r="AC74" s="589"/>
      <c r="AD74" s="589"/>
      <c r="AE74" s="589"/>
      <c r="AF74" s="589"/>
      <c r="AG74" s="589"/>
      <c r="AH74" s="589"/>
      <c r="AI74" s="589"/>
      <c r="AJ74" s="156"/>
      <c r="AK74" s="1030"/>
      <c r="AL74" s="148"/>
      <c r="AM74" s="787"/>
      <c r="AN74" s="761"/>
      <c r="AO74" s="761"/>
      <c r="AP74" s="600"/>
      <c r="AQ74" s="1032"/>
      <c r="AR74" s="1032"/>
      <c r="AS74" s="768"/>
      <c r="AT74" s="770"/>
      <c r="AU74" s="770"/>
      <c r="AV74" s="602"/>
      <c r="AW74" s="1037"/>
      <c r="AX74" s="143"/>
      <c r="AY74" s="788"/>
      <c r="AZ74" s="796"/>
      <c r="BA74" s="796"/>
      <c r="BB74" s="516"/>
      <c r="BC74" s="122"/>
      <c r="BD74" s="122"/>
      <c r="BE74" s="996"/>
      <c r="BF74" s="996"/>
      <c r="BG74" s="998"/>
    </row>
    <row r="75" spans="1:59" ht="21" customHeight="1" x14ac:dyDescent="0.35">
      <c r="A75" s="138" t="s">
        <v>97</v>
      </c>
      <c r="B75" s="139"/>
      <c r="C75" s="139"/>
      <c r="D75" s="139"/>
      <c r="E75" s="123">
        <f>E64+E62+E60+E58+E56+E54+E52+E50+E48+E46+E44+E42+E40+E38+E36+E34+E32+E30+E28+E26+E24+E22+E20+E18+E16+E14+E12+E10+E8+E6+E68+E66+E72+E74</f>
        <v>53</v>
      </c>
      <c r="F75" s="123">
        <f>F64+F62+F60+F58+F56+F54+F52+F50+F48+F46+F44+F42+F40+F38+F36+F34+F32+F30+F28+F26+F24+F22+F20+F18+F16+F14+F12+F10+F8+F6+F68+F66+F72+F74</f>
        <v>25</v>
      </c>
      <c r="G75" s="123">
        <f>G6+G8+G10+G12+G14+G16+G18+G20+G22+G24+G26+G28+G30+G32+G34+G36+G38+G40+G42+G44+G46+G48+G50+G52+G52+G54+G56+G58+G60+G62+G64+G66+G68+G72+G74</f>
        <v>32</v>
      </c>
      <c r="H75" s="123">
        <f t="shared" ref="H75:AH75" si="0">H64+H62+H60+H58+H56+H54+H52+H50+H48+H46+H44+H42+H40+H38+H36+H34+H32+H30+H28+H26+H24+H22+H20+H18+H16+H14+H12+H10+H8+H6+H68+H66+H72+H74</f>
        <v>47</v>
      </c>
      <c r="I75" s="123">
        <f t="shared" si="0"/>
        <v>54</v>
      </c>
      <c r="J75" s="123">
        <f t="shared" si="0"/>
        <v>55</v>
      </c>
      <c r="K75" s="123">
        <f t="shared" si="0"/>
        <v>49</v>
      </c>
      <c r="L75" s="123">
        <f t="shared" si="0"/>
        <v>53</v>
      </c>
      <c r="M75" s="123">
        <f t="shared" si="0"/>
        <v>54</v>
      </c>
      <c r="N75" s="123">
        <f t="shared" si="0"/>
        <v>57</v>
      </c>
      <c r="O75" s="123">
        <f t="shared" si="0"/>
        <v>55</v>
      </c>
      <c r="P75" s="123">
        <f t="shared" si="0"/>
        <v>57</v>
      </c>
      <c r="Q75" s="123">
        <f>Q64+Q62+Q60+Q58+Q56+Q54+Q52+Q50+Q48+Q46+Q44+Q42+Q40+Q38+Q36+Q34+Q32+Q30+Q28+Q26+Q24+Q22+Q20+Q18+Q16+Q14+Q12+Q10+Q8+Q6+Q68+Q66+Q72+Q74</f>
        <v>58</v>
      </c>
      <c r="R75" s="123">
        <f t="shared" si="0"/>
        <v>0</v>
      </c>
      <c r="S75" s="123">
        <f t="shared" si="0"/>
        <v>54</v>
      </c>
      <c r="T75" s="123">
        <f t="shared" si="0"/>
        <v>55</v>
      </c>
      <c r="U75" s="123">
        <f t="shared" si="0"/>
        <v>55</v>
      </c>
      <c r="V75" s="123">
        <f t="shared" si="0"/>
        <v>56</v>
      </c>
      <c r="W75" s="123">
        <f t="shared" si="0"/>
        <v>39</v>
      </c>
      <c r="X75" s="123">
        <f t="shared" si="0"/>
        <v>57</v>
      </c>
      <c r="Y75" s="123">
        <f t="shared" si="0"/>
        <v>57</v>
      </c>
      <c r="Z75" s="123">
        <f t="shared" si="0"/>
        <v>56</v>
      </c>
      <c r="AA75" s="123">
        <f t="shared" si="0"/>
        <v>55</v>
      </c>
      <c r="AB75" s="123">
        <f t="shared" si="0"/>
        <v>55</v>
      </c>
      <c r="AC75" s="123">
        <f t="shared" si="0"/>
        <v>26</v>
      </c>
      <c r="AD75" s="123">
        <f>AD64+AD62+AD60+AD58+AD56+AD54+AD52+AD50+AD48+AD46+AD44+AD42+AD40+AD38+AD36+AD34+AD32+AD30+AD28+AD26+AD24+AD22+AD20+AD18+AD16+AD14+AD12+AD10+AD8+AD6+AD68+AD66+AD72+AD74</f>
        <v>30</v>
      </c>
      <c r="AE75" s="123">
        <f>AE64+AE62+AE60+AE58+AE56+AE54+AE52+AE50+AE48+AE46+AE44+AE42+AE40+AE38+AE36+AE34+AE32+AE30+AE28+AE26+AE24+AE22+AE20+AE18+AE16+AE14+AE12+AE10+AE8+AE6+AE68+AE66+AE72+AE74</f>
        <v>58</v>
      </c>
      <c r="AF75" s="123">
        <f t="shared" si="0"/>
        <v>57</v>
      </c>
      <c r="AG75" s="123">
        <f t="shared" si="0"/>
        <v>57</v>
      </c>
      <c r="AH75" s="123">
        <f t="shared" si="0"/>
        <v>55</v>
      </c>
      <c r="AI75" s="123">
        <f>AI64+AI62+AI60+AI58+AI56+AI54+AI52+AI50+AI48+AI46+AI44+AI42+AI40+AI38+AI36+AI34+AI32+AI30+AI28+AI26+AI24+AI22+AI20+AI18+AI16+AI14+AI12+AI10+AI8+AI6+AI68+AI66+AI72+AI74</f>
        <v>55</v>
      </c>
      <c r="AJ75" s="145" t="s">
        <v>98</v>
      </c>
      <c r="AK75" s="147">
        <f>SUM(AK5:AK74)</f>
        <v>1065.6099999999999</v>
      </c>
      <c r="AL75" s="147"/>
      <c r="AM75" s="785"/>
      <c r="AN75" s="760"/>
      <c r="AO75" s="779">
        <f>SUM(AO5:AO74)</f>
        <v>0</v>
      </c>
      <c r="AP75" s="780" t="e">
        <f>(AK75+AL75)/AO75</f>
        <v>#DIV/0!</v>
      </c>
      <c r="AQ75" s="149">
        <f>SUM(AQ5:AQ74)</f>
        <v>795.41</v>
      </c>
      <c r="AR75" s="149"/>
      <c r="AS75" s="766"/>
      <c r="AT75" s="769"/>
      <c r="AU75" s="781">
        <f>SUM(AU5:AU74)</f>
        <v>0</v>
      </c>
      <c r="AV75" s="782" t="e">
        <f>(AQ75+AR75)/AU75</f>
        <v>#DIV/0!</v>
      </c>
      <c r="AW75" s="142">
        <f>SUM(AW5:AW74)</f>
        <v>128.41</v>
      </c>
      <c r="AX75" s="142">
        <f>SUM(AX5:AX74)</f>
        <v>0</v>
      </c>
      <c r="AY75" s="786"/>
      <c r="AZ75" s="795"/>
      <c r="BA75" s="783">
        <f>SUM(BA5:BA74)</f>
        <v>0</v>
      </c>
      <c r="BB75" s="784" t="e">
        <f>(AW75+AX75)/BA75</f>
        <v>#DIV/0!</v>
      </c>
      <c r="BC75" s="144">
        <f>SUM(BC5:BC74)</f>
        <v>0</v>
      </c>
      <c r="BD75" s="144">
        <f>SUM(BD5:BD74)</f>
        <v>0</v>
      </c>
      <c r="BE75" s="999">
        <f>BE5+BE7+BE9+BE11+BE13+BE15+BE17+BE19+BE21+BE23+BE25+BE27+BE29+BE31+BE33+BE35+BE37+BE39+BE41+BE43+BE45+BE47+BE49+BE51+BE53+BE55+BE57+BE59+BE61+BE63+BE65+BE67+BE71+BE73+BE69</f>
        <v>1989.4299999999996</v>
      </c>
      <c r="BF75" s="999">
        <f>BF5+BF7+BF9+BF11+BF13+BF15+BF17+BF19+BF21+BF23+BF25+BF27+BF29+BF31+BF33+BF35+BF37+BF39+BF41+BF43+BF45+BF47+BF49+BF51+BF53+BF55+BF57+BF59+BF61+BF63+BF65+BF67+BF69+BF71+BF73</f>
        <v>0</v>
      </c>
      <c r="BG75" s="102"/>
    </row>
    <row r="76" spans="1:59" x14ac:dyDescent="0.35">
      <c r="A76" s="138" t="s">
        <v>99</v>
      </c>
      <c r="B76" s="139"/>
      <c r="C76" s="139"/>
      <c r="D76" s="139"/>
      <c r="E76" s="123">
        <f>E75</f>
        <v>53</v>
      </c>
      <c r="F76" s="123">
        <f>E76+F75</f>
        <v>78</v>
      </c>
      <c r="G76" s="123">
        <f t="shared" ref="G76:AH76" si="1">F76+G75</f>
        <v>110</v>
      </c>
      <c r="H76" s="123">
        <f t="shared" si="1"/>
        <v>157</v>
      </c>
      <c r="I76" s="123">
        <f t="shared" si="1"/>
        <v>211</v>
      </c>
      <c r="J76" s="123">
        <f t="shared" si="1"/>
        <v>266</v>
      </c>
      <c r="K76" s="123">
        <f t="shared" si="1"/>
        <v>315</v>
      </c>
      <c r="L76" s="123">
        <f t="shared" si="1"/>
        <v>368</v>
      </c>
      <c r="M76" s="123">
        <f t="shared" si="1"/>
        <v>422</v>
      </c>
      <c r="N76" s="123">
        <f t="shared" si="1"/>
        <v>479</v>
      </c>
      <c r="O76" s="123">
        <f t="shared" si="1"/>
        <v>534</v>
      </c>
      <c r="P76" s="123">
        <f t="shared" si="1"/>
        <v>591</v>
      </c>
      <c r="Q76" s="123">
        <f t="shared" si="1"/>
        <v>649</v>
      </c>
      <c r="R76" s="123">
        <f t="shared" si="1"/>
        <v>649</v>
      </c>
      <c r="S76" s="123">
        <f t="shared" si="1"/>
        <v>703</v>
      </c>
      <c r="T76" s="123">
        <f t="shared" si="1"/>
        <v>758</v>
      </c>
      <c r="U76" s="123">
        <f t="shared" si="1"/>
        <v>813</v>
      </c>
      <c r="V76" s="123">
        <f t="shared" si="1"/>
        <v>869</v>
      </c>
      <c r="W76" s="123">
        <f t="shared" si="1"/>
        <v>908</v>
      </c>
      <c r="X76" s="123">
        <f t="shared" si="1"/>
        <v>965</v>
      </c>
      <c r="Y76" s="123">
        <f t="shared" si="1"/>
        <v>1022</v>
      </c>
      <c r="Z76" s="123">
        <f t="shared" si="1"/>
        <v>1078</v>
      </c>
      <c r="AA76" s="123">
        <f t="shared" si="1"/>
        <v>1133</v>
      </c>
      <c r="AB76" s="123">
        <f t="shared" si="1"/>
        <v>1188</v>
      </c>
      <c r="AC76" s="123">
        <f t="shared" si="1"/>
        <v>1214</v>
      </c>
      <c r="AD76" s="123">
        <f t="shared" si="1"/>
        <v>1244</v>
      </c>
      <c r="AE76" s="123">
        <f t="shared" si="1"/>
        <v>1302</v>
      </c>
      <c r="AF76" s="123">
        <f t="shared" si="1"/>
        <v>1359</v>
      </c>
      <c r="AG76" s="123">
        <f t="shared" si="1"/>
        <v>1416</v>
      </c>
      <c r="AH76" s="123">
        <f t="shared" si="1"/>
        <v>1471</v>
      </c>
      <c r="AI76" s="123">
        <f>AH76+AI75</f>
        <v>1526</v>
      </c>
      <c r="AJ76" s="146"/>
      <c r="AK76" s="148"/>
      <c r="AL76" s="148"/>
      <c r="AM76" s="787"/>
      <c r="AN76" s="761"/>
      <c r="AO76" s="779"/>
      <c r="AP76" s="780"/>
      <c r="AQ76" s="150"/>
      <c r="AR76" s="150"/>
      <c r="AS76" s="768"/>
      <c r="AT76" s="770"/>
      <c r="AU76" s="781"/>
      <c r="AV76" s="782"/>
      <c r="AW76" s="143"/>
      <c r="AX76" s="143"/>
      <c r="AY76" s="788"/>
      <c r="AZ76" s="796"/>
      <c r="BA76" s="783"/>
      <c r="BB76" s="784"/>
      <c r="BC76" s="122"/>
      <c r="BD76" s="122"/>
      <c r="BE76" s="1000"/>
      <c r="BF76" s="1000"/>
      <c r="BG76" s="102"/>
    </row>
    <row r="77" spans="1:59" ht="28.5" customHeight="1" x14ac:dyDescent="0.35">
      <c r="A77" s="138" t="s">
        <v>100</v>
      </c>
      <c r="B77" s="139"/>
      <c r="C77" s="139"/>
      <c r="D77" s="139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40" t="s">
        <v>101</v>
      </c>
      <c r="AK77" s="140"/>
      <c r="AL77" s="140"/>
      <c r="AM77" s="140"/>
      <c r="AN77" s="140"/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  <c r="AY77" s="140"/>
      <c r="AZ77" s="140"/>
      <c r="BA77" s="140"/>
      <c r="BB77" s="140"/>
      <c r="BC77" s="140"/>
      <c r="BD77" s="140"/>
      <c r="BE77" s="1001">
        <f>BE75+BF75</f>
        <v>1989.4299999999996</v>
      </c>
      <c r="BF77" s="1002"/>
      <c r="BG77" s="102"/>
    </row>
    <row r="78" spans="1:59" ht="21" customHeight="1" x14ac:dyDescent="0.35">
      <c r="A78" s="103"/>
      <c r="B78" s="103"/>
      <c r="E78" s="124"/>
      <c r="P78" s="125"/>
      <c r="Q78" s="125"/>
      <c r="T78" s="126"/>
      <c r="X78" s="127"/>
      <c r="Z78" s="128"/>
      <c r="AD78" s="124"/>
      <c r="BE78" s="993"/>
      <c r="BF78" s="103"/>
      <c r="BG78" s="102"/>
    </row>
    <row r="79" spans="1:59" ht="42" customHeight="1" x14ac:dyDescent="0.35">
      <c r="A79" s="103"/>
      <c r="B79" s="103"/>
      <c r="E79" s="141" t="s">
        <v>102</v>
      </c>
      <c r="F79" s="141"/>
      <c r="G79" s="141"/>
      <c r="H79" s="141"/>
      <c r="I79" s="141"/>
      <c r="P79" s="125"/>
      <c r="Q79" s="125"/>
      <c r="T79" s="126"/>
      <c r="X79" s="127"/>
      <c r="Z79" s="129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BE79" s="994"/>
      <c r="BF79" s="103"/>
      <c r="BG79" s="102"/>
    </row>
    <row r="80" spans="1:59" ht="21" customHeight="1" x14ac:dyDescent="0.35">
      <c r="B80" s="103"/>
      <c r="E80" s="130"/>
      <c r="P80" s="125"/>
      <c r="Q80" s="125"/>
      <c r="T80" s="126"/>
      <c r="X80" s="127"/>
      <c r="Z80" s="129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BE80" s="994"/>
      <c r="BF80" s="103"/>
      <c r="BG80" s="102"/>
    </row>
    <row r="81" spans="1:59" ht="30.75" customHeight="1" x14ac:dyDescent="0.55000000000000004">
      <c r="A81" s="131"/>
      <c r="B81" s="132"/>
      <c r="C81" s="132"/>
      <c r="D81" s="132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29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BE81" s="994"/>
      <c r="BF81" s="103"/>
      <c r="BG81" s="102"/>
    </row>
    <row r="82" spans="1:59" ht="30.75" customHeight="1" x14ac:dyDescent="0.55000000000000004">
      <c r="A82" s="131"/>
      <c r="C82" s="102"/>
      <c r="D82" s="134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29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BG82" s="102"/>
    </row>
    <row r="83" spans="1:59" ht="30.75" customHeight="1" x14ac:dyDescent="0.55000000000000004">
      <c r="A83" s="131"/>
      <c r="C83" s="102"/>
      <c r="D83" s="102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29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BG83" s="102"/>
    </row>
    <row r="84" spans="1:59" ht="30.75" customHeight="1" x14ac:dyDescent="0.55000000000000004">
      <c r="A84" s="131"/>
      <c r="C84" s="102"/>
      <c r="D84" s="102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29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</row>
    <row r="85" spans="1:59" ht="30.75" customHeight="1" x14ac:dyDescent="0.55000000000000004">
      <c r="A85" s="131"/>
      <c r="C85" s="102"/>
      <c r="D85" s="102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29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</row>
    <row r="86" spans="1:59" ht="30.75" customHeight="1" x14ac:dyDescent="0.55000000000000004">
      <c r="A86" s="131"/>
      <c r="C86" s="102"/>
      <c r="D86" s="102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29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</row>
    <row r="87" spans="1:59" ht="30.75" customHeight="1" x14ac:dyDescent="0.55000000000000004">
      <c r="A87" s="131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29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</row>
    <row r="88" spans="1:59" ht="30.75" customHeight="1" x14ac:dyDescent="0.55000000000000004">
      <c r="A88" s="131"/>
      <c r="C88" s="102"/>
      <c r="D88" s="102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29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BG88" s="102"/>
    </row>
    <row r="89" spans="1:59" ht="30.75" customHeight="1" x14ac:dyDescent="0.55000000000000004">
      <c r="A89" s="131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29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</row>
    <row r="90" spans="1:59" ht="32.25" customHeight="1" x14ac:dyDescent="0.55000000000000004">
      <c r="A90" s="131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29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</row>
    <row r="91" spans="1:59" ht="32.25" customHeight="1" x14ac:dyDescent="0.55000000000000004">
      <c r="A91" s="131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29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</row>
    <row r="92" spans="1:59" ht="36" x14ac:dyDescent="0.55000000000000004">
      <c r="A92" s="131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29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</row>
    <row r="93" spans="1:59" ht="36" x14ac:dyDescent="0.55000000000000004">
      <c r="A93" s="131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29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</row>
    <row r="94" spans="1:59" ht="36" x14ac:dyDescent="0.55000000000000004">
      <c r="A94" s="131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29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</row>
    <row r="95" spans="1:59" ht="36" x14ac:dyDescent="0.55000000000000004">
      <c r="A95" s="131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29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</row>
    <row r="96" spans="1:59" x14ac:dyDescent="0.35">
      <c r="A96" s="131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29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</row>
    <row r="97" spans="1:36" x14ac:dyDescent="0.35"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29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</row>
    <row r="98" spans="1:36" x14ac:dyDescent="0.35"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29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</row>
    <row r="99" spans="1:36" ht="28.5" x14ac:dyDescent="0.45">
      <c r="A99" s="136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29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</row>
    <row r="100" spans="1:36" ht="28.5" x14ac:dyDescent="0.45">
      <c r="A100" s="136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29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</row>
    <row r="101" spans="1:36" ht="28.5" x14ac:dyDescent="0.45">
      <c r="A101" s="136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29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</row>
    <row r="102" spans="1:36" ht="28.5" x14ac:dyDescent="0.45">
      <c r="A102" s="136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29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</row>
    <row r="103" spans="1:36" ht="28.5" x14ac:dyDescent="0.45">
      <c r="A103" s="136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29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</row>
    <row r="104" spans="1:36" x14ac:dyDescent="0.35"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29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</row>
    <row r="105" spans="1:36" x14ac:dyDescent="0.35">
      <c r="E105" s="135"/>
      <c r="Z105" s="129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2"/>
    </row>
    <row r="106" spans="1:36" x14ac:dyDescent="0.35">
      <c r="Z106" s="129"/>
    </row>
    <row r="107" spans="1:36" x14ac:dyDescent="0.35">
      <c r="K107" s="137"/>
      <c r="L107" s="137"/>
      <c r="M107" s="137"/>
      <c r="Z107" s="129"/>
    </row>
    <row r="109" spans="1:36" x14ac:dyDescent="0.35">
      <c r="K109" s="134"/>
      <c r="L109" s="134"/>
      <c r="M109" s="134"/>
    </row>
    <row r="110" spans="1:36" x14ac:dyDescent="0.35">
      <c r="K110" s="134"/>
      <c r="L110" s="134"/>
      <c r="M110" s="134"/>
    </row>
    <row r="111" spans="1:36" x14ac:dyDescent="0.35">
      <c r="K111" s="134"/>
      <c r="L111" s="134"/>
      <c r="M111" s="134"/>
    </row>
  </sheetData>
  <mergeCells count="333">
    <mergeCell ref="AW63:AW64"/>
    <mergeCell ref="AW65:AW66"/>
    <mergeCell ref="AW67:AW68"/>
    <mergeCell ref="AW69:AW70"/>
    <mergeCell ref="AW71:AW72"/>
    <mergeCell ref="AW73:AW74"/>
    <mergeCell ref="AW41:AW42"/>
    <mergeCell ref="AW43:AW44"/>
    <mergeCell ref="AW45:AW46"/>
    <mergeCell ref="AW47:AW48"/>
    <mergeCell ref="AW49:AW50"/>
    <mergeCell ref="AW51:AW52"/>
    <mergeCell ref="AW53:AW54"/>
    <mergeCell ref="AW55:AW56"/>
    <mergeCell ref="AW59:AW60"/>
    <mergeCell ref="AW23:AW24"/>
    <mergeCell ref="AW25:AW26"/>
    <mergeCell ref="AW27:AW28"/>
    <mergeCell ref="AW29:AW30"/>
    <mergeCell ref="AW31:AW32"/>
    <mergeCell ref="AW33:AW34"/>
    <mergeCell ref="AW35:AW36"/>
    <mergeCell ref="AW37:AW38"/>
    <mergeCell ref="AW39:AW40"/>
    <mergeCell ref="AW5:AW6"/>
    <mergeCell ref="AW7:AW8"/>
    <mergeCell ref="AW9:AW10"/>
    <mergeCell ref="AW11:AW12"/>
    <mergeCell ref="AW13:AW14"/>
    <mergeCell ref="AW15:AW16"/>
    <mergeCell ref="AW17:AW18"/>
    <mergeCell ref="AW19:AW20"/>
    <mergeCell ref="AW21:AW22"/>
    <mergeCell ref="AR65:AR66"/>
    <mergeCell ref="AQ67:AQ68"/>
    <mergeCell ref="AR67:AR68"/>
    <mergeCell ref="AQ69:AQ70"/>
    <mergeCell ref="AR69:AR70"/>
    <mergeCell ref="AQ71:AQ72"/>
    <mergeCell ref="AR71:AR72"/>
    <mergeCell ref="AQ73:AQ74"/>
    <mergeCell ref="AR73:AR74"/>
    <mergeCell ref="AR55:AR56"/>
    <mergeCell ref="AQ57:AQ58"/>
    <mergeCell ref="AR57:AR58"/>
    <mergeCell ref="AQ59:AQ60"/>
    <mergeCell ref="AR59:AR60"/>
    <mergeCell ref="AQ61:AQ62"/>
    <mergeCell ref="AR61:AR62"/>
    <mergeCell ref="AQ63:AQ64"/>
    <mergeCell ref="AR63:AR64"/>
    <mergeCell ref="AR45:AR46"/>
    <mergeCell ref="AQ47:AQ48"/>
    <mergeCell ref="AR47:AR48"/>
    <mergeCell ref="AQ49:AQ50"/>
    <mergeCell ref="AR49:AR50"/>
    <mergeCell ref="AQ51:AQ52"/>
    <mergeCell ref="AR51:AR52"/>
    <mergeCell ref="AQ53:AQ54"/>
    <mergeCell ref="AR53:AR54"/>
    <mergeCell ref="AR35:AR36"/>
    <mergeCell ref="AQ37:AQ38"/>
    <mergeCell ref="AR37:AR38"/>
    <mergeCell ref="AQ39:AQ40"/>
    <mergeCell ref="AR39:AR40"/>
    <mergeCell ref="AQ41:AQ42"/>
    <mergeCell ref="AR41:AR42"/>
    <mergeCell ref="AQ43:AQ44"/>
    <mergeCell ref="AR43:AR44"/>
    <mergeCell ref="AR25:AR26"/>
    <mergeCell ref="AQ27:AQ28"/>
    <mergeCell ref="AR27:AR28"/>
    <mergeCell ref="AQ29:AQ30"/>
    <mergeCell ref="AR29:AR30"/>
    <mergeCell ref="AQ31:AQ32"/>
    <mergeCell ref="AR31:AR32"/>
    <mergeCell ref="AQ33:AQ34"/>
    <mergeCell ref="AR33:AR34"/>
    <mergeCell ref="AR15:AR16"/>
    <mergeCell ref="AQ17:AQ18"/>
    <mergeCell ref="AR17:AR18"/>
    <mergeCell ref="AQ19:AQ20"/>
    <mergeCell ref="AR19:AR20"/>
    <mergeCell ref="AQ21:AQ22"/>
    <mergeCell ref="AR21:AR22"/>
    <mergeCell ref="AQ23:AQ24"/>
    <mergeCell ref="AR23:AR24"/>
    <mergeCell ref="AR5:AR6"/>
    <mergeCell ref="AQ7:AQ8"/>
    <mergeCell ref="AR7:AR8"/>
    <mergeCell ref="AQ9:AQ10"/>
    <mergeCell ref="AR9:AR10"/>
    <mergeCell ref="AQ11:AQ12"/>
    <mergeCell ref="AR11:AR12"/>
    <mergeCell ref="AQ13:AQ14"/>
    <mergeCell ref="AR13:AR14"/>
    <mergeCell ref="AK59:AK60"/>
    <mergeCell ref="AK61:AK62"/>
    <mergeCell ref="AK63:AK64"/>
    <mergeCell ref="AK65:AK66"/>
    <mergeCell ref="AK67:AK68"/>
    <mergeCell ref="AK69:AK70"/>
    <mergeCell ref="AK71:AK72"/>
    <mergeCell ref="AK73:AK74"/>
    <mergeCell ref="AQ5:AQ6"/>
    <mergeCell ref="AQ15:AQ16"/>
    <mergeCell ref="AQ25:AQ26"/>
    <mergeCell ref="AQ35:AQ36"/>
    <mergeCell ref="AQ45:AQ46"/>
    <mergeCell ref="AQ55:AQ56"/>
    <mergeCell ref="AQ65:AQ66"/>
    <mergeCell ref="AK41:AK42"/>
    <mergeCell ref="AK43:AK44"/>
    <mergeCell ref="AK45:AK46"/>
    <mergeCell ref="AK47:AK48"/>
    <mergeCell ref="AK49:AK50"/>
    <mergeCell ref="AK51:AK52"/>
    <mergeCell ref="AK53:AK54"/>
    <mergeCell ref="AK55:AK56"/>
    <mergeCell ref="AK57:AK58"/>
    <mergeCell ref="AK23:AK24"/>
    <mergeCell ref="AK25:AK26"/>
    <mergeCell ref="AK27:AK28"/>
    <mergeCell ref="AK29:AK30"/>
    <mergeCell ref="AK31:AK32"/>
    <mergeCell ref="AK33:AK34"/>
    <mergeCell ref="AK35:AK36"/>
    <mergeCell ref="AK37:AK38"/>
    <mergeCell ref="AK39:AK40"/>
    <mergeCell ref="AK5:AK6"/>
    <mergeCell ref="AK7:AK8"/>
    <mergeCell ref="AK9:AK10"/>
    <mergeCell ref="AK11:AK12"/>
    <mergeCell ref="AK13:AK14"/>
    <mergeCell ref="AK15:AK16"/>
    <mergeCell ref="AK17:AK18"/>
    <mergeCell ref="AK19:AK20"/>
    <mergeCell ref="AK21:AK22"/>
    <mergeCell ref="A73:A74"/>
    <mergeCell ref="B73:B74"/>
    <mergeCell ref="C73:C74"/>
    <mergeCell ref="A71:A72"/>
    <mergeCell ref="B71:B72"/>
    <mergeCell ref="C71:C72"/>
    <mergeCell ref="D71:D72"/>
    <mergeCell ref="B69:B70"/>
    <mergeCell ref="C69:C70"/>
    <mergeCell ref="A67:A68"/>
    <mergeCell ref="B67:B68"/>
    <mergeCell ref="C67:C68"/>
    <mergeCell ref="A65:A66"/>
    <mergeCell ref="B65:B66"/>
    <mergeCell ref="C65:C66"/>
    <mergeCell ref="D65:D66"/>
    <mergeCell ref="C63:C64"/>
    <mergeCell ref="D63:D64"/>
    <mergeCell ref="C61:C62"/>
    <mergeCell ref="D61:D62"/>
    <mergeCell ref="B57:B64"/>
    <mergeCell ref="C57:C58"/>
    <mergeCell ref="D57:D58"/>
    <mergeCell ref="C59:C60"/>
    <mergeCell ref="D59:D60"/>
    <mergeCell ref="A53:A64"/>
    <mergeCell ref="B53:B54"/>
    <mergeCell ref="C53:C54"/>
    <mergeCell ref="B55:B56"/>
    <mergeCell ref="C55:C56"/>
    <mergeCell ref="B51:B52"/>
    <mergeCell ref="C51:C52"/>
    <mergeCell ref="B49:B50"/>
    <mergeCell ref="C49:C50"/>
    <mergeCell ref="B47:B48"/>
    <mergeCell ref="C47:C48"/>
    <mergeCell ref="B45:B46"/>
    <mergeCell ref="C45:C46"/>
    <mergeCell ref="A41:A52"/>
    <mergeCell ref="B41:B42"/>
    <mergeCell ref="C41:C42"/>
    <mergeCell ref="B43:B44"/>
    <mergeCell ref="C43:C44"/>
    <mergeCell ref="B25:B26"/>
    <mergeCell ref="C25:C26"/>
    <mergeCell ref="A23:A40"/>
    <mergeCell ref="B23:B24"/>
    <mergeCell ref="C23:C24"/>
    <mergeCell ref="B27:B28"/>
    <mergeCell ref="C27:C28"/>
    <mergeCell ref="B31:B32"/>
    <mergeCell ref="C31:C32"/>
    <mergeCell ref="B39:B40"/>
    <mergeCell ref="C39:C40"/>
    <mergeCell ref="B37:B38"/>
    <mergeCell ref="C37:C38"/>
    <mergeCell ref="B35:B36"/>
    <mergeCell ref="C35:C36"/>
    <mergeCell ref="B33:B34"/>
    <mergeCell ref="C33:C34"/>
    <mergeCell ref="B29:B30"/>
    <mergeCell ref="C29:C30"/>
    <mergeCell ref="B21:B22"/>
    <mergeCell ref="C21:C22"/>
    <mergeCell ref="B17:B18"/>
    <mergeCell ref="C17:C18"/>
    <mergeCell ref="B13:B14"/>
    <mergeCell ref="C13:C14"/>
    <mergeCell ref="A11:A22"/>
    <mergeCell ref="B11:B12"/>
    <mergeCell ref="C11:C12"/>
    <mergeCell ref="B15:B16"/>
    <mergeCell ref="C15:C16"/>
    <mergeCell ref="B19:B20"/>
    <mergeCell ref="C19:C20"/>
    <mergeCell ref="B7:B8"/>
    <mergeCell ref="C7:C8"/>
    <mergeCell ref="E4:AG4"/>
    <mergeCell ref="A5:A10"/>
    <mergeCell ref="B5:B6"/>
    <mergeCell ref="C5:C6"/>
    <mergeCell ref="B9:B10"/>
    <mergeCell ref="C9:C10"/>
    <mergeCell ref="A3:A4"/>
    <mergeCell ref="B3:B4"/>
    <mergeCell ref="BE9:BE10"/>
    <mergeCell ref="BF9:BF10"/>
    <mergeCell ref="BG9:BG10"/>
    <mergeCell ref="BE11:BE12"/>
    <mergeCell ref="BF11:BF12"/>
    <mergeCell ref="BG11:BG12"/>
    <mergeCell ref="BE3:BF3"/>
    <mergeCell ref="BE5:BE6"/>
    <mergeCell ref="BF5:BF6"/>
    <mergeCell ref="BG5:BG6"/>
    <mergeCell ref="BE7:BE8"/>
    <mergeCell ref="BF7:BF8"/>
    <mergeCell ref="BG7:BG8"/>
    <mergeCell ref="BE17:BE18"/>
    <mergeCell ref="BF17:BF18"/>
    <mergeCell ref="BG17:BG18"/>
    <mergeCell ref="BE19:BE20"/>
    <mergeCell ref="BF19:BF20"/>
    <mergeCell ref="BG19:BG20"/>
    <mergeCell ref="BE13:BE14"/>
    <mergeCell ref="BF13:BF14"/>
    <mergeCell ref="BG13:BG14"/>
    <mergeCell ref="BE15:BE16"/>
    <mergeCell ref="BF15:BF16"/>
    <mergeCell ref="BG15:BG16"/>
    <mergeCell ref="BE25:BE26"/>
    <mergeCell ref="BF25:BF26"/>
    <mergeCell ref="BG25:BG26"/>
    <mergeCell ref="BE27:BE28"/>
    <mergeCell ref="BF27:BF28"/>
    <mergeCell ref="BG27:BG28"/>
    <mergeCell ref="BE21:BE22"/>
    <mergeCell ref="BF21:BF22"/>
    <mergeCell ref="BG21:BG22"/>
    <mergeCell ref="BE23:BE24"/>
    <mergeCell ref="BF23:BF24"/>
    <mergeCell ref="BG23:BG24"/>
    <mergeCell ref="BE33:BE34"/>
    <mergeCell ref="BF33:BF34"/>
    <mergeCell ref="BG33:BG34"/>
    <mergeCell ref="BE35:BE36"/>
    <mergeCell ref="BF35:BF36"/>
    <mergeCell ref="BG35:BG36"/>
    <mergeCell ref="BE29:BE30"/>
    <mergeCell ref="BF29:BF30"/>
    <mergeCell ref="BG29:BG30"/>
    <mergeCell ref="BE31:BE32"/>
    <mergeCell ref="BF31:BF32"/>
    <mergeCell ref="BG31:BG32"/>
    <mergeCell ref="BE41:BE42"/>
    <mergeCell ref="BF41:BF42"/>
    <mergeCell ref="BG41:BG42"/>
    <mergeCell ref="BE43:BE44"/>
    <mergeCell ref="BF43:BF44"/>
    <mergeCell ref="BG43:BG44"/>
    <mergeCell ref="BE37:BE38"/>
    <mergeCell ref="BF37:BF38"/>
    <mergeCell ref="BG37:BG38"/>
    <mergeCell ref="BE39:BE40"/>
    <mergeCell ref="BF39:BF40"/>
    <mergeCell ref="BG39:BG40"/>
    <mergeCell ref="BE49:BE50"/>
    <mergeCell ref="BF49:BF50"/>
    <mergeCell ref="BG49:BG50"/>
    <mergeCell ref="BE51:BE52"/>
    <mergeCell ref="BF51:BF52"/>
    <mergeCell ref="BG51:BG52"/>
    <mergeCell ref="BE45:BE46"/>
    <mergeCell ref="BF45:BF46"/>
    <mergeCell ref="BG45:BG46"/>
    <mergeCell ref="BE47:BE48"/>
    <mergeCell ref="BF47:BF48"/>
    <mergeCell ref="BG47:BG48"/>
    <mergeCell ref="BE57:BE58"/>
    <mergeCell ref="BF57:BF58"/>
    <mergeCell ref="BG57:BG58"/>
    <mergeCell ref="BE59:BE60"/>
    <mergeCell ref="BF59:BF60"/>
    <mergeCell ref="BG59:BG60"/>
    <mergeCell ref="BE53:BE54"/>
    <mergeCell ref="BF53:BF54"/>
    <mergeCell ref="BG53:BG54"/>
    <mergeCell ref="BE55:BE56"/>
    <mergeCell ref="BF55:BF56"/>
    <mergeCell ref="BG55:BG56"/>
    <mergeCell ref="BE65:BE66"/>
    <mergeCell ref="BF65:BF66"/>
    <mergeCell ref="BG65:BG66"/>
    <mergeCell ref="BE67:BE68"/>
    <mergeCell ref="BF67:BF68"/>
    <mergeCell ref="BG67:BG68"/>
    <mergeCell ref="BE61:BE62"/>
    <mergeCell ref="BF61:BF62"/>
    <mergeCell ref="BG61:BG62"/>
    <mergeCell ref="BE63:BE64"/>
    <mergeCell ref="BF63:BF64"/>
    <mergeCell ref="BG63:BG64"/>
    <mergeCell ref="BE78:BE81"/>
    <mergeCell ref="BE73:BE74"/>
    <mergeCell ref="BF73:BF74"/>
    <mergeCell ref="BG73:BG74"/>
    <mergeCell ref="BE75:BE76"/>
    <mergeCell ref="BF75:BF76"/>
    <mergeCell ref="BE77:BF77"/>
    <mergeCell ref="BE69:BE70"/>
    <mergeCell ref="BF69:BF70"/>
    <mergeCell ref="BG69:BG70"/>
    <mergeCell ref="BE71:BE72"/>
    <mergeCell ref="BF71:BF72"/>
    <mergeCell ref="BG71:BG72"/>
  </mergeCells>
  <conditionalFormatting sqref="AM1:AM1048576">
    <cfRule type="cellIs" dxfId="29" priority="1" operator="greaterThan">
      <formula>1</formula>
    </cfRule>
  </conditionalFormatting>
  <printOptions horizontalCentered="1"/>
  <pageMargins left="0.19685039370078741" right="0.19685039370078741" top="0.23622047244094491" bottom="0.23622047244094491" header="0" footer="0"/>
  <pageSetup scale="25" fitToHeight="2" orientation="landscape" horizontalDpi="4294967293" verticalDpi="4294967293" r:id="rId1"/>
  <colBreaks count="1" manualBreakCount="1">
    <brk id="6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BEF9F-63F4-4C96-A908-8C328CDA980A}">
  <sheetPr>
    <tabColor rgb="FF00B050"/>
    <pageSetUpPr fitToPage="1"/>
  </sheetPr>
  <dimension ref="A1:BL111"/>
  <sheetViews>
    <sheetView view="pageBreakPreview" topLeftCell="AA1" zoomScale="55" zoomScaleNormal="60" zoomScaleSheetLayoutView="55" workbookViewId="0">
      <pane ySplit="3" topLeftCell="A44" activePane="bottomLeft" state="frozen"/>
      <selection pane="bottomLeft" activeCell="AM87" sqref="AM87"/>
    </sheetView>
  </sheetViews>
  <sheetFormatPr defaultColWidth="8.85546875" defaultRowHeight="21" x14ac:dyDescent="0.35"/>
  <cols>
    <col min="1" max="1" width="21" style="102" customWidth="1"/>
    <col min="2" max="2" width="8.85546875" style="102" customWidth="1"/>
    <col min="3" max="3" width="8.85546875" style="103" customWidth="1"/>
    <col min="4" max="4" width="12.42578125" style="103" customWidth="1"/>
    <col min="5" max="5" width="7.85546875" style="103" customWidth="1"/>
    <col min="6" max="6" width="7.28515625" style="103" customWidth="1"/>
    <col min="7" max="7" width="7.5703125" style="103" customWidth="1"/>
    <col min="8" max="16" width="7.7109375" style="103" customWidth="1"/>
    <col min="17" max="17" width="6.85546875" style="103" customWidth="1"/>
    <col min="18" max="35" width="7.7109375" style="103" customWidth="1"/>
    <col min="36" max="36" width="22" style="103" customWidth="1"/>
    <col min="37" max="38" width="14.85546875" style="102" customWidth="1"/>
    <col min="39" max="41" width="14.85546875" style="755" customWidth="1"/>
    <col min="42" max="42" width="14.85546875" style="102" customWidth="1"/>
    <col min="43" max="44" width="15.42578125" style="102" customWidth="1"/>
    <col min="45" max="45" width="15.42578125" style="755" customWidth="1"/>
    <col min="46" max="47" width="14.85546875" style="755" customWidth="1"/>
    <col min="48" max="48" width="14.85546875" style="102" customWidth="1"/>
    <col min="49" max="53" width="13.7109375" style="102" customWidth="1"/>
    <col min="54" max="54" width="14.85546875" style="102" customWidth="1"/>
    <col min="55" max="56" width="11.140625" style="102" customWidth="1"/>
    <col min="57" max="57" width="19.7109375" style="102" customWidth="1"/>
    <col min="58" max="58" width="22.5703125" style="102" customWidth="1"/>
    <col min="59" max="59" width="8.85546875" style="103" customWidth="1"/>
    <col min="60" max="60" width="11.28515625" style="102" customWidth="1"/>
    <col min="61" max="61" width="8.85546875" style="102"/>
    <col min="62" max="62" width="12" style="102" bestFit="1" customWidth="1"/>
    <col min="63" max="63" width="10.5703125" style="102" bestFit="1" customWidth="1"/>
    <col min="64" max="64" width="14" style="102" bestFit="1" customWidth="1"/>
    <col min="65" max="16384" width="8.85546875" style="102"/>
  </cols>
  <sheetData>
    <row r="1" spans="1:64" x14ac:dyDescent="0.35">
      <c r="A1" s="160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754"/>
      <c r="AN1" s="754"/>
      <c r="AO1" s="754"/>
      <c r="AP1" s="754"/>
      <c r="AQ1" s="160"/>
      <c r="AR1" s="160"/>
      <c r="AS1" s="754"/>
      <c r="AT1" s="754"/>
      <c r="AU1" s="754"/>
      <c r="AV1" s="754"/>
      <c r="AW1" s="160"/>
      <c r="AX1" s="160"/>
      <c r="AY1" s="160"/>
      <c r="AZ1" s="160"/>
      <c r="BA1" s="160"/>
      <c r="BB1" s="754"/>
      <c r="BC1" s="160"/>
      <c r="BD1" s="101"/>
      <c r="BE1" s="101"/>
      <c r="BF1" s="101"/>
      <c r="BG1" s="102"/>
    </row>
    <row r="2" spans="1:64" ht="26.25" x14ac:dyDescent="0.4">
      <c r="Q2" s="103" t="s">
        <v>76</v>
      </c>
      <c r="AQ2" s="161" t="s">
        <v>81</v>
      </c>
      <c r="AR2" s="161"/>
      <c r="AS2" s="764"/>
      <c r="AT2" s="764"/>
      <c r="AU2" s="764"/>
      <c r="AV2" s="764"/>
      <c r="AW2" s="161"/>
      <c r="AX2" s="104"/>
      <c r="AY2" s="161"/>
      <c r="AZ2" s="104"/>
      <c r="BA2" s="161"/>
      <c r="BB2" s="764"/>
      <c r="BC2" s="105" t="s">
        <v>82</v>
      </c>
      <c r="BD2" s="105"/>
    </row>
    <row r="3" spans="1:64" ht="83.25" customHeight="1" x14ac:dyDescent="0.35">
      <c r="A3" s="153" t="s">
        <v>83</v>
      </c>
      <c r="B3" s="153" t="s">
        <v>84</v>
      </c>
      <c r="C3" s="106" t="s">
        <v>85</v>
      </c>
      <c r="D3" s="106" t="s">
        <v>20</v>
      </c>
      <c r="E3" s="107">
        <v>1</v>
      </c>
      <c r="F3" s="108">
        <v>2</v>
      </c>
      <c r="G3" s="108">
        <v>3</v>
      </c>
      <c r="H3" s="108">
        <v>4</v>
      </c>
      <c r="I3" s="108">
        <v>5</v>
      </c>
      <c r="J3" s="108">
        <v>6</v>
      </c>
      <c r="K3" s="108">
        <v>7</v>
      </c>
      <c r="L3" s="108">
        <v>8</v>
      </c>
      <c r="M3" s="108">
        <v>9</v>
      </c>
      <c r="N3" s="108">
        <v>10</v>
      </c>
      <c r="O3" s="108">
        <v>11</v>
      </c>
      <c r="P3" s="108">
        <v>12</v>
      </c>
      <c r="Q3" s="108">
        <v>13</v>
      </c>
      <c r="R3" s="108">
        <v>14</v>
      </c>
      <c r="S3" s="108">
        <v>15</v>
      </c>
      <c r="T3" s="108">
        <v>16</v>
      </c>
      <c r="U3" s="108">
        <v>17</v>
      </c>
      <c r="V3" s="108">
        <v>18</v>
      </c>
      <c r="W3" s="108">
        <v>19</v>
      </c>
      <c r="X3" s="108">
        <v>20</v>
      </c>
      <c r="Y3" s="108">
        <v>21</v>
      </c>
      <c r="Z3" s="108">
        <v>22</v>
      </c>
      <c r="AA3" s="108">
        <v>23</v>
      </c>
      <c r="AB3" s="108">
        <v>24</v>
      </c>
      <c r="AC3" s="108">
        <v>25</v>
      </c>
      <c r="AD3" s="108">
        <v>26</v>
      </c>
      <c r="AE3" s="108">
        <v>27</v>
      </c>
      <c r="AF3" s="108">
        <v>28</v>
      </c>
      <c r="AG3" s="108">
        <v>29</v>
      </c>
      <c r="AH3" s="108">
        <v>30</v>
      </c>
      <c r="AI3" s="108">
        <v>31</v>
      </c>
      <c r="AJ3" s="145" t="s">
        <v>86</v>
      </c>
      <c r="AK3" s="162" t="s">
        <v>87</v>
      </c>
      <c r="AL3" s="163"/>
      <c r="AM3" s="756"/>
      <c r="AN3" s="756"/>
      <c r="AO3" s="757"/>
      <c r="AP3" s="756"/>
      <c r="AQ3" s="164" t="s">
        <v>88</v>
      </c>
      <c r="AR3" s="165"/>
      <c r="AS3" s="765"/>
      <c r="AT3" s="766"/>
      <c r="AU3" s="766"/>
      <c r="AV3" s="149"/>
      <c r="AW3" s="166" t="s">
        <v>89</v>
      </c>
      <c r="AX3" s="167"/>
      <c r="AY3" s="166"/>
      <c r="AZ3" s="167"/>
      <c r="BA3" s="166"/>
      <c r="BB3" s="149"/>
      <c r="BC3" s="168" t="s">
        <v>90</v>
      </c>
      <c r="BD3" s="169"/>
      <c r="BE3" s="192" t="s">
        <v>91</v>
      </c>
      <c r="BF3" s="193"/>
      <c r="BG3" s="109" t="s">
        <v>85</v>
      </c>
    </row>
    <row r="4" spans="1:64" x14ac:dyDescent="0.35">
      <c r="A4" s="154"/>
      <c r="B4" s="154"/>
      <c r="C4" s="110" t="s">
        <v>92</v>
      </c>
      <c r="D4" s="110"/>
      <c r="E4" s="138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11"/>
      <c r="AI4" s="111"/>
      <c r="AJ4" s="146"/>
      <c r="AK4" s="112" t="s">
        <v>93</v>
      </c>
      <c r="AL4" s="112" t="s">
        <v>94</v>
      </c>
      <c r="AM4" s="758" t="s">
        <v>229</v>
      </c>
      <c r="AN4" s="758" t="s">
        <v>230</v>
      </c>
      <c r="AO4" s="758" t="s">
        <v>231</v>
      </c>
      <c r="AP4" s="112" t="s">
        <v>232</v>
      </c>
      <c r="AQ4" s="113" t="s">
        <v>93</v>
      </c>
      <c r="AR4" s="113" t="s">
        <v>94</v>
      </c>
      <c r="AS4" s="767" t="s">
        <v>229</v>
      </c>
      <c r="AT4" s="768" t="s">
        <v>230</v>
      </c>
      <c r="AU4" s="768" t="s">
        <v>231</v>
      </c>
      <c r="AV4" s="150" t="s">
        <v>232</v>
      </c>
      <c r="AW4" s="114" t="s">
        <v>93</v>
      </c>
      <c r="AX4" s="114" t="s">
        <v>94</v>
      </c>
      <c r="AY4" s="114" t="s">
        <v>229</v>
      </c>
      <c r="AZ4" s="114" t="s">
        <v>230</v>
      </c>
      <c r="BA4" s="114" t="s">
        <v>231</v>
      </c>
      <c r="BB4" s="150" t="s">
        <v>232</v>
      </c>
      <c r="BC4" s="115" t="s">
        <v>93</v>
      </c>
      <c r="BD4" s="115" t="s">
        <v>94</v>
      </c>
      <c r="BE4" s="116" t="s">
        <v>93</v>
      </c>
      <c r="BF4" s="117" t="s">
        <v>94</v>
      </c>
      <c r="BG4" s="110" t="s">
        <v>92</v>
      </c>
    </row>
    <row r="5" spans="1:64" ht="24" customHeight="1" x14ac:dyDescent="0.35">
      <c r="A5" s="1021" t="s">
        <v>135</v>
      </c>
      <c r="B5" s="1014">
        <v>2010</v>
      </c>
      <c r="C5" s="1014">
        <v>1</v>
      </c>
      <c r="D5" s="106">
        <v>53.2</v>
      </c>
      <c r="E5" s="588">
        <v>15</v>
      </c>
      <c r="F5" s="588">
        <v>16</v>
      </c>
      <c r="G5" s="112">
        <v>1</v>
      </c>
      <c r="H5" s="112">
        <v>2</v>
      </c>
      <c r="I5" s="112">
        <v>3</v>
      </c>
      <c r="J5" s="112">
        <v>4</v>
      </c>
      <c r="K5" s="588">
        <v>5</v>
      </c>
      <c r="L5" s="588">
        <v>6</v>
      </c>
      <c r="M5" s="112">
        <v>7</v>
      </c>
      <c r="N5" s="588">
        <v>8</v>
      </c>
      <c r="O5" s="588">
        <v>9</v>
      </c>
      <c r="P5" s="588">
        <v>10</v>
      </c>
      <c r="Q5" s="588">
        <v>11</v>
      </c>
      <c r="R5" s="588">
        <v>12</v>
      </c>
      <c r="S5" s="588">
        <v>13</v>
      </c>
      <c r="T5" s="588">
        <v>14</v>
      </c>
      <c r="U5" s="588">
        <v>15</v>
      </c>
      <c r="V5" s="588">
        <v>16</v>
      </c>
      <c r="W5" s="588">
        <v>17</v>
      </c>
      <c r="X5" s="588">
        <v>18</v>
      </c>
      <c r="Y5" s="588">
        <v>19</v>
      </c>
      <c r="Z5" s="113">
        <v>1</v>
      </c>
      <c r="AA5" s="113">
        <v>2</v>
      </c>
      <c r="AB5" s="113">
        <v>3</v>
      </c>
      <c r="AC5" s="588">
        <v>4</v>
      </c>
      <c r="AD5" s="588">
        <v>5</v>
      </c>
      <c r="AE5" s="113">
        <v>6</v>
      </c>
      <c r="AF5" s="113">
        <v>7</v>
      </c>
      <c r="AG5" s="113">
        <v>8</v>
      </c>
      <c r="AH5" s="113">
        <v>9</v>
      </c>
      <c r="AI5" s="588">
        <v>10</v>
      </c>
      <c r="AJ5" s="155">
        <f>SUM(D6:AI6)</f>
        <v>98</v>
      </c>
      <c r="AK5" s="1029">
        <f>7.44+13.61+7.43+7.76+9.23</f>
        <v>45.47</v>
      </c>
      <c r="AL5" s="1029"/>
      <c r="AM5" s="759"/>
      <c r="AN5" s="759">
        <v>10</v>
      </c>
      <c r="AO5" s="759" t="str">
        <f>IF(COUNT(AM5,AN5)&lt;2, "0", AN5 - AM5 + 1)</f>
        <v>0</v>
      </c>
      <c r="AP5" s="603">
        <f>IFERROR(AK5/AO5,0)</f>
        <v>0</v>
      </c>
      <c r="AQ5" s="1031">
        <f>12.7+9.76+11.06+6.77+10.72+3.94+6.23</f>
        <v>61.180000000000007</v>
      </c>
      <c r="AR5" s="1031"/>
      <c r="AS5" s="769"/>
      <c r="AT5" s="769"/>
      <c r="AU5" s="769"/>
      <c r="AV5" s="601">
        <f>IFERROR(AQ5/AU5,0)</f>
        <v>0</v>
      </c>
      <c r="AW5" s="1039"/>
      <c r="AX5" s="515"/>
      <c r="AY5" s="515"/>
      <c r="AZ5" s="515"/>
      <c r="BA5" s="515" t="str">
        <f>IF(COUNT(AY5,AZ5)&lt;2, "0", AZ5 - AY5 )</f>
        <v>0</v>
      </c>
      <c r="BB5" s="601">
        <f>IFERROR(AW5/BA5,0)</f>
        <v>0</v>
      </c>
      <c r="BC5" s="513"/>
      <c r="BD5" s="513"/>
      <c r="BE5" s="179">
        <f>AK5+AQ5+AW5+BC5</f>
        <v>106.65</v>
      </c>
      <c r="BF5" s="179">
        <f>AL5+AR5+AX5+BD5</f>
        <v>0</v>
      </c>
      <c r="BG5" s="190">
        <v>1</v>
      </c>
      <c r="BH5" s="119"/>
    </row>
    <row r="6" spans="1:64" ht="24" customHeight="1" x14ac:dyDescent="0.35">
      <c r="A6" s="1019"/>
      <c r="B6" s="1015"/>
      <c r="C6" s="1015"/>
      <c r="D6" s="110"/>
      <c r="E6" s="589"/>
      <c r="F6" s="589"/>
      <c r="G6" s="589">
        <v>3</v>
      </c>
      <c r="H6" s="589">
        <v>8</v>
      </c>
      <c r="I6" s="589">
        <v>7</v>
      </c>
      <c r="J6" s="589">
        <v>8</v>
      </c>
      <c r="K6" s="589"/>
      <c r="L6" s="589"/>
      <c r="M6" s="589">
        <v>10</v>
      </c>
      <c r="N6" s="589"/>
      <c r="O6" s="589"/>
      <c r="P6" s="589"/>
      <c r="Q6" s="589"/>
      <c r="R6" s="589"/>
      <c r="S6" s="589"/>
      <c r="T6" s="589"/>
      <c r="U6" s="589"/>
      <c r="V6" s="589"/>
      <c r="W6" s="589"/>
      <c r="X6" s="589"/>
      <c r="Y6" s="589"/>
      <c r="Z6" s="589">
        <v>10</v>
      </c>
      <c r="AA6" s="589">
        <v>10</v>
      </c>
      <c r="AB6" s="589">
        <v>8</v>
      </c>
      <c r="AC6" s="589"/>
      <c r="AD6" s="589"/>
      <c r="AE6" s="589">
        <v>7</v>
      </c>
      <c r="AF6" s="589">
        <v>8</v>
      </c>
      <c r="AG6" s="589">
        <v>9</v>
      </c>
      <c r="AH6" s="589">
        <v>10</v>
      </c>
      <c r="AI6" s="589"/>
      <c r="AJ6" s="156"/>
      <c r="AK6" s="1030"/>
      <c r="AL6" s="1030"/>
      <c r="AM6" s="759"/>
      <c r="AN6" s="759"/>
      <c r="AO6" s="759"/>
      <c r="AP6" s="603"/>
      <c r="AQ6" s="1032"/>
      <c r="AR6" s="1032"/>
      <c r="AS6" s="770"/>
      <c r="AT6" s="770"/>
      <c r="AU6" s="770"/>
      <c r="AV6" s="602"/>
      <c r="AW6" s="1040"/>
      <c r="AX6" s="516"/>
      <c r="AY6" s="516"/>
      <c r="AZ6" s="516"/>
      <c r="BA6" s="516"/>
      <c r="BB6" s="602"/>
      <c r="BC6" s="514"/>
      <c r="BD6" s="514"/>
      <c r="BE6" s="180"/>
      <c r="BF6" s="180"/>
      <c r="BG6" s="191"/>
      <c r="BH6" s="119"/>
      <c r="BL6" s="119"/>
    </row>
    <row r="7" spans="1:64" ht="24" customHeight="1" x14ac:dyDescent="0.35">
      <c r="A7" s="1019"/>
      <c r="B7" s="1018">
        <v>2010</v>
      </c>
      <c r="C7" s="1014">
        <v>3</v>
      </c>
      <c r="D7" s="106">
        <v>69.2</v>
      </c>
      <c r="E7" s="112">
        <v>5</v>
      </c>
      <c r="F7" s="588">
        <v>6</v>
      </c>
      <c r="G7" s="112">
        <v>7</v>
      </c>
      <c r="H7" s="588">
        <v>8</v>
      </c>
      <c r="I7" s="588">
        <v>9</v>
      </c>
      <c r="J7" s="588">
        <v>10</v>
      </c>
      <c r="K7" s="588">
        <v>11</v>
      </c>
      <c r="L7" s="588">
        <v>12</v>
      </c>
      <c r="M7" s="588">
        <v>13</v>
      </c>
      <c r="N7" s="588">
        <v>14</v>
      </c>
      <c r="O7" s="588">
        <v>15</v>
      </c>
      <c r="P7" s="588">
        <v>16</v>
      </c>
      <c r="Q7" s="588">
        <v>17</v>
      </c>
      <c r="R7" s="588">
        <v>18</v>
      </c>
      <c r="S7" s="113">
        <v>1</v>
      </c>
      <c r="T7" s="113">
        <v>2</v>
      </c>
      <c r="U7" s="113">
        <v>3</v>
      </c>
      <c r="V7" s="113">
        <v>4</v>
      </c>
      <c r="W7" s="588">
        <v>5</v>
      </c>
      <c r="X7" s="113">
        <v>6</v>
      </c>
      <c r="Y7" s="113">
        <v>7</v>
      </c>
      <c r="Z7" s="588">
        <v>8</v>
      </c>
      <c r="AA7" s="588">
        <v>9</v>
      </c>
      <c r="AB7" s="588">
        <v>10</v>
      </c>
      <c r="AC7" s="588">
        <v>11</v>
      </c>
      <c r="AD7" s="588">
        <v>12</v>
      </c>
      <c r="AE7" s="588">
        <v>13</v>
      </c>
      <c r="AF7" s="588">
        <v>14</v>
      </c>
      <c r="AG7" s="588">
        <v>15</v>
      </c>
      <c r="AH7" s="588">
        <v>16</v>
      </c>
      <c r="AI7" s="588">
        <v>17</v>
      </c>
      <c r="AJ7" s="155">
        <f>SUM(D8:AI8)</f>
        <v>67</v>
      </c>
      <c r="AK7" s="1029">
        <f>3.82+4.24+7.15</f>
        <v>15.21</v>
      </c>
      <c r="AL7" s="1029"/>
      <c r="AM7" s="760"/>
      <c r="AN7" s="760">
        <v>7</v>
      </c>
      <c r="AO7" s="759" t="str">
        <f t="shared" ref="AO7:AO67" si="0">IF(COUNT(AM7,AN7)&lt;2, "0", AN7 - AM7 + 1)</f>
        <v>0</v>
      </c>
      <c r="AP7" s="603">
        <f>IFERROR(AK7/AO7,0)</f>
        <v>0</v>
      </c>
      <c r="AQ7" s="1031">
        <f>4.88+9.43+17.44+12.55+3.41+8.21+8.88</f>
        <v>64.8</v>
      </c>
      <c r="AR7" s="1031"/>
      <c r="AS7" s="769"/>
      <c r="AT7" s="769"/>
      <c r="AU7" s="769"/>
      <c r="AV7" s="601">
        <f>IFERROR(AQ7/AU7,0)</f>
        <v>0</v>
      </c>
      <c r="AW7" s="1039"/>
      <c r="AX7" s="515"/>
      <c r="AY7" s="515"/>
      <c r="AZ7" s="515"/>
      <c r="BA7" s="515" t="str">
        <f>IF(COUNT(AY7,AZ7)&lt;2, "0", AZ7 - AY7 )</f>
        <v>0</v>
      </c>
      <c r="BB7" s="601">
        <f>IFERROR(AW7/BA7,0)</f>
        <v>0</v>
      </c>
      <c r="BC7" s="513"/>
      <c r="BD7" s="513"/>
      <c r="BE7" s="179">
        <f>AK7+AQ7+AW7+BC7</f>
        <v>80.009999999999991</v>
      </c>
      <c r="BF7" s="179">
        <f>AL7+AR7+AX7+BD7</f>
        <v>0</v>
      </c>
      <c r="BG7" s="190">
        <v>3</v>
      </c>
      <c r="BH7" s="119"/>
      <c r="BL7" s="119"/>
    </row>
    <row r="8" spans="1:64" ht="24" customHeight="1" x14ac:dyDescent="0.35">
      <c r="A8" s="1019"/>
      <c r="B8" s="1018"/>
      <c r="C8" s="1015"/>
      <c r="D8" s="110"/>
      <c r="E8" s="589">
        <v>8</v>
      </c>
      <c r="F8" s="589"/>
      <c r="G8" s="589">
        <v>4</v>
      </c>
      <c r="H8" s="589"/>
      <c r="I8" s="589"/>
      <c r="J8" s="589"/>
      <c r="K8" s="589"/>
      <c r="L8" s="589"/>
      <c r="M8" s="589"/>
      <c r="N8" s="589"/>
      <c r="O8" s="589"/>
      <c r="P8" s="589"/>
      <c r="Q8" s="589"/>
      <c r="R8" s="589"/>
      <c r="S8" s="589">
        <v>10</v>
      </c>
      <c r="T8" s="589">
        <v>10</v>
      </c>
      <c r="U8" s="589">
        <v>9</v>
      </c>
      <c r="V8" s="589">
        <v>8</v>
      </c>
      <c r="W8" s="589"/>
      <c r="X8" s="589">
        <v>9</v>
      </c>
      <c r="Y8" s="589">
        <v>9</v>
      </c>
      <c r="Z8" s="589"/>
      <c r="AA8" s="589"/>
      <c r="AB8" s="589"/>
      <c r="AC8" s="589"/>
      <c r="AD8" s="589"/>
      <c r="AE8" s="589"/>
      <c r="AF8" s="589"/>
      <c r="AG8" s="589"/>
      <c r="AH8" s="589"/>
      <c r="AI8" s="589"/>
      <c r="AJ8" s="156"/>
      <c r="AK8" s="1030"/>
      <c r="AL8" s="1030"/>
      <c r="AM8" s="761"/>
      <c r="AN8" s="761"/>
      <c r="AO8" s="759"/>
      <c r="AP8" s="603"/>
      <c r="AQ8" s="1032"/>
      <c r="AR8" s="1032"/>
      <c r="AS8" s="770"/>
      <c r="AT8" s="770"/>
      <c r="AU8" s="770"/>
      <c r="AV8" s="602"/>
      <c r="AW8" s="1040"/>
      <c r="AX8" s="516"/>
      <c r="AY8" s="516"/>
      <c r="AZ8" s="516"/>
      <c r="BA8" s="516"/>
      <c r="BB8" s="602"/>
      <c r="BC8" s="514"/>
      <c r="BD8" s="514"/>
      <c r="BE8" s="180"/>
      <c r="BF8" s="180"/>
      <c r="BG8" s="191"/>
      <c r="BH8" s="119"/>
      <c r="BL8" s="119"/>
    </row>
    <row r="9" spans="1:64" ht="24" customHeight="1" x14ac:dyDescent="0.35">
      <c r="A9" s="1019"/>
      <c r="B9" s="1018">
        <v>2011</v>
      </c>
      <c r="C9" s="1014">
        <v>14</v>
      </c>
      <c r="D9" s="106">
        <v>41.6</v>
      </c>
      <c r="E9" s="588">
        <v>9</v>
      </c>
      <c r="F9" s="588">
        <v>10</v>
      </c>
      <c r="G9" s="588">
        <v>11</v>
      </c>
      <c r="H9" s="588">
        <v>12</v>
      </c>
      <c r="I9" s="588">
        <v>13</v>
      </c>
      <c r="J9" s="588">
        <v>14</v>
      </c>
      <c r="K9" s="588">
        <v>15</v>
      </c>
      <c r="L9" s="588">
        <v>16</v>
      </c>
      <c r="M9" s="588">
        <v>17</v>
      </c>
      <c r="N9" s="112">
        <v>1</v>
      </c>
      <c r="O9" s="112">
        <v>2</v>
      </c>
      <c r="P9" s="112">
        <v>3</v>
      </c>
      <c r="Q9" s="588">
        <v>4</v>
      </c>
      <c r="R9" s="112">
        <v>5</v>
      </c>
      <c r="S9" s="588">
        <v>6</v>
      </c>
      <c r="T9" s="588">
        <v>7</v>
      </c>
      <c r="U9" s="588">
        <v>8</v>
      </c>
      <c r="V9" s="588">
        <v>9</v>
      </c>
      <c r="W9" s="588">
        <v>10</v>
      </c>
      <c r="X9" s="588">
        <v>11</v>
      </c>
      <c r="Y9" s="588">
        <v>12</v>
      </c>
      <c r="Z9" s="588">
        <v>13</v>
      </c>
      <c r="AA9" s="588">
        <v>14</v>
      </c>
      <c r="AB9" s="588">
        <v>15</v>
      </c>
      <c r="AC9" s="588">
        <v>16</v>
      </c>
      <c r="AD9" s="588">
        <v>17</v>
      </c>
      <c r="AE9" s="588">
        <v>18</v>
      </c>
      <c r="AF9" s="588">
        <v>19</v>
      </c>
      <c r="AG9" s="588">
        <v>20</v>
      </c>
      <c r="AH9" s="588">
        <v>21</v>
      </c>
      <c r="AI9" s="113">
        <v>1</v>
      </c>
      <c r="AJ9" s="155">
        <f>SUM(D10:AI10)</f>
        <v>45</v>
      </c>
      <c r="AK9" s="1029">
        <f>7.89+12.37+8.83+4.92+7.98+3.85</f>
        <v>45.839999999999996</v>
      </c>
      <c r="AL9" s="1029"/>
      <c r="AM9" s="762"/>
      <c r="AN9" s="762">
        <v>3</v>
      </c>
      <c r="AO9" s="759" t="str">
        <f t="shared" si="0"/>
        <v>0</v>
      </c>
      <c r="AP9" s="603">
        <f>IFERROR(AK9/AO9,0)</f>
        <v>0</v>
      </c>
      <c r="AQ9" s="1031"/>
      <c r="AR9" s="1031"/>
      <c r="AS9" s="769"/>
      <c r="AT9" s="769"/>
      <c r="AU9" s="769"/>
      <c r="AV9" s="601">
        <f>IFERROR(AQ9/AU9,0)</f>
        <v>0</v>
      </c>
      <c r="AW9" s="1039"/>
      <c r="AX9" s="515"/>
      <c r="AY9" s="515"/>
      <c r="AZ9" s="515"/>
      <c r="BA9" s="515" t="str">
        <f>IF(COUNT(AY9,AZ9)&lt;2, "0", AZ9 - AY9 )</f>
        <v>0</v>
      </c>
      <c r="BB9" s="601">
        <f>IFERROR(AW9/BA9,0)</f>
        <v>0</v>
      </c>
      <c r="BC9" s="513"/>
      <c r="BD9" s="513"/>
      <c r="BE9" s="179">
        <f>AK9+AQ9+AW9+BC9</f>
        <v>45.839999999999996</v>
      </c>
      <c r="BF9" s="179">
        <f>AL9+AR9+AX9+BD9</f>
        <v>0</v>
      </c>
      <c r="BG9" s="190">
        <v>14</v>
      </c>
      <c r="BH9" s="119"/>
      <c r="BL9" s="119"/>
    </row>
    <row r="10" spans="1:64" ht="24" customHeight="1" x14ac:dyDescent="0.35">
      <c r="A10" s="1020"/>
      <c r="B10" s="1018"/>
      <c r="C10" s="1015"/>
      <c r="D10" s="110"/>
      <c r="E10" s="589"/>
      <c r="F10" s="589"/>
      <c r="G10" s="589"/>
      <c r="H10" s="589"/>
      <c r="I10" s="589"/>
      <c r="J10" s="589"/>
      <c r="K10" s="589"/>
      <c r="L10" s="589"/>
      <c r="M10" s="589"/>
      <c r="N10" s="589">
        <v>9</v>
      </c>
      <c r="O10" s="589">
        <v>10</v>
      </c>
      <c r="P10" s="589">
        <v>9</v>
      </c>
      <c r="Q10" s="589"/>
      <c r="R10" s="589">
        <v>7</v>
      </c>
      <c r="S10" s="589"/>
      <c r="T10" s="589"/>
      <c r="U10" s="589"/>
      <c r="V10" s="589"/>
      <c r="W10" s="589"/>
      <c r="X10" s="589"/>
      <c r="Y10" s="589"/>
      <c r="Z10" s="589"/>
      <c r="AA10" s="589"/>
      <c r="AB10" s="589"/>
      <c r="AC10" s="589"/>
      <c r="AD10" s="589"/>
      <c r="AE10" s="589"/>
      <c r="AF10" s="589"/>
      <c r="AG10" s="589"/>
      <c r="AH10" s="589"/>
      <c r="AI10" s="589">
        <v>10</v>
      </c>
      <c r="AJ10" s="156"/>
      <c r="AK10" s="1030"/>
      <c r="AL10" s="1030"/>
      <c r="AM10" s="761"/>
      <c r="AN10" s="761"/>
      <c r="AO10" s="759"/>
      <c r="AP10" s="603"/>
      <c r="AQ10" s="1032"/>
      <c r="AR10" s="1032"/>
      <c r="AS10" s="770"/>
      <c r="AT10" s="770"/>
      <c r="AU10" s="770"/>
      <c r="AV10" s="602"/>
      <c r="AW10" s="1040"/>
      <c r="AX10" s="516"/>
      <c r="AY10" s="516"/>
      <c r="AZ10" s="516"/>
      <c r="BA10" s="516"/>
      <c r="BB10" s="602"/>
      <c r="BC10" s="514"/>
      <c r="BD10" s="514"/>
      <c r="BE10" s="180"/>
      <c r="BF10" s="180"/>
      <c r="BG10" s="191"/>
      <c r="BH10" s="120"/>
      <c r="BL10" s="119"/>
    </row>
    <row r="11" spans="1:64" ht="24" customHeight="1" x14ac:dyDescent="0.35">
      <c r="A11" s="1019" t="s">
        <v>237</v>
      </c>
      <c r="B11" s="1014">
        <v>2010</v>
      </c>
      <c r="C11" s="1014">
        <v>4</v>
      </c>
      <c r="D11" s="106">
        <v>70.599999999999994</v>
      </c>
      <c r="E11" s="588">
        <v>9</v>
      </c>
      <c r="F11" s="588">
        <v>10</v>
      </c>
      <c r="G11" s="588">
        <v>11</v>
      </c>
      <c r="H11" s="588">
        <v>12</v>
      </c>
      <c r="I11" s="588">
        <v>13</v>
      </c>
      <c r="J11" s="588">
        <v>14</v>
      </c>
      <c r="K11" s="588">
        <v>15</v>
      </c>
      <c r="L11" s="588">
        <v>16</v>
      </c>
      <c r="M11" s="588">
        <v>17</v>
      </c>
      <c r="N11" s="588">
        <v>18</v>
      </c>
      <c r="O11" s="588">
        <v>19</v>
      </c>
      <c r="P11" s="112">
        <v>1</v>
      </c>
      <c r="Q11" s="588">
        <v>2</v>
      </c>
      <c r="R11" s="112">
        <v>3</v>
      </c>
      <c r="S11" s="112">
        <v>4</v>
      </c>
      <c r="T11" s="112">
        <v>5</v>
      </c>
      <c r="U11" s="588">
        <v>6</v>
      </c>
      <c r="V11" s="588">
        <v>7</v>
      </c>
      <c r="W11" s="588">
        <v>8</v>
      </c>
      <c r="X11" s="588">
        <v>9</v>
      </c>
      <c r="Y11" s="588">
        <v>10</v>
      </c>
      <c r="Z11" s="588">
        <v>11</v>
      </c>
      <c r="AA11" s="588">
        <v>12</v>
      </c>
      <c r="AB11" s="588">
        <v>13</v>
      </c>
      <c r="AC11" s="588">
        <v>14</v>
      </c>
      <c r="AD11" s="588">
        <v>15</v>
      </c>
      <c r="AE11" s="588">
        <v>16</v>
      </c>
      <c r="AF11" s="588">
        <v>17</v>
      </c>
      <c r="AG11" s="588">
        <v>18</v>
      </c>
      <c r="AH11" s="588">
        <v>19</v>
      </c>
      <c r="AI11" s="588">
        <v>20</v>
      </c>
      <c r="AJ11" s="155">
        <f>SUM(D12:AI12)</f>
        <v>46</v>
      </c>
      <c r="AK11" s="1029">
        <f>7.63+3.49+8.65+25.17+8.05+12.05</f>
        <v>65.040000000000006</v>
      </c>
      <c r="AL11" s="1029"/>
      <c r="AM11" s="762"/>
      <c r="AN11" s="762">
        <v>4</v>
      </c>
      <c r="AO11" s="759" t="str">
        <f t="shared" si="0"/>
        <v>0</v>
      </c>
      <c r="AP11" s="603">
        <f>IFERROR(AK11/AO11,0)</f>
        <v>0</v>
      </c>
      <c r="AQ11" s="1031"/>
      <c r="AR11" s="1031"/>
      <c r="AS11" s="769"/>
      <c r="AT11" s="769"/>
      <c r="AU11" s="769"/>
      <c r="AV11" s="601">
        <f>IFERROR(AQ11/AU11,0)</f>
        <v>0</v>
      </c>
      <c r="AW11" s="1039"/>
      <c r="AX11" s="515"/>
      <c r="AY11" s="515"/>
      <c r="AZ11" s="515"/>
      <c r="BA11" s="515" t="str">
        <f>IF(COUNT(AY11,AZ11)&lt;2, "0", AZ11 - AY11 )</f>
        <v>0</v>
      </c>
      <c r="BB11" s="601">
        <f>IFERROR(AW11/BA11,0)</f>
        <v>0</v>
      </c>
      <c r="BC11" s="513"/>
      <c r="BD11" s="513"/>
      <c r="BE11" s="179">
        <f>AK11+AQ11+AW11+BC11</f>
        <v>65.040000000000006</v>
      </c>
      <c r="BF11" s="179">
        <f>AL11+AR11+AX11+BD11</f>
        <v>0</v>
      </c>
      <c r="BG11" s="187">
        <v>4</v>
      </c>
      <c r="BH11" s="119"/>
      <c r="BL11" s="119"/>
    </row>
    <row r="12" spans="1:64" ht="24" customHeight="1" x14ac:dyDescent="0.35">
      <c r="A12" s="1019"/>
      <c r="B12" s="1018"/>
      <c r="C12" s="1015"/>
      <c r="D12" s="110"/>
      <c r="E12" s="589"/>
      <c r="F12" s="589"/>
      <c r="G12" s="589"/>
      <c r="H12" s="589"/>
      <c r="I12" s="589"/>
      <c r="J12" s="589"/>
      <c r="K12" s="589"/>
      <c r="L12" s="589"/>
      <c r="M12" s="589"/>
      <c r="N12" s="589"/>
      <c r="O12" s="589"/>
      <c r="P12" s="589">
        <v>12</v>
      </c>
      <c r="Q12" s="589"/>
      <c r="R12" s="589">
        <v>10</v>
      </c>
      <c r="S12" s="589">
        <v>12</v>
      </c>
      <c r="T12" s="589">
        <v>12</v>
      </c>
      <c r="U12" s="589"/>
      <c r="V12" s="589"/>
      <c r="W12" s="589"/>
      <c r="X12" s="589"/>
      <c r="Y12" s="589"/>
      <c r="Z12" s="589"/>
      <c r="AA12" s="589"/>
      <c r="AB12" s="589"/>
      <c r="AC12" s="589"/>
      <c r="AD12" s="589"/>
      <c r="AE12" s="589"/>
      <c r="AF12" s="589"/>
      <c r="AG12" s="589"/>
      <c r="AH12" s="589"/>
      <c r="AI12" s="589"/>
      <c r="AJ12" s="156"/>
      <c r="AK12" s="1030"/>
      <c r="AL12" s="1030"/>
      <c r="AM12" s="761"/>
      <c r="AN12" s="761"/>
      <c r="AO12" s="759"/>
      <c r="AP12" s="603"/>
      <c r="AQ12" s="1032"/>
      <c r="AR12" s="1032"/>
      <c r="AS12" s="770"/>
      <c r="AT12" s="770"/>
      <c r="AU12" s="770"/>
      <c r="AV12" s="602"/>
      <c r="AW12" s="1040"/>
      <c r="AX12" s="516"/>
      <c r="AY12" s="516"/>
      <c r="AZ12" s="516"/>
      <c r="BA12" s="516"/>
      <c r="BB12" s="602"/>
      <c r="BC12" s="514"/>
      <c r="BD12" s="514"/>
      <c r="BE12" s="189"/>
      <c r="BF12" s="180"/>
      <c r="BG12" s="188"/>
      <c r="BH12" s="119"/>
      <c r="BL12" s="119"/>
    </row>
    <row r="13" spans="1:64" ht="24" customHeight="1" x14ac:dyDescent="0.35">
      <c r="A13" s="1019"/>
      <c r="B13" s="1018">
        <v>2010</v>
      </c>
      <c r="C13" s="1014">
        <v>5</v>
      </c>
      <c r="D13" s="106">
        <v>54.3</v>
      </c>
      <c r="E13" s="588">
        <v>13</v>
      </c>
      <c r="F13" s="588">
        <v>14</v>
      </c>
      <c r="G13" s="588">
        <v>15</v>
      </c>
      <c r="H13" s="588">
        <v>16</v>
      </c>
      <c r="I13" s="588">
        <v>17</v>
      </c>
      <c r="J13" s="112">
        <v>1</v>
      </c>
      <c r="K13" s="588">
        <v>2</v>
      </c>
      <c r="L13" s="588">
        <v>3</v>
      </c>
      <c r="M13" s="112">
        <v>4</v>
      </c>
      <c r="N13" s="112">
        <v>5</v>
      </c>
      <c r="O13" s="588">
        <v>6</v>
      </c>
      <c r="P13" s="588">
        <v>7</v>
      </c>
      <c r="Q13" s="588">
        <v>8</v>
      </c>
      <c r="R13" s="588">
        <v>9</v>
      </c>
      <c r="S13" s="588">
        <v>10</v>
      </c>
      <c r="T13" s="588">
        <v>11</v>
      </c>
      <c r="U13" s="588">
        <v>12</v>
      </c>
      <c r="V13" s="588">
        <v>13</v>
      </c>
      <c r="W13" s="588">
        <v>14</v>
      </c>
      <c r="X13" s="588">
        <v>15</v>
      </c>
      <c r="Y13" s="588">
        <v>16</v>
      </c>
      <c r="Z13" s="588">
        <v>17</v>
      </c>
      <c r="AA13" s="588">
        <v>18</v>
      </c>
      <c r="AB13" s="588">
        <v>19</v>
      </c>
      <c r="AC13" s="588">
        <v>20</v>
      </c>
      <c r="AD13" s="588">
        <v>21</v>
      </c>
      <c r="AE13" s="588">
        <v>22</v>
      </c>
      <c r="AF13" s="588">
        <v>23</v>
      </c>
      <c r="AG13" s="113">
        <v>1</v>
      </c>
      <c r="AH13" s="113">
        <v>2</v>
      </c>
      <c r="AI13" s="113">
        <v>3</v>
      </c>
      <c r="AJ13" s="158">
        <f>SUM(D14:AI14)</f>
        <v>62</v>
      </c>
      <c r="AK13" s="1029">
        <f>8.51+9.14+5.37+4.44+19.98</f>
        <v>47.44</v>
      </c>
      <c r="AL13" s="1029"/>
      <c r="AM13" s="762"/>
      <c r="AN13" s="762">
        <v>5</v>
      </c>
      <c r="AO13" s="759" t="str">
        <f t="shared" si="0"/>
        <v>0</v>
      </c>
      <c r="AP13" s="603">
        <f>IFERROR(AK13/AO13,0)</f>
        <v>0</v>
      </c>
      <c r="AQ13" s="1031">
        <f>12.34+19.75</f>
        <v>32.090000000000003</v>
      </c>
      <c r="AR13" s="1031"/>
      <c r="AS13" s="769"/>
      <c r="AT13" s="769"/>
      <c r="AU13" s="769"/>
      <c r="AV13" s="601">
        <f>IFERROR(AQ13/AU13,0)</f>
        <v>0</v>
      </c>
      <c r="AW13" s="1039"/>
      <c r="AX13" s="515"/>
      <c r="AY13" s="515"/>
      <c r="AZ13" s="515"/>
      <c r="BA13" s="515" t="str">
        <f>IF(COUNT(AY13,AZ13)&lt;2, "0", AZ13 - AY13 )</f>
        <v>0</v>
      </c>
      <c r="BB13" s="601">
        <f>IFERROR(AW13/BA13,0)</f>
        <v>0</v>
      </c>
      <c r="BC13" s="513"/>
      <c r="BD13" s="513"/>
      <c r="BE13" s="179">
        <f>AK13+AQ13+AW13+BC13</f>
        <v>79.53</v>
      </c>
      <c r="BF13" s="179">
        <f>AL13+AR13+AX13+BD13</f>
        <v>0</v>
      </c>
      <c r="BG13" s="187">
        <v>5</v>
      </c>
      <c r="BH13" s="119"/>
      <c r="BL13" s="119"/>
    </row>
    <row r="14" spans="1:64" ht="24" customHeight="1" x14ac:dyDescent="0.35">
      <c r="A14" s="1019"/>
      <c r="B14" s="1018"/>
      <c r="C14" s="1015"/>
      <c r="D14" s="110"/>
      <c r="E14" s="589"/>
      <c r="F14" s="589"/>
      <c r="G14" s="589"/>
      <c r="H14" s="589"/>
      <c r="I14" s="589"/>
      <c r="J14" s="589">
        <v>11</v>
      </c>
      <c r="K14" s="589"/>
      <c r="L14" s="589"/>
      <c r="M14" s="589">
        <v>11</v>
      </c>
      <c r="N14" s="589">
        <v>4</v>
      </c>
      <c r="O14" s="589"/>
      <c r="P14" s="589"/>
      <c r="Q14" s="589"/>
      <c r="R14" s="589"/>
      <c r="S14" s="589"/>
      <c r="T14" s="589"/>
      <c r="U14" s="589"/>
      <c r="V14" s="589"/>
      <c r="W14" s="589"/>
      <c r="X14" s="589"/>
      <c r="Y14" s="589"/>
      <c r="Z14" s="589"/>
      <c r="AA14" s="589"/>
      <c r="AB14" s="589"/>
      <c r="AC14" s="589"/>
      <c r="AD14" s="589"/>
      <c r="AE14" s="589"/>
      <c r="AF14" s="589"/>
      <c r="AG14" s="589">
        <v>12</v>
      </c>
      <c r="AH14" s="589">
        <v>12</v>
      </c>
      <c r="AI14" s="589">
        <v>12</v>
      </c>
      <c r="AJ14" s="159"/>
      <c r="AK14" s="1030"/>
      <c r="AL14" s="1030"/>
      <c r="AM14" s="761"/>
      <c r="AN14" s="761"/>
      <c r="AO14" s="759"/>
      <c r="AP14" s="603"/>
      <c r="AQ14" s="1032"/>
      <c r="AR14" s="1032"/>
      <c r="AS14" s="770"/>
      <c r="AT14" s="770"/>
      <c r="AU14" s="770"/>
      <c r="AV14" s="602"/>
      <c r="AW14" s="1040"/>
      <c r="AX14" s="516"/>
      <c r="AY14" s="516"/>
      <c r="AZ14" s="516"/>
      <c r="BA14" s="516"/>
      <c r="BB14" s="602"/>
      <c r="BC14" s="514"/>
      <c r="BD14" s="514"/>
      <c r="BE14" s="180"/>
      <c r="BF14" s="180"/>
      <c r="BG14" s="188"/>
      <c r="BH14" s="119"/>
      <c r="BL14" s="119"/>
    </row>
    <row r="15" spans="1:64" ht="24" customHeight="1" x14ac:dyDescent="0.35">
      <c r="A15" s="1019"/>
      <c r="B15" s="1018">
        <v>2010</v>
      </c>
      <c r="C15" s="1014">
        <v>6</v>
      </c>
      <c r="D15" s="106">
        <v>58.6</v>
      </c>
      <c r="E15" s="112">
        <v>1</v>
      </c>
      <c r="F15" s="588">
        <v>2</v>
      </c>
      <c r="G15" s="112">
        <v>3</v>
      </c>
      <c r="H15" s="112">
        <v>4</v>
      </c>
      <c r="I15" s="112">
        <v>5</v>
      </c>
      <c r="J15" s="588">
        <v>6</v>
      </c>
      <c r="K15" s="588">
        <v>7</v>
      </c>
      <c r="L15" s="588">
        <v>8</v>
      </c>
      <c r="M15" s="588">
        <v>9</v>
      </c>
      <c r="N15" s="588">
        <v>10</v>
      </c>
      <c r="O15" s="588">
        <v>11</v>
      </c>
      <c r="P15" s="588">
        <v>12</v>
      </c>
      <c r="Q15" s="588">
        <v>13</v>
      </c>
      <c r="R15" s="588">
        <v>14</v>
      </c>
      <c r="S15" s="588">
        <v>15</v>
      </c>
      <c r="T15" s="588">
        <v>16</v>
      </c>
      <c r="U15" s="588">
        <v>17</v>
      </c>
      <c r="V15" s="588">
        <v>18</v>
      </c>
      <c r="W15" s="588">
        <v>19</v>
      </c>
      <c r="X15" s="588">
        <v>20</v>
      </c>
      <c r="Y15" s="588">
        <v>21</v>
      </c>
      <c r="Z15" s="588">
        <v>22</v>
      </c>
      <c r="AA15" s="113">
        <v>1</v>
      </c>
      <c r="AB15" s="113">
        <v>2</v>
      </c>
      <c r="AC15" s="588">
        <v>3</v>
      </c>
      <c r="AD15" s="588">
        <v>4</v>
      </c>
      <c r="AE15" s="113">
        <v>5</v>
      </c>
      <c r="AF15" s="113">
        <v>6</v>
      </c>
      <c r="AG15" s="588">
        <v>7</v>
      </c>
      <c r="AH15" s="588">
        <v>8</v>
      </c>
      <c r="AI15" s="588">
        <v>9</v>
      </c>
      <c r="AJ15" s="158">
        <f>SUM(D16:AI16)</f>
        <v>86</v>
      </c>
      <c r="AK15" s="1029">
        <f>4.46+5.13+16.61+17.27+16.86</f>
        <v>60.33</v>
      </c>
      <c r="AL15" s="1029"/>
      <c r="AM15" s="762"/>
      <c r="AN15" s="762">
        <v>5</v>
      </c>
      <c r="AO15" s="759" t="str">
        <f t="shared" si="0"/>
        <v>0</v>
      </c>
      <c r="AP15" s="603">
        <f>IFERROR(AK15/AO15,0)</f>
        <v>0</v>
      </c>
      <c r="AQ15" s="1031">
        <f>22.03+8.21+4.58+21.29+8.8</f>
        <v>64.91</v>
      </c>
      <c r="AR15" s="1031"/>
      <c r="AS15" s="769"/>
      <c r="AT15" s="769"/>
      <c r="AU15" s="769"/>
      <c r="AV15" s="601">
        <f>IFERROR(AQ15/AU15,0)</f>
        <v>0</v>
      </c>
      <c r="AW15" s="1039"/>
      <c r="AX15" s="515"/>
      <c r="AY15" s="515"/>
      <c r="AZ15" s="515"/>
      <c r="BA15" s="515" t="str">
        <f>IF(COUNT(AY15,AZ15)&lt;2, "0", AZ15 - AY15 )</f>
        <v>0</v>
      </c>
      <c r="BB15" s="601">
        <f>IFERROR(AW15/BA15,0)</f>
        <v>0</v>
      </c>
      <c r="BC15" s="513"/>
      <c r="BD15" s="513"/>
      <c r="BE15" s="179">
        <f>AK15+AQ15+AW15+BC15</f>
        <v>125.24</v>
      </c>
      <c r="BF15" s="179">
        <f>AL15+AR15+AX15+BD15</f>
        <v>0</v>
      </c>
      <c r="BG15" s="187">
        <v>6</v>
      </c>
      <c r="BH15" s="119"/>
      <c r="BL15" s="119"/>
    </row>
    <row r="16" spans="1:64" ht="24" customHeight="1" x14ac:dyDescent="0.35">
      <c r="A16" s="1019"/>
      <c r="B16" s="1018"/>
      <c r="C16" s="1015"/>
      <c r="D16" s="110"/>
      <c r="E16" s="589">
        <v>8</v>
      </c>
      <c r="F16" s="589"/>
      <c r="G16" s="589">
        <v>9</v>
      </c>
      <c r="H16" s="589">
        <v>10</v>
      </c>
      <c r="I16" s="589">
        <v>11</v>
      </c>
      <c r="J16" s="589"/>
      <c r="K16" s="589"/>
      <c r="L16" s="589"/>
      <c r="M16" s="589"/>
      <c r="N16" s="589"/>
      <c r="O16" s="589"/>
      <c r="P16" s="589"/>
      <c r="Q16" s="589"/>
      <c r="R16" s="589"/>
      <c r="S16" s="589"/>
      <c r="T16" s="589"/>
      <c r="U16" s="589"/>
      <c r="V16" s="589"/>
      <c r="W16" s="589"/>
      <c r="X16" s="589"/>
      <c r="Y16" s="589"/>
      <c r="Z16" s="589"/>
      <c r="AA16" s="589">
        <v>12</v>
      </c>
      <c r="AB16" s="589">
        <v>12</v>
      </c>
      <c r="AC16" s="589"/>
      <c r="AD16" s="589"/>
      <c r="AE16" s="589">
        <v>12</v>
      </c>
      <c r="AF16" s="589">
        <v>12</v>
      </c>
      <c r="AG16" s="589"/>
      <c r="AH16" s="588"/>
      <c r="AI16" s="589"/>
      <c r="AJ16" s="159"/>
      <c r="AK16" s="1030"/>
      <c r="AL16" s="1030"/>
      <c r="AM16" s="761"/>
      <c r="AN16" s="761"/>
      <c r="AO16" s="759"/>
      <c r="AP16" s="603"/>
      <c r="AQ16" s="1032"/>
      <c r="AR16" s="1032"/>
      <c r="AS16" s="770"/>
      <c r="AT16" s="770"/>
      <c r="AU16" s="770"/>
      <c r="AV16" s="602"/>
      <c r="AW16" s="1040"/>
      <c r="AX16" s="516"/>
      <c r="AY16" s="516"/>
      <c r="AZ16" s="516"/>
      <c r="BA16" s="516"/>
      <c r="BB16" s="602"/>
      <c r="BC16" s="514"/>
      <c r="BD16" s="514"/>
      <c r="BE16" s="180"/>
      <c r="BF16" s="180"/>
      <c r="BG16" s="188"/>
      <c r="BH16" s="119"/>
      <c r="BL16" s="119"/>
    </row>
    <row r="17" spans="1:64" ht="24" customHeight="1" x14ac:dyDescent="0.35">
      <c r="A17" s="1019"/>
      <c r="B17" s="1018">
        <v>2010</v>
      </c>
      <c r="C17" s="1014">
        <v>7</v>
      </c>
      <c r="D17" s="106">
        <v>23.6</v>
      </c>
      <c r="E17" s="588">
        <v>10</v>
      </c>
      <c r="F17" s="588">
        <v>11</v>
      </c>
      <c r="G17" s="588">
        <v>12</v>
      </c>
      <c r="H17" s="588">
        <v>13</v>
      </c>
      <c r="I17" s="588">
        <v>14</v>
      </c>
      <c r="J17" s="588">
        <v>15</v>
      </c>
      <c r="K17" s="588">
        <v>16</v>
      </c>
      <c r="L17" s="588">
        <v>17</v>
      </c>
      <c r="M17" s="588">
        <v>18</v>
      </c>
      <c r="N17" s="112">
        <v>1</v>
      </c>
      <c r="O17" s="112">
        <v>2</v>
      </c>
      <c r="P17" s="588">
        <v>3</v>
      </c>
      <c r="Q17" s="588">
        <v>4</v>
      </c>
      <c r="R17" s="588">
        <v>5</v>
      </c>
      <c r="S17" s="588">
        <v>6</v>
      </c>
      <c r="T17" s="588">
        <v>7</v>
      </c>
      <c r="U17" s="588">
        <v>8</v>
      </c>
      <c r="V17" s="588">
        <v>9</v>
      </c>
      <c r="W17" s="588">
        <v>10</v>
      </c>
      <c r="X17" s="588">
        <v>11</v>
      </c>
      <c r="Y17" s="588">
        <v>12</v>
      </c>
      <c r="Z17" s="588">
        <v>13</v>
      </c>
      <c r="AA17" s="588">
        <v>14</v>
      </c>
      <c r="AB17" s="588">
        <v>15</v>
      </c>
      <c r="AC17" s="588">
        <v>16</v>
      </c>
      <c r="AD17" s="588">
        <v>17</v>
      </c>
      <c r="AE17" s="588">
        <v>18</v>
      </c>
      <c r="AF17" s="588">
        <v>19</v>
      </c>
      <c r="AG17" s="588">
        <v>20</v>
      </c>
      <c r="AH17" s="588">
        <v>21</v>
      </c>
      <c r="AI17" s="588">
        <v>22</v>
      </c>
      <c r="AJ17" s="158">
        <f>SUM(D18:AI18)</f>
        <v>17</v>
      </c>
      <c r="AK17" s="1029">
        <f>12.43+6.72</f>
        <v>19.149999999999999</v>
      </c>
      <c r="AL17" s="1029"/>
      <c r="AM17" s="762"/>
      <c r="AN17" s="762">
        <v>1</v>
      </c>
      <c r="AO17" s="759" t="str">
        <f t="shared" si="0"/>
        <v>0</v>
      </c>
      <c r="AP17" s="603">
        <f>IFERROR(AK17/AO17,0)</f>
        <v>0</v>
      </c>
      <c r="AQ17" s="1031"/>
      <c r="AR17" s="1031"/>
      <c r="AS17" s="769"/>
      <c r="AT17" s="769"/>
      <c r="AU17" s="769"/>
      <c r="AV17" s="601">
        <f>IFERROR(AQ17/AU17,0)</f>
        <v>0</v>
      </c>
      <c r="AW17" s="1039"/>
      <c r="AX17" s="515"/>
      <c r="AY17" s="515"/>
      <c r="AZ17" s="515"/>
      <c r="BA17" s="515" t="str">
        <f>IF(COUNT(AY17,AZ17)&lt;2, "0", AZ17 - AY17 )</f>
        <v>0</v>
      </c>
      <c r="BB17" s="601">
        <f>IFERROR(AW17/BA17,0)</f>
        <v>0</v>
      </c>
      <c r="BC17" s="513"/>
      <c r="BD17" s="513"/>
      <c r="BE17" s="179">
        <f>AK17+AQ17+AW17+BC17</f>
        <v>19.149999999999999</v>
      </c>
      <c r="BF17" s="179">
        <f>AL17+AR17+AX17+BD17</f>
        <v>0</v>
      </c>
      <c r="BG17" s="187">
        <v>7</v>
      </c>
      <c r="BL17" s="119"/>
    </row>
    <row r="18" spans="1:64" ht="24" customHeight="1" x14ac:dyDescent="0.35">
      <c r="A18" s="1019"/>
      <c r="B18" s="1018"/>
      <c r="C18" s="1015"/>
      <c r="D18" s="110"/>
      <c r="E18" s="589"/>
      <c r="F18" s="589"/>
      <c r="G18" s="589"/>
      <c r="H18" s="589"/>
      <c r="I18" s="589"/>
      <c r="J18" s="589"/>
      <c r="K18" s="589"/>
      <c r="L18" s="589"/>
      <c r="M18" s="589"/>
      <c r="N18" s="589">
        <v>7</v>
      </c>
      <c r="O18" s="589">
        <v>10</v>
      </c>
      <c r="P18" s="589"/>
      <c r="Q18" s="589"/>
      <c r="R18" s="589"/>
      <c r="S18" s="589"/>
      <c r="T18" s="589"/>
      <c r="U18" s="589"/>
      <c r="V18" s="589"/>
      <c r="W18" s="589"/>
      <c r="X18" s="589"/>
      <c r="Y18" s="589"/>
      <c r="Z18" s="589"/>
      <c r="AA18" s="589"/>
      <c r="AB18" s="589"/>
      <c r="AC18" s="589"/>
      <c r="AD18" s="589"/>
      <c r="AE18" s="589"/>
      <c r="AF18" s="589"/>
      <c r="AG18" s="589"/>
      <c r="AH18" s="589"/>
      <c r="AI18" s="589"/>
      <c r="AJ18" s="159"/>
      <c r="AK18" s="1030"/>
      <c r="AL18" s="1030"/>
      <c r="AM18" s="761"/>
      <c r="AN18" s="761"/>
      <c r="AO18" s="759"/>
      <c r="AP18" s="603"/>
      <c r="AQ18" s="1032"/>
      <c r="AR18" s="1032"/>
      <c r="AS18" s="770"/>
      <c r="AT18" s="770"/>
      <c r="AU18" s="770"/>
      <c r="AV18" s="602"/>
      <c r="AW18" s="1040"/>
      <c r="AX18" s="516"/>
      <c r="AY18" s="516"/>
      <c r="AZ18" s="516"/>
      <c r="BA18" s="516"/>
      <c r="BB18" s="602"/>
      <c r="BC18" s="514"/>
      <c r="BD18" s="514"/>
      <c r="BE18" s="180"/>
      <c r="BF18" s="180"/>
      <c r="BG18" s="188"/>
      <c r="BL18" s="119"/>
    </row>
    <row r="19" spans="1:64" ht="24" customHeight="1" x14ac:dyDescent="0.35">
      <c r="A19" s="1019"/>
      <c r="B19" s="1018">
        <v>2010</v>
      </c>
      <c r="C19" s="1014">
        <v>23</v>
      </c>
      <c r="D19" s="106">
        <v>14.6</v>
      </c>
      <c r="E19" s="588">
        <v>2</v>
      </c>
      <c r="F19" s="588">
        <v>3</v>
      </c>
      <c r="G19" s="588">
        <v>4</v>
      </c>
      <c r="H19" s="588">
        <v>5</v>
      </c>
      <c r="I19" s="588">
        <v>6</v>
      </c>
      <c r="J19" s="588">
        <v>7</v>
      </c>
      <c r="K19" s="588">
        <v>8</v>
      </c>
      <c r="L19" s="588">
        <v>9</v>
      </c>
      <c r="M19" s="588">
        <v>10</v>
      </c>
      <c r="N19" s="588">
        <v>11</v>
      </c>
      <c r="O19" s="588">
        <v>12</v>
      </c>
      <c r="P19" s="588">
        <v>13</v>
      </c>
      <c r="Q19" s="588">
        <v>14</v>
      </c>
      <c r="R19" s="588">
        <v>15</v>
      </c>
      <c r="S19" s="588">
        <v>16</v>
      </c>
      <c r="T19" s="588">
        <v>17</v>
      </c>
      <c r="U19" s="588">
        <v>18</v>
      </c>
      <c r="V19" s="588">
        <v>19</v>
      </c>
      <c r="W19" s="588">
        <v>20</v>
      </c>
      <c r="X19" s="588">
        <v>21</v>
      </c>
      <c r="Y19" s="112">
        <v>1</v>
      </c>
      <c r="Z19" s="588">
        <v>2</v>
      </c>
      <c r="AA19" s="588">
        <v>3</v>
      </c>
      <c r="AB19" s="588">
        <v>4</v>
      </c>
      <c r="AC19" s="588">
        <v>5</v>
      </c>
      <c r="AD19" s="588">
        <v>6</v>
      </c>
      <c r="AE19" s="588">
        <v>7</v>
      </c>
      <c r="AF19" s="588">
        <v>8</v>
      </c>
      <c r="AG19" s="588">
        <v>9</v>
      </c>
      <c r="AH19" s="588">
        <v>10</v>
      </c>
      <c r="AI19" s="588">
        <v>11</v>
      </c>
      <c r="AJ19" s="155">
        <f>SUM(D20:AI20)</f>
        <v>11</v>
      </c>
      <c r="AK19" s="1029">
        <f>4.22+13.45+7.59</f>
        <v>25.259999999999998</v>
      </c>
      <c r="AL19" s="1029"/>
      <c r="AM19" s="762"/>
      <c r="AN19" s="762">
        <v>1</v>
      </c>
      <c r="AO19" s="759" t="str">
        <f t="shared" si="0"/>
        <v>0</v>
      </c>
      <c r="AP19" s="603">
        <f>IFERROR(AK19/AO19,0)</f>
        <v>0</v>
      </c>
      <c r="AQ19" s="1031"/>
      <c r="AR19" s="1031"/>
      <c r="AS19" s="769"/>
      <c r="AT19" s="769"/>
      <c r="AU19" s="769"/>
      <c r="AV19" s="601">
        <f>IFERROR(AQ19/AU19,0)</f>
        <v>0</v>
      </c>
      <c r="AW19" s="1039"/>
      <c r="AX19" s="515"/>
      <c r="AY19" s="515"/>
      <c r="AZ19" s="515"/>
      <c r="BA19" s="515" t="str">
        <f>IF(COUNT(AY19,AZ19)&lt;2, "0", AZ19 - AY19 )</f>
        <v>0</v>
      </c>
      <c r="BB19" s="601">
        <f>IFERROR(AW19/BA19,0)</f>
        <v>0</v>
      </c>
      <c r="BC19" s="513"/>
      <c r="BD19" s="513"/>
      <c r="BE19" s="179">
        <f>AK19+AQ19+AW19+BC19</f>
        <v>25.259999999999998</v>
      </c>
      <c r="BF19" s="179">
        <f>AL19+AR19+AX19+BD19</f>
        <v>0</v>
      </c>
      <c r="BG19" s="187">
        <v>23</v>
      </c>
      <c r="BL19" s="119"/>
    </row>
    <row r="20" spans="1:64" ht="24" customHeight="1" x14ac:dyDescent="0.35">
      <c r="A20" s="1019"/>
      <c r="B20" s="1018"/>
      <c r="C20" s="1015"/>
      <c r="D20" s="110"/>
      <c r="E20" s="589"/>
      <c r="F20" s="589"/>
      <c r="G20" s="589"/>
      <c r="H20" s="589"/>
      <c r="I20" s="589"/>
      <c r="J20" s="589"/>
      <c r="K20" s="589"/>
      <c r="L20" s="589"/>
      <c r="M20" s="589"/>
      <c r="N20" s="589"/>
      <c r="O20" s="589"/>
      <c r="P20" s="589"/>
      <c r="Q20" s="589"/>
      <c r="R20" s="589"/>
      <c r="S20" s="589"/>
      <c r="T20" s="589"/>
      <c r="U20" s="589"/>
      <c r="V20" s="589"/>
      <c r="W20" s="589"/>
      <c r="X20" s="589"/>
      <c r="Y20" s="589">
        <v>11</v>
      </c>
      <c r="Z20" s="589"/>
      <c r="AA20" s="589"/>
      <c r="AB20" s="589"/>
      <c r="AC20" s="589"/>
      <c r="AD20" s="589"/>
      <c r="AE20" s="589"/>
      <c r="AF20" s="589"/>
      <c r="AG20" s="589"/>
      <c r="AH20" s="589"/>
      <c r="AI20" s="589"/>
      <c r="AJ20" s="156"/>
      <c r="AK20" s="1030"/>
      <c r="AL20" s="1030"/>
      <c r="AM20" s="761"/>
      <c r="AN20" s="761"/>
      <c r="AO20" s="759"/>
      <c r="AP20" s="603"/>
      <c r="AQ20" s="1032"/>
      <c r="AR20" s="1032"/>
      <c r="AS20" s="770"/>
      <c r="AT20" s="770"/>
      <c r="AU20" s="770"/>
      <c r="AV20" s="602"/>
      <c r="AW20" s="1040"/>
      <c r="AX20" s="516"/>
      <c r="AY20" s="516"/>
      <c r="AZ20" s="516"/>
      <c r="BA20" s="516"/>
      <c r="BB20" s="602"/>
      <c r="BC20" s="514"/>
      <c r="BD20" s="514"/>
      <c r="BE20" s="180"/>
      <c r="BF20" s="180"/>
      <c r="BG20" s="188"/>
      <c r="BL20" s="119"/>
    </row>
    <row r="21" spans="1:64" ht="24" customHeight="1" x14ac:dyDescent="0.35">
      <c r="A21" s="1019"/>
      <c r="B21" s="1018">
        <v>2012</v>
      </c>
      <c r="C21" s="1014">
        <v>24</v>
      </c>
      <c r="D21" s="121">
        <v>44.7</v>
      </c>
      <c r="E21" s="588">
        <v>5</v>
      </c>
      <c r="F21" s="588">
        <v>6</v>
      </c>
      <c r="G21" s="588">
        <v>7</v>
      </c>
      <c r="H21" s="588">
        <v>8</v>
      </c>
      <c r="I21" s="588">
        <v>9</v>
      </c>
      <c r="J21" s="588">
        <v>10</v>
      </c>
      <c r="K21" s="588">
        <v>11</v>
      </c>
      <c r="L21" s="588">
        <v>12</v>
      </c>
      <c r="M21" s="588">
        <v>13</v>
      </c>
      <c r="N21" s="588">
        <v>14</v>
      </c>
      <c r="O21" s="588">
        <v>15</v>
      </c>
      <c r="P21" s="588">
        <v>16</v>
      </c>
      <c r="Q21" s="588">
        <v>17</v>
      </c>
      <c r="R21" s="588">
        <v>18</v>
      </c>
      <c r="S21" s="588">
        <v>19</v>
      </c>
      <c r="T21" s="588">
        <v>20</v>
      </c>
      <c r="U21" s="112">
        <v>1</v>
      </c>
      <c r="V21" s="112">
        <v>2</v>
      </c>
      <c r="W21" s="588">
        <v>3</v>
      </c>
      <c r="X21" s="112">
        <v>4</v>
      </c>
      <c r="Y21" s="588">
        <v>5</v>
      </c>
      <c r="Z21" s="588">
        <v>6</v>
      </c>
      <c r="AA21" s="588">
        <v>7</v>
      </c>
      <c r="AB21" s="588">
        <v>8</v>
      </c>
      <c r="AC21" s="588">
        <v>9</v>
      </c>
      <c r="AD21" s="588">
        <v>10</v>
      </c>
      <c r="AE21" s="588">
        <v>11</v>
      </c>
      <c r="AF21" s="588">
        <v>12</v>
      </c>
      <c r="AG21" s="588">
        <v>13</v>
      </c>
      <c r="AH21" s="588">
        <v>14</v>
      </c>
      <c r="AI21" s="588">
        <v>15</v>
      </c>
      <c r="AJ21" s="158">
        <f>SUM(D22:AI22)</f>
        <v>36</v>
      </c>
      <c r="AK21" s="1029">
        <f>9.59+21.75+13.51+5.06</f>
        <v>49.910000000000004</v>
      </c>
      <c r="AL21" s="1029"/>
      <c r="AM21" s="762"/>
      <c r="AN21" s="762">
        <v>3</v>
      </c>
      <c r="AO21" s="759" t="str">
        <f t="shared" si="0"/>
        <v>0</v>
      </c>
      <c r="AP21" s="603">
        <f>IFERROR(AK21/AO21,0)</f>
        <v>0</v>
      </c>
      <c r="AQ21" s="1031"/>
      <c r="AR21" s="1031"/>
      <c r="AS21" s="769"/>
      <c r="AT21" s="769"/>
      <c r="AU21" s="769"/>
      <c r="AV21" s="601">
        <f>IFERROR(AQ21/AU21,0)</f>
        <v>0</v>
      </c>
      <c r="AW21" s="1039"/>
      <c r="AX21" s="515"/>
      <c r="AY21" s="515"/>
      <c r="AZ21" s="515"/>
      <c r="BA21" s="515" t="str">
        <f>IF(COUNT(AY21,AZ21)&lt;2, "0", AZ21 - AY21 )</f>
        <v>0</v>
      </c>
      <c r="BB21" s="601">
        <f>IFERROR(AW21/BA21,0)</f>
        <v>0</v>
      </c>
      <c r="BC21" s="513"/>
      <c r="BD21" s="513"/>
      <c r="BE21" s="179">
        <f>AK21+AQ21+AW21+BC21</f>
        <v>49.910000000000004</v>
      </c>
      <c r="BF21" s="179">
        <f>AL21+AR21+AX21+BD21</f>
        <v>0</v>
      </c>
      <c r="BG21" s="187">
        <v>24</v>
      </c>
      <c r="BL21" s="119"/>
    </row>
    <row r="22" spans="1:64" ht="24" customHeight="1" x14ac:dyDescent="0.35">
      <c r="A22" s="1020"/>
      <c r="B22" s="1015"/>
      <c r="C22" s="1015"/>
      <c r="D22" s="110"/>
      <c r="E22" s="589"/>
      <c r="F22" s="589"/>
      <c r="G22" s="589"/>
      <c r="H22" s="589"/>
      <c r="I22" s="589"/>
      <c r="J22" s="589"/>
      <c r="K22" s="589"/>
      <c r="L22" s="589"/>
      <c r="M22" s="589"/>
      <c r="N22" s="589"/>
      <c r="O22" s="589"/>
      <c r="P22" s="589"/>
      <c r="Q22" s="589"/>
      <c r="R22" s="589"/>
      <c r="S22" s="589"/>
      <c r="T22" s="589"/>
      <c r="U22" s="589">
        <v>12</v>
      </c>
      <c r="V22" s="589">
        <v>12</v>
      </c>
      <c r="W22" s="589"/>
      <c r="X22" s="589">
        <v>12</v>
      </c>
      <c r="Y22" s="589"/>
      <c r="Z22" s="589"/>
      <c r="AA22" s="589"/>
      <c r="AB22" s="589"/>
      <c r="AC22" s="589"/>
      <c r="AD22" s="589"/>
      <c r="AE22" s="589"/>
      <c r="AF22" s="589"/>
      <c r="AG22" s="589"/>
      <c r="AH22" s="589"/>
      <c r="AI22" s="589"/>
      <c r="AJ22" s="159"/>
      <c r="AK22" s="1030"/>
      <c r="AL22" s="1030"/>
      <c r="AM22" s="761"/>
      <c r="AN22" s="761"/>
      <c r="AO22" s="759"/>
      <c r="AP22" s="603"/>
      <c r="AQ22" s="1032"/>
      <c r="AR22" s="1032"/>
      <c r="AS22" s="770"/>
      <c r="AT22" s="770"/>
      <c r="AU22" s="770"/>
      <c r="AV22" s="602"/>
      <c r="AW22" s="1040"/>
      <c r="AX22" s="516"/>
      <c r="AY22" s="516"/>
      <c r="AZ22" s="516"/>
      <c r="BA22" s="516"/>
      <c r="BB22" s="602"/>
      <c r="BC22" s="514"/>
      <c r="BD22" s="514"/>
      <c r="BE22" s="180"/>
      <c r="BF22" s="180"/>
      <c r="BG22" s="188"/>
      <c r="BL22" s="119"/>
    </row>
    <row r="23" spans="1:64" ht="24" customHeight="1" x14ac:dyDescent="0.35">
      <c r="A23" s="1019" t="s">
        <v>64</v>
      </c>
      <c r="B23" s="1018">
        <v>2011</v>
      </c>
      <c r="C23" s="1014">
        <v>15</v>
      </c>
      <c r="D23" s="106">
        <v>49.3</v>
      </c>
      <c r="E23" s="588">
        <v>22</v>
      </c>
      <c r="F23" s="588">
        <v>23</v>
      </c>
      <c r="G23" s="588">
        <v>24</v>
      </c>
      <c r="H23" s="112">
        <v>1</v>
      </c>
      <c r="I23" s="112">
        <v>2</v>
      </c>
      <c r="J23" s="112">
        <v>3</v>
      </c>
      <c r="K23" s="588">
        <v>4</v>
      </c>
      <c r="L23" s="588">
        <v>5</v>
      </c>
      <c r="M23" s="588">
        <v>6</v>
      </c>
      <c r="N23" s="588">
        <v>7</v>
      </c>
      <c r="O23" s="588">
        <v>8</v>
      </c>
      <c r="P23" s="588">
        <v>9</v>
      </c>
      <c r="Q23" s="588">
        <v>10</v>
      </c>
      <c r="R23" s="588">
        <v>11</v>
      </c>
      <c r="S23" s="588">
        <v>12</v>
      </c>
      <c r="T23" s="588">
        <v>13</v>
      </c>
      <c r="U23" s="588">
        <v>14</v>
      </c>
      <c r="V23" s="588">
        <v>15</v>
      </c>
      <c r="W23" s="588">
        <v>16</v>
      </c>
      <c r="X23" s="588">
        <v>17</v>
      </c>
      <c r="Y23" s="588">
        <v>18</v>
      </c>
      <c r="Z23" s="588">
        <v>19</v>
      </c>
      <c r="AA23" s="588">
        <v>20</v>
      </c>
      <c r="AB23" s="588">
        <v>21</v>
      </c>
      <c r="AC23" s="113">
        <v>1</v>
      </c>
      <c r="AD23" s="113">
        <v>2</v>
      </c>
      <c r="AE23" s="588">
        <v>3</v>
      </c>
      <c r="AF23" s="588">
        <v>4</v>
      </c>
      <c r="AG23" s="588">
        <v>5</v>
      </c>
      <c r="AH23" s="588">
        <v>6</v>
      </c>
      <c r="AI23" s="588">
        <v>7</v>
      </c>
      <c r="AJ23" s="155">
        <f>SUM(D24:AI24)</f>
        <v>60</v>
      </c>
      <c r="AK23" s="1029">
        <f>4.01+34.01+32.88</f>
        <v>70.900000000000006</v>
      </c>
      <c r="AL23" s="1029"/>
      <c r="AM23" s="762"/>
      <c r="AN23" s="762">
        <v>2</v>
      </c>
      <c r="AO23" s="759" t="str">
        <f t="shared" si="0"/>
        <v>0</v>
      </c>
      <c r="AP23" s="603">
        <f>IFERROR(AK23/AO23,0)</f>
        <v>0</v>
      </c>
      <c r="AQ23" s="1031">
        <f>7.59+45.57</f>
        <v>53.16</v>
      </c>
      <c r="AR23" s="1031"/>
      <c r="AS23" s="769"/>
      <c r="AT23" s="769"/>
      <c r="AU23" s="769"/>
      <c r="AV23" s="601">
        <f>IFERROR(AQ23/AU23,0)</f>
        <v>0</v>
      </c>
      <c r="AW23" s="1039"/>
      <c r="AX23" s="515"/>
      <c r="AY23" s="515"/>
      <c r="AZ23" s="515"/>
      <c r="BA23" s="515" t="str">
        <f>IF(COUNT(AY23,AZ23)&lt;2, "0", AZ23 - AY23 )</f>
        <v>0</v>
      </c>
      <c r="BB23" s="601">
        <f>IFERROR(AW23/BA23,0)</f>
        <v>0</v>
      </c>
      <c r="BC23" s="513"/>
      <c r="BD23" s="513"/>
      <c r="BE23" s="179">
        <f>AK23+AQ23+AW23+BC23</f>
        <v>124.06</v>
      </c>
      <c r="BF23" s="179">
        <f>AL23+AR23+AX23+BD23</f>
        <v>0</v>
      </c>
      <c r="BG23" s="185">
        <v>15</v>
      </c>
      <c r="BL23" s="119"/>
    </row>
    <row r="24" spans="1:64" ht="24" customHeight="1" x14ac:dyDescent="0.35">
      <c r="A24" s="1019"/>
      <c r="B24" s="1018"/>
      <c r="C24" s="1015"/>
      <c r="D24" s="110"/>
      <c r="E24" s="589"/>
      <c r="F24" s="589"/>
      <c r="G24" s="589"/>
      <c r="H24" s="589">
        <v>7</v>
      </c>
      <c r="I24" s="589">
        <v>13</v>
      </c>
      <c r="J24" s="589">
        <v>15</v>
      </c>
      <c r="K24" s="589"/>
      <c r="L24" s="589"/>
      <c r="M24" s="589"/>
      <c r="N24" s="589"/>
      <c r="O24" s="589"/>
      <c r="P24" s="589"/>
      <c r="Q24" s="589"/>
      <c r="R24" s="589"/>
      <c r="S24" s="589"/>
      <c r="T24" s="589"/>
      <c r="U24" s="589"/>
      <c r="V24" s="589"/>
      <c r="W24" s="589"/>
      <c r="X24" s="589"/>
      <c r="Y24" s="589"/>
      <c r="Z24" s="589"/>
      <c r="AA24" s="589"/>
      <c r="AB24" s="589"/>
      <c r="AC24" s="589">
        <v>11</v>
      </c>
      <c r="AD24" s="589">
        <v>14</v>
      </c>
      <c r="AE24" s="589"/>
      <c r="AF24" s="589"/>
      <c r="AG24" s="589"/>
      <c r="AH24" s="589"/>
      <c r="AI24" s="589"/>
      <c r="AJ24" s="156"/>
      <c r="AK24" s="1030"/>
      <c r="AL24" s="1030"/>
      <c r="AM24" s="761"/>
      <c r="AN24" s="761"/>
      <c r="AO24" s="759"/>
      <c r="AP24" s="603"/>
      <c r="AQ24" s="1032"/>
      <c r="AR24" s="1032"/>
      <c r="AS24" s="770"/>
      <c r="AT24" s="770"/>
      <c r="AU24" s="770"/>
      <c r="AV24" s="602"/>
      <c r="AW24" s="1040"/>
      <c r="AX24" s="516"/>
      <c r="AY24" s="516"/>
      <c r="AZ24" s="516"/>
      <c r="BA24" s="516"/>
      <c r="BB24" s="602"/>
      <c r="BC24" s="514"/>
      <c r="BD24" s="514"/>
      <c r="BE24" s="180"/>
      <c r="BF24" s="180"/>
      <c r="BG24" s="186"/>
      <c r="BL24" s="119"/>
    </row>
    <row r="25" spans="1:64" ht="24" customHeight="1" x14ac:dyDescent="0.35">
      <c r="A25" s="1019"/>
      <c r="B25" s="1018">
        <v>2011</v>
      </c>
      <c r="C25" s="1014">
        <v>16</v>
      </c>
      <c r="D25" s="106">
        <v>50.4</v>
      </c>
      <c r="E25" s="588">
        <v>3</v>
      </c>
      <c r="F25" s="112">
        <v>4</v>
      </c>
      <c r="G25" s="112">
        <v>5</v>
      </c>
      <c r="H25" s="112">
        <v>6</v>
      </c>
      <c r="I25" s="588">
        <v>7</v>
      </c>
      <c r="J25" s="588">
        <v>8</v>
      </c>
      <c r="K25" s="588">
        <v>9</v>
      </c>
      <c r="L25" s="588">
        <v>10</v>
      </c>
      <c r="M25" s="588">
        <v>11</v>
      </c>
      <c r="N25" s="588">
        <v>12</v>
      </c>
      <c r="O25" s="588">
        <v>13</v>
      </c>
      <c r="P25" s="588">
        <v>14</v>
      </c>
      <c r="Q25" s="588">
        <v>15</v>
      </c>
      <c r="R25" s="588">
        <v>16</v>
      </c>
      <c r="S25" s="588">
        <v>17</v>
      </c>
      <c r="T25" s="588">
        <v>18</v>
      </c>
      <c r="U25" s="588">
        <v>19</v>
      </c>
      <c r="V25" s="588">
        <v>20</v>
      </c>
      <c r="W25" s="588">
        <v>21</v>
      </c>
      <c r="X25" s="588">
        <v>22</v>
      </c>
      <c r="Y25" s="588">
        <v>23</v>
      </c>
      <c r="Z25" s="113">
        <v>1</v>
      </c>
      <c r="AA25" s="113">
        <v>2</v>
      </c>
      <c r="AB25" s="113">
        <v>3</v>
      </c>
      <c r="AC25" s="588">
        <v>4</v>
      </c>
      <c r="AD25" s="588">
        <v>5</v>
      </c>
      <c r="AE25" s="588">
        <v>6</v>
      </c>
      <c r="AF25" s="588">
        <v>7</v>
      </c>
      <c r="AG25" s="588">
        <v>8</v>
      </c>
      <c r="AH25" s="588">
        <v>9</v>
      </c>
      <c r="AI25" s="588">
        <v>10</v>
      </c>
      <c r="AJ25" s="155">
        <f>SUM(D26:AI26)</f>
        <v>60</v>
      </c>
      <c r="AK25" s="1029">
        <f>8.65+31.95+12.78</f>
        <v>53.38</v>
      </c>
      <c r="AL25" s="1029"/>
      <c r="AM25" s="762"/>
      <c r="AN25" s="762">
        <v>2</v>
      </c>
      <c r="AO25" s="759" t="str">
        <f t="shared" si="0"/>
        <v>0</v>
      </c>
      <c r="AP25" s="603">
        <f>IFERROR(AK25/AO25,0)</f>
        <v>0</v>
      </c>
      <c r="AQ25" s="1031">
        <f>26.14+28.61+3.53</f>
        <v>58.28</v>
      </c>
      <c r="AR25" s="1031"/>
      <c r="AS25" s="769"/>
      <c r="AT25" s="769"/>
      <c r="AU25" s="769"/>
      <c r="AV25" s="601">
        <f>IFERROR(AQ25/AU25,0)</f>
        <v>0</v>
      </c>
      <c r="AW25" s="1039"/>
      <c r="AX25" s="515"/>
      <c r="AY25" s="515"/>
      <c r="AZ25" s="515"/>
      <c r="BA25" s="515" t="str">
        <f>IF(COUNT(AY25,AZ25)&lt;2, "0", AZ25 - AY25 )</f>
        <v>0</v>
      </c>
      <c r="BB25" s="601">
        <f>IFERROR(AW25/BA25,0)</f>
        <v>0</v>
      </c>
      <c r="BC25" s="513"/>
      <c r="BD25" s="513"/>
      <c r="BE25" s="179">
        <f>AK25+AQ25+AW25+BC25</f>
        <v>111.66</v>
      </c>
      <c r="BF25" s="179">
        <f>AL25+AR25+AX25+BD25</f>
        <v>0</v>
      </c>
      <c r="BG25" s="185">
        <v>16</v>
      </c>
      <c r="BL25" s="119"/>
    </row>
    <row r="26" spans="1:64" ht="24" customHeight="1" x14ac:dyDescent="0.35">
      <c r="A26" s="1019"/>
      <c r="B26" s="1018"/>
      <c r="C26" s="1015"/>
      <c r="D26" s="110"/>
      <c r="E26" s="589"/>
      <c r="F26" s="589">
        <v>9</v>
      </c>
      <c r="G26" s="589">
        <v>12</v>
      </c>
      <c r="H26" s="589">
        <v>7</v>
      </c>
      <c r="I26" s="589"/>
      <c r="J26" s="589"/>
      <c r="K26" s="589"/>
      <c r="L26" s="589"/>
      <c r="M26" s="589"/>
      <c r="N26" s="589"/>
      <c r="O26" s="589"/>
      <c r="P26" s="589"/>
      <c r="Q26" s="589"/>
      <c r="R26" s="589"/>
      <c r="S26" s="589"/>
      <c r="T26" s="589"/>
      <c r="U26" s="589"/>
      <c r="V26" s="589"/>
      <c r="W26" s="589"/>
      <c r="X26" s="589"/>
      <c r="Y26" s="589"/>
      <c r="Z26" s="589">
        <v>6</v>
      </c>
      <c r="AA26" s="589">
        <v>12</v>
      </c>
      <c r="AB26" s="589">
        <v>14</v>
      </c>
      <c r="AC26" s="589"/>
      <c r="AD26" s="589"/>
      <c r="AE26" s="589"/>
      <c r="AF26" s="589"/>
      <c r="AG26" s="589"/>
      <c r="AH26" s="589"/>
      <c r="AI26" s="589"/>
      <c r="AJ26" s="156"/>
      <c r="AK26" s="1030"/>
      <c r="AL26" s="1030"/>
      <c r="AM26" s="761"/>
      <c r="AN26" s="761"/>
      <c r="AO26" s="759"/>
      <c r="AP26" s="603"/>
      <c r="AQ26" s="1032"/>
      <c r="AR26" s="1032"/>
      <c r="AS26" s="770"/>
      <c r="AT26" s="770"/>
      <c r="AU26" s="770"/>
      <c r="AV26" s="602"/>
      <c r="AW26" s="1040"/>
      <c r="AX26" s="516"/>
      <c r="AY26" s="516"/>
      <c r="AZ26" s="516"/>
      <c r="BA26" s="516"/>
      <c r="BB26" s="602"/>
      <c r="BC26" s="514"/>
      <c r="BD26" s="514"/>
      <c r="BE26" s="180"/>
      <c r="BF26" s="180"/>
      <c r="BG26" s="186"/>
      <c r="BL26" s="119"/>
    </row>
    <row r="27" spans="1:64" ht="24" customHeight="1" x14ac:dyDescent="0.35">
      <c r="A27" s="1019"/>
      <c r="B27" s="1018">
        <v>2011</v>
      </c>
      <c r="C27" s="1014">
        <v>17</v>
      </c>
      <c r="D27" s="106">
        <v>45.7</v>
      </c>
      <c r="E27" s="588">
        <v>5</v>
      </c>
      <c r="F27" s="588">
        <v>6</v>
      </c>
      <c r="G27" s="588">
        <v>7</v>
      </c>
      <c r="H27" s="588">
        <v>8</v>
      </c>
      <c r="I27" s="588">
        <v>9</v>
      </c>
      <c r="J27" s="588">
        <v>10</v>
      </c>
      <c r="K27" s="588">
        <v>11</v>
      </c>
      <c r="L27" s="588">
        <v>12</v>
      </c>
      <c r="M27" s="588">
        <v>13</v>
      </c>
      <c r="N27" s="588">
        <v>14</v>
      </c>
      <c r="O27" s="588">
        <v>15</v>
      </c>
      <c r="P27" s="588">
        <v>16</v>
      </c>
      <c r="Q27" s="588">
        <v>17</v>
      </c>
      <c r="R27" s="588">
        <v>18</v>
      </c>
      <c r="S27" s="588">
        <v>19</v>
      </c>
      <c r="T27" s="588">
        <v>20</v>
      </c>
      <c r="U27" s="588">
        <v>21</v>
      </c>
      <c r="V27" s="588">
        <v>22</v>
      </c>
      <c r="W27" s="588">
        <v>23</v>
      </c>
      <c r="X27" s="588">
        <v>24</v>
      </c>
      <c r="Y27" s="112">
        <v>1</v>
      </c>
      <c r="Z27" s="112">
        <v>2</v>
      </c>
      <c r="AA27" s="588">
        <v>3</v>
      </c>
      <c r="AB27" s="588">
        <v>4</v>
      </c>
      <c r="AC27" s="588">
        <v>5</v>
      </c>
      <c r="AD27" s="588">
        <v>6</v>
      </c>
      <c r="AE27" s="588">
        <v>7</v>
      </c>
      <c r="AF27" s="588">
        <v>8</v>
      </c>
      <c r="AG27" s="588">
        <v>9</v>
      </c>
      <c r="AH27" s="588">
        <v>10</v>
      </c>
      <c r="AI27" s="588">
        <v>11</v>
      </c>
      <c r="AJ27" s="155">
        <f>SUM(D28:AI28)</f>
        <v>26</v>
      </c>
      <c r="AK27" s="1029">
        <f>12.56+30.61</f>
        <v>43.17</v>
      </c>
      <c r="AL27" s="1029"/>
      <c r="AM27" s="762"/>
      <c r="AN27" s="762">
        <v>3</v>
      </c>
      <c r="AO27" s="759" t="str">
        <f t="shared" si="0"/>
        <v>0</v>
      </c>
      <c r="AP27" s="603">
        <f>IFERROR(AK27/AO27,0)</f>
        <v>0</v>
      </c>
      <c r="AQ27" s="1031"/>
      <c r="AR27" s="1031"/>
      <c r="AS27" s="769"/>
      <c r="AT27" s="769"/>
      <c r="AU27" s="769"/>
      <c r="AV27" s="601">
        <f>IFERROR(AQ27/AU27,0)</f>
        <v>0</v>
      </c>
      <c r="AW27" s="1039"/>
      <c r="AX27" s="515"/>
      <c r="AY27" s="515"/>
      <c r="AZ27" s="515"/>
      <c r="BA27" s="515" t="str">
        <f>IF(COUNT(AY27,AZ27)&lt;2, "0", AZ27 - AY27 )</f>
        <v>0</v>
      </c>
      <c r="BB27" s="601">
        <f>IFERROR(AW27/BA27,0)</f>
        <v>0</v>
      </c>
      <c r="BC27" s="513"/>
      <c r="BD27" s="513"/>
      <c r="BE27" s="179">
        <f>AK27+AQ27+AW27+BC27</f>
        <v>43.17</v>
      </c>
      <c r="BF27" s="179">
        <f>AL27+AR27+AX27+BD27</f>
        <v>0</v>
      </c>
      <c r="BG27" s="185">
        <v>17</v>
      </c>
      <c r="BL27" s="119"/>
    </row>
    <row r="28" spans="1:64" ht="24" customHeight="1" x14ac:dyDescent="0.35">
      <c r="A28" s="1019"/>
      <c r="B28" s="1018"/>
      <c r="C28" s="1015"/>
      <c r="D28" s="110"/>
      <c r="E28" s="589"/>
      <c r="F28" s="589"/>
      <c r="G28" s="589"/>
      <c r="H28" s="589"/>
      <c r="I28" s="589"/>
      <c r="J28" s="589"/>
      <c r="K28" s="589"/>
      <c r="L28" s="589"/>
      <c r="M28" s="589"/>
      <c r="N28" s="589"/>
      <c r="O28" s="589"/>
      <c r="P28" s="589"/>
      <c r="Q28" s="589"/>
      <c r="R28" s="589"/>
      <c r="S28" s="589"/>
      <c r="T28" s="589"/>
      <c r="U28" s="589"/>
      <c r="V28" s="589"/>
      <c r="W28" s="589"/>
      <c r="X28" s="589"/>
      <c r="Y28" s="589">
        <v>14</v>
      </c>
      <c r="Z28" s="589">
        <v>12</v>
      </c>
      <c r="AA28" s="589"/>
      <c r="AB28" s="589"/>
      <c r="AC28" s="589"/>
      <c r="AD28" s="589"/>
      <c r="AE28" s="589"/>
      <c r="AF28" s="589"/>
      <c r="AG28" s="589"/>
      <c r="AH28" s="589"/>
      <c r="AI28" s="589"/>
      <c r="AJ28" s="156"/>
      <c r="AK28" s="1030"/>
      <c r="AL28" s="1030"/>
      <c r="AM28" s="761"/>
      <c r="AN28" s="761"/>
      <c r="AO28" s="759"/>
      <c r="AP28" s="603"/>
      <c r="AQ28" s="1032"/>
      <c r="AR28" s="1032"/>
      <c r="AS28" s="770"/>
      <c r="AT28" s="770"/>
      <c r="AU28" s="770"/>
      <c r="AV28" s="602"/>
      <c r="AW28" s="1040"/>
      <c r="AX28" s="516"/>
      <c r="AY28" s="516"/>
      <c r="AZ28" s="516"/>
      <c r="BA28" s="516"/>
      <c r="BB28" s="602"/>
      <c r="BC28" s="514"/>
      <c r="BD28" s="514"/>
      <c r="BE28" s="180"/>
      <c r="BF28" s="180"/>
      <c r="BG28" s="186"/>
      <c r="BL28" s="119"/>
    </row>
    <row r="29" spans="1:64" ht="24" customHeight="1" x14ac:dyDescent="0.35">
      <c r="A29" s="1019"/>
      <c r="B29" s="1018">
        <v>2012</v>
      </c>
      <c r="C29" s="1014">
        <v>19</v>
      </c>
      <c r="D29" s="106">
        <v>50.6</v>
      </c>
      <c r="E29" s="588">
        <v>18</v>
      </c>
      <c r="F29" s="588">
        <v>19</v>
      </c>
      <c r="G29" s="588">
        <v>20</v>
      </c>
      <c r="H29" s="588">
        <v>21</v>
      </c>
      <c r="I29" s="588">
        <v>22</v>
      </c>
      <c r="J29" s="588">
        <v>23</v>
      </c>
      <c r="K29" s="588">
        <v>24</v>
      </c>
      <c r="L29" s="112">
        <v>1</v>
      </c>
      <c r="M29" s="112">
        <v>2</v>
      </c>
      <c r="N29" s="112">
        <v>3</v>
      </c>
      <c r="O29" s="588">
        <v>4</v>
      </c>
      <c r="P29" s="588">
        <v>5</v>
      </c>
      <c r="Q29" s="588">
        <v>6</v>
      </c>
      <c r="R29" s="588">
        <v>7</v>
      </c>
      <c r="S29" s="588">
        <v>8</v>
      </c>
      <c r="T29" s="588">
        <v>9</v>
      </c>
      <c r="U29" s="588">
        <v>10</v>
      </c>
      <c r="V29" s="588">
        <v>11</v>
      </c>
      <c r="W29" s="588">
        <v>12</v>
      </c>
      <c r="X29" s="588">
        <v>13</v>
      </c>
      <c r="Y29" s="588">
        <v>14</v>
      </c>
      <c r="Z29" s="588">
        <v>15</v>
      </c>
      <c r="AA29" s="588">
        <v>16</v>
      </c>
      <c r="AB29" s="588">
        <v>17</v>
      </c>
      <c r="AC29" s="588">
        <v>18</v>
      </c>
      <c r="AD29" s="588">
        <v>19</v>
      </c>
      <c r="AE29" s="113">
        <v>1</v>
      </c>
      <c r="AF29" s="113">
        <v>2</v>
      </c>
      <c r="AG29" s="588">
        <v>3</v>
      </c>
      <c r="AH29" s="588">
        <v>4</v>
      </c>
      <c r="AI29" s="588">
        <v>5</v>
      </c>
      <c r="AJ29" s="155">
        <f>SUM(D30:AI30)</f>
        <v>52</v>
      </c>
      <c r="AK29" s="1029">
        <f>16.54+23.51+16.17</f>
        <v>56.22</v>
      </c>
      <c r="AL29" s="1029"/>
      <c r="AM29" s="762"/>
      <c r="AN29" s="762">
        <v>3</v>
      </c>
      <c r="AO29" s="759" t="str">
        <f t="shared" si="0"/>
        <v>0</v>
      </c>
      <c r="AP29" s="603">
        <f>IFERROR(AK29/AO29,0)</f>
        <v>0</v>
      </c>
      <c r="AQ29" s="1031">
        <f>22.55+11.2</f>
        <v>33.75</v>
      </c>
      <c r="AR29" s="1031"/>
      <c r="AS29" s="769"/>
      <c r="AT29" s="769"/>
      <c r="AU29" s="769"/>
      <c r="AV29" s="601">
        <f>IFERROR(AQ29/AU29,0)</f>
        <v>0</v>
      </c>
      <c r="AW29" s="1039"/>
      <c r="AX29" s="515"/>
      <c r="AY29" s="515"/>
      <c r="AZ29" s="515"/>
      <c r="BA29" s="515" t="str">
        <f>IF(COUNT(AY29,AZ29)&lt;2, "0", AZ29 - AY29 )</f>
        <v>0</v>
      </c>
      <c r="BB29" s="601">
        <f>IFERROR(AW29/BA29,0)</f>
        <v>0</v>
      </c>
      <c r="BC29" s="513"/>
      <c r="BD29" s="513"/>
      <c r="BE29" s="179">
        <f>AK29+AQ29+AW29+BC29</f>
        <v>89.97</v>
      </c>
      <c r="BF29" s="179">
        <f>AL29+AR29+AX29+BD29</f>
        <v>0</v>
      </c>
      <c r="BG29" s="185">
        <v>19</v>
      </c>
      <c r="BL29" s="119"/>
    </row>
    <row r="30" spans="1:64" ht="24" customHeight="1" x14ac:dyDescent="0.35">
      <c r="A30" s="1019"/>
      <c r="B30" s="1018"/>
      <c r="C30" s="1015"/>
      <c r="D30" s="110"/>
      <c r="E30" s="589"/>
      <c r="F30" s="589"/>
      <c r="G30" s="589"/>
      <c r="H30" s="589"/>
      <c r="I30" s="589"/>
      <c r="J30" s="589"/>
      <c r="K30" s="589"/>
      <c r="L30" s="589">
        <v>15</v>
      </c>
      <c r="M30" s="589">
        <v>13</v>
      </c>
      <c r="N30" s="589">
        <v>5</v>
      </c>
      <c r="O30" s="589"/>
      <c r="P30" s="589"/>
      <c r="Q30" s="589"/>
      <c r="R30" s="589"/>
      <c r="S30" s="589"/>
      <c r="T30" s="589"/>
      <c r="U30" s="589"/>
      <c r="V30" s="589"/>
      <c r="W30" s="589"/>
      <c r="X30" s="589"/>
      <c r="Y30" s="589"/>
      <c r="Z30" s="589"/>
      <c r="AA30" s="589"/>
      <c r="AB30" s="589"/>
      <c r="AC30" s="589"/>
      <c r="AD30" s="589"/>
      <c r="AE30" s="589">
        <v>13</v>
      </c>
      <c r="AF30" s="589">
        <v>6</v>
      </c>
      <c r="AG30" s="589"/>
      <c r="AH30" s="588"/>
      <c r="AI30" s="589"/>
      <c r="AJ30" s="156"/>
      <c r="AK30" s="1030"/>
      <c r="AL30" s="1030"/>
      <c r="AM30" s="761"/>
      <c r="AN30" s="761"/>
      <c r="AO30" s="759"/>
      <c r="AP30" s="603"/>
      <c r="AQ30" s="1032"/>
      <c r="AR30" s="1032"/>
      <c r="AS30" s="770"/>
      <c r="AT30" s="770"/>
      <c r="AU30" s="770"/>
      <c r="AV30" s="602"/>
      <c r="AW30" s="1040"/>
      <c r="AX30" s="516"/>
      <c r="AY30" s="516"/>
      <c r="AZ30" s="516"/>
      <c r="BA30" s="516"/>
      <c r="BB30" s="602"/>
      <c r="BC30" s="514"/>
      <c r="BD30" s="514"/>
      <c r="BE30" s="180"/>
      <c r="BF30" s="180"/>
      <c r="BG30" s="186"/>
      <c r="BL30" s="119"/>
    </row>
    <row r="31" spans="1:64" x14ac:dyDescent="0.35">
      <c r="A31" s="1019"/>
      <c r="B31" s="1018">
        <v>2012</v>
      </c>
      <c r="C31" s="1014">
        <v>20</v>
      </c>
      <c r="D31" s="106">
        <v>62.1</v>
      </c>
      <c r="E31" s="588">
        <v>15</v>
      </c>
      <c r="F31" s="588">
        <v>16</v>
      </c>
      <c r="G31" s="588">
        <v>17</v>
      </c>
      <c r="H31" s="588">
        <v>18</v>
      </c>
      <c r="I31" s="588">
        <v>19</v>
      </c>
      <c r="J31" s="588">
        <v>20</v>
      </c>
      <c r="K31" s="588">
        <v>21</v>
      </c>
      <c r="L31" s="588">
        <v>22</v>
      </c>
      <c r="M31" s="588">
        <v>23</v>
      </c>
      <c r="N31" s="112">
        <v>1</v>
      </c>
      <c r="O31" s="112">
        <v>2</v>
      </c>
      <c r="P31" s="112">
        <v>3</v>
      </c>
      <c r="Q31" s="588">
        <v>4</v>
      </c>
      <c r="R31" s="112">
        <v>5</v>
      </c>
      <c r="S31" s="112">
        <v>6</v>
      </c>
      <c r="T31" s="588">
        <v>7</v>
      </c>
      <c r="U31" s="588">
        <v>8</v>
      </c>
      <c r="V31" s="588">
        <v>9</v>
      </c>
      <c r="W31" s="588">
        <v>10</v>
      </c>
      <c r="X31" s="588">
        <v>11</v>
      </c>
      <c r="Y31" s="588">
        <v>12</v>
      </c>
      <c r="Z31" s="588">
        <v>13</v>
      </c>
      <c r="AA31" s="588">
        <v>14</v>
      </c>
      <c r="AB31" s="588">
        <v>15</v>
      </c>
      <c r="AC31" s="588">
        <v>16</v>
      </c>
      <c r="AD31" s="588">
        <v>17</v>
      </c>
      <c r="AE31" s="588">
        <v>18</v>
      </c>
      <c r="AF31" s="113">
        <v>1</v>
      </c>
      <c r="AG31" s="113">
        <v>2</v>
      </c>
      <c r="AH31" s="113">
        <v>3</v>
      </c>
      <c r="AI31" s="588">
        <v>4</v>
      </c>
      <c r="AJ31" s="155">
        <f>SUM(D32:AI32)</f>
        <v>77</v>
      </c>
      <c r="AK31" s="1029">
        <f>8.44+29.3+25.84+20.61</f>
        <v>84.19</v>
      </c>
      <c r="AL31" s="1029"/>
      <c r="AM31" s="762"/>
      <c r="AN31" s="762">
        <v>3</v>
      </c>
      <c r="AO31" s="759" t="str">
        <f t="shared" si="0"/>
        <v>0</v>
      </c>
      <c r="AP31" s="603">
        <f>IFERROR(AK31/AO31,0)</f>
        <v>0</v>
      </c>
      <c r="AQ31" s="1031">
        <f>12.66+16.2+23.61</f>
        <v>52.47</v>
      </c>
      <c r="AR31" s="1031"/>
      <c r="AS31" s="769"/>
      <c r="AT31" s="769"/>
      <c r="AU31" s="769"/>
      <c r="AV31" s="601">
        <f>IFERROR(AQ31/AU31,0)</f>
        <v>0</v>
      </c>
      <c r="AW31" s="1039"/>
      <c r="AX31" s="515"/>
      <c r="AY31" s="515"/>
      <c r="AZ31" s="515"/>
      <c r="BA31" s="515" t="str">
        <f>IF(COUNT(AY31,AZ31)&lt;2, "0", AZ31 - AY31 )</f>
        <v>0</v>
      </c>
      <c r="BB31" s="601">
        <f>IFERROR(AW31/BA31,0)</f>
        <v>0</v>
      </c>
      <c r="BC31" s="513"/>
      <c r="BD31" s="513"/>
      <c r="BE31" s="179">
        <f>AK31+AQ31+AW31+BC31</f>
        <v>136.66</v>
      </c>
      <c r="BF31" s="179">
        <f>AL31+AR31+AX31+BD31</f>
        <v>0</v>
      </c>
      <c r="BG31" s="185">
        <v>20</v>
      </c>
      <c r="BL31" s="119"/>
    </row>
    <row r="32" spans="1:64" ht="24" customHeight="1" x14ac:dyDescent="0.35">
      <c r="A32" s="1019"/>
      <c r="B32" s="1018"/>
      <c r="C32" s="1015"/>
      <c r="D32" s="110"/>
      <c r="E32" s="589"/>
      <c r="F32" s="589"/>
      <c r="G32" s="589"/>
      <c r="H32" s="589"/>
      <c r="I32" s="589"/>
      <c r="J32" s="589"/>
      <c r="K32" s="589"/>
      <c r="L32" s="589"/>
      <c r="M32" s="589"/>
      <c r="N32" s="589">
        <v>9</v>
      </c>
      <c r="O32" s="589">
        <v>13</v>
      </c>
      <c r="P32" s="589">
        <v>13</v>
      </c>
      <c r="Q32" s="589"/>
      <c r="R32" s="589">
        <v>11</v>
      </c>
      <c r="S32" s="589">
        <v>6</v>
      </c>
      <c r="T32" s="589"/>
      <c r="U32" s="589"/>
      <c r="V32" s="589"/>
      <c r="W32" s="589"/>
      <c r="X32" s="589"/>
      <c r="Y32" s="589"/>
      <c r="Z32" s="589"/>
      <c r="AA32" s="589"/>
      <c r="AB32" s="589"/>
      <c r="AC32" s="589"/>
      <c r="AD32" s="589"/>
      <c r="AE32" s="589"/>
      <c r="AF32" s="589">
        <v>6</v>
      </c>
      <c r="AG32" s="589">
        <v>12</v>
      </c>
      <c r="AH32" s="589">
        <v>7</v>
      </c>
      <c r="AI32" s="589"/>
      <c r="AJ32" s="156"/>
      <c r="AK32" s="1030"/>
      <c r="AL32" s="1030"/>
      <c r="AM32" s="761"/>
      <c r="AN32" s="761"/>
      <c r="AO32" s="759"/>
      <c r="AP32" s="603"/>
      <c r="AQ32" s="1032"/>
      <c r="AR32" s="1032"/>
      <c r="AS32" s="770"/>
      <c r="AT32" s="770"/>
      <c r="AU32" s="770"/>
      <c r="AV32" s="602"/>
      <c r="AW32" s="1040"/>
      <c r="AX32" s="516"/>
      <c r="AY32" s="516"/>
      <c r="AZ32" s="516"/>
      <c r="BA32" s="516"/>
      <c r="BB32" s="602"/>
      <c r="BC32" s="514"/>
      <c r="BD32" s="514"/>
      <c r="BE32" s="180"/>
      <c r="BF32" s="180"/>
      <c r="BG32" s="186"/>
      <c r="BL32" s="119"/>
    </row>
    <row r="33" spans="1:64" ht="24" customHeight="1" x14ac:dyDescent="0.35">
      <c r="A33" s="1019"/>
      <c r="B33" s="1018">
        <v>2012</v>
      </c>
      <c r="C33" s="1014">
        <v>21</v>
      </c>
      <c r="D33" s="106">
        <v>72.2</v>
      </c>
      <c r="E33" s="588">
        <v>13</v>
      </c>
      <c r="F33" s="588">
        <v>14</v>
      </c>
      <c r="G33" s="588">
        <v>15</v>
      </c>
      <c r="H33" s="588">
        <v>16</v>
      </c>
      <c r="I33" s="588">
        <v>17</v>
      </c>
      <c r="J33" s="588">
        <v>18</v>
      </c>
      <c r="K33" s="588">
        <v>19</v>
      </c>
      <c r="L33" s="588">
        <v>20</v>
      </c>
      <c r="M33" s="588">
        <v>21</v>
      </c>
      <c r="N33" s="588">
        <v>22</v>
      </c>
      <c r="O33" s="588">
        <v>23</v>
      </c>
      <c r="P33" s="588">
        <v>24</v>
      </c>
      <c r="Q33" s="588">
        <v>25</v>
      </c>
      <c r="R33" s="588">
        <v>26</v>
      </c>
      <c r="S33" s="112">
        <v>1</v>
      </c>
      <c r="T33" s="112">
        <v>2</v>
      </c>
      <c r="U33" s="112">
        <v>3</v>
      </c>
      <c r="V33" s="112">
        <v>4</v>
      </c>
      <c r="W33" s="588">
        <v>5</v>
      </c>
      <c r="X33" s="588">
        <v>6</v>
      </c>
      <c r="Y33" s="588">
        <v>7</v>
      </c>
      <c r="Z33" s="588">
        <v>8</v>
      </c>
      <c r="AA33" s="588">
        <v>9</v>
      </c>
      <c r="AB33" s="588">
        <v>10</v>
      </c>
      <c r="AC33" s="588">
        <v>11</v>
      </c>
      <c r="AD33" s="588">
        <v>12</v>
      </c>
      <c r="AE33" s="588">
        <v>13</v>
      </c>
      <c r="AF33" s="588">
        <v>14</v>
      </c>
      <c r="AG33" s="588">
        <v>15</v>
      </c>
      <c r="AH33" s="113">
        <v>1</v>
      </c>
      <c r="AI33" s="113">
        <v>2</v>
      </c>
      <c r="AJ33" s="155">
        <f>SUM(D34:AI34)</f>
        <v>58</v>
      </c>
      <c r="AK33" s="1029">
        <f>21.86+27.37+29.61+22.46</f>
        <v>101.30000000000001</v>
      </c>
      <c r="AL33" s="1029"/>
      <c r="AM33" s="762"/>
      <c r="AN33" s="762">
        <v>5</v>
      </c>
      <c r="AO33" s="759" t="str">
        <f t="shared" si="0"/>
        <v>0</v>
      </c>
      <c r="AP33" s="603">
        <f>IFERROR(AK33/AO33,0)</f>
        <v>0</v>
      </c>
      <c r="AQ33" s="1031">
        <f>8.34+12.56</f>
        <v>20.9</v>
      </c>
      <c r="AR33" s="1031"/>
      <c r="AS33" s="769"/>
      <c r="AT33" s="769"/>
      <c r="AU33" s="769"/>
      <c r="AV33" s="601">
        <f>IFERROR(AQ33/AU33,0)</f>
        <v>0</v>
      </c>
      <c r="AW33" s="1039"/>
      <c r="AX33" s="515"/>
      <c r="AY33" s="515"/>
      <c r="AZ33" s="515"/>
      <c r="BA33" s="515" t="str">
        <f>IF(COUNT(AY33,AZ33)&lt;2, "0", AZ33 - AY33 )</f>
        <v>0</v>
      </c>
      <c r="BB33" s="601">
        <f>IFERROR(AW33/BA33,0)</f>
        <v>0</v>
      </c>
      <c r="BC33" s="513"/>
      <c r="BD33" s="513"/>
      <c r="BE33" s="179">
        <f>AK33+AQ33+AW33+BC33</f>
        <v>122.20000000000002</v>
      </c>
      <c r="BF33" s="179">
        <f>AL33+AR33+AX33+BD33</f>
        <v>0</v>
      </c>
      <c r="BG33" s="185">
        <v>21</v>
      </c>
      <c r="BL33" s="119"/>
    </row>
    <row r="34" spans="1:64" ht="24" customHeight="1" x14ac:dyDescent="0.35">
      <c r="A34" s="1019"/>
      <c r="B34" s="1018"/>
      <c r="C34" s="1015"/>
      <c r="D34" s="110"/>
      <c r="E34" s="589"/>
      <c r="F34" s="589"/>
      <c r="G34" s="589"/>
      <c r="H34" s="589"/>
      <c r="I34" s="589"/>
      <c r="J34" s="589"/>
      <c r="K34" s="589"/>
      <c r="L34" s="589"/>
      <c r="M34" s="589"/>
      <c r="N34" s="589"/>
      <c r="O34" s="589"/>
      <c r="P34" s="589"/>
      <c r="Q34" s="589"/>
      <c r="R34" s="589"/>
      <c r="S34" s="589">
        <v>7</v>
      </c>
      <c r="T34" s="589">
        <v>13</v>
      </c>
      <c r="U34" s="589">
        <v>13</v>
      </c>
      <c r="V34" s="589">
        <v>7</v>
      </c>
      <c r="W34" s="589"/>
      <c r="X34" s="589"/>
      <c r="Y34" s="589"/>
      <c r="Z34" s="589"/>
      <c r="AA34" s="589"/>
      <c r="AB34" s="589"/>
      <c r="AC34" s="589"/>
      <c r="AD34" s="589"/>
      <c r="AE34" s="589"/>
      <c r="AF34" s="589"/>
      <c r="AG34" s="589"/>
      <c r="AH34" s="589">
        <v>7</v>
      </c>
      <c r="AI34" s="589">
        <v>11</v>
      </c>
      <c r="AJ34" s="156"/>
      <c r="AK34" s="1030"/>
      <c r="AL34" s="1030"/>
      <c r="AM34" s="761"/>
      <c r="AN34" s="761"/>
      <c r="AO34" s="759"/>
      <c r="AP34" s="603"/>
      <c r="AQ34" s="1032"/>
      <c r="AR34" s="1032"/>
      <c r="AS34" s="770"/>
      <c r="AT34" s="770"/>
      <c r="AU34" s="770"/>
      <c r="AV34" s="602"/>
      <c r="AW34" s="1040"/>
      <c r="AX34" s="516"/>
      <c r="AY34" s="516"/>
      <c r="AZ34" s="516"/>
      <c r="BA34" s="516"/>
      <c r="BB34" s="602"/>
      <c r="BC34" s="514"/>
      <c r="BD34" s="514"/>
      <c r="BE34" s="180"/>
      <c r="BF34" s="180"/>
      <c r="BG34" s="186"/>
      <c r="BL34" s="119"/>
    </row>
    <row r="35" spans="1:64" ht="24" customHeight="1" x14ac:dyDescent="0.35">
      <c r="A35" s="1019"/>
      <c r="B35" s="1018">
        <v>2012</v>
      </c>
      <c r="C35" s="1014">
        <v>22</v>
      </c>
      <c r="D35" s="106">
        <v>52.3</v>
      </c>
      <c r="E35" s="588">
        <v>7</v>
      </c>
      <c r="F35" s="588">
        <v>8</v>
      </c>
      <c r="G35" s="588">
        <v>9</v>
      </c>
      <c r="H35" s="588">
        <v>10</v>
      </c>
      <c r="I35" s="588">
        <v>11</v>
      </c>
      <c r="J35" s="588">
        <v>12</v>
      </c>
      <c r="K35" s="588">
        <v>13</v>
      </c>
      <c r="L35" s="588">
        <v>14</v>
      </c>
      <c r="M35" s="588">
        <v>15</v>
      </c>
      <c r="N35" s="588">
        <v>16</v>
      </c>
      <c r="O35" s="588">
        <v>17</v>
      </c>
      <c r="P35" s="588">
        <v>18</v>
      </c>
      <c r="Q35" s="588">
        <v>19</v>
      </c>
      <c r="R35" s="588">
        <v>20</v>
      </c>
      <c r="S35" s="588">
        <v>21</v>
      </c>
      <c r="T35" s="588">
        <v>22</v>
      </c>
      <c r="U35" s="588">
        <v>23</v>
      </c>
      <c r="V35" s="112">
        <v>1</v>
      </c>
      <c r="W35" s="112">
        <v>2</v>
      </c>
      <c r="X35" s="112">
        <v>3</v>
      </c>
      <c r="Y35" s="588">
        <v>4</v>
      </c>
      <c r="Z35" s="588">
        <v>5</v>
      </c>
      <c r="AA35" s="588">
        <v>6</v>
      </c>
      <c r="AB35" s="588">
        <v>7</v>
      </c>
      <c r="AC35" s="588">
        <v>8</v>
      </c>
      <c r="AD35" s="588">
        <v>9</v>
      </c>
      <c r="AE35" s="588">
        <v>10</v>
      </c>
      <c r="AF35" s="588">
        <v>11</v>
      </c>
      <c r="AG35" s="588">
        <v>12</v>
      </c>
      <c r="AH35" s="588">
        <v>13</v>
      </c>
      <c r="AI35" s="588">
        <v>14</v>
      </c>
      <c r="AJ35" s="158">
        <f>SUM(D36:AI36)</f>
        <v>31</v>
      </c>
      <c r="AK35" s="1029">
        <f>8.55+12.06+40.43+3.41</f>
        <v>64.45</v>
      </c>
      <c r="AL35" s="1029"/>
      <c r="AM35" s="762"/>
      <c r="AN35" s="762">
        <v>3</v>
      </c>
      <c r="AO35" s="759" t="str">
        <f t="shared" si="0"/>
        <v>0</v>
      </c>
      <c r="AP35" s="603">
        <f>IFERROR(AK35/AO35,0)</f>
        <v>0</v>
      </c>
      <c r="AQ35" s="1031"/>
      <c r="AR35" s="1031"/>
      <c r="AS35" s="769"/>
      <c r="AT35" s="769"/>
      <c r="AU35" s="769"/>
      <c r="AV35" s="601">
        <f>IFERROR(AQ35/AU35,0)</f>
        <v>0</v>
      </c>
      <c r="AW35" s="1039"/>
      <c r="AX35" s="515"/>
      <c r="AY35" s="515"/>
      <c r="AZ35" s="515"/>
      <c r="BA35" s="515" t="str">
        <f>IF(COUNT(AY35,AZ35)&lt;2, "0", AZ35 - AY35 )</f>
        <v>0</v>
      </c>
      <c r="BB35" s="601">
        <f>IFERROR(AW35/BA35,0)</f>
        <v>0</v>
      </c>
      <c r="BC35" s="513"/>
      <c r="BD35" s="513"/>
      <c r="BE35" s="179">
        <f>AK35+AQ35+AW35+BC35</f>
        <v>64.45</v>
      </c>
      <c r="BF35" s="179">
        <f>AL35+AR35+AX35+BD35</f>
        <v>0</v>
      </c>
      <c r="BG35" s="185">
        <v>22</v>
      </c>
      <c r="BL35" s="119"/>
    </row>
    <row r="36" spans="1:64" ht="24" customHeight="1" x14ac:dyDescent="0.35">
      <c r="A36" s="1020"/>
      <c r="B36" s="1015"/>
      <c r="C36" s="1015"/>
      <c r="D36" s="110"/>
      <c r="E36" s="589"/>
      <c r="F36" s="589"/>
      <c r="G36" s="589"/>
      <c r="H36" s="589"/>
      <c r="I36" s="589"/>
      <c r="J36" s="589"/>
      <c r="K36" s="589"/>
      <c r="L36" s="589"/>
      <c r="M36" s="589"/>
      <c r="N36" s="589"/>
      <c r="O36" s="589"/>
      <c r="P36" s="589"/>
      <c r="Q36" s="589"/>
      <c r="R36" s="589"/>
      <c r="S36" s="589"/>
      <c r="T36" s="589"/>
      <c r="U36" s="589"/>
      <c r="V36" s="589">
        <v>7</v>
      </c>
      <c r="W36" s="589">
        <v>10</v>
      </c>
      <c r="X36" s="589">
        <v>14</v>
      </c>
      <c r="Y36" s="589"/>
      <c r="Z36" s="589"/>
      <c r="AA36" s="589"/>
      <c r="AB36" s="589"/>
      <c r="AC36" s="589"/>
      <c r="AD36" s="589"/>
      <c r="AE36" s="589"/>
      <c r="AF36" s="589"/>
      <c r="AG36" s="589"/>
      <c r="AH36" s="589"/>
      <c r="AI36" s="589"/>
      <c r="AJ36" s="159"/>
      <c r="AK36" s="1030"/>
      <c r="AL36" s="1030"/>
      <c r="AM36" s="761"/>
      <c r="AN36" s="761"/>
      <c r="AO36" s="759"/>
      <c r="AP36" s="603"/>
      <c r="AQ36" s="1032"/>
      <c r="AR36" s="1032"/>
      <c r="AS36" s="770"/>
      <c r="AT36" s="770"/>
      <c r="AU36" s="770"/>
      <c r="AV36" s="602"/>
      <c r="AW36" s="1040"/>
      <c r="AX36" s="516"/>
      <c r="AY36" s="516"/>
      <c r="AZ36" s="516"/>
      <c r="BA36" s="516"/>
      <c r="BB36" s="602"/>
      <c r="BC36" s="514"/>
      <c r="BD36" s="514"/>
      <c r="BE36" s="180"/>
      <c r="BF36" s="180"/>
      <c r="BG36" s="186"/>
      <c r="BL36" s="119"/>
    </row>
    <row r="37" spans="1:64" ht="24" customHeight="1" x14ac:dyDescent="0.35">
      <c r="A37" s="1019" t="s">
        <v>136</v>
      </c>
      <c r="B37" s="1014">
        <v>2010</v>
      </c>
      <c r="C37" s="1014">
        <v>8</v>
      </c>
      <c r="D37" s="106">
        <v>61.6</v>
      </c>
      <c r="E37" s="588">
        <v>6</v>
      </c>
      <c r="F37" s="588">
        <v>7</v>
      </c>
      <c r="G37" s="588">
        <v>8</v>
      </c>
      <c r="H37" s="588">
        <v>9</v>
      </c>
      <c r="I37" s="588">
        <v>10</v>
      </c>
      <c r="J37" s="588">
        <v>11</v>
      </c>
      <c r="K37" s="588">
        <v>12</v>
      </c>
      <c r="L37" s="588">
        <v>13</v>
      </c>
      <c r="M37" s="588">
        <v>14</v>
      </c>
      <c r="N37" s="588">
        <v>15</v>
      </c>
      <c r="O37" s="112">
        <v>1</v>
      </c>
      <c r="P37" s="112">
        <v>2</v>
      </c>
      <c r="Q37" s="588">
        <v>3</v>
      </c>
      <c r="R37" s="112">
        <v>4</v>
      </c>
      <c r="S37" s="588">
        <v>5</v>
      </c>
      <c r="T37" s="588">
        <v>6</v>
      </c>
      <c r="U37" s="588">
        <v>7</v>
      </c>
      <c r="V37" s="588">
        <v>8</v>
      </c>
      <c r="W37" s="588">
        <v>9</v>
      </c>
      <c r="X37" s="588">
        <v>10</v>
      </c>
      <c r="Y37" s="588">
        <v>11</v>
      </c>
      <c r="Z37" s="588">
        <v>12</v>
      </c>
      <c r="AA37" s="588">
        <v>13</v>
      </c>
      <c r="AB37" s="588">
        <v>14</v>
      </c>
      <c r="AC37" s="588">
        <v>15</v>
      </c>
      <c r="AD37" s="588">
        <v>16</v>
      </c>
      <c r="AE37" s="588">
        <v>17</v>
      </c>
      <c r="AF37" s="588">
        <v>18</v>
      </c>
      <c r="AG37" s="588">
        <v>19</v>
      </c>
      <c r="AH37" s="588">
        <v>20</v>
      </c>
      <c r="AI37" s="113">
        <v>1</v>
      </c>
      <c r="AJ37" s="158">
        <f>SUM(D38:AI38)</f>
        <v>37</v>
      </c>
      <c r="AK37" s="1029">
        <f>18.04+13.34+3.61+16.74+7.58</f>
        <v>59.31</v>
      </c>
      <c r="AL37" s="1029"/>
      <c r="AM37" s="762"/>
      <c r="AN37" s="762">
        <v>4</v>
      </c>
      <c r="AO37" s="759" t="str">
        <f t="shared" si="0"/>
        <v>0</v>
      </c>
      <c r="AP37" s="603">
        <f>IFERROR(AK37/AO37,0)</f>
        <v>0</v>
      </c>
      <c r="AQ37" s="1031">
        <f>7.63</f>
        <v>7.63</v>
      </c>
      <c r="AR37" s="1031"/>
      <c r="AS37" s="769"/>
      <c r="AT37" s="769"/>
      <c r="AU37" s="769"/>
      <c r="AV37" s="601">
        <f>IFERROR(AQ37/AU37,0)</f>
        <v>0</v>
      </c>
      <c r="AW37" s="1039"/>
      <c r="AX37" s="515"/>
      <c r="AY37" s="515"/>
      <c r="AZ37" s="515"/>
      <c r="BA37" s="515" t="str">
        <f>IF(COUNT(AY37,AZ37)&lt;2, "0", AZ37 - AY37 )</f>
        <v>0</v>
      </c>
      <c r="BB37" s="601">
        <f>IFERROR(AW37/BA37,0)</f>
        <v>0</v>
      </c>
      <c r="BC37" s="513"/>
      <c r="BD37" s="513"/>
      <c r="BE37" s="179">
        <f>AK37+AQ37+AW37+BC37</f>
        <v>66.94</v>
      </c>
      <c r="BF37" s="179">
        <f>AL37+AR37+AX37+BD37</f>
        <v>0</v>
      </c>
      <c r="BG37" s="183">
        <v>8</v>
      </c>
      <c r="BL37" s="119"/>
    </row>
    <row r="38" spans="1:64" ht="24" customHeight="1" x14ac:dyDescent="0.35">
      <c r="A38" s="1019"/>
      <c r="B38" s="1018"/>
      <c r="C38" s="1015"/>
      <c r="D38" s="110"/>
      <c r="E38" s="589"/>
      <c r="F38" s="589"/>
      <c r="G38" s="589"/>
      <c r="H38" s="589"/>
      <c r="I38" s="589"/>
      <c r="J38" s="589"/>
      <c r="K38" s="589"/>
      <c r="L38" s="589"/>
      <c r="M38" s="589"/>
      <c r="N38" s="589"/>
      <c r="O38" s="589">
        <v>10</v>
      </c>
      <c r="P38" s="589">
        <v>10</v>
      </c>
      <c r="Q38" s="589"/>
      <c r="R38" s="589">
        <v>10</v>
      </c>
      <c r="S38" s="589"/>
      <c r="T38" s="589"/>
      <c r="U38" s="589"/>
      <c r="V38" s="589"/>
      <c r="W38" s="589"/>
      <c r="X38" s="589"/>
      <c r="Y38" s="589"/>
      <c r="Z38" s="589"/>
      <c r="AA38" s="589"/>
      <c r="AB38" s="589"/>
      <c r="AC38" s="589"/>
      <c r="AD38" s="589"/>
      <c r="AE38" s="589"/>
      <c r="AF38" s="589"/>
      <c r="AG38" s="589"/>
      <c r="AH38" s="589"/>
      <c r="AI38" s="589">
        <v>7</v>
      </c>
      <c r="AJ38" s="159"/>
      <c r="AK38" s="1030"/>
      <c r="AL38" s="1030"/>
      <c r="AM38" s="761"/>
      <c r="AN38" s="761"/>
      <c r="AO38" s="759"/>
      <c r="AP38" s="603"/>
      <c r="AQ38" s="1032"/>
      <c r="AR38" s="1032"/>
      <c r="AS38" s="770"/>
      <c r="AT38" s="770"/>
      <c r="AU38" s="770"/>
      <c r="AV38" s="602"/>
      <c r="AW38" s="1040"/>
      <c r="AX38" s="516"/>
      <c r="AY38" s="516"/>
      <c r="AZ38" s="516"/>
      <c r="BA38" s="516"/>
      <c r="BB38" s="602"/>
      <c r="BC38" s="514"/>
      <c r="BD38" s="514"/>
      <c r="BE38" s="180"/>
      <c r="BF38" s="180"/>
      <c r="BG38" s="184"/>
      <c r="BL38" s="119"/>
    </row>
    <row r="39" spans="1:64" ht="24" customHeight="1" x14ac:dyDescent="0.35">
      <c r="A39" s="1019"/>
      <c r="B39" s="1018">
        <v>2010</v>
      </c>
      <c r="C39" s="1014">
        <v>9</v>
      </c>
      <c r="D39" s="106">
        <v>38.299999999999997</v>
      </c>
      <c r="E39" s="588">
        <v>4</v>
      </c>
      <c r="F39" s="588">
        <v>5</v>
      </c>
      <c r="G39" s="588">
        <v>6</v>
      </c>
      <c r="H39" s="588">
        <v>7</v>
      </c>
      <c r="I39" s="588">
        <v>8</v>
      </c>
      <c r="J39" s="588">
        <v>9</v>
      </c>
      <c r="K39" s="588">
        <v>10</v>
      </c>
      <c r="L39" s="588">
        <v>11</v>
      </c>
      <c r="M39" s="588">
        <v>12</v>
      </c>
      <c r="N39" s="588">
        <v>13</v>
      </c>
      <c r="O39" s="588">
        <v>14</v>
      </c>
      <c r="P39" s="588">
        <v>15</v>
      </c>
      <c r="Q39" s="588">
        <v>16</v>
      </c>
      <c r="R39" s="588">
        <v>17</v>
      </c>
      <c r="S39" s="112">
        <v>1</v>
      </c>
      <c r="T39" s="112">
        <v>2</v>
      </c>
      <c r="U39" s="588">
        <v>3</v>
      </c>
      <c r="V39" s="588">
        <v>4</v>
      </c>
      <c r="W39" s="588">
        <v>5</v>
      </c>
      <c r="X39" s="588">
        <v>6</v>
      </c>
      <c r="Y39" s="588">
        <v>7</v>
      </c>
      <c r="Z39" s="588">
        <v>8</v>
      </c>
      <c r="AA39" s="588">
        <v>9</v>
      </c>
      <c r="AB39" s="588">
        <v>10</v>
      </c>
      <c r="AC39" s="588">
        <v>11</v>
      </c>
      <c r="AD39" s="588">
        <v>12</v>
      </c>
      <c r="AE39" s="588">
        <v>13</v>
      </c>
      <c r="AF39" s="588">
        <v>14</v>
      </c>
      <c r="AG39" s="588">
        <v>15</v>
      </c>
      <c r="AH39" s="588">
        <v>16</v>
      </c>
      <c r="AI39" s="588">
        <v>17</v>
      </c>
      <c r="AJ39" s="158">
        <f>SUM(D40:AI40)</f>
        <v>18</v>
      </c>
      <c r="AK39" s="1029">
        <f>4.15+25.05+3.81</f>
        <v>33.010000000000005</v>
      </c>
      <c r="AL39" s="1029"/>
      <c r="AM39" s="762"/>
      <c r="AN39" s="762">
        <v>2</v>
      </c>
      <c r="AO39" s="759" t="str">
        <f>IF(COUNT(AM39,AN39)&lt;2, "0", AN39 - AM39 + 1)</f>
        <v>0</v>
      </c>
      <c r="AP39" s="603">
        <f>IFERROR(AK39/AO39,0)</f>
        <v>0</v>
      </c>
      <c r="AQ39" s="1031"/>
      <c r="AR39" s="1031"/>
      <c r="AS39" s="771"/>
      <c r="AT39" s="771"/>
      <c r="AU39" s="769"/>
      <c r="AV39" s="772">
        <f>IFERROR(AQ39/AU39,0)</f>
        <v>0</v>
      </c>
      <c r="AW39" s="1039"/>
      <c r="AX39" s="515"/>
      <c r="AY39" s="515"/>
      <c r="AZ39" s="515"/>
      <c r="BA39" s="515" t="str">
        <f>IF(COUNT(AY39,AZ39)&lt;2, "0", AZ39 - AY39 )</f>
        <v>0</v>
      </c>
      <c r="BB39" s="772">
        <f>IFERROR(AW39/BA39,0)</f>
        <v>0</v>
      </c>
      <c r="BC39" s="509"/>
      <c r="BD39" s="513"/>
      <c r="BE39" s="179">
        <f>AK39+AQ39+AW39+BC39</f>
        <v>33.010000000000005</v>
      </c>
      <c r="BF39" s="179">
        <f>AL39+AR39+AX39+BD39</f>
        <v>0</v>
      </c>
      <c r="BG39" s="183">
        <v>9</v>
      </c>
      <c r="BL39" s="119"/>
    </row>
    <row r="40" spans="1:64" ht="24" customHeight="1" x14ac:dyDescent="0.35">
      <c r="A40" s="1019"/>
      <c r="B40" s="1015"/>
      <c r="C40" s="1015"/>
      <c r="D40" s="121"/>
      <c r="E40" s="589"/>
      <c r="F40" s="589"/>
      <c r="G40" s="589"/>
      <c r="H40" s="589"/>
      <c r="I40" s="589"/>
      <c r="J40" s="589"/>
      <c r="K40" s="589"/>
      <c r="L40" s="589"/>
      <c r="M40" s="589"/>
      <c r="N40" s="589"/>
      <c r="O40" s="589"/>
      <c r="P40" s="589"/>
      <c r="Q40" s="589"/>
      <c r="R40" s="589"/>
      <c r="S40" s="589">
        <v>10</v>
      </c>
      <c r="T40" s="589">
        <v>8</v>
      </c>
      <c r="U40" s="589"/>
      <c r="V40" s="589"/>
      <c r="W40" s="589"/>
      <c r="X40" s="589"/>
      <c r="Y40" s="589"/>
      <c r="Z40" s="589"/>
      <c r="AA40" s="589"/>
      <c r="AB40" s="589"/>
      <c r="AC40" s="589"/>
      <c r="AD40" s="589"/>
      <c r="AE40" s="589"/>
      <c r="AF40" s="589"/>
      <c r="AG40" s="589"/>
      <c r="AH40" s="589"/>
      <c r="AI40" s="589"/>
      <c r="AJ40" s="159"/>
      <c r="AK40" s="1030"/>
      <c r="AL40" s="1030"/>
      <c r="AM40" s="761"/>
      <c r="AN40" s="761"/>
      <c r="AO40" s="759"/>
      <c r="AP40" s="603"/>
      <c r="AQ40" s="1032"/>
      <c r="AR40" s="1032"/>
      <c r="AS40" s="773"/>
      <c r="AT40" s="773"/>
      <c r="AU40" s="770"/>
      <c r="AV40" s="774"/>
      <c r="AW40" s="1040"/>
      <c r="AX40" s="516"/>
      <c r="AY40" s="516"/>
      <c r="AZ40" s="516"/>
      <c r="BA40" s="516"/>
      <c r="BB40" s="774"/>
      <c r="BC40" s="509"/>
      <c r="BD40" s="514"/>
      <c r="BE40" s="180"/>
      <c r="BF40" s="180"/>
      <c r="BG40" s="184"/>
      <c r="BL40" s="119"/>
    </row>
    <row r="41" spans="1:64" ht="24" customHeight="1" x14ac:dyDescent="0.35">
      <c r="A41" s="1019"/>
      <c r="B41" s="1014">
        <v>2010</v>
      </c>
      <c r="C41" s="1014">
        <v>12</v>
      </c>
      <c r="D41" s="106">
        <v>71</v>
      </c>
      <c r="E41" s="588">
        <v>2</v>
      </c>
      <c r="F41" s="112">
        <v>3</v>
      </c>
      <c r="G41" s="588">
        <v>4</v>
      </c>
      <c r="H41" s="112">
        <v>5</v>
      </c>
      <c r="I41" s="588">
        <v>6</v>
      </c>
      <c r="J41" s="588">
        <v>7</v>
      </c>
      <c r="K41" s="588">
        <v>8</v>
      </c>
      <c r="L41" s="588">
        <v>9</v>
      </c>
      <c r="M41" s="588">
        <v>10</v>
      </c>
      <c r="N41" s="588">
        <v>11</v>
      </c>
      <c r="O41" s="588">
        <v>12</v>
      </c>
      <c r="P41" s="588">
        <v>13</v>
      </c>
      <c r="Q41" s="588">
        <v>14</v>
      </c>
      <c r="R41" s="588">
        <v>15</v>
      </c>
      <c r="S41" s="588">
        <v>16</v>
      </c>
      <c r="T41" s="588">
        <v>17</v>
      </c>
      <c r="U41" s="588">
        <v>18</v>
      </c>
      <c r="V41" s="113">
        <v>1</v>
      </c>
      <c r="W41" s="113">
        <v>2</v>
      </c>
      <c r="X41" s="113">
        <v>3</v>
      </c>
      <c r="Y41" s="113">
        <v>4</v>
      </c>
      <c r="Z41" s="113">
        <v>5</v>
      </c>
      <c r="AA41" s="588">
        <v>6</v>
      </c>
      <c r="AB41" s="588">
        <v>7</v>
      </c>
      <c r="AC41" s="588">
        <v>8</v>
      </c>
      <c r="AD41" s="588">
        <v>9</v>
      </c>
      <c r="AE41" s="588">
        <v>10</v>
      </c>
      <c r="AF41" s="588">
        <v>11</v>
      </c>
      <c r="AG41" s="588">
        <v>12</v>
      </c>
      <c r="AH41" s="588">
        <v>13</v>
      </c>
      <c r="AI41" s="588">
        <v>14</v>
      </c>
      <c r="AJ41" s="155">
        <f>SUM(D42:AI42)</f>
        <v>51</v>
      </c>
      <c r="AK41" s="1029">
        <f>10.5+22.32+16.65</f>
        <v>49.47</v>
      </c>
      <c r="AL41" s="1029"/>
      <c r="AM41" s="762"/>
      <c r="AN41" s="762">
        <v>5</v>
      </c>
      <c r="AO41" s="759" t="str">
        <f t="shared" si="0"/>
        <v>0</v>
      </c>
      <c r="AP41" s="603">
        <f>IFERROR(AK41/AO41,0)</f>
        <v>0</v>
      </c>
      <c r="AQ41" s="1031">
        <f>10.3+11.83+14.44+7.34</f>
        <v>43.91</v>
      </c>
      <c r="AR41" s="1031"/>
      <c r="AS41" s="769"/>
      <c r="AT41" s="769"/>
      <c r="AU41" s="769"/>
      <c r="AV41" s="601">
        <f>IFERROR(AQ41/AU41,0)</f>
        <v>0</v>
      </c>
      <c r="AW41" s="1039"/>
      <c r="AX41" s="515"/>
      <c r="AY41" s="515"/>
      <c r="AZ41" s="515"/>
      <c r="BA41" s="515" t="str">
        <f>IF(COUNT(AY41,AZ41)&lt;2, "0", AZ41 - AY41 )</f>
        <v>0</v>
      </c>
      <c r="BB41" s="601">
        <f>IFERROR(AW41/BA41,0)</f>
        <v>0</v>
      </c>
      <c r="BC41" s="513"/>
      <c r="BD41" s="513"/>
      <c r="BE41" s="179">
        <f>AK41+AQ41+AW41+BC41</f>
        <v>93.38</v>
      </c>
      <c r="BF41" s="179">
        <f>AL41+AR41+AX41+BD41</f>
        <v>0</v>
      </c>
      <c r="BG41" s="183">
        <v>12</v>
      </c>
      <c r="BL41" s="119"/>
    </row>
    <row r="42" spans="1:64" ht="24" customHeight="1" x14ac:dyDescent="0.35">
      <c r="A42" s="1019"/>
      <c r="B42" s="1015"/>
      <c r="C42" s="1015"/>
      <c r="D42" s="110"/>
      <c r="E42" s="589"/>
      <c r="F42" s="589">
        <v>10</v>
      </c>
      <c r="G42" s="589"/>
      <c r="H42" s="589">
        <v>10</v>
      </c>
      <c r="I42" s="589"/>
      <c r="J42" s="589"/>
      <c r="K42" s="589"/>
      <c r="L42" s="589"/>
      <c r="M42" s="589"/>
      <c r="N42" s="589"/>
      <c r="O42" s="589"/>
      <c r="P42" s="589"/>
      <c r="Q42" s="589"/>
      <c r="R42" s="589"/>
      <c r="S42" s="589"/>
      <c r="T42" s="589"/>
      <c r="U42" s="589"/>
      <c r="V42" s="589">
        <v>7</v>
      </c>
      <c r="W42" s="589">
        <v>7</v>
      </c>
      <c r="X42" s="589">
        <v>7</v>
      </c>
      <c r="Y42" s="589">
        <v>7</v>
      </c>
      <c r="Z42" s="589">
        <v>3</v>
      </c>
      <c r="AA42" s="589"/>
      <c r="AB42" s="589"/>
      <c r="AC42" s="589"/>
      <c r="AD42" s="589"/>
      <c r="AE42" s="589"/>
      <c r="AF42" s="589"/>
      <c r="AG42" s="589"/>
      <c r="AH42" s="589"/>
      <c r="AI42" s="589"/>
      <c r="AJ42" s="156"/>
      <c r="AK42" s="1030"/>
      <c r="AL42" s="1030"/>
      <c r="AM42" s="761"/>
      <c r="AN42" s="761"/>
      <c r="AO42" s="759"/>
      <c r="AP42" s="603"/>
      <c r="AQ42" s="1032"/>
      <c r="AR42" s="1032"/>
      <c r="AS42" s="770"/>
      <c r="AT42" s="770"/>
      <c r="AU42" s="770"/>
      <c r="AV42" s="602"/>
      <c r="AW42" s="1040"/>
      <c r="AX42" s="516"/>
      <c r="AY42" s="516"/>
      <c r="AZ42" s="516"/>
      <c r="BA42" s="516"/>
      <c r="BB42" s="602"/>
      <c r="BC42" s="514"/>
      <c r="BD42" s="514"/>
      <c r="BE42" s="180"/>
      <c r="BF42" s="180"/>
      <c r="BG42" s="184"/>
    </row>
    <row r="43" spans="1:64" ht="24" customHeight="1" x14ac:dyDescent="0.35">
      <c r="A43" s="1019"/>
      <c r="B43" s="1014">
        <v>2011</v>
      </c>
      <c r="C43" s="1014">
        <v>10</v>
      </c>
      <c r="D43" s="106">
        <v>19.100000000000001</v>
      </c>
      <c r="E43" s="588">
        <v>2</v>
      </c>
      <c r="F43" s="588">
        <v>3</v>
      </c>
      <c r="G43" s="588">
        <v>4</v>
      </c>
      <c r="H43" s="588">
        <v>5</v>
      </c>
      <c r="I43" s="588">
        <v>6</v>
      </c>
      <c r="J43" s="588">
        <v>7</v>
      </c>
      <c r="K43" s="588">
        <v>8</v>
      </c>
      <c r="L43" s="588">
        <v>9</v>
      </c>
      <c r="M43" s="588">
        <v>10</v>
      </c>
      <c r="N43" s="588">
        <v>11</v>
      </c>
      <c r="O43" s="588">
        <v>12</v>
      </c>
      <c r="P43" s="588">
        <v>13</v>
      </c>
      <c r="Q43" s="588">
        <v>14</v>
      </c>
      <c r="R43" s="588">
        <v>15</v>
      </c>
      <c r="S43" s="588">
        <v>16</v>
      </c>
      <c r="T43" s="588">
        <v>17</v>
      </c>
      <c r="U43" s="112">
        <v>1</v>
      </c>
      <c r="V43" s="588">
        <v>2</v>
      </c>
      <c r="W43" s="588">
        <v>3</v>
      </c>
      <c r="X43" s="588">
        <v>4</v>
      </c>
      <c r="Y43" s="588">
        <v>5</v>
      </c>
      <c r="Z43" s="588">
        <v>6</v>
      </c>
      <c r="AA43" s="588">
        <v>7</v>
      </c>
      <c r="AB43" s="588">
        <v>8</v>
      </c>
      <c r="AC43" s="588">
        <v>9</v>
      </c>
      <c r="AD43" s="588">
        <v>10</v>
      </c>
      <c r="AE43" s="588">
        <v>11</v>
      </c>
      <c r="AF43" s="588">
        <v>12</v>
      </c>
      <c r="AG43" s="588">
        <v>13</v>
      </c>
      <c r="AH43" s="588">
        <v>14</v>
      </c>
      <c r="AI43" s="588">
        <v>15</v>
      </c>
      <c r="AJ43" s="158">
        <f>SUM(D44:AI44)</f>
        <v>8</v>
      </c>
      <c r="AK43" s="1029">
        <f>13.41</f>
        <v>13.41</v>
      </c>
      <c r="AL43" s="1029"/>
      <c r="AM43" s="762"/>
      <c r="AN43" s="762">
        <v>2</v>
      </c>
      <c r="AO43" s="759" t="str">
        <f t="shared" si="0"/>
        <v>0</v>
      </c>
      <c r="AP43" s="603">
        <f>IFERROR(AK43/AO43,0)</f>
        <v>0</v>
      </c>
      <c r="AQ43" s="1031"/>
      <c r="AR43" s="1031"/>
      <c r="AS43" s="769"/>
      <c r="AT43" s="769"/>
      <c r="AU43" s="769"/>
      <c r="AV43" s="601">
        <f>IFERROR(AQ43/AU43,0)</f>
        <v>0</v>
      </c>
      <c r="AW43" s="1039"/>
      <c r="AX43" s="515"/>
      <c r="AY43" s="515"/>
      <c r="AZ43" s="515"/>
      <c r="BA43" s="515" t="str">
        <f>IF(COUNT(AY43,AZ43)&lt;2, "0", AZ43 - AY43 )</f>
        <v>0</v>
      </c>
      <c r="BB43" s="601">
        <f>IFERROR(AW43/BA43,0)</f>
        <v>0</v>
      </c>
      <c r="BC43" s="513"/>
      <c r="BD43" s="513"/>
      <c r="BE43" s="179">
        <f>AK43+AQ43+AW43+BC43</f>
        <v>13.41</v>
      </c>
      <c r="BF43" s="179">
        <f>AL43+AR43+AX43+BD43</f>
        <v>0</v>
      </c>
      <c r="BG43" s="183">
        <v>10</v>
      </c>
    </row>
    <row r="44" spans="1:64" ht="24" customHeight="1" x14ac:dyDescent="0.35">
      <c r="A44" s="1019"/>
      <c r="B44" s="1015"/>
      <c r="C44" s="1015"/>
      <c r="D44" s="110"/>
      <c r="E44" s="589"/>
      <c r="F44" s="589"/>
      <c r="G44" s="589"/>
      <c r="H44" s="589"/>
      <c r="I44" s="589"/>
      <c r="J44" s="589"/>
      <c r="K44" s="589"/>
      <c r="L44" s="589"/>
      <c r="M44" s="589"/>
      <c r="N44" s="589"/>
      <c r="O44" s="589"/>
      <c r="P44" s="589"/>
      <c r="Q44" s="589"/>
      <c r="R44" s="589"/>
      <c r="S44" s="589"/>
      <c r="T44" s="589"/>
      <c r="U44" s="589">
        <v>8</v>
      </c>
      <c r="V44" s="589"/>
      <c r="W44" s="589"/>
      <c r="X44" s="589"/>
      <c r="Y44" s="589"/>
      <c r="Z44" s="589"/>
      <c r="AA44" s="589"/>
      <c r="AB44" s="589"/>
      <c r="AC44" s="589"/>
      <c r="AD44" s="589"/>
      <c r="AE44" s="589"/>
      <c r="AF44" s="589"/>
      <c r="AG44" s="589"/>
      <c r="AH44" s="589"/>
      <c r="AI44" s="589"/>
      <c r="AJ44" s="159"/>
      <c r="AK44" s="1030"/>
      <c r="AL44" s="1030"/>
      <c r="AM44" s="761"/>
      <c r="AN44" s="761"/>
      <c r="AO44" s="759"/>
      <c r="AP44" s="603"/>
      <c r="AQ44" s="1032"/>
      <c r="AR44" s="1032"/>
      <c r="AS44" s="770"/>
      <c r="AT44" s="770"/>
      <c r="AU44" s="770"/>
      <c r="AV44" s="602"/>
      <c r="AW44" s="1040"/>
      <c r="AX44" s="516"/>
      <c r="AY44" s="516"/>
      <c r="AZ44" s="516"/>
      <c r="BA44" s="516"/>
      <c r="BB44" s="602"/>
      <c r="BC44" s="514"/>
      <c r="BD44" s="514"/>
      <c r="BE44" s="180"/>
      <c r="BF44" s="180"/>
      <c r="BG44" s="184"/>
    </row>
    <row r="45" spans="1:64" ht="24" customHeight="1" x14ac:dyDescent="0.35">
      <c r="A45" s="1019"/>
      <c r="B45" s="1014">
        <v>2011</v>
      </c>
      <c r="C45" s="1014">
        <v>13</v>
      </c>
      <c r="D45" s="106">
        <v>60.8</v>
      </c>
      <c r="E45" s="588">
        <v>9</v>
      </c>
      <c r="F45" s="588">
        <v>10</v>
      </c>
      <c r="G45" s="588">
        <v>11</v>
      </c>
      <c r="H45" s="588">
        <v>12</v>
      </c>
      <c r="I45" s="588">
        <v>13</v>
      </c>
      <c r="J45" s="112">
        <v>1</v>
      </c>
      <c r="K45" s="588">
        <v>2</v>
      </c>
      <c r="L45" s="112">
        <v>3</v>
      </c>
      <c r="M45" s="112">
        <v>4</v>
      </c>
      <c r="N45" s="112">
        <v>5</v>
      </c>
      <c r="O45" s="588">
        <v>6</v>
      </c>
      <c r="P45" s="588">
        <v>7</v>
      </c>
      <c r="Q45" s="588">
        <v>8</v>
      </c>
      <c r="R45" s="588">
        <v>9</v>
      </c>
      <c r="S45" s="588">
        <v>10</v>
      </c>
      <c r="T45" s="588">
        <v>11</v>
      </c>
      <c r="U45" s="588">
        <v>12</v>
      </c>
      <c r="V45" s="588">
        <v>13</v>
      </c>
      <c r="W45" s="588">
        <v>14</v>
      </c>
      <c r="X45" s="588">
        <v>15</v>
      </c>
      <c r="Y45" s="588">
        <v>16</v>
      </c>
      <c r="Z45" s="588">
        <v>17</v>
      </c>
      <c r="AA45" s="588">
        <v>18</v>
      </c>
      <c r="AB45" s="588">
        <v>19</v>
      </c>
      <c r="AC45" s="113">
        <v>1</v>
      </c>
      <c r="AD45" s="113">
        <v>2</v>
      </c>
      <c r="AE45" s="113">
        <v>3</v>
      </c>
      <c r="AF45" s="113">
        <v>4</v>
      </c>
      <c r="AG45" s="113">
        <v>5</v>
      </c>
      <c r="AH45" s="113">
        <v>6</v>
      </c>
      <c r="AI45" s="588">
        <v>7</v>
      </c>
      <c r="AJ45" s="158">
        <f>SUM(D46:AI46)</f>
        <v>71</v>
      </c>
      <c r="AK45" s="1029">
        <f>3.8+12.7+19.26+15.35+8.47</f>
        <v>59.580000000000005</v>
      </c>
      <c r="AL45" s="1029"/>
      <c r="AM45" s="762"/>
      <c r="AN45" s="762">
        <v>3</v>
      </c>
      <c r="AO45" s="759" t="str">
        <f t="shared" si="0"/>
        <v>0</v>
      </c>
      <c r="AP45" s="603">
        <f>IFERROR(AK45/AO45,0)</f>
        <v>0</v>
      </c>
      <c r="AQ45" s="1031">
        <f>10.5+12.5+7.19+9.16+14.02</f>
        <v>53.370000000000005</v>
      </c>
      <c r="AR45" s="1031"/>
      <c r="AS45" s="769"/>
      <c r="AT45" s="769"/>
      <c r="AU45" s="769"/>
      <c r="AV45" s="601">
        <f>IFERROR(AQ45/AU45,0)</f>
        <v>0</v>
      </c>
      <c r="AW45" s="1039"/>
      <c r="AX45" s="515"/>
      <c r="AY45" s="515"/>
      <c r="AZ45" s="515"/>
      <c r="BA45" s="515" t="str">
        <f>IF(COUNT(AY45,AZ45)&lt;2, "0", AZ45 - AY45 )</f>
        <v>0</v>
      </c>
      <c r="BB45" s="601">
        <f>IFERROR(AW45/BA45,0)</f>
        <v>0</v>
      </c>
      <c r="BC45" s="513"/>
      <c r="BD45" s="513"/>
      <c r="BE45" s="179">
        <f>AK45+AQ45+AW45+BC45</f>
        <v>112.95000000000002</v>
      </c>
      <c r="BF45" s="179">
        <f>AL45+AR45+AX45+BD45</f>
        <v>0</v>
      </c>
      <c r="BG45" s="183">
        <v>13</v>
      </c>
    </row>
    <row r="46" spans="1:64" ht="24" customHeight="1" x14ac:dyDescent="0.35">
      <c r="A46" s="1019"/>
      <c r="B46" s="1015"/>
      <c r="C46" s="1015"/>
      <c r="D46" s="110"/>
      <c r="E46" s="589"/>
      <c r="F46" s="589"/>
      <c r="G46" s="589"/>
      <c r="H46" s="589"/>
      <c r="I46" s="589"/>
      <c r="J46" s="589">
        <v>5</v>
      </c>
      <c r="K46" s="589"/>
      <c r="L46" s="589">
        <v>10</v>
      </c>
      <c r="M46" s="589">
        <v>10</v>
      </c>
      <c r="N46" s="589">
        <v>10</v>
      </c>
      <c r="O46" s="589"/>
      <c r="P46" s="589"/>
      <c r="Q46" s="589"/>
      <c r="R46" s="589"/>
      <c r="S46" s="589"/>
      <c r="T46" s="589"/>
      <c r="U46" s="589"/>
      <c r="V46" s="589"/>
      <c r="W46" s="589"/>
      <c r="X46" s="589"/>
      <c r="Y46" s="589"/>
      <c r="Z46" s="589"/>
      <c r="AA46" s="589"/>
      <c r="AB46" s="589"/>
      <c r="AC46" s="589">
        <v>3</v>
      </c>
      <c r="AD46" s="589">
        <v>7</v>
      </c>
      <c r="AE46" s="589">
        <v>7</v>
      </c>
      <c r="AF46" s="589">
        <v>5</v>
      </c>
      <c r="AG46" s="589">
        <v>7</v>
      </c>
      <c r="AH46" s="589">
        <v>7</v>
      </c>
      <c r="AI46" s="589"/>
      <c r="AJ46" s="159"/>
      <c r="AK46" s="1030"/>
      <c r="AL46" s="1030"/>
      <c r="AM46" s="761"/>
      <c r="AN46" s="761"/>
      <c r="AO46" s="759"/>
      <c r="AP46" s="603"/>
      <c r="AQ46" s="1032"/>
      <c r="AR46" s="1032"/>
      <c r="AS46" s="770"/>
      <c r="AT46" s="770"/>
      <c r="AU46" s="770"/>
      <c r="AV46" s="602"/>
      <c r="AW46" s="1040"/>
      <c r="AX46" s="516"/>
      <c r="AY46" s="516"/>
      <c r="AZ46" s="516"/>
      <c r="BA46" s="516"/>
      <c r="BB46" s="602"/>
      <c r="BC46" s="514"/>
      <c r="BD46" s="514"/>
      <c r="BE46" s="180"/>
      <c r="BF46" s="180"/>
      <c r="BG46" s="184"/>
    </row>
    <row r="47" spans="1:64" ht="24" customHeight="1" x14ac:dyDescent="0.35">
      <c r="A47" s="1019"/>
      <c r="B47" s="1018">
        <v>2011</v>
      </c>
      <c r="C47" s="1014">
        <v>18</v>
      </c>
      <c r="D47" s="106">
        <v>40.799999999999997</v>
      </c>
      <c r="E47" s="588">
        <v>12</v>
      </c>
      <c r="F47" s="588">
        <v>13</v>
      </c>
      <c r="G47" s="588">
        <v>14</v>
      </c>
      <c r="H47" s="588">
        <v>15</v>
      </c>
      <c r="I47" s="112">
        <v>1</v>
      </c>
      <c r="J47" s="112">
        <v>2</v>
      </c>
      <c r="K47" s="588">
        <v>3</v>
      </c>
      <c r="L47" s="588">
        <v>4</v>
      </c>
      <c r="M47" s="588">
        <v>5</v>
      </c>
      <c r="N47" s="588">
        <v>6</v>
      </c>
      <c r="O47" s="588">
        <v>7</v>
      </c>
      <c r="P47" s="588">
        <v>8</v>
      </c>
      <c r="Q47" s="588">
        <v>9</v>
      </c>
      <c r="R47" s="588">
        <v>10</v>
      </c>
      <c r="S47" s="588">
        <v>11</v>
      </c>
      <c r="T47" s="588">
        <v>12</v>
      </c>
      <c r="U47" s="588">
        <v>13</v>
      </c>
      <c r="V47" s="588">
        <v>14</v>
      </c>
      <c r="W47" s="588">
        <v>15</v>
      </c>
      <c r="X47" s="588">
        <v>16</v>
      </c>
      <c r="Y47" s="588">
        <v>17</v>
      </c>
      <c r="Z47" s="113">
        <v>1</v>
      </c>
      <c r="AA47" s="113">
        <v>2</v>
      </c>
      <c r="AB47" s="113">
        <v>3</v>
      </c>
      <c r="AC47" s="113">
        <v>4</v>
      </c>
      <c r="AD47" s="588">
        <v>5</v>
      </c>
      <c r="AE47" s="588">
        <v>6</v>
      </c>
      <c r="AF47" s="588">
        <v>7</v>
      </c>
      <c r="AG47" s="588">
        <v>8</v>
      </c>
      <c r="AH47" s="588">
        <v>9</v>
      </c>
      <c r="AI47" s="588">
        <v>10</v>
      </c>
      <c r="AJ47" s="158">
        <f>SUM(D48:AI48)</f>
        <v>36</v>
      </c>
      <c r="AK47" s="1029">
        <f>22.14+15.72+7.35</f>
        <v>45.21</v>
      </c>
      <c r="AL47" s="1029"/>
      <c r="AM47" s="762"/>
      <c r="AN47" s="762">
        <v>3</v>
      </c>
      <c r="AO47" s="759" t="str">
        <f t="shared" si="0"/>
        <v>0</v>
      </c>
      <c r="AP47" s="603">
        <f>IFERROR(AK47/AO47,0)</f>
        <v>0</v>
      </c>
      <c r="AQ47" s="1031">
        <f>3.63+13.65+7.32+16.12</f>
        <v>40.72</v>
      </c>
      <c r="AR47" s="1031"/>
      <c r="AS47" s="769"/>
      <c r="AT47" s="769"/>
      <c r="AU47" s="769"/>
      <c r="AV47" s="601">
        <f>IFERROR(AQ47/AU47,0)</f>
        <v>0</v>
      </c>
      <c r="AW47" s="1039"/>
      <c r="AX47" s="515"/>
      <c r="AY47" s="515"/>
      <c r="AZ47" s="515"/>
      <c r="BA47" s="515" t="str">
        <f>IF(COUNT(AY47,AZ47)&lt;2, "0", AZ47 - AY47 )</f>
        <v>0</v>
      </c>
      <c r="BB47" s="601">
        <f>IFERROR(AW47/BA47,0)</f>
        <v>0</v>
      </c>
      <c r="BC47" s="513"/>
      <c r="BD47" s="513"/>
      <c r="BE47" s="179">
        <f>AK47+AQ47+AW47+BC47</f>
        <v>85.93</v>
      </c>
      <c r="BF47" s="179">
        <f>AL47+AR47+AX47+BD47</f>
        <v>0</v>
      </c>
      <c r="BG47" s="183">
        <v>18</v>
      </c>
    </row>
    <row r="48" spans="1:64" ht="24" customHeight="1" x14ac:dyDescent="0.35">
      <c r="A48" s="1020"/>
      <c r="B48" s="1015"/>
      <c r="C48" s="1015"/>
      <c r="D48" s="110"/>
      <c r="E48" s="589"/>
      <c r="F48" s="589"/>
      <c r="G48" s="589"/>
      <c r="H48" s="589"/>
      <c r="I48" s="589">
        <v>10</v>
      </c>
      <c r="J48" s="589">
        <v>5</v>
      </c>
      <c r="K48" s="589"/>
      <c r="L48" s="589"/>
      <c r="M48" s="589"/>
      <c r="N48" s="589"/>
      <c r="O48" s="589"/>
      <c r="P48" s="589"/>
      <c r="Q48" s="589"/>
      <c r="R48" s="589"/>
      <c r="S48" s="589"/>
      <c r="T48" s="589"/>
      <c r="U48" s="589"/>
      <c r="V48" s="589"/>
      <c r="W48" s="589"/>
      <c r="X48" s="589"/>
      <c r="Y48" s="589"/>
      <c r="Z48" s="589">
        <v>4</v>
      </c>
      <c r="AA48" s="589">
        <v>6</v>
      </c>
      <c r="AB48" s="589">
        <v>7</v>
      </c>
      <c r="AC48" s="589">
        <v>4</v>
      </c>
      <c r="AD48" s="589"/>
      <c r="AE48" s="589"/>
      <c r="AF48" s="589"/>
      <c r="AG48" s="589"/>
      <c r="AH48" s="589"/>
      <c r="AI48" s="589"/>
      <c r="AJ48" s="159"/>
      <c r="AK48" s="1030"/>
      <c r="AL48" s="1030"/>
      <c r="AM48" s="761"/>
      <c r="AN48" s="761"/>
      <c r="AO48" s="759"/>
      <c r="AP48" s="603"/>
      <c r="AQ48" s="1032"/>
      <c r="AR48" s="1032"/>
      <c r="AS48" s="770"/>
      <c r="AT48" s="770"/>
      <c r="AU48" s="770"/>
      <c r="AV48" s="602"/>
      <c r="AW48" s="1040"/>
      <c r="AX48" s="516"/>
      <c r="AY48" s="516"/>
      <c r="AZ48" s="516"/>
      <c r="BA48" s="516"/>
      <c r="BB48" s="602"/>
      <c r="BC48" s="514"/>
      <c r="BD48" s="514"/>
      <c r="BE48" s="180"/>
      <c r="BF48" s="180"/>
      <c r="BG48" s="184"/>
    </row>
    <row r="49" spans="1:59" ht="24" customHeight="1" x14ac:dyDescent="0.35">
      <c r="A49" s="1021" t="s">
        <v>96</v>
      </c>
      <c r="B49" s="1014">
        <v>2015</v>
      </c>
      <c r="C49" s="1014">
        <v>25</v>
      </c>
      <c r="D49" s="1014">
        <v>36.64</v>
      </c>
      <c r="E49" s="588">
        <v>11</v>
      </c>
      <c r="F49" s="588">
        <v>12</v>
      </c>
      <c r="G49" s="588">
        <v>13</v>
      </c>
      <c r="H49" s="588">
        <v>14</v>
      </c>
      <c r="I49" s="112">
        <v>1</v>
      </c>
      <c r="J49" s="112">
        <v>2</v>
      </c>
      <c r="K49" s="588">
        <v>3</v>
      </c>
      <c r="L49" s="112">
        <v>4</v>
      </c>
      <c r="M49" s="588">
        <v>5</v>
      </c>
      <c r="N49" s="588">
        <v>6</v>
      </c>
      <c r="O49" s="588">
        <v>7</v>
      </c>
      <c r="P49" s="588">
        <v>8</v>
      </c>
      <c r="Q49" s="588">
        <v>9</v>
      </c>
      <c r="R49" s="588">
        <v>10</v>
      </c>
      <c r="S49" s="588">
        <v>11</v>
      </c>
      <c r="T49" s="588">
        <v>12</v>
      </c>
      <c r="U49" s="588">
        <v>13</v>
      </c>
      <c r="V49" s="588">
        <v>14</v>
      </c>
      <c r="W49" s="588">
        <v>15</v>
      </c>
      <c r="X49" s="588">
        <v>16</v>
      </c>
      <c r="Y49" s="588">
        <v>17</v>
      </c>
      <c r="Z49" s="588">
        <v>18</v>
      </c>
      <c r="AA49" s="588">
        <v>19</v>
      </c>
      <c r="AB49" s="588">
        <v>20</v>
      </c>
      <c r="AC49" s="588">
        <v>21</v>
      </c>
      <c r="AD49" s="588">
        <v>22</v>
      </c>
      <c r="AE49" s="588">
        <v>23</v>
      </c>
      <c r="AF49" s="113">
        <v>1</v>
      </c>
      <c r="AG49" s="588">
        <v>2</v>
      </c>
      <c r="AH49" s="588">
        <v>3</v>
      </c>
      <c r="AI49" s="588">
        <v>4</v>
      </c>
      <c r="AJ49" s="155">
        <f>SUM(D50:AI50)</f>
        <v>24</v>
      </c>
      <c r="AK49" s="1029">
        <f>6.36+5.91</f>
        <v>12.27</v>
      </c>
      <c r="AL49" s="1029"/>
      <c r="AM49" s="762"/>
      <c r="AN49" s="762">
        <v>1</v>
      </c>
      <c r="AO49" s="759" t="str">
        <f t="shared" si="0"/>
        <v>0</v>
      </c>
      <c r="AP49" s="603">
        <f>IFERROR(AK49/AO49,0)</f>
        <v>0</v>
      </c>
      <c r="AQ49" s="1031">
        <f>5.99+3.44</f>
        <v>9.43</v>
      </c>
      <c r="AR49" s="1031"/>
      <c r="AS49" s="769"/>
      <c r="AT49" s="769"/>
      <c r="AU49" s="769"/>
      <c r="AV49" s="601">
        <f>IFERROR(AQ49/AU49,0)</f>
        <v>0</v>
      </c>
      <c r="AW49" s="800"/>
      <c r="AX49" s="515"/>
      <c r="AY49" s="515"/>
      <c r="AZ49" s="515"/>
      <c r="BA49" s="515" t="str">
        <f>IF(COUNT(AY49,AZ49)&lt;2, "0", AZ49 - AY49 )</f>
        <v>0</v>
      </c>
      <c r="BB49" s="601">
        <f>IFERROR(AW49/BA49,0)</f>
        <v>0</v>
      </c>
      <c r="BC49" s="513"/>
      <c r="BD49" s="513"/>
      <c r="BE49" s="179">
        <f>AK49+AQ49+AW49+BC49</f>
        <v>21.7</v>
      </c>
      <c r="BF49" s="179">
        <f>AL49+AR49+AX49+BD49</f>
        <v>0</v>
      </c>
      <c r="BG49" s="181">
        <v>25</v>
      </c>
    </row>
    <row r="50" spans="1:59" ht="24" customHeight="1" x14ac:dyDescent="0.35">
      <c r="A50" s="1019"/>
      <c r="B50" s="1018"/>
      <c r="C50" s="1015"/>
      <c r="D50" s="1015"/>
      <c r="E50" s="589"/>
      <c r="F50" s="589"/>
      <c r="G50" s="589"/>
      <c r="H50" s="589"/>
      <c r="I50" s="589">
        <v>3</v>
      </c>
      <c r="J50" s="589">
        <v>7</v>
      </c>
      <c r="K50" s="589"/>
      <c r="L50" s="589">
        <v>7</v>
      </c>
      <c r="M50" s="589"/>
      <c r="N50" s="589"/>
      <c r="O50" s="589"/>
      <c r="P50" s="589"/>
      <c r="Q50" s="589"/>
      <c r="R50" s="589"/>
      <c r="S50" s="589"/>
      <c r="T50" s="589"/>
      <c r="U50" s="589"/>
      <c r="V50" s="589"/>
      <c r="W50" s="589"/>
      <c r="X50" s="589"/>
      <c r="Y50" s="589"/>
      <c r="Z50" s="589"/>
      <c r="AA50" s="589"/>
      <c r="AB50" s="589"/>
      <c r="AC50" s="589"/>
      <c r="AD50" s="589"/>
      <c r="AE50" s="589"/>
      <c r="AF50" s="589">
        <v>7</v>
      </c>
      <c r="AG50" s="589"/>
      <c r="AH50" s="589"/>
      <c r="AI50" s="589"/>
      <c r="AJ50" s="156"/>
      <c r="AK50" s="1030"/>
      <c r="AL50" s="1030"/>
      <c r="AM50" s="761"/>
      <c r="AN50" s="761"/>
      <c r="AO50" s="759"/>
      <c r="AP50" s="603"/>
      <c r="AQ50" s="1032"/>
      <c r="AR50" s="1032"/>
      <c r="AS50" s="770"/>
      <c r="AT50" s="770"/>
      <c r="AU50" s="770"/>
      <c r="AV50" s="602"/>
      <c r="AW50" s="801"/>
      <c r="AX50" s="516"/>
      <c r="AY50" s="516"/>
      <c r="AZ50" s="516"/>
      <c r="BA50" s="516"/>
      <c r="BB50" s="602"/>
      <c r="BC50" s="514"/>
      <c r="BD50" s="514"/>
      <c r="BE50" s="180"/>
      <c r="BF50" s="180"/>
      <c r="BG50" s="182"/>
    </row>
    <row r="51" spans="1:59" ht="24" customHeight="1" x14ac:dyDescent="0.35">
      <c r="A51" s="1019"/>
      <c r="B51" s="1018"/>
      <c r="C51" s="1023" t="s">
        <v>7</v>
      </c>
      <c r="D51" s="1023">
        <v>22.75</v>
      </c>
      <c r="E51" s="112">
        <v>2</v>
      </c>
      <c r="F51" s="588">
        <v>3</v>
      </c>
      <c r="G51" s="588">
        <v>4</v>
      </c>
      <c r="H51" s="588">
        <v>5</v>
      </c>
      <c r="I51" s="588">
        <v>6</v>
      </c>
      <c r="J51" s="588">
        <v>7</v>
      </c>
      <c r="K51" s="588">
        <v>8</v>
      </c>
      <c r="L51" s="588">
        <v>9</v>
      </c>
      <c r="M51" s="588">
        <v>10</v>
      </c>
      <c r="N51" s="588">
        <v>11</v>
      </c>
      <c r="O51" s="588">
        <v>12</v>
      </c>
      <c r="P51" s="588">
        <v>13</v>
      </c>
      <c r="Q51" s="588">
        <v>14</v>
      </c>
      <c r="R51" s="588">
        <v>15</v>
      </c>
      <c r="S51" s="588">
        <v>16</v>
      </c>
      <c r="T51" s="588">
        <v>17</v>
      </c>
      <c r="U51" s="588">
        <v>18</v>
      </c>
      <c r="V51" s="588">
        <v>19</v>
      </c>
      <c r="W51" s="588">
        <v>20</v>
      </c>
      <c r="X51" s="588">
        <v>21</v>
      </c>
      <c r="Y51" s="113">
        <v>1</v>
      </c>
      <c r="Z51" s="113">
        <v>2</v>
      </c>
      <c r="AA51" s="588">
        <v>3</v>
      </c>
      <c r="AB51" s="588">
        <v>4</v>
      </c>
      <c r="AC51" s="588">
        <v>5</v>
      </c>
      <c r="AD51" s="588">
        <v>6</v>
      </c>
      <c r="AE51" s="588">
        <v>7</v>
      </c>
      <c r="AF51" s="588">
        <v>8</v>
      </c>
      <c r="AG51" s="588">
        <v>9</v>
      </c>
      <c r="AH51" s="588">
        <v>10</v>
      </c>
      <c r="AI51" s="588">
        <v>11</v>
      </c>
      <c r="AJ51" s="155">
        <f>SUM(D52:AI52)</f>
        <v>21</v>
      </c>
      <c r="AK51" s="1029">
        <f>10.02</f>
        <v>10.02</v>
      </c>
      <c r="AL51" s="1029"/>
      <c r="AM51" s="762"/>
      <c r="AN51" s="762">
        <v>4</v>
      </c>
      <c r="AO51" s="759" t="str">
        <f t="shared" si="0"/>
        <v>0</v>
      </c>
      <c r="AP51" s="603">
        <f>IFERROR(AK51/AO51,0)</f>
        <v>0</v>
      </c>
      <c r="AQ51" s="1031">
        <f>3.77+10.12+4.34</f>
        <v>18.229999999999997</v>
      </c>
      <c r="AR51" s="1031"/>
      <c r="AS51" s="769"/>
      <c r="AT51" s="769"/>
      <c r="AU51" s="769"/>
      <c r="AV51" s="601">
        <f>IFERROR(AQ51/AU51,0)</f>
        <v>0</v>
      </c>
      <c r="AW51" s="1039"/>
      <c r="AX51" s="515"/>
      <c r="AY51" s="515"/>
      <c r="AZ51" s="515"/>
      <c r="BA51" s="515" t="str">
        <f>IF(COUNT(AY51,AZ51)&lt;2, "0", AZ51 - AY51 )</f>
        <v>0</v>
      </c>
      <c r="BB51" s="601">
        <f>IFERROR(AW51/BA51,0)</f>
        <v>0</v>
      </c>
      <c r="BC51" s="518"/>
      <c r="BD51" s="513"/>
      <c r="BE51" s="179">
        <f>AK51+AQ51+AW51+BC51</f>
        <v>28.249999999999996</v>
      </c>
      <c r="BF51" s="179">
        <f>AL51+AR51+AX51+BD51</f>
        <v>0</v>
      </c>
      <c r="BG51" s="181" t="s">
        <v>7</v>
      </c>
    </row>
    <row r="52" spans="1:59" ht="24" customHeight="1" x14ac:dyDescent="0.35">
      <c r="A52" s="1019"/>
      <c r="B52" s="1018"/>
      <c r="C52" s="1023"/>
      <c r="D52" s="1023"/>
      <c r="E52" s="589">
        <v>7</v>
      </c>
      <c r="F52" s="589"/>
      <c r="G52" s="589"/>
      <c r="H52" s="589"/>
      <c r="I52" s="589"/>
      <c r="J52" s="589"/>
      <c r="K52" s="589"/>
      <c r="L52" s="589"/>
      <c r="M52" s="589"/>
      <c r="N52" s="589"/>
      <c r="O52" s="589"/>
      <c r="P52" s="589"/>
      <c r="Q52" s="589"/>
      <c r="R52" s="589"/>
      <c r="S52" s="589"/>
      <c r="T52" s="589"/>
      <c r="U52" s="589"/>
      <c r="V52" s="589"/>
      <c r="W52" s="589"/>
      <c r="X52" s="589"/>
      <c r="Y52" s="589">
        <v>7</v>
      </c>
      <c r="Z52" s="589">
        <v>7</v>
      </c>
      <c r="AA52" s="589"/>
      <c r="AB52" s="589"/>
      <c r="AC52" s="589"/>
      <c r="AD52" s="589"/>
      <c r="AE52" s="589"/>
      <c r="AF52" s="589"/>
      <c r="AG52" s="589"/>
      <c r="AH52" s="589"/>
      <c r="AI52" s="589"/>
      <c r="AJ52" s="156"/>
      <c r="AK52" s="1030"/>
      <c r="AL52" s="1030"/>
      <c r="AM52" s="761"/>
      <c r="AN52" s="761"/>
      <c r="AO52" s="759"/>
      <c r="AP52" s="603"/>
      <c r="AQ52" s="1032"/>
      <c r="AR52" s="1032"/>
      <c r="AS52" s="770"/>
      <c r="AT52" s="770"/>
      <c r="AU52" s="770"/>
      <c r="AV52" s="602"/>
      <c r="AW52" s="1040"/>
      <c r="AX52" s="516"/>
      <c r="AY52" s="516"/>
      <c r="AZ52" s="516"/>
      <c r="BA52" s="516"/>
      <c r="BB52" s="602"/>
      <c r="BC52" s="518"/>
      <c r="BD52" s="514"/>
      <c r="BE52" s="180"/>
      <c r="BF52" s="180"/>
      <c r="BG52" s="182"/>
    </row>
    <row r="53" spans="1:59" ht="24" customHeight="1" x14ac:dyDescent="0.35">
      <c r="A53" s="1019"/>
      <c r="B53" s="1018"/>
      <c r="C53" s="1014">
        <v>27</v>
      </c>
      <c r="D53" s="1014">
        <v>35.93</v>
      </c>
      <c r="E53" s="588">
        <v>13</v>
      </c>
      <c r="F53" s="588">
        <v>14</v>
      </c>
      <c r="G53" s="588">
        <v>15</v>
      </c>
      <c r="H53" s="112">
        <v>1</v>
      </c>
      <c r="I53" s="112">
        <v>2</v>
      </c>
      <c r="J53" s="588">
        <v>3</v>
      </c>
      <c r="K53" s="588">
        <v>4</v>
      </c>
      <c r="L53" s="588">
        <v>5</v>
      </c>
      <c r="M53" s="588">
        <v>6</v>
      </c>
      <c r="N53" s="588">
        <v>7</v>
      </c>
      <c r="O53" s="588">
        <v>8</v>
      </c>
      <c r="P53" s="588">
        <v>9</v>
      </c>
      <c r="Q53" s="588">
        <v>10</v>
      </c>
      <c r="R53" s="588">
        <v>11</v>
      </c>
      <c r="S53" s="588">
        <v>12</v>
      </c>
      <c r="T53" s="588">
        <v>13</v>
      </c>
      <c r="U53" s="588">
        <v>14</v>
      </c>
      <c r="V53" s="588">
        <v>15</v>
      </c>
      <c r="W53" s="588">
        <v>16</v>
      </c>
      <c r="X53" s="588">
        <v>17</v>
      </c>
      <c r="Y53" s="588">
        <v>18</v>
      </c>
      <c r="Z53" s="588">
        <v>19</v>
      </c>
      <c r="AA53" s="588">
        <v>20</v>
      </c>
      <c r="AB53" s="588">
        <v>21</v>
      </c>
      <c r="AC53" s="588">
        <v>22</v>
      </c>
      <c r="AD53" s="588">
        <v>23</v>
      </c>
      <c r="AE53" s="113">
        <v>1</v>
      </c>
      <c r="AF53" s="588">
        <v>2</v>
      </c>
      <c r="AG53" s="588">
        <v>3</v>
      </c>
      <c r="AH53" s="588">
        <v>4</v>
      </c>
      <c r="AI53" s="588">
        <v>5</v>
      </c>
      <c r="AJ53" s="155">
        <f>SUM(D54:AI54)</f>
        <v>18</v>
      </c>
      <c r="AK53" s="1029">
        <f>6.55+3.45</f>
        <v>10</v>
      </c>
      <c r="AL53" s="1029"/>
      <c r="AM53" s="762"/>
      <c r="AN53" s="762">
        <v>3</v>
      </c>
      <c r="AO53" s="759" t="str">
        <f t="shared" si="0"/>
        <v>0</v>
      </c>
      <c r="AP53" s="603">
        <f>IFERROR(AK53/AO53,0)</f>
        <v>0</v>
      </c>
      <c r="AQ53" s="1031">
        <f>6.51+2.49</f>
        <v>9</v>
      </c>
      <c r="AR53" s="1031"/>
      <c r="AS53" s="769"/>
      <c r="AT53" s="769"/>
      <c r="AU53" s="769"/>
      <c r="AV53" s="601">
        <f>IFERROR(AQ53/AU53,0)</f>
        <v>0</v>
      </c>
      <c r="AW53" s="1039"/>
      <c r="AX53" s="515"/>
      <c r="AY53" s="515"/>
      <c r="AZ53" s="515"/>
      <c r="BA53" s="515" t="str">
        <f>IF(COUNT(AY53,AZ53)&lt;2, "0", AZ53 - AY53 )</f>
        <v>0</v>
      </c>
      <c r="BB53" s="601">
        <f>IFERROR(AW53/BA53,0)</f>
        <v>0</v>
      </c>
      <c r="BC53" s="513"/>
      <c r="BD53" s="513"/>
      <c r="BE53" s="179">
        <f>AK53+AQ53+AW53+BC53</f>
        <v>19</v>
      </c>
      <c r="BF53" s="179">
        <f>AL53+AR53+AX53+BD53</f>
        <v>0</v>
      </c>
      <c r="BG53" s="181">
        <v>27</v>
      </c>
    </row>
    <row r="54" spans="1:59" ht="24" customHeight="1" x14ac:dyDescent="0.35">
      <c r="A54" s="1019"/>
      <c r="B54" s="1018"/>
      <c r="C54" s="1015"/>
      <c r="D54" s="1015"/>
      <c r="E54" s="589"/>
      <c r="F54" s="589"/>
      <c r="G54" s="589"/>
      <c r="H54" s="589">
        <v>7</v>
      </c>
      <c r="I54" s="589">
        <v>4</v>
      </c>
      <c r="J54" s="589"/>
      <c r="K54" s="589"/>
      <c r="L54" s="589"/>
      <c r="M54" s="589"/>
      <c r="N54" s="589"/>
      <c r="O54" s="589"/>
      <c r="P54" s="589"/>
      <c r="Q54" s="589"/>
      <c r="R54" s="589"/>
      <c r="S54" s="589"/>
      <c r="T54" s="589"/>
      <c r="U54" s="589"/>
      <c r="V54" s="589"/>
      <c r="W54" s="589"/>
      <c r="X54" s="589"/>
      <c r="Y54" s="589"/>
      <c r="Z54" s="589"/>
      <c r="AA54" s="589"/>
      <c r="AB54" s="589"/>
      <c r="AC54" s="589"/>
      <c r="AD54" s="589"/>
      <c r="AE54" s="589">
        <v>7</v>
      </c>
      <c r="AF54" s="589"/>
      <c r="AG54" s="589"/>
      <c r="AH54" s="589"/>
      <c r="AI54" s="589"/>
      <c r="AJ54" s="156"/>
      <c r="AK54" s="1030"/>
      <c r="AL54" s="1030"/>
      <c r="AM54" s="761"/>
      <c r="AN54" s="761"/>
      <c r="AO54" s="759"/>
      <c r="AP54" s="603"/>
      <c r="AQ54" s="1032"/>
      <c r="AR54" s="1032"/>
      <c r="AS54" s="770"/>
      <c r="AT54" s="770"/>
      <c r="AU54" s="770"/>
      <c r="AV54" s="602"/>
      <c r="AW54" s="1041"/>
      <c r="AX54" s="516"/>
      <c r="AY54" s="516"/>
      <c r="AZ54" s="516"/>
      <c r="BA54" s="516"/>
      <c r="BB54" s="602"/>
      <c r="BC54" s="514"/>
      <c r="BD54" s="514"/>
      <c r="BE54" s="180"/>
      <c r="BF54" s="180"/>
      <c r="BG54" s="182"/>
    </row>
    <row r="55" spans="1:59" ht="24" customHeight="1" x14ac:dyDescent="0.35">
      <c r="A55" s="1019"/>
      <c r="B55" s="1018"/>
      <c r="C55" s="1023">
        <v>28</v>
      </c>
      <c r="D55" s="1023">
        <v>25.54</v>
      </c>
      <c r="E55" s="588">
        <v>3</v>
      </c>
      <c r="F55" s="588">
        <v>4</v>
      </c>
      <c r="G55" s="588">
        <v>5</v>
      </c>
      <c r="H55" s="588">
        <v>6</v>
      </c>
      <c r="I55" s="588">
        <v>7</v>
      </c>
      <c r="J55" s="588">
        <v>8</v>
      </c>
      <c r="K55" s="588">
        <v>9</v>
      </c>
      <c r="L55" s="588">
        <v>10</v>
      </c>
      <c r="M55" s="588">
        <v>11</v>
      </c>
      <c r="N55" s="588">
        <v>12</v>
      </c>
      <c r="O55" s="588">
        <v>13</v>
      </c>
      <c r="P55" s="588">
        <v>14</v>
      </c>
      <c r="Q55" s="588">
        <v>15</v>
      </c>
      <c r="R55" s="588">
        <v>16</v>
      </c>
      <c r="S55" s="588">
        <v>17</v>
      </c>
      <c r="T55" s="588">
        <v>18</v>
      </c>
      <c r="U55" s="588">
        <v>19</v>
      </c>
      <c r="V55" s="112">
        <v>1</v>
      </c>
      <c r="W55" s="588">
        <v>2</v>
      </c>
      <c r="X55" s="112">
        <v>3</v>
      </c>
      <c r="Y55" s="588">
        <v>4</v>
      </c>
      <c r="Z55" s="588">
        <v>5</v>
      </c>
      <c r="AA55" s="588">
        <v>6</v>
      </c>
      <c r="AB55" s="588">
        <v>7</v>
      </c>
      <c r="AC55" s="588">
        <v>8</v>
      </c>
      <c r="AD55" s="588">
        <v>9</v>
      </c>
      <c r="AE55" s="588">
        <v>10</v>
      </c>
      <c r="AF55" s="588">
        <v>11</v>
      </c>
      <c r="AG55" s="588">
        <v>12</v>
      </c>
      <c r="AH55" s="588">
        <v>13</v>
      </c>
      <c r="AI55" s="588">
        <v>14</v>
      </c>
      <c r="AJ55" s="155">
        <f>SUM(D56:AI56)</f>
        <v>14</v>
      </c>
      <c r="AK55" s="1029">
        <f>12.38+4.29+7.08</f>
        <v>23.75</v>
      </c>
      <c r="AL55" s="1029"/>
      <c r="AM55" s="762"/>
      <c r="AN55" s="762">
        <v>2</v>
      </c>
      <c r="AO55" s="759" t="str">
        <f t="shared" si="0"/>
        <v>0</v>
      </c>
      <c r="AP55" s="603">
        <f>IFERROR(AK55/AO55,0)</f>
        <v>0</v>
      </c>
      <c r="AQ55" s="1031"/>
      <c r="AR55" s="1031"/>
      <c r="AS55" s="769"/>
      <c r="AT55" s="769"/>
      <c r="AU55" s="769"/>
      <c r="AV55" s="601">
        <f>IFERROR(AQ55/AU55,0)</f>
        <v>0</v>
      </c>
      <c r="AW55" s="802"/>
      <c r="AX55" s="515"/>
      <c r="AY55" s="508"/>
      <c r="AZ55" s="515"/>
      <c r="BA55" s="508" t="str">
        <f>IF(COUNT(AY55,AZ55)&lt;2, "0", AZ55 - AY55 )</f>
        <v>0</v>
      </c>
      <c r="BB55" s="601">
        <f>IFERROR(AW55/BA55,0)</f>
        <v>0</v>
      </c>
      <c r="BC55" s="509"/>
      <c r="BD55" s="513"/>
      <c r="BE55" s="179">
        <f>AK55+AQ55+AW55+BC55</f>
        <v>23.75</v>
      </c>
      <c r="BF55" s="179">
        <f>AL55+AR55+AX55+BD55</f>
        <v>0</v>
      </c>
      <c r="BG55" s="181">
        <v>28</v>
      </c>
    </row>
    <row r="56" spans="1:59" ht="24" customHeight="1" x14ac:dyDescent="0.35">
      <c r="A56" s="1019"/>
      <c r="B56" s="1018"/>
      <c r="C56" s="1023"/>
      <c r="D56" s="1023"/>
      <c r="E56" s="589"/>
      <c r="F56" s="589"/>
      <c r="G56" s="589"/>
      <c r="H56" s="589"/>
      <c r="I56" s="589"/>
      <c r="J56" s="589"/>
      <c r="K56" s="589"/>
      <c r="L56" s="589"/>
      <c r="M56" s="589"/>
      <c r="N56" s="589"/>
      <c r="O56" s="589"/>
      <c r="P56" s="589"/>
      <c r="Q56" s="589"/>
      <c r="R56" s="589"/>
      <c r="S56" s="589"/>
      <c r="T56" s="589"/>
      <c r="U56" s="589"/>
      <c r="V56" s="589">
        <v>7</v>
      </c>
      <c r="W56" s="589"/>
      <c r="X56" s="589">
        <v>7</v>
      </c>
      <c r="Y56" s="589"/>
      <c r="Z56" s="589"/>
      <c r="AA56" s="589"/>
      <c r="AB56" s="589"/>
      <c r="AC56" s="589"/>
      <c r="AD56" s="589"/>
      <c r="AE56" s="589"/>
      <c r="AF56" s="589"/>
      <c r="AG56" s="589"/>
      <c r="AH56" s="589"/>
      <c r="AI56" s="589"/>
      <c r="AJ56" s="156"/>
      <c r="AK56" s="1033"/>
      <c r="AL56" s="1030"/>
      <c r="AM56" s="761"/>
      <c r="AN56" s="761"/>
      <c r="AO56" s="759"/>
      <c r="AP56" s="603"/>
      <c r="AQ56" s="1034"/>
      <c r="AR56" s="1032"/>
      <c r="AS56" s="770"/>
      <c r="AT56" s="770"/>
      <c r="AU56" s="770"/>
      <c r="AV56" s="602"/>
      <c r="AW56" s="802"/>
      <c r="AX56" s="516"/>
      <c r="AY56" s="508"/>
      <c r="AZ56" s="516"/>
      <c r="BA56" s="508"/>
      <c r="BB56" s="602"/>
      <c r="BC56" s="509"/>
      <c r="BD56" s="514"/>
      <c r="BE56" s="180"/>
      <c r="BF56" s="180"/>
      <c r="BG56" s="182"/>
    </row>
    <row r="57" spans="1:59" ht="24" customHeight="1" x14ac:dyDescent="0.35">
      <c r="A57" s="1019"/>
      <c r="B57" s="1018"/>
      <c r="C57" s="1014">
        <v>30</v>
      </c>
      <c r="D57" s="1014">
        <v>66.13</v>
      </c>
      <c r="E57" s="590">
        <v>5</v>
      </c>
      <c r="F57" s="590">
        <v>6</v>
      </c>
      <c r="G57" s="590">
        <v>7</v>
      </c>
      <c r="H57" s="590">
        <v>8</v>
      </c>
      <c r="I57" s="590">
        <v>9</v>
      </c>
      <c r="J57" s="590">
        <v>10</v>
      </c>
      <c r="K57" s="590">
        <v>11</v>
      </c>
      <c r="L57" s="590">
        <v>12</v>
      </c>
      <c r="M57" s="590">
        <v>13</v>
      </c>
      <c r="N57" s="590">
        <v>14</v>
      </c>
      <c r="O57" s="590">
        <v>15</v>
      </c>
      <c r="P57" s="590">
        <v>16</v>
      </c>
      <c r="Q57" s="590">
        <v>17</v>
      </c>
      <c r="R57" s="505">
        <v>1</v>
      </c>
      <c r="S57" s="505">
        <v>2</v>
      </c>
      <c r="T57" s="505">
        <v>3</v>
      </c>
      <c r="U57" s="590">
        <v>4</v>
      </c>
      <c r="V57" s="590">
        <v>5</v>
      </c>
      <c r="W57" s="590">
        <v>6</v>
      </c>
      <c r="X57" s="590">
        <v>7</v>
      </c>
      <c r="Y57" s="590">
        <v>8</v>
      </c>
      <c r="Z57" s="590">
        <v>9</v>
      </c>
      <c r="AA57" s="590">
        <v>10</v>
      </c>
      <c r="AB57" s="590">
        <v>11</v>
      </c>
      <c r="AC57" s="590">
        <v>12</v>
      </c>
      <c r="AD57" s="590">
        <v>13</v>
      </c>
      <c r="AE57" s="590">
        <v>14</v>
      </c>
      <c r="AF57" s="590">
        <v>15</v>
      </c>
      <c r="AG57" s="590">
        <v>16</v>
      </c>
      <c r="AH57" s="590">
        <v>17</v>
      </c>
      <c r="AI57" s="590">
        <v>18</v>
      </c>
      <c r="AJ57" s="155">
        <f>SUM(D58:AI58)</f>
        <v>17</v>
      </c>
      <c r="AK57" s="1029">
        <f>5.88+2.91+3.52</f>
        <v>12.309999999999999</v>
      </c>
      <c r="AL57" s="1029"/>
      <c r="AM57" s="762"/>
      <c r="AN57" s="762">
        <v>2</v>
      </c>
      <c r="AO57" s="759" t="str">
        <f t="shared" si="0"/>
        <v>0</v>
      </c>
      <c r="AP57" s="603">
        <f>IFERROR(AK57/AO57,0)</f>
        <v>0</v>
      </c>
      <c r="AQ57" s="1031"/>
      <c r="AR57" s="1031"/>
      <c r="AS57" s="771"/>
      <c r="AT57" s="771"/>
      <c r="AU57" s="769"/>
      <c r="AV57" s="772">
        <f>IFERROR(AQ57/AU57,0)</f>
        <v>0</v>
      </c>
      <c r="AW57" s="1039"/>
      <c r="AX57" s="515"/>
      <c r="AY57" s="517"/>
      <c r="AZ57" s="515"/>
      <c r="BA57" s="517" t="str">
        <f>IF(COUNT(AY57,AZ57)&lt;2, "0", AZ57 - AY57 )</f>
        <v>0</v>
      </c>
      <c r="BB57" s="772">
        <f>IFERROR(AW57/BA57,0)</f>
        <v>0</v>
      </c>
      <c r="BC57" s="513"/>
      <c r="BD57" s="513"/>
      <c r="BE57" s="179">
        <f>AK57+AQ57+AW57+BC57</f>
        <v>12.309999999999999</v>
      </c>
      <c r="BF57" s="179">
        <f>AL57+AR57+AX57+BD57</f>
        <v>0</v>
      </c>
      <c r="BG57" s="181">
        <v>30</v>
      </c>
    </row>
    <row r="58" spans="1:59" ht="24" customHeight="1" x14ac:dyDescent="0.35">
      <c r="A58" s="1019"/>
      <c r="B58" s="1018"/>
      <c r="C58" s="1015"/>
      <c r="D58" s="1015"/>
      <c r="E58" s="589"/>
      <c r="F58" s="589"/>
      <c r="G58" s="589"/>
      <c r="H58" s="589"/>
      <c r="I58" s="589"/>
      <c r="J58" s="589"/>
      <c r="K58" s="589"/>
      <c r="L58" s="589"/>
      <c r="M58" s="589"/>
      <c r="N58" s="589"/>
      <c r="O58" s="589"/>
      <c r="P58" s="589"/>
      <c r="Q58" s="589"/>
      <c r="R58" s="589">
        <v>3</v>
      </c>
      <c r="S58" s="589">
        <v>7</v>
      </c>
      <c r="T58" s="589">
        <v>7</v>
      </c>
      <c r="U58" s="589"/>
      <c r="V58" s="589"/>
      <c r="W58" s="589"/>
      <c r="X58" s="589"/>
      <c r="Y58" s="589"/>
      <c r="Z58" s="589"/>
      <c r="AA58" s="589"/>
      <c r="AB58" s="589"/>
      <c r="AC58" s="589"/>
      <c r="AD58" s="589"/>
      <c r="AE58" s="589"/>
      <c r="AF58" s="589"/>
      <c r="AG58" s="589"/>
      <c r="AH58" s="589"/>
      <c r="AI58" s="589"/>
      <c r="AJ58" s="156"/>
      <c r="AK58" s="1030"/>
      <c r="AL58" s="1030"/>
      <c r="AM58" s="761"/>
      <c r="AN58" s="761"/>
      <c r="AO58" s="759"/>
      <c r="AP58" s="603"/>
      <c r="AQ58" s="1032"/>
      <c r="AR58" s="1032"/>
      <c r="AS58" s="773"/>
      <c r="AT58" s="773"/>
      <c r="AU58" s="770"/>
      <c r="AV58" s="774"/>
      <c r="AW58" s="1040"/>
      <c r="AX58" s="516"/>
      <c r="AY58" s="517"/>
      <c r="AZ58" s="516"/>
      <c r="BA58" s="517"/>
      <c r="BB58" s="774"/>
      <c r="BC58" s="514"/>
      <c r="BD58" s="514"/>
      <c r="BE58" s="180"/>
      <c r="BF58" s="180"/>
      <c r="BG58" s="182"/>
    </row>
    <row r="59" spans="1:59" ht="24" customHeight="1" x14ac:dyDescent="0.35">
      <c r="A59" s="1019"/>
      <c r="B59" s="1018"/>
      <c r="C59" s="1014">
        <v>31</v>
      </c>
      <c r="D59" s="121">
        <v>34.08</v>
      </c>
      <c r="E59" s="590">
        <v>6</v>
      </c>
      <c r="F59" s="590">
        <v>7</v>
      </c>
      <c r="G59" s="590">
        <v>8</v>
      </c>
      <c r="H59" s="590">
        <v>9</v>
      </c>
      <c r="I59" s="590">
        <v>10</v>
      </c>
      <c r="J59" s="590">
        <v>11</v>
      </c>
      <c r="K59" s="590">
        <v>12</v>
      </c>
      <c r="L59" s="590">
        <v>13</v>
      </c>
      <c r="M59" s="590">
        <v>14</v>
      </c>
      <c r="N59" s="590">
        <v>15</v>
      </c>
      <c r="O59" s="590">
        <v>16</v>
      </c>
      <c r="P59" s="505">
        <v>1</v>
      </c>
      <c r="Q59" s="590">
        <v>2</v>
      </c>
      <c r="R59" s="505">
        <v>3</v>
      </c>
      <c r="S59" s="590">
        <v>4</v>
      </c>
      <c r="T59" s="590">
        <v>5</v>
      </c>
      <c r="U59" s="590">
        <v>6</v>
      </c>
      <c r="V59" s="590">
        <v>7</v>
      </c>
      <c r="W59" s="590">
        <v>8</v>
      </c>
      <c r="X59" s="590">
        <v>9</v>
      </c>
      <c r="Y59" s="590">
        <v>10</v>
      </c>
      <c r="Z59" s="590">
        <v>11</v>
      </c>
      <c r="AA59" s="590">
        <v>12</v>
      </c>
      <c r="AB59" s="590">
        <v>13</v>
      </c>
      <c r="AC59" s="590">
        <v>14</v>
      </c>
      <c r="AD59" s="590">
        <v>15</v>
      </c>
      <c r="AE59" s="590">
        <v>16</v>
      </c>
      <c r="AF59" s="590">
        <v>17</v>
      </c>
      <c r="AG59" s="590">
        <v>18</v>
      </c>
      <c r="AH59" s="590">
        <v>19</v>
      </c>
      <c r="AI59" s="590">
        <v>20</v>
      </c>
      <c r="AJ59" s="155">
        <f>SUM(D60:AI60)</f>
        <v>11</v>
      </c>
      <c r="AK59" s="1029">
        <f>7.3+6.72</f>
        <v>14.02</v>
      </c>
      <c r="AL59" s="1029"/>
      <c r="AM59" s="762"/>
      <c r="AN59" s="762">
        <v>2</v>
      </c>
      <c r="AO59" s="759" t="str">
        <f t="shared" si="0"/>
        <v>0</v>
      </c>
      <c r="AP59" s="603">
        <f>IFERROR(AK59/AO59,0)</f>
        <v>0</v>
      </c>
      <c r="AQ59" s="1031"/>
      <c r="AR59" s="1031"/>
      <c r="AS59" s="769"/>
      <c r="AT59" s="769"/>
      <c r="AU59" s="769"/>
      <c r="AV59" s="601">
        <f>IFERROR(AQ59/AU59,0)</f>
        <v>0</v>
      </c>
      <c r="AW59" s="1039"/>
      <c r="AX59" s="515"/>
      <c r="AY59" s="517"/>
      <c r="AZ59" s="515"/>
      <c r="BA59" s="517" t="str">
        <f>IF(COUNT(AY59,AZ59)&lt;2, "0", AZ59 - AY59 )</f>
        <v>0</v>
      </c>
      <c r="BB59" s="601">
        <f>IFERROR(AW59/BA59,0)</f>
        <v>0</v>
      </c>
      <c r="BC59" s="513"/>
      <c r="BD59" s="513"/>
      <c r="BE59" s="179">
        <f>AK59+AQ59+AW59+BC59</f>
        <v>14.02</v>
      </c>
      <c r="BF59" s="179">
        <f>AL59+AR59+AX59+BD59</f>
        <v>0</v>
      </c>
      <c r="BG59" s="181">
        <v>31</v>
      </c>
    </row>
    <row r="60" spans="1:59" ht="24" customHeight="1" x14ac:dyDescent="0.35">
      <c r="A60" s="1019"/>
      <c r="B60" s="1015"/>
      <c r="C60" s="1015"/>
      <c r="D60" s="110"/>
      <c r="E60" s="589"/>
      <c r="F60" s="589"/>
      <c r="G60" s="589"/>
      <c r="H60" s="589"/>
      <c r="I60" s="589"/>
      <c r="J60" s="589"/>
      <c r="K60" s="589"/>
      <c r="L60" s="589"/>
      <c r="M60" s="589"/>
      <c r="N60" s="589"/>
      <c r="O60" s="589"/>
      <c r="P60" s="589">
        <v>7</v>
      </c>
      <c r="Q60" s="589"/>
      <c r="R60" s="589">
        <v>4</v>
      </c>
      <c r="S60" s="589"/>
      <c r="T60" s="589"/>
      <c r="U60" s="589"/>
      <c r="V60" s="589"/>
      <c r="W60" s="589"/>
      <c r="X60" s="589"/>
      <c r="Y60" s="589"/>
      <c r="Z60" s="589"/>
      <c r="AA60" s="589"/>
      <c r="AB60" s="589"/>
      <c r="AC60" s="589"/>
      <c r="AD60" s="589"/>
      <c r="AE60" s="589"/>
      <c r="AF60" s="589"/>
      <c r="AG60" s="589"/>
      <c r="AH60" s="589"/>
      <c r="AI60" s="589"/>
      <c r="AJ60" s="156"/>
      <c r="AK60" s="1030"/>
      <c r="AL60" s="1030"/>
      <c r="AM60" s="761"/>
      <c r="AN60" s="761"/>
      <c r="AO60" s="759"/>
      <c r="AP60" s="603"/>
      <c r="AQ60" s="1032"/>
      <c r="AR60" s="1032"/>
      <c r="AS60" s="770"/>
      <c r="AT60" s="770"/>
      <c r="AU60" s="770"/>
      <c r="AV60" s="602"/>
      <c r="AW60" s="1040"/>
      <c r="AX60" s="516"/>
      <c r="AY60" s="517"/>
      <c r="AZ60" s="516"/>
      <c r="BA60" s="517"/>
      <c r="BB60" s="602"/>
      <c r="BC60" s="514"/>
      <c r="BD60" s="514"/>
      <c r="BE60" s="180"/>
      <c r="BF60" s="180"/>
      <c r="BG60" s="182"/>
    </row>
    <row r="61" spans="1:59" ht="24" customHeight="1" x14ac:dyDescent="0.35">
      <c r="A61" s="1019"/>
      <c r="B61" s="1014">
        <v>2016</v>
      </c>
      <c r="C61" s="1014">
        <v>33</v>
      </c>
      <c r="D61" s="121">
        <v>28.72</v>
      </c>
      <c r="E61" s="590">
        <v>7</v>
      </c>
      <c r="F61" s="590">
        <v>8</v>
      </c>
      <c r="G61" s="590">
        <v>9</v>
      </c>
      <c r="H61" s="590">
        <v>10</v>
      </c>
      <c r="I61" s="590">
        <v>11</v>
      </c>
      <c r="J61" s="590">
        <v>12</v>
      </c>
      <c r="K61" s="590">
        <v>13</v>
      </c>
      <c r="L61" s="590">
        <v>14</v>
      </c>
      <c r="M61" s="505">
        <v>1</v>
      </c>
      <c r="N61" s="505">
        <v>2</v>
      </c>
      <c r="O61" s="505">
        <v>3</v>
      </c>
      <c r="P61" s="590">
        <v>4</v>
      </c>
      <c r="Q61" s="590">
        <v>5</v>
      </c>
      <c r="R61" s="590">
        <v>6</v>
      </c>
      <c r="S61" s="590">
        <v>7</v>
      </c>
      <c r="T61" s="590">
        <v>8</v>
      </c>
      <c r="U61" s="590">
        <v>9</v>
      </c>
      <c r="V61" s="590">
        <v>10</v>
      </c>
      <c r="W61" s="590">
        <v>11</v>
      </c>
      <c r="X61" s="590">
        <v>12</v>
      </c>
      <c r="Y61" s="590">
        <v>13</v>
      </c>
      <c r="Z61" s="590">
        <v>14</v>
      </c>
      <c r="AA61" s="590">
        <v>15</v>
      </c>
      <c r="AB61" s="590">
        <v>16</v>
      </c>
      <c r="AC61" s="590">
        <v>17</v>
      </c>
      <c r="AD61" s="590">
        <v>18</v>
      </c>
      <c r="AE61" s="590">
        <v>19</v>
      </c>
      <c r="AF61" s="590">
        <v>20</v>
      </c>
      <c r="AG61" s="506">
        <v>1</v>
      </c>
      <c r="AH61" s="506">
        <v>2</v>
      </c>
      <c r="AI61" s="506">
        <v>3</v>
      </c>
      <c r="AJ61" s="155">
        <f>SUM(D62:AI62)</f>
        <v>42</v>
      </c>
      <c r="AK61" s="1029">
        <f>3.23+10.67+6.7+3.98</f>
        <v>24.580000000000002</v>
      </c>
      <c r="AL61" s="1029"/>
      <c r="AM61" s="762"/>
      <c r="AN61" s="762">
        <v>3</v>
      </c>
      <c r="AO61" s="759" t="str">
        <f t="shared" si="0"/>
        <v>0</v>
      </c>
      <c r="AP61" s="603">
        <f>IFERROR(AK61/AO61,0)</f>
        <v>0</v>
      </c>
      <c r="AQ61" s="1031">
        <f>7.88+7.3+10.26</f>
        <v>25.439999999999998</v>
      </c>
      <c r="AR61" s="1031"/>
      <c r="AS61" s="769"/>
      <c r="AT61" s="769"/>
      <c r="AU61" s="769"/>
      <c r="AV61" s="601">
        <f>IFERROR(AQ61/AU61,0)</f>
        <v>0</v>
      </c>
      <c r="AW61" s="1039"/>
      <c r="AX61" s="515"/>
      <c r="AY61" s="515"/>
      <c r="AZ61" s="515"/>
      <c r="BA61" s="515" t="str">
        <f>IF(COUNT(AY61,AZ61)&lt;2, "0", AZ61 - AY61 )</f>
        <v>0</v>
      </c>
      <c r="BB61" s="601">
        <f>IFERROR(AW61/BA61,0)</f>
        <v>0</v>
      </c>
      <c r="BC61" s="510"/>
      <c r="BD61" s="513"/>
      <c r="BE61" s="179">
        <f>AK61+AQ61+AW61+BC61</f>
        <v>50.019999999999996</v>
      </c>
      <c r="BF61" s="179">
        <f>AL61+AR61+AX61+BD61</f>
        <v>0</v>
      </c>
      <c r="BG61" s="181">
        <v>33</v>
      </c>
    </row>
    <row r="62" spans="1:59" ht="24" customHeight="1" x14ac:dyDescent="0.35">
      <c r="A62" s="1019"/>
      <c r="B62" s="1015"/>
      <c r="C62" s="1015"/>
      <c r="D62" s="110"/>
      <c r="E62" s="589"/>
      <c r="F62" s="589"/>
      <c r="G62" s="589"/>
      <c r="H62" s="589"/>
      <c r="I62" s="589"/>
      <c r="J62" s="589"/>
      <c r="K62" s="589"/>
      <c r="L62" s="589"/>
      <c r="M62" s="589">
        <v>7</v>
      </c>
      <c r="N62" s="589">
        <v>7</v>
      </c>
      <c r="O62" s="589">
        <v>7</v>
      </c>
      <c r="P62" s="589"/>
      <c r="Q62" s="589"/>
      <c r="R62" s="589"/>
      <c r="S62" s="589"/>
      <c r="T62" s="589"/>
      <c r="U62" s="589"/>
      <c r="V62" s="589"/>
      <c r="W62" s="589"/>
      <c r="X62" s="589"/>
      <c r="Y62" s="589"/>
      <c r="Z62" s="589"/>
      <c r="AA62" s="589"/>
      <c r="AB62" s="589"/>
      <c r="AC62" s="589"/>
      <c r="AD62" s="589"/>
      <c r="AE62" s="589"/>
      <c r="AF62" s="589"/>
      <c r="AG62" s="589">
        <v>7</v>
      </c>
      <c r="AH62" s="589">
        <v>7</v>
      </c>
      <c r="AI62" s="589">
        <v>7</v>
      </c>
      <c r="AJ62" s="156"/>
      <c r="AK62" s="1030"/>
      <c r="AL62" s="1030"/>
      <c r="AM62" s="761"/>
      <c r="AN62" s="761"/>
      <c r="AO62" s="759"/>
      <c r="AP62" s="603"/>
      <c r="AQ62" s="1032"/>
      <c r="AR62" s="1032"/>
      <c r="AS62" s="770"/>
      <c r="AT62" s="770"/>
      <c r="AU62" s="770"/>
      <c r="AV62" s="602"/>
      <c r="AW62" s="1040"/>
      <c r="AX62" s="516"/>
      <c r="AY62" s="516"/>
      <c r="AZ62" s="516"/>
      <c r="BA62" s="516"/>
      <c r="BB62" s="602"/>
      <c r="BC62" s="122"/>
      <c r="BD62" s="514"/>
      <c r="BE62" s="180"/>
      <c r="BF62" s="180"/>
      <c r="BG62" s="182"/>
    </row>
    <row r="63" spans="1:59" ht="24" customHeight="1" x14ac:dyDescent="0.35">
      <c r="A63" s="1019"/>
      <c r="B63" s="1038">
        <v>2016</v>
      </c>
      <c r="C63" s="1027">
        <v>39</v>
      </c>
      <c r="D63" s="106">
        <v>1.48</v>
      </c>
      <c r="E63" s="588">
        <v>4</v>
      </c>
      <c r="F63" s="588">
        <v>5</v>
      </c>
      <c r="G63" s="588">
        <v>6</v>
      </c>
      <c r="H63" s="588">
        <v>7</v>
      </c>
      <c r="I63" s="588">
        <v>8</v>
      </c>
      <c r="J63" s="588">
        <v>9</v>
      </c>
      <c r="K63" s="588">
        <v>10</v>
      </c>
      <c r="L63" s="588">
        <v>11</v>
      </c>
      <c r="M63" s="588">
        <v>12</v>
      </c>
      <c r="N63" s="588">
        <v>13</v>
      </c>
      <c r="O63" s="588">
        <v>14</v>
      </c>
      <c r="P63" s="588">
        <v>15</v>
      </c>
      <c r="Q63" s="588">
        <v>16</v>
      </c>
      <c r="R63" s="588">
        <v>17</v>
      </c>
      <c r="S63" s="588">
        <v>18</v>
      </c>
      <c r="T63" s="588">
        <v>19</v>
      </c>
      <c r="U63" s="112">
        <v>1</v>
      </c>
      <c r="V63" s="588">
        <v>2</v>
      </c>
      <c r="W63" s="588">
        <v>3</v>
      </c>
      <c r="X63" s="588">
        <v>4</v>
      </c>
      <c r="Y63" s="588">
        <v>5</v>
      </c>
      <c r="Z63" s="588">
        <v>6</v>
      </c>
      <c r="AA63" s="588">
        <v>7</v>
      </c>
      <c r="AB63" s="588">
        <v>8</v>
      </c>
      <c r="AC63" s="588">
        <v>9</v>
      </c>
      <c r="AD63" s="588">
        <v>10</v>
      </c>
      <c r="AE63" s="588">
        <v>11</v>
      </c>
      <c r="AF63" s="588">
        <v>12</v>
      </c>
      <c r="AG63" s="588">
        <v>13</v>
      </c>
      <c r="AH63" s="588">
        <v>14</v>
      </c>
      <c r="AI63" s="588">
        <v>15</v>
      </c>
      <c r="AJ63" s="155">
        <f>SUM(D64:AI64)</f>
        <v>7</v>
      </c>
      <c r="AK63" s="1029">
        <f>2.39</f>
        <v>2.39</v>
      </c>
      <c r="AL63" s="1029"/>
      <c r="AM63" s="762"/>
      <c r="AN63" s="762">
        <v>1</v>
      </c>
      <c r="AO63" s="759" t="str">
        <f t="shared" si="0"/>
        <v>0</v>
      </c>
      <c r="AP63" s="603">
        <f>IFERROR(AK63/AO63,0)</f>
        <v>0</v>
      </c>
      <c r="AQ63" s="1031"/>
      <c r="AR63" s="1031"/>
      <c r="AS63" s="769"/>
      <c r="AT63" s="769"/>
      <c r="AU63" s="769"/>
      <c r="AV63" s="601">
        <f>IFERROR(AQ63/AU63,0)</f>
        <v>0</v>
      </c>
      <c r="AW63" s="1039"/>
      <c r="AX63" s="515"/>
      <c r="AY63" s="515"/>
      <c r="AZ63" s="515"/>
      <c r="BA63" s="515" t="str">
        <f>IF(COUNT(AY63,AZ63)&lt;2, "0", AZ63 - AY63 )</f>
        <v>0</v>
      </c>
      <c r="BB63" s="601">
        <f>IFERROR(AW63/BA63,0)</f>
        <v>0</v>
      </c>
      <c r="BC63" s="513"/>
      <c r="BD63" s="513"/>
      <c r="BE63" s="179">
        <f>AK63+AQ63+AW63+BC63</f>
        <v>2.39</v>
      </c>
      <c r="BF63" s="179">
        <f>AL63+AR63+AX63+BD63</f>
        <v>0</v>
      </c>
      <c r="BG63" s="181">
        <v>39</v>
      </c>
    </row>
    <row r="64" spans="1:59" ht="24" customHeight="1" x14ac:dyDescent="0.35">
      <c r="A64" s="1020"/>
      <c r="B64" s="1038"/>
      <c r="C64" s="1028"/>
      <c r="D64" s="110"/>
      <c r="E64" s="589"/>
      <c r="F64" s="589"/>
      <c r="G64" s="589"/>
      <c r="H64" s="589"/>
      <c r="I64" s="589"/>
      <c r="J64" s="589"/>
      <c r="K64" s="589"/>
      <c r="L64" s="589"/>
      <c r="M64" s="589"/>
      <c r="N64" s="589"/>
      <c r="O64" s="589"/>
      <c r="P64" s="589"/>
      <c r="Q64" s="589"/>
      <c r="R64" s="589"/>
      <c r="S64" s="589"/>
      <c r="T64" s="589"/>
      <c r="U64" s="589">
        <v>7</v>
      </c>
      <c r="V64" s="589"/>
      <c r="W64" s="589"/>
      <c r="X64" s="589"/>
      <c r="Y64" s="589"/>
      <c r="Z64" s="589"/>
      <c r="AA64" s="589"/>
      <c r="AB64" s="589"/>
      <c r="AC64" s="589"/>
      <c r="AD64" s="589"/>
      <c r="AE64" s="589"/>
      <c r="AF64" s="589"/>
      <c r="AG64" s="589"/>
      <c r="AH64" s="589"/>
      <c r="AI64" s="589"/>
      <c r="AJ64" s="156"/>
      <c r="AK64" s="1030"/>
      <c r="AL64" s="1030"/>
      <c r="AM64" s="761"/>
      <c r="AN64" s="761"/>
      <c r="AO64" s="759"/>
      <c r="AP64" s="603"/>
      <c r="AQ64" s="1032"/>
      <c r="AR64" s="1032"/>
      <c r="AS64" s="770"/>
      <c r="AT64" s="770"/>
      <c r="AU64" s="770"/>
      <c r="AV64" s="602"/>
      <c r="AW64" s="1040"/>
      <c r="AX64" s="516"/>
      <c r="AY64" s="516"/>
      <c r="AZ64" s="516"/>
      <c r="BA64" s="516"/>
      <c r="BB64" s="602"/>
      <c r="BC64" s="514"/>
      <c r="BD64" s="514"/>
      <c r="BE64" s="180"/>
      <c r="BF64" s="180"/>
      <c r="BG64" s="182"/>
    </row>
    <row r="65" spans="1:59" ht="24" customHeight="1" x14ac:dyDescent="0.35">
      <c r="A65" s="1021" t="s">
        <v>264</v>
      </c>
      <c r="B65" s="1014">
        <v>2010</v>
      </c>
      <c r="C65" s="1014">
        <v>2</v>
      </c>
      <c r="D65" s="106">
        <v>60.4</v>
      </c>
      <c r="E65" s="588">
        <v>11</v>
      </c>
      <c r="F65" s="588">
        <v>12</v>
      </c>
      <c r="G65" s="588">
        <v>13</v>
      </c>
      <c r="H65" s="588">
        <v>14</v>
      </c>
      <c r="I65" s="588">
        <v>15</v>
      </c>
      <c r="J65" s="588">
        <v>16</v>
      </c>
      <c r="K65" s="588">
        <v>17</v>
      </c>
      <c r="L65" s="588">
        <v>18</v>
      </c>
      <c r="M65" s="588">
        <v>19</v>
      </c>
      <c r="N65" s="588">
        <v>20</v>
      </c>
      <c r="O65" s="588">
        <v>21</v>
      </c>
      <c r="P65" s="588">
        <v>22</v>
      </c>
      <c r="Q65" s="588">
        <v>23</v>
      </c>
      <c r="R65" s="112">
        <v>1</v>
      </c>
      <c r="S65" s="112">
        <v>2</v>
      </c>
      <c r="T65" s="112">
        <v>3</v>
      </c>
      <c r="U65" s="112">
        <v>4</v>
      </c>
      <c r="V65" s="112">
        <v>5</v>
      </c>
      <c r="W65" s="112">
        <v>6</v>
      </c>
      <c r="X65" s="112">
        <v>7</v>
      </c>
      <c r="Y65" s="112">
        <v>8</v>
      </c>
      <c r="Z65" s="112">
        <v>9</v>
      </c>
      <c r="AA65" s="112">
        <v>10</v>
      </c>
      <c r="AB65" s="112">
        <v>11</v>
      </c>
      <c r="AC65" s="112">
        <v>12</v>
      </c>
      <c r="AD65" s="112">
        <v>13</v>
      </c>
      <c r="AE65" s="112">
        <v>14</v>
      </c>
      <c r="AF65" s="112">
        <v>15</v>
      </c>
      <c r="AG65" s="112">
        <v>16</v>
      </c>
      <c r="AH65" s="112">
        <v>17</v>
      </c>
      <c r="AI65" s="112">
        <v>18</v>
      </c>
      <c r="AJ65" s="155">
        <f>SUM(D66:AI66)</f>
        <v>71</v>
      </c>
      <c r="AK65" s="1029">
        <f>4.59+4.45+3.44+3.36+4.82+3.73+3.43+4+9.45+3.49+2.94+2.82+6.79</f>
        <v>57.309999999999995</v>
      </c>
      <c r="AL65" s="1029"/>
      <c r="AM65" s="762"/>
      <c r="AN65" s="762">
        <v>14</v>
      </c>
      <c r="AO65" s="759" t="str">
        <f t="shared" si="0"/>
        <v>0</v>
      </c>
      <c r="AP65" s="603">
        <f>IFERROR(AK65/AO65,0)</f>
        <v>0</v>
      </c>
      <c r="AQ65" s="1031"/>
      <c r="AR65" s="1031"/>
      <c r="AS65" s="769"/>
      <c r="AT65" s="769"/>
      <c r="AU65" s="769"/>
      <c r="AV65" s="601">
        <f>IFERROR(AQ65/AU65,0)</f>
        <v>0</v>
      </c>
      <c r="AW65" s="1039"/>
      <c r="AX65" s="515"/>
      <c r="AY65" s="515"/>
      <c r="AZ65" s="515"/>
      <c r="BA65" s="515" t="str">
        <f>IF(COUNT(AY65,AZ65)&lt;2, "0", AZ65 - AY65 )</f>
        <v>0</v>
      </c>
      <c r="BB65" s="601">
        <f>IFERROR(AW65/BA65,0)</f>
        <v>0</v>
      </c>
      <c r="BC65" s="513"/>
      <c r="BD65" s="513"/>
      <c r="BE65" s="179">
        <f>AK65+AQ65+AW65+BC65</f>
        <v>57.309999999999995</v>
      </c>
      <c r="BF65" s="179">
        <f>AL65+AR65+AX65+BD65</f>
        <v>0</v>
      </c>
      <c r="BG65" s="185">
        <v>2</v>
      </c>
    </row>
    <row r="66" spans="1:59" ht="24" customHeight="1" x14ac:dyDescent="0.35">
      <c r="A66" s="1019"/>
      <c r="B66" s="1018"/>
      <c r="C66" s="1015"/>
      <c r="D66" s="110"/>
      <c r="E66" s="589"/>
      <c r="F66" s="589"/>
      <c r="G66" s="589"/>
      <c r="H66" s="589"/>
      <c r="I66" s="589"/>
      <c r="J66" s="589"/>
      <c r="K66" s="589"/>
      <c r="L66" s="589"/>
      <c r="M66" s="589"/>
      <c r="N66" s="589"/>
      <c r="O66" s="589"/>
      <c r="P66" s="589"/>
      <c r="Q66" s="589"/>
      <c r="R66" s="589">
        <v>4</v>
      </c>
      <c r="S66" s="589">
        <v>4</v>
      </c>
      <c r="T66" s="589">
        <v>4</v>
      </c>
      <c r="U66" s="589">
        <v>4</v>
      </c>
      <c r="V66" s="589">
        <v>4</v>
      </c>
      <c r="W66" s="589">
        <v>4</v>
      </c>
      <c r="X66" s="589">
        <v>3</v>
      </c>
      <c r="Y66" s="589">
        <v>4</v>
      </c>
      <c r="Z66" s="589">
        <v>4</v>
      </c>
      <c r="AA66" s="589">
        <v>4</v>
      </c>
      <c r="AB66" s="589">
        <v>4</v>
      </c>
      <c r="AC66" s="589">
        <v>4</v>
      </c>
      <c r="AD66" s="589">
        <v>4</v>
      </c>
      <c r="AE66" s="589">
        <v>4</v>
      </c>
      <c r="AF66" s="589">
        <v>4</v>
      </c>
      <c r="AG66" s="589">
        <v>4</v>
      </c>
      <c r="AH66" s="589">
        <v>4</v>
      </c>
      <c r="AI66" s="589">
        <v>4</v>
      </c>
      <c r="AJ66" s="156"/>
      <c r="AK66" s="1030"/>
      <c r="AL66" s="1030"/>
      <c r="AM66" s="761"/>
      <c r="AN66" s="761"/>
      <c r="AO66" s="759"/>
      <c r="AP66" s="603"/>
      <c r="AQ66" s="1032"/>
      <c r="AR66" s="1032"/>
      <c r="AS66" s="770"/>
      <c r="AT66" s="770"/>
      <c r="AU66" s="770"/>
      <c r="AV66" s="602"/>
      <c r="AW66" s="1040"/>
      <c r="AX66" s="516"/>
      <c r="AY66" s="516"/>
      <c r="AZ66" s="516"/>
      <c r="BA66" s="516"/>
      <c r="BB66" s="602"/>
      <c r="BC66" s="514"/>
      <c r="BD66" s="514"/>
      <c r="BE66" s="180"/>
      <c r="BF66" s="180"/>
      <c r="BG66" s="186"/>
    </row>
    <row r="67" spans="1:59" ht="24" customHeight="1" x14ac:dyDescent="0.35">
      <c r="A67" s="1019"/>
      <c r="B67" s="1014">
        <v>2010</v>
      </c>
      <c r="C67" s="1014">
        <v>11</v>
      </c>
      <c r="D67" s="106">
        <v>44.5</v>
      </c>
      <c r="E67" s="588">
        <v>3</v>
      </c>
      <c r="F67" s="112">
        <v>4</v>
      </c>
      <c r="G67" s="112">
        <v>5</v>
      </c>
      <c r="H67" s="112">
        <v>6</v>
      </c>
      <c r="I67" s="112">
        <v>7</v>
      </c>
      <c r="J67" s="112">
        <v>8</v>
      </c>
      <c r="K67" s="588">
        <v>9</v>
      </c>
      <c r="L67" s="112">
        <v>10</v>
      </c>
      <c r="M67" s="112">
        <v>11</v>
      </c>
      <c r="N67" s="112">
        <v>12</v>
      </c>
      <c r="O67" s="112">
        <v>13</v>
      </c>
      <c r="P67" s="588">
        <v>14</v>
      </c>
      <c r="Q67" s="588">
        <v>15</v>
      </c>
      <c r="R67" s="588">
        <v>16</v>
      </c>
      <c r="S67" s="588">
        <v>17</v>
      </c>
      <c r="T67" s="588">
        <v>18</v>
      </c>
      <c r="U67" s="588">
        <v>19</v>
      </c>
      <c r="V67" s="588">
        <v>20</v>
      </c>
      <c r="W67" s="588">
        <v>21</v>
      </c>
      <c r="X67" s="588">
        <v>22</v>
      </c>
      <c r="Y67" s="588">
        <v>23</v>
      </c>
      <c r="Z67" s="588">
        <v>24</v>
      </c>
      <c r="AA67" s="588">
        <v>25</v>
      </c>
      <c r="AB67" s="588">
        <v>26</v>
      </c>
      <c r="AC67" s="588">
        <v>27</v>
      </c>
      <c r="AD67" s="588">
        <v>28</v>
      </c>
      <c r="AE67" s="588">
        <v>29</v>
      </c>
      <c r="AF67" s="588">
        <v>30</v>
      </c>
      <c r="AG67" s="588">
        <v>31</v>
      </c>
      <c r="AH67" s="588">
        <v>32</v>
      </c>
      <c r="AI67" s="588">
        <v>33</v>
      </c>
      <c r="AJ67" s="155">
        <f>SUM(D68:AI68)</f>
        <v>36</v>
      </c>
      <c r="AK67" s="1029">
        <f>3.66+3.79+7.8+3.66+3.71+4.15+5.65</f>
        <v>32.42</v>
      </c>
      <c r="AL67" s="1029"/>
      <c r="AM67" s="762"/>
      <c r="AN67" s="762">
        <v>2</v>
      </c>
      <c r="AO67" s="759" t="str">
        <f t="shared" si="0"/>
        <v>0</v>
      </c>
      <c r="AP67" s="603">
        <f>IFERROR(AK67/AO67,0)</f>
        <v>0</v>
      </c>
      <c r="AQ67" s="1031"/>
      <c r="AR67" s="1031"/>
      <c r="AS67" s="769"/>
      <c r="AT67" s="769"/>
      <c r="AU67" s="769"/>
      <c r="AV67" s="601">
        <f>IFERROR(AQ67/AU67,0)</f>
        <v>0</v>
      </c>
      <c r="AW67" s="1039"/>
      <c r="AX67" s="515"/>
      <c r="AY67" s="515"/>
      <c r="AZ67" s="515"/>
      <c r="BA67" s="515" t="str">
        <f>IF(COUNT(AY67,AZ67)&lt;2, "0", AZ67 - AY67 )</f>
        <v>0</v>
      </c>
      <c r="BB67" s="601">
        <f>IFERROR(AW67/BA67,0)</f>
        <v>0</v>
      </c>
      <c r="BC67" s="513"/>
      <c r="BD67" s="513"/>
      <c r="BE67" s="179">
        <f>AK67+AQ67+AW67+BC67</f>
        <v>32.42</v>
      </c>
      <c r="BF67" s="179">
        <f>AL67+AR67+AX67+BD67</f>
        <v>0</v>
      </c>
      <c r="BG67" s="185">
        <v>11</v>
      </c>
    </row>
    <row r="68" spans="1:59" ht="24" customHeight="1" x14ac:dyDescent="0.35">
      <c r="A68" s="1019"/>
      <c r="B68" s="1015"/>
      <c r="C68" s="1015"/>
      <c r="D68" s="110"/>
      <c r="E68" s="589"/>
      <c r="F68" s="589">
        <v>4</v>
      </c>
      <c r="G68" s="589">
        <v>4</v>
      </c>
      <c r="H68" s="589">
        <v>4</v>
      </c>
      <c r="I68" s="589">
        <v>4</v>
      </c>
      <c r="J68" s="589">
        <v>4</v>
      </c>
      <c r="K68" s="589"/>
      <c r="L68" s="589">
        <v>4</v>
      </c>
      <c r="M68" s="589">
        <v>4</v>
      </c>
      <c r="N68" s="589">
        <v>4</v>
      </c>
      <c r="O68" s="589">
        <v>4</v>
      </c>
      <c r="P68" s="589"/>
      <c r="Q68" s="589"/>
      <c r="R68" s="589"/>
      <c r="S68" s="589"/>
      <c r="T68" s="589"/>
      <c r="U68" s="589"/>
      <c r="V68" s="589"/>
      <c r="W68" s="589"/>
      <c r="X68" s="589"/>
      <c r="Y68" s="589"/>
      <c r="Z68" s="589"/>
      <c r="AA68" s="589"/>
      <c r="AB68" s="589"/>
      <c r="AC68" s="589"/>
      <c r="AD68" s="589"/>
      <c r="AE68" s="589"/>
      <c r="AF68" s="589"/>
      <c r="AG68" s="589"/>
      <c r="AH68" s="589"/>
      <c r="AI68" s="589"/>
      <c r="AJ68" s="156"/>
      <c r="AK68" s="1030"/>
      <c r="AL68" s="1030"/>
      <c r="AM68" s="761"/>
      <c r="AN68" s="761"/>
      <c r="AO68" s="759"/>
      <c r="AP68" s="603"/>
      <c r="AQ68" s="1032"/>
      <c r="AR68" s="1032"/>
      <c r="AS68" s="770"/>
      <c r="AT68" s="770"/>
      <c r="AU68" s="770"/>
      <c r="AV68" s="602"/>
      <c r="AW68" s="1040"/>
      <c r="AX68" s="516"/>
      <c r="AY68" s="516"/>
      <c r="AZ68" s="516"/>
      <c r="BA68" s="516"/>
      <c r="BB68" s="602"/>
      <c r="BC68" s="514"/>
      <c r="BD68" s="514"/>
      <c r="BE68" s="180"/>
      <c r="BF68" s="180"/>
      <c r="BG68" s="186"/>
    </row>
    <row r="69" spans="1:59" ht="24" customHeight="1" x14ac:dyDescent="0.35">
      <c r="A69" s="1019"/>
      <c r="B69" s="1014">
        <v>2015</v>
      </c>
      <c r="C69" s="1014">
        <v>29</v>
      </c>
      <c r="D69" s="121">
        <v>11.38</v>
      </c>
      <c r="E69" s="590">
        <v>15</v>
      </c>
      <c r="F69" s="590">
        <v>16</v>
      </c>
      <c r="G69" s="505">
        <v>1</v>
      </c>
      <c r="H69" s="590">
        <v>2</v>
      </c>
      <c r="I69" s="590">
        <v>3</v>
      </c>
      <c r="J69" s="590">
        <v>4</v>
      </c>
      <c r="K69" s="590">
        <v>5</v>
      </c>
      <c r="L69" s="590">
        <v>6</v>
      </c>
      <c r="M69" s="590">
        <v>7</v>
      </c>
      <c r="N69" s="590">
        <v>8</v>
      </c>
      <c r="O69" s="590">
        <v>9</v>
      </c>
      <c r="P69" s="590">
        <v>10</v>
      </c>
      <c r="Q69" s="590">
        <v>11</v>
      </c>
      <c r="R69" s="590">
        <v>12</v>
      </c>
      <c r="S69" s="590">
        <v>13</v>
      </c>
      <c r="T69" s="590">
        <v>14</v>
      </c>
      <c r="U69" s="590">
        <v>15</v>
      </c>
      <c r="V69" s="590">
        <v>16</v>
      </c>
      <c r="W69" s="590">
        <v>17</v>
      </c>
      <c r="X69" s="590">
        <v>18</v>
      </c>
      <c r="Y69" s="590">
        <v>19</v>
      </c>
      <c r="Z69" s="590">
        <v>20</v>
      </c>
      <c r="AA69" s="506">
        <v>1</v>
      </c>
      <c r="AB69" s="506">
        <v>2</v>
      </c>
      <c r="AC69" s="590">
        <v>3</v>
      </c>
      <c r="AD69" s="590">
        <v>4</v>
      </c>
      <c r="AE69" s="590">
        <v>5</v>
      </c>
      <c r="AF69" s="590">
        <v>6</v>
      </c>
      <c r="AG69" s="590">
        <v>7</v>
      </c>
      <c r="AH69" s="590">
        <v>8</v>
      </c>
      <c r="AI69" s="590">
        <v>9</v>
      </c>
      <c r="AJ69" s="155">
        <f>SUM(D70:AI70)</f>
        <v>21</v>
      </c>
      <c r="AK69" s="1029">
        <f>4.74</f>
        <v>4.74</v>
      </c>
      <c r="AL69" s="1029"/>
      <c r="AM69" s="762"/>
      <c r="AN69" s="762">
        <v>2</v>
      </c>
      <c r="AO69" s="759" t="str">
        <f>IF(COUNT(AM69,AN69)&lt;2, "0", AN69 - AM69 + 1)</f>
        <v>0</v>
      </c>
      <c r="AP69" s="603">
        <f>IFERROR(AK69/AO69,0)</f>
        <v>0</v>
      </c>
      <c r="AQ69" s="1031">
        <f>6.76+3.62</f>
        <v>10.379999999999999</v>
      </c>
      <c r="AR69" s="1031"/>
      <c r="AS69" s="769"/>
      <c r="AT69" s="769"/>
      <c r="AU69" s="769"/>
      <c r="AV69" s="601">
        <f>IFERROR(AQ69/AU69,0)</f>
        <v>0</v>
      </c>
      <c r="AW69" s="1039"/>
      <c r="AX69" s="515"/>
      <c r="AY69" s="515"/>
      <c r="AZ69" s="515"/>
      <c r="BA69" s="515" t="str">
        <f>IF(COUNT(AY69,AZ69)&lt;2, "0", AZ69 - AY69 )</f>
        <v>0</v>
      </c>
      <c r="BB69" s="601">
        <f>IFERROR(AW69/BA69,0)</f>
        <v>0</v>
      </c>
      <c r="BC69" s="509"/>
      <c r="BD69" s="513"/>
      <c r="BE69" s="179">
        <f>AK69+AQ69+AW69+BC69</f>
        <v>15.12</v>
      </c>
      <c r="BF69" s="179">
        <f>AL69+AR69+AX69+BD69</f>
        <v>0</v>
      </c>
      <c r="BG69" s="185">
        <v>29</v>
      </c>
    </row>
    <row r="70" spans="1:59" ht="24" customHeight="1" x14ac:dyDescent="0.35">
      <c r="A70" s="1019"/>
      <c r="B70" s="1015"/>
      <c r="C70" s="1015"/>
      <c r="D70" s="121"/>
      <c r="E70" s="591"/>
      <c r="F70" s="591"/>
      <c r="G70" s="591">
        <v>7</v>
      </c>
      <c r="H70" s="591"/>
      <c r="I70" s="591"/>
      <c r="J70" s="591"/>
      <c r="K70" s="591"/>
      <c r="L70" s="591"/>
      <c r="M70" s="591"/>
      <c r="N70" s="591"/>
      <c r="O70" s="591"/>
      <c r="P70" s="591"/>
      <c r="Q70" s="591"/>
      <c r="R70" s="591"/>
      <c r="S70" s="591"/>
      <c r="T70" s="591"/>
      <c r="U70" s="591"/>
      <c r="V70" s="591"/>
      <c r="W70" s="591"/>
      <c r="X70" s="591"/>
      <c r="Y70" s="591"/>
      <c r="Z70" s="591"/>
      <c r="AA70" s="591">
        <v>7</v>
      </c>
      <c r="AB70" s="591">
        <v>7</v>
      </c>
      <c r="AC70" s="591"/>
      <c r="AD70" s="591"/>
      <c r="AE70" s="591"/>
      <c r="AF70" s="591"/>
      <c r="AG70" s="591"/>
      <c r="AH70" s="591"/>
      <c r="AI70" s="591"/>
      <c r="AJ70" s="156"/>
      <c r="AK70" s="1030"/>
      <c r="AL70" s="1030"/>
      <c r="AM70" s="761"/>
      <c r="AN70" s="761"/>
      <c r="AO70" s="759"/>
      <c r="AP70" s="603"/>
      <c r="AQ70" s="1032"/>
      <c r="AR70" s="1032"/>
      <c r="AS70" s="770"/>
      <c r="AT70" s="770"/>
      <c r="AU70" s="770"/>
      <c r="AV70" s="602"/>
      <c r="AW70" s="1040"/>
      <c r="AX70" s="516"/>
      <c r="AY70" s="516"/>
      <c r="AZ70" s="516"/>
      <c r="BA70" s="516"/>
      <c r="BB70" s="602"/>
      <c r="BC70" s="509"/>
      <c r="BD70" s="514"/>
      <c r="BE70" s="180"/>
      <c r="BF70" s="180"/>
      <c r="BG70" s="186"/>
    </row>
    <row r="71" spans="1:59" ht="24" customHeight="1" x14ac:dyDescent="0.35">
      <c r="A71" s="151"/>
      <c r="B71" s="1014">
        <v>2014</v>
      </c>
      <c r="C71" s="1014">
        <v>105</v>
      </c>
      <c r="D71" s="1014"/>
      <c r="E71" s="590">
        <v>526</v>
      </c>
      <c r="F71" s="590">
        <v>527</v>
      </c>
      <c r="G71" s="590">
        <v>528</v>
      </c>
      <c r="H71" s="590">
        <v>529</v>
      </c>
      <c r="I71" s="590">
        <v>530</v>
      </c>
      <c r="J71" s="590">
        <v>531</v>
      </c>
      <c r="K71" s="590">
        <v>532</v>
      </c>
      <c r="L71" s="590">
        <v>533</v>
      </c>
      <c r="M71" s="590">
        <v>534</v>
      </c>
      <c r="N71" s="590">
        <v>535</v>
      </c>
      <c r="O71" s="590">
        <v>536</v>
      </c>
      <c r="P71" s="590">
        <v>537</v>
      </c>
      <c r="Q71" s="590">
        <v>538</v>
      </c>
      <c r="R71" s="590">
        <v>539</v>
      </c>
      <c r="S71" s="590">
        <v>540</v>
      </c>
      <c r="T71" s="590">
        <v>541</v>
      </c>
      <c r="U71" s="590">
        <v>542</v>
      </c>
      <c r="V71" s="590">
        <v>543</v>
      </c>
      <c r="W71" s="590">
        <v>544</v>
      </c>
      <c r="X71" s="590">
        <v>545</v>
      </c>
      <c r="Y71" s="590">
        <v>546</v>
      </c>
      <c r="Z71" s="590">
        <v>547</v>
      </c>
      <c r="AA71" s="590">
        <v>548</v>
      </c>
      <c r="AB71" s="590">
        <v>549</v>
      </c>
      <c r="AC71" s="590">
        <v>550</v>
      </c>
      <c r="AD71" s="590">
        <v>551</v>
      </c>
      <c r="AE71" s="590">
        <v>552</v>
      </c>
      <c r="AF71" s="590">
        <v>553</v>
      </c>
      <c r="AG71" s="590">
        <v>554</v>
      </c>
      <c r="AH71" s="590">
        <v>555</v>
      </c>
      <c r="AI71" s="590">
        <v>556</v>
      </c>
      <c r="AJ71" s="155">
        <f>SUM(D72:AI72)</f>
        <v>0</v>
      </c>
      <c r="AK71" s="1029"/>
      <c r="AL71" s="1029"/>
      <c r="AM71" s="760"/>
      <c r="AN71" s="760"/>
      <c r="AO71" s="760"/>
      <c r="AP71" s="599"/>
      <c r="AQ71" s="1031"/>
      <c r="AR71" s="1031"/>
      <c r="AS71" s="769"/>
      <c r="AT71" s="769"/>
      <c r="AU71" s="769"/>
      <c r="AV71" s="601"/>
      <c r="AW71" s="1039"/>
      <c r="AX71" s="515"/>
      <c r="AY71" s="517"/>
      <c r="AZ71" s="515"/>
      <c r="BA71" s="517"/>
      <c r="BB71" s="601"/>
      <c r="BC71" s="513"/>
      <c r="BD71" s="513"/>
      <c r="BE71" s="179">
        <f>AK71+AQ71+AW71+BC71</f>
        <v>0</v>
      </c>
      <c r="BF71" s="179">
        <f>AL71+AR71+AX71+BD71</f>
        <v>0</v>
      </c>
      <c r="BG71" s="181">
        <v>105</v>
      </c>
    </row>
    <row r="72" spans="1:59" ht="24" customHeight="1" x14ac:dyDescent="0.35">
      <c r="A72" s="157"/>
      <c r="B72" s="1015"/>
      <c r="C72" s="1015"/>
      <c r="D72" s="1015"/>
      <c r="E72" s="589"/>
      <c r="F72" s="589"/>
      <c r="G72" s="589"/>
      <c r="H72" s="589"/>
      <c r="I72" s="589"/>
      <c r="J72" s="589"/>
      <c r="K72" s="589"/>
      <c r="L72" s="589"/>
      <c r="M72" s="589"/>
      <c r="N72" s="589"/>
      <c r="O72" s="589"/>
      <c r="P72" s="589"/>
      <c r="Q72" s="589"/>
      <c r="R72" s="589"/>
      <c r="S72" s="589"/>
      <c r="T72" s="589"/>
      <c r="U72" s="589"/>
      <c r="V72" s="589"/>
      <c r="W72" s="589"/>
      <c r="X72" s="589"/>
      <c r="Y72" s="589"/>
      <c r="Z72" s="589"/>
      <c r="AA72" s="589"/>
      <c r="AB72" s="589"/>
      <c r="AC72" s="589"/>
      <c r="AD72" s="589"/>
      <c r="AE72" s="589"/>
      <c r="AF72" s="589"/>
      <c r="AG72" s="589"/>
      <c r="AH72" s="589"/>
      <c r="AI72" s="589"/>
      <c r="AJ72" s="156"/>
      <c r="AK72" s="1030"/>
      <c r="AL72" s="1030"/>
      <c r="AM72" s="761"/>
      <c r="AN72" s="761"/>
      <c r="AO72" s="761"/>
      <c r="AP72" s="600"/>
      <c r="AQ72" s="1032"/>
      <c r="AR72" s="1032"/>
      <c r="AS72" s="770"/>
      <c r="AT72" s="770"/>
      <c r="AU72" s="770"/>
      <c r="AV72" s="602"/>
      <c r="AW72" s="1040"/>
      <c r="AX72" s="516"/>
      <c r="AY72" s="517"/>
      <c r="AZ72" s="516"/>
      <c r="BA72" s="517"/>
      <c r="BB72" s="602"/>
      <c r="BC72" s="514"/>
      <c r="BD72" s="514"/>
      <c r="BE72" s="180"/>
      <c r="BF72" s="180"/>
      <c r="BG72" s="182"/>
    </row>
    <row r="73" spans="1:59" ht="24" customHeight="1" x14ac:dyDescent="0.35">
      <c r="A73" s="157"/>
      <c r="B73" s="1014">
        <v>2008</v>
      </c>
      <c r="C73" s="1014">
        <v>114</v>
      </c>
      <c r="D73" s="121"/>
      <c r="E73" s="590">
        <v>526</v>
      </c>
      <c r="F73" s="590">
        <v>527</v>
      </c>
      <c r="G73" s="590">
        <v>528</v>
      </c>
      <c r="H73" s="590">
        <v>529</v>
      </c>
      <c r="I73" s="590">
        <v>530</v>
      </c>
      <c r="J73" s="590">
        <v>531</v>
      </c>
      <c r="K73" s="590">
        <v>532</v>
      </c>
      <c r="L73" s="590">
        <v>533</v>
      </c>
      <c r="M73" s="590">
        <v>534</v>
      </c>
      <c r="N73" s="590">
        <v>535</v>
      </c>
      <c r="O73" s="590">
        <v>536</v>
      </c>
      <c r="P73" s="590">
        <v>537</v>
      </c>
      <c r="Q73" s="590">
        <v>538</v>
      </c>
      <c r="R73" s="590">
        <v>539</v>
      </c>
      <c r="S73" s="590">
        <v>540</v>
      </c>
      <c r="T73" s="590">
        <v>541</v>
      </c>
      <c r="U73" s="590">
        <v>542</v>
      </c>
      <c r="V73" s="590">
        <v>543</v>
      </c>
      <c r="W73" s="590">
        <v>544</v>
      </c>
      <c r="X73" s="590">
        <v>545</v>
      </c>
      <c r="Y73" s="590">
        <v>546</v>
      </c>
      <c r="Z73" s="590">
        <v>547</v>
      </c>
      <c r="AA73" s="590">
        <v>548</v>
      </c>
      <c r="AB73" s="590">
        <v>549</v>
      </c>
      <c r="AC73" s="590">
        <v>550</v>
      </c>
      <c r="AD73" s="590">
        <v>551</v>
      </c>
      <c r="AE73" s="590">
        <v>552</v>
      </c>
      <c r="AF73" s="590">
        <v>553</v>
      </c>
      <c r="AG73" s="590">
        <v>554</v>
      </c>
      <c r="AH73" s="590">
        <v>555</v>
      </c>
      <c r="AI73" s="590">
        <v>556</v>
      </c>
      <c r="AJ73" s="155">
        <f>SUM(D74:AI74)</f>
        <v>0</v>
      </c>
      <c r="AK73" s="1029"/>
      <c r="AL73" s="1029"/>
      <c r="AM73" s="760"/>
      <c r="AN73" s="760"/>
      <c r="AO73" s="760"/>
      <c r="AP73" s="599"/>
      <c r="AQ73" s="1031"/>
      <c r="AR73" s="1031"/>
      <c r="AS73" s="769"/>
      <c r="AT73" s="769"/>
      <c r="AU73" s="769"/>
      <c r="AV73" s="601"/>
      <c r="AW73" s="1039"/>
      <c r="AX73" s="515"/>
      <c r="AY73" s="517"/>
      <c r="AZ73" s="515"/>
      <c r="BA73" s="517"/>
      <c r="BB73" s="601"/>
      <c r="BC73" s="513"/>
      <c r="BD73" s="513"/>
      <c r="BE73" s="179">
        <f>AK73+AQ73+AW73+BC73</f>
        <v>0</v>
      </c>
      <c r="BF73" s="179">
        <f>AL73+AR73+AX73+BD73</f>
        <v>0</v>
      </c>
      <c r="BG73" s="181">
        <v>114</v>
      </c>
    </row>
    <row r="74" spans="1:59" ht="24" customHeight="1" thickBot="1" x14ac:dyDescent="0.4">
      <c r="A74" s="152"/>
      <c r="B74" s="1015"/>
      <c r="C74" s="1015"/>
      <c r="D74" s="110"/>
      <c r="E74" s="50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04"/>
      <c r="X74" s="504"/>
      <c r="Y74" s="504"/>
      <c r="Z74" s="504"/>
      <c r="AA74" s="504"/>
      <c r="AB74" s="504"/>
      <c r="AC74" s="504"/>
      <c r="AD74" s="504"/>
      <c r="AE74" s="504"/>
      <c r="AF74" s="504"/>
      <c r="AG74" s="504"/>
      <c r="AH74" s="504"/>
      <c r="AI74" s="504"/>
      <c r="AJ74" s="156"/>
      <c r="AK74" s="1030"/>
      <c r="AL74" s="1030"/>
      <c r="AM74" s="761"/>
      <c r="AN74" s="761"/>
      <c r="AO74" s="761"/>
      <c r="AP74" s="600"/>
      <c r="AQ74" s="1032"/>
      <c r="AR74" s="1032"/>
      <c r="AS74" s="770"/>
      <c r="AT74" s="770"/>
      <c r="AU74" s="770"/>
      <c r="AV74" s="602"/>
      <c r="AW74" s="1040"/>
      <c r="AX74" s="516"/>
      <c r="AY74" s="517"/>
      <c r="AZ74" s="516"/>
      <c r="BA74" s="517"/>
      <c r="BB74" s="602"/>
      <c r="BC74" s="514"/>
      <c r="BD74" s="514"/>
      <c r="BE74" s="180"/>
      <c r="BF74" s="180"/>
      <c r="BG74" s="182"/>
    </row>
    <row r="75" spans="1:59" ht="21" customHeight="1" x14ac:dyDescent="0.35">
      <c r="A75" s="138" t="s">
        <v>97</v>
      </c>
      <c r="B75" s="139"/>
      <c r="C75" s="139"/>
      <c r="D75" s="170"/>
      <c r="E75" s="123">
        <f>E6+E8+E10+E12+E14+E16+E18+E20+E22+E24+E26+E28+E30+E32+E34+E36+E38+E40+E42+E44+E46+E48+E50+E52+E54+E56+E58+E60+E62+E68+E64+E66+E70+E72+E74</f>
        <v>23</v>
      </c>
      <c r="F75" s="123">
        <f t="shared" ref="F75:AH75" si="1">F6+F8+F10+F12+F14+F16+F18+F20+F22+F24+F26+F28+F30+F32+F34+F36+F38+F40+F42+F44+F46+F48+F50+F52+F54+F56+F58+F60+F62+F68+F64+F66+F70+F72+F74</f>
        <v>23</v>
      </c>
      <c r="G75" s="123">
        <f t="shared" si="1"/>
        <v>39</v>
      </c>
      <c r="H75" s="123">
        <f t="shared" si="1"/>
        <v>53</v>
      </c>
      <c r="I75" s="123">
        <f t="shared" si="1"/>
        <v>52</v>
      </c>
      <c r="J75" s="123">
        <f t="shared" si="1"/>
        <v>55</v>
      </c>
      <c r="K75" s="123">
        <f t="shared" si="1"/>
        <v>0</v>
      </c>
      <c r="L75" s="123">
        <f t="shared" si="1"/>
        <v>36</v>
      </c>
      <c r="M75" s="123">
        <f t="shared" si="1"/>
        <v>55</v>
      </c>
      <c r="N75" s="123">
        <f t="shared" si="1"/>
        <v>55</v>
      </c>
      <c r="O75" s="123">
        <f t="shared" si="1"/>
        <v>54</v>
      </c>
      <c r="P75" s="123">
        <f t="shared" si="1"/>
        <v>51</v>
      </c>
      <c r="Q75" s="123">
        <f t="shared" si="1"/>
        <v>0</v>
      </c>
      <c r="R75" s="123">
        <f t="shared" si="1"/>
        <v>49</v>
      </c>
      <c r="S75" s="123">
        <f t="shared" si="1"/>
        <v>56</v>
      </c>
      <c r="T75" s="123">
        <f t="shared" si="1"/>
        <v>54</v>
      </c>
      <c r="U75" s="123">
        <f t="shared" si="1"/>
        <v>53</v>
      </c>
      <c r="V75" s="123">
        <f t="shared" si="1"/>
        <v>52</v>
      </c>
      <c r="W75" s="123">
        <f t="shared" si="1"/>
        <v>21</v>
      </c>
      <c r="X75" s="123">
        <f t="shared" si="1"/>
        <v>52</v>
      </c>
      <c r="Y75" s="123">
        <f t="shared" si="1"/>
        <v>52</v>
      </c>
      <c r="Z75" s="123">
        <f t="shared" si="1"/>
        <v>46</v>
      </c>
      <c r="AA75" s="123">
        <f t="shared" si="1"/>
        <v>51</v>
      </c>
      <c r="AB75" s="123">
        <f t="shared" si="1"/>
        <v>52</v>
      </c>
      <c r="AC75" s="123">
        <f t="shared" si="1"/>
        <v>22</v>
      </c>
      <c r="AD75" s="123">
        <f t="shared" si="1"/>
        <v>25</v>
      </c>
      <c r="AE75" s="123">
        <f t="shared" si="1"/>
        <v>50</v>
      </c>
      <c r="AF75" s="123">
        <f t="shared" si="1"/>
        <v>48</v>
      </c>
      <c r="AG75" s="123">
        <f t="shared" si="1"/>
        <v>51</v>
      </c>
      <c r="AH75" s="123">
        <f t="shared" si="1"/>
        <v>54</v>
      </c>
      <c r="AI75" s="123">
        <f>AI6+AI8+AI10+AI12+AI14+AI16+AI18+AI20+AI22+AI24+AI26+AI28+AI30+AI32+AI34+AI36+AI38+AI40+AI42+AI44+AI46+AI48+AI50+AI52+AI54+AI56+AI58+AI60+AI62+AI68+AI64+AI66+AI70+AI72+AI74</f>
        <v>51</v>
      </c>
      <c r="AJ75" s="145" t="s">
        <v>98</v>
      </c>
      <c r="AK75" s="147">
        <f>SUM(AK5:AK74)</f>
        <v>1311.06</v>
      </c>
      <c r="AL75" s="147">
        <f>SUM(AL5:AL74)</f>
        <v>0</v>
      </c>
      <c r="AM75" s="760"/>
      <c r="AN75" s="760"/>
      <c r="AO75" s="759">
        <f>SUM(AO5:AO74)</f>
        <v>0</v>
      </c>
      <c r="AP75" s="603" t="e">
        <f>AK75/AO75</f>
        <v>#DIV/0!</v>
      </c>
      <c r="AQ75" s="149">
        <f>SUM(AQ5:AQ74)</f>
        <v>659.65</v>
      </c>
      <c r="AR75" s="149">
        <f>SUM(AR5:AR74)</f>
        <v>0</v>
      </c>
      <c r="AS75" s="769"/>
      <c r="AT75" s="769"/>
      <c r="AU75" s="769">
        <f>SUM(AU5:AU74)</f>
        <v>0</v>
      </c>
      <c r="AV75" s="601" t="e">
        <f>AQ75/AU75</f>
        <v>#DIV/0!</v>
      </c>
      <c r="AW75" s="142">
        <f>SUM(AW5:AW74)</f>
        <v>0</v>
      </c>
      <c r="AX75" s="142">
        <f>SUM(AX5:AX74)</f>
        <v>0</v>
      </c>
      <c r="AY75" s="142"/>
      <c r="AZ75" s="142"/>
      <c r="BA75" s="142">
        <f>SUM(BA5:BA74)</f>
        <v>0</v>
      </c>
      <c r="BB75" s="601" t="e">
        <f>AW75/BA75</f>
        <v>#DIV/0!</v>
      </c>
      <c r="BC75" s="144">
        <f>SUM(BC5:BC74)</f>
        <v>0</v>
      </c>
      <c r="BD75" s="175">
        <f>SUM(BD5:BD74)</f>
        <v>0</v>
      </c>
      <c r="BE75" s="177">
        <f>BE5+BE7+BE9+BE11+BE13+BE15+BE17+BE19+BE21+BE23+BE25+BE27+BE29+BE31+BE33+BE35+BE37+BE39+BE41+BE43+BE45+BE47+BE49+BE51+BE53+BE55+BE57+BE59+BE61+BE63+BE65+BE67+BE71+BE73+BE69</f>
        <v>1970.7100000000003</v>
      </c>
      <c r="BF75" s="177">
        <f>BF5+BF7+BF9+BF11+BF13+BF15+BF17+BF19+BF21+BF23+BF25+BF27+BF29+BF31+BF33+BF35+BF37+BF39+BF41+BF43+BF45+BF47+BF49+BF51+BF53+BF55+BF57+BF59+BF61+BF63+BF65+BF67+BF69+BF71+BF73</f>
        <v>0</v>
      </c>
      <c r="BG75" s="102"/>
    </row>
    <row r="76" spans="1:59" x14ac:dyDescent="0.35">
      <c r="A76" s="138" t="s">
        <v>99</v>
      </c>
      <c r="B76" s="139"/>
      <c r="C76" s="139"/>
      <c r="D76" s="170"/>
      <c r="E76" s="123">
        <f>E75</f>
        <v>23</v>
      </c>
      <c r="F76" s="123">
        <f>E76+F75</f>
        <v>46</v>
      </c>
      <c r="G76" s="123">
        <f t="shared" ref="G76:AI76" si="2">F76+G75</f>
        <v>85</v>
      </c>
      <c r="H76" s="123">
        <f t="shared" si="2"/>
        <v>138</v>
      </c>
      <c r="I76" s="123">
        <f t="shared" si="2"/>
        <v>190</v>
      </c>
      <c r="J76" s="123">
        <f t="shared" si="2"/>
        <v>245</v>
      </c>
      <c r="K76" s="123">
        <f t="shared" si="2"/>
        <v>245</v>
      </c>
      <c r="L76" s="123">
        <f t="shared" si="2"/>
        <v>281</v>
      </c>
      <c r="M76" s="123">
        <f t="shared" si="2"/>
        <v>336</v>
      </c>
      <c r="N76" s="123">
        <f t="shared" si="2"/>
        <v>391</v>
      </c>
      <c r="O76" s="123">
        <f t="shared" si="2"/>
        <v>445</v>
      </c>
      <c r="P76" s="123">
        <f t="shared" si="2"/>
        <v>496</v>
      </c>
      <c r="Q76" s="123">
        <f t="shared" si="2"/>
        <v>496</v>
      </c>
      <c r="R76" s="123">
        <f t="shared" si="2"/>
        <v>545</v>
      </c>
      <c r="S76" s="123">
        <f t="shared" si="2"/>
        <v>601</v>
      </c>
      <c r="T76" s="123">
        <f t="shared" si="2"/>
        <v>655</v>
      </c>
      <c r="U76" s="123">
        <f t="shared" si="2"/>
        <v>708</v>
      </c>
      <c r="V76" s="123">
        <f t="shared" si="2"/>
        <v>760</v>
      </c>
      <c r="W76" s="123">
        <f t="shared" si="2"/>
        <v>781</v>
      </c>
      <c r="X76" s="123">
        <f t="shared" si="2"/>
        <v>833</v>
      </c>
      <c r="Y76" s="123">
        <f t="shared" si="2"/>
        <v>885</v>
      </c>
      <c r="Z76" s="123">
        <f t="shared" si="2"/>
        <v>931</v>
      </c>
      <c r="AA76" s="123">
        <f t="shared" si="2"/>
        <v>982</v>
      </c>
      <c r="AB76" s="123">
        <f t="shared" si="2"/>
        <v>1034</v>
      </c>
      <c r="AC76" s="123">
        <f t="shared" si="2"/>
        <v>1056</v>
      </c>
      <c r="AD76" s="123">
        <f t="shared" si="2"/>
        <v>1081</v>
      </c>
      <c r="AE76" s="123">
        <f t="shared" si="2"/>
        <v>1131</v>
      </c>
      <c r="AF76" s="123">
        <f t="shared" si="2"/>
        <v>1179</v>
      </c>
      <c r="AG76" s="123">
        <f t="shared" si="2"/>
        <v>1230</v>
      </c>
      <c r="AH76" s="123">
        <f t="shared" si="2"/>
        <v>1284</v>
      </c>
      <c r="AI76" s="123">
        <f t="shared" si="2"/>
        <v>1335</v>
      </c>
      <c r="AJ76" s="146"/>
      <c r="AK76" s="148"/>
      <c r="AL76" s="148"/>
      <c r="AM76" s="761"/>
      <c r="AN76" s="761"/>
      <c r="AO76" s="759"/>
      <c r="AP76" s="603"/>
      <c r="AQ76" s="150"/>
      <c r="AR76" s="150"/>
      <c r="AS76" s="770"/>
      <c r="AT76" s="770"/>
      <c r="AU76" s="770"/>
      <c r="AV76" s="602"/>
      <c r="AW76" s="143"/>
      <c r="AX76" s="143"/>
      <c r="AY76" s="143"/>
      <c r="AZ76" s="143"/>
      <c r="BA76" s="143"/>
      <c r="BB76" s="602"/>
      <c r="BC76" s="122"/>
      <c r="BD76" s="176"/>
      <c r="BE76" s="178"/>
      <c r="BF76" s="178"/>
      <c r="BG76" s="102"/>
    </row>
    <row r="77" spans="1:59" ht="28.5" customHeight="1" x14ac:dyDescent="0.35">
      <c r="A77" s="138" t="s">
        <v>100</v>
      </c>
      <c r="B77" s="139"/>
      <c r="C77" s="139"/>
      <c r="D77" s="170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71" t="s">
        <v>101</v>
      </c>
      <c r="AK77" s="172"/>
      <c r="AL77" s="172"/>
      <c r="AM77" s="763"/>
      <c r="AN77" s="763"/>
      <c r="AO77" s="763"/>
      <c r="AP77" s="763"/>
      <c r="AQ77" s="172"/>
      <c r="AR77" s="172"/>
      <c r="AS77" s="763"/>
      <c r="AT77" s="763"/>
      <c r="AU77" s="763"/>
      <c r="AV77" s="763"/>
      <c r="AW77" s="172"/>
      <c r="AX77" s="172"/>
      <c r="AY77" s="172"/>
      <c r="AZ77" s="172"/>
      <c r="BA77" s="172"/>
      <c r="BB77" s="763"/>
      <c r="BC77" s="172"/>
      <c r="BD77" s="173"/>
      <c r="BE77" s="174">
        <f>BE75+BF75</f>
        <v>1970.7100000000003</v>
      </c>
      <c r="BF77" s="140"/>
      <c r="BG77" s="102"/>
    </row>
    <row r="78" spans="1:59" ht="21" customHeight="1" x14ac:dyDescent="0.35">
      <c r="A78" s="103"/>
      <c r="B78" s="103"/>
      <c r="E78" s="124"/>
      <c r="P78" s="125"/>
      <c r="Q78" s="125"/>
      <c r="T78" s="126"/>
      <c r="X78" s="127"/>
      <c r="Z78" s="128"/>
      <c r="AD78" s="124"/>
      <c r="BF78" s="103"/>
      <c r="BG78" s="102"/>
    </row>
    <row r="79" spans="1:59" ht="42" customHeight="1" x14ac:dyDescent="0.35">
      <c r="A79" s="103"/>
      <c r="B79" s="103"/>
      <c r="E79" s="141" t="s">
        <v>102</v>
      </c>
      <c r="F79" s="141"/>
      <c r="G79" s="141"/>
      <c r="H79" s="141"/>
      <c r="I79" s="141"/>
      <c r="P79" s="125"/>
      <c r="Q79" s="125"/>
      <c r="T79" s="126"/>
      <c r="X79" s="127"/>
      <c r="Z79" s="129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BF79" s="103"/>
      <c r="BG79" s="102"/>
    </row>
    <row r="80" spans="1:59" ht="21" customHeight="1" x14ac:dyDescent="0.35">
      <c r="B80" s="103"/>
      <c r="E80" s="130"/>
      <c r="P80" s="125"/>
      <c r="Q80" s="125"/>
      <c r="T80" s="126"/>
      <c r="X80" s="127"/>
      <c r="Z80" s="129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BF80" s="103"/>
      <c r="BG80" s="102"/>
    </row>
    <row r="81" spans="1:59" ht="30.75" customHeight="1" x14ac:dyDescent="0.55000000000000004">
      <c r="A81" s="131"/>
      <c r="B81" s="132"/>
      <c r="C81" s="132"/>
      <c r="D81" s="132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29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BF81" s="103"/>
      <c r="BG81" s="102"/>
    </row>
    <row r="82" spans="1:59" ht="30.75" customHeight="1" x14ac:dyDescent="0.55000000000000004">
      <c r="C82" s="102"/>
      <c r="D82" s="134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29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BG82" s="102"/>
    </row>
    <row r="83" spans="1:59" ht="30.75" customHeight="1" x14ac:dyDescent="0.55000000000000004">
      <c r="A83" s="131"/>
      <c r="C83" s="102"/>
      <c r="D83" s="102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29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BG83" s="102"/>
    </row>
    <row r="84" spans="1:59" ht="30.75" customHeight="1" x14ac:dyDescent="0.55000000000000004">
      <c r="A84" s="131"/>
      <c r="C84" s="102"/>
      <c r="D84" s="102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29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</row>
    <row r="85" spans="1:59" ht="30.75" customHeight="1" x14ac:dyDescent="0.55000000000000004">
      <c r="A85" s="131"/>
      <c r="C85" s="102"/>
      <c r="D85" s="102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29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</row>
    <row r="86" spans="1:59" ht="30.75" customHeight="1" x14ac:dyDescent="0.55000000000000004">
      <c r="A86" s="131"/>
      <c r="C86" s="102"/>
      <c r="D86" s="102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29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</row>
    <row r="87" spans="1:59" ht="30.75" customHeight="1" x14ac:dyDescent="0.55000000000000004">
      <c r="A87" s="131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29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</row>
    <row r="88" spans="1:59" ht="30.75" customHeight="1" x14ac:dyDescent="0.55000000000000004">
      <c r="A88" s="131"/>
      <c r="C88" s="102"/>
      <c r="D88" s="102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29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BG88" s="102"/>
    </row>
    <row r="89" spans="1:59" ht="30.75" customHeight="1" x14ac:dyDescent="0.55000000000000004">
      <c r="A89" s="131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29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</row>
    <row r="90" spans="1:59" ht="32.25" customHeight="1" x14ac:dyDescent="0.55000000000000004">
      <c r="A90" s="131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29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</row>
    <row r="91" spans="1:59" ht="32.25" customHeight="1" x14ac:dyDescent="0.55000000000000004">
      <c r="A91" s="131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29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</row>
    <row r="92" spans="1:59" ht="36" x14ac:dyDescent="0.55000000000000004">
      <c r="A92" s="131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29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</row>
    <row r="93" spans="1:59" ht="36" x14ac:dyDescent="0.55000000000000004">
      <c r="A93" s="131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29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</row>
    <row r="94" spans="1:59" ht="36" x14ac:dyDescent="0.55000000000000004">
      <c r="A94" s="131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29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</row>
    <row r="95" spans="1:59" ht="36" x14ac:dyDescent="0.55000000000000004">
      <c r="A95" s="131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29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</row>
    <row r="96" spans="1:59" x14ac:dyDescent="0.35">
      <c r="A96" s="131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29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</row>
    <row r="97" spans="1:36" x14ac:dyDescent="0.35"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29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</row>
    <row r="98" spans="1:36" x14ac:dyDescent="0.35"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29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</row>
    <row r="99" spans="1:36" ht="28.5" x14ac:dyDescent="0.45">
      <c r="A99" s="136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29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</row>
    <row r="100" spans="1:36" ht="28.5" x14ac:dyDescent="0.45">
      <c r="A100" s="136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29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</row>
    <row r="101" spans="1:36" ht="28.5" x14ac:dyDescent="0.45">
      <c r="A101" s="136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29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</row>
    <row r="102" spans="1:36" ht="28.5" x14ac:dyDescent="0.45">
      <c r="A102" s="136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29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</row>
    <row r="103" spans="1:36" ht="28.5" x14ac:dyDescent="0.45">
      <c r="A103" s="136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29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</row>
    <row r="104" spans="1:36" x14ac:dyDescent="0.35"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29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</row>
    <row r="105" spans="1:36" x14ac:dyDescent="0.35">
      <c r="E105" s="135"/>
      <c r="Z105" s="129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2"/>
    </row>
    <row r="106" spans="1:36" x14ac:dyDescent="0.35">
      <c r="Z106" s="129"/>
    </row>
    <row r="107" spans="1:36" x14ac:dyDescent="0.35">
      <c r="K107" s="137"/>
      <c r="L107" s="137"/>
      <c r="M107" s="137"/>
      <c r="Z107" s="129"/>
    </row>
    <row r="109" spans="1:36" x14ac:dyDescent="0.35">
      <c r="K109" s="134"/>
      <c r="L109" s="134"/>
      <c r="M109" s="134"/>
    </row>
    <row r="110" spans="1:36" x14ac:dyDescent="0.35">
      <c r="K110" s="134"/>
      <c r="L110" s="134"/>
      <c r="M110" s="134"/>
    </row>
    <row r="111" spans="1:36" x14ac:dyDescent="0.35">
      <c r="K111" s="134"/>
      <c r="L111" s="134"/>
      <c r="M111" s="134"/>
    </row>
  </sheetData>
  <mergeCells count="250">
    <mergeCell ref="AW63:AW64"/>
    <mergeCell ref="AW65:AW66"/>
    <mergeCell ref="AW67:AW68"/>
    <mergeCell ref="AW69:AW70"/>
    <mergeCell ref="AW71:AW72"/>
    <mergeCell ref="AW73:AW74"/>
    <mergeCell ref="AW41:AW42"/>
    <mergeCell ref="AW43:AW44"/>
    <mergeCell ref="AW45:AW46"/>
    <mergeCell ref="AW47:AW48"/>
    <mergeCell ref="AW51:AW52"/>
    <mergeCell ref="AW53:AW54"/>
    <mergeCell ref="AW57:AW58"/>
    <mergeCell ref="AW59:AW60"/>
    <mergeCell ref="AW61:AW62"/>
    <mergeCell ref="AW23:AW24"/>
    <mergeCell ref="AW25:AW26"/>
    <mergeCell ref="AW27:AW28"/>
    <mergeCell ref="AW29:AW30"/>
    <mergeCell ref="AW31:AW32"/>
    <mergeCell ref="AW33:AW34"/>
    <mergeCell ref="AW35:AW36"/>
    <mergeCell ref="AW37:AW38"/>
    <mergeCell ref="AW39:AW40"/>
    <mergeCell ref="AW5:AW6"/>
    <mergeCell ref="AW7:AW8"/>
    <mergeCell ref="AW9:AW10"/>
    <mergeCell ref="AW11:AW12"/>
    <mergeCell ref="AW13:AW14"/>
    <mergeCell ref="AW15:AW16"/>
    <mergeCell ref="AW17:AW18"/>
    <mergeCell ref="AW19:AW20"/>
    <mergeCell ref="AW21:AW22"/>
    <mergeCell ref="AK9:AK10"/>
    <mergeCell ref="AL9:AL10"/>
    <mergeCell ref="AQ9:AQ10"/>
    <mergeCell ref="AR9:AR10"/>
    <mergeCell ref="AK11:AK12"/>
    <mergeCell ref="AL11:AL12"/>
    <mergeCell ref="AQ11:AQ12"/>
    <mergeCell ref="AR11:AR12"/>
    <mergeCell ref="AK5:AK6"/>
    <mergeCell ref="AL5:AL6"/>
    <mergeCell ref="AQ5:AQ6"/>
    <mergeCell ref="AR5:AR6"/>
    <mergeCell ref="AK7:AK8"/>
    <mergeCell ref="AL7:AL8"/>
    <mergeCell ref="AQ7:AQ8"/>
    <mergeCell ref="AR7:AR8"/>
    <mergeCell ref="AK17:AK18"/>
    <mergeCell ref="AL17:AL18"/>
    <mergeCell ref="AQ17:AQ18"/>
    <mergeCell ref="AR17:AR18"/>
    <mergeCell ref="AK19:AK20"/>
    <mergeCell ref="AL19:AL20"/>
    <mergeCell ref="AQ19:AQ20"/>
    <mergeCell ref="AR19:AR20"/>
    <mergeCell ref="AK13:AK14"/>
    <mergeCell ref="AL13:AL14"/>
    <mergeCell ref="AQ13:AQ14"/>
    <mergeCell ref="AR13:AR14"/>
    <mergeCell ref="AK15:AK16"/>
    <mergeCell ref="AL15:AL16"/>
    <mergeCell ref="AQ15:AQ16"/>
    <mergeCell ref="AR15:AR16"/>
    <mergeCell ref="AK25:AK26"/>
    <mergeCell ref="AL25:AL26"/>
    <mergeCell ref="AQ25:AQ26"/>
    <mergeCell ref="AR25:AR26"/>
    <mergeCell ref="AK27:AK28"/>
    <mergeCell ref="AL27:AL28"/>
    <mergeCell ref="AQ27:AQ28"/>
    <mergeCell ref="AR27:AR28"/>
    <mergeCell ref="AK21:AK22"/>
    <mergeCell ref="AL21:AL22"/>
    <mergeCell ref="AQ21:AQ22"/>
    <mergeCell ref="AR21:AR22"/>
    <mergeCell ref="AK23:AK24"/>
    <mergeCell ref="AL23:AL24"/>
    <mergeCell ref="AQ23:AQ24"/>
    <mergeCell ref="AR23:AR24"/>
    <mergeCell ref="AK33:AK34"/>
    <mergeCell ref="AL33:AL34"/>
    <mergeCell ref="AQ33:AQ34"/>
    <mergeCell ref="AR33:AR34"/>
    <mergeCell ref="AK35:AK36"/>
    <mergeCell ref="AL35:AL36"/>
    <mergeCell ref="AQ35:AQ36"/>
    <mergeCell ref="AR35:AR36"/>
    <mergeCell ref="AK29:AK30"/>
    <mergeCell ref="AL29:AL30"/>
    <mergeCell ref="AQ29:AQ30"/>
    <mergeCell ref="AR29:AR30"/>
    <mergeCell ref="AK31:AK32"/>
    <mergeCell ref="AL31:AL32"/>
    <mergeCell ref="AQ31:AQ32"/>
    <mergeCell ref="AR31:AR32"/>
    <mergeCell ref="AK41:AK42"/>
    <mergeCell ref="AL41:AL42"/>
    <mergeCell ref="AQ41:AQ42"/>
    <mergeCell ref="AR41:AR42"/>
    <mergeCell ref="AK43:AK44"/>
    <mergeCell ref="AL43:AL44"/>
    <mergeCell ref="AQ43:AQ44"/>
    <mergeCell ref="AR43:AR44"/>
    <mergeCell ref="AK37:AK38"/>
    <mergeCell ref="AL37:AL38"/>
    <mergeCell ref="AQ37:AQ38"/>
    <mergeCell ref="AR37:AR38"/>
    <mergeCell ref="AK39:AK40"/>
    <mergeCell ref="AL39:AL40"/>
    <mergeCell ref="AQ39:AQ40"/>
    <mergeCell ref="AR39:AR40"/>
    <mergeCell ref="AK49:AK50"/>
    <mergeCell ref="AL49:AL50"/>
    <mergeCell ref="AQ49:AQ50"/>
    <mergeCell ref="AR49:AR50"/>
    <mergeCell ref="AK51:AK52"/>
    <mergeCell ref="AL51:AL52"/>
    <mergeCell ref="AQ51:AQ52"/>
    <mergeCell ref="AR51:AR52"/>
    <mergeCell ref="AK45:AK46"/>
    <mergeCell ref="AL45:AL46"/>
    <mergeCell ref="AQ45:AQ46"/>
    <mergeCell ref="AR45:AR46"/>
    <mergeCell ref="AK47:AK48"/>
    <mergeCell ref="AL47:AL48"/>
    <mergeCell ref="AQ47:AQ48"/>
    <mergeCell ref="AR47:AR48"/>
    <mergeCell ref="AK57:AK58"/>
    <mergeCell ref="AL57:AL58"/>
    <mergeCell ref="AQ57:AQ58"/>
    <mergeCell ref="AR57:AR58"/>
    <mergeCell ref="AK59:AK60"/>
    <mergeCell ref="AL59:AL60"/>
    <mergeCell ref="AQ59:AQ60"/>
    <mergeCell ref="AR59:AR60"/>
    <mergeCell ref="AK53:AK54"/>
    <mergeCell ref="AL53:AL54"/>
    <mergeCell ref="AQ53:AQ54"/>
    <mergeCell ref="AR53:AR54"/>
    <mergeCell ref="AK55:AK56"/>
    <mergeCell ref="AL55:AL56"/>
    <mergeCell ref="AQ55:AQ56"/>
    <mergeCell ref="AR55:AR56"/>
    <mergeCell ref="AK65:AK66"/>
    <mergeCell ref="AL65:AL66"/>
    <mergeCell ref="AQ65:AQ66"/>
    <mergeCell ref="AR65:AR66"/>
    <mergeCell ref="AK67:AK68"/>
    <mergeCell ref="AL67:AL68"/>
    <mergeCell ref="AQ67:AQ68"/>
    <mergeCell ref="AR67:AR68"/>
    <mergeCell ref="AK61:AK62"/>
    <mergeCell ref="AL61:AL62"/>
    <mergeCell ref="AQ61:AQ62"/>
    <mergeCell ref="AR61:AR62"/>
    <mergeCell ref="AK63:AK64"/>
    <mergeCell ref="AL63:AL64"/>
    <mergeCell ref="AQ63:AQ64"/>
    <mergeCell ref="AR63:AR64"/>
    <mergeCell ref="AK73:AK74"/>
    <mergeCell ref="AL73:AL74"/>
    <mergeCell ref="AQ73:AQ74"/>
    <mergeCell ref="AR73:AR74"/>
    <mergeCell ref="AK69:AK70"/>
    <mergeCell ref="AL69:AL70"/>
    <mergeCell ref="AQ69:AQ70"/>
    <mergeCell ref="AR69:AR70"/>
    <mergeCell ref="AK71:AK72"/>
    <mergeCell ref="AL71:AL72"/>
    <mergeCell ref="AQ71:AQ72"/>
    <mergeCell ref="AR71:AR72"/>
    <mergeCell ref="A5:A10"/>
    <mergeCell ref="B5:B6"/>
    <mergeCell ref="C5:C6"/>
    <mergeCell ref="B7:B8"/>
    <mergeCell ref="C7:C8"/>
    <mergeCell ref="B9:B10"/>
    <mergeCell ref="C9:C10"/>
    <mergeCell ref="A11:A22"/>
    <mergeCell ref="B11:B12"/>
    <mergeCell ref="C11:C12"/>
    <mergeCell ref="B13:B14"/>
    <mergeCell ref="C13:C14"/>
    <mergeCell ref="B15:B16"/>
    <mergeCell ref="C15:C16"/>
    <mergeCell ref="B17:B18"/>
    <mergeCell ref="C17:C18"/>
    <mergeCell ref="B19:B20"/>
    <mergeCell ref="C19:C20"/>
    <mergeCell ref="B21:B22"/>
    <mergeCell ref="C21:C22"/>
    <mergeCell ref="A23:A36"/>
    <mergeCell ref="B23:B24"/>
    <mergeCell ref="C23:C24"/>
    <mergeCell ref="B25:B26"/>
    <mergeCell ref="C25:C26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A37:A48"/>
    <mergeCell ref="B37:B38"/>
    <mergeCell ref="C37:C38"/>
    <mergeCell ref="B39:B40"/>
    <mergeCell ref="C39:C40"/>
    <mergeCell ref="B41:B42"/>
    <mergeCell ref="C41:C42"/>
    <mergeCell ref="B43:B44"/>
    <mergeCell ref="C43:C44"/>
    <mergeCell ref="B45:B46"/>
    <mergeCell ref="C45:C46"/>
    <mergeCell ref="B47:B48"/>
    <mergeCell ref="C47:C48"/>
    <mergeCell ref="A49:A64"/>
    <mergeCell ref="B49:B60"/>
    <mergeCell ref="C49:C50"/>
    <mergeCell ref="D49:D50"/>
    <mergeCell ref="C51:C52"/>
    <mergeCell ref="D51:D52"/>
    <mergeCell ref="C53:C54"/>
    <mergeCell ref="D53:D54"/>
    <mergeCell ref="C55:C56"/>
    <mergeCell ref="D55:D56"/>
    <mergeCell ref="C57:C58"/>
    <mergeCell ref="D57:D58"/>
    <mergeCell ref="C59:C60"/>
    <mergeCell ref="B61:B62"/>
    <mergeCell ref="C61:C62"/>
    <mergeCell ref="B63:B64"/>
    <mergeCell ref="C63:C64"/>
    <mergeCell ref="D71:D72"/>
    <mergeCell ref="B73:B74"/>
    <mergeCell ref="C73:C74"/>
    <mergeCell ref="A65:A70"/>
    <mergeCell ref="B65:B66"/>
    <mergeCell ref="C65:C66"/>
    <mergeCell ref="B67:B68"/>
    <mergeCell ref="C67:C68"/>
    <mergeCell ref="B69:B70"/>
    <mergeCell ref="C69:C70"/>
    <mergeCell ref="B71:B72"/>
    <mergeCell ref="C71:C72"/>
  </mergeCells>
  <conditionalFormatting sqref="AM1:AM1048576">
    <cfRule type="cellIs" dxfId="28" priority="1" operator="greaterThan">
      <formula>1</formula>
    </cfRule>
  </conditionalFormatting>
  <printOptions horizontalCentered="1"/>
  <pageMargins left="0.19685039370078741" right="0.19685039370078741" top="0.23622047244094491" bottom="0.23622047244094491" header="0" footer="0"/>
  <pageSetup paperSize="9" scale="22" fitToHeight="0" orientation="landscape" horizontalDpi="4294967293" verticalDpi="4294967293" r:id="rId1"/>
  <colBreaks count="1" manualBreakCount="1">
    <brk id="6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7F78-C29E-4F5F-9F61-7971D023DB84}">
  <sheetPr>
    <tabColor rgb="FFFFFF00"/>
    <pageSetUpPr fitToPage="1"/>
  </sheetPr>
  <dimension ref="A1:AV92"/>
  <sheetViews>
    <sheetView topLeftCell="A7" workbookViewId="0">
      <selection activeCell="T20" sqref="T20"/>
    </sheetView>
  </sheetViews>
  <sheetFormatPr defaultRowHeight="15" x14ac:dyDescent="0.25"/>
  <cols>
    <col min="1" max="1" width="16.140625" style="19" customWidth="1"/>
    <col min="2" max="2" width="9.5703125" style="19" customWidth="1"/>
    <col min="3" max="5" width="11.85546875" style="18" customWidth="1"/>
    <col min="6" max="9" width="11.85546875" style="19" customWidth="1"/>
    <col min="10" max="10" width="11.85546875" style="20" customWidth="1"/>
    <col min="11" max="11" width="9" style="19" bestFit="1" customWidth="1"/>
    <col min="12" max="20" width="9.140625" style="19" customWidth="1"/>
    <col min="22" max="23" width="9.140625" style="19" customWidth="1"/>
    <col min="24" max="16384" width="9.140625" style="19"/>
  </cols>
  <sheetData>
    <row r="1" spans="1:48" ht="15.75" thickBot="1" x14ac:dyDescent="0.3">
      <c r="A1" s="5" t="s">
        <v>263</v>
      </c>
      <c r="B1" s="18"/>
      <c r="H1" s="473" t="s">
        <v>169</v>
      </c>
    </row>
    <row r="2" spans="1:48" s="29" customFormat="1" ht="45" x14ac:dyDescent="0.25">
      <c r="A2" s="21" t="s">
        <v>53</v>
      </c>
      <c r="B2" s="21" t="s">
        <v>54</v>
      </c>
      <c r="C2" s="22" t="s">
        <v>55</v>
      </c>
      <c r="D2" s="23" t="s">
        <v>56</v>
      </c>
      <c r="E2" s="21" t="s">
        <v>57</v>
      </c>
      <c r="F2" s="24" t="s">
        <v>58</v>
      </c>
      <c r="G2" s="25" t="s">
        <v>59</v>
      </c>
      <c r="H2" s="26" t="s">
        <v>60</v>
      </c>
      <c r="I2" s="27" t="s">
        <v>61</v>
      </c>
      <c r="J2" s="28" t="s">
        <v>62</v>
      </c>
    </row>
    <row r="3" spans="1:48" s="36" customFormat="1" ht="21.75" customHeight="1" x14ac:dyDescent="0.25">
      <c r="A3" s="1042" t="s">
        <v>135</v>
      </c>
      <c r="B3" s="30">
        <v>1</v>
      </c>
      <c r="C3" s="31">
        <v>53.2</v>
      </c>
      <c r="D3" s="1045">
        <f>SUM(C3:C5)</f>
        <v>164</v>
      </c>
      <c r="E3" s="31">
        <f t="shared" ref="E3:E35" si="0">VLOOKUP(B3,ffbbudgettwofive,16,FALSE)</f>
        <v>149</v>
      </c>
      <c r="F3" s="32">
        <f t="shared" ref="F3:F35" si="1">VLOOKUP(B3,july,7,FALSE)</f>
        <v>45.47</v>
      </c>
      <c r="G3" s="33">
        <f t="shared" ref="G3:G35" si="2">VLOOKUP(B3,july,9,FALSE)</f>
        <v>61.180000000000007</v>
      </c>
      <c r="H3" s="33">
        <f t="shared" ref="H3:H35" si="3">VLOOKUP(B3,july,11,FALSE)</f>
        <v>0</v>
      </c>
      <c r="I3" s="34"/>
      <c r="J3" s="35">
        <f t="shared" ref="J3:J35" si="4">SUM(F3:I3)</f>
        <v>106.65</v>
      </c>
      <c r="N3" s="36">
        <v>1</v>
      </c>
      <c r="S3" s="19">
        <v>1</v>
      </c>
      <c r="T3" s="19">
        <v>45.47</v>
      </c>
      <c r="V3" s="19">
        <v>61.180000000000007</v>
      </c>
      <c r="W3" s="19"/>
      <c r="X3" s="19"/>
      <c r="AU3" s="36">
        <v>162.4</v>
      </c>
      <c r="AV3" s="36">
        <v>20.11</v>
      </c>
    </row>
    <row r="4" spans="1:48" ht="15.75" customHeight="1" x14ac:dyDescent="0.25">
      <c r="A4" s="1043"/>
      <c r="B4" s="30">
        <v>3</v>
      </c>
      <c r="C4" s="31">
        <v>69.2</v>
      </c>
      <c r="D4" s="1046"/>
      <c r="E4" s="31">
        <f t="shared" si="0"/>
        <v>194</v>
      </c>
      <c r="F4" s="32">
        <f t="shared" si="1"/>
        <v>15.21</v>
      </c>
      <c r="G4" s="33">
        <f t="shared" si="2"/>
        <v>64.8</v>
      </c>
      <c r="H4" s="33">
        <f t="shared" si="3"/>
        <v>0</v>
      </c>
      <c r="I4" s="34"/>
      <c r="J4" s="35">
        <f t="shared" si="4"/>
        <v>80.009999999999991</v>
      </c>
      <c r="N4" s="19">
        <v>2</v>
      </c>
      <c r="O4" s="36"/>
      <c r="S4" s="19">
        <v>2</v>
      </c>
      <c r="T4" s="19">
        <v>57.309999999999995</v>
      </c>
      <c r="AU4" s="19">
        <v>176.2</v>
      </c>
      <c r="AV4" s="19">
        <v>32.85</v>
      </c>
    </row>
    <row r="5" spans="1:48" ht="15.75" customHeight="1" x14ac:dyDescent="0.25">
      <c r="A5" s="1044"/>
      <c r="B5" s="30">
        <v>14</v>
      </c>
      <c r="C5" s="31">
        <v>41.6</v>
      </c>
      <c r="D5" s="1047"/>
      <c r="E5" s="31">
        <f t="shared" si="0"/>
        <v>122</v>
      </c>
      <c r="F5" s="32">
        <f t="shared" si="1"/>
        <v>45.839999999999996</v>
      </c>
      <c r="G5" s="33">
        <f t="shared" si="2"/>
        <v>0</v>
      </c>
      <c r="H5" s="33">
        <f t="shared" si="3"/>
        <v>0</v>
      </c>
      <c r="I5" s="34"/>
      <c r="J5" s="35">
        <f t="shared" si="4"/>
        <v>45.839999999999996</v>
      </c>
      <c r="N5" s="19">
        <v>3</v>
      </c>
      <c r="O5" s="36"/>
      <c r="S5" s="19">
        <v>3</v>
      </c>
      <c r="T5" s="19">
        <v>15.21</v>
      </c>
      <c r="V5" s="19">
        <v>64.8</v>
      </c>
      <c r="AU5" s="19">
        <v>172.6</v>
      </c>
      <c r="AV5" s="19">
        <v>57.230000000000004</v>
      </c>
    </row>
    <row r="6" spans="1:48" ht="15.75" customHeight="1" x14ac:dyDescent="0.25">
      <c r="A6" s="1042" t="s">
        <v>64</v>
      </c>
      <c r="B6" s="37">
        <v>15</v>
      </c>
      <c r="C6" s="31">
        <v>49.3</v>
      </c>
      <c r="D6" s="1045">
        <f>SUM(C6:C12)</f>
        <v>385.4</v>
      </c>
      <c r="E6" s="31">
        <f t="shared" si="0"/>
        <v>138</v>
      </c>
      <c r="F6" s="32">
        <f t="shared" si="1"/>
        <v>70.900000000000006</v>
      </c>
      <c r="G6" s="33">
        <f t="shared" si="2"/>
        <v>53.16</v>
      </c>
      <c r="H6" s="33">
        <f t="shared" si="3"/>
        <v>0</v>
      </c>
      <c r="I6" s="34"/>
      <c r="J6" s="35">
        <f t="shared" si="4"/>
        <v>124.06</v>
      </c>
      <c r="N6" s="19">
        <v>4</v>
      </c>
      <c r="O6" s="36"/>
      <c r="S6" s="19">
        <v>4</v>
      </c>
      <c r="T6" s="19">
        <v>65.040000000000006</v>
      </c>
      <c r="AU6" s="19">
        <v>168.3</v>
      </c>
      <c r="AV6" s="19">
        <v>34.049999999999997</v>
      </c>
    </row>
    <row r="7" spans="1:48" ht="15.75" customHeight="1" x14ac:dyDescent="0.25">
      <c r="A7" s="1043"/>
      <c r="B7" s="37">
        <v>16</v>
      </c>
      <c r="C7" s="31">
        <v>53.2</v>
      </c>
      <c r="D7" s="1046"/>
      <c r="E7" s="31">
        <f t="shared" si="0"/>
        <v>149</v>
      </c>
      <c r="F7" s="32">
        <f t="shared" si="1"/>
        <v>53.38</v>
      </c>
      <c r="G7" s="33">
        <f t="shared" si="2"/>
        <v>58.28</v>
      </c>
      <c r="H7" s="33">
        <f t="shared" si="3"/>
        <v>0</v>
      </c>
      <c r="I7" s="34"/>
      <c r="J7" s="35">
        <f t="shared" si="4"/>
        <v>111.66</v>
      </c>
      <c r="N7" s="19">
        <v>5</v>
      </c>
      <c r="O7" s="36"/>
      <c r="S7" s="19">
        <v>5</v>
      </c>
      <c r="T7" s="19">
        <v>47.44</v>
      </c>
      <c r="V7" s="19">
        <v>32.090000000000003</v>
      </c>
      <c r="AU7" s="19">
        <v>172.6</v>
      </c>
      <c r="AV7" s="19">
        <v>38.319999999999993</v>
      </c>
    </row>
    <row r="8" spans="1:48" ht="15.75" customHeight="1" x14ac:dyDescent="0.25">
      <c r="A8" s="1043"/>
      <c r="B8" s="37">
        <v>17</v>
      </c>
      <c r="C8" s="31">
        <v>45.7</v>
      </c>
      <c r="D8" s="1046"/>
      <c r="E8" s="31">
        <f t="shared" si="0"/>
        <v>141</v>
      </c>
      <c r="F8" s="32">
        <f t="shared" si="1"/>
        <v>43.17</v>
      </c>
      <c r="G8" s="33">
        <f t="shared" si="2"/>
        <v>0</v>
      </c>
      <c r="H8" s="33">
        <f t="shared" si="3"/>
        <v>0</v>
      </c>
      <c r="I8" s="34"/>
      <c r="J8" s="35">
        <f t="shared" si="4"/>
        <v>43.17</v>
      </c>
      <c r="N8" s="19">
        <v>6</v>
      </c>
      <c r="O8" s="36"/>
      <c r="S8" s="19">
        <v>6</v>
      </c>
      <c r="T8" s="19">
        <v>60.33</v>
      </c>
      <c r="V8" s="19">
        <v>64.91</v>
      </c>
      <c r="AU8" s="19">
        <v>143.6</v>
      </c>
      <c r="AV8" s="19">
        <v>33.449999999999996</v>
      </c>
    </row>
    <row r="9" spans="1:48" ht="15.75" customHeight="1" x14ac:dyDescent="0.25">
      <c r="A9" s="1043"/>
      <c r="B9" s="37">
        <v>19</v>
      </c>
      <c r="C9" s="31">
        <v>50.62</v>
      </c>
      <c r="D9" s="1046"/>
      <c r="E9" s="31">
        <f t="shared" si="0"/>
        <v>149</v>
      </c>
      <c r="F9" s="32">
        <f t="shared" si="1"/>
        <v>56.22</v>
      </c>
      <c r="G9" s="33">
        <f t="shared" si="2"/>
        <v>33.75</v>
      </c>
      <c r="H9" s="33">
        <f t="shared" si="3"/>
        <v>0</v>
      </c>
      <c r="I9" s="34"/>
      <c r="J9" s="35">
        <f t="shared" si="4"/>
        <v>89.97</v>
      </c>
      <c r="N9" s="19">
        <v>7</v>
      </c>
      <c r="O9" s="36"/>
      <c r="S9" s="19">
        <v>7</v>
      </c>
      <c r="T9" s="19">
        <v>19.149999999999999</v>
      </c>
      <c r="AU9" s="19">
        <v>167.6</v>
      </c>
      <c r="AV9" s="19">
        <v>20.65</v>
      </c>
    </row>
    <row r="10" spans="1:48" ht="15.75" customHeight="1" x14ac:dyDescent="0.25">
      <c r="A10" s="1043"/>
      <c r="B10" s="37">
        <v>20</v>
      </c>
      <c r="C10" s="31">
        <v>62.08</v>
      </c>
      <c r="D10" s="1046"/>
      <c r="E10" s="31">
        <f t="shared" si="0"/>
        <v>183</v>
      </c>
      <c r="F10" s="32">
        <f t="shared" si="1"/>
        <v>84.19</v>
      </c>
      <c r="G10" s="33">
        <f t="shared" si="2"/>
        <v>52.47</v>
      </c>
      <c r="H10" s="33">
        <f t="shared" si="3"/>
        <v>0</v>
      </c>
      <c r="I10" s="34"/>
      <c r="J10" s="35">
        <f t="shared" si="4"/>
        <v>136.66</v>
      </c>
      <c r="N10" s="19">
        <v>8</v>
      </c>
      <c r="O10" s="36"/>
      <c r="S10" s="19">
        <v>8</v>
      </c>
      <c r="T10" s="19">
        <v>59.31</v>
      </c>
      <c r="V10" s="19">
        <v>7.63</v>
      </c>
      <c r="AU10" s="19">
        <v>131.30000000000001</v>
      </c>
      <c r="AV10" s="19">
        <v>25.36</v>
      </c>
    </row>
    <row r="11" spans="1:48" ht="15.75" customHeight="1" x14ac:dyDescent="0.25">
      <c r="A11" s="1043"/>
      <c r="B11" s="37">
        <v>21</v>
      </c>
      <c r="C11" s="31">
        <v>72.2</v>
      </c>
      <c r="D11" s="1046"/>
      <c r="E11" s="31">
        <f t="shared" si="0"/>
        <v>232</v>
      </c>
      <c r="F11" s="32">
        <f t="shared" si="1"/>
        <v>101.30000000000001</v>
      </c>
      <c r="G11" s="33">
        <f t="shared" si="2"/>
        <v>20.9</v>
      </c>
      <c r="H11" s="33">
        <f t="shared" si="3"/>
        <v>0</v>
      </c>
      <c r="I11" s="34"/>
      <c r="J11" s="35">
        <f t="shared" si="4"/>
        <v>122.20000000000002</v>
      </c>
      <c r="N11" s="19">
        <v>9</v>
      </c>
      <c r="O11" s="36"/>
      <c r="S11" s="19">
        <v>9</v>
      </c>
      <c r="T11" s="19">
        <v>33.010000000000005</v>
      </c>
      <c r="AU11" s="19">
        <v>109.1</v>
      </c>
      <c r="AV11" s="19">
        <v>15.24</v>
      </c>
    </row>
    <row r="12" spans="1:48" ht="15.75" customHeight="1" x14ac:dyDescent="0.25">
      <c r="A12" s="1044"/>
      <c r="B12" s="37">
        <v>22</v>
      </c>
      <c r="C12" s="31">
        <v>52.3</v>
      </c>
      <c r="D12" s="1047"/>
      <c r="E12" s="31">
        <f t="shared" si="0"/>
        <v>154</v>
      </c>
      <c r="F12" s="32">
        <f t="shared" si="1"/>
        <v>64.45</v>
      </c>
      <c r="G12" s="33">
        <f t="shared" si="2"/>
        <v>0</v>
      </c>
      <c r="H12" s="33">
        <f t="shared" si="3"/>
        <v>0</v>
      </c>
      <c r="I12" s="34"/>
      <c r="J12" s="35">
        <f t="shared" si="4"/>
        <v>64.45</v>
      </c>
      <c r="N12" s="19">
        <v>10</v>
      </c>
      <c r="O12" s="36"/>
      <c r="S12" s="19">
        <v>10</v>
      </c>
      <c r="T12" s="19">
        <v>13.41</v>
      </c>
      <c r="AU12" s="19">
        <v>132.5</v>
      </c>
      <c r="AV12" s="19">
        <v>7.83</v>
      </c>
    </row>
    <row r="13" spans="1:48" ht="15.75" customHeight="1" x14ac:dyDescent="0.25">
      <c r="A13" s="1042" t="s">
        <v>65</v>
      </c>
      <c r="B13" s="38">
        <v>2</v>
      </c>
      <c r="C13" s="31">
        <v>60.4</v>
      </c>
      <c r="D13" s="1045">
        <f>SUM(C13:C14)</f>
        <v>104.9</v>
      </c>
      <c r="E13" s="31">
        <f t="shared" si="0"/>
        <v>169</v>
      </c>
      <c r="F13" s="32">
        <f t="shared" si="1"/>
        <v>57.309999999999995</v>
      </c>
      <c r="G13" s="33">
        <f t="shared" si="2"/>
        <v>0</v>
      </c>
      <c r="H13" s="33">
        <f t="shared" si="3"/>
        <v>0</v>
      </c>
      <c r="I13" s="34"/>
      <c r="J13" s="35">
        <f t="shared" si="4"/>
        <v>57.309999999999995</v>
      </c>
      <c r="N13" s="19">
        <v>11</v>
      </c>
      <c r="O13" s="36"/>
      <c r="S13" s="19">
        <v>11</v>
      </c>
      <c r="T13" s="19">
        <v>32.42</v>
      </c>
      <c r="AU13" s="19">
        <v>158</v>
      </c>
      <c r="AV13" s="19">
        <v>11.23</v>
      </c>
    </row>
    <row r="14" spans="1:48" ht="15.75" customHeight="1" x14ac:dyDescent="0.25">
      <c r="A14" s="1044"/>
      <c r="B14" s="38">
        <v>11</v>
      </c>
      <c r="C14" s="31">
        <v>44.5</v>
      </c>
      <c r="D14" s="1047"/>
      <c r="E14" s="31">
        <f t="shared" si="0"/>
        <v>118</v>
      </c>
      <c r="F14" s="32">
        <f t="shared" si="1"/>
        <v>32.42</v>
      </c>
      <c r="G14" s="33">
        <f t="shared" si="2"/>
        <v>0</v>
      </c>
      <c r="H14" s="33">
        <f t="shared" si="3"/>
        <v>0</v>
      </c>
      <c r="I14" s="34"/>
      <c r="J14" s="35">
        <f t="shared" si="4"/>
        <v>32.42</v>
      </c>
      <c r="N14" s="19">
        <v>12</v>
      </c>
      <c r="O14" s="36"/>
      <c r="S14" s="19">
        <v>12</v>
      </c>
      <c r="T14" s="19">
        <v>49.47</v>
      </c>
      <c r="V14" s="19">
        <v>43.91</v>
      </c>
      <c r="AU14" s="19">
        <v>110</v>
      </c>
      <c r="AV14" s="19">
        <v>18.38</v>
      </c>
    </row>
    <row r="15" spans="1:48" ht="15.75" customHeight="1" x14ac:dyDescent="0.25">
      <c r="A15" s="1042" t="s">
        <v>237</v>
      </c>
      <c r="B15" s="39">
        <v>4</v>
      </c>
      <c r="C15" s="31">
        <v>70.599999999999994</v>
      </c>
      <c r="D15" s="1045">
        <f>SUM(C15:C20)</f>
        <v>262.5</v>
      </c>
      <c r="E15" s="31">
        <f t="shared" si="0"/>
        <v>198</v>
      </c>
      <c r="F15" s="32">
        <f t="shared" si="1"/>
        <v>65.040000000000006</v>
      </c>
      <c r="G15" s="33">
        <f t="shared" si="2"/>
        <v>0</v>
      </c>
      <c r="H15" s="33">
        <f t="shared" si="3"/>
        <v>0</v>
      </c>
      <c r="I15" s="34"/>
      <c r="J15" s="35">
        <f t="shared" si="4"/>
        <v>65.040000000000006</v>
      </c>
      <c r="N15" s="19">
        <v>13</v>
      </c>
      <c r="O15" s="36"/>
      <c r="S15" s="19">
        <v>13</v>
      </c>
      <c r="T15" s="19">
        <v>59.580000000000005</v>
      </c>
      <c r="V15" s="19">
        <v>53.370000000000005</v>
      </c>
      <c r="AU15" s="19">
        <v>181.6</v>
      </c>
      <c r="AV15" s="19">
        <v>29.55</v>
      </c>
    </row>
    <row r="16" spans="1:48" ht="16.5" customHeight="1" x14ac:dyDescent="0.25">
      <c r="A16" s="1043"/>
      <c r="B16" s="39">
        <v>5</v>
      </c>
      <c r="C16" s="31">
        <v>50.4</v>
      </c>
      <c r="D16" s="1046"/>
      <c r="E16" s="31">
        <f t="shared" si="0"/>
        <v>141</v>
      </c>
      <c r="F16" s="32">
        <f t="shared" si="1"/>
        <v>47.44</v>
      </c>
      <c r="G16" s="33">
        <f t="shared" si="2"/>
        <v>32.090000000000003</v>
      </c>
      <c r="H16" s="40">
        <f t="shared" si="3"/>
        <v>0</v>
      </c>
      <c r="I16" s="34"/>
      <c r="J16" s="35">
        <f t="shared" si="4"/>
        <v>79.53</v>
      </c>
      <c r="N16" s="19">
        <v>14</v>
      </c>
      <c r="O16" s="36"/>
      <c r="S16" s="19">
        <v>14</v>
      </c>
      <c r="T16" s="19">
        <v>45.839999999999996</v>
      </c>
      <c r="AU16" s="19">
        <v>244.3</v>
      </c>
      <c r="AV16" s="19">
        <v>19.989999999999998</v>
      </c>
    </row>
    <row r="17" spans="1:48" ht="15.75" customHeight="1" x14ac:dyDescent="0.25">
      <c r="A17" s="1043"/>
      <c r="B17" s="39">
        <v>6</v>
      </c>
      <c r="C17" s="31">
        <v>58.6</v>
      </c>
      <c r="D17" s="1046"/>
      <c r="E17" s="31">
        <f t="shared" si="0"/>
        <v>164</v>
      </c>
      <c r="F17" s="32">
        <f t="shared" si="1"/>
        <v>60.33</v>
      </c>
      <c r="G17" s="33">
        <f t="shared" si="2"/>
        <v>64.91</v>
      </c>
      <c r="H17" s="33">
        <f t="shared" si="3"/>
        <v>0</v>
      </c>
      <c r="I17" s="34"/>
      <c r="J17" s="35">
        <f t="shared" si="4"/>
        <v>125.24</v>
      </c>
      <c r="N17" s="19">
        <v>15</v>
      </c>
      <c r="O17" s="36"/>
      <c r="S17" s="19">
        <v>15</v>
      </c>
      <c r="T17" s="19">
        <v>70.900000000000006</v>
      </c>
      <c r="V17" s="19">
        <v>53.16</v>
      </c>
      <c r="AU17" s="19">
        <v>206.4</v>
      </c>
    </row>
    <row r="18" spans="1:48" ht="15.75" customHeight="1" x14ac:dyDescent="0.25">
      <c r="A18" s="1043"/>
      <c r="B18" s="39">
        <v>7</v>
      </c>
      <c r="C18" s="31">
        <v>23.6</v>
      </c>
      <c r="D18" s="1046"/>
      <c r="E18" s="31">
        <f t="shared" si="0"/>
        <v>56</v>
      </c>
      <c r="F18" s="32">
        <f t="shared" si="1"/>
        <v>19.149999999999999</v>
      </c>
      <c r="G18" s="33">
        <f t="shared" si="2"/>
        <v>0</v>
      </c>
      <c r="H18" s="33">
        <f t="shared" si="3"/>
        <v>0</v>
      </c>
      <c r="I18" s="34"/>
      <c r="J18" s="35">
        <f t="shared" si="4"/>
        <v>19.149999999999999</v>
      </c>
      <c r="N18" s="19">
        <v>16</v>
      </c>
      <c r="O18" s="36"/>
      <c r="S18" s="19">
        <v>16</v>
      </c>
      <c r="T18" s="19">
        <v>53.38</v>
      </c>
      <c r="V18" s="19">
        <v>58.28</v>
      </c>
      <c r="AU18" s="19">
        <v>183.7</v>
      </c>
      <c r="AV18" s="19">
        <v>36.29</v>
      </c>
    </row>
    <row r="19" spans="1:48" ht="15.75" customHeight="1" x14ac:dyDescent="0.25">
      <c r="A19" s="1043"/>
      <c r="B19" s="39">
        <v>23</v>
      </c>
      <c r="C19" s="31">
        <v>14.6</v>
      </c>
      <c r="D19" s="1046"/>
      <c r="E19" s="31">
        <f t="shared" si="0"/>
        <v>43</v>
      </c>
      <c r="F19" s="32">
        <f t="shared" si="1"/>
        <v>25.259999999999998</v>
      </c>
      <c r="G19" s="33">
        <f t="shared" si="2"/>
        <v>0</v>
      </c>
      <c r="H19" s="33">
        <f t="shared" si="3"/>
        <v>0</v>
      </c>
      <c r="I19" s="34"/>
      <c r="J19" s="35">
        <f t="shared" si="4"/>
        <v>25.259999999999998</v>
      </c>
      <c r="N19" s="19">
        <v>17</v>
      </c>
      <c r="O19" s="36"/>
      <c r="S19" s="19">
        <v>17</v>
      </c>
      <c r="T19" s="19">
        <v>43.17</v>
      </c>
      <c r="AU19" s="19">
        <v>154.80000000000001</v>
      </c>
      <c r="AV19" s="19">
        <v>46.18</v>
      </c>
    </row>
    <row r="20" spans="1:48" ht="15.75" customHeight="1" x14ac:dyDescent="0.25">
      <c r="A20" s="1044"/>
      <c r="B20" s="39">
        <v>24</v>
      </c>
      <c r="C20" s="31">
        <v>44.7</v>
      </c>
      <c r="D20" s="1047"/>
      <c r="E20" s="31">
        <f t="shared" si="0"/>
        <v>113</v>
      </c>
      <c r="F20" s="32">
        <f t="shared" si="1"/>
        <v>49.910000000000004</v>
      </c>
      <c r="G20" s="33">
        <f t="shared" si="2"/>
        <v>0</v>
      </c>
      <c r="H20" s="33">
        <f t="shared" si="3"/>
        <v>0</v>
      </c>
      <c r="I20" s="34"/>
      <c r="J20" s="35">
        <f t="shared" si="4"/>
        <v>49.910000000000004</v>
      </c>
      <c r="N20" s="19">
        <v>18</v>
      </c>
      <c r="O20" s="36"/>
      <c r="S20" s="19">
        <v>18</v>
      </c>
      <c r="T20" s="19">
        <v>45.21</v>
      </c>
      <c r="V20" s="19">
        <v>40.72</v>
      </c>
      <c r="AU20" s="19">
        <v>170.6</v>
      </c>
      <c r="AV20" s="19">
        <v>24.78</v>
      </c>
    </row>
    <row r="21" spans="1:48" ht="16.5" customHeight="1" x14ac:dyDescent="0.25">
      <c r="A21" s="1042" t="s">
        <v>67</v>
      </c>
      <c r="B21" s="41">
        <v>8</v>
      </c>
      <c r="C21" s="31">
        <v>61.6</v>
      </c>
      <c r="D21" s="1045">
        <f>SUM(C21:C26)</f>
        <v>291.60000000000002</v>
      </c>
      <c r="E21" s="31">
        <f t="shared" si="0"/>
        <v>172</v>
      </c>
      <c r="F21" s="32">
        <f t="shared" si="1"/>
        <v>59.31</v>
      </c>
      <c r="G21" s="33">
        <f t="shared" si="2"/>
        <v>7.63</v>
      </c>
      <c r="H21" s="33">
        <f t="shared" si="3"/>
        <v>0</v>
      </c>
      <c r="I21" s="34"/>
      <c r="J21" s="35">
        <f t="shared" si="4"/>
        <v>66.94</v>
      </c>
      <c r="N21" s="19">
        <v>19</v>
      </c>
      <c r="O21" s="36"/>
      <c r="S21" s="19">
        <v>19</v>
      </c>
      <c r="T21" s="19">
        <v>56.22</v>
      </c>
      <c r="V21" s="19">
        <v>33.75</v>
      </c>
      <c r="AU21" s="19">
        <v>182.1</v>
      </c>
      <c r="AV21" s="19">
        <v>36.39</v>
      </c>
    </row>
    <row r="22" spans="1:48" ht="15.75" customHeight="1" x14ac:dyDescent="0.25">
      <c r="A22" s="1043"/>
      <c r="B22" s="41">
        <v>9</v>
      </c>
      <c r="C22" s="31">
        <v>38.299999999999997</v>
      </c>
      <c r="D22" s="1046"/>
      <c r="E22" s="31">
        <f t="shared" si="0"/>
        <v>97</v>
      </c>
      <c r="F22" s="32">
        <f t="shared" si="1"/>
        <v>33.010000000000005</v>
      </c>
      <c r="G22" s="33">
        <f t="shared" si="2"/>
        <v>0</v>
      </c>
      <c r="H22" s="33">
        <f t="shared" si="3"/>
        <v>0</v>
      </c>
      <c r="I22" s="34"/>
      <c r="J22" s="35">
        <f t="shared" si="4"/>
        <v>33.010000000000005</v>
      </c>
      <c r="N22" s="19">
        <v>20</v>
      </c>
      <c r="O22" s="36"/>
      <c r="S22" s="19">
        <v>20</v>
      </c>
      <c r="T22" s="19">
        <v>84.19</v>
      </c>
      <c r="V22" s="19">
        <v>52.47</v>
      </c>
      <c r="AU22" s="19">
        <v>192.2</v>
      </c>
      <c r="AV22" s="19">
        <v>39.03</v>
      </c>
    </row>
    <row r="23" spans="1:48" ht="15.75" customHeight="1" x14ac:dyDescent="0.25">
      <c r="A23" s="1043"/>
      <c r="B23" s="41">
        <v>12</v>
      </c>
      <c r="C23" s="31">
        <v>71</v>
      </c>
      <c r="D23" s="1046"/>
      <c r="E23" s="31">
        <f t="shared" si="0"/>
        <v>199</v>
      </c>
      <c r="F23" s="32">
        <f t="shared" si="1"/>
        <v>49.47</v>
      </c>
      <c r="G23" s="33">
        <f t="shared" si="2"/>
        <v>43.91</v>
      </c>
      <c r="H23" s="33">
        <f t="shared" si="3"/>
        <v>0</v>
      </c>
      <c r="I23" s="34"/>
      <c r="J23" s="35">
        <f t="shared" si="4"/>
        <v>93.38</v>
      </c>
      <c r="N23" s="19">
        <v>21</v>
      </c>
      <c r="O23" s="36"/>
      <c r="S23" s="19">
        <v>21</v>
      </c>
      <c r="T23" s="19">
        <v>101.30000000000001</v>
      </c>
      <c r="V23" s="19">
        <v>20.9</v>
      </c>
      <c r="AU23" s="19">
        <v>188.3</v>
      </c>
      <c r="AV23" s="19">
        <v>48.519999999999996</v>
      </c>
    </row>
    <row r="24" spans="1:48" ht="15.75" customHeight="1" x14ac:dyDescent="0.25">
      <c r="A24" s="1043"/>
      <c r="B24" s="41">
        <v>10</v>
      </c>
      <c r="C24" s="31">
        <v>19.100000000000001</v>
      </c>
      <c r="D24" s="1046"/>
      <c r="E24" s="31">
        <f t="shared" si="0"/>
        <v>51</v>
      </c>
      <c r="F24" s="32">
        <f t="shared" si="1"/>
        <v>13.41</v>
      </c>
      <c r="G24" s="33">
        <f t="shared" si="2"/>
        <v>0</v>
      </c>
      <c r="H24" s="33">
        <f t="shared" si="3"/>
        <v>0</v>
      </c>
      <c r="I24" s="34"/>
      <c r="J24" s="35">
        <f t="shared" si="4"/>
        <v>13.41</v>
      </c>
      <c r="N24" s="19">
        <v>22</v>
      </c>
      <c r="O24" s="36"/>
      <c r="S24" s="19">
        <v>22</v>
      </c>
      <c r="T24" s="19">
        <v>64.45</v>
      </c>
      <c r="AU24" s="19" t="s">
        <v>76</v>
      </c>
      <c r="AV24" s="19">
        <v>33.6</v>
      </c>
    </row>
    <row r="25" spans="1:48" ht="15.75" customHeight="1" x14ac:dyDescent="0.25">
      <c r="A25" s="1043"/>
      <c r="B25" s="41">
        <v>13</v>
      </c>
      <c r="C25" s="31">
        <v>60.8</v>
      </c>
      <c r="D25" s="1046"/>
      <c r="E25" s="31">
        <f t="shared" si="0"/>
        <v>187</v>
      </c>
      <c r="F25" s="32">
        <f t="shared" si="1"/>
        <v>59.580000000000005</v>
      </c>
      <c r="G25" s="33">
        <f t="shared" si="2"/>
        <v>53.370000000000005</v>
      </c>
      <c r="H25" s="33">
        <f t="shared" si="3"/>
        <v>0</v>
      </c>
      <c r="I25" s="34"/>
      <c r="J25" s="35">
        <f t="shared" si="4"/>
        <v>112.95000000000002</v>
      </c>
      <c r="N25" s="19">
        <v>23</v>
      </c>
      <c r="O25" s="36"/>
      <c r="S25" s="19">
        <v>23</v>
      </c>
      <c r="T25" s="19">
        <v>25.259999999999998</v>
      </c>
      <c r="AU25" s="19">
        <v>128.69999999999999</v>
      </c>
      <c r="AV25" s="19">
        <v>7.6</v>
      </c>
    </row>
    <row r="26" spans="1:48" ht="16.5" customHeight="1" x14ac:dyDescent="0.25">
      <c r="A26" s="1044"/>
      <c r="B26" s="41">
        <v>18</v>
      </c>
      <c r="C26" s="31">
        <v>40.799999999999997</v>
      </c>
      <c r="D26" s="1047"/>
      <c r="E26" s="31">
        <f t="shared" si="0"/>
        <v>126</v>
      </c>
      <c r="F26" s="32">
        <f t="shared" si="1"/>
        <v>45.21</v>
      </c>
      <c r="G26" s="33">
        <f t="shared" si="2"/>
        <v>40.72</v>
      </c>
      <c r="H26" s="33">
        <f t="shared" si="3"/>
        <v>0</v>
      </c>
      <c r="I26" s="34"/>
      <c r="J26" s="35">
        <f t="shared" si="4"/>
        <v>85.93</v>
      </c>
      <c r="N26" s="19">
        <v>24</v>
      </c>
      <c r="O26" s="36"/>
      <c r="S26" s="19">
        <v>24</v>
      </c>
      <c r="T26" s="19">
        <v>49.910000000000004</v>
      </c>
      <c r="AU26" s="19">
        <v>160.63999999999999</v>
      </c>
      <c r="AV26" s="19">
        <v>21.82</v>
      </c>
    </row>
    <row r="27" spans="1:48" ht="15.75" customHeight="1" collapsed="1" x14ac:dyDescent="0.25">
      <c r="A27" s="1042" t="s">
        <v>68</v>
      </c>
      <c r="B27" s="42">
        <v>25</v>
      </c>
      <c r="C27" s="31">
        <v>38.22</v>
      </c>
      <c r="D27" s="1045">
        <f>SUM(C27:C35)</f>
        <v>208.10999999999999</v>
      </c>
      <c r="E27" s="31">
        <f t="shared" si="0"/>
        <v>19</v>
      </c>
      <c r="F27" s="32">
        <f t="shared" si="1"/>
        <v>12.27</v>
      </c>
      <c r="G27" s="33">
        <f t="shared" si="2"/>
        <v>9.43</v>
      </c>
      <c r="H27" s="33">
        <f t="shared" si="3"/>
        <v>0</v>
      </c>
      <c r="I27" s="34"/>
      <c r="J27" s="35">
        <f t="shared" si="4"/>
        <v>21.7</v>
      </c>
      <c r="N27" s="19">
        <v>25</v>
      </c>
      <c r="O27" s="36"/>
      <c r="S27" s="19">
        <v>25</v>
      </c>
      <c r="T27" s="19">
        <v>12.27</v>
      </c>
      <c r="V27" s="19">
        <v>9.43</v>
      </c>
      <c r="AU27" s="19">
        <v>158.93</v>
      </c>
      <c r="AV27" s="19">
        <v>13.64</v>
      </c>
    </row>
    <row r="28" spans="1:48" ht="15.75" customHeight="1" x14ac:dyDescent="0.25">
      <c r="A28" s="1043"/>
      <c r="B28" s="42" t="s">
        <v>7</v>
      </c>
      <c r="C28" s="31">
        <v>22.72</v>
      </c>
      <c r="D28" s="1046"/>
      <c r="E28" s="31">
        <f t="shared" si="0"/>
        <v>15</v>
      </c>
      <c r="F28" s="32">
        <f t="shared" si="1"/>
        <v>10.02</v>
      </c>
      <c r="G28" s="43">
        <f t="shared" si="2"/>
        <v>18.229999999999997</v>
      </c>
      <c r="H28" s="33">
        <f t="shared" si="3"/>
        <v>0</v>
      </c>
      <c r="I28" s="34"/>
      <c r="J28" s="35">
        <f t="shared" si="4"/>
        <v>28.249999999999996</v>
      </c>
      <c r="N28" s="19">
        <v>27</v>
      </c>
      <c r="O28" s="36"/>
      <c r="S28" s="19">
        <v>27</v>
      </c>
      <c r="T28" s="19">
        <v>10</v>
      </c>
      <c r="V28" s="19">
        <v>9</v>
      </c>
      <c r="AU28" s="19">
        <v>169.54</v>
      </c>
      <c r="AV28" s="19">
        <v>7.34</v>
      </c>
    </row>
    <row r="29" spans="1:48" ht="15.75" customHeight="1" x14ac:dyDescent="0.25">
      <c r="A29" s="1043"/>
      <c r="B29" s="42">
        <v>27</v>
      </c>
      <c r="C29" s="31">
        <v>18.64</v>
      </c>
      <c r="D29" s="1046"/>
      <c r="E29" s="31">
        <f t="shared" si="0"/>
        <v>12</v>
      </c>
      <c r="F29" s="32">
        <f t="shared" si="1"/>
        <v>10</v>
      </c>
      <c r="G29" s="33">
        <f t="shared" si="2"/>
        <v>9</v>
      </c>
      <c r="H29" s="33">
        <f t="shared" si="3"/>
        <v>0</v>
      </c>
      <c r="I29" s="34"/>
      <c r="J29" s="35">
        <f t="shared" si="4"/>
        <v>19</v>
      </c>
      <c r="N29" s="19">
        <v>28</v>
      </c>
      <c r="O29" s="36"/>
      <c r="S29" s="19">
        <v>28</v>
      </c>
      <c r="T29" s="19">
        <v>23.75</v>
      </c>
      <c r="AU29" s="19">
        <v>161.38</v>
      </c>
      <c r="AV29" s="19">
        <v>7.75</v>
      </c>
    </row>
    <row r="30" spans="1:48" ht="15.75" customHeight="1" x14ac:dyDescent="0.25">
      <c r="A30" s="1043"/>
      <c r="B30" s="42">
        <v>28</v>
      </c>
      <c r="C30" s="31">
        <v>25.5</v>
      </c>
      <c r="D30" s="1046"/>
      <c r="E30" s="31">
        <f t="shared" si="0"/>
        <v>36</v>
      </c>
      <c r="F30" s="32">
        <f t="shared" si="1"/>
        <v>23.75</v>
      </c>
      <c r="G30" s="33">
        <f t="shared" si="2"/>
        <v>0</v>
      </c>
      <c r="H30" s="33">
        <f t="shared" si="3"/>
        <v>0</v>
      </c>
      <c r="I30" s="34"/>
      <c r="J30" s="35">
        <f t="shared" si="4"/>
        <v>23.75</v>
      </c>
      <c r="N30" s="19">
        <v>29</v>
      </c>
      <c r="O30" s="36"/>
      <c r="S30" s="19">
        <v>29</v>
      </c>
      <c r="T30" s="19">
        <v>4.74</v>
      </c>
      <c r="V30" s="19">
        <v>10.379999999999999</v>
      </c>
      <c r="AU30" s="19">
        <v>204.13</v>
      </c>
    </row>
    <row r="31" spans="1:48" ht="15.75" customHeight="1" x14ac:dyDescent="0.25">
      <c r="A31" s="1043"/>
      <c r="B31" s="42">
        <v>29</v>
      </c>
      <c r="C31" s="31">
        <v>11.38</v>
      </c>
      <c r="D31" s="1046"/>
      <c r="E31" s="31">
        <f t="shared" si="0"/>
        <v>10</v>
      </c>
      <c r="F31" s="32">
        <f t="shared" si="1"/>
        <v>4.74</v>
      </c>
      <c r="G31" s="33">
        <f t="shared" si="2"/>
        <v>10.379999999999999</v>
      </c>
      <c r="H31" s="33">
        <f t="shared" si="3"/>
        <v>0</v>
      </c>
      <c r="I31" s="34"/>
      <c r="J31" s="35">
        <f t="shared" si="4"/>
        <v>15.12</v>
      </c>
      <c r="N31" s="19">
        <v>30</v>
      </c>
      <c r="O31" s="36"/>
      <c r="S31" s="19">
        <v>30</v>
      </c>
      <c r="T31" s="19">
        <v>12.309999999999999</v>
      </c>
      <c r="AU31" s="19">
        <v>168.07999999999998</v>
      </c>
      <c r="AV31" s="19">
        <v>8.91</v>
      </c>
    </row>
    <row r="32" spans="1:48" ht="15.75" customHeight="1" x14ac:dyDescent="0.25">
      <c r="A32" s="1043"/>
      <c r="B32" s="42">
        <v>30</v>
      </c>
      <c r="C32" s="31">
        <v>24.35</v>
      </c>
      <c r="D32" s="1046"/>
      <c r="E32" s="31">
        <f t="shared" si="0"/>
        <v>10</v>
      </c>
      <c r="F32" s="32">
        <f t="shared" si="1"/>
        <v>12.309999999999999</v>
      </c>
      <c r="G32" s="33">
        <f t="shared" si="2"/>
        <v>0</v>
      </c>
      <c r="H32" s="33">
        <f t="shared" si="3"/>
        <v>0</v>
      </c>
      <c r="I32" s="34"/>
      <c r="J32" s="35">
        <f t="shared" si="4"/>
        <v>12.309999999999999</v>
      </c>
      <c r="N32" s="19">
        <v>31</v>
      </c>
      <c r="O32" s="36"/>
      <c r="S32" s="19">
        <v>31</v>
      </c>
      <c r="T32" s="19">
        <v>14.02</v>
      </c>
      <c r="AU32" s="19">
        <v>156.72</v>
      </c>
      <c r="AV32" s="19">
        <v>9.49</v>
      </c>
    </row>
    <row r="33" spans="1:48" ht="16.5" customHeight="1" x14ac:dyDescent="0.25">
      <c r="A33" s="1043"/>
      <c r="B33" s="42">
        <v>31</v>
      </c>
      <c r="C33" s="31">
        <v>34.08</v>
      </c>
      <c r="D33" s="1046"/>
      <c r="E33" s="31">
        <f t="shared" si="0"/>
        <v>16</v>
      </c>
      <c r="F33" s="32">
        <f t="shared" si="1"/>
        <v>14.02</v>
      </c>
      <c r="G33" s="33">
        <f t="shared" si="2"/>
        <v>0</v>
      </c>
      <c r="H33" s="33">
        <f t="shared" si="3"/>
        <v>0</v>
      </c>
      <c r="I33" s="34"/>
      <c r="J33" s="35">
        <f t="shared" si="4"/>
        <v>14.02</v>
      </c>
      <c r="N33" s="19">
        <v>33</v>
      </c>
      <c r="O33" s="36"/>
      <c r="S33" s="19">
        <v>33</v>
      </c>
      <c r="T33" s="19">
        <v>24.580000000000002</v>
      </c>
      <c r="V33" s="19">
        <v>25.439999999999998</v>
      </c>
      <c r="AU33" s="19">
        <v>143.48000000000002</v>
      </c>
      <c r="AV33" s="19">
        <v>17.079999999999998</v>
      </c>
    </row>
    <row r="34" spans="1:48" ht="15.75" customHeight="1" collapsed="1" x14ac:dyDescent="0.25">
      <c r="A34" s="1043"/>
      <c r="B34" s="42">
        <v>33</v>
      </c>
      <c r="C34" s="31">
        <v>28.72</v>
      </c>
      <c r="D34" s="1046"/>
      <c r="E34" s="31">
        <f t="shared" si="0"/>
        <v>60</v>
      </c>
      <c r="F34" s="32">
        <f t="shared" si="1"/>
        <v>24.580000000000002</v>
      </c>
      <c r="G34" s="33">
        <f t="shared" si="2"/>
        <v>25.439999999999998</v>
      </c>
      <c r="H34" s="33">
        <f t="shared" si="3"/>
        <v>0</v>
      </c>
      <c r="I34" s="34"/>
      <c r="J34" s="35">
        <f t="shared" si="4"/>
        <v>50.019999999999996</v>
      </c>
      <c r="N34" s="19">
        <v>39</v>
      </c>
      <c r="O34" s="36"/>
      <c r="S34" s="19">
        <v>39</v>
      </c>
      <c r="T34" s="19">
        <v>2.39</v>
      </c>
      <c r="AU34" s="19">
        <v>5700</v>
      </c>
      <c r="AV34" s="19">
        <v>1.47</v>
      </c>
    </row>
    <row r="35" spans="1:48" s="51" customFormat="1" ht="16.5" customHeight="1" x14ac:dyDescent="0.25">
      <c r="A35" s="1044"/>
      <c r="B35" s="86">
        <v>39</v>
      </c>
      <c r="C35" s="87">
        <v>4.5</v>
      </c>
      <c r="D35" s="1047"/>
      <c r="E35" s="87">
        <f t="shared" si="0"/>
        <v>4</v>
      </c>
      <c r="F35" s="88">
        <f t="shared" si="1"/>
        <v>2.39</v>
      </c>
      <c r="G35" s="89">
        <f t="shared" si="2"/>
        <v>0</v>
      </c>
      <c r="H35" s="89">
        <f t="shared" si="3"/>
        <v>0</v>
      </c>
      <c r="I35" s="90"/>
      <c r="J35" s="91">
        <f t="shared" si="4"/>
        <v>2.39</v>
      </c>
      <c r="N35" s="51">
        <v>105</v>
      </c>
      <c r="O35" s="92"/>
      <c r="S35" s="51">
        <v>105</v>
      </c>
      <c r="T35" s="19"/>
      <c r="V35" s="19"/>
      <c r="W35" s="19"/>
      <c r="X35" s="19"/>
      <c r="AU35" s="51">
        <v>5700</v>
      </c>
    </row>
    <row r="36" spans="1:48" s="20" customFormat="1" ht="16.5" customHeight="1" thickBot="1" x14ac:dyDescent="0.3">
      <c r="A36" s="44"/>
      <c r="B36" s="44"/>
      <c r="D36" s="45">
        <f t="shared" ref="D36:J36" si="5">SUBTOTAL(9,D3:D35)</f>
        <v>1416.51</v>
      </c>
      <c r="E36" s="45">
        <f t="shared" si="5"/>
        <v>3627</v>
      </c>
      <c r="F36" s="46">
        <f t="shared" si="5"/>
        <v>1311.06</v>
      </c>
      <c r="G36" s="47">
        <f t="shared" si="5"/>
        <v>659.64999999999986</v>
      </c>
      <c r="H36" s="47">
        <f t="shared" si="5"/>
        <v>0</v>
      </c>
      <c r="I36" s="48">
        <f t="shared" si="5"/>
        <v>0</v>
      </c>
      <c r="J36" s="49">
        <f t="shared" si="5"/>
        <v>1970.7100000000003</v>
      </c>
      <c r="N36" s="20">
        <v>114</v>
      </c>
      <c r="S36" s="19">
        <v>114</v>
      </c>
      <c r="T36" s="19"/>
      <c r="V36" s="19"/>
      <c r="W36" s="19"/>
      <c r="X36" s="19"/>
      <c r="AU36" s="20">
        <v>187.75</v>
      </c>
    </row>
    <row r="37" spans="1:48" ht="15.75" customHeight="1" x14ac:dyDescent="0.25">
      <c r="A37" s="44"/>
      <c r="B37" s="44"/>
      <c r="C37" s="50"/>
      <c r="D37" s="50"/>
      <c r="E37" s="50"/>
      <c r="N37" s="19" t="s">
        <v>7</v>
      </c>
      <c r="S37" s="19" t="s">
        <v>44</v>
      </c>
      <c r="T37" s="19">
        <v>10.02</v>
      </c>
      <c r="V37" s="19">
        <v>18.229999999999997</v>
      </c>
      <c r="AU37" s="19">
        <v>496</v>
      </c>
    </row>
    <row r="38" spans="1:48" ht="15" customHeight="1" x14ac:dyDescent="0.25">
      <c r="A38" s="51"/>
      <c r="B38" s="30"/>
      <c r="C38" s="52" t="s">
        <v>63</v>
      </c>
      <c r="E38" s="52"/>
    </row>
    <row r="39" spans="1:48" x14ac:dyDescent="0.25">
      <c r="B39" s="37"/>
      <c r="C39" s="52" t="s">
        <v>64</v>
      </c>
      <c r="D39" s="52"/>
      <c r="E39" s="52"/>
    </row>
    <row r="40" spans="1:48" x14ac:dyDescent="0.25">
      <c r="B40" s="38"/>
      <c r="C40" s="52" t="s">
        <v>65</v>
      </c>
      <c r="D40" s="52"/>
      <c r="E40" s="52"/>
    </row>
    <row r="41" spans="1:48" ht="15" customHeight="1" x14ac:dyDescent="0.25">
      <c r="B41" s="39"/>
      <c r="C41" s="52" t="s">
        <v>66</v>
      </c>
      <c r="D41" s="52"/>
      <c r="E41" s="52"/>
    </row>
    <row r="42" spans="1:48" ht="15" customHeight="1" x14ac:dyDescent="0.25">
      <c r="B42" s="41"/>
      <c r="C42" s="52" t="s">
        <v>67</v>
      </c>
      <c r="D42" s="52"/>
      <c r="E42" s="52"/>
    </row>
    <row r="43" spans="1:48" ht="15" customHeight="1" x14ac:dyDescent="0.25">
      <c r="B43" s="42"/>
      <c r="C43" s="52" t="s">
        <v>68</v>
      </c>
      <c r="D43" s="52"/>
      <c r="E43" s="52"/>
    </row>
    <row r="44" spans="1:48" ht="15" customHeight="1" x14ac:dyDescent="0.25">
      <c r="D44" s="52"/>
    </row>
    <row r="45" spans="1:48" ht="15" customHeight="1" x14ac:dyDescent="0.25"/>
    <row r="46" spans="1:48" ht="15" customHeight="1" x14ac:dyDescent="0.25">
      <c r="N46" s="19">
        <v>1</v>
      </c>
      <c r="P46" s="19">
        <v>45.47</v>
      </c>
      <c r="R46" s="19">
        <v>61.180000000000007</v>
      </c>
    </row>
    <row r="47" spans="1:48" ht="15" customHeight="1" x14ac:dyDescent="0.25">
      <c r="N47" s="19">
        <v>2</v>
      </c>
      <c r="P47" s="19">
        <v>57.309999999999995</v>
      </c>
    </row>
    <row r="48" spans="1:48" ht="15" customHeight="1" x14ac:dyDescent="0.25">
      <c r="N48" s="19">
        <v>3</v>
      </c>
      <c r="P48" s="19">
        <v>15.21</v>
      </c>
      <c r="R48" s="19">
        <v>64.8</v>
      </c>
    </row>
    <row r="49" spans="14:24" ht="15" customHeight="1" x14ac:dyDescent="0.25">
      <c r="N49" s="19">
        <v>4</v>
      </c>
      <c r="P49" s="19">
        <v>65.040000000000006</v>
      </c>
    </row>
    <row r="50" spans="14:24" ht="15" customHeight="1" x14ac:dyDescent="0.25">
      <c r="N50" s="19">
        <v>5</v>
      </c>
      <c r="P50" s="19">
        <v>47.44</v>
      </c>
      <c r="R50" s="19">
        <v>32.090000000000003</v>
      </c>
    </row>
    <row r="51" spans="14:24" ht="15" customHeight="1" x14ac:dyDescent="0.25">
      <c r="N51" s="19">
        <v>6</v>
      </c>
      <c r="P51" s="19">
        <v>60.33</v>
      </c>
      <c r="R51" s="19">
        <v>64.91</v>
      </c>
    </row>
    <row r="52" spans="14:24" ht="15" customHeight="1" x14ac:dyDescent="0.25">
      <c r="N52" s="19">
        <v>7</v>
      </c>
      <c r="P52" s="19">
        <v>19.149999999999999</v>
      </c>
    </row>
    <row r="53" spans="14:24" ht="15" customHeight="1" x14ac:dyDescent="0.25">
      <c r="N53" s="19">
        <v>8</v>
      </c>
      <c r="P53" s="19">
        <v>59.31</v>
      </c>
      <c r="R53" s="19">
        <v>7.63</v>
      </c>
    </row>
    <row r="54" spans="14:24" ht="15" customHeight="1" x14ac:dyDescent="0.25">
      <c r="N54" s="19">
        <v>9</v>
      </c>
      <c r="P54" s="19">
        <v>33.010000000000005</v>
      </c>
      <c r="W54" s="20"/>
      <c r="X54" s="20"/>
    </row>
    <row r="55" spans="14:24" ht="15" customHeight="1" x14ac:dyDescent="0.25">
      <c r="N55" s="19">
        <v>10</v>
      </c>
      <c r="P55" s="19">
        <v>13.41</v>
      </c>
    </row>
    <row r="56" spans="14:24" ht="15" customHeight="1" x14ac:dyDescent="0.25">
      <c r="N56" s="19">
        <v>11</v>
      </c>
      <c r="P56" s="19">
        <v>32.42</v>
      </c>
    </row>
    <row r="57" spans="14:24" ht="15" customHeight="1" x14ac:dyDescent="0.25">
      <c r="N57" s="19">
        <v>12</v>
      </c>
      <c r="P57" s="19">
        <v>49.47</v>
      </c>
      <c r="R57" s="19">
        <v>43.91</v>
      </c>
    </row>
    <row r="58" spans="14:24" ht="15" customHeight="1" x14ac:dyDescent="0.25">
      <c r="N58" s="19">
        <v>13</v>
      </c>
      <c r="P58" s="19">
        <v>59.580000000000005</v>
      </c>
      <c r="R58" s="19">
        <v>53.370000000000005</v>
      </c>
    </row>
    <row r="59" spans="14:24" ht="15" customHeight="1" x14ac:dyDescent="0.25">
      <c r="N59" s="19">
        <v>14</v>
      </c>
      <c r="P59" s="19">
        <v>45.839999999999996</v>
      </c>
    </row>
    <row r="60" spans="14:24" ht="15" customHeight="1" x14ac:dyDescent="0.25">
      <c r="N60" s="19">
        <v>15</v>
      </c>
      <c r="P60" s="19">
        <v>70.900000000000006</v>
      </c>
      <c r="R60" s="19">
        <v>53.16</v>
      </c>
    </row>
    <row r="61" spans="14:24" ht="15" customHeight="1" x14ac:dyDescent="0.25">
      <c r="N61" s="19">
        <v>16</v>
      </c>
      <c r="P61" s="19">
        <v>53.38</v>
      </c>
      <c r="R61" s="19">
        <v>58.28</v>
      </c>
    </row>
    <row r="62" spans="14:24" ht="15" customHeight="1" x14ac:dyDescent="0.25">
      <c r="N62" s="19">
        <v>17</v>
      </c>
      <c r="P62" s="19">
        <v>43.17</v>
      </c>
    </row>
    <row r="63" spans="14:24" ht="15" customHeight="1" x14ac:dyDescent="0.25">
      <c r="N63" s="19">
        <v>18</v>
      </c>
      <c r="P63" s="19">
        <v>45.21</v>
      </c>
      <c r="R63" s="19">
        <v>40.72</v>
      </c>
    </row>
    <row r="64" spans="14:24" ht="15" customHeight="1" x14ac:dyDescent="0.25">
      <c r="N64" s="19">
        <v>19</v>
      </c>
      <c r="P64" s="19">
        <v>56.22</v>
      </c>
      <c r="R64" s="19">
        <v>33.75</v>
      </c>
    </row>
    <row r="65" spans="14:22" ht="15" customHeight="1" x14ac:dyDescent="0.25">
      <c r="N65" s="19">
        <v>20</v>
      </c>
      <c r="P65" s="19">
        <v>84.19</v>
      </c>
      <c r="R65" s="19">
        <v>52.47</v>
      </c>
    </row>
    <row r="66" spans="14:22" ht="15" customHeight="1" x14ac:dyDescent="0.25">
      <c r="N66" s="19">
        <v>21</v>
      </c>
      <c r="P66" s="19">
        <v>101.30000000000001</v>
      </c>
      <c r="R66" s="19">
        <v>20.9</v>
      </c>
    </row>
    <row r="67" spans="14:22" ht="15" customHeight="1" x14ac:dyDescent="0.25">
      <c r="N67" s="19">
        <v>22</v>
      </c>
      <c r="P67" s="19">
        <v>64.45</v>
      </c>
    </row>
    <row r="68" spans="14:22" ht="15" customHeight="1" x14ac:dyDescent="0.25">
      <c r="N68" s="19">
        <v>23</v>
      </c>
      <c r="P68" s="19">
        <v>25.259999999999998</v>
      </c>
    </row>
    <row r="69" spans="14:22" ht="15" customHeight="1" x14ac:dyDescent="0.25">
      <c r="N69" s="19">
        <v>24</v>
      </c>
      <c r="P69" s="19">
        <v>49.910000000000004</v>
      </c>
    </row>
    <row r="70" spans="14:22" ht="15" customHeight="1" x14ac:dyDescent="0.25">
      <c r="N70" s="19">
        <v>25</v>
      </c>
      <c r="P70" s="19">
        <v>12.27</v>
      </c>
      <c r="R70" s="19">
        <v>9.43</v>
      </c>
    </row>
    <row r="71" spans="14:22" ht="15" customHeight="1" x14ac:dyDescent="0.25">
      <c r="N71" s="19">
        <v>27</v>
      </c>
      <c r="P71" s="19">
        <v>10</v>
      </c>
      <c r="R71" s="19">
        <v>9</v>
      </c>
      <c r="V71" s="20"/>
    </row>
    <row r="72" spans="14:22" ht="15" customHeight="1" x14ac:dyDescent="0.25">
      <c r="N72" s="19">
        <v>28</v>
      </c>
      <c r="P72" s="19">
        <v>23.75</v>
      </c>
    </row>
    <row r="73" spans="14:22" ht="15" customHeight="1" x14ac:dyDescent="0.25">
      <c r="N73" s="19">
        <v>29</v>
      </c>
      <c r="P73" s="19">
        <v>4.74</v>
      </c>
      <c r="R73" s="19">
        <v>10.379999999999999</v>
      </c>
    </row>
    <row r="74" spans="14:22" ht="15" customHeight="1" x14ac:dyDescent="0.25">
      <c r="N74" s="19">
        <v>30</v>
      </c>
      <c r="P74" s="19">
        <v>12.309999999999999</v>
      </c>
    </row>
    <row r="75" spans="14:22" ht="15" customHeight="1" x14ac:dyDescent="0.25">
      <c r="N75" s="19">
        <v>31</v>
      </c>
      <c r="P75" s="19">
        <v>14.02</v>
      </c>
    </row>
    <row r="76" spans="14:22" ht="15" customHeight="1" x14ac:dyDescent="0.25">
      <c r="N76" s="19">
        <v>33</v>
      </c>
      <c r="P76" s="19">
        <v>24.580000000000002</v>
      </c>
      <c r="R76" s="19">
        <v>25.439999999999998</v>
      </c>
    </row>
    <row r="77" spans="14:22" ht="15" customHeight="1" x14ac:dyDescent="0.25">
      <c r="N77" s="19">
        <v>39</v>
      </c>
      <c r="P77" s="19">
        <v>2.39</v>
      </c>
    </row>
    <row r="78" spans="14:22" ht="15" customHeight="1" x14ac:dyDescent="0.25">
      <c r="N78" s="19">
        <v>105</v>
      </c>
    </row>
    <row r="79" spans="14:22" ht="15" customHeight="1" x14ac:dyDescent="0.25">
      <c r="N79" s="19">
        <v>114</v>
      </c>
    </row>
    <row r="80" spans="14:22" ht="15" customHeight="1" x14ac:dyDescent="0.25">
      <c r="N80" s="19" t="s">
        <v>7</v>
      </c>
      <c r="P80" s="19">
        <v>10.02</v>
      </c>
      <c r="R80" s="19">
        <v>18.229999999999997</v>
      </c>
    </row>
    <row r="81" spans="19:20" ht="15" customHeight="1" x14ac:dyDescent="0.25"/>
    <row r="88" spans="19:20" x14ac:dyDescent="0.25">
      <c r="T88" s="20"/>
    </row>
    <row r="92" spans="19:20" x14ac:dyDescent="0.25">
      <c r="S92" s="20"/>
    </row>
  </sheetData>
  <sortState xmlns:xlrd2="http://schemas.microsoft.com/office/spreadsheetml/2017/richdata2" ref="N46:T114">
    <sortCondition ref="N46:N114"/>
  </sortState>
  <mergeCells count="12">
    <mergeCell ref="A15:A20"/>
    <mergeCell ref="D15:D20"/>
    <mergeCell ref="A21:A26"/>
    <mergeCell ref="D21:D26"/>
    <mergeCell ref="A27:A35"/>
    <mergeCell ref="D27:D35"/>
    <mergeCell ref="A3:A5"/>
    <mergeCell ref="D3:D5"/>
    <mergeCell ref="A6:A12"/>
    <mergeCell ref="D6:D12"/>
    <mergeCell ref="A13:A14"/>
    <mergeCell ref="D13:D14"/>
  </mergeCells>
  <pageMargins left="0.25" right="0.25" top="0.75" bottom="0.75" header="0.3" footer="0.3"/>
  <pageSetup paperSize="9" scale="59" fitToHeight="0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E244-A213-40DC-8CFC-BB710B7781DB}">
  <sheetPr filterMode="1">
    <tabColor rgb="FFFFFF00"/>
    <pageSetUpPr fitToPage="1"/>
  </sheetPr>
  <dimension ref="A1:KZ56"/>
  <sheetViews>
    <sheetView showRuler="0" view="pageBreakPreview" topLeftCell="A22" zoomScale="83" zoomScaleNormal="83" zoomScaleSheetLayoutView="83" zoomScalePageLayoutView="70" workbookViewId="0">
      <selection activeCell="B9" sqref="B9:C49"/>
    </sheetView>
  </sheetViews>
  <sheetFormatPr defaultRowHeight="15" outlineLevelCol="1" x14ac:dyDescent="0.25"/>
  <cols>
    <col min="1" max="1" width="9.5703125" style="19" customWidth="1"/>
    <col min="2" max="2" width="6.5703125" style="18" customWidth="1"/>
    <col min="3" max="3" width="10.5703125" style="18" customWidth="1"/>
    <col min="4" max="4" width="11" style="36" hidden="1" customWidth="1" outlineLevel="1"/>
    <col min="5" max="5" width="11.7109375" style="36" hidden="1" customWidth="1" outlineLevel="1"/>
    <col min="6" max="6" width="11.42578125" style="36" hidden="1" customWidth="1" outlineLevel="1"/>
    <col min="7" max="7" width="11.28515625" style="36" hidden="1" customWidth="1" outlineLevel="1"/>
    <col min="8" max="8" width="11.7109375" style="36" hidden="1" customWidth="1" outlineLevel="1"/>
    <col min="9" max="9" width="10.85546875" style="19" hidden="1" customWidth="1" outlineLevel="1"/>
    <col min="10" max="10" width="12.140625" style="19" hidden="1" customWidth="1" outlineLevel="1"/>
    <col min="11" max="11" width="12" style="19" hidden="1" customWidth="1" outlineLevel="1"/>
    <col min="12" max="12" width="11.5703125" style="19" hidden="1" customWidth="1" outlineLevel="1"/>
    <col min="13" max="13" width="9.140625" style="19" hidden="1" customWidth="1" outlineLevel="1"/>
    <col min="14" max="14" width="11.5703125" style="19" hidden="1" customWidth="1" outlineLevel="1"/>
    <col min="15" max="15" width="11.85546875" style="19" hidden="1" customWidth="1" outlineLevel="1"/>
    <col min="16" max="16" width="11.5703125" style="19" hidden="1" customWidth="1" outlineLevel="1"/>
    <col min="17" max="17" width="11.42578125" style="19" hidden="1" customWidth="1" outlineLevel="1"/>
    <col min="18" max="18" width="9.28515625" style="19" hidden="1" customWidth="1" outlineLevel="1"/>
    <col min="19" max="19" width="11.28515625" style="19" hidden="1" customWidth="1" outlineLevel="1"/>
    <col min="20" max="20" width="12" style="19" hidden="1" customWidth="1" outlineLevel="1"/>
    <col min="21" max="21" width="11.7109375" style="19" hidden="1" customWidth="1" outlineLevel="1"/>
    <col min="22" max="22" width="11.5703125" style="19" hidden="1" customWidth="1" outlineLevel="1"/>
    <col min="23" max="23" width="9.42578125" style="19" hidden="1" customWidth="1" outlineLevel="1"/>
    <col min="24" max="24" width="11.28515625" style="19" hidden="1" customWidth="1" outlineLevel="1"/>
    <col min="25" max="25" width="12" style="19" hidden="1" customWidth="1" outlineLevel="1"/>
    <col min="26" max="26" width="11.7109375" style="19" hidden="1" customWidth="1" outlineLevel="1"/>
    <col min="27" max="27" width="11.5703125" style="19" hidden="1" customWidth="1" outlineLevel="1"/>
    <col min="28" max="28" width="9.85546875" style="19" hidden="1" customWidth="1" outlineLevel="1"/>
    <col min="29" max="29" width="11" style="19" hidden="1" customWidth="1" outlineLevel="1"/>
    <col min="30" max="30" width="11.7109375" style="19" hidden="1" customWidth="1" outlineLevel="1"/>
    <col min="31" max="31" width="11.42578125" style="19" hidden="1" customWidth="1" outlineLevel="1"/>
    <col min="32" max="33" width="11.28515625" style="19" hidden="1" customWidth="1" outlineLevel="1"/>
    <col min="34" max="34" width="11" style="19" hidden="1" customWidth="1" outlineLevel="1"/>
    <col min="35" max="35" width="11.7109375" style="19" hidden="1" customWidth="1" outlineLevel="1"/>
    <col min="36" max="36" width="11.42578125" style="19" hidden="1" customWidth="1" outlineLevel="1"/>
    <col min="37" max="37" width="11.28515625" style="19" hidden="1" customWidth="1" outlineLevel="1"/>
    <col min="38" max="38" width="10.140625" style="19" hidden="1" customWidth="1" outlineLevel="1"/>
    <col min="39" max="39" width="12" style="19" hidden="1" customWidth="1" outlineLevel="1"/>
    <col min="40" max="40" width="12.85546875" style="19" hidden="1" customWidth="1" outlineLevel="1"/>
    <col min="41" max="41" width="12.7109375" style="19" hidden="1" customWidth="1" outlineLevel="1"/>
    <col min="42" max="42" width="12.42578125" style="19" hidden="1" customWidth="1" outlineLevel="1"/>
    <col min="43" max="43" width="10.28515625" style="19" hidden="1" customWidth="1" outlineLevel="1"/>
    <col min="44" max="44" width="11.140625" style="19" hidden="1" customWidth="1" outlineLevel="1"/>
    <col min="45" max="45" width="11.85546875" style="19" hidden="1" customWidth="1" outlineLevel="1"/>
    <col min="46" max="46" width="11.5703125" style="19" hidden="1" customWidth="1" outlineLevel="1"/>
    <col min="47" max="47" width="11.42578125" style="19" hidden="1" customWidth="1" outlineLevel="1"/>
    <col min="48" max="48" width="10.140625" style="19" hidden="1" customWidth="1" outlineLevel="1"/>
    <col min="49" max="49" width="11" style="19" hidden="1" customWidth="1" outlineLevel="1"/>
    <col min="50" max="50" width="11.7109375" style="19" hidden="1" customWidth="1" outlineLevel="1"/>
    <col min="51" max="51" width="11.42578125" style="19" hidden="1" customWidth="1" outlineLevel="1"/>
    <col min="52" max="52" width="11.28515625" style="19" hidden="1" customWidth="1" outlineLevel="1"/>
    <col min="53" max="53" width="9.140625" style="19" hidden="1" customWidth="1" outlineLevel="1"/>
    <col min="54" max="57" width="12.28515625" style="19" hidden="1" customWidth="1" outlineLevel="1"/>
    <col min="58" max="58" width="9.140625" style="19" hidden="1" customWidth="1" outlineLevel="1"/>
    <col min="59" max="62" width="12.7109375" style="19" hidden="1" customWidth="1" outlineLevel="1"/>
    <col min="63" max="63" width="9.140625" style="19" hidden="1" customWidth="1" outlineLevel="1"/>
    <col min="64" max="67" width="12.5703125" style="19" hidden="1" customWidth="1" outlineLevel="1"/>
    <col min="68" max="68" width="9.140625" style="19" hidden="1" customWidth="1" outlineLevel="1"/>
    <col min="69" max="69" width="12.42578125" style="19" hidden="1" customWidth="1" outlineLevel="1"/>
    <col min="70" max="72" width="12.42578125" style="52" hidden="1" customWidth="1" outlineLevel="1"/>
    <col min="73" max="73" width="9.28515625" style="52" hidden="1" customWidth="1" outlineLevel="1"/>
    <col min="74" max="77" width="12" style="52" hidden="1" customWidth="1" outlineLevel="1"/>
    <col min="78" max="78" width="9.140625" style="52" hidden="1" customWidth="1" outlineLevel="1"/>
    <col min="79" max="82" width="12" style="828" hidden="1" customWidth="1" outlineLevel="1"/>
    <col min="83" max="83" width="9.140625" style="52" hidden="1" customWidth="1" outlineLevel="1"/>
    <col min="84" max="84" width="11" style="52" hidden="1" customWidth="1" outlineLevel="1"/>
    <col min="85" max="85" width="11.7109375" style="52" hidden="1" customWidth="1" outlineLevel="1"/>
    <col min="86" max="86" width="11.42578125" style="52" hidden="1" customWidth="1" outlineLevel="1"/>
    <col min="87" max="87" width="11.28515625" style="52" hidden="1" customWidth="1" outlineLevel="1"/>
    <col min="88" max="88" width="9.140625" style="52" hidden="1" customWidth="1" outlineLevel="1"/>
    <col min="89" max="92" width="10.7109375" style="52" hidden="1" customWidth="1" outlineLevel="1"/>
    <col min="93" max="93" width="9.140625" style="52" hidden="1" customWidth="1" outlineLevel="1"/>
    <col min="94" max="94" width="10.5703125" style="52" hidden="1" customWidth="1" outlineLevel="1"/>
    <col min="95" max="95" width="11" style="52" hidden="1" customWidth="1" outlineLevel="1"/>
    <col min="96" max="96" width="10.85546875" style="52" hidden="1" customWidth="1" outlineLevel="1"/>
    <col min="97" max="97" width="10.7109375" style="52" hidden="1" customWidth="1" outlineLevel="1"/>
    <col min="98" max="98" width="8.140625" style="52" hidden="1" customWidth="1" outlineLevel="1"/>
    <col min="99" max="99" width="11" style="52" hidden="1" customWidth="1" outlineLevel="1"/>
    <col min="100" max="100" width="11.7109375" style="52" hidden="1" customWidth="1" outlineLevel="1"/>
    <col min="101" max="101" width="11.42578125" style="52" hidden="1" customWidth="1" outlineLevel="1"/>
    <col min="102" max="102" width="11.28515625" style="52" hidden="1" customWidth="1" outlineLevel="1"/>
    <col min="103" max="103" width="9.140625" style="52" hidden="1" customWidth="1" outlineLevel="1"/>
    <col min="104" max="104" width="11.28515625" style="52" hidden="1" customWidth="1" outlineLevel="1"/>
    <col min="105" max="105" width="11.85546875" style="52" hidden="1" customWidth="1" outlineLevel="1"/>
    <col min="106" max="106" width="11.7109375" style="52" hidden="1" customWidth="1" outlineLevel="1"/>
    <col min="107" max="107" width="11.5703125" style="52" hidden="1" customWidth="1" outlineLevel="1"/>
    <col min="108" max="108" width="9.140625" style="52" hidden="1" customWidth="1" outlineLevel="1"/>
    <col min="109" max="109" width="11.28515625" style="52" hidden="1" customWidth="1" outlineLevel="1"/>
    <col min="110" max="110" width="11.85546875" style="52" hidden="1" customWidth="1" outlineLevel="1"/>
    <col min="111" max="111" width="11.7109375" style="52" hidden="1" customWidth="1" outlineLevel="1"/>
    <col min="112" max="112" width="11.5703125" style="52" hidden="1" customWidth="1" outlineLevel="1"/>
    <col min="113" max="113" width="9.140625" style="52" hidden="1" customWidth="1" outlineLevel="1"/>
    <col min="114" max="114" width="11.28515625" style="52" hidden="1" customWidth="1" outlineLevel="1"/>
    <col min="115" max="115" width="11.85546875" style="52" hidden="1" customWidth="1" outlineLevel="1"/>
    <col min="116" max="116" width="11.7109375" style="52" hidden="1" customWidth="1" outlineLevel="1"/>
    <col min="117" max="117" width="11.5703125" style="52" hidden="1" customWidth="1" outlineLevel="1"/>
    <col min="118" max="118" width="9.140625" style="52" hidden="1" customWidth="1" outlineLevel="1"/>
    <col min="119" max="122" width="11.5703125" style="52" hidden="1" customWidth="1" outlineLevel="1"/>
    <col min="123" max="123" width="8.140625" style="52" hidden="1" customWidth="1" outlineLevel="1"/>
    <col min="124" max="124" width="11" style="52" hidden="1" customWidth="1" outlineLevel="1"/>
    <col min="125" max="125" width="11.7109375" style="52" hidden="1" customWidth="1" outlineLevel="1"/>
    <col min="126" max="126" width="11.42578125" style="52" hidden="1" customWidth="1" outlineLevel="1"/>
    <col min="127" max="127" width="11.28515625" style="52" hidden="1" customWidth="1" outlineLevel="1"/>
    <col min="128" max="128" width="9.140625" style="52" hidden="1" customWidth="1" outlineLevel="1"/>
    <col min="129" max="129" width="12.7109375" style="52" hidden="1" customWidth="1" outlineLevel="1"/>
    <col min="130" max="130" width="13.5703125" style="52" hidden="1" customWidth="1" outlineLevel="1"/>
    <col min="131" max="131" width="13.42578125" style="52" hidden="1" customWidth="1" outlineLevel="1"/>
    <col min="132" max="132" width="13.28515625" style="52" hidden="1" customWidth="1" outlineLevel="1"/>
    <col min="133" max="133" width="9.140625" style="52" hidden="1" customWidth="1" outlineLevel="1"/>
    <col min="134" max="134" width="12.7109375" style="52" hidden="1" customWidth="1" outlineLevel="1"/>
    <col min="135" max="135" width="13.5703125" style="52" hidden="1" customWidth="1" outlineLevel="1"/>
    <col min="136" max="136" width="13.42578125" style="52" hidden="1" customWidth="1" outlineLevel="1"/>
    <col min="137" max="137" width="13.28515625" style="52" hidden="1" customWidth="1" outlineLevel="1"/>
    <col min="138" max="138" width="9.140625" style="52" hidden="1" customWidth="1" outlineLevel="1"/>
    <col min="139" max="139" width="12.7109375" style="52" hidden="1" customWidth="1" outlineLevel="1" collapsed="1"/>
    <col min="140" max="140" width="13.5703125" style="52" hidden="1" customWidth="1" outlineLevel="1"/>
    <col min="141" max="141" width="13.42578125" style="52" hidden="1" customWidth="1" outlineLevel="1"/>
    <col min="142" max="142" width="13.28515625" style="52" hidden="1" customWidth="1" outlineLevel="1"/>
    <col min="143" max="143" width="9" style="52" hidden="1" customWidth="1" outlineLevel="1"/>
    <col min="144" max="144" width="13" style="52" hidden="1" customWidth="1" outlineLevel="1" collapsed="1"/>
    <col min="145" max="147" width="13" style="52" hidden="1" customWidth="1" outlineLevel="1"/>
    <col min="148" max="148" width="9.42578125" style="52" hidden="1" customWidth="1" outlineLevel="1"/>
    <col min="149" max="149" width="13" style="52" hidden="1" customWidth="1" outlineLevel="1" collapsed="1"/>
    <col min="150" max="150" width="13.7109375" style="52" hidden="1" customWidth="1" outlineLevel="1"/>
    <col min="151" max="152" width="13.5703125" style="52" hidden="1" customWidth="1" outlineLevel="1"/>
    <col min="153" max="153" width="9.42578125" style="52" hidden="1" customWidth="1" outlineLevel="1"/>
    <col min="154" max="154" width="12.7109375" style="52" hidden="1" customWidth="1" outlineLevel="1" collapsed="1"/>
    <col min="155" max="155" width="13.5703125" style="52" hidden="1" customWidth="1" outlineLevel="1"/>
    <col min="156" max="156" width="13.42578125" style="52" hidden="1" customWidth="1" outlineLevel="1"/>
    <col min="157" max="157" width="13.28515625" style="52" hidden="1" customWidth="1" outlineLevel="1"/>
    <col min="158" max="158" width="9.28515625" style="52" hidden="1" customWidth="1" outlineLevel="1"/>
    <col min="159" max="159" width="13.28515625" style="52" hidden="1" customWidth="1" outlineLevel="1" collapsed="1"/>
    <col min="160" max="160" width="14" style="52" hidden="1" customWidth="1" outlineLevel="1"/>
    <col min="161" max="162" width="13.85546875" style="52" hidden="1" customWidth="1" outlineLevel="1"/>
    <col min="163" max="163" width="10.28515625" style="52" hidden="1" customWidth="1" outlineLevel="1"/>
    <col min="164" max="164" width="12.7109375" style="52" hidden="1" customWidth="1" outlineLevel="1" collapsed="1"/>
    <col min="165" max="165" width="13.5703125" style="52" hidden="1" customWidth="1" outlineLevel="1"/>
    <col min="166" max="166" width="13.42578125" style="52" hidden="1" customWidth="1" outlineLevel="1"/>
    <col min="167" max="167" width="13.28515625" style="52" hidden="1" customWidth="1" outlineLevel="1"/>
    <col min="168" max="168" width="10.28515625" style="52" hidden="1" customWidth="1" outlineLevel="1"/>
    <col min="169" max="169" width="12.7109375" style="52" hidden="1" customWidth="1" outlineLevel="1" collapsed="1"/>
    <col min="170" max="170" width="13.5703125" style="52" hidden="1" customWidth="1" outlineLevel="1"/>
    <col min="171" max="171" width="13.42578125" style="52" hidden="1" customWidth="1" outlineLevel="1"/>
    <col min="172" max="172" width="13.28515625" style="52" hidden="1" customWidth="1" outlineLevel="1"/>
    <col min="173" max="173" width="9" style="52" hidden="1" customWidth="1" outlineLevel="1"/>
    <col min="174" max="174" width="12.7109375" style="52" hidden="1" customWidth="1" outlineLevel="1" collapsed="1"/>
    <col min="175" max="175" width="13.42578125" style="52" hidden="1" customWidth="1" outlineLevel="1"/>
    <col min="176" max="176" width="13.28515625" style="52" hidden="1" customWidth="1" outlineLevel="1"/>
    <col min="177" max="177" width="13.140625" style="52" hidden="1" customWidth="1" outlineLevel="1"/>
    <col min="178" max="178" width="10.28515625" style="52" hidden="1" customWidth="1" outlineLevel="1"/>
    <col min="179" max="179" width="12.7109375" style="52" hidden="1" customWidth="1" outlineLevel="1"/>
    <col min="180" max="180" width="13.42578125" style="52" hidden="1" customWidth="1" outlineLevel="1"/>
    <col min="181" max="181" width="13.28515625" style="52" hidden="1" customWidth="1" outlineLevel="1"/>
    <col min="182" max="182" width="13.140625" style="52" hidden="1" customWidth="1" outlineLevel="1"/>
    <col min="183" max="183" width="10.28515625" style="52" hidden="1" customWidth="1" outlineLevel="1"/>
    <col min="184" max="184" width="12.7109375" style="52" hidden="1" customWidth="1" outlineLevel="1" collapsed="1"/>
    <col min="185" max="185" width="13.42578125" style="52" hidden="1" customWidth="1" outlineLevel="1"/>
    <col min="186" max="186" width="13.28515625" style="52" hidden="1" customWidth="1" outlineLevel="1"/>
    <col min="187" max="187" width="13.140625" style="52" hidden="1" customWidth="1" outlineLevel="1"/>
    <col min="188" max="188" width="9" style="52" customWidth="1" collapsed="1"/>
    <col min="189" max="189" width="12.7109375" style="51" hidden="1" customWidth="1" outlineLevel="1" collapsed="1"/>
    <col min="190" max="190" width="13.42578125" style="51" hidden="1" customWidth="1" outlineLevel="1"/>
    <col min="191" max="191" width="13.28515625" style="51" hidden="1" customWidth="1" outlineLevel="1"/>
    <col min="192" max="192" width="13.140625" style="51" hidden="1" customWidth="1" outlineLevel="1"/>
    <col min="193" max="193" width="11.5703125" style="51" customWidth="1" collapsed="1"/>
    <col min="194" max="194" width="12.7109375" style="51" hidden="1" customWidth="1" outlineLevel="1" collapsed="1"/>
    <col min="195" max="195" width="13.42578125" style="51" hidden="1" customWidth="1" outlineLevel="1"/>
    <col min="196" max="196" width="13.28515625" style="51" hidden="1" customWidth="1" outlineLevel="1"/>
    <col min="197" max="197" width="13.140625" style="51" hidden="1" customWidth="1" outlineLevel="1"/>
    <col min="198" max="198" width="11.5703125" style="51" customWidth="1" collapsed="1"/>
    <col min="199" max="199" width="12.5703125" style="51" hidden="1" customWidth="1" outlineLevel="1" collapsed="1"/>
    <col min="200" max="201" width="13.140625" style="51" hidden="1" customWidth="1" outlineLevel="1"/>
    <col min="202" max="202" width="13" style="51" hidden="1" customWidth="1" outlineLevel="1"/>
    <col min="203" max="203" width="7.7109375" style="51" customWidth="1" collapsed="1"/>
    <col min="204" max="204" width="11.7109375" style="51" hidden="1" customWidth="1" outlineLevel="1" collapsed="1"/>
    <col min="205" max="205" width="12.42578125" style="51" hidden="1" customWidth="1" outlineLevel="1"/>
    <col min="206" max="206" width="12.28515625" style="51" hidden="1" customWidth="1" outlineLevel="1"/>
    <col min="207" max="207" width="12" style="51" hidden="1" customWidth="1" outlineLevel="1"/>
    <col min="208" max="208" width="9" style="51" customWidth="1" collapsed="1"/>
    <col min="209" max="209" width="11.7109375" style="51" hidden="1" customWidth="1" outlineLevel="1" collapsed="1"/>
    <col min="210" max="210" width="12.42578125" style="51" hidden="1" customWidth="1" outlineLevel="1"/>
    <col min="211" max="211" width="12.28515625" style="51" hidden="1" customWidth="1" outlineLevel="1"/>
    <col min="212" max="212" width="12" style="51" hidden="1" customWidth="1" outlineLevel="1"/>
    <col min="213" max="213" width="9" style="51" customWidth="1" collapsed="1"/>
    <col min="214" max="214" width="11.7109375" style="51" hidden="1" customWidth="1" outlineLevel="1" collapsed="1"/>
    <col min="215" max="215" width="12.42578125" style="51" hidden="1" customWidth="1" outlineLevel="1"/>
    <col min="216" max="216" width="12.28515625" style="51" hidden="1" customWidth="1" outlineLevel="1"/>
    <col min="217" max="217" width="12" style="51" hidden="1" customWidth="1" outlineLevel="1"/>
    <col min="218" max="218" width="9.140625" style="51" customWidth="1" collapsed="1"/>
    <col min="219" max="219" width="12.5703125" style="51" hidden="1" customWidth="1" outlineLevel="1" collapsed="1"/>
    <col min="220" max="221" width="13.140625" style="51" hidden="1" customWidth="1" outlineLevel="1"/>
    <col min="222" max="222" width="13" style="51" hidden="1" customWidth="1" outlineLevel="1"/>
    <col min="223" max="223" width="11.5703125" style="51" customWidth="1" collapsed="1"/>
    <col min="224" max="224" width="11.7109375" style="51" hidden="1" customWidth="1" outlineLevel="1" collapsed="1"/>
    <col min="225" max="225" width="12.42578125" style="51" hidden="1" customWidth="1" outlineLevel="1"/>
    <col min="226" max="226" width="12.28515625" style="51" hidden="1" customWidth="1" outlineLevel="1"/>
    <col min="227" max="227" width="12" style="51" hidden="1" customWidth="1" outlineLevel="1"/>
    <col min="228" max="228" width="9.140625" style="51" customWidth="1" collapsed="1"/>
    <col min="229" max="229" width="13.42578125" style="51" hidden="1" customWidth="1" outlineLevel="1" collapsed="1"/>
    <col min="230" max="231" width="14.42578125" style="51" hidden="1" customWidth="1" outlineLevel="1"/>
    <col min="232" max="232" width="13.85546875" style="51" hidden="1" customWidth="1" outlineLevel="1"/>
    <col min="233" max="233" width="12.5703125" style="51" customWidth="1" collapsed="1"/>
    <col min="234" max="234" width="12.5703125" style="51" hidden="1" customWidth="1" outlineLevel="1" collapsed="1"/>
    <col min="235" max="236" width="13.140625" style="51" hidden="1" customWidth="1" outlineLevel="1"/>
    <col min="237" max="237" width="13" style="51" hidden="1" customWidth="1" outlineLevel="1"/>
    <col min="238" max="238" width="11.5703125" style="51" customWidth="1" collapsed="1"/>
    <col min="239" max="239" width="12.5703125" style="51" hidden="1" customWidth="1" outlineLevel="1" collapsed="1"/>
    <col min="240" max="241" width="13.140625" style="51" hidden="1" customWidth="1" outlineLevel="1"/>
    <col min="242" max="242" width="13" style="51" hidden="1" customWidth="1" outlineLevel="1"/>
    <col min="243" max="243" width="12" style="51" customWidth="1" collapsed="1"/>
    <col min="244" max="244" width="12.5703125" style="51" hidden="1" customWidth="1" outlineLevel="1" collapsed="1"/>
    <col min="245" max="246" width="13.140625" style="51" hidden="1" customWidth="1" outlineLevel="1"/>
    <col min="247" max="247" width="13" style="51" hidden="1" customWidth="1" outlineLevel="1"/>
    <col min="248" max="248" width="12" style="51" customWidth="1" collapsed="1"/>
    <col min="249" max="249" width="12" style="51" customWidth="1"/>
    <col min="250" max="250" width="10.140625" style="19" bestFit="1" customWidth="1"/>
    <col min="251" max="251" width="11.7109375" style="495" customWidth="1" collapsed="1"/>
    <col min="252" max="252" width="12.42578125" style="19" customWidth="1"/>
    <col min="253" max="253" width="12.28515625" style="19" customWidth="1"/>
    <col min="254" max="254" width="12" style="19" customWidth="1"/>
    <col min="255" max="255" width="9.140625" style="19" customWidth="1"/>
    <col min="256" max="256" width="13.7109375" style="19" customWidth="1" collapsed="1"/>
    <col min="257" max="258" width="14.42578125" style="19" customWidth="1"/>
    <col min="259" max="259" width="13.85546875" style="19" customWidth="1"/>
    <col min="260" max="260" width="12.140625" style="19" customWidth="1"/>
    <col min="261" max="261" width="13.42578125" style="19" customWidth="1" collapsed="1"/>
    <col min="262" max="263" width="14.42578125" style="19" customWidth="1"/>
    <col min="264" max="264" width="13.85546875" style="19" customWidth="1"/>
    <col min="265" max="265" width="12.5703125" style="19" customWidth="1"/>
    <col min="266" max="266" width="13.42578125" style="19" customWidth="1" collapsed="1"/>
    <col min="267" max="268" width="14.42578125" style="19" customWidth="1"/>
    <col min="269" max="269" width="13.85546875" style="19" customWidth="1"/>
    <col min="270" max="271" width="12.5703125" style="19" customWidth="1"/>
    <col min="272" max="273" width="13.140625" style="19" customWidth="1"/>
    <col min="274" max="274" width="13" style="19" customWidth="1"/>
    <col min="275" max="275" width="9" style="19" customWidth="1"/>
    <col min="276" max="276" width="12.5703125" style="19" customWidth="1"/>
    <col min="277" max="278" width="13.140625" style="19" customWidth="1"/>
    <col min="279" max="279" width="13" style="19" customWidth="1"/>
    <col min="280" max="280" width="9.140625" style="19" customWidth="1"/>
    <col min="281" max="281" width="12.5703125" style="19" customWidth="1"/>
    <col min="282" max="283" width="13.140625" style="19" customWidth="1"/>
    <col min="284" max="284" width="13" style="19" customWidth="1"/>
    <col min="285" max="285" width="11.5703125" style="19" customWidth="1"/>
    <col min="286" max="286" width="11.7109375" style="19" customWidth="1"/>
    <col min="287" max="287" width="12.42578125" style="19" customWidth="1"/>
    <col min="288" max="288" width="12.28515625" style="19" customWidth="1"/>
    <col min="289" max="289" width="12" style="19" customWidth="1"/>
    <col min="290" max="290" width="9.140625" style="19" customWidth="1"/>
    <col min="291" max="291" width="11.7109375" style="19" customWidth="1"/>
    <col min="292" max="292" width="12.42578125" style="19" customWidth="1"/>
    <col min="293" max="293" width="12.28515625" style="19" customWidth="1"/>
    <col min="294" max="294" width="12" style="19" customWidth="1"/>
    <col min="295" max="295" width="9.140625" style="19"/>
    <col min="296" max="296" width="11.7109375" style="19" customWidth="1"/>
    <col min="297" max="297" width="12.42578125" style="19" customWidth="1"/>
    <col min="298" max="298" width="12.28515625" style="19" customWidth="1"/>
    <col min="299" max="299" width="12" style="19" customWidth="1"/>
    <col min="300" max="300" width="9.140625" style="19"/>
    <col min="301" max="301" width="11.7109375" style="19" customWidth="1"/>
    <col min="302" max="302" width="12.42578125" style="19" customWidth="1"/>
    <col min="303" max="303" width="12.28515625" style="19" customWidth="1"/>
    <col min="304" max="304" width="12" style="19" customWidth="1"/>
    <col min="305" max="305" width="9.140625" style="19"/>
    <col min="306" max="306" width="11.7109375" style="19" customWidth="1"/>
    <col min="307" max="307" width="12.42578125" style="19" customWidth="1"/>
    <col min="308" max="308" width="12.28515625" style="19" customWidth="1"/>
    <col min="309" max="309" width="12" style="19" customWidth="1"/>
    <col min="310" max="310" width="10.140625" style="19" bestFit="1" customWidth="1"/>
    <col min="311" max="311" width="9.140625" style="19"/>
    <col min="312" max="312" width="10.140625" style="19" bestFit="1" customWidth="1"/>
    <col min="313" max="16384" width="9.140625" style="19"/>
  </cols>
  <sheetData>
    <row r="1" spans="1:312" ht="18.75" x14ac:dyDescent="0.25">
      <c r="A1" s="224" t="s">
        <v>157</v>
      </c>
    </row>
    <row r="2" spans="1:312" ht="18.75" x14ac:dyDescent="0.25">
      <c r="A2" s="224"/>
      <c r="ER2" s="881"/>
    </row>
    <row r="3" spans="1:312" s="226" customFormat="1" ht="21" x14ac:dyDescent="0.35">
      <c r="A3" s="225" t="s">
        <v>158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BR3" s="829"/>
      <c r="BS3" s="829"/>
      <c r="BT3" s="829"/>
      <c r="BU3" s="829"/>
      <c r="BV3" s="829"/>
      <c r="BW3" s="829"/>
      <c r="BX3" s="829"/>
      <c r="BY3" s="829"/>
      <c r="BZ3" s="829"/>
      <c r="CA3" s="830"/>
      <c r="CB3" s="830"/>
      <c r="CC3" s="830"/>
      <c r="CD3" s="830"/>
      <c r="CE3" s="829"/>
      <c r="CF3" s="829"/>
      <c r="CG3" s="829"/>
      <c r="CH3" s="829"/>
      <c r="CI3" s="829"/>
      <c r="CJ3" s="829"/>
      <c r="CK3" s="829"/>
      <c r="CL3" s="829"/>
      <c r="CM3" s="829"/>
      <c r="CN3" s="829"/>
      <c r="CO3" s="829"/>
      <c r="CP3" s="829"/>
      <c r="CQ3" s="829"/>
      <c r="CR3" s="829"/>
      <c r="CS3" s="829"/>
      <c r="CT3" s="829"/>
      <c r="CU3" s="829"/>
      <c r="CV3" s="829"/>
      <c r="CW3" s="829"/>
      <c r="CX3" s="829"/>
      <c r="CY3" s="829"/>
      <c r="CZ3" s="829"/>
      <c r="DA3" s="829"/>
      <c r="DB3" s="829"/>
      <c r="DC3" s="829"/>
      <c r="DD3" s="829"/>
      <c r="DE3" s="829"/>
      <c r="DF3" s="829"/>
      <c r="DG3" s="829"/>
      <c r="DH3" s="829"/>
      <c r="DI3" s="829"/>
      <c r="DJ3" s="829"/>
      <c r="DK3" s="829"/>
      <c r="DL3" s="829"/>
      <c r="DM3" s="829"/>
      <c r="DN3" s="829"/>
      <c r="DO3" s="829"/>
      <c r="DP3" s="829"/>
      <c r="DQ3" s="829"/>
      <c r="DR3" s="829"/>
      <c r="DS3" s="829"/>
      <c r="DT3" s="829"/>
      <c r="DU3" s="829"/>
      <c r="DV3" s="829"/>
      <c r="DW3" s="829"/>
      <c r="DX3" s="829"/>
      <c r="DY3" s="829"/>
      <c r="DZ3" s="829"/>
      <c r="EA3" s="829"/>
      <c r="EB3" s="829"/>
      <c r="EC3" s="829"/>
      <c r="ED3" s="829"/>
      <c r="EE3" s="829"/>
      <c r="EF3" s="829"/>
      <c r="EG3" s="829"/>
      <c r="EH3" s="829"/>
      <c r="EI3" s="829"/>
      <c r="EJ3" s="829"/>
      <c r="EK3" s="829"/>
      <c r="EL3" s="829"/>
      <c r="EM3" s="829"/>
      <c r="EN3" s="829"/>
      <c r="EO3" s="829"/>
      <c r="EP3" s="829"/>
      <c r="EQ3" s="829"/>
      <c r="ER3" s="829"/>
      <c r="ES3" s="829"/>
      <c r="ET3" s="829"/>
      <c r="EU3" s="829"/>
      <c r="EV3" s="829"/>
      <c r="EW3" s="829"/>
      <c r="EX3" s="829"/>
      <c r="EY3" s="829"/>
      <c r="EZ3" s="829"/>
      <c r="FA3" s="829"/>
      <c r="FB3" s="829"/>
      <c r="FC3" s="829"/>
      <c r="FD3" s="829"/>
      <c r="FE3" s="829"/>
      <c r="FF3" s="829"/>
      <c r="FG3" s="829"/>
      <c r="FH3" s="829"/>
      <c r="FI3" s="829"/>
      <c r="FJ3" s="829"/>
      <c r="FK3" s="829"/>
      <c r="FL3" s="829"/>
      <c r="FM3" s="829"/>
      <c r="FN3" s="829"/>
      <c r="FO3" s="829"/>
      <c r="FP3" s="829"/>
      <c r="FQ3" s="829"/>
      <c r="FR3" s="829"/>
      <c r="FS3" s="829"/>
      <c r="FT3" s="829"/>
      <c r="FU3" s="829"/>
      <c r="FV3" s="829"/>
      <c r="FW3" s="829"/>
      <c r="FX3" s="829"/>
      <c r="FY3" s="829"/>
      <c r="FZ3" s="829"/>
      <c r="GA3" s="829"/>
      <c r="GB3" s="829"/>
      <c r="GC3" s="829"/>
      <c r="GD3" s="829"/>
      <c r="GE3" s="829"/>
      <c r="GF3" s="829"/>
      <c r="GG3" s="227"/>
      <c r="GH3" s="227"/>
      <c r="GI3" s="227"/>
      <c r="GJ3" s="227"/>
      <c r="GK3" s="227"/>
      <c r="GL3" s="227"/>
      <c r="GM3" s="227"/>
      <c r="GN3" s="227"/>
      <c r="GO3" s="227"/>
      <c r="GP3" s="227"/>
      <c r="GQ3" s="227"/>
      <c r="GR3" s="227"/>
      <c r="GS3" s="227"/>
      <c r="GT3" s="227"/>
      <c r="GU3" s="227"/>
      <c r="GV3" s="227"/>
      <c r="GW3" s="227"/>
      <c r="GX3" s="227"/>
      <c r="GY3" s="227"/>
      <c r="GZ3" s="227"/>
      <c r="HA3" s="227"/>
      <c r="HB3" s="227"/>
      <c r="HC3" s="227"/>
      <c r="HD3" s="227"/>
      <c r="HE3" s="227"/>
      <c r="HF3" s="227"/>
      <c r="HG3" s="227"/>
      <c r="HH3" s="227"/>
      <c r="HI3" s="227"/>
      <c r="HJ3" s="227"/>
      <c r="HK3" s="227"/>
      <c r="HL3" s="227"/>
      <c r="HM3" s="227"/>
      <c r="HN3" s="227"/>
      <c r="HO3" s="227"/>
      <c r="HP3" s="227"/>
      <c r="HQ3" s="227"/>
      <c r="HR3" s="227"/>
      <c r="HS3" s="227"/>
      <c r="HT3" s="227"/>
      <c r="HU3" s="227"/>
      <c r="HV3" s="227"/>
      <c r="HW3" s="227"/>
      <c r="HX3" s="227"/>
      <c r="HY3" s="227"/>
      <c r="HZ3" s="227"/>
      <c r="IA3" s="227"/>
      <c r="IB3" s="227"/>
      <c r="IC3" s="227"/>
      <c r="ID3" s="227"/>
      <c r="IE3" s="227"/>
      <c r="IF3" s="227"/>
      <c r="IG3" s="227"/>
      <c r="IH3" s="227"/>
      <c r="II3" s="227"/>
      <c r="IJ3" s="227"/>
      <c r="IK3" s="227"/>
      <c r="IL3" s="227"/>
      <c r="IM3" s="227"/>
      <c r="IN3" s="227"/>
      <c r="IO3" s="227"/>
      <c r="IQ3" s="496"/>
      <c r="KL3" s="19"/>
    </row>
    <row r="4" spans="1:312" s="20" customFormat="1" ht="15.75" x14ac:dyDescent="0.25">
      <c r="A4" s="228" t="s">
        <v>159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8"/>
      <c r="BL4" s="228"/>
      <c r="BM4" s="228"/>
      <c r="BN4" s="228"/>
      <c r="BO4" s="228"/>
      <c r="BP4" s="228"/>
      <c r="BQ4" s="228"/>
      <c r="BR4" s="831"/>
      <c r="BS4" s="831"/>
      <c r="BT4" s="831"/>
      <c r="BU4" s="831"/>
      <c r="BV4" s="831"/>
      <c r="BW4" s="831"/>
      <c r="BX4" s="831"/>
      <c r="BY4" s="831"/>
      <c r="BZ4" s="831"/>
      <c r="CA4" s="831"/>
      <c r="CB4" s="831"/>
      <c r="CC4" s="831"/>
      <c r="CD4" s="831"/>
      <c r="CE4" s="831"/>
      <c r="CF4" s="831"/>
      <c r="CG4" s="831"/>
      <c r="CH4" s="831"/>
      <c r="CI4" s="831"/>
      <c r="CJ4" s="831"/>
      <c r="CK4" s="831"/>
      <c r="CL4" s="831"/>
      <c r="CM4" s="831"/>
      <c r="CN4" s="831"/>
      <c r="CO4" s="831"/>
      <c r="CP4" s="831"/>
      <c r="CQ4" s="831"/>
      <c r="CR4" s="831"/>
      <c r="CS4" s="831"/>
      <c r="CT4" s="831"/>
      <c r="CU4" s="831"/>
      <c r="CV4" s="831"/>
      <c r="CW4" s="831"/>
      <c r="CX4" s="831"/>
      <c r="CY4" s="831"/>
      <c r="CZ4" s="831"/>
      <c r="DA4" s="831"/>
      <c r="DB4" s="831"/>
      <c r="DC4" s="831"/>
      <c r="DD4" s="831"/>
      <c r="DE4" s="831"/>
      <c r="DF4" s="831"/>
      <c r="DG4" s="831"/>
      <c r="DH4" s="831"/>
      <c r="DI4" s="831"/>
      <c r="DJ4" s="831"/>
      <c r="DK4" s="831"/>
      <c r="DL4" s="831"/>
      <c r="DM4" s="831"/>
      <c r="DN4" s="831"/>
      <c r="DO4" s="831"/>
      <c r="DP4" s="831"/>
      <c r="DQ4" s="831"/>
      <c r="DR4" s="831"/>
      <c r="DS4" s="831"/>
      <c r="DT4" s="831"/>
      <c r="DU4" s="831"/>
      <c r="DV4" s="831"/>
      <c r="DW4" s="831"/>
      <c r="DX4" s="831"/>
      <c r="DY4" s="831"/>
      <c r="DZ4" s="831"/>
      <c r="EA4" s="831"/>
      <c r="EB4" s="831"/>
      <c r="EC4" s="831"/>
      <c r="ED4" s="831"/>
      <c r="EE4" s="831"/>
      <c r="EF4" s="831"/>
      <c r="EG4" s="831"/>
      <c r="EH4" s="831"/>
      <c r="EI4" s="831"/>
      <c r="EJ4" s="831"/>
      <c r="EK4" s="831"/>
      <c r="EL4" s="831"/>
      <c r="EM4" s="831"/>
      <c r="EN4" s="831"/>
      <c r="EO4" s="831"/>
      <c r="EP4" s="831"/>
      <c r="EQ4" s="831"/>
      <c r="ER4" s="831"/>
      <c r="ES4" s="831"/>
      <c r="ET4" s="831"/>
      <c r="EU4" s="831"/>
      <c r="EV4" s="831"/>
      <c r="EW4" s="831"/>
      <c r="EX4" s="831"/>
      <c r="EY4" s="831"/>
      <c r="EZ4" s="831"/>
      <c r="FA4" s="831"/>
      <c r="FB4" s="831"/>
      <c r="FC4" s="831"/>
      <c r="FD4" s="831"/>
      <c r="FE4" s="831"/>
      <c r="FF4" s="831"/>
      <c r="FG4" s="831"/>
      <c r="FH4" s="831"/>
      <c r="FI4" s="831"/>
      <c r="FJ4" s="831"/>
      <c r="FK4" s="831"/>
      <c r="FL4" s="831"/>
      <c r="FM4" s="831"/>
      <c r="FN4" s="831"/>
      <c r="FO4" s="831"/>
      <c r="FP4" s="831"/>
      <c r="FQ4" s="831"/>
      <c r="FR4" s="831"/>
      <c r="FS4" s="831"/>
      <c r="FT4" s="831"/>
      <c r="FU4" s="831"/>
      <c r="FV4" s="831"/>
      <c r="FW4" s="831"/>
      <c r="FX4" s="831"/>
      <c r="FY4" s="831"/>
      <c r="FZ4" s="831"/>
      <c r="GA4" s="831"/>
      <c r="GB4" s="831"/>
      <c r="GC4" s="831"/>
      <c r="GD4" s="831"/>
      <c r="GE4" s="831"/>
      <c r="GF4" s="831"/>
      <c r="GG4" s="229"/>
      <c r="GH4" s="229"/>
      <c r="GI4" s="229"/>
      <c r="GJ4" s="229"/>
      <c r="GK4" s="229"/>
      <c r="GL4" s="229"/>
      <c r="GM4" s="229"/>
      <c r="GN4" s="229"/>
      <c r="GO4" s="229"/>
      <c r="GP4" s="229"/>
      <c r="GQ4" s="229"/>
      <c r="GR4" s="229"/>
      <c r="GS4" s="229"/>
      <c r="GT4" s="229"/>
      <c r="GU4" s="229"/>
      <c r="GV4" s="229"/>
      <c r="GW4" s="229"/>
      <c r="GX4" s="229"/>
      <c r="GY4" s="229"/>
      <c r="GZ4" s="229"/>
      <c r="HA4" s="229"/>
      <c r="HB4" s="229"/>
      <c r="HC4" s="229"/>
      <c r="HD4" s="229"/>
      <c r="HE4" s="229"/>
      <c r="HF4" s="229"/>
      <c r="HG4" s="229"/>
      <c r="HH4" s="229"/>
      <c r="HI4" s="229"/>
      <c r="HJ4" s="229"/>
      <c r="HK4" s="229"/>
      <c r="HL4" s="229"/>
      <c r="HM4" s="229"/>
      <c r="HN4" s="229"/>
      <c r="HO4" s="229"/>
      <c r="HP4" s="229"/>
      <c r="HQ4" s="229"/>
      <c r="HR4" s="229"/>
      <c r="HS4" s="229"/>
      <c r="HT4" s="229"/>
      <c r="HU4" s="229"/>
      <c r="HV4" s="229"/>
      <c r="HW4" s="229"/>
      <c r="HX4" s="229"/>
      <c r="HY4" s="229"/>
      <c r="HZ4" s="229"/>
      <c r="IA4" s="229"/>
      <c r="IB4" s="229"/>
      <c r="IC4" s="229"/>
      <c r="ID4" s="229"/>
      <c r="IE4" s="229"/>
      <c r="IF4" s="229"/>
      <c r="IG4" s="229"/>
      <c r="IH4" s="229"/>
      <c r="II4" s="229"/>
      <c r="IJ4" s="229"/>
      <c r="IK4" s="229"/>
      <c r="IL4" s="229"/>
      <c r="IM4" s="229"/>
      <c r="IN4" s="229"/>
      <c r="IO4" s="229"/>
      <c r="IQ4" s="497"/>
      <c r="IR4" s="228"/>
      <c r="IS4" s="228"/>
      <c r="IT4" s="228"/>
      <c r="IU4" s="228"/>
      <c r="IV4" s="228"/>
      <c r="IW4" s="228"/>
      <c r="IX4" s="228"/>
      <c r="IY4" s="228"/>
      <c r="IZ4" s="228"/>
      <c r="JA4" s="228"/>
      <c r="JB4" s="228"/>
      <c r="JC4" s="228"/>
      <c r="JD4" s="228"/>
      <c r="JE4" s="228"/>
      <c r="JF4" s="228"/>
      <c r="JG4" s="228"/>
      <c r="JH4" s="228"/>
      <c r="JI4" s="228"/>
      <c r="JJ4" s="228"/>
      <c r="JK4" s="228"/>
      <c r="JL4" s="228"/>
      <c r="JM4" s="228"/>
      <c r="JN4" s="228"/>
      <c r="JO4" s="228"/>
      <c r="JP4" s="228"/>
      <c r="JQ4" s="228"/>
      <c r="JR4" s="228"/>
      <c r="JS4" s="228"/>
      <c r="JT4" s="228"/>
      <c r="JU4" s="228"/>
      <c r="JV4" s="228"/>
      <c r="JW4" s="228"/>
      <c r="JX4" s="228"/>
      <c r="JY4" s="228"/>
    </row>
    <row r="5" spans="1:312" ht="15.75" thickBot="1" x14ac:dyDescent="0.3"/>
    <row r="6" spans="1:312" ht="27" customHeight="1" thickBot="1" x14ac:dyDescent="0.3">
      <c r="A6" s="230" t="s">
        <v>85</v>
      </c>
      <c r="B6" s="231"/>
      <c r="C6" s="232" t="s">
        <v>20</v>
      </c>
      <c r="D6" s="233">
        <v>2020</v>
      </c>
      <c r="E6" s="233"/>
      <c r="F6" s="233"/>
      <c r="G6" s="233"/>
      <c r="H6" s="234"/>
      <c r="I6" s="235">
        <v>2021</v>
      </c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6"/>
      <c r="AU6" s="236"/>
      <c r="AV6" s="236"/>
      <c r="AW6" s="236"/>
      <c r="AX6" s="236"/>
      <c r="AY6" s="236"/>
      <c r="AZ6" s="236"/>
      <c r="BA6" s="236"/>
      <c r="BB6" s="236"/>
      <c r="BC6" s="236"/>
      <c r="BD6" s="236"/>
      <c r="BE6" s="236"/>
      <c r="BF6" s="236"/>
      <c r="BG6" s="236"/>
      <c r="BH6" s="236"/>
      <c r="BI6" s="236"/>
      <c r="BJ6" s="236"/>
      <c r="BK6" s="236"/>
      <c r="BL6" s="236"/>
      <c r="BM6" s="236"/>
      <c r="BN6" s="236"/>
      <c r="BO6" s="236"/>
      <c r="BP6" s="237"/>
      <c r="BQ6" s="1055">
        <v>2022</v>
      </c>
      <c r="BR6" s="1056"/>
      <c r="BS6" s="1056"/>
      <c r="BT6" s="1056"/>
      <c r="BU6" s="1056"/>
      <c r="BV6" s="1056"/>
      <c r="BW6" s="1056"/>
      <c r="BX6" s="1056"/>
      <c r="BY6" s="1056"/>
      <c r="BZ6" s="1056"/>
      <c r="CA6" s="1056"/>
      <c r="CB6" s="1056"/>
      <c r="CC6" s="1056"/>
      <c r="CD6" s="1056"/>
      <c r="CE6" s="1056"/>
      <c r="CF6" s="1056"/>
      <c r="CG6" s="1056"/>
      <c r="CH6" s="1056"/>
      <c r="CI6" s="1056"/>
      <c r="CJ6" s="1056"/>
      <c r="CK6" s="1056"/>
      <c r="CL6" s="1056"/>
      <c r="CM6" s="1056"/>
      <c r="CN6" s="1056"/>
      <c r="CO6" s="1056"/>
      <c r="CP6" s="1056"/>
      <c r="CQ6" s="1056"/>
      <c r="CR6" s="1056"/>
      <c r="CS6" s="1056"/>
      <c r="CT6" s="1056"/>
      <c r="CU6" s="1056"/>
      <c r="CV6" s="1056"/>
      <c r="CW6" s="1056"/>
      <c r="CX6" s="1056"/>
      <c r="CY6" s="1056"/>
      <c r="CZ6" s="1056"/>
      <c r="DA6" s="1056"/>
      <c r="DB6" s="1056"/>
      <c r="DC6" s="1056"/>
      <c r="DD6" s="1056"/>
      <c r="DE6" s="1056"/>
      <c r="DF6" s="1056"/>
      <c r="DG6" s="1056"/>
      <c r="DH6" s="1056"/>
      <c r="DI6" s="1056"/>
      <c r="DJ6" s="1056"/>
      <c r="DK6" s="1056"/>
      <c r="DL6" s="1056"/>
      <c r="DM6" s="1056"/>
      <c r="DN6" s="1056"/>
      <c r="DO6" s="1056"/>
      <c r="DP6" s="1056"/>
      <c r="DQ6" s="1056"/>
      <c r="DR6" s="1056"/>
      <c r="DS6" s="1056"/>
      <c r="DT6" s="1056"/>
      <c r="DU6" s="1056"/>
      <c r="DV6" s="1056"/>
      <c r="DW6" s="1056"/>
      <c r="DX6" s="1056"/>
      <c r="DY6" s="1058">
        <v>2023</v>
      </c>
      <c r="DZ6" s="1058"/>
      <c r="EA6" s="1058"/>
      <c r="EB6" s="1058"/>
      <c r="EC6" s="1058"/>
      <c r="ED6" s="1058"/>
      <c r="EE6" s="1058"/>
      <c r="EF6" s="1058"/>
      <c r="EG6" s="1058"/>
      <c r="EH6" s="1058"/>
      <c r="EI6" s="1058"/>
      <c r="EJ6" s="1058"/>
      <c r="EK6" s="1058"/>
      <c r="EL6" s="1058"/>
      <c r="EM6" s="1058"/>
      <c r="EN6" s="1058"/>
      <c r="EO6" s="1058"/>
      <c r="EP6" s="1058"/>
      <c r="EQ6" s="1058"/>
      <c r="ER6" s="1058"/>
      <c r="ES6" s="1058"/>
      <c r="ET6" s="1058"/>
      <c r="EU6" s="1058"/>
      <c r="EV6" s="1058"/>
      <c r="EW6" s="1058"/>
      <c r="EX6" s="1058"/>
      <c r="EY6" s="1058"/>
      <c r="EZ6" s="1058"/>
      <c r="FA6" s="1058"/>
      <c r="FB6" s="1058"/>
      <c r="FC6" s="1058"/>
      <c r="FD6" s="1058"/>
      <c r="FE6" s="1058"/>
      <c r="FF6" s="1058"/>
      <c r="FG6" s="1058"/>
      <c r="FH6" s="1058"/>
      <c r="FI6" s="1058"/>
      <c r="FJ6" s="1058"/>
      <c r="FK6" s="1058"/>
      <c r="FL6" s="1058"/>
      <c r="FM6" s="1058"/>
      <c r="FN6" s="1058"/>
      <c r="FO6" s="1058"/>
      <c r="FP6" s="1058"/>
      <c r="FQ6" s="1058"/>
      <c r="FR6" s="1058"/>
      <c r="FS6" s="1058"/>
      <c r="FT6" s="1058"/>
      <c r="FU6" s="1058"/>
      <c r="FV6" s="1058"/>
      <c r="FW6" s="1058"/>
      <c r="FX6" s="1058"/>
      <c r="FY6" s="1058"/>
      <c r="FZ6" s="1058"/>
      <c r="GA6" s="1058"/>
      <c r="GB6" s="1058"/>
      <c r="GC6" s="1058"/>
      <c r="GD6" s="1058"/>
      <c r="GE6" s="1058"/>
      <c r="GF6" s="1059"/>
      <c r="GG6" s="1055">
        <v>2024</v>
      </c>
      <c r="GH6" s="1056"/>
      <c r="GI6" s="1056"/>
      <c r="GJ6" s="1056"/>
      <c r="GK6" s="1056"/>
      <c r="GL6" s="1056"/>
      <c r="GM6" s="1056"/>
      <c r="GN6" s="1056"/>
      <c r="GO6" s="1056"/>
      <c r="GP6" s="1056"/>
      <c r="GQ6" s="1056"/>
      <c r="GR6" s="1056"/>
      <c r="GS6" s="1056"/>
      <c r="GT6" s="1056"/>
      <c r="GU6" s="1056"/>
      <c r="GV6" s="1056"/>
      <c r="GW6" s="1056"/>
      <c r="GX6" s="1056"/>
      <c r="GY6" s="1056"/>
      <c r="GZ6" s="1056"/>
      <c r="HA6" s="1056"/>
      <c r="HB6" s="1056"/>
      <c r="HC6" s="1056"/>
      <c r="HD6" s="1056"/>
      <c r="HE6" s="1056"/>
      <c r="HF6" s="1056"/>
      <c r="HG6" s="1056"/>
      <c r="HH6" s="1056"/>
      <c r="HI6" s="1056"/>
      <c r="HJ6" s="1056"/>
      <c r="HK6" s="1056"/>
      <c r="HL6" s="1056"/>
      <c r="HM6" s="1056"/>
      <c r="HN6" s="1056"/>
      <c r="HO6" s="1056"/>
      <c r="HP6" s="1056"/>
      <c r="HQ6" s="1056"/>
      <c r="HR6" s="1056"/>
      <c r="HS6" s="1056"/>
      <c r="HT6" s="1056"/>
      <c r="HU6" s="1056"/>
      <c r="HV6" s="1056"/>
      <c r="HW6" s="1056"/>
      <c r="HX6" s="1056"/>
      <c r="HY6" s="1056"/>
      <c r="HZ6" s="1056"/>
      <c r="IA6" s="1056"/>
      <c r="IB6" s="1056"/>
      <c r="IC6" s="1056"/>
      <c r="ID6" s="1056"/>
      <c r="IE6" s="1056"/>
      <c r="IF6" s="1056"/>
      <c r="IG6" s="1056"/>
      <c r="IH6" s="1056"/>
      <c r="II6" s="1056"/>
      <c r="IJ6" s="1056"/>
      <c r="IK6" s="1056"/>
      <c r="IL6" s="1056"/>
      <c r="IM6" s="1056"/>
      <c r="IN6" s="1056"/>
      <c r="IO6" s="238"/>
      <c r="IP6" s="19" t="s">
        <v>202</v>
      </c>
      <c r="IQ6" s="1055">
        <v>2025</v>
      </c>
      <c r="IR6" s="1056"/>
      <c r="IS6" s="1056"/>
      <c r="IT6" s="1056"/>
      <c r="IU6" s="1056"/>
      <c r="IV6" s="1056"/>
      <c r="IW6" s="1056"/>
      <c r="IX6" s="1056"/>
      <c r="IY6" s="1056"/>
      <c r="IZ6" s="1056"/>
      <c r="JA6" s="1056"/>
      <c r="JB6" s="1056"/>
      <c r="JC6" s="1056"/>
      <c r="JD6" s="1056"/>
      <c r="JE6" s="1056"/>
      <c r="JF6" s="1056"/>
      <c r="JG6" s="1056"/>
      <c r="JH6" s="1056"/>
      <c r="JI6" s="1056"/>
      <c r="JJ6" s="1056"/>
      <c r="JK6" s="1056"/>
      <c r="JL6" s="1056"/>
      <c r="JM6" s="1056"/>
      <c r="JN6" s="1056"/>
      <c r="JO6" s="1056"/>
      <c r="JP6" s="1056"/>
      <c r="JQ6" s="1056"/>
      <c r="JR6" s="1056"/>
      <c r="JS6" s="1056"/>
      <c r="JT6" s="1056"/>
      <c r="JU6" s="1056"/>
      <c r="JV6" s="1056"/>
      <c r="JW6" s="1056"/>
      <c r="JX6" s="1056"/>
      <c r="JY6" s="1056"/>
      <c r="JZ6" s="1056"/>
      <c r="KA6" s="1056"/>
      <c r="KB6" s="1056"/>
      <c r="KC6" s="1056"/>
      <c r="KD6" s="1056"/>
      <c r="KE6" s="1056"/>
      <c r="KF6" s="1056"/>
      <c r="KG6" s="1056"/>
      <c r="KH6" s="1056"/>
      <c r="KI6" s="1056"/>
      <c r="KJ6" s="1056"/>
      <c r="KK6" s="1056"/>
      <c r="KL6" s="1056"/>
      <c r="KM6" s="1056"/>
      <c r="KN6" s="1056"/>
      <c r="KO6" s="1056"/>
      <c r="KP6" s="1056"/>
      <c r="KQ6" s="1056"/>
      <c r="KR6" s="1056"/>
      <c r="KS6" s="1056"/>
      <c r="KT6" s="1056"/>
      <c r="KU6" s="1056"/>
      <c r="KV6" s="1056"/>
      <c r="KW6" s="1056"/>
      <c r="KX6" s="1057"/>
      <c r="KZ6" s="19" t="s">
        <v>198</v>
      </c>
    </row>
    <row r="7" spans="1:312" s="36" customFormat="1" ht="21.75" customHeight="1" thickBot="1" x14ac:dyDescent="0.3">
      <c r="A7" s="239"/>
      <c r="B7" s="240"/>
      <c r="C7" s="241"/>
      <c r="D7" s="242" t="s">
        <v>156</v>
      </c>
      <c r="E7" s="243"/>
      <c r="F7" s="243"/>
      <c r="G7" s="244"/>
      <c r="H7" s="232" t="s">
        <v>62</v>
      </c>
      <c r="I7" s="245" t="s">
        <v>147</v>
      </c>
      <c r="J7" s="233"/>
      <c r="K7" s="233"/>
      <c r="L7" s="233"/>
      <c r="M7" s="232" t="s">
        <v>62</v>
      </c>
      <c r="N7" s="230" t="s">
        <v>148</v>
      </c>
      <c r="O7" s="246"/>
      <c r="P7" s="246"/>
      <c r="Q7" s="246"/>
      <c r="R7" s="232" t="s">
        <v>62</v>
      </c>
      <c r="S7" s="247" t="s">
        <v>149</v>
      </c>
      <c r="T7" s="248"/>
      <c r="U7" s="248"/>
      <c r="V7" s="248"/>
      <c r="W7" s="249" t="s">
        <v>62</v>
      </c>
      <c r="X7" s="247" t="s">
        <v>160</v>
      </c>
      <c r="Y7" s="248"/>
      <c r="Z7" s="248"/>
      <c r="AA7" s="248"/>
      <c r="AB7" s="249" t="s">
        <v>62</v>
      </c>
      <c r="AC7" s="250" t="s">
        <v>150</v>
      </c>
      <c r="AD7" s="251"/>
      <c r="AE7" s="251"/>
      <c r="AF7" s="251"/>
      <c r="AG7" s="252" t="s">
        <v>62</v>
      </c>
      <c r="AH7" s="250" t="s">
        <v>151</v>
      </c>
      <c r="AI7" s="251"/>
      <c r="AJ7" s="251"/>
      <c r="AK7" s="251"/>
      <c r="AL7" s="252" t="s">
        <v>62</v>
      </c>
      <c r="AM7" s="250" t="s">
        <v>82</v>
      </c>
      <c r="AN7" s="251"/>
      <c r="AO7" s="251"/>
      <c r="AP7" s="251"/>
      <c r="AQ7" s="252" t="s">
        <v>62</v>
      </c>
      <c r="AR7" s="250" t="s">
        <v>152</v>
      </c>
      <c r="AS7" s="251"/>
      <c r="AT7" s="251"/>
      <c r="AU7" s="251"/>
      <c r="AV7" s="252" t="s">
        <v>62</v>
      </c>
      <c r="AW7" s="250" t="s">
        <v>153</v>
      </c>
      <c r="AX7" s="251"/>
      <c r="AY7" s="251"/>
      <c r="AZ7" s="251"/>
      <c r="BA7" s="252" t="s">
        <v>62</v>
      </c>
      <c r="BB7" s="250" t="s">
        <v>154</v>
      </c>
      <c r="BC7" s="251"/>
      <c r="BD7" s="251"/>
      <c r="BE7" s="251"/>
      <c r="BF7" s="252" t="s">
        <v>62</v>
      </c>
      <c r="BG7" s="250" t="s">
        <v>155</v>
      </c>
      <c r="BH7" s="251"/>
      <c r="BI7" s="251"/>
      <c r="BJ7" s="251"/>
      <c r="BK7" s="252" t="s">
        <v>62</v>
      </c>
      <c r="BL7" s="250" t="s">
        <v>156</v>
      </c>
      <c r="BM7" s="251"/>
      <c r="BN7" s="251"/>
      <c r="BO7" s="251"/>
      <c r="BP7" s="253" t="s">
        <v>62</v>
      </c>
      <c r="BQ7" s="254" t="s">
        <v>147</v>
      </c>
      <c r="BR7" s="832"/>
      <c r="BS7" s="832"/>
      <c r="BT7" s="833"/>
      <c r="BU7" s="834" t="s">
        <v>62</v>
      </c>
      <c r="BV7" s="835" t="s">
        <v>148</v>
      </c>
      <c r="BW7" s="832"/>
      <c r="BX7" s="832"/>
      <c r="BY7" s="833"/>
      <c r="BZ7" s="834" t="s">
        <v>62</v>
      </c>
      <c r="CA7" s="835" t="s">
        <v>149</v>
      </c>
      <c r="CB7" s="832"/>
      <c r="CC7" s="832"/>
      <c r="CD7" s="833"/>
      <c r="CE7" s="834" t="s">
        <v>62</v>
      </c>
      <c r="CF7" s="835" t="s">
        <v>160</v>
      </c>
      <c r="CG7" s="832"/>
      <c r="CH7" s="832"/>
      <c r="CI7" s="833"/>
      <c r="CJ7" s="834" t="s">
        <v>62</v>
      </c>
      <c r="CK7" s="835" t="s">
        <v>150</v>
      </c>
      <c r="CL7" s="832"/>
      <c r="CM7" s="832"/>
      <c r="CN7" s="833"/>
      <c r="CO7" s="834" t="s">
        <v>62</v>
      </c>
      <c r="CP7" s="835" t="s">
        <v>151</v>
      </c>
      <c r="CQ7" s="832"/>
      <c r="CR7" s="832"/>
      <c r="CS7" s="833"/>
      <c r="CT7" s="836" t="s">
        <v>62</v>
      </c>
      <c r="CU7" s="835" t="s">
        <v>82</v>
      </c>
      <c r="CV7" s="832"/>
      <c r="CW7" s="832"/>
      <c r="CX7" s="833"/>
      <c r="CY7" s="834" t="s">
        <v>62</v>
      </c>
      <c r="CZ7" s="835" t="s">
        <v>152</v>
      </c>
      <c r="DA7" s="832"/>
      <c r="DB7" s="832"/>
      <c r="DC7" s="833"/>
      <c r="DD7" s="834" t="s">
        <v>62</v>
      </c>
      <c r="DE7" s="835" t="s">
        <v>153</v>
      </c>
      <c r="DF7" s="832"/>
      <c r="DG7" s="832"/>
      <c r="DH7" s="833"/>
      <c r="DI7" s="834" t="s">
        <v>62</v>
      </c>
      <c r="DJ7" s="835" t="s">
        <v>154</v>
      </c>
      <c r="DK7" s="832"/>
      <c r="DL7" s="832"/>
      <c r="DM7" s="833"/>
      <c r="DN7" s="834" t="s">
        <v>62</v>
      </c>
      <c r="DO7" s="835" t="s">
        <v>155</v>
      </c>
      <c r="DP7" s="832"/>
      <c r="DQ7" s="832"/>
      <c r="DR7" s="833"/>
      <c r="DS7" s="834" t="s">
        <v>62</v>
      </c>
      <c r="DT7" s="835" t="s">
        <v>156</v>
      </c>
      <c r="DU7" s="832"/>
      <c r="DV7" s="832"/>
      <c r="DW7" s="833"/>
      <c r="DX7" s="834" t="s">
        <v>62</v>
      </c>
      <c r="DY7" s="835" t="s">
        <v>147</v>
      </c>
      <c r="DZ7" s="832"/>
      <c r="EA7" s="832"/>
      <c r="EB7" s="833"/>
      <c r="EC7" s="834" t="s">
        <v>62</v>
      </c>
      <c r="ED7" s="835" t="s">
        <v>148</v>
      </c>
      <c r="EE7" s="832"/>
      <c r="EF7" s="832"/>
      <c r="EG7" s="833"/>
      <c r="EH7" s="834" t="s">
        <v>62</v>
      </c>
      <c r="EI7" s="835" t="s">
        <v>149</v>
      </c>
      <c r="EJ7" s="832"/>
      <c r="EK7" s="832"/>
      <c r="EL7" s="833"/>
      <c r="EM7" s="834" t="s">
        <v>62</v>
      </c>
      <c r="EN7" s="835" t="s">
        <v>160</v>
      </c>
      <c r="EO7" s="832"/>
      <c r="EP7" s="832"/>
      <c r="EQ7" s="833"/>
      <c r="ER7" s="834" t="s">
        <v>62</v>
      </c>
      <c r="ES7" s="835" t="s">
        <v>150</v>
      </c>
      <c r="ET7" s="832"/>
      <c r="EU7" s="832"/>
      <c r="EV7" s="833"/>
      <c r="EW7" s="834" t="s">
        <v>62</v>
      </c>
      <c r="EX7" s="835" t="s">
        <v>151</v>
      </c>
      <c r="EY7" s="832"/>
      <c r="EZ7" s="832"/>
      <c r="FA7" s="833"/>
      <c r="FB7" s="834" t="s">
        <v>62</v>
      </c>
      <c r="FC7" s="835" t="s">
        <v>82</v>
      </c>
      <c r="FD7" s="832"/>
      <c r="FE7" s="832"/>
      <c r="FF7" s="833"/>
      <c r="FG7" s="834" t="s">
        <v>62</v>
      </c>
      <c r="FH7" s="835" t="s">
        <v>152</v>
      </c>
      <c r="FI7" s="832"/>
      <c r="FJ7" s="832"/>
      <c r="FK7" s="833"/>
      <c r="FL7" s="834" t="s">
        <v>62</v>
      </c>
      <c r="FM7" s="835" t="s">
        <v>153</v>
      </c>
      <c r="FN7" s="832"/>
      <c r="FO7" s="832"/>
      <c r="FP7" s="833"/>
      <c r="FQ7" s="834" t="s">
        <v>62</v>
      </c>
      <c r="FR7" s="835" t="s">
        <v>154</v>
      </c>
      <c r="FS7" s="832"/>
      <c r="FT7" s="832"/>
      <c r="FU7" s="833"/>
      <c r="FV7" s="834" t="s">
        <v>62</v>
      </c>
      <c r="FW7" s="835" t="s">
        <v>155</v>
      </c>
      <c r="FX7" s="832"/>
      <c r="FY7" s="832"/>
      <c r="FZ7" s="833"/>
      <c r="GA7" s="834" t="s">
        <v>62</v>
      </c>
      <c r="GB7" s="835" t="s">
        <v>156</v>
      </c>
      <c r="GC7" s="832"/>
      <c r="GD7" s="832"/>
      <c r="GE7" s="833"/>
      <c r="GF7" s="834" t="s">
        <v>62</v>
      </c>
      <c r="GG7" s="1048" t="s">
        <v>147</v>
      </c>
      <c r="GH7" s="1049"/>
      <c r="GI7" s="1049"/>
      <c r="GJ7" s="1060"/>
      <c r="GK7" s="257" t="s">
        <v>251</v>
      </c>
      <c r="GL7" s="1048" t="s">
        <v>148</v>
      </c>
      <c r="GM7" s="1049"/>
      <c r="GN7" s="1049"/>
      <c r="GO7" s="1060"/>
      <c r="GP7" s="257" t="s">
        <v>252</v>
      </c>
      <c r="GQ7" s="1048" t="s">
        <v>149</v>
      </c>
      <c r="GR7" s="1049"/>
      <c r="GS7" s="1049"/>
      <c r="GT7" s="1060"/>
      <c r="GU7" s="257" t="s">
        <v>253</v>
      </c>
      <c r="GV7" s="1048" t="s">
        <v>160</v>
      </c>
      <c r="GW7" s="1049"/>
      <c r="GX7" s="1049"/>
      <c r="GY7" s="1060"/>
      <c r="GZ7" s="257" t="s">
        <v>254</v>
      </c>
      <c r="HA7" s="1048" t="s">
        <v>150</v>
      </c>
      <c r="HB7" s="1049"/>
      <c r="HC7" s="1049"/>
      <c r="HD7" s="1060"/>
      <c r="HE7" s="257" t="s">
        <v>255</v>
      </c>
      <c r="HF7" s="1048" t="s">
        <v>151</v>
      </c>
      <c r="HG7" s="1049"/>
      <c r="HH7" s="1049"/>
      <c r="HI7" s="1060"/>
      <c r="HJ7" s="257" t="s">
        <v>256</v>
      </c>
      <c r="HK7" s="1048" t="s">
        <v>82</v>
      </c>
      <c r="HL7" s="1049"/>
      <c r="HM7" s="1049"/>
      <c r="HN7" s="1060"/>
      <c r="HO7" s="257" t="s">
        <v>257</v>
      </c>
      <c r="HP7" s="1048" t="s">
        <v>152</v>
      </c>
      <c r="HQ7" s="1049"/>
      <c r="HR7" s="1049"/>
      <c r="HS7" s="1060"/>
      <c r="HT7" s="257" t="s">
        <v>258</v>
      </c>
      <c r="HU7" s="1048" t="s">
        <v>153</v>
      </c>
      <c r="HV7" s="1049"/>
      <c r="HW7" s="1049"/>
      <c r="HX7" s="1060"/>
      <c r="HY7" s="257" t="s">
        <v>259</v>
      </c>
      <c r="HZ7" s="1048" t="s">
        <v>154</v>
      </c>
      <c r="IA7" s="1049"/>
      <c r="IB7" s="1049"/>
      <c r="IC7" s="1060"/>
      <c r="ID7" s="257" t="s">
        <v>260</v>
      </c>
      <c r="IE7" s="1048" t="s">
        <v>155</v>
      </c>
      <c r="IF7" s="1049"/>
      <c r="IG7" s="1049"/>
      <c r="IH7" s="1060"/>
      <c r="II7" s="257" t="s">
        <v>261</v>
      </c>
      <c r="IJ7" s="1048" t="s">
        <v>156</v>
      </c>
      <c r="IK7" s="1049"/>
      <c r="IL7" s="1049"/>
      <c r="IM7" s="1049"/>
      <c r="IN7" s="489" t="s">
        <v>262</v>
      </c>
      <c r="IO7" s="520"/>
      <c r="IQ7" s="498" t="s">
        <v>147</v>
      </c>
      <c r="IR7" s="255"/>
      <c r="IS7" s="255"/>
      <c r="IT7" s="256"/>
      <c r="IU7" s="258" t="s">
        <v>62</v>
      </c>
      <c r="IV7" s="254" t="s">
        <v>148</v>
      </c>
      <c r="IW7" s="255"/>
      <c r="IX7" s="255"/>
      <c r="IY7" s="256"/>
      <c r="IZ7" s="258" t="s">
        <v>62</v>
      </c>
      <c r="JA7" s="254" t="s">
        <v>149</v>
      </c>
      <c r="JB7" s="255"/>
      <c r="JC7" s="255"/>
      <c r="JD7" s="256"/>
      <c r="JE7" s="258" t="s">
        <v>62</v>
      </c>
      <c r="JF7" s="254" t="s">
        <v>160</v>
      </c>
      <c r="JG7" s="255"/>
      <c r="JH7" s="255"/>
      <c r="JI7" s="256"/>
      <c r="JJ7" s="258" t="s">
        <v>62</v>
      </c>
      <c r="JK7" s="254" t="s">
        <v>150</v>
      </c>
      <c r="JL7" s="255"/>
      <c r="JM7" s="255"/>
      <c r="JN7" s="256"/>
      <c r="JO7" s="258" t="s">
        <v>62</v>
      </c>
      <c r="JP7" s="254" t="s">
        <v>151</v>
      </c>
      <c r="JQ7" s="255"/>
      <c r="JR7" s="255"/>
      <c r="JS7" s="256"/>
      <c r="JT7" s="258" t="s">
        <v>62</v>
      </c>
      <c r="JU7" s="254" t="s">
        <v>82</v>
      </c>
      <c r="JV7" s="255"/>
      <c r="JW7" s="255"/>
      <c r="JX7" s="256"/>
      <c r="JY7" s="258" t="s">
        <v>62</v>
      </c>
      <c r="JZ7" s="1050" t="s">
        <v>152</v>
      </c>
      <c r="KA7" s="1051"/>
      <c r="KB7" s="1051"/>
      <c r="KC7" s="1052"/>
      <c r="KD7" s="1053" t="s">
        <v>62</v>
      </c>
      <c r="KE7" s="1050" t="s">
        <v>193</v>
      </c>
      <c r="KF7" s="1051"/>
      <c r="KG7" s="1051"/>
      <c r="KH7" s="1052"/>
      <c r="KI7" s="1053" t="s">
        <v>62</v>
      </c>
      <c r="KJ7" s="1050" t="s">
        <v>194</v>
      </c>
      <c r="KK7" s="1051"/>
      <c r="KL7" s="1051"/>
      <c r="KM7" s="1052"/>
      <c r="KN7" s="1053" t="s">
        <v>62</v>
      </c>
      <c r="KO7" s="1050" t="s">
        <v>195</v>
      </c>
      <c r="KP7" s="1051"/>
      <c r="KQ7" s="1051"/>
      <c r="KR7" s="1052"/>
      <c r="KS7" s="1053" t="s">
        <v>62</v>
      </c>
      <c r="KT7" s="1050" t="s">
        <v>196</v>
      </c>
      <c r="KU7" s="1051"/>
      <c r="KV7" s="1051"/>
      <c r="KW7" s="1052"/>
      <c r="KX7" s="1053" t="s">
        <v>62</v>
      </c>
    </row>
    <row r="8" spans="1:312" ht="16.5" thickBot="1" x14ac:dyDescent="0.3">
      <c r="A8" s="259"/>
      <c r="B8" s="260"/>
      <c r="C8" s="261"/>
      <c r="D8" s="262" t="s">
        <v>58</v>
      </c>
      <c r="E8" s="263" t="s">
        <v>59</v>
      </c>
      <c r="F8" s="264" t="s">
        <v>60</v>
      </c>
      <c r="G8" s="265" t="s">
        <v>61</v>
      </c>
      <c r="H8" s="261"/>
      <c r="I8" s="262" t="s">
        <v>58</v>
      </c>
      <c r="J8" s="263" t="s">
        <v>59</v>
      </c>
      <c r="K8" s="264" t="s">
        <v>60</v>
      </c>
      <c r="L8" s="265" t="s">
        <v>61</v>
      </c>
      <c r="M8" s="261"/>
      <c r="N8" s="266" t="s">
        <v>58</v>
      </c>
      <c r="O8" s="263" t="s">
        <v>59</v>
      </c>
      <c r="P8" s="264" t="s">
        <v>60</v>
      </c>
      <c r="Q8" s="265" t="s">
        <v>61</v>
      </c>
      <c r="R8" s="261"/>
      <c r="S8" s="266" t="s">
        <v>58</v>
      </c>
      <c r="T8" s="263" t="s">
        <v>59</v>
      </c>
      <c r="U8" s="264" t="s">
        <v>60</v>
      </c>
      <c r="V8" s="265" t="s">
        <v>61</v>
      </c>
      <c r="W8" s="267"/>
      <c r="X8" s="266" t="s">
        <v>58</v>
      </c>
      <c r="Y8" s="263" t="s">
        <v>59</v>
      </c>
      <c r="Z8" s="264" t="s">
        <v>60</v>
      </c>
      <c r="AA8" s="265" t="s">
        <v>61</v>
      </c>
      <c r="AB8" s="267"/>
      <c r="AC8" s="268" t="s">
        <v>58</v>
      </c>
      <c r="AD8" s="269" t="s">
        <v>59</v>
      </c>
      <c r="AE8" s="270" t="s">
        <v>60</v>
      </c>
      <c r="AF8" s="271" t="s">
        <v>61</v>
      </c>
      <c r="AG8" s="272"/>
      <c r="AH8" s="268" t="s">
        <v>58</v>
      </c>
      <c r="AI8" s="269" t="s">
        <v>59</v>
      </c>
      <c r="AJ8" s="270" t="s">
        <v>60</v>
      </c>
      <c r="AK8" s="271" t="s">
        <v>61</v>
      </c>
      <c r="AL8" s="272"/>
      <c r="AM8" s="268" t="s">
        <v>58</v>
      </c>
      <c r="AN8" s="269" t="s">
        <v>59</v>
      </c>
      <c r="AO8" s="270" t="s">
        <v>60</v>
      </c>
      <c r="AP8" s="271" t="s">
        <v>61</v>
      </c>
      <c r="AQ8" s="272"/>
      <c r="AR8" s="273" t="s">
        <v>58</v>
      </c>
      <c r="AS8" s="274" t="s">
        <v>59</v>
      </c>
      <c r="AT8" s="275" t="s">
        <v>60</v>
      </c>
      <c r="AU8" s="276" t="s">
        <v>61</v>
      </c>
      <c r="AV8" s="277"/>
      <c r="AW8" s="273" t="s">
        <v>58</v>
      </c>
      <c r="AX8" s="274" t="s">
        <v>59</v>
      </c>
      <c r="AY8" s="275" t="s">
        <v>60</v>
      </c>
      <c r="AZ8" s="276" t="s">
        <v>61</v>
      </c>
      <c r="BA8" s="277"/>
      <c r="BB8" s="273" t="s">
        <v>58</v>
      </c>
      <c r="BC8" s="274" t="s">
        <v>59</v>
      </c>
      <c r="BD8" s="275" t="s">
        <v>60</v>
      </c>
      <c r="BE8" s="276" t="s">
        <v>61</v>
      </c>
      <c r="BF8" s="277"/>
      <c r="BG8" s="268" t="s">
        <v>58</v>
      </c>
      <c r="BH8" s="269" t="s">
        <v>59</v>
      </c>
      <c r="BI8" s="270" t="s">
        <v>60</v>
      </c>
      <c r="BJ8" s="278" t="s">
        <v>61</v>
      </c>
      <c r="BK8" s="279"/>
      <c r="BL8" s="268" t="s">
        <v>58</v>
      </c>
      <c r="BM8" s="269" t="s">
        <v>59</v>
      </c>
      <c r="BN8" s="270" t="s">
        <v>60</v>
      </c>
      <c r="BO8" s="278" t="s">
        <v>61</v>
      </c>
      <c r="BP8" s="280"/>
      <c r="BQ8" s="268" t="s">
        <v>58</v>
      </c>
      <c r="BR8" s="269" t="s">
        <v>59</v>
      </c>
      <c r="BS8" s="270" t="s">
        <v>60</v>
      </c>
      <c r="BT8" s="278" t="s">
        <v>61</v>
      </c>
      <c r="BU8" s="837"/>
      <c r="BV8" s="268" t="s">
        <v>58</v>
      </c>
      <c r="BW8" s="269" t="s">
        <v>59</v>
      </c>
      <c r="BX8" s="270" t="s">
        <v>60</v>
      </c>
      <c r="BY8" s="278" t="s">
        <v>61</v>
      </c>
      <c r="BZ8" s="837"/>
      <c r="CA8" s="273" t="s">
        <v>58</v>
      </c>
      <c r="CB8" s="274" t="s">
        <v>59</v>
      </c>
      <c r="CC8" s="275" t="s">
        <v>60</v>
      </c>
      <c r="CD8" s="286" t="s">
        <v>61</v>
      </c>
      <c r="CE8" s="838"/>
      <c r="CF8" s="273" t="s">
        <v>58</v>
      </c>
      <c r="CG8" s="274" t="s">
        <v>59</v>
      </c>
      <c r="CH8" s="275" t="s">
        <v>60</v>
      </c>
      <c r="CI8" s="286" t="s">
        <v>61</v>
      </c>
      <c r="CJ8" s="838"/>
      <c r="CK8" s="273" t="s">
        <v>58</v>
      </c>
      <c r="CL8" s="274" t="s">
        <v>59</v>
      </c>
      <c r="CM8" s="275" t="s">
        <v>60</v>
      </c>
      <c r="CN8" s="286" t="s">
        <v>61</v>
      </c>
      <c r="CO8" s="838"/>
      <c r="CP8" s="273" t="s">
        <v>58</v>
      </c>
      <c r="CQ8" s="274" t="s">
        <v>59</v>
      </c>
      <c r="CR8" s="275" t="s">
        <v>60</v>
      </c>
      <c r="CS8" s="286" t="s">
        <v>61</v>
      </c>
      <c r="CT8" s="839"/>
      <c r="CU8" s="273" t="s">
        <v>58</v>
      </c>
      <c r="CV8" s="274" t="s">
        <v>59</v>
      </c>
      <c r="CW8" s="275" t="s">
        <v>60</v>
      </c>
      <c r="CX8" s="286" t="s">
        <v>61</v>
      </c>
      <c r="CY8" s="837"/>
      <c r="CZ8" s="273" t="s">
        <v>58</v>
      </c>
      <c r="DA8" s="274" t="s">
        <v>59</v>
      </c>
      <c r="DB8" s="275" t="s">
        <v>60</v>
      </c>
      <c r="DC8" s="286" t="s">
        <v>61</v>
      </c>
      <c r="DD8" s="837"/>
      <c r="DE8" s="273" t="s">
        <v>58</v>
      </c>
      <c r="DF8" s="274" t="s">
        <v>59</v>
      </c>
      <c r="DG8" s="275" t="s">
        <v>60</v>
      </c>
      <c r="DH8" s="286" t="s">
        <v>61</v>
      </c>
      <c r="DI8" s="837"/>
      <c r="DJ8" s="273" t="s">
        <v>58</v>
      </c>
      <c r="DK8" s="274" t="s">
        <v>59</v>
      </c>
      <c r="DL8" s="275" t="s">
        <v>60</v>
      </c>
      <c r="DM8" s="286" t="s">
        <v>61</v>
      </c>
      <c r="DN8" s="837"/>
      <c r="DO8" s="273" t="s">
        <v>58</v>
      </c>
      <c r="DP8" s="274" t="s">
        <v>59</v>
      </c>
      <c r="DQ8" s="275" t="s">
        <v>60</v>
      </c>
      <c r="DR8" s="286" t="s">
        <v>61</v>
      </c>
      <c r="DS8" s="837"/>
      <c r="DT8" s="273" t="s">
        <v>58</v>
      </c>
      <c r="DU8" s="274" t="s">
        <v>59</v>
      </c>
      <c r="DV8" s="275" t="s">
        <v>60</v>
      </c>
      <c r="DW8" s="286" t="s">
        <v>61</v>
      </c>
      <c r="DX8" s="837"/>
      <c r="DY8" s="273" t="s">
        <v>58</v>
      </c>
      <c r="DZ8" s="274" t="s">
        <v>59</v>
      </c>
      <c r="EA8" s="275" t="s">
        <v>60</v>
      </c>
      <c r="EB8" s="286" t="s">
        <v>61</v>
      </c>
      <c r="EC8" s="837"/>
      <c r="ED8" s="273" t="s">
        <v>58</v>
      </c>
      <c r="EE8" s="274" t="s">
        <v>59</v>
      </c>
      <c r="EF8" s="275" t="s">
        <v>60</v>
      </c>
      <c r="EG8" s="286" t="s">
        <v>61</v>
      </c>
      <c r="EH8" s="837"/>
      <c r="EI8" s="273" t="s">
        <v>58</v>
      </c>
      <c r="EJ8" s="274" t="s">
        <v>59</v>
      </c>
      <c r="EK8" s="275" t="s">
        <v>60</v>
      </c>
      <c r="EL8" s="286" t="s">
        <v>61</v>
      </c>
      <c r="EM8" s="837"/>
      <c r="EN8" s="273" t="s">
        <v>58</v>
      </c>
      <c r="EO8" s="274" t="s">
        <v>59</v>
      </c>
      <c r="EP8" s="275" t="s">
        <v>60</v>
      </c>
      <c r="EQ8" s="286" t="s">
        <v>61</v>
      </c>
      <c r="ER8" s="837"/>
      <c r="ES8" s="273" t="s">
        <v>58</v>
      </c>
      <c r="ET8" s="274" t="s">
        <v>59</v>
      </c>
      <c r="EU8" s="275" t="s">
        <v>60</v>
      </c>
      <c r="EV8" s="286" t="s">
        <v>61</v>
      </c>
      <c r="EW8" s="837"/>
      <c r="EX8" s="273" t="s">
        <v>58</v>
      </c>
      <c r="EY8" s="274" t="s">
        <v>59</v>
      </c>
      <c r="EZ8" s="275" t="s">
        <v>60</v>
      </c>
      <c r="FA8" s="286" t="s">
        <v>61</v>
      </c>
      <c r="FB8" s="837"/>
      <c r="FC8" s="273" t="s">
        <v>58</v>
      </c>
      <c r="FD8" s="274" t="s">
        <v>59</v>
      </c>
      <c r="FE8" s="275" t="s">
        <v>60</v>
      </c>
      <c r="FF8" s="286" t="s">
        <v>61</v>
      </c>
      <c r="FG8" s="837"/>
      <c r="FH8" s="273" t="s">
        <v>58</v>
      </c>
      <c r="FI8" s="274" t="s">
        <v>59</v>
      </c>
      <c r="FJ8" s="275" t="s">
        <v>60</v>
      </c>
      <c r="FK8" s="286" t="s">
        <v>61</v>
      </c>
      <c r="FL8" s="837"/>
      <c r="FM8" s="273" t="s">
        <v>58</v>
      </c>
      <c r="FN8" s="274" t="s">
        <v>59</v>
      </c>
      <c r="FO8" s="275" t="s">
        <v>60</v>
      </c>
      <c r="FP8" s="286" t="s">
        <v>61</v>
      </c>
      <c r="FQ8" s="837"/>
      <c r="FR8" s="273" t="s">
        <v>58</v>
      </c>
      <c r="FS8" s="274" t="s">
        <v>59</v>
      </c>
      <c r="FT8" s="275" t="s">
        <v>60</v>
      </c>
      <c r="FU8" s="286" t="s">
        <v>61</v>
      </c>
      <c r="FV8" s="837"/>
      <c r="FW8" s="273" t="s">
        <v>58</v>
      </c>
      <c r="FX8" s="274" t="s">
        <v>59</v>
      </c>
      <c r="FY8" s="275" t="s">
        <v>60</v>
      </c>
      <c r="FZ8" s="286" t="s">
        <v>61</v>
      </c>
      <c r="GA8" s="837"/>
      <c r="GB8" s="273" t="s">
        <v>58</v>
      </c>
      <c r="GC8" s="274" t="s">
        <v>59</v>
      </c>
      <c r="GD8" s="275" t="s">
        <v>60</v>
      </c>
      <c r="GE8" s="286" t="s">
        <v>61</v>
      </c>
      <c r="GF8" s="837"/>
      <c r="GG8" s="282" t="s">
        <v>58</v>
      </c>
      <c r="GH8" s="283" t="s">
        <v>59</v>
      </c>
      <c r="GI8" s="284" t="s">
        <v>60</v>
      </c>
      <c r="GJ8" s="285" t="s">
        <v>61</v>
      </c>
      <c r="GK8" s="281"/>
      <c r="GL8" s="282" t="s">
        <v>58</v>
      </c>
      <c r="GM8" s="283" t="s">
        <v>59</v>
      </c>
      <c r="GN8" s="284" t="s">
        <v>60</v>
      </c>
      <c r="GO8" s="285" t="s">
        <v>61</v>
      </c>
      <c r="GP8" s="281"/>
      <c r="GQ8" s="282" t="s">
        <v>58</v>
      </c>
      <c r="GR8" s="283" t="s">
        <v>59</v>
      </c>
      <c r="GS8" s="284" t="s">
        <v>60</v>
      </c>
      <c r="GT8" s="285" t="s">
        <v>61</v>
      </c>
      <c r="GU8" s="281"/>
      <c r="GV8" s="282" t="s">
        <v>58</v>
      </c>
      <c r="GW8" s="283" t="s">
        <v>59</v>
      </c>
      <c r="GX8" s="284" t="s">
        <v>60</v>
      </c>
      <c r="GY8" s="285" t="s">
        <v>61</v>
      </c>
      <c r="GZ8" s="281"/>
      <c r="HA8" s="282" t="s">
        <v>58</v>
      </c>
      <c r="HB8" s="283" t="s">
        <v>59</v>
      </c>
      <c r="HC8" s="284" t="s">
        <v>60</v>
      </c>
      <c r="HD8" s="285" t="s">
        <v>61</v>
      </c>
      <c r="HE8" s="281"/>
      <c r="HF8" s="282" t="s">
        <v>58</v>
      </c>
      <c r="HG8" s="283" t="s">
        <v>59</v>
      </c>
      <c r="HH8" s="284" t="s">
        <v>60</v>
      </c>
      <c r="HI8" s="285" t="s">
        <v>61</v>
      </c>
      <c r="HJ8" s="281"/>
      <c r="HK8" s="282" t="s">
        <v>58</v>
      </c>
      <c r="HL8" s="283" t="s">
        <v>59</v>
      </c>
      <c r="HM8" s="284" t="s">
        <v>60</v>
      </c>
      <c r="HN8" s="285" t="s">
        <v>61</v>
      </c>
      <c r="HO8" s="281"/>
      <c r="HP8" s="282" t="s">
        <v>58</v>
      </c>
      <c r="HQ8" s="287" t="s">
        <v>59</v>
      </c>
      <c r="HR8" s="284" t="s">
        <v>60</v>
      </c>
      <c r="HS8" s="285" t="s">
        <v>61</v>
      </c>
      <c r="HT8" s="281"/>
      <c r="HU8" s="282" t="s">
        <v>58</v>
      </c>
      <c r="HV8" s="287" t="s">
        <v>59</v>
      </c>
      <c r="HW8" s="284" t="s">
        <v>60</v>
      </c>
      <c r="HX8" s="285" t="s">
        <v>61</v>
      </c>
      <c r="HY8" s="281"/>
      <c r="HZ8" s="282" t="s">
        <v>58</v>
      </c>
      <c r="IA8" s="287" t="s">
        <v>59</v>
      </c>
      <c r="IB8" s="284" t="s">
        <v>60</v>
      </c>
      <c r="IC8" s="285" t="s">
        <v>61</v>
      </c>
      <c r="ID8" s="281"/>
      <c r="IE8" s="282" t="s">
        <v>58</v>
      </c>
      <c r="IF8" s="287" t="s">
        <v>59</v>
      </c>
      <c r="IG8" s="284" t="s">
        <v>60</v>
      </c>
      <c r="IH8" s="285" t="s">
        <v>61</v>
      </c>
      <c r="II8" s="281"/>
      <c r="IJ8" s="282" t="s">
        <v>58</v>
      </c>
      <c r="IK8" s="287" t="s">
        <v>59</v>
      </c>
      <c r="IL8" s="486" t="s">
        <v>60</v>
      </c>
      <c r="IM8" s="286" t="s">
        <v>61</v>
      </c>
      <c r="IN8" s="490"/>
      <c r="IO8" s="488"/>
      <c r="IQ8" s="499" t="s">
        <v>58</v>
      </c>
      <c r="IR8" s="288" t="s">
        <v>59</v>
      </c>
      <c r="IS8" s="275" t="s">
        <v>60</v>
      </c>
      <c r="IT8" s="286" t="s">
        <v>61</v>
      </c>
      <c r="IU8" s="289"/>
      <c r="IV8" s="273" t="s">
        <v>58</v>
      </c>
      <c r="IW8" s="288" t="s">
        <v>59</v>
      </c>
      <c r="IX8" s="275" t="s">
        <v>60</v>
      </c>
      <c r="IY8" s="286" t="s">
        <v>61</v>
      </c>
      <c r="IZ8" s="289"/>
      <c r="JA8" s="273" t="s">
        <v>58</v>
      </c>
      <c r="JB8" s="288" t="s">
        <v>59</v>
      </c>
      <c r="JC8" s="275" t="s">
        <v>60</v>
      </c>
      <c r="JD8" s="286" t="s">
        <v>61</v>
      </c>
      <c r="JE8" s="289"/>
      <c r="JF8" s="273" t="s">
        <v>58</v>
      </c>
      <c r="JG8" s="288" t="s">
        <v>59</v>
      </c>
      <c r="JH8" s="275" t="s">
        <v>60</v>
      </c>
      <c r="JI8" s="286" t="s">
        <v>61</v>
      </c>
      <c r="JJ8" s="289"/>
      <c r="JK8" s="273" t="s">
        <v>58</v>
      </c>
      <c r="JL8" s="288" t="s">
        <v>59</v>
      </c>
      <c r="JM8" s="275" t="s">
        <v>60</v>
      </c>
      <c r="JN8" s="286" t="s">
        <v>61</v>
      </c>
      <c r="JO8" s="289"/>
      <c r="JP8" s="273" t="s">
        <v>58</v>
      </c>
      <c r="JQ8" s="288" t="s">
        <v>59</v>
      </c>
      <c r="JR8" s="275" t="s">
        <v>60</v>
      </c>
      <c r="JS8" s="286" t="s">
        <v>61</v>
      </c>
      <c r="JT8" s="289"/>
      <c r="JU8" s="273" t="s">
        <v>58</v>
      </c>
      <c r="JV8" s="288" t="s">
        <v>59</v>
      </c>
      <c r="JW8" s="275" t="s">
        <v>60</v>
      </c>
      <c r="JX8" s="286" t="s">
        <v>61</v>
      </c>
      <c r="JY8" s="289"/>
      <c r="JZ8" s="273" t="s">
        <v>58</v>
      </c>
      <c r="KA8" s="288" t="s">
        <v>59</v>
      </c>
      <c r="KB8" s="275" t="s">
        <v>60</v>
      </c>
      <c r="KC8" s="286" t="s">
        <v>61</v>
      </c>
      <c r="KD8" s="1054"/>
      <c r="KE8" s="273" t="s">
        <v>58</v>
      </c>
      <c r="KF8" s="288" t="s">
        <v>59</v>
      </c>
      <c r="KG8" s="275" t="s">
        <v>60</v>
      </c>
      <c r="KH8" s="286" t="s">
        <v>61</v>
      </c>
      <c r="KI8" s="1054"/>
      <c r="KJ8" s="273" t="s">
        <v>58</v>
      </c>
      <c r="KK8" s="288" t="s">
        <v>59</v>
      </c>
      <c r="KL8" s="275" t="s">
        <v>60</v>
      </c>
      <c r="KM8" s="286" t="s">
        <v>61</v>
      </c>
      <c r="KN8" s="1054"/>
      <c r="KO8" s="273" t="s">
        <v>58</v>
      </c>
      <c r="KP8" s="288" t="s">
        <v>59</v>
      </c>
      <c r="KQ8" s="275" t="s">
        <v>60</v>
      </c>
      <c r="KR8" s="286" t="s">
        <v>61</v>
      </c>
      <c r="KS8" s="1054"/>
      <c r="KT8" s="273" t="s">
        <v>58</v>
      </c>
      <c r="KU8" s="288" t="s">
        <v>59</v>
      </c>
      <c r="KV8" s="275" t="s">
        <v>60</v>
      </c>
      <c r="KW8" s="286" t="s">
        <v>61</v>
      </c>
      <c r="KX8" s="1054"/>
    </row>
    <row r="9" spans="1:312" ht="15.75" x14ac:dyDescent="0.25">
      <c r="A9" s="290" t="s">
        <v>34</v>
      </c>
      <c r="B9" s="291">
        <v>1</v>
      </c>
      <c r="C9" s="292">
        <v>53.2</v>
      </c>
      <c r="D9" s="293">
        <v>53.66</v>
      </c>
      <c r="E9" s="294">
        <v>46.92</v>
      </c>
      <c r="F9" s="295"/>
      <c r="G9" s="296"/>
      <c r="H9" s="297">
        <f>D9+E9+F9+G9</f>
        <v>100.58</v>
      </c>
      <c r="I9" s="298">
        <v>50.85</v>
      </c>
      <c r="J9" s="223"/>
      <c r="K9" s="223"/>
      <c r="L9" s="299"/>
      <c r="M9" s="300">
        <f>SUM(I9:L9)</f>
        <v>50.85</v>
      </c>
      <c r="N9" s="298">
        <v>7.73</v>
      </c>
      <c r="O9" s="223"/>
      <c r="P9" s="223"/>
      <c r="Q9" s="299"/>
      <c r="R9" s="300">
        <f t="shared" ref="R9:R37" si="0">SUM(N9:Q9)</f>
        <v>7.73</v>
      </c>
      <c r="S9" s="298">
        <v>68.930000000000007</v>
      </c>
      <c r="T9" s="223">
        <v>43.32</v>
      </c>
      <c r="U9" s="223"/>
      <c r="V9" s="299"/>
      <c r="W9" s="300">
        <f t="shared" ref="W9:W37" si="1">SUM(S9:V9)</f>
        <v>112.25</v>
      </c>
      <c r="X9" s="298">
        <v>33.43</v>
      </c>
      <c r="Y9" s="223"/>
      <c r="Z9" s="223"/>
      <c r="AA9" s="299"/>
      <c r="AB9" s="300">
        <f>SUM(X9:AA9)</f>
        <v>33.43</v>
      </c>
      <c r="AC9" s="301">
        <v>46.94</v>
      </c>
      <c r="AD9" s="302"/>
      <c r="AE9" s="302"/>
      <c r="AF9" s="303"/>
      <c r="AG9" s="304">
        <f>SUM(AC9:AF9)</f>
        <v>46.94</v>
      </c>
      <c r="AH9" s="301">
        <v>64.41</v>
      </c>
      <c r="AI9" s="305">
        <v>38.43</v>
      </c>
      <c r="AJ9" s="302"/>
      <c r="AK9" s="303"/>
      <c r="AL9" s="306">
        <f>SUM(AH9:AK9)</f>
        <v>102.84</v>
      </c>
      <c r="AM9" s="307">
        <v>37.4</v>
      </c>
      <c r="AN9" s="308">
        <v>26.225000000000001</v>
      </c>
      <c r="AO9" s="308"/>
      <c r="AP9" s="309"/>
      <c r="AQ9" s="310">
        <f>SUM(AM9:AP9)</f>
        <v>63.625</v>
      </c>
      <c r="AR9" s="307">
        <v>55.44</v>
      </c>
      <c r="AS9" s="308">
        <v>30.84</v>
      </c>
      <c r="AT9" s="308"/>
      <c r="AU9" s="311"/>
      <c r="AV9" s="312">
        <f>SUM(AR9:AU9)</f>
        <v>86.28</v>
      </c>
      <c r="AW9" s="307">
        <v>63.43</v>
      </c>
      <c r="AX9" s="308"/>
      <c r="AY9" s="308"/>
      <c r="AZ9" s="311"/>
      <c r="BA9" s="312">
        <f>SUM(AW9:AZ9)</f>
        <v>63.43</v>
      </c>
      <c r="BB9" s="307">
        <f>82.13+2</f>
        <v>84.13</v>
      </c>
      <c r="BC9" s="308">
        <f>40.7+0.73</f>
        <v>41.43</v>
      </c>
      <c r="BD9" s="308"/>
      <c r="BE9" s="311"/>
      <c r="BF9" s="312">
        <f>SUM(BB9:BE9)</f>
        <v>125.56</v>
      </c>
      <c r="BG9" s="307">
        <f>34.91+2.44</f>
        <v>37.349999999999994</v>
      </c>
      <c r="BH9" s="308">
        <f>39.43+1.84</f>
        <v>41.27</v>
      </c>
      <c r="BI9" s="308"/>
      <c r="BJ9" s="313"/>
      <c r="BK9" s="314">
        <f>SUM(BG9:BJ9)</f>
        <v>78.62</v>
      </c>
      <c r="BL9" s="307">
        <f>62.91+6.19</f>
        <v>69.099999999999994</v>
      </c>
      <c r="BM9" s="308">
        <v>12.88</v>
      </c>
      <c r="BN9" s="308"/>
      <c r="BO9" s="313"/>
      <c r="BP9" s="315">
        <f>SUM(BL9:BO9)</f>
        <v>81.97999999999999</v>
      </c>
      <c r="BQ9" s="316">
        <v>25.48</v>
      </c>
      <c r="BR9" s="840">
        <f>32.62+3.99</f>
        <v>36.61</v>
      </c>
      <c r="BS9" s="840"/>
      <c r="BT9" s="841"/>
      <c r="BU9" s="842">
        <f>SUM(BQ9:BT9)</f>
        <v>62.09</v>
      </c>
      <c r="BV9" s="843">
        <v>36.17</v>
      </c>
      <c r="BW9" s="840">
        <v>19.55</v>
      </c>
      <c r="BX9" s="840"/>
      <c r="BY9" s="841"/>
      <c r="BZ9" s="844">
        <f>SUM(BV9:BY9)</f>
        <v>55.72</v>
      </c>
      <c r="CA9" s="845">
        <v>43.06</v>
      </c>
      <c r="CB9" s="846"/>
      <c r="CC9" s="846"/>
      <c r="CD9" s="847"/>
      <c r="CE9" s="848">
        <f>SUM(CA9:CD9)</f>
        <v>43.06</v>
      </c>
      <c r="CF9" s="845">
        <v>40.049999999999997</v>
      </c>
      <c r="CG9" s="846">
        <v>47.32</v>
      </c>
      <c r="CH9" s="846"/>
      <c r="CI9" s="847"/>
      <c r="CJ9" s="848">
        <f>SUM(CF9:CI9)</f>
        <v>87.37</v>
      </c>
      <c r="CK9" s="845">
        <v>52.38</v>
      </c>
      <c r="CL9" s="846"/>
      <c r="CM9" s="846"/>
      <c r="CN9" s="847"/>
      <c r="CO9" s="848">
        <f>SUM(CK9:CN9)</f>
        <v>52.38</v>
      </c>
      <c r="CP9" s="849">
        <v>31.88</v>
      </c>
      <c r="CQ9" s="850">
        <v>23.01</v>
      </c>
      <c r="CR9" s="850"/>
      <c r="CS9" s="851"/>
      <c r="CT9" s="852">
        <v>54.89</v>
      </c>
      <c r="CU9" s="849">
        <v>25.75</v>
      </c>
      <c r="CV9" s="850">
        <v>41.85</v>
      </c>
      <c r="CW9" s="850"/>
      <c r="CX9" s="851"/>
      <c r="CY9" s="852">
        <f t="shared" ref="CY9:CY32" si="2">SUM(CU9:CX9)</f>
        <v>67.599999999999994</v>
      </c>
      <c r="CZ9" s="849">
        <v>45.84</v>
      </c>
      <c r="DA9" s="850"/>
      <c r="DB9" s="850"/>
      <c r="DC9" s="851"/>
      <c r="DD9" s="852">
        <f t="shared" ref="DD9:DD32" si="3">SUM(CZ9:DC9)</f>
        <v>45.84</v>
      </c>
      <c r="DE9" s="849">
        <v>70.95</v>
      </c>
      <c r="DF9" s="850"/>
      <c r="DG9" s="850"/>
      <c r="DH9" s="851"/>
      <c r="DI9" s="852">
        <f t="shared" ref="DI9:DI32" si="4">SUM(DE9:DH9)</f>
        <v>70.95</v>
      </c>
      <c r="DJ9" s="849">
        <v>62.57</v>
      </c>
      <c r="DK9" s="850">
        <v>9.1</v>
      </c>
      <c r="DL9" s="850"/>
      <c r="DM9" s="851"/>
      <c r="DN9" s="852">
        <f>SUM(DJ9:DM9)</f>
        <v>71.67</v>
      </c>
      <c r="DO9" s="849">
        <v>65.84</v>
      </c>
      <c r="DP9" s="850"/>
      <c r="DQ9" s="850"/>
      <c r="DR9" s="851"/>
      <c r="DS9" s="852">
        <f>SUM(DO9:DR9)</f>
        <v>65.84</v>
      </c>
      <c r="DT9" s="849">
        <v>88.84</v>
      </c>
      <c r="DU9" s="850">
        <v>9.32</v>
      </c>
      <c r="DV9" s="850"/>
      <c r="DW9" s="851"/>
      <c r="DX9" s="852">
        <f>SUM(DT9:DW9)</f>
        <v>98.16</v>
      </c>
      <c r="DY9" s="849">
        <v>57.64</v>
      </c>
      <c r="DZ9" s="850">
        <v>35.53</v>
      </c>
      <c r="EA9" s="850"/>
      <c r="EB9" s="851"/>
      <c r="EC9" s="852">
        <f>SUM(DY9:EB9)</f>
        <v>93.17</v>
      </c>
      <c r="ED9" s="849">
        <v>16.05</v>
      </c>
      <c r="EE9" s="850">
        <v>40.229999999999997</v>
      </c>
      <c r="EF9" s="850"/>
      <c r="EG9" s="851"/>
      <c r="EH9" s="852">
        <f>SUM(ED9:EG9)</f>
        <v>56.28</v>
      </c>
      <c r="EI9" s="849">
        <v>31.12</v>
      </c>
      <c r="EJ9" s="850"/>
      <c r="EK9" s="850"/>
      <c r="EL9" s="851"/>
      <c r="EM9" s="852">
        <f>SUM(EI9:EL9)</f>
        <v>31.12</v>
      </c>
      <c r="EN9" s="849">
        <v>26.91</v>
      </c>
      <c r="EO9" s="850">
        <v>9.16</v>
      </c>
      <c r="EP9" s="850"/>
      <c r="EQ9" s="851"/>
      <c r="ER9" s="852">
        <f>SUM(EN9:EQ9)</f>
        <v>36.07</v>
      </c>
      <c r="ES9" s="849">
        <v>41.81</v>
      </c>
      <c r="ET9" s="850">
        <v>8.7100000000000009</v>
      </c>
      <c r="EU9" s="850"/>
      <c r="EV9" s="851"/>
      <c r="EW9" s="852">
        <f>SUM(ES9:EV9)</f>
        <v>50.52</v>
      </c>
      <c r="EX9" s="849">
        <v>29.16</v>
      </c>
      <c r="EY9" s="850">
        <v>26.2</v>
      </c>
      <c r="EZ9" s="850"/>
      <c r="FA9" s="851"/>
      <c r="FB9" s="852">
        <f>SUM(EX9:FA9)</f>
        <v>55.36</v>
      </c>
      <c r="FC9" s="849">
        <v>23.18</v>
      </c>
      <c r="FD9" s="850">
        <v>23.61</v>
      </c>
      <c r="FE9" s="850"/>
      <c r="FF9" s="851"/>
      <c r="FG9" s="852">
        <f>SUM(FC9:FF9)</f>
        <v>46.79</v>
      </c>
      <c r="FH9" s="849">
        <v>34.08</v>
      </c>
      <c r="FI9" s="850">
        <v>20.62</v>
      </c>
      <c r="FJ9" s="850"/>
      <c r="FK9" s="851"/>
      <c r="FL9" s="852">
        <f>SUM(FH9:FK9)</f>
        <v>54.7</v>
      </c>
      <c r="FM9" s="849">
        <v>36.590000000000003</v>
      </c>
      <c r="FN9" s="850">
        <v>29.91</v>
      </c>
      <c r="FO9" s="850"/>
      <c r="FP9" s="851"/>
      <c r="FQ9" s="852">
        <f>SUM(FM9:FP9)</f>
        <v>66.5</v>
      </c>
      <c r="FR9" s="849">
        <v>16.72</v>
      </c>
      <c r="FS9" s="850">
        <v>57.33</v>
      </c>
      <c r="FT9" s="850"/>
      <c r="FU9" s="851"/>
      <c r="FV9" s="852">
        <f>SUM(FR9:FU9)</f>
        <v>74.05</v>
      </c>
      <c r="FW9" s="849">
        <v>39.32</v>
      </c>
      <c r="FX9" s="850">
        <v>44.45</v>
      </c>
      <c r="FY9" s="850"/>
      <c r="FZ9" s="851"/>
      <c r="GA9" s="852">
        <f>SUM(FW9:FZ9)</f>
        <v>83.77000000000001</v>
      </c>
      <c r="GB9" s="849">
        <v>31.67</v>
      </c>
      <c r="GC9" s="850">
        <v>25.34</v>
      </c>
      <c r="GD9" s="850"/>
      <c r="GE9" s="851"/>
      <c r="GF9" s="852">
        <f>SUM(GB9:GE9)</f>
        <v>57.010000000000005</v>
      </c>
      <c r="GG9" s="318">
        <v>9.77</v>
      </c>
      <c r="GH9" s="319">
        <v>27.17</v>
      </c>
      <c r="GI9" s="319"/>
      <c r="GJ9" s="320"/>
      <c r="GK9" s="321">
        <f>SUM(GG9:GJ9)</f>
        <v>36.94</v>
      </c>
      <c r="GL9" s="318">
        <v>15.36</v>
      </c>
      <c r="GM9" s="319">
        <v>24.08</v>
      </c>
      <c r="GN9" s="319"/>
      <c r="GO9" s="320"/>
      <c r="GP9" s="321">
        <f>SUM(GL9:GO9)</f>
        <v>39.44</v>
      </c>
      <c r="GQ9" s="318">
        <v>15.14</v>
      </c>
      <c r="GR9" s="319">
        <v>7.87</v>
      </c>
      <c r="GS9" s="319">
        <v>4.54</v>
      </c>
      <c r="GT9" s="320"/>
      <c r="GU9" s="321">
        <f>SUM(GQ9:GT9)</f>
        <v>27.55</v>
      </c>
      <c r="GV9" s="318">
        <v>20.25</v>
      </c>
      <c r="GW9" s="319">
        <v>13.88</v>
      </c>
      <c r="GX9" s="319"/>
      <c r="GY9" s="320"/>
      <c r="GZ9" s="321">
        <f>SUM(GV9:GY9)</f>
        <v>34.130000000000003</v>
      </c>
      <c r="HA9" s="318">
        <v>45.97</v>
      </c>
      <c r="HB9" s="319">
        <v>12.94</v>
      </c>
      <c r="HC9" s="319"/>
      <c r="HD9" s="320"/>
      <c r="HE9" s="321">
        <f>SUM(HA9:HD9)</f>
        <v>58.91</v>
      </c>
      <c r="HF9" s="318">
        <v>40.75</v>
      </c>
      <c r="HG9" s="319">
        <v>13.29</v>
      </c>
      <c r="HH9" s="319"/>
      <c r="HI9" s="320"/>
      <c r="HJ9" s="321">
        <f>SUM(HF9:HI9)</f>
        <v>54.04</v>
      </c>
      <c r="HK9" s="318">
        <v>28.57</v>
      </c>
      <c r="HL9" s="319">
        <v>16.23</v>
      </c>
      <c r="HM9" s="319"/>
      <c r="HN9" s="320"/>
      <c r="HO9" s="321">
        <f>SUM(HK9:HN9)</f>
        <v>44.8</v>
      </c>
      <c r="HP9" s="318">
        <v>33.31</v>
      </c>
      <c r="HQ9" s="319">
        <v>32.630000000000003</v>
      </c>
      <c r="HR9" s="319"/>
      <c r="HS9" s="320"/>
      <c r="HT9" s="321">
        <f>SUM(HP9:HS9)</f>
        <v>65.94</v>
      </c>
      <c r="HU9" s="318">
        <v>24.71</v>
      </c>
      <c r="HV9" s="319">
        <v>26.41</v>
      </c>
      <c r="HW9" s="319"/>
      <c r="HX9" s="320"/>
      <c r="HY9" s="321">
        <f>SUM(HU9:HX9)</f>
        <v>51.120000000000005</v>
      </c>
      <c r="HZ9" s="318">
        <v>68.66</v>
      </c>
      <c r="IA9" s="319">
        <v>39.69</v>
      </c>
      <c r="IB9" s="319"/>
      <c r="IC9" s="320"/>
      <c r="ID9" s="321">
        <f>SUM(HZ9:IC9)</f>
        <v>108.35</v>
      </c>
      <c r="IE9" s="322">
        <v>40.619999999999997</v>
      </c>
      <c r="IF9" s="323">
        <v>9.34</v>
      </c>
      <c r="IG9" s="323">
        <f>50.41+3.48</f>
        <v>53.889999999999993</v>
      </c>
      <c r="IH9" s="324"/>
      <c r="II9" s="317">
        <f>SUM(IE9:IH9)</f>
        <v>103.85</v>
      </c>
      <c r="IJ9" s="322">
        <v>65.930000000000007</v>
      </c>
      <c r="IK9" s="323">
        <v>16.14</v>
      </c>
      <c r="IL9" s="324"/>
      <c r="IM9" s="311"/>
      <c r="IN9" s="491">
        <f>SUM(IJ9:IM9)</f>
        <v>82.070000000000007</v>
      </c>
      <c r="IO9" s="491"/>
      <c r="IP9" s="886">
        <f>GK9+GP9+GU9+GZ9+HE9+HJ9+HO9+HT9+HY9+ID9+II9+IN9</f>
        <v>707.1400000000001</v>
      </c>
      <c r="IQ9" s="500">
        <v>48.17</v>
      </c>
      <c r="IR9" s="308">
        <v>21.25</v>
      </c>
      <c r="IS9" s="308"/>
      <c r="IT9" s="311"/>
      <c r="IU9" s="312">
        <f>SUM(IQ9:IT9)</f>
        <v>69.42</v>
      </c>
      <c r="IV9" s="307">
        <v>19.239999999999998</v>
      </c>
      <c r="IW9" s="308">
        <v>23.96</v>
      </c>
      <c r="IX9" s="308"/>
      <c r="IY9" s="311"/>
      <c r="IZ9" s="312">
        <f>SUM(IV9:IY9)</f>
        <v>43.2</v>
      </c>
      <c r="JA9" s="307">
        <v>31.79</v>
      </c>
      <c r="JB9" s="308">
        <v>22.9</v>
      </c>
      <c r="JC9" s="308">
        <v>17.21</v>
      </c>
      <c r="JD9" s="311"/>
      <c r="JE9" s="312">
        <f>SUM(JA9:JD9)</f>
        <v>71.900000000000006</v>
      </c>
      <c r="JF9" s="307">
        <v>42.9</v>
      </c>
      <c r="JG9" s="308">
        <v>39.590000000000003</v>
      </c>
      <c r="JH9" s="308"/>
      <c r="JI9" s="311"/>
      <c r="JJ9" s="312">
        <f>SUM(JF9:JI9)</f>
        <v>82.490000000000009</v>
      </c>
      <c r="JK9" s="307">
        <v>34.11</v>
      </c>
      <c r="JL9" s="308">
        <v>50.02</v>
      </c>
      <c r="JM9" s="308"/>
      <c r="JN9" s="311"/>
      <c r="JO9" s="312">
        <f>SUM(JK9:JN9)</f>
        <v>84.13</v>
      </c>
      <c r="JP9" s="307">
        <v>13.38</v>
      </c>
      <c r="JQ9" s="308">
        <v>39.14</v>
      </c>
      <c r="JR9" s="308"/>
      <c r="JS9" s="311"/>
      <c r="JT9" s="312">
        <f>SUM(JP9:JS9)</f>
        <v>52.52</v>
      </c>
      <c r="JU9" s="307">
        <v>20.11</v>
      </c>
      <c r="JV9" s="308">
        <v>25.43</v>
      </c>
      <c r="JW9" s="308"/>
      <c r="JX9" s="311"/>
      <c r="JY9" s="312">
        <f>SUM(JU9:JX9)</f>
        <v>45.54</v>
      </c>
      <c r="JZ9" s="307">
        <v>35.979999999999997</v>
      </c>
      <c r="KA9" s="308">
        <v>29</v>
      </c>
      <c r="KB9" s="308"/>
      <c r="KC9" s="311"/>
      <c r="KD9" s="312">
        <f>SUM(JZ9:KC9)</f>
        <v>64.97999999999999</v>
      </c>
      <c r="KE9" s="307">
        <v>42.379999999999995</v>
      </c>
      <c r="KF9" s="308">
        <v>33.93</v>
      </c>
      <c r="KG9" s="308">
        <v>0</v>
      </c>
      <c r="KH9" s="311">
        <v>0</v>
      </c>
      <c r="KI9" s="312">
        <f>SUM(KE9:KH9)</f>
        <v>76.31</v>
      </c>
      <c r="KJ9" s="307">
        <v>71.429999999999993</v>
      </c>
      <c r="KK9" s="308">
        <v>17.89</v>
      </c>
      <c r="KL9" s="308">
        <v>0</v>
      </c>
      <c r="KM9" s="311">
        <v>0</v>
      </c>
      <c r="KN9" s="312">
        <f>SUM(KJ9:KM9)</f>
        <v>89.32</v>
      </c>
      <c r="KO9" s="307">
        <v>56.32</v>
      </c>
      <c r="KP9" s="308">
        <v>67.010000000000005</v>
      </c>
      <c r="KQ9" s="308">
        <v>0</v>
      </c>
      <c r="KR9" s="311">
        <v>0</v>
      </c>
      <c r="KS9" s="312">
        <f>SUM(KO9:KR9)</f>
        <v>123.33000000000001</v>
      </c>
      <c r="KT9" s="307">
        <f t="shared" ref="KT9:KT49" si="5">IFERROR(VLOOKUP(B9,harvestinground,5,FALSE),"")</f>
        <v>45.47</v>
      </c>
      <c r="KU9" s="308">
        <f t="shared" ref="KU9:KU49" si="6">IFERROR(VLOOKUP(B9,harvestinground,6,FALSE),"")</f>
        <v>61.180000000000007</v>
      </c>
      <c r="KV9" s="308">
        <f t="shared" ref="KV9:KV49" si="7">IFERROR(VLOOKUP(B9,harvestinground,7,FALSE),"")</f>
        <v>0</v>
      </c>
      <c r="KW9" s="311">
        <f t="shared" ref="KW9:KW49" si="8">IFERROR(VLOOKUP(B9,harvestinground,8,FALSE),"")</f>
        <v>0</v>
      </c>
      <c r="KX9" s="312">
        <f t="shared" ref="KX9:KX49" si="9">SUM(KT9:KW9)</f>
        <v>106.65</v>
      </c>
      <c r="KZ9" s="507">
        <f>IU9+IZ9+JE9+JJ9+JO9+JT9+JY9+KD9+KI9+KN9+KS9+KX9</f>
        <v>909.79</v>
      </c>
    </row>
    <row r="10" spans="1:312" ht="15.75" x14ac:dyDescent="0.25">
      <c r="A10" s="325"/>
      <c r="B10" s="326">
        <v>2</v>
      </c>
      <c r="C10" s="327">
        <v>60.4</v>
      </c>
      <c r="D10" s="328">
        <v>78.739999999999995</v>
      </c>
      <c r="E10" s="329"/>
      <c r="F10" s="330"/>
      <c r="G10" s="331"/>
      <c r="H10" s="332">
        <f t="shared" ref="H10:H37" si="10">D10+E10+F10+G10</f>
        <v>78.739999999999995</v>
      </c>
      <c r="I10" s="333">
        <v>50.07</v>
      </c>
      <c r="J10" s="334"/>
      <c r="K10" s="334"/>
      <c r="L10" s="335"/>
      <c r="M10" s="300">
        <f t="shared" ref="M10:M37" si="11">SUM(I10:L10)</f>
        <v>50.07</v>
      </c>
      <c r="N10" s="333">
        <v>26.08</v>
      </c>
      <c r="O10" s="334">
        <v>2.71</v>
      </c>
      <c r="P10" s="334"/>
      <c r="Q10" s="335"/>
      <c r="R10" s="300">
        <f t="shared" si="0"/>
        <v>28.79</v>
      </c>
      <c r="S10" s="333">
        <v>25.91</v>
      </c>
      <c r="T10" s="334">
        <v>40.549999999999997</v>
      </c>
      <c r="U10" s="334"/>
      <c r="V10" s="335"/>
      <c r="W10" s="300">
        <f t="shared" si="1"/>
        <v>66.459999999999994</v>
      </c>
      <c r="X10" s="333">
        <v>12.75</v>
      </c>
      <c r="Y10" s="334">
        <v>45.59</v>
      </c>
      <c r="Z10" s="334"/>
      <c r="AA10" s="335"/>
      <c r="AB10" s="300">
        <f t="shared" ref="AB10:AB37" si="12">SUM(X10:AA10)</f>
        <v>58.34</v>
      </c>
      <c r="AC10" s="336">
        <v>35.31</v>
      </c>
      <c r="AD10" s="337">
        <v>6.71</v>
      </c>
      <c r="AE10" s="337"/>
      <c r="AF10" s="338"/>
      <c r="AG10" s="304">
        <f t="shared" ref="AG10:AG32" si="13">SUM(AC10:AF10)</f>
        <v>42.02</v>
      </c>
      <c r="AH10" s="336">
        <v>52.27</v>
      </c>
      <c r="AI10" s="337"/>
      <c r="AJ10" s="337"/>
      <c r="AK10" s="338"/>
      <c r="AL10" s="339">
        <f>SUM(AH10:AK10)</f>
        <v>52.27</v>
      </c>
      <c r="AM10" s="32">
        <v>50.41</v>
      </c>
      <c r="AN10" s="33"/>
      <c r="AO10" s="33"/>
      <c r="AP10" s="340"/>
      <c r="AQ10" s="341">
        <f>SUM(AM10:AP10)</f>
        <v>50.41</v>
      </c>
      <c r="AR10" s="32">
        <v>37.552</v>
      </c>
      <c r="AS10" s="33">
        <v>46.25</v>
      </c>
      <c r="AT10" s="33"/>
      <c r="AU10" s="340"/>
      <c r="AV10" s="342">
        <f>SUM(AR10:AU10)</f>
        <v>83.801999999999992</v>
      </c>
      <c r="AW10" s="32">
        <v>57.12</v>
      </c>
      <c r="AX10" s="33"/>
      <c r="AY10" s="33"/>
      <c r="AZ10" s="340"/>
      <c r="BA10" s="342">
        <f>SUM(AW10:AZ10)</f>
        <v>57.12</v>
      </c>
      <c r="BB10" s="32">
        <f>89.54+2.14</f>
        <v>91.68</v>
      </c>
      <c r="BC10" s="33">
        <v>74.52</v>
      </c>
      <c r="BD10" s="33"/>
      <c r="BE10" s="340"/>
      <c r="BF10" s="342">
        <f>SUM(BB10:BE10)</f>
        <v>166.2</v>
      </c>
      <c r="BG10" s="32">
        <v>62.85</v>
      </c>
      <c r="BH10" s="33">
        <v>46.69</v>
      </c>
      <c r="BI10" s="33"/>
      <c r="BJ10" s="343"/>
      <c r="BK10" s="342">
        <f>SUM(BG10:BJ10)</f>
        <v>109.53999999999999</v>
      </c>
      <c r="BL10" s="32">
        <v>47.52</v>
      </c>
      <c r="BM10" s="33">
        <v>33.24</v>
      </c>
      <c r="BN10" s="33"/>
      <c r="BO10" s="343"/>
      <c r="BP10" s="341">
        <f>SUM(BL10:BO10)</f>
        <v>80.760000000000005</v>
      </c>
      <c r="BQ10" s="32">
        <v>26.97</v>
      </c>
      <c r="BR10" s="43">
        <v>25.02</v>
      </c>
      <c r="BS10" s="43"/>
      <c r="BT10" s="853"/>
      <c r="BU10" s="854">
        <f t="shared" ref="BU10:BU47" si="14">SUM(BQ10:BT10)</f>
        <v>51.989999999999995</v>
      </c>
      <c r="BV10" s="855">
        <v>19.309999999999999</v>
      </c>
      <c r="BW10" s="43">
        <v>24.49</v>
      </c>
      <c r="BX10" s="43"/>
      <c r="BY10" s="853"/>
      <c r="BZ10" s="856">
        <f t="shared" ref="BZ10:BZ47" si="15">SUM(BV10:BY10)</f>
        <v>43.8</v>
      </c>
      <c r="CA10" s="857">
        <v>25.72</v>
      </c>
      <c r="CB10" s="858">
        <v>19.440000000000001</v>
      </c>
      <c r="CC10" s="858">
        <v>20.149999999999999</v>
      </c>
      <c r="CD10" s="859"/>
      <c r="CE10" s="860">
        <f>SUM(CA10:CD10)</f>
        <v>65.31</v>
      </c>
      <c r="CF10" s="857">
        <v>28.48</v>
      </c>
      <c r="CG10" s="858">
        <v>23.09</v>
      </c>
      <c r="CH10" s="858"/>
      <c r="CI10" s="859"/>
      <c r="CJ10" s="860">
        <f>SUM(CF10:CI10)</f>
        <v>51.57</v>
      </c>
      <c r="CK10" s="857">
        <v>34.07</v>
      </c>
      <c r="CL10" s="858">
        <v>10.93</v>
      </c>
      <c r="CM10" s="858"/>
      <c r="CN10" s="859"/>
      <c r="CO10" s="860">
        <f>SUM(CK10:CN10)</f>
        <v>45</v>
      </c>
      <c r="CP10" s="861">
        <v>18.86</v>
      </c>
      <c r="CQ10" s="411">
        <v>14.12</v>
      </c>
      <c r="CR10" s="411">
        <v>16.920000000000002</v>
      </c>
      <c r="CS10" s="862"/>
      <c r="CT10" s="863">
        <v>49.9</v>
      </c>
      <c r="CU10" s="861">
        <v>20.86</v>
      </c>
      <c r="CV10" s="411">
        <v>19.309999999999999</v>
      </c>
      <c r="CW10" s="411"/>
      <c r="CX10" s="862"/>
      <c r="CY10" s="863">
        <f t="shared" si="2"/>
        <v>40.17</v>
      </c>
      <c r="CZ10" s="861">
        <v>32.299999999999997</v>
      </c>
      <c r="DA10" s="411">
        <v>25.31</v>
      </c>
      <c r="DB10" s="411"/>
      <c r="DC10" s="862"/>
      <c r="DD10" s="863">
        <f t="shared" si="3"/>
        <v>57.61</v>
      </c>
      <c r="DE10" s="861">
        <v>21.84</v>
      </c>
      <c r="DF10" s="411">
        <v>23.63</v>
      </c>
      <c r="DG10" s="411"/>
      <c r="DH10" s="862"/>
      <c r="DI10" s="863">
        <f t="shared" si="4"/>
        <v>45.47</v>
      </c>
      <c r="DJ10" s="861">
        <v>44.7</v>
      </c>
      <c r="DK10" s="411">
        <v>40.97</v>
      </c>
      <c r="DL10" s="411"/>
      <c r="DM10" s="862"/>
      <c r="DN10" s="863">
        <f t="shared" ref="DN10:DN32" si="16">SUM(DJ10:DM10)</f>
        <v>85.67</v>
      </c>
      <c r="DO10" s="861">
        <v>33.86</v>
      </c>
      <c r="DP10" s="411">
        <v>25.93</v>
      </c>
      <c r="DQ10" s="411"/>
      <c r="DR10" s="862"/>
      <c r="DS10" s="863">
        <f t="shared" ref="DS10:DS32" si="17">SUM(DO10:DR10)</f>
        <v>59.79</v>
      </c>
      <c r="DT10" s="861">
        <v>32.770000000000003</v>
      </c>
      <c r="DU10" s="411">
        <v>34.25</v>
      </c>
      <c r="DV10" s="411"/>
      <c r="DW10" s="862"/>
      <c r="DX10" s="863">
        <f t="shared" ref="DX10:DX32" si="18">SUM(DT10:DW10)</f>
        <v>67.02000000000001</v>
      </c>
      <c r="DY10" s="861">
        <v>32.68</v>
      </c>
      <c r="DZ10" s="411">
        <v>28.27</v>
      </c>
      <c r="EA10" s="411"/>
      <c r="EB10" s="862"/>
      <c r="EC10" s="863">
        <f t="shared" ref="EC10:EC32" si="19">SUM(DY10:EB10)</f>
        <v>60.95</v>
      </c>
      <c r="ED10" s="861">
        <v>36.5</v>
      </c>
      <c r="EE10" s="411">
        <v>28.35</v>
      </c>
      <c r="EF10" s="411"/>
      <c r="EG10" s="862"/>
      <c r="EH10" s="863">
        <f t="shared" ref="EH10:EH32" si="20">SUM(ED10:EG10)</f>
        <v>64.849999999999994</v>
      </c>
      <c r="EI10" s="861">
        <v>29.41</v>
      </c>
      <c r="EJ10" s="411">
        <v>29.28</v>
      </c>
      <c r="EK10" s="411"/>
      <c r="EL10" s="862"/>
      <c r="EM10" s="863">
        <f t="shared" ref="EM10:EM32" si="21">SUM(EI10:EL10)</f>
        <v>58.69</v>
      </c>
      <c r="EN10" s="861">
        <v>19.989999999999998</v>
      </c>
      <c r="EO10" s="411">
        <v>20.73</v>
      </c>
      <c r="EP10" s="411"/>
      <c r="EQ10" s="862"/>
      <c r="ER10" s="863">
        <f t="shared" ref="ER10:ER32" si="22">SUM(EN10:EQ10)</f>
        <v>40.72</v>
      </c>
      <c r="ES10" s="861">
        <v>24.25</v>
      </c>
      <c r="ET10" s="411">
        <v>20.2</v>
      </c>
      <c r="EU10" s="411"/>
      <c r="EV10" s="862"/>
      <c r="EW10" s="863">
        <f t="shared" ref="EW10:EW32" si="23">SUM(ES10:EV10)</f>
        <v>44.45</v>
      </c>
      <c r="EX10" s="861">
        <v>18.02</v>
      </c>
      <c r="EY10" s="411">
        <v>19.93</v>
      </c>
      <c r="EZ10" s="411"/>
      <c r="FA10" s="862"/>
      <c r="FB10" s="863">
        <f t="shared" ref="FB10:FB32" si="24">SUM(EX10:FA10)</f>
        <v>37.950000000000003</v>
      </c>
      <c r="FC10" s="861">
        <v>20.76</v>
      </c>
      <c r="FD10" s="411">
        <v>26.08</v>
      </c>
      <c r="FE10" s="411"/>
      <c r="FF10" s="862"/>
      <c r="FG10" s="863">
        <f t="shared" ref="FG10:FG32" si="25">SUM(FC10:FF10)</f>
        <v>46.84</v>
      </c>
      <c r="FH10" s="861">
        <v>23.41</v>
      </c>
      <c r="FI10" s="411">
        <v>29.48</v>
      </c>
      <c r="FJ10" s="411"/>
      <c r="FK10" s="862"/>
      <c r="FL10" s="863">
        <f t="shared" ref="FL10:FL32" si="26">SUM(FH10:FK10)</f>
        <v>52.89</v>
      </c>
      <c r="FM10" s="861">
        <v>32.32</v>
      </c>
      <c r="FN10" s="411">
        <v>31.6</v>
      </c>
      <c r="FO10" s="411"/>
      <c r="FP10" s="862"/>
      <c r="FQ10" s="863">
        <f t="shared" ref="FQ10:FQ32" si="27">SUM(FM10:FP10)</f>
        <v>63.92</v>
      </c>
      <c r="FR10" s="861">
        <v>35.909999999999997</v>
      </c>
      <c r="FS10" s="411">
        <v>31.67</v>
      </c>
      <c r="FT10" s="411"/>
      <c r="FU10" s="862"/>
      <c r="FV10" s="863">
        <f t="shared" ref="FV10:FV32" si="28">SUM(FR10:FU10)</f>
        <v>67.58</v>
      </c>
      <c r="FW10" s="861">
        <v>39.83</v>
      </c>
      <c r="FX10" s="411">
        <v>33.97</v>
      </c>
      <c r="FY10" s="411"/>
      <c r="FZ10" s="862"/>
      <c r="GA10" s="863">
        <f t="shared" ref="GA10:GA32" si="29">SUM(FW10:FZ10)</f>
        <v>73.8</v>
      </c>
      <c r="GB10" s="861">
        <v>51.75</v>
      </c>
      <c r="GC10" s="411">
        <v>37.47</v>
      </c>
      <c r="GD10" s="411"/>
      <c r="GE10" s="862"/>
      <c r="GF10" s="863">
        <f t="shared" ref="GF10:GF32" si="30">SUM(GB10:GE10)</f>
        <v>89.22</v>
      </c>
      <c r="GG10" s="346">
        <v>38.19</v>
      </c>
      <c r="GH10" s="347">
        <v>34.75</v>
      </c>
      <c r="GI10" s="347"/>
      <c r="GJ10" s="348"/>
      <c r="GK10" s="349">
        <f t="shared" ref="GK10:GK32" si="31">SUM(GG10:GJ10)</f>
        <v>72.94</v>
      </c>
      <c r="GL10" s="346">
        <v>25.49</v>
      </c>
      <c r="GM10" s="347">
        <v>10.77</v>
      </c>
      <c r="GN10" s="347"/>
      <c r="GO10" s="348"/>
      <c r="GP10" s="349">
        <f t="shared" ref="GP10:GP32" si="32">SUM(GL10:GO10)</f>
        <v>36.26</v>
      </c>
      <c r="GQ10" s="346">
        <v>8.17</v>
      </c>
      <c r="GR10" s="347">
        <v>17.47</v>
      </c>
      <c r="GS10" s="347">
        <v>13.67</v>
      </c>
      <c r="GT10" s="348"/>
      <c r="GU10" s="349">
        <f t="shared" ref="GU10:GU32" si="33">SUM(GQ10:GT10)</f>
        <v>39.31</v>
      </c>
      <c r="GV10" s="346">
        <v>31.68</v>
      </c>
      <c r="GW10" s="347">
        <v>24.06</v>
      </c>
      <c r="GX10" s="347"/>
      <c r="GY10" s="348"/>
      <c r="GZ10" s="349">
        <f t="shared" ref="GZ10:GZ32" si="34">SUM(GV10:GY10)</f>
        <v>55.739999999999995</v>
      </c>
      <c r="HA10" s="346">
        <v>42.84</v>
      </c>
      <c r="HB10" s="347">
        <v>22.4</v>
      </c>
      <c r="HC10" s="347">
        <v>10.51</v>
      </c>
      <c r="HD10" s="348"/>
      <c r="HE10" s="349">
        <f t="shared" ref="HE10:HE32" si="35">SUM(HA10:HD10)</f>
        <v>75.750000000000014</v>
      </c>
      <c r="HF10" s="346">
        <v>31.64</v>
      </c>
      <c r="HG10" s="347">
        <v>32.270000000000003</v>
      </c>
      <c r="HH10" s="347"/>
      <c r="HI10" s="348"/>
      <c r="HJ10" s="349">
        <f t="shared" ref="HJ10:HJ32" si="36">SUM(HF10:HI10)</f>
        <v>63.910000000000004</v>
      </c>
      <c r="HK10" s="346">
        <v>30.86</v>
      </c>
      <c r="HL10" s="347">
        <v>20.6</v>
      </c>
      <c r="HM10" s="347"/>
      <c r="HN10" s="348"/>
      <c r="HO10" s="349">
        <f t="shared" ref="HO10:HO32" si="37">SUM(HK10:HN10)</f>
        <v>51.46</v>
      </c>
      <c r="HP10" s="346">
        <v>40.74</v>
      </c>
      <c r="HQ10" s="347">
        <v>66.56</v>
      </c>
      <c r="HR10" s="347"/>
      <c r="HS10" s="348"/>
      <c r="HT10" s="349">
        <f t="shared" ref="HT10:HT32" si="38">SUM(HP10:HS10)</f>
        <v>107.30000000000001</v>
      </c>
      <c r="HU10" s="346">
        <v>75.03</v>
      </c>
      <c r="HV10" s="352"/>
      <c r="HW10" s="347"/>
      <c r="HX10" s="348"/>
      <c r="HY10" s="349">
        <f t="shared" ref="HY10:HY32" si="39">SUM(HU10:HX10)</f>
        <v>75.03</v>
      </c>
      <c r="HZ10" s="346">
        <f>52.94+2.07</f>
        <v>55.01</v>
      </c>
      <c r="IA10" s="347">
        <v>29.3</v>
      </c>
      <c r="IB10" s="347"/>
      <c r="IC10" s="348"/>
      <c r="ID10" s="349">
        <f t="shared" ref="ID10:ID32" si="40">SUM(HZ10:IC10)</f>
        <v>84.31</v>
      </c>
      <c r="IE10" s="88">
        <f>55.54+3.834</f>
        <v>59.374000000000002</v>
      </c>
      <c r="IF10" s="89">
        <v>36.340000000000003</v>
      </c>
      <c r="IG10" s="89"/>
      <c r="IH10" s="345"/>
      <c r="II10" s="344">
        <f t="shared" ref="II10:II32" si="41">SUM(IE10:IH10)</f>
        <v>95.713999999999999</v>
      </c>
      <c r="IJ10" s="88">
        <v>62.25</v>
      </c>
      <c r="IK10" s="89">
        <v>8.74</v>
      </c>
      <c r="IL10" s="345"/>
      <c r="IM10" s="340"/>
      <c r="IN10" s="492">
        <f t="shared" ref="IN10:IN32" si="42">SUM(IJ10:IM10)</f>
        <v>70.989999999999995</v>
      </c>
      <c r="IO10" s="492"/>
      <c r="IP10" s="886">
        <f t="shared" ref="IP10:IP49" si="43">GK10+GP10+GU10+GZ10+HE10+HJ10+HO10+HT10+HY10+ID10+II10+IN10</f>
        <v>828.71399999999994</v>
      </c>
      <c r="IQ10" s="501">
        <v>26.95</v>
      </c>
      <c r="IR10" s="33">
        <v>37.409999999999997</v>
      </c>
      <c r="IS10" s="33"/>
      <c r="IT10" s="340"/>
      <c r="IU10" s="342">
        <f t="shared" ref="IU10:IU32" si="44">SUM(IQ10:IT10)</f>
        <v>64.36</v>
      </c>
      <c r="IV10" s="32">
        <v>48.71</v>
      </c>
      <c r="IW10" s="33">
        <v>31.2</v>
      </c>
      <c r="IX10" s="33"/>
      <c r="IY10" s="340"/>
      <c r="IZ10" s="342">
        <f t="shared" ref="IZ10:IZ32" si="45">SUM(IV10:IY10)</f>
        <v>79.91</v>
      </c>
      <c r="JA10" s="32">
        <v>33.68</v>
      </c>
      <c r="JB10" s="33">
        <v>57.36</v>
      </c>
      <c r="JC10" s="33"/>
      <c r="JD10" s="340"/>
      <c r="JE10" s="342">
        <f t="shared" ref="JE10:JE32" si="46">SUM(JA10:JD10)</f>
        <v>91.039999999999992</v>
      </c>
      <c r="JF10" s="32">
        <v>74.37</v>
      </c>
      <c r="JG10" s="353"/>
      <c r="JH10" s="33"/>
      <c r="JI10" s="340"/>
      <c r="JJ10" s="342">
        <f t="shared" ref="JJ10:JJ32" si="47">SUM(JF10:JI10)</f>
        <v>74.37</v>
      </c>
      <c r="JK10" s="32">
        <v>17.75</v>
      </c>
      <c r="JL10" s="33">
        <v>40.67</v>
      </c>
      <c r="JM10" s="33">
        <v>34.630000000000003</v>
      </c>
      <c r="JN10" s="340"/>
      <c r="JO10" s="342">
        <f t="shared" ref="JO10:JO32" si="48">SUM(JK10:JN10)</f>
        <v>93.050000000000011</v>
      </c>
      <c r="JP10" s="32">
        <v>27.43</v>
      </c>
      <c r="JQ10" s="33">
        <v>12.13</v>
      </c>
      <c r="JR10" s="33"/>
      <c r="JS10" s="340"/>
      <c r="JT10" s="342">
        <f t="shared" ref="JT10:JT32" si="49">SUM(JP10:JS10)</f>
        <v>39.56</v>
      </c>
      <c r="JU10" s="32">
        <v>32.85</v>
      </c>
      <c r="JV10" s="33">
        <v>12.23</v>
      </c>
      <c r="JW10" s="33">
        <v>12.76</v>
      </c>
      <c r="JX10" s="340"/>
      <c r="JY10" s="342">
        <f t="shared" ref="JY10:JY32" si="50">SUM(JU10:JX10)</f>
        <v>57.839999999999996</v>
      </c>
      <c r="JZ10" s="32">
        <v>25.4</v>
      </c>
      <c r="KA10" s="33">
        <v>25.76</v>
      </c>
      <c r="KB10" s="33"/>
      <c r="KC10" s="340"/>
      <c r="KD10" s="342">
        <f t="shared" ref="KD10:KD49" si="51">SUM(JZ10:KC10)</f>
        <v>51.16</v>
      </c>
      <c r="KE10" s="32">
        <v>26.669999999999995</v>
      </c>
      <c r="KF10" s="33">
        <v>31.799999999999997</v>
      </c>
      <c r="KG10" s="33">
        <v>17.78</v>
      </c>
      <c r="KH10" s="340">
        <v>0</v>
      </c>
      <c r="KI10" s="342">
        <f t="shared" ref="KI10:KI49" si="52">SUM(KE10:KH10)</f>
        <v>76.25</v>
      </c>
      <c r="KJ10" s="32">
        <v>63.76</v>
      </c>
      <c r="KK10" s="33">
        <v>16.78</v>
      </c>
      <c r="KL10" s="33">
        <v>0</v>
      </c>
      <c r="KM10" s="340">
        <v>0</v>
      </c>
      <c r="KN10" s="342">
        <f t="shared" ref="KN10:KN49" si="53">SUM(KJ10:KM10)</f>
        <v>80.539999999999992</v>
      </c>
      <c r="KO10" s="32">
        <v>52.18</v>
      </c>
      <c r="KP10" s="33">
        <v>72</v>
      </c>
      <c r="KQ10" s="33">
        <v>0</v>
      </c>
      <c r="KR10" s="340">
        <v>0</v>
      </c>
      <c r="KS10" s="342">
        <f t="shared" ref="KS10:KS49" si="54">SUM(KO10:KR10)</f>
        <v>124.18</v>
      </c>
      <c r="KT10" s="32">
        <f t="shared" si="5"/>
        <v>57.309999999999995</v>
      </c>
      <c r="KU10" s="33">
        <f t="shared" si="6"/>
        <v>0</v>
      </c>
      <c r="KV10" s="33">
        <f t="shared" si="7"/>
        <v>0</v>
      </c>
      <c r="KW10" s="340">
        <f t="shared" si="8"/>
        <v>0</v>
      </c>
      <c r="KX10" s="342">
        <f t="shared" si="9"/>
        <v>57.309999999999995</v>
      </c>
      <c r="KZ10" s="507">
        <f t="shared" ref="KZ10:KZ49" si="55">IU10+IZ10+JE10+JJ10+JO10+JT10+JY10+KD10+KI10+KN10+KS10+KX10</f>
        <v>889.56999999999994</v>
      </c>
    </row>
    <row r="11" spans="1:312" ht="15.75" x14ac:dyDescent="0.25">
      <c r="A11" s="325"/>
      <c r="B11" s="326">
        <v>3</v>
      </c>
      <c r="C11" s="327">
        <v>69.2</v>
      </c>
      <c r="D11" s="328">
        <v>19.86</v>
      </c>
      <c r="E11" s="329">
        <v>58.7</v>
      </c>
      <c r="F11" s="330"/>
      <c r="G11" s="331"/>
      <c r="H11" s="332">
        <f t="shared" si="10"/>
        <v>78.56</v>
      </c>
      <c r="I11" s="333">
        <v>18.22</v>
      </c>
      <c r="J11" s="334">
        <v>46.94</v>
      </c>
      <c r="K11" s="334"/>
      <c r="L11" s="335"/>
      <c r="M11" s="300">
        <f t="shared" si="11"/>
        <v>65.16</v>
      </c>
      <c r="N11" s="333">
        <v>73.16</v>
      </c>
      <c r="O11" s="334"/>
      <c r="P11" s="334"/>
      <c r="Q11" s="335"/>
      <c r="R11" s="300">
        <f t="shared" si="0"/>
        <v>73.16</v>
      </c>
      <c r="S11" s="333">
        <v>36.97</v>
      </c>
      <c r="T11" s="334">
        <v>34.78</v>
      </c>
      <c r="U11" s="334"/>
      <c r="V11" s="335"/>
      <c r="W11" s="300">
        <f t="shared" si="1"/>
        <v>71.75</v>
      </c>
      <c r="X11" s="333">
        <v>59.15</v>
      </c>
      <c r="Y11" s="334">
        <v>42.75</v>
      </c>
      <c r="Z11" s="334"/>
      <c r="AA11" s="335"/>
      <c r="AB11" s="300">
        <f t="shared" si="12"/>
        <v>101.9</v>
      </c>
      <c r="AC11" s="336">
        <v>23.12</v>
      </c>
      <c r="AD11" s="337">
        <v>66.27</v>
      </c>
      <c r="AE11" s="337"/>
      <c r="AF11" s="338"/>
      <c r="AG11" s="304">
        <f t="shared" si="13"/>
        <v>89.39</v>
      </c>
      <c r="AH11" s="336">
        <v>59.51</v>
      </c>
      <c r="AI11" s="337"/>
      <c r="AJ11" s="337"/>
      <c r="AK11" s="338"/>
      <c r="AL11" s="339">
        <f t="shared" ref="AL11:AL32" si="56">SUM(AH11:AK11)</f>
        <v>59.51</v>
      </c>
      <c r="AM11" s="32">
        <v>48.94</v>
      </c>
      <c r="AN11" s="33">
        <v>27.100999999999999</v>
      </c>
      <c r="AO11" s="33">
        <v>5.12</v>
      </c>
      <c r="AP11" s="340"/>
      <c r="AQ11" s="341">
        <f t="shared" ref="AQ11:AQ37" si="57">SUM(AM11:AP11)</f>
        <v>81.161000000000001</v>
      </c>
      <c r="AR11" s="32">
        <v>85.59</v>
      </c>
      <c r="AS11" s="33"/>
      <c r="AT11" s="33"/>
      <c r="AU11" s="340"/>
      <c r="AV11" s="342">
        <f t="shared" ref="AV11:AV37" si="58">SUM(AR11:AU11)</f>
        <v>85.59</v>
      </c>
      <c r="AW11" s="32">
        <v>81.739999999999995</v>
      </c>
      <c r="AX11" s="33">
        <v>68.459999999999994</v>
      </c>
      <c r="AY11" s="33"/>
      <c r="AZ11" s="340"/>
      <c r="BA11" s="342">
        <f t="shared" ref="BA11:BA37" si="59">SUM(AW11:AZ11)</f>
        <v>150.19999999999999</v>
      </c>
      <c r="BB11" s="32">
        <f>23.01+2.32</f>
        <v>25.330000000000002</v>
      </c>
      <c r="BC11" s="33">
        <f>68.52+1.16</f>
        <v>69.679999999999993</v>
      </c>
      <c r="BD11" s="33">
        <v>24.97</v>
      </c>
      <c r="BE11" s="340"/>
      <c r="BF11" s="342">
        <f>SUM(BB11:BE11)</f>
        <v>119.97999999999999</v>
      </c>
      <c r="BG11" s="32">
        <f>93.57+4.76</f>
        <v>98.33</v>
      </c>
      <c r="BH11" s="33"/>
      <c r="BI11" s="33"/>
      <c r="BJ11" s="343"/>
      <c r="BK11" s="342">
        <f t="shared" ref="BK11:BK48" si="60">SUM(BG11:BJ11)</f>
        <v>98.33</v>
      </c>
      <c r="BL11" s="32">
        <f>39.95+0.6</f>
        <v>40.550000000000004</v>
      </c>
      <c r="BM11" s="33">
        <f>63.62+1.74</f>
        <v>65.36</v>
      </c>
      <c r="BN11" s="33"/>
      <c r="BO11" s="343"/>
      <c r="BP11" s="341">
        <f t="shared" ref="BP11:BP48" si="61">SUM(BL11:BO11)</f>
        <v>105.91</v>
      </c>
      <c r="BQ11" s="32">
        <f>46.33+1.27</f>
        <v>47.6</v>
      </c>
      <c r="BR11" s="43"/>
      <c r="BS11" s="43"/>
      <c r="BT11" s="853"/>
      <c r="BU11" s="854">
        <f t="shared" si="14"/>
        <v>47.6</v>
      </c>
      <c r="BV11" s="855">
        <v>24.87</v>
      </c>
      <c r="BW11" s="43">
        <v>15.33</v>
      </c>
      <c r="BX11" s="43"/>
      <c r="BY11" s="853"/>
      <c r="BZ11" s="856">
        <f t="shared" si="15"/>
        <v>40.200000000000003</v>
      </c>
      <c r="CA11" s="857">
        <v>35.93</v>
      </c>
      <c r="CB11" s="858">
        <v>40.61</v>
      </c>
      <c r="CC11" s="858"/>
      <c r="CD11" s="859"/>
      <c r="CE11" s="860">
        <f t="shared" ref="CE11:CE49" si="62">SUM(CA11:CD11)</f>
        <v>76.539999999999992</v>
      </c>
      <c r="CF11" s="857">
        <v>52.65</v>
      </c>
      <c r="CG11" s="858"/>
      <c r="CH11" s="858"/>
      <c r="CI11" s="859"/>
      <c r="CJ11" s="860">
        <f t="shared" ref="CJ11:CJ49" si="63">SUM(CF11:CI11)</f>
        <v>52.65</v>
      </c>
      <c r="CK11" s="857">
        <v>57.81</v>
      </c>
      <c r="CL11" s="858">
        <v>23.47</v>
      </c>
      <c r="CM11" s="858"/>
      <c r="CN11" s="859"/>
      <c r="CO11" s="860">
        <f t="shared" ref="CO11:CO49" si="64">SUM(CK11:CN11)</f>
        <v>81.28</v>
      </c>
      <c r="CP11" s="861">
        <v>23.1</v>
      </c>
      <c r="CQ11" s="411">
        <v>21.13</v>
      </c>
      <c r="CR11" s="411">
        <v>18.72</v>
      </c>
      <c r="CS11" s="862"/>
      <c r="CT11" s="863">
        <v>62.95</v>
      </c>
      <c r="CU11" s="861">
        <v>48.72</v>
      </c>
      <c r="CV11" s="411">
        <v>7.52</v>
      </c>
      <c r="CW11" s="411"/>
      <c r="CX11" s="862"/>
      <c r="CY11" s="863">
        <f t="shared" si="2"/>
        <v>56.239999999999995</v>
      </c>
      <c r="CZ11" s="861">
        <v>42.24</v>
      </c>
      <c r="DA11" s="411">
        <v>53.28</v>
      </c>
      <c r="DB11" s="411"/>
      <c r="DC11" s="862"/>
      <c r="DD11" s="863">
        <f t="shared" si="3"/>
        <v>95.52000000000001</v>
      </c>
      <c r="DE11" s="861">
        <v>31.88</v>
      </c>
      <c r="DF11" s="411">
        <v>87.68</v>
      </c>
      <c r="DG11" s="411"/>
      <c r="DH11" s="862"/>
      <c r="DI11" s="863">
        <f t="shared" si="4"/>
        <v>119.56</v>
      </c>
      <c r="DJ11" s="861">
        <v>43.2</v>
      </c>
      <c r="DK11" s="411">
        <v>123.5</v>
      </c>
      <c r="DL11" s="411"/>
      <c r="DM11" s="862"/>
      <c r="DN11" s="863">
        <f t="shared" si="16"/>
        <v>166.7</v>
      </c>
      <c r="DO11" s="861">
        <v>83.02</v>
      </c>
      <c r="DP11" s="411"/>
      <c r="DQ11" s="411"/>
      <c r="DR11" s="862"/>
      <c r="DS11" s="863">
        <f t="shared" si="17"/>
        <v>83.02</v>
      </c>
      <c r="DT11" s="861">
        <v>106.95</v>
      </c>
      <c r="DU11" s="411"/>
      <c r="DV11" s="411"/>
      <c r="DW11" s="862"/>
      <c r="DX11" s="863">
        <f t="shared" si="18"/>
        <v>106.95</v>
      </c>
      <c r="DY11" s="861">
        <v>58.34</v>
      </c>
      <c r="DZ11" s="411"/>
      <c r="EA11" s="411"/>
      <c r="EB11" s="862"/>
      <c r="EC11" s="863">
        <f t="shared" si="19"/>
        <v>58.34</v>
      </c>
      <c r="ED11" s="861">
        <v>61.71</v>
      </c>
      <c r="EE11" s="411"/>
      <c r="EF11" s="411"/>
      <c r="EG11" s="862"/>
      <c r="EH11" s="863">
        <f t="shared" si="20"/>
        <v>61.71</v>
      </c>
      <c r="EI11" s="861">
        <v>41.08</v>
      </c>
      <c r="EJ11" s="411">
        <v>38.770000000000003</v>
      </c>
      <c r="EK11" s="411"/>
      <c r="EL11" s="862"/>
      <c r="EM11" s="863">
        <f t="shared" si="21"/>
        <v>79.849999999999994</v>
      </c>
      <c r="EN11" s="861">
        <v>26.12</v>
      </c>
      <c r="EO11" s="411">
        <v>6.86</v>
      </c>
      <c r="EP11" s="411"/>
      <c r="EQ11" s="862"/>
      <c r="ER11" s="863">
        <f t="shared" si="22"/>
        <v>32.980000000000004</v>
      </c>
      <c r="ES11" s="861">
        <v>52.55</v>
      </c>
      <c r="ET11" s="411">
        <v>7.46</v>
      </c>
      <c r="EU11" s="411"/>
      <c r="EV11" s="862"/>
      <c r="EW11" s="863">
        <f t="shared" si="23"/>
        <v>60.01</v>
      </c>
      <c r="EX11" s="861">
        <v>52.89</v>
      </c>
      <c r="EY11" s="411">
        <v>4.59</v>
      </c>
      <c r="EZ11" s="411"/>
      <c r="FA11" s="862"/>
      <c r="FB11" s="863">
        <f t="shared" si="24"/>
        <v>57.480000000000004</v>
      </c>
      <c r="FC11" s="861">
        <v>42.44</v>
      </c>
      <c r="FD11" s="411">
        <v>34.299999999999997</v>
      </c>
      <c r="FE11" s="411"/>
      <c r="FF11" s="862"/>
      <c r="FG11" s="863">
        <f t="shared" si="25"/>
        <v>76.739999999999995</v>
      </c>
      <c r="FH11" s="861">
        <v>60.32</v>
      </c>
      <c r="FI11" s="411">
        <v>13.51</v>
      </c>
      <c r="FJ11" s="411"/>
      <c r="FK11" s="862"/>
      <c r="FL11" s="863">
        <f t="shared" si="26"/>
        <v>73.83</v>
      </c>
      <c r="FM11" s="861">
        <v>95.18</v>
      </c>
      <c r="FN11" s="411">
        <f>13.35+0.9</f>
        <v>14.25</v>
      </c>
      <c r="FO11" s="411"/>
      <c r="FP11" s="862"/>
      <c r="FQ11" s="863">
        <f t="shared" si="27"/>
        <v>109.43</v>
      </c>
      <c r="FR11" s="861">
        <v>55.11</v>
      </c>
      <c r="FS11" s="411">
        <v>58.79</v>
      </c>
      <c r="FT11" s="411"/>
      <c r="FU11" s="862"/>
      <c r="FV11" s="863">
        <f t="shared" si="28"/>
        <v>113.9</v>
      </c>
      <c r="FW11" s="861">
        <v>55.6</v>
      </c>
      <c r="FX11" s="411">
        <v>16.32</v>
      </c>
      <c r="FY11" s="411"/>
      <c r="FZ11" s="862"/>
      <c r="GA11" s="863">
        <f t="shared" si="29"/>
        <v>71.92</v>
      </c>
      <c r="GB11" s="861">
        <v>31.92</v>
      </c>
      <c r="GC11" s="411">
        <v>21.08</v>
      </c>
      <c r="GD11" s="411"/>
      <c r="GE11" s="862"/>
      <c r="GF11" s="863">
        <f t="shared" si="30"/>
        <v>53</v>
      </c>
      <c r="GG11" s="346">
        <v>51.04</v>
      </c>
      <c r="GH11" s="347">
        <v>20.2</v>
      </c>
      <c r="GI11" s="347"/>
      <c r="GJ11" s="348"/>
      <c r="GK11" s="349">
        <f t="shared" si="31"/>
        <v>71.239999999999995</v>
      </c>
      <c r="GL11" s="346">
        <v>14.17</v>
      </c>
      <c r="GM11" s="347">
        <v>24.44</v>
      </c>
      <c r="GN11" s="347"/>
      <c r="GO11" s="348"/>
      <c r="GP11" s="349">
        <f t="shared" si="32"/>
        <v>38.61</v>
      </c>
      <c r="GQ11" s="346">
        <v>12.73</v>
      </c>
      <c r="GR11" s="347">
        <v>2.87</v>
      </c>
      <c r="GS11" s="347"/>
      <c r="GT11" s="348"/>
      <c r="GU11" s="349">
        <f t="shared" si="33"/>
        <v>15.600000000000001</v>
      </c>
      <c r="GV11" s="346">
        <v>34.22</v>
      </c>
      <c r="GW11" s="347">
        <v>15.52</v>
      </c>
      <c r="GX11" s="347"/>
      <c r="GY11" s="348"/>
      <c r="GZ11" s="349">
        <f t="shared" si="34"/>
        <v>49.739999999999995</v>
      </c>
      <c r="HA11" s="346">
        <v>49.54</v>
      </c>
      <c r="HB11" s="347">
        <v>11.01</v>
      </c>
      <c r="HC11" s="347"/>
      <c r="HD11" s="348"/>
      <c r="HE11" s="349">
        <f t="shared" si="35"/>
        <v>60.55</v>
      </c>
      <c r="HF11" s="346">
        <v>47.06</v>
      </c>
      <c r="HG11" s="347">
        <v>10.6</v>
      </c>
      <c r="HH11" s="347"/>
      <c r="HI11" s="348"/>
      <c r="HJ11" s="349">
        <f t="shared" si="36"/>
        <v>57.660000000000004</v>
      </c>
      <c r="HK11" s="346">
        <v>49.22</v>
      </c>
      <c r="HL11" s="347">
        <v>16.170000000000002</v>
      </c>
      <c r="HM11" s="347"/>
      <c r="HN11" s="348"/>
      <c r="HO11" s="349">
        <f t="shared" si="37"/>
        <v>65.39</v>
      </c>
      <c r="HP11" s="346">
        <v>82.38</v>
      </c>
      <c r="HQ11" s="347">
        <v>31.87</v>
      </c>
      <c r="HR11" s="347"/>
      <c r="HS11" s="348"/>
      <c r="HT11" s="349">
        <f t="shared" si="38"/>
        <v>114.25</v>
      </c>
      <c r="HU11" s="346">
        <v>53.67</v>
      </c>
      <c r="HV11" s="347">
        <v>40.25</v>
      </c>
      <c r="HW11" s="347"/>
      <c r="HX11" s="348"/>
      <c r="HY11" s="349">
        <f t="shared" si="39"/>
        <v>93.92</v>
      </c>
      <c r="HZ11" s="346">
        <f>121.01+9.7</f>
        <v>130.71</v>
      </c>
      <c r="IA11" s="347">
        <v>16.11</v>
      </c>
      <c r="IB11" s="347"/>
      <c r="IC11" s="348"/>
      <c r="ID11" s="349">
        <f t="shared" si="40"/>
        <v>146.82</v>
      </c>
      <c r="IE11" s="88">
        <v>23.8</v>
      </c>
      <c r="IF11" s="89">
        <v>37.81</v>
      </c>
      <c r="IG11" s="89"/>
      <c r="IH11" s="345"/>
      <c r="II11" s="344">
        <f t="shared" si="41"/>
        <v>61.61</v>
      </c>
      <c r="IJ11" s="88">
        <v>111.05</v>
      </c>
      <c r="IK11" s="89">
        <v>40.630000000000003</v>
      </c>
      <c r="IL11" s="345"/>
      <c r="IM11" s="340"/>
      <c r="IN11" s="492">
        <f t="shared" si="42"/>
        <v>151.68</v>
      </c>
      <c r="IO11" s="492"/>
      <c r="IP11" s="886">
        <f t="shared" si="43"/>
        <v>927.06999999999994</v>
      </c>
      <c r="IQ11" s="501">
        <v>38.020000000000003</v>
      </c>
      <c r="IR11" s="33">
        <v>15.83</v>
      </c>
      <c r="IS11" s="33"/>
      <c r="IT11" s="340"/>
      <c r="IU11" s="342">
        <f t="shared" si="44"/>
        <v>53.85</v>
      </c>
      <c r="IV11" s="32">
        <v>64.25</v>
      </c>
      <c r="IW11" s="33">
        <v>14.98</v>
      </c>
      <c r="IX11" s="33"/>
      <c r="IY11" s="340"/>
      <c r="IZ11" s="342">
        <f t="shared" si="45"/>
        <v>79.23</v>
      </c>
      <c r="JA11" s="32">
        <v>44.27</v>
      </c>
      <c r="JB11" s="33">
        <v>14.88</v>
      </c>
      <c r="JC11" s="33"/>
      <c r="JD11" s="340"/>
      <c r="JE11" s="342">
        <f t="shared" si="46"/>
        <v>59.150000000000006</v>
      </c>
      <c r="JF11" s="32">
        <v>80.72</v>
      </c>
      <c r="JG11" s="33">
        <v>24.15</v>
      </c>
      <c r="JH11" s="33"/>
      <c r="JI11" s="340"/>
      <c r="JJ11" s="342">
        <f t="shared" si="47"/>
        <v>104.87</v>
      </c>
      <c r="JK11" s="32">
        <v>56.42</v>
      </c>
      <c r="JL11" s="33">
        <v>17.350000000000001</v>
      </c>
      <c r="JM11" s="33"/>
      <c r="JN11" s="340"/>
      <c r="JO11" s="342">
        <f t="shared" si="48"/>
        <v>73.77000000000001</v>
      </c>
      <c r="JP11" s="32">
        <v>43.87</v>
      </c>
      <c r="JQ11" s="33">
        <v>19.059999999999999</v>
      </c>
      <c r="JR11" s="33">
        <v>2.64</v>
      </c>
      <c r="JS11" s="340"/>
      <c r="JT11" s="342">
        <f t="shared" si="49"/>
        <v>65.569999999999993</v>
      </c>
      <c r="JU11" s="32">
        <v>57.23</v>
      </c>
      <c r="JV11" s="33">
        <v>18.57</v>
      </c>
      <c r="JW11" s="33"/>
      <c r="JX11" s="340"/>
      <c r="JY11" s="342">
        <f t="shared" si="50"/>
        <v>75.8</v>
      </c>
      <c r="JZ11" s="32">
        <v>66.540000000000006</v>
      </c>
      <c r="KA11" s="33">
        <v>25.79</v>
      </c>
      <c r="KB11" s="33"/>
      <c r="KC11" s="340"/>
      <c r="KD11" s="342">
        <f t="shared" si="51"/>
        <v>92.330000000000013</v>
      </c>
      <c r="KE11" s="32">
        <v>64.740000000000009</v>
      </c>
      <c r="KF11" s="33">
        <v>27.73</v>
      </c>
      <c r="KG11" s="33">
        <v>0</v>
      </c>
      <c r="KH11" s="340">
        <v>0</v>
      </c>
      <c r="KI11" s="342">
        <f t="shared" si="52"/>
        <v>92.470000000000013</v>
      </c>
      <c r="KJ11" s="32">
        <v>91.86999999999999</v>
      </c>
      <c r="KK11" s="33">
        <v>94.730000000000018</v>
      </c>
      <c r="KL11" s="33">
        <v>0</v>
      </c>
      <c r="KM11" s="340">
        <v>0</v>
      </c>
      <c r="KN11" s="342">
        <f t="shared" si="53"/>
        <v>186.60000000000002</v>
      </c>
      <c r="KO11" s="32">
        <v>77.78</v>
      </c>
      <c r="KP11" s="33">
        <v>44.32</v>
      </c>
      <c r="KQ11" s="33">
        <v>0</v>
      </c>
      <c r="KR11" s="340">
        <v>0</v>
      </c>
      <c r="KS11" s="342">
        <f t="shared" si="54"/>
        <v>122.1</v>
      </c>
      <c r="KT11" s="32">
        <f t="shared" si="5"/>
        <v>15.21</v>
      </c>
      <c r="KU11" s="33">
        <f t="shared" si="6"/>
        <v>64.8</v>
      </c>
      <c r="KV11" s="33">
        <f t="shared" si="7"/>
        <v>0</v>
      </c>
      <c r="KW11" s="340">
        <f t="shared" si="8"/>
        <v>0</v>
      </c>
      <c r="KX11" s="342">
        <f t="shared" si="9"/>
        <v>80.009999999999991</v>
      </c>
      <c r="KZ11" s="507">
        <f t="shared" si="55"/>
        <v>1085.75</v>
      </c>
    </row>
    <row r="12" spans="1:312" ht="15.75" x14ac:dyDescent="0.25">
      <c r="A12" s="325"/>
      <c r="B12" s="326">
        <v>4</v>
      </c>
      <c r="C12" s="327">
        <v>70.599999999999994</v>
      </c>
      <c r="D12" s="328">
        <v>75.28</v>
      </c>
      <c r="E12" s="329"/>
      <c r="F12" s="330"/>
      <c r="G12" s="331"/>
      <c r="H12" s="332">
        <f t="shared" si="10"/>
        <v>75.28</v>
      </c>
      <c r="I12" s="333">
        <v>76.510000000000005</v>
      </c>
      <c r="J12" s="334"/>
      <c r="K12" s="334"/>
      <c r="L12" s="335"/>
      <c r="M12" s="300">
        <f t="shared" si="11"/>
        <v>76.510000000000005</v>
      </c>
      <c r="N12" s="333">
        <v>45.87</v>
      </c>
      <c r="O12" s="334">
        <v>36.99</v>
      </c>
      <c r="P12" s="334"/>
      <c r="Q12" s="335"/>
      <c r="R12" s="300">
        <f t="shared" si="0"/>
        <v>82.86</v>
      </c>
      <c r="S12" s="333">
        <v>45.71</v>
      </c>
      <c r="T12" s="334">
        <v>47.76</v>
      </c>
      <c r="U12" s="334"/>
      <c r="V12" s="335"/>
      <c r="W12" s="300">
        <f t="shared" si="1"/>
        <v>93.47</v>
      </c>
      <c r="X12" s="333">
        <v>52.55</v>
      </c>
      <c r="Y12" s="334"/>
      <c r="Z12" s="334"/>
      <c r="AA12" s="335"/>
      <c r="AB12" s="300">
        <f t="shared" si="12"/>
        <v>52.55</v>
      </c>
      <c r="AC12" s="336">
        <v>69.510000000000005</v>
      </c>
      <c r="AD12" s="337">
        <v>48.24</v>
      </c>
      <c r="AE12" s="337"/>
      <c r="AF12" s="338"/>
      <c r="AG12" s="304">
        <f t="shared" si="13"/>
        <v>117.75</v>
      </c>
      <c r="AH12" s="336">
        <v>39.92</v>
      </c>
      <c r="AI12" s="337">
        <v>35.380000000000003</v>
      </c>
      <c r="AJ12" s="337"/>
      <c r="AK12" s="338"/>
      <c r="AL12" s="339">
        <f t="shared" si="56"/>
        <v>75.300000000000011</v>
      </c>
      <c r="AM12" s="32">
        <v>18.440000000000001</v>
      </c>
      <c r="AN12" s="33">
        <v>59.09</v>
      </c>
      <c r="AO12" s="33"/>
      <c r="AP12" s="340"/>
      <c r="AQ12" s="341">
        <f t="shared" si="57"/>
        <v>77.53</v>
      </c>
      <c r="AR12" s="32">
        <v>83.54</v>
      </c>
      <c r="AS12" s="33">
        <v>35.880000000000003</v>
      </c>
      <c r="AT12" s="33"/>
      <c r="AU12" s="340"/>
      <c r="AV12" s="342">
        <f t="shared" si="58"/>
        <v>119.42000000000002</v>
      </c>
      <c r="AW12" s="32">
        <v>84.63</v>
      </c>
      <c r="AX12" s="33"/>
      <c r="AY12" s="33"/>
      <c r="AZ12" s="340"/>
      <c r="BA12" s="342">
        <f t="shared" si="59"/>
        <v>84.63</v>
      </c>
      <c r="BB12" s="32">
        <f>82.56+0.89</f>
        <v>83.45</v>
      </c>
      <c r="BC12" s="33">
        <v>44.73</v>
      </c>
      <c r="BD12" s="33"/>
      <c r="BE12" s="340"/>
      <c r="BF12" s="342">
        <f>SUM(BB12:BE12)</f>
        <v>128.18</v>
      </c>
      <c r="BG12" s="32">
        <f>76.16+8.04</f>
        <v>84.199999999999989</v>
      </c>
      <c r="BH12" s="33">
        <v>59.52</v>
      </c>
      <c r="BI12" s="33"/>
      <c r="BJ12" s="343"/>
      <c r="BK12" s="342">
        <f t="shared" si="60"/>
        <v>143.72</v>
      </c>
      <c r="BL12" s="32">
        <f>64.48+6.7</f>
        <v>71.180000000000007</v>
      </c>
      <c r="BM12" s="33">
        <f>67.14+1.07</f>
        <v>68.209999999999994</v>
      </c>
      <c r="BN12" s="33"/>
      <c r="BO12" s="343"/>
      <c r="BP12" s="341">
        <f t="shared" si="61"/>
        <v>139.38999999999999</v>
      </c>
      <c r="BQ12" s="32">
        <f>27.79+8.17</f>
        <v>35.96</v>
      </c>
      <c r="BR12" s="43">
        <f>52.86+3.87</f>
        <v>56.73</v>
      </c>
      <c r="BS12" s="43"/>
      <c r="BT12" s="853"/>
      <c r="BU12" s="854">
        <f t="shared" si="14"/>
        <v>92.69</v>
      </c>
      <c r="BV12" s="855">
        <v>29.54</v>
      </c>
      <c r="BW12" s="43">
        <v>15.56</v>
      </c>
      <c r="BX12" s="43">
        <v>8.82</v>
      </c>
      <c r="BY12" s="853"/>
      <c r="BZ12" s="856">
        <f t="shared" si="15"/>
        <v>53.92</v>
      </c>
      <c r="CA12" s="857">
        <v>22.67</v>
      </c>
      <c r="CB12" s="858">
        <v>41.21</v>
      </c>
      <c r="CC12" s="858"/>
      <c r="CD12" s="859"/>
      <c r="CE12" s="860">
        <f t="shared" si="62"/>
        <v>63.88</v>
      </c>
      <c r="CF12" s="857">
        <v>48.08</v>
      </c>
      <c r="CG12" s="858">
        <v>55.16</v>
      </c>
      <c r="CH12" s="858"/>
      <c r="CI12" s="859"/>
      <c r="CJ12" s="860">
        <f t="shared" si="63"/>
        <v>103.24</v>
      </c>
      <c r="CK12" s="857">
        <v>45.69</v>
      </c>
      <c r="CL12" s="858">
        <v>35.74</v>
      </c>
      <c r="CM12" s="858"/>
      <c r="CN12" s="859"/>
      <c r="CO12" s="860">
        <f t="shared" si="64"/>
        <v>81.430000000000007</v>
      </c>
      <c r="CP12" s="861">
        <v>31.2</v>
      </c>
      <c r="CQ12" s="411">
        <v>25.5</v>
      </c>
      <c r="CR12" s="411"/>
      <c r="CS12" s="862"/>
      <c r="CT12" s="863">
        <v>56.7</v>
      </c>
      <c r="CU12" s="861">
        <v>25.47</v>
      </c>
      <c r="CV12" s="411">
        <v>34.14</v>
      </c>
      <c r="CW12" s="411">
        <v>11.42</v>
      </c>
      <c r="CX12" s="862"/>
      <c r="CY12" s="863">
        <f t="shared" si="2"/>
        <v>71.03</v>
      </c>
      <c r="CZ12" s="861">
        <v>71.13</v>
      </c>
      <c r="DA12" s="411">
        <v>6.96</v>
      </c>
      <c r="DB12" s="411"/>
      <c r="DC12" s="862"/>
      <c r="DD12" s="863">
        <f t="shared" si="3"/>
        <v>78.089999999999989</v>
      </c>
      <c r="DE12" s="861">
        <v>79.38</v>
      </c>
      <c r="DF12" s="411">
        <v>92.71</v>
      </c>
      <c r="DG12" s="411"/>
      <c r="DH12" s="862"/>
      <c r="DI12" s="863">
        <f t="shared" si="4"/>
        <v>172.08999999999997</v>
      </c>
      <c r="DJ12" s="861">
        <v>115.32</v>
      </c>
      <c r="DK12" s="411"/>
      <c r="DL12" s="411"/>
      <c r="DM12" s="862"/>
      <c r="DN12" s="863">
        <f t="shared" si="16"/>
        <v>115.32</v>
      </c>
      <c r="DO12" s="861">
        <v>109.25</v>
      </c>
      <c r="DP12" s="411"/>
      <c r="DQ12" s="411"/>
      <c r="DR12" s="862"/>
      <c r="DS12" s="863">
        <f t="shared" si="17"/>
        <v>109.25</v>
      </c>
      <c r="DT12" s="861">
        <v>82.56</v>
      </c>
      <c r="DU12" s="411"/>
      <c r="DV12" s="411"/>
      <c r="DW12" s="862"/>
      <c r="DX12" s="863">
        <f t="shared" si="18"/>
        <v>82.56</v>
      </c>
      <c r="DY12" s="861">
        <v>115.94</v>
      </c>
      <c r="DZ12" s="411"/>
      <c r="EA12" s="411"/>
      <c r="EB12" s="862"/>
      <c r="EC12" s="863">
        <f t="shared" si="19"/>
        <v>115.94</v>
      </c>
      <c r="ED12" s="861">
        <v>57.12</v>
      </c>
      <c r="EE12" s="411"/>
      <c r="EF12" s="411"/>
      <c r="EG12" s="862"/>
      <c r="EH12" s="863">
        <f t="shared" si="20"/>
        <v>57.12</v>
      </c>
      <c r="EI12" s="861">
        <v>67.13</v>
      </c>
      <c r="EJ12" s="411"/>
      <c r="EK12" s="411"/>
      <c r="EL12" s="862"/>
      <c r="EM12" s="863">
        <f t="shared" si="21"/>
        <v>67.13</v>
      </c>
      <c r="EN12" s="861">
        <v>46.25</v>
      </c>
      <c r="EO12" s="411">
        <v>47.43</v>
      </c>
      <c r="EP12" s="411"/>
      <c r="EQ12" s="862"/>
      <c r="ER12" s="863">
        <f t="shared" si="22"/>
        <v>93.68</v>
      </c>
      <c r="ES12" s="861">
        <v>34.99</v>
      </c>
      <c r="ET12" s="411">
        <v>16.38</v>
      </c>
      <c r="EU12" s="411"/>
      <c r="EV12" s="862"/>
      <c r="EW12" s="863">
        <f t="shared" si="23"/>
        <v>51.370000000000005</v>
      </c>
      <c r="EX12" s="861">
        <v>54.17</v>
      </c>
      <c r="EY12" s="411">
        <v>4.0599999999999996</v>
      </c>
      <c r="EZ12" s="411"/>
      <c r="FA12" s="862"/>
      <c r="FB12" s="863">
        <f t="shared" si="24"/>
        <v>58.230000000000004</v>
      </c>
      <c r="FC12" s="861">
        <v>18.57</v>
      </c>
      <c r="FD12" s="411">
        <v>39.270000000000003</v>
      </c>
      <c r="FE12" s="411">
        <v>10.11</v>
      </c>
      <c r="FF12" s="862"/>
      <c r="FG12" s="863">
        <f t="shared" si="25"/>
        <v>67.95</v>
      </c>
      <c r="FH12" s="861">
        <v>26.83</v>
      </c>
      <c r="FI12" s="411">
        <v>45.68</v>
      </c>
      <c r="FJ12" s="411"/>
      <c r="FK12" s="862"/>
      <c r="FL12" s="863">
        <f t="shared" si="26"/>
        <v>72.509999999999991</v>
      </c>
      <c r="FM12" s="861">
        <v>42.95</v>
      </c>
      <c r="FN12" s="411">
        <f>36.16+0.64</f>
        <v>36.799999999999997</v>
      </c>
      <c r="FO12" s="411"/>
      <c r="FP12" s="862"/>
      <c r="FQ12" s="863">
        <f t="shared" si="27"/>
        <v>79.75</v>
      </c>
      <c r="FR12" s="861">
        <v>47.65</v>
      </c>
      <c r="FS12" s="411">
        <v>41.7</v>
      </c>
      <c r="FT12" s="411"/>
      <c r="FU12" s="862"/>
      <c r="FV12" s="863">
        <f t="shared" si="28"/>
        <v>89.35</v>
      </c>
      <c r="FW12" s="861">
        <v>50</v>
      </c>
      <c r="FX12" s="411">
        <v>41.68</v>
      </c>
      <c r="FY12" s="411"/>
      <c r="FZ12" s="862"/>
      <c r="GA12" s="863">
        <f t="shared" si="29"/>
        <v>91.68</v>
      </c>
      <c r="GB12" s="861">
        <v>60.49</v>
      </c>
      <c r="GC12" s="882"/>
      <c r="GD12" s="411"/>
      <c r="GE12" s="862"/>
      <c r="GF12" s="863">
        <f t="shared" si="30"/>
        <v>60.49</v>
      </c>
      <c r="GG12" s="346">
        <v>72.989999999999995</v>
      </c>
      <c r="GH12" s="347">
        <v>3.85</v>
      </c>
      <c r="GI12" s="347"/>
      <c r="GJ12" s="348"/>
      <c r="GK12" s="349">
        <f t="shared" si="31"/>
        <v>76.839999999999989</v>
      </c>
      <c r="GL12" s="346">
        <v>29.59</v>
      </c>
      <c r="GM12" s="347">
        <v>20.75</v>
      </c>
      <c r="GN12" s="347">
        <v>5.37</v>
      </c>
      <c r="GO12" s="348"/>
      <c r="GP12" s="349">
        <f t="shared" si="32"/>
        <v>55.71</v>
      </c>
      <c r="GQ12" s="346">
        <v>16.07</v>
      </c>
      <c r="GR12" s="347">
        <v>4.2300000000000004</v>
      </c>
      <c r="GS12" s="347"/>
      <c r="GT12" s="348"/>
      <c r="GU12" s="349">
        <f t="shared" si="33"/>
        <v>20.3</v>
      </c>
      <c r="GV12" s="346">
        <v>27.87</v>
      </c>
      <c r="GW12" s="347">
        <v>27.01</v>
      </c>
      <c r="GX12" s="347"/>
      <c r="GY12" s="348"/>
      <c r="GZ12" s="349">
        <f t="shared" si="34"/>
        <v>54.88</v>
      </c>
      <c r="HA12" s="346">
        <v>58.79</v>
      </c>
      <c r="HB12" s="347">
        <v>18.04</v>
      </c>
      <c r="HC12" s="347"/>
      <c r="HD12" s="348"/>
      <c r="HE12" s="349">
        <f t="shared" si="35"/>
        <v>76.83</v>
      </c>
      <c r="HF12" s="346">
        <v>33.64</v>
      </c>
      <c r="HG12" s="347">
        <v>31.44</v>
      </c>
      <c r="HH12" s="347"/>
      <c r="HI12" s="348"/>
      <c r="HJ12" s="349">
        <f t="shared" si="36"/>
        <v>65.08</v>
      </c>
      <c r="HK12" s="346">
        <v>71.55</v>
      </c>
      <c r="HL12" s="347">
        <v>31.87</v>
      </c>
      <c r="HM12" s="347"/>
      <c r="HN12" s="348"/>
      <c r="HO12" s="349">
        <f t="shared" si="37"/>
        <v>103.42</v>
      </c>
      <c r="HP12" s="346">
        <v>21.19</v>
      </c>
      <c r="HQ12" s="347">
        <v>73.38</v>
      </c>
      <c r="HR12" s="347"/>
      <c r="HS12" s="348"/>
      <c r="HT12" s="349">
        <f t="shared" si="38"/>
        <v>94.57</v>
      </c>
      <c r="HU12" s="346">
        <v>104.9</v>
      </c>
      <c r="HV12" s="347">
        <v>22.65</v>
      </c>
      <c r="HW12" s="347"/>
      <c r="HX12" s="348"/>
      <c r="HY12" s="349">
        <f t="shared" si="39"/>
        <v>127.55000000000001</v>
      </c>
      <c r="HZ12" s="346">
        <v>66.59</v>
      </c>
      <c r="IA12" s="347">
        <v>77.31</v>
      </c>
      <c r="IB12" s="347"/>
      <c r="IC12" s="348"/>
      <c r="ID12" s="349">
        <f t="shared" si="40"/>
        <v>143.9</v>
      </c>
      <c r="IE12" s="88">
        <f>63.4+3.116</f>
        <v>66.516000000000005</v>
      </c>
      <c r="IF12" s="89">
        <f>69.12+2.187</f>
        <v>71.307000000000002</v>
      </c>
      <c r="IG12" s="89"/>
      <c r="IH12" s="345"/>
      <c r="II12" s="344">
        <f t="shared" si="41"/>
        <v>137.82300000000001</v>
      </c>
      <c r="IJ12" s="88">
        <v>70.53</v>
      </c>
      <c r="IK12" s="355"/>
      <c r="IL12" s="345"/>
      <c r="IM12" s="340"/>
      <c r="IN12" s="492">
        <f t="shared" si="42"/>
        <v>70.53</v>
      </c>
      <c r="IO12" s="492"/>
      <c r="IP12" s="886">
        <f t="shared" si="43"/>
        <v>1027.433</v>
      </c>
      <c r="IQ12" s="501">
        <v>68.61</v>
      </c>
      <c r="IR12" s="33">
        <v>37.5</v>
      </c>
      <c r="IS12" s="33"/>
      <c r="IT12" s="340"/>
      <c r="IU12" s="342">
        <f t="shared" si="44"/>
        <v>106.11</v>
      </c>
      <c r="IV12" s="32">
        <v>20.99</v>
      </c>
      <c r="IW12" s="33">
        <v>43.02</v>
      </c>
      <c r="IX12" s="33"/>
      <c r="IY12" s="340"/>
      <c r="IZ12" s="342">
        <f t="shared" si="45"/>
        <v>64.010000000000005</v>
      </c>
      <c r="JA12" s="32">
        <v>20.55</v>
      </c>
      <c r="JB12" s="33">
        <v>45.15</v>
      </c>
      <c r="JC12" s="33">
        <v>45.38</v>
      </c>
      <c r="JD12" s="340"/>
      <c r="JE12" s="342">
        <f t="shared" si="46"/>
        <v>111.08000000000001</v>
      </c>
      <c r="JF12" s="32">
        <v>28.81</v>
      </c>
      <c r="JG12" s="33">
        <v>86.31</v>
      </c>
      <c r="JH12" s="33"/>
      <c r="JI12" s="340"/>
      <c r="JJ12" s="342">
        <f t="shared" si="47"/>
        <v>115.12</v>
      </c>
      <c r="JK12" s="32">
        <v>45.73</v>
      </c>
      <c r="JL12" s="33">
        <v>9.3000000000000007</v>
      </c>
      <c r="JM12" s="33">
        <v>48.8</v>
      </c>
      <c r="JN12" s="340"/>
      <c r="JO12" s="342">
        <f t="shared" si="48"/>
        <v>103.83</v>
      </c>
      <c r="JP12" s="32">
        <v>43.59</v>
      </c>
      <c r="JQ12" s="33">
        <v>15.65</v>
      </c>
      <c r="JR12" s="33"/>
      <c r="JS12" s="340"/>
      <c r="JT12" s="342">
        <f t="shared" si="49"/>
        <v>59.24</v>
      </c>
      <c r="JU12" s="32">
        <v>34.049999999999997</v>
      </c>
      <c r="JV12" s="33">
        <v>19.71</v>
      </c>
      <c r="JW12" s="33"/>
      <c r="JX12" s="340"/>
      <c r="JY12" s="342">
        <f t="shared" si="50"/>
        <v>53.76</v>
      </c>
      <c r="JZ12" s="32">
        <v>54.33</v>
      </c>
      <c r="KA12" s="33">
        <v>7.52</v>
      </c>
      <c r="KB12" s="33"/>
      <c r="KC12" s="340"/>
      <c r="KD12" s="342">
        <f t="shared" si="51"/>
        <v>61.849999999999994</v>
      </c>
      <c r="KE12" s="32">
        <v>53.14</v>
      </c>
      <c r="KF12" s="33">
        <v>16.54</v>
      </c>
      <c r="KG12" s="33">
        <v>0</v>
      </c>
      <c r="KH12" s="340">
        <v>0</v>
      </c>
      <c r="KI12" s="342">
        <f t="shared" si="52"/>
        <v>69.680000000000007</v>
      </c>
      <c r="KJ12" s="32">
        <v>33.519999999999996</v>
      </c>
      <c r="KK12" s="33">
        <v>83.13</v>
      </c>
      <c r="KL12" s="33">
        <v>0</v>
      </c>
      <c r="KM12" s="340">
        <v>0</v>
      </c>
      <c r="KN12" s="342">
        <f t="shared" si="53"/>
        <v>116.64999999999999</v>
      </c>
      <c r="KO12" s="32">
        <v>68.02</v>
      </c>
      <c r="KP12" s="33">
        <v>69.180000000000007</v>
      </c>
      <c r="KQ12" s="33">
        <v>0</v>
      </c>
      <c r="KR12" s="340">
        <v>0</v>
      </c>
      <c r="KS12" s="342">
        <f t="shared" si="54"/>
        <v>137.19999999999999</v>
      </c>
      <c r="KT12" s="32">
        <f t="shared" si="5"/>
        <v>65.040000000000006</v>
      </c>
      <c r="KU12" s="33">
        <f t="shared" si="6"/>
        <v>0</v>
      </c>
      <c r="KV12" s="33">
        <f t="shared" si="7"/>
        <v>0</v>
      </c>
      <c r="KW12" s="340">
        <f t="shared" si="8"/>
        <v>0</v>
      </c>
      <c r="KX12" s="342">
        <f t="shared" si="9"/>
        <v>65.040000000000006</v>
      </c>
      <c r="KZ12" s="507">
        <f t="shared" si="55"/>
        <v>1063.57</v>
      </c>
    </row>
    <row r="13" spans="1:312" ht="15.75" x14ac:dyDescent="0.25">
      <c r="A13" s="325"/>
      <c r="B13" s="326">
        <v>5</v>
      </c>
      <c r="C13" s="327">
        <v>50.4</v>
      </c>
      <c r="D13" s="328">
        <v>67.209999999999994</v>
      </c>
      <c r="E13" s="329"/>
      <c r="F13" s="330"/>
      <c r="G13" s="331"/>
      <c r="H13" s="332">
        <f t="shared" si="10"/>
        <v>67.209999999999994</v>
      </c>
      <c r="I13" s="333">
        <v>67.25</v>
      </c>
      <c r="J13" s="334"/>
      <c r="K13" s="334"/>
      <c r="L13" s="335"/>
      <c r="M13" s="300">
        <f t="shared" si="11"/>
        <v>67.25</v>
      </c>
      <c r="N13" s="333">
        <v>55.45</v>
      </c>
      <c r="O13" s="334"/>
      <c r="P13" s="334"/>
      <c r="Q13" s="335"/>
      <c r="R13" s="300">
        <f t="shared" si="0"/>
        <v>55.45</v>
      </c>
      <c r="S13" s="333">
        <v>32.72</v>
      </c>
      <c r="T13" s="334"/>
      <c r="U13" s="334"/>
      <c r="V13" s="335"/>
      <c r="W13" s="300">
        <f t="shared" si="1"/>
        <v>32.72</v>
      </c>
      <c r="X13" s="333">
        <v>76.88</v>
      </c>
      <c r="Y13" s="334"/>
      <c r="Z13" s="334"/>
      <c r="AA13" s="335"/>
      <c r="AB13" s="300">
        <f t="shared" si="12"/>
        <v>76.88</v>
      </c>
      <c r="AC13" s="336">
        <v>56.78</v>
      </c>
      <c r="AD13" s="337"/>
      <c r="AE13" s="337"/>
      <c r="AF13" s="338"/>
      <c r="AG13" s="304">
        <f t="shared" si="13"/>
        <v>56.78</v>
      </c>
      <c r="AH13" s="336">
        <v>27.69</v>
      </c>
      <c r="AI13" s="337">
        <v>32.503999999999998</v>
      </c>
      <c r="AJ13" s="337"/>
      <c r="AK13" s="338"/>
      <c r="AL13" s="339">
        <f t="shared" si="56"/>
        <v>60.194000000000003</v>
      </c>
      <c r="AM13" s="32">
        <v>49.6</v>
      </c>
      <c r="AN13" s="33"/>
      <c r="AO13" s="33"/>
      <c r="AP13" s="340"/>
      <c r="AQ13" s="341">
        <f t="shared" si="57"/>
        <v>49.6</v>
      </c>
      <c r="AR13" s="32">
        <v>59.33</v>
      </c>
      <c r="AS13" s="33">
        <v>38.03</v>
      </c>
      <c r="AT13" s="33"/>
      <c r="AU13" s="340"/>
      <c r="AV13" s="342">
        <f t="shared" si="58"/>
        <v>97.36</v>
      </c>
      <c r="AW13" s="32">
        <v>40.1</v>
      </c>
      <c r="AX13" s="33">
        <v>12.56</v>
      </c>
      <c r="AY13" s="33"/>
      <c r="AZ13" s="340"/>
      <c r="BA13" s="342">
        <f>SUM(AW13:AZ13)</f>
        <v>52.660000000000004</v>
      </c>
      <c r="BB13" s="32">
        <f>46.5+3.28</f>
        <v>49.78</v>
      </c>
      <c r="BC13" s="33">
        <v>69.180000000000007</v>
      </c>
      <c r="BD13" s="33"/>
      <c r="BE13" s="340"/>
      <c r="BF13" s="342">
        <f>SUM(BB13:BE13)</f>
        <v>118.96000000000001</v>
      </c>
      <c r="BG13" s="32">
        <f>87.59+5.27</f>
        <v>92.86</v>
      </c>
      <c r="BH13" s="33"/>
      <c r="BI13" s="33"/>
      <c r="BJ13" s="343"/>
      <c r="BK13" s="342">
        <f t="shared" si="60"/>
        <v>92.86</v>
      </c>
      <c r="BL13" s="32">
        <f>66.87+3.75</f>
        <v>70.62</v>
      </c>
      <c r="BM13" s="33"/>
      <c r="BN13" s="33"/>
      <c r="BO13" s="343"/>
      <c r="BP13" s="341">
        <f t="shared" si="61"/>
        <v>70.62</v>
      </c>
      <c r="BQ13" s="32">
        <f>42.35+3.55</f>
        <v>45.9</v>
      </c>
      <c r="BR13" s="43">
        <v>17.739999999999998</v>
      </c>
      <c r="BS13" s="43"/>
      <c r="BT13" s="853"/>
      <c r="BU13" s="854">
        <f t="shared" si="14"/>
        <v>63.64</v>
      </c>
      <c r="BV13" s="855">
        <v>17.600000000000001</v>
      </c>
      <c r="BW13" s="43">
        <v>15.09</v>
      </c>
      <c r="BX13" s="43"/>
      <c r="BY13" s="853"/>
      <c r="BZ13" s="856">
        <f t="shared" si="15"/>
        <v>32.69</v>
      </c>
      <c r="CA13" s="857">
        <v>26.4</v>
      </c>
      <c r="CB13" s="858">
        <v>25.15</v>
      </c>
      <c r="CC13" s="858"/>
      <c r="CD13" s="859"/>
      <c r="CE13" s="860">
        <f t="shared" si="62"/>
        <v>51.55</v>
      </c>
      <c r="CF13" s="857">
        <v>42.08</v>
      </c>
      <c r="CG13" s="858"/>
      <c r="CH13" s="858"/>
      <c r="CI13" s="859"/>
      <c r="CJ13" s="860">
        <f t="shared" si="63"/>
        <v>42.08</v>
      </c>
      <c r="CK13" s="857">
        <v>39.090000000000003</v>
      </c>
      <c r="CL13" s="858">
        <v>25.3</v>
      </c>
      <c r="CM13" s="858">
        <v>3.73</v>
      </c>
      <c r="CN13" s="859"/>
      <c r="CO13" s="860">
        <f t="shared" si="64"/>
        <v>68.12</v>
      </c>
      <c r="CP13" s="861">
        <v>15.2</v>
      </c>
      <c r="CQ13" s="411">
        <v>28.96</v>
      </c>
      <c r="CR13" s="411">
        <v>11.82</v>
      </c>
      <c r="CS13" s="862"/>
      <c r="CT13" s="863">
        <v>55.98</v>
      </c>
      <c r="CU13" s="861">
        <v>33.36</v>
      </c>
      <c r="CV13" s="411">
        <v>21.87</v>
      </c>
      <c r="CW13" s="411"/>
      <c r="CX13" s="862"/>
      <c r="CY13" s="863">
        <f t="shared" si="2"/>
        <v>55.230000000000004</v>
      </c>
      <c r="CZ13" s="861">
        <v>30.77</v>
      </c>
      <c r="DA13" s="411">
        <v>50.14</v>
      </c>
      <c r="DB13" s="411"/>
      <c r="DC13" s="862"/>
      <c r="DD13" s="863">
        <f t="shared" si="3"/>
        <v>80.91</v>
      </c>
      <c r="DE13" s="861">
        <v>69.92</v>
      </c>
      <c r="DF13" s="411"/>
      <c r="DG13" s="411"/>
      <c r="DH13" s="862"/>
      <c r="DI13" s="863">
        <f t="shared" si="4"/>
        <v>69.92</v>
      </c>
      <c r="DJ13" s="861">
        <v>93.72</v>
      </c>
      <c r="DK13" s="411"/>
      <c r="DL13" s="411"/>
      <c r="DM13" s="862"/>
      <c r="DN13" s="863">
        <f t="shared" si="16"/>
        <v>93.72</v>
      </c>
      <c r="DO13" s="861">
        <v>83.75</v>
      </c>
      <c r="DP13" s="411"/>
      <c r="DQ13" s="411"/>
      <c r="DR13" s="862"/>
      <c r="DS13" s="863">
        <f t="shared" si="17"/>
        <v>83.75</v>
      </c>
      <c r="DT13" s="861">
        <v>60.63</v>
      </c>
      <c r="DU13" s="411">
        <v>43.72</v>
      </c>
      <c r="DV13" s="411"/>
      <c r="DW13" s="862"/>
      <c r="DX13" s="863">
        <f t="shared" si="18"/>
        <v>104.35</v>
      </c>
      <c r="DY13" s="861">
        <v>39.22</v>
      </c>
      <c r="DZ13" s="411"/>
      <c r="EA13" s="411"/>
      <c r="EB13" s="862"/>
      <c r="EC13" s="863">
        <f t="shared" si="19"/>
        <v>39.22</v>
      </c>
      <c r="ED13" s="861">
        <v>37.86</v>
      </c>
      <c r="EE13" s="411"/>
      <c r="EG13" s="862"/>
      <c r="EH13" s="863">
        <f t="shared" si="20"/>
        <v>37.86</v>
      </c>
      <c r="EI13" s="861">
        <v>44.35</v>
      </c>
      <c r="EJ13" s="411"/>
      <c r="EL13" s="862"/>
      <c r="EM13" s="863">
        <f t="shared" si="21"/>
        <v>44.35</v>
      </c>
      <c r="EN13" s="861">
        <v>46.8</v>
      </c>
      <c r="EO13" s="411">
        <v>35.03</v>
      </c>
      <c r="EQ13" s="862"/>
      <c r="ER13" s="863">
        <f t="shared" si="22"/>
        <v>81.83</v>
      </c>
      <c r="ES13" s="861">
        <v>31.14</v>
      </c>
      <c r="ET13" s="411">
        <v>14.74</v>
      </c>
      <c r="EV13" s="862"/>
      <c r="EW13" s="863">
        <f t="shared" si="23"/>
        <v>45.88</v>
      </c>
      <c r="EX13" s="861">
        <v>38.81</v>
      </c>
      <c r="EY13" s="411">
        <v>14.52</v>
      </c>
      <c r="FA13" s="862"/>
      <c r="FB13" s="863">
        <f t="shared" si="24"/>
        <v>53.33</v>
      </c>
      <c r="FC13" s="861">
        <v>43.48</v>
      </c>
      <c r="FD13" s="411">
        <v>25.04</v>
      </c>
      <c r="FF13" s="862"/>
      <c r="FG13" s="863">
        <f t="shared" si="25"/>
        <v>68.52</v>
      </c>
      <c r="FH13" s="861">
        <v>43.2</v>
      </c>
      <c r="FI13" s="411">
        <v>3.56</v>
      </c>
      <c r="FK13" s="862"/>
      <c r="FL13" s="863">
        <f t="shared" si="26"/>
        <v>46.760000000000005</v>
      </c>
      <c r="FM13" s="861">
        <v>34.97</v>
      </c>
      <c r="FN13" s="411">
        <f>29.74+0.78</f>
        <v>30.52</v>
      </c>
      <c r="FO13" s="883">
        <v>8.9</v>
      </c>
      <c r="FP13" s="862"/>
      <c r="FQ13" s="863">
        <f t="shared" si="27"/>
        <v>74.39</v>
      </c>
      <c r="FR13" s="861">
        <v>47.26</v>
      </c>
      <c r="FS13" s="411">
        <v>29.34</v>
      </c>
      <c r="FT13" s="883"/>
      <c r="FU13" s="862"/>
      <c r="FV13" s="863">
        <f t="shared" si="28"/>
        <v>76.599999999999994</v>
      </c>
      <c r="FW13" s="861">
        <v>30.13</v>
      </c>
      <c r="FX13" s="411">
        <v>36.1</v>
      </c>
      <c r="FY13" s="883"/>
      <c r="FZ13" s="862"/>
      <c r="GA13" s="863">
        <f t="shared" si="29"/>
        <v>66.23</v>
      </c>
      <c r="GB13" s="861">
        <v>34.19</v>
      </c>
      <c r="GC13" s="411">
        <v>35.39</v>
      </c>
      <c r="GD13" s="883"/>
      <c r="GE13" s="862"/>
      <c r="GF13" s="863">
        <f t="shared" si="30"/>
        <v>69.58</v>
      </c>
      <c r="GG13" s="346">
        <v>45.32</v>
      </c>
      <c r="GH13" s="354"/>
      <c r="GI13" s="356"/>
      <c r="GJ13" s="348"/>
      <c r="GK13" s="349">
        <f t="shared" si="31"/>
        <v>45.32</v>
      </c>
      <c r="GL13" s="346">
        <v>13.96</v>
      </c>
      <c r="GM13" s="347">
        <v>12.2</v>
      </c>
      <c r="GN13" s="356"/>
      <c r="GO13" s="348"/>
      <c r="GP13" s="349">
        <f t="shared" si="32"/>
        <v>26.16</v>
      </c>
      <c r="GQ13" s="346">
        <v>18.850000000000001</v>
      </c>
      <c r="GR13" s="347">
        <v>3.69</v>
      </c>
      <c r="GS13" s="356">
        <v>2.31</v>
      </c>
      <c r="GT13" s="348"/>
      <c r="GU13" s="349">
        <f t="shared" si="33"/>
        <v>24.85</v>
      </c>
      <c r="GV13" s="346">
        <v>20.49</v>
      </c>
      <c r="GW13" s="347">
        <v>24.39</v>
      </c>
      <c r="GX13" s="356"/>
      <c r="GY13" s="348"/>
      <c r="GZ13" s="349">
        <f t="shared" si="34"/>
        <v>44.879999999999995</v>
      </c>
      <c r="HA13" s="346">
        <v>41.45</v>
      </c>
      <c r="HB13" s="347">
        <v>24.85</v>
      </c>
      <c r="HC13" s="356"/>
      <c r="HD13" s="348"/>
      <c r="HE13" s="349">
        <f t="shared" si="35"/>
        <v>66.300000000000011</v>
      </c>
      <c r="HF13" s="346">
        <v>12.08</v>
      </c>
      <c r="HG13" s="347">
        <v>24.44</v>
      </c>
      <c r="HH13" s="356"/>
      <c r="HI13" s="348"/>
      <c r="HJ13" s="349">
        <f t="shared" si="36"/>
        <v>36.520000000000003</v>
      </c>
      <c r="HK13" s="346">
        <v>40.9</v>
      </c>
      <c r="HL13" s="347">
        <v>43.42</v>
      </c>
      <c r="HM13" s="356"/>
      <c r="HN13" s="348"/>
      <c r="HO13" s="349">
        <f t="shared" si="37"/>
        <v>84.32</v>
      </c>
      <c r="HP13" s="346">
        <v>49.93</v>
      </c>
      <c r="HQ13" s="347">
        <v>13.46</v>
      </c>
      <c r="HR13" s="356"/>
      <c r="HS13" s="348"/>
      <c r="HT13" s="349">
        <f t="shared" si="38"/>
        <v>63.39</v>
      </c>
      <c r="HU13" s="346">
        <v>72.42</v>
      </c>
      <c r="HV13" s="347">
        <v>41.96</v>
      </c>
      <c r="HW13" s="356"/>
      <c r="HX13" s="348"/>
      <c r="HY13" s="349">
        <f t="shared" si="39"/>
        <v>114.38</v>
      </c>
      <c r="HZ13" s="346">
        <f>90.27+14.85</f>
        <v>105.11999999999999</v>
      </c>
      <c r="IA13" s="352"/>
      <c r="IB13" s="356"/>
      <c r="IC13" s="348"/>
      <c r="ID13" s="349">
        <f t="shared" si="40"/>
        <v>105.11999999999999</v>
      </c>
      <c r="IE13" s="88">
        <v>40.94</v>
      </c>
      <c r="IF13" s="89">
        <v>53.29</v>
      </c>
      <c r="IG13" s="357"/>
      <c r="IH13" s="345"/>
      <c r="II13" s="344">
        <f t="shared" si="41"/>
        <v>94.22999999999999</v>
      </c>
      <c r="IJ13" s="88">
        <v>37.130000000000003</v>
      </c>
      <c r="IK13" s="89">
        <v>39.159999999999997</v>
      </c>
      <c r="IL13" s="357"/>
      <c r="IM13" s="340"/>
      <c r="IN13" s="492">
        <f t="shared" si="42"/>
        <v>76.289999999999992</v>
      </c>
      <c r="IO13" s="492"/>
      <c r="IP13" s="886">
        <f t="shared" si="43"/>
        <v>781.76</v>
      </c>
      <c r="IQ13" s="501">
        <v>50.88</v>
      </c>
      <c r="IR13" s="353"/>
      <c r="IS13" s="358"/>
      <c r="IT13" s="340"/>
      <c r="IU13" s="342">
        <f t="shared" si="44"/>
        <v>50.88</v>
      </c>
      <c r="IV13" s="32">
        <v>48.78</v>
      </c>
      <c r="IW13" s="33">
        <v>2.36</v>
      </c>
      <c r="IX13" s="358"/>
      <c r="IY13" s="340"/>
      <c r="IZ13" s="342">
        <f t="shared" si="45"/>
        <v>51.14</v>
      </c>
      <c r="JA13" s="32">
        <v>38.85</v>
      </c>
      <c r="JB13" s="33">
        <v>18.57</v>
      </c>
      <c r="JC13" s="358"/>
      <c r="JD13" s="340"/>
      <c r="JE13" s="342">
        <f t="shared" si="46"/>
        <v>57.42</v>
      </c>
      <c r="JF13" s="32">
        <v>80.61</v>
      </c>
      <c r="JG13" s="33">
        <v>11.94</v>
      </c>
      <c r="JH13" s="358"/>
      <c r="JI13" s="340"/>
      <c r="JJ13" s="342">
        <f t="shared" si="47"/>
        <v>92.55</v>
      </c>
      <c r="JK13" s="32">
        <v>61.07</v>
      </c>
      <c r="JL13" s="33">
        <v>7.95</v>
      </c>
      <c r="JM13" s="358"/>
      <c r="JN13" s="340"/>
      <c r="JO13" s="342">
        <f t="shared" si="48"/>
        <v>69.02</v>
      </c>
      <c r="JP13" s="32">
        <v>70.069999999999993</v>
      </c>
      <c r="JQ13" s="33">
        <v>9</v>
      </c>
      <c r="JR13" s="358"/>
      <c r="JS13" s="340"/>
      <c r="JT13" s="342">
        <f t="shared" si="49"/>
        <v>79.069999999999993</v>
      </c>
      <c r="JU13" s="32">
        <v>38.32</v>
      </c>
      <c r="JV13" s="33">
        <v>19.940000000000001</v>
      </c>
      <c r="JW13" s="358"/>
      <c r="JX13" s="340"/>
      <c r="JY13" s="342">
        <f t="shared" si="50"/>
        <v>58.260000000000005</v>
      </c>
      <c r="JZ13" s="32">
        <v>41.18</v>
      </c>
      <c r="KA13" s="33">
        <v>25.46</v>
      </c>
      <c r="KB13" s="358"/>
      <c r="KC13" s="340"/>
      <c r="KD13" s="342">
        <f t="shared" si="51"/>
        <v>66.64</v>
      </c>
      <c r="KE13" s="32">
        <v>27.13</v>
      </c>
      <c r="KF13" s="33">
        <v>36.700000000000003</v>
      </c>
      <c r="KG13" s="358">
        <v>0</v>
      </c>
      <c r="KH13" s="340">
        <v>0</v>
      </c>
      <c r="KI13" s="342">
        <f t="shared" si="52"/>
        <v>63.83</v>
      </c>
      <c r="KJ13" s="32">
        <v>64.44</v>
      </c>
      <c r="KK13" s="33">
        <v>0</v>
      </c>
      <c r="KL13" s="358">
        <v>0</v>
      </c>
      <c r="KM13" s="340">
        <v>0</v>
      </c>
      <c r="KN13" s="342">
        <f t="shared" si="53"/>
        <v>64.44</v>
      </c>
      <c r="KO13" s="32">
        <v>53.04</v>
      </c>
      <c r="KP13" s="33">
        <v>49.47</v>
      </c>
      <c r="KQ13" s="358">
        <v>0</v>
      </c>
      <c r="KR13" s="340">
        <v>0</v>
      </c>
      <c r="KS13" s="342">
        <f t="shared" si="54"/>
        <v>102.50999999999999</v>
      </c>
      <c r="KT13" s="32">
        <f t="shared" si="5"/>
        <v>47.44</v>
      </c>
      <c r="KU13" s="33">
        <f t="shared" si="6"/>
        <v>32.090000000000003</v>
      </c>
      <c r="KV13" s="358">
        <f t="shared" si="7"/>
        <v>0</v>
      </c>
      <c r="KW13" s="340">
        <f t="shared" si="8"/>
        <v>0</v>
      </c>
      <c r="KX13" s="342">
        <f t="shared" si="9"/>
        <v>79.53</v>
      </c>
      <c r="KZ13" s="507">
        <f t="shared" si="55"/>
        <v>835.29</v>
      </c>
    </row>
    <row r="14" spans="1:312" ht="15.75" x14ac:dyDescent="0.25">
      <c r="A14" s="325"/>
      <c r="B14" s="326">
        <v>6</v>
      </c>
      <c r="C14" s="327">
        <v>58.6</v>
      </c>
      <c r="D14" s="328">
        <v>46</v>
      </c>
      <c r="E14" s="329"/>
      <c r="F14" s="330"/>
      <c r="G14" s="331"/>
      <c r="H14" s="332">
        <f t="shared" si="10"/>
        <v>46</v>
      </c>
      <c r="I14" s="333">
        <v>90</v>
      </c>
      <c r="J14" s="334"/>
      <c r="K14" s="334"/>
      <c r="L14" s="335"/>
      <c r="M14" s="300">
        <f t="shared" si="11"/>
        <v>90</v>
      </c>
      <c r="N14" s="333">
        <v>70.97</v>
      </c>
      <c r="O14" s="334"/>
      <c r="P14" s="334"/>
      <c r="Q14" s="335"/>
      <c r="R14" s="300">
        <f t="shared" si="0"/>
        <v>70.97</v>
      </c>
      <c r="S14" s="333">
        <v>44.38</v>
      </c>
      <c r="T14" s="334"/>
      <c r="U14" s="334"/>
      <c r="V14" s="335"/>
      <c r="W14" s="300">
        <f t="shared" si="1"/>
        <v>44.38</v>
      </c>
      <c r="X14" s="333">
        <v>73.88</v>
      </c>
      <c r="Y14" s="334"/>
      <c r="Z14" s="334"/>
      <c r="AA14" s="335"/>
      <c r="AB14" s="300">
        <f t="shared" si="12"/>
        <v>73.88</v>
      </c>
      <c r="AC14" s="336">
        <v>73.81</v>
      </c>
      <c r="AD14" s="337"/>
      <c r="AE14" s="337"/>
      <c r="AF14" s="338"/>
      <c r="AG14" s="304">
        <f t="shared" si="13"/>
        <v>73.81</v>
      </c>
      <c r="AH14" s="336">
        <v>41.54</v>
      </c>
      <c r="AI14" s="337">
        <v>31.725999999999999</v>
      </c>
      <c r="AJ14" s="337"/>
      <c r="AK14" s="338"/>
      <c r="AL14" s="339">
        <f t="shared" si="56"/>
        <v>73.265999999999991</v>
      </c>
      <c r="AM14" s="32">
        <v>52.38</v>
      </c>
      <c r="AN14" s="33">
        <v>28.09</v>
      </c>
      <c r="AO14" s="33"/>
      <c r="AP14" s="340"/>
      <c r="AQ14" s="341">
        <f t="shared" si="57"/>
        <v>80.47</v>
      </c>
      <c r="AR14" s="32">
        <v>40.805999999999997</v>
      </c>
      <c r="AS14" s="33">
        <v>60.54</v>
      </c>
      <c r="AT14" s="33"/>
      <c r="AU14" s="340"/>
      <c r="AV14" s="342">
        <f t="shared" si="58"/>
        <v>101.346</v>
      </c>
      <c r="AW14" s="32">
        <v>49.87</v>
      </c>
      <c r="AX14" s="33">
        <v>67.64</v>
      </c>
      <c r="AY14" s="33"/>
      <c r="AZ14" s="340"/>
      <c r="BA14" s="342">
        <f t="shared" si="59"/>
        <v>117.50999999999999</v>
      </c>
      <c r="BB14" s="32">
        <f>87.31+6.43</f>
        <v>93.740000000000009</v>
      </c>
      <c r="BC14" s="33"/>
      <c r="BD14" s="33"/>
      <c r="BE14" s="340"/>
      <c r="BF14" s="342">
        <f t="shared" ref="BF14:BF23" si="65">SUM(BB14:BE14)</f>
        <v>93.740000000000009</v>
      </c>
      <c r="BG14" s="32">
        <v>98.1</v>
      </c>
      <c r="BH14" s="33"/>
      <c r="BI14" s="33"/>
      <c r="BJ14" s="343"/>
      <c r="BK14" s="342">
        <f t="shared" si="60"/>
        <v>98.1</v>
      </c>
      <c r="BL14" s="32">
        <f>82.13+9.12</f>
        <v>91.25</v>
      </c>
      <c r="BM14" s="33"/>
      <c r="BN14" s="33"/>
      <c r="BO14" s="343"/>
      <c r="BP14" s="341">
        <f t="shared" si="61"/>
        <v>91.25</v>
      </c>
      <c r="BQ14" s="32">
        <f>50.15+5.12</f>
        <v>55.269999999999996</v>
      </c>
      <c r="BR14" s="43">
        <v>26.87</v>
      </c>
      <c r="BS14" s="43"/>
      <c r="BT14" s="853"/>
      <c r="BU14" s="854">
        <f t="shared" si="14"/>
        <v>82.14</v>
      </c>
      <c r="BV14" s="855">
        <v>15.79</v>
      </c>
      <c r="BW14" s="43">
        <v>17.91</v>
      </c>
      <c r="BX14" s="43"/>
      <c r="BY14" s="853"/>
      <c r="BZ14" s="856">
        <f t="shared" si="15"/>
        <v>33.700000000000003</v>
      </c>
      <c r="CA14" s="857">
        <v>23.92</v>
      </c>
      <c r="CB14" s="858">
        <v>30.06</v>
      </c>
      <c r="CC14" s="858"/>
      <c r="CD14" s="859"/>
      <c r="CE14" s="860">
        <f t="shared" si="62"/>
        <v>53.980000000000004</v>
      </c>
      <c r="CF14" s="857">
        <v>40.36</v>
      </c>
      <c r="CG14" s="858">
        <v>41.66</v>
      </c>
      <c r="CH14" s="858"/>
      <c r="CI14" s="859"/>
      <c r="CJ14" s="860">
        <f t="shared" si="63"/>
        <v>82.02</v>
      </c>
      <c r="CK14" s="857">
        <v>32.97</v>
      </c>
      <c r="CL14" s="858">
        <v>29.5</v>
      </c>
      <c r="CM14" s="858"/>
      <c r="CN14" s="859"/>
      <c r="CO14" s="860">
        <f t="shared" si="64"/>
        <v>62.47</v>
      </c>
      <c r="CP14" s="861">
        <v>26.81</v>
      </c>
      <c r="CQ14" s="411">
        <v>28.32</v>
      </c>
      <c r="CR14" s="411"/>
      <c r="CS14" s="862"/>
      <c r="CT14" s="863">
        <v>55.129999999999995</v>
      </c>
      <c r="CU14" s="861">
        <v>25.3</v>
      </c>
      <c r="CV14" s="411">
        <v>34.67</v>
      </c>
      <c r="CW14" s="411"/>
      <c r="CX14" s="862"/>
      <c r="CY14" s="863">
        <f t="shared" si="2"/>
        <v>59.97</v>
      </c>
      <c r="CZ14" s="861">
        <v>39.11</v>
      </c>
      <c r="DA14" s="411">
        <v>54.19</v>
      </c>
      <c r="DB14" s="411"/>
      <c r="DC14" s="862"/>
      <c r="DD14" s="863">
        <f t="shared" si="3"/>
        <v>93.3</v>
      </c>
      <c r="DE14" s="861">
        <v>75.150000000000006</v>
      </c>
      <c r="DF14" s="411"/>
      <c r="DG14" s="411"/>
      <c r="DH14" s="862"/>
      <c r="DI14" s="863">
        <f t="shared" si="4"/>
        <v>75.150000000000006</v>
      </c>
      <c r="DJ14" s="861">
        <v>95.51</v>
      </c>
      <c r="DK14" s="411">
        <v>29.11</v>
      </c>
      <c r="DL14" s="411"/>
      <c r="DM14" s="862"/>
      <c r="DN14" s="863">
        <f t="shared" si="16"/>
        <v>124.62</v>
      </c>
      <c r="DO14" s="861">
        <v>76.69</v>
      </c>
      <c r="DP14" s="411">
        <v>61.36</v>
      </c>
      <c r="DQ14" s="411"/>
      <c r="DR14" s="862"/>
      <c r="DS14" s="863">
        <f t="shared" si="17"/>
        <v>138.05000000000001</v>
      </c>
      <c r="DT14" s="861">
        <v>72.959999999999994</v>
      </c>
      <c r="DU14" s="411"/>
      <c r="DV14" s="411"/>
      <c r="DW14" s="862"/>
      <c r="DX14" s="863">
        <f t="shared" si="18"/>
        <v>72.959999999999994</v>
      </c>
      <c r="DY14" s="861">
        <v>62.2</v>
      </c>
      <c r="DZ14" s="411"/>
      <c r="EA14" s="411"/>
      <c r="EB14" s="862"/>
      <c r="EC14" s="863">
        <f t="shared" si="19"/>
        <v>62.2</v>
      </c>
      <c r="ED14" s="861">
        <v>51.17</v>
      </c>
      <c r="EE14" s="411">
        <v>7.49</v>
      </c>
      <c r="EF14" s="411"/>
      <c r="EG14" s="862"/>
      <c r="EH14" s="863">
        <f t="shared" si="20"/>
        <v>58.660000000000004</v>
      </c>
      <c r="EI14" s="861">
        <v>45.36</v>
      </c>
      <c r="EJ14" s="411">
        <v>51.92</v>
      </c>
      <c r="EK14" s="411"/>
      <c r="EL14" s="862"/>
      <c r="EM14" s="863">
        <f t="shared" si="21"/>
        <v>97.28</v>
      </c>
      <c r="EN14" s="861">
        <v>47.78</v>
      </c>
      <c r="EO14" s="411"/>
      <c r="EP14" s="411"/>
      <c r="EQ14" s="862"/>
      <c r="ER14" s="863">
        <f t="shared" si="22"/>
        <v>47.78</v>
      </c>
      <c r="ES14" s="861">
        <v>44.99</v>
      </c>
      <c r="ET14" s="411">
        <v>15.04</v>
      </c>
      <c r="EU14" s="411"/>
      <c r="EV14" s="862"/>
      <c r="EW14" s="863">
        <f t="shared" si="23"/>
        <v>60.03</v>
      </c>
      <c r="EX14" s="861">
        <v>57.27</v>
      </c>
      <c r="EY14" s="411">
        <v>40.369999999999997</v>
      </c>
      <c r="EZ14" s="411"/>
      <c r="FA14" s="862"/>
      <c r="FB14" s="863">
        <f t="shared" si="24"/>
        <v>97.64</v>
      </c>
      <c r="FC14" s="861">
        <v>36.07</v>
      </c>
      <c r="FD14" s="411">
        <v>32.630000000000003</v>
      </c>
      <c r="FE14" s="411"/>
      <c r="FF14" s="862"/>
      <c r="FG14" s="863">
        <f t="shared" si="25"/>
        <v>68.7</v>
      </c>
      <c r="FH14" s="861">
        <v>40.840000000000003</v>
      </c>
      <c r="FI14" s="411">
        <v>28.96</v>
      </c>
      <c r="FJ14" s="411"/>
      <c r="FK14" s="862"/>
      <c r="FL14" s="863">
        <f t="shared" si="26"/>
        <v>69.800000000000011</v>
      </c>
      <c r="FM14" s="861">
        <f>44.22+0.36</f>
        <v>44.58</v>
      </c>
      <c r="FN14" s="411">
        <f>39.71+0.3</f>
        <v>40.01</v>
      </c>
      <c r="FO14" s="411"/>
      <c r="FP14" s="862"/>
      <c r="FQ14" s="863">
        <f t="shared" si="27"/>
        <v>84.59</v>
      </c>
      <c r="FR14" s="861">
        <v>55.83</v>
      </c>
      <c r="FS14" s="411">
        <v>30.17</v>
      </c>
      <c r="FT14" s="411"/>
      <c r="FU14" s="862"/>
      <c r="FV14" s="863">
        <f t="shared" si="28"/>
        <v>86</v>
      </c>
      <c r="FW14" s="861">
        <v>51.04</v>
      </c>
      <c r="FX14" s="411">
        <v>21.24</v>
      </c>
      <c r="FY14" s="411"/>
      <c r="FZ14" s="862"/>
      <c r="GA14" s="863">
        <f t="shared" si="29"/>
        <v>72.28</v>
      </c>
      <c r="GB14" s="861">
        <v>15.8</v>
      </c>
      <c r="GC14" s="411">
        <v>29.05</v>
      </c>
      <c r="GD14" s="411"/>
      <c r="GE14" s="862"/>
      <c r="GF14" s="863">
        <f t="shared" si="30"/>
        <v>44.85</v>
      </c>
      <c r="GG14" s="346">
        <v>54.29</v>
      </c>
      <c r="GH14" s="347">
        <v>33.729999999999997</v>
      </c>
      <c r="GI14" s="347"/>
      <c r="GJ14" s="348"/>
      <c r="GK14" s="349">
        <f t="shared" si="31"/>
        <v>88.02</v>
      </c>
      <c r="GL14" s="346">
        <v>27.04</v>
      </c>
      <c r="GM14" s="347">
        <v>12.78</v>
      </c>
      <c r="GN14" s="347"/>
      <c r="GO14" s="348"/>
      <c r="GP14" s="349">
        <f t="shared" si="32"/>
        <v>39.82</v>
      </c>
      <c r="GQ14" s="346">
        <v>19.96</v>
      </c>
      <c r="GR14" s="347">
        <v>7.43</v>
      </c>
      <c r="GS14" s="347"/>
      <c r="GT14" s="348"/>
      <c r="GU14" s="349">
        <f t="shared" si="33"/>
        <v>27.39</v>
      </c>
      <c r="GV14" s="346">
        <v>18.14</v>
      </c>
      <c r="GW14" s="347">
        <v>21.49</v>
      </c>
      <c r="GX14" s="347"/>
      <c r="GY14" s="348"/>
      <c r="GZ14" s="349">
        <f t="shared" si="34"/>
        <v>39.629999999999995</v>
      </c>
      <c r="HA14" s="346">
        <v>39.369999999999997</v>
      </c>
      <c r="HB14" s="347">
        <v>29.56</v>
      </c>
      <c r="HC14" s="347"/>
      <c r="HD14" s="348"/>
      <c r="HE14" s="349">
        <f t="shared" si="35"/>
        <v>68.929999999999993</v>
      </c>
      <c r="HF14" s="346">
        <v>20.09</v>
      </c>
      <c r="HG14" s="347">
        <v>19.05</v>
      </c>
      <c r="HH14" s="347"/>
      <c r="HI14" s="348"/>
      <c r="HJ14" s="349">
        <f t="shared" si="36"/>
        <v>39.14</v>
      </c>
      <c r="HK14" s="346">
        <v>67.45</v>
      </c>
      <c r="HL14" s="347">
        <v>60.39</v>
      </c>
      <c r="HM14" s="347"/>
      <c r="HN14" s="348"/>
      <c r="HO14" s="349">
        <f t="shared" si="37"/>
        <v>127.84</v>
      </c>
      <c r="HP14" s="346">
        <v>64.3</v>
      </c>
      <c r="HQ14" s="347">
        <v>96.37</v>
      </c>
      <c r="HR14" s="347"/>
      <c r="HS14" s="348"/>
      <c r="HT14" s="349">
        <f t="shared" si="38"/>
        <v>160.67000000000002</v>
      </c>
      <c r="HU14" s="346">
        <v>99.91</v>
      </c>
      <c r="HV14" s="352"/>
      <c r="HW14" s="347"/>
      <c r="HX14" s="348"/>
      <c r="HY14" s="349">
        <f t="shared" si="39"/>
        <v>99.91</v>
      </c>
      <c r="HZ14" s="346">
        <f>84.71+2.95</f>
        <v>87.66</v>
      </c>
      <c r="IA14" s="347">
        <v>26.25</v>
      </c>
      <c r="IB14" s="347"/>
      <c r="IC14" s="348"/>
      <c r="ID14" s="349">
        <f t="shared" si="40"/>
        <v>113.91</v>
      </c>
      <c r="IE14" s="88">
        <v>31.71</v>
      </c>
      <c r="IF14" s="89">
        <v>69.78</v>
      </c>
      <c r="IG14" s="89"/>
      <c r="IH14" s="345"/>
      <c r="II14" s="344">
        <f t="shared" si="41"/>
        <v>101.49000000000001</v>
      </c>
      <c r="IJ14" s="88">
        <v>44.18</v>
      </c>
      <c r="IK14" s="89">
        <v>63.39</v>
      </c>
      <c r="IL14" s="345"/>
      <c r="IM14" s="340"/>
      <c r="IN14" s="492">
        <f t="shared" si="42"/>
        <v>107.57</v>
      </c>
      <c r="IO14" s="492"/>
      <c r="IP14" s="886">
        <f t="shared" si="43"/>
        <v>1014.3199999999999</v>
      </c>
      <c r="IQ14" s="501">
        <v>47.81</v>
      </c>
      <c r="IR14" s="353"/>
      <c r="IS14" s="33"/>
      <c r="IT14" s="340"/>
      <c r="IU14" s="342">
        <f t="shared" si="44"/>
        <v>47.81</v>
      </c>
      <c r="IV14" s="32">
        <v>62.98</v>
      </c>
      <c r="IW14" s="33">
        <v>22.17</v>
      </c>
      <c r="IX14" s="33"/>
      <c r="IY14" s="340"/>
      <c r="IZ14" s="342">
        <f t="shared" si="45"/>
        <v>85.15</v>
      </c>
      <c r="JA14" s="32">
        <v>32.200000000000003</v>
      </c>
      <c r="JB14" s="33">
        <v>11.75</v>
      </c>
      <c r="JC14" s="33"/>
      <c r="JD14" s="340"/>
      <c r="JE14" s="342">
        <f t="shared" si="46"/>
        <v>43.95</v>
      </c>
      <c r="JF14" s="32">
        <v>75.31</v>
      </c>
      <c r="JG14" s="33">
        <v>13.55</v>
      </c>
      <c r="JH14" s="33"/>
      <c r="JI14" s="340"/>
      <c r="JJ14" s="342">
        <f t="shared" si="47"/>
        <v>88.86</v>
      </c>
      <c r="JK14" s="32">
        <v>40.409999999999997</v>
      </c>
      <c r="JL14" s="33">
        <v>15.97</v>
      </c>
      <c r="JM14" s="33"/>
      <c r="JN14" s="340"/>
      <c r="JO14" s="342">
        <f t="shared" si="48"/>
        <v>56.379999999999995</v>
      </c>
      <c r="JP14" s="32">
        <v>72.08</v>
      </c>
      <c r="JQ14" s="33">
        <v>21.41</v>
      </c>
      <c r="JR14" s="33"/>
      <c r="JS14" s="340"/>
      <c r="JT14" s="342">
        <f t="shared" si="49"/>
        <v>93.49</v>
      </c>
      <c r="JU14" s="32">
        <v>33.450000000000003</v>
      </c>
      <c r="JV14" s="33">
        <v>19.45</v>
      </c>
      <c r="JW14" s="33"/>
      <c r="JX14" s="340"/>
      <c r="JY14" s="342">
        <f t="shared" si="50"/>
        <v>52.900000000000006</v>
      </c>
      <c r="JZ14" s="32">
        <v>55.79</v>
      </c>
      <c r="KA14" s="33">
        <v>24.67</v>
      </c>
      <c r="KB14" s="33"/>
      <c r="KC14" s="340"/>
      <c r="KD14" s="342">
        <f t="shared" si="51"/>
        <v>80.460000000000008</v>
      </c>
      <c r="KE14" s="32">
        <v>38.42</v>
      </c>
      <c r="KF14" s="33">
        <v>40.69</v>
      </c>
      <c r="KG14" s="33">
        <v>0</v>
      </c>
      <c r="KH14" s="340">
        <v>0</v>
      </c>
      <c r="KI14" s="342">
        <f t="shared" si="52"/>
        <v>79.11</v>
      </c>
      <c r="KJ14" s="32">
        <v>68.84</v>
      </c>
      <c r="KK14" s="33">
        <v>75.710000000000008</v>
      </c>
      <c r="KL14" s="33">
        <v>0</v>
      </c>
      <c r="KM14" s="340">
        <v>0</v>
      </c>
      <c r="KN14" s="342">
        <f t="shared" si="53"/>
        <v>144.55000000000001</v>
      </c>
      <c r="KO14" s="32">
        <v>63.34</v>
      </c>
      <c r="KP14" s="33">
        <v>0</v>
      </c>
      <c r="KQ14" s="33">
        <v>0</v>
      </c>
      <c r="KR14" s="340">
        <v>0</v>
      </c>
      <c r="KS14" s="342">
        <f t="shared" si="54"/>
        <v>63.34</v>
      </c>
      <c r="KT14" s="32">
        <f t="shared" si="5"/>
        <v>60.33</v>
      </c>
      <c r="KU14" s="33">
        <f t="shared" si="6"/>
        <v>64.91</v>
      </c>
      <c r="KV14" s="33">
        <f t="shared" si="7"/>
        <v>0</v>
      </c>
      <c r="KW14" s="340">
        <f t="shared" si="8"/>
        <v>0</v>
      </c>
      <c r="KX14" s="342">
        <f t="shared" si="9"/>
        <v>125.24</v>
      </c>
      <c r="KZ14" s="507">
        <f t="shared" si="55"/>
        <v>961.24000000000012</v>
      </c>
    </row>
    <row r="15" spans="1:312" ht="15.75" x14ac:dyDescent="0.25">
      <c r="A15" s="325"/>
      <c r="B15" s="326">
        <v>7</v>
      </c>
      <c r="C15" s="327">
        <v>23.6</v>
      </c>
      <c r="D15" s="328">
        <v>21.2</v>
      </c>
      <c r="E15" s="329"/>
      <c r="F15" s="330"/>
      <c r="G15" s="331"/>
      <c r="H15" s="332">
        <f t="shared" si="10"/>
        <v>21.2</v>
      </c>
      <c r="I15" s="333">
        <v>30.29</v>
      </c>
      <c r="J15" s="334"/>
      <c r="K15" s="334"/>
      <c r="L15" s="335"/>
      <c r="M15" s="300">
        <f t="shared" si="11"/>
        <v>30.29</v>
      </c>
      <c r="N15" s="333">
        <v>18.940000000000001</v>
      </c>
      <c r="O15" s="334"/>
      <c r="P15" s="334"/>
      <c r="Q15" s="335"/>
      <c r="R15" s="300">
        <f t="shared" si="0"/>
        <v>18.940000000000001</v>
      </c>
      <c r="S15" s="333">
        <v>14.88</v>
      </c>
      <c r="T15" s="334"/>
      <c r="U15" s="334"/>
      <c r="V15" s="335"/>
      <c r="W15" s="300">
        <f t="shared" si="1"/>
        <v>14.88</v>
      </c>
      <c r="X15" s="333">
        <v>26.72</v>
      </c>
      <c r="Y15" s="334"/>
      <c r="Z15" s="334"/>
      <c r="AA15" s="335"/>
      <c r="AB15" s="300">
        <f t="shared" si="12"/>
        <v>26.72</v>
      </c>
      <c r="AC15" s="336">
        <v>21.82</v>
      </c>
      <c r="AD15" s="337"/>
      <c r="AE15" s="337"/>
      <c r="AF15" s="338"/>
      <c r="AG15" s="304">
        <f t="shared" si="13"/>
        <v>21.82</v>
      </c>
      <c r="AH15" s="336">
        <v>19.37</v>
      </c>
      <c r="AI15" s="337">
        <v>5.86</v>
      </c>
      <c r="AJ15" s="337"/>
      <c r="AK15" s="338"/>
      <c r="AL15" s="339">
        <f t="shared" si="56"/>
        <v>25.23</v>
      </c>
      <c r="AM15" s="32">
        <v>19.46</v>
      </c>
      <c r="AN15" s="33"/>
      <c r="AO15" s="33"/>
      <c r="AP15" s="340"/>
      <c r="AQ15" s="341">
        <f t="shared" si="57"/>
        <v>19.46</v>
      </c>
      <c r="AR15" s="32">
        <v>20.66</v>
      </c>
      <c r="AS15" s="33">
        <v>11.24</v>
      </c>
      <c r="AT15" s="33"/>
      <c r="AU15" s="340"/>
      <c r="AV15" s="342">
        <f t="shared" si="58"/>
        <v>31.9</v>
      </c>
      <c r="AW15" s="32">
        <v>17.47</v>
      </c>
      <c r="AX15" s="33"/>
      <c r="AY15" s="33"/>
      <c r="AZ15" s="340"/>
      <c r="BA15" s="342">
        <f t="shared" si="59"/>
        <v>17.47</v>
      </c>
      <c r="BB15" s="32">
        <f>23.97+0.75</f>
        <v>24.72</v>
      </c>
      <c r="BC15" s="33">
        <v>29.32</v>
      </c>
      <c r="BD15" s="33"/>
      <c r="BE15" s="340"/>
      <c r="BF15" s="342">
        <f t="shared" si="65"/>
        <v>54.04</v>
      </c>
      <c r="BG15" s="32">
        <f>37.91+0.77</f>
        <v>38.68</v>
      </c>
      <c r="BH15" s="33"/>
      <c r="BI15" s="33"/>
      <c r="BJ15" s="343"/>
      <c r="BK15" s="342">
        <f t="shared" si="60"/>
        <v>38.68</v>
      </c>
      <c r="BL15" s="32">
        <f>27.31+5.26</f>
        <v>32.57</v>
      </c>
      <c r="BM15" s="33"/>
      <c r="BN15" s="33"/>
      <c r="BO15" s="343"/>
      <c r="BP15" s="341">
        <f t="shared" si="61"/>
        <v>32.57</v>
      </c>
      <c r="BQ15" s="32">
        <f>18.57+0.93</f>
        <v>19.5</v>
      </c>
      <c r="BR15" s="43">
        <v>3.26</v>
      </c>
      <c r="BS15" s="43"/>
      <c r="BT15" s="853"/>
      <c r="BU15" s="854">
        <f t="shared" si="14"/>
        <v>22.759999999999998</v>
      </c>
      <c r="BV15" s="855">
        <v>7.53</v>
      </c>
      <c r="BW15" s="43">
        <v>5.12</v>
      </c>
      <c r="BX15" s="43"/>
      <c r="BY15" s="853"/>
      <c r="BZ15" s="856">
        <f t="shared" si="15"/>
        <v>12.65</v>
      </c>
      <c r="CA15" s="857">
        <v>9.86</v>
      </c>
      <c r="CB15" s="858">
        <v>12.06</v>
      </c>
      <c r="CC15" s="858"/>
      <c r="CD15" s="859"/>
      <c r="CE15" s="860">
        <f t="shared" si="62"/>
        <v>21.92</v>
      </c>
      <c r="CF15" s="857">
        <v>18.34</v>
      </c>
      <c r="CG15" s="858"/>
      <c r="CH15" s="858"/>
      <c r="CI15" s="859"/>
      <c r="CJ15" s="860">
        <f t="shared" si="63"/>
        <v>18.34</v>
      </c>
      <c r="CK15" s="857">
        <v>12.53</v>
      </c>
      <c r="CL15" s="858">
        <v>12.82</v>
      </c>
      <c r="CM15" s="858"/>
      <c r="CN15" s="859"/>
      <c r="CO15" s="860">
        <f t="shared" si="64"/>
        <v>25.35</v>
      </c>
      <c r="CP15" s="861">
        <v>10.18</v>
      </c>
      <c r="CQ15" s="411">
        <v>7.3</v>
      </c>
      <c r="CR15" s="411"/>
      <c r="CS15" s="862"/>
      <c r="CT15" s="863">
        <v>17.48</v>
      </c>
      <c r="CU15" s="861">
        <v>6.45</v>
      </c>
      <c r="CV15" s="411">
        <v>7.22</v>
      </c>
      <c r="CW15" s="411">
        <v>4.96</v>
      </c>
      <c r="CX15" s="862"/>
      <c r="CY15" s="863">
        <f t="shared" si="2"/>
        <v>18.63</v>
      </c>
      <c r="CZ15" s="861">
        <v>14.23</v>
      </c>
      <c r="DA15" s="411">
        <v>16.260000000000002</v>
      </c>
      <c r="DB15" s="411"/>
      <c r="DC15" s="862"/>
      <c r="DD15" s="863">
        <f t="shared" si="3"/>
        <v>30.490000000000002</v>
      </c>
      <c r="DE15" s="861">
        <v>26.76</v>
      </c>
      <c r="DF15" s="411"/>
      <c r="DG15" s="411"/>
      <c r="DH15" s="862"/>
      <c r="DI15" s="863">
        <f t="shared" si="4"/>
        <v>26.76</v>
      </c>
      <c r="DJ15" s="861">
        <v>35.340000000000003</v>
      </c>
      <c r="DK15" s="411"/>
      <c r="DL15" s="411"/>
      <c r="DM15" s="862"/>
      <c r="DN15" s="863">
        <f t="shared" si="16"/>
        <v>35.340000000000003</v>
      </c>
      <c r="DO15" s="861">
        <v>34.020000000000003</v>
      </c>
      <c r="DP15" s="411"/>
      <c r="DQ15" s="411"/>
      <c r="DR15" s="862"/>
      <c r="DS15" s="863">
        <f t="shared" si="17"/>
        <v>34.020000000000003</v>
      </c>
      <c r="DT15" s="861">
        <v>24.25</v>
      </c>
      <c r="DU15" s="411">
        <v>24.03</v>
      </c>
      <c r="DV15" s="411"/>
      <c r="DW15" s="862"/>
      <c r="DX15" s="863">
        <f t="shared" si="18"/>
        <v>48.28</v>
      </c>
      <c r="DY15" s="861">
        <v>16.510000000000002</v>
      </c>
      <c r="DZ15" s="411"/>
      <c r="EA15" s="411"/>
      <c r="EB15" s="862"/>
      <c r="EC15" s="863">
        <f t="shared" si="19"/>
        <v>16.510000000000002</v>
      </c>
      <c r="ED15" s="861">
        <v>16.84</v>
      </c>
      <c r="EE15" s="411"/>
      <c r="EF15" s="411"/>
      <c r="EG15" s="862"/>
      <c r="EH15" s="863">
        <f t="shared" si="20"/>
        <v>16.84</v>
      </c>
      <c r="EI15" s="861">
        <v>21.41</v>
      </c>
      <c r="EJ15" s="411"/>
      <c r="EK15" s="411"/>
      <c r="EL15" s="862"/>
      <c r="EM15" s="863">
        <f t="shared" si="21"/>
        <v>21.41</v>
      </c>
      <c r="EN15" s="861">
        <v>20.67</v>
      </c>
      <c r="EO15" s="411">
        <v>14.16</v>
      </c>
      <c r="EP15" s="411"/>
      <c r="EQ15" s="862"/>
      <c r="ER15" s="863">
        <f t="shared" si="22"/>
        <v>34.83</v>
      </c>
      <c r="ES15" s="861">
        <v>9.92</v>
      </c>
      <c r="ET15" s="411">
        <v>5.35</v>
      </c>
      <c r="EU15" s="411"/>
      <c r="EV15" s="862"/>
      <c r="EW15" s="863">
        <f t="shared" si="23"/>
        <v>15.27</v>
      </c>
      <c r="EX15" s="861">
        <v>15.97</v>
      </c>
      <c r="EY15" s="411">
        <v>3.3</v>
      </c>
      <c r="EZ15" s="411"/>
      <c r="FA15" s="862"/>
      <c r="FB15" s="863">
        <f t="shared" si="24"/>
        <v>19.27</v>
      </c>
      <c r="FC15" s="861">
        <v>13.25</v>
      </c>
      <c r="FD15" s="411">
        <v>8.2799999999999994</v>
      </c>
      <c r="FE15" s="411"/>
      <c r="FF15" s="862"/>
      <c r="FG15" s="863">
        <f t="shared" si="25"/>
        <v>21.53</v>
      </c>
      <c r="FH15" s="861">
        <v>11.73</v>
      </c>
      <c r="FI15" s="411">
        <v>12.7</v>
      </c>
      <c r="FJ15" s="411"/>
      <c r="FK15" s="862"/>
      <c r="FL15" s="863">
        <f t="shared" si="26"/>
        <v>24.43</v>
      </c>
      <c r="FM15" s="861">
        <v>13.77</v>
      </c>
      <c r="FN15" s="411"/>
      <c r="FO15" s="411"/>
      <c r="FP15" s="862"/>
      <c r="FQ15" s="863">
        <f t="shared" si="27"/>
        <v>13.77</v>
      </c>
      <c r="FR15" s="861">
        <v>12.63</v>
      </c>
      <c r="FS15" s="411">
        <v>8.58</v>
      </c>
      <c r="FT15" s="411"/>
      <c r="FU15" s="862"/>
      <c r="FV15" s="863">
        <f t="shared" si="28"/>
        <v>21.21</v>
      </c>
      <c r="FW15" s="861">
        <v>11.33</v>
      </c>
      <c r="FX15" s="411">
        <v>12.43</v>
      </c>
      <c r="FY15" s="411"/>
      <c r="FZ15" s="862"/>
      <c r="GA15" s="863">
        <f t="shared" si="29"/>
        <v>23.759999999999998</v>
      </c>
      <c r="GB15" s="861">
        <v>10.6</v>
      </c>
      <c r="GC15" s="411">
        <v>5.0199999999999996</v>
      </c>
      <c r="GD15" s="411"/>
      <c r="GE15" s="862"/>
      <c r="GF15" s="863">
        <f t="shared" si="30"/>
        <v>15.62</v>
      </c>
      <c r="GG15" s="346">
        <v>17.940000000000001</v>
      </c>
      <c r="GH15" s="347">
        <v>7.89</v>
      </c>
      <c r="GI15" s="347"/>
      <c r="GJ15" s="348"/>
      <c r="GK15" s="349">
        <f t="shared" si="31"/>
        <v>25.830000000000002</v>
      </c>
      <c r="GL15" s="346">
        <v>6.73</v>
      </c>
      <c r="GM15" s="347">
        <v>5.17</v>
      </c>
      <c r="GN15" s="347"/>
      <c r="GO15" s="348"/>
      <c r="GP15" s="349">
        <f t="shared" si="32"/>
        <v>11.9</v>
      </c>
      <c r="GQ15" s="346">
        <v>11.03</v>
      </c>
      <c r="GR15" s="347">
        <v>2.67</v>
      </c>
      <c r="GS15" s="347"/>
      <c r="GT15" s="348"/>
      <c r="GU15" s="349">
        <f t="shared" si="33"/>
        <v>13.7</v>
      </c>
      <c r="GV15" s="346">
        <v>12.03</v>
      </c>
      <c r="GW15" s="347">
        <v>12.37</v>
      </c>
      <c r="GX15" s="347"/>
      <c r="GY15" s="348"/>
      <c r="GZ15" s="349">
        <f t="shared" si="34"/>
        <v>24.4</v>
      </c>
      <c r="HA15" s="346">
        <v>12.62</v>
      </c>
      <c r="HB15" s="347">
        <v>5.03</v>
      </c>
      <c r="HC15" s="347"/>
      <c r="HD15" s="348"/>
      <c r="HE15" s="349">
        <f t="shared" si="35"/>
        <v>17.649999999999999</v>
      </c>
      <c r="HF15" s="346">
        <v>12.33</v>
      </c>
      <c r="HG15" s="347">
        <v>7.17</v>
      </c>
      <c r="HH15" s="347"/>
      <c r="HI15" s="348"/>
      <c r="HJ15" s="349">
        <f t="shared" si="36"/>
        <v>19.5</v>
      </c>
      <c r="HK15" s="346">
        <v>16.73</v>
      </c>
      <c r="HL15" s="347">
        <v>12.52</v>
      </c>
      <c r="HM15" s="347"/>
      <c r="HN15" s="348"/>
      <c r="HO15" s="349">
        <f t="shared" si="37"/>
        <v>29.25</v>
      </c>
      <c r="HP15" s="346">
        <v>29.03</v>
      </c>
      <c r="HQ15" s="352"/>
      <c r="HR15" s="347"/>
      <c r="HS15" s="348"/>
      <c r="HT15" s="349">
        <f t="shared" si="38"/>
        <v>29.03</v>
      </c>
      <c r="HU15" s="346">
        <v>30.42</v>
      </c>
      <c r="HV15" s="347">
        <v>30.56</v>
      </c>
      <c r="HW15" s="347"/>
      <c r="HX15" s="348"/>
      <c r="HY15" s="349">
        <f t="shared" si="39"/>
        <v>60.980000000000004</v>
      </c>
      <c r="HZ15" s="346">
        <v>33.08</v>
      </c>
      <c r="IA15" s="352"/>
      <c r="IB15" s="347"/>
      <c r="IC15" s="348"/>
      <c r="ID15" s="349">
        <f t="shared" si="40"/>
        <v>33.08</v>
      </c>
      <c r="IE15" s="88">
        <f>15.42+1.174</f>
        <v>16.594000000000001</v>
      </c>
      <c r="IF15" s="89">
        <v>24.7</v>
      </c>
      <c r="IG15" s="89"/>
      <c r="IH15" s="345"/>
      <c r="II15" s="344">
        <f t="shared" si="41"/>
        <v>41.293999999999997</v>
      </c>
      <c r="IJ15" s="88">
        <v>25.65</v>
      </c>
      <c r="IK15" s="89">
        <v>19.72</v>
      </c>
      <c r="IL15" s="345"/>
      <c r="IM15" s="340"/>
      <c r="IN15" s="492">
        <f t="shared" si="42"/>
        <v>45.37</v>
      </c>
      <c r="IO15" s="492"/>
      <c r="IP15" s="886">
        <f t="shared" si="43"/>
        <v>351.98399999999998</v>
      </c>
      <c r="IQ15" s="501">
        <v>18.989999999999998</v>
      </c>
      <c r="IR15" s="353"/>
      <c r="IS15" s="33"/>
      <c r="IT15" s="340"/>
      <c r="IU15" s="342">
        <f t="shared" si="44"/>
        <v>18.989999999999998</v>
      </c>
      <c r="IV15" s="32">
        <v>22.99</v>
      </c>
      <c r="IW15" s="33">
        <v>2.68</v>
      </c>
      <c r="IX15" s="33"/>
      <c r="IY15" s="340"/>
      <c r="IZ15" s="342">
        <f t="shared" si="45"/>
        <v>25.669999999999998</v>
      </c>
      <c r="JA15" s="32">
        <v>18.8</v>
      </c>
      <c r="JB15" s="33">
        <v>2.2799999999999998</v>
      </c>
      <c r="JC15" s="33"/>
      <c r="JD15" s="340"/>
      <c r="JE15" s="342">
        <f t="shared" si="46"/>
        <v>21.080000000000002</v>
      </c>
      <c r="JF15" s="32">
        <v>35.020000000000003</v>
      </c>
      <c r="JG15" s="33">
        <v>4.59</v>
      </c>
      <c r="JH15" s="33"/>
      <c r="JI15" s="340"/>
      <c r="JJ15" s="342">
        <f t="shared" si="47"/>
        <v>39.61</v>
      </c>
      <c r="JK15" s="32">
        <v>23.27</v>
      </c>
      <c r="JL15" s="33">
        <v>4.3499999999999996</v>
      </c>
      <c r="JM15" s="33"/>
      <c r="JN15" s="340"/>
      <c r="JO15" s="342">
        <f t="shared" si="48"/>
        <v>27.619999999999997</v>
      </c>
      <c r="JP15" s="32">
        <v>26.28</v>
      </c>
      <c r="JQ15" s="33">
        <v>3.25</v>
      </c>
      <c r="JR15" s="33"/>
      <c r="JS15" s="340"/>
      <c r="JT15" s="342">
        <f t="shared" si="49"/>
        <v>29.53</v>
      </c>
      <c r="JU15" s="32">
        <v>20.65</v>
      </c>
      <c r="JV15" s="33">
        <v>6.41</v>
      </c>
      <c r="JW15" s="33"/>
      <c r="JX15" s="340"/>
      <c r="JY15" s="342">
        <f t="shared" si="50"/>
        <v>27.06</v>
      </c>
      <c r="JZ15" s="32">
        <v>18.420000000000002</v>
      </c>
      <c r="KA15" s="33">
        <v>7.91</v>
      </c>
      <c r="KB15" s="33"/>
      <c r="KC15" s="340"/>
      <c r="KD15" s="342">
        <f t="shared" si="51"/>
        <v>26.330000000000002</v>
      </c>
      <c r="KE15" s="32">
        <v>16.630000000000003</v>
      </c>
      <c r="KF15" s="33">
        <v>15.120000000000001</v>
      </c>
      <c r="KG15" s="33">
        <v>0</v>
      </c>
      <c r="KH15" s="340">
        <v>0</v>
      </c>
      <c r="KI15" s="342">
        <f t="shared" si="52"/>
        <v>31.750000000000004</v>
      </c>
      <c r="KJ15" s="32">
        <v>25.9</v>
      </c>
      <c r="KK15" s="33">
        <v>0</v>
      </c>
      <c r="KL15" s="33">
        <v>0</v>
      </c>
      <c r="KM15" s="340">
        <v>0</v>
      </c>
      <c r="KN15" s="342">
        <f t="shared" si="53"/>
        <v>25.9</v>
      </c>
      <c r="KO15" s="32">
        <v>22.37</v>
      </c>
      <c r="KP15" s="33">
        <v>19.55</v>
      </c>
      <c r="KQ15" s="33">
        <v>0</v>
      </c>
      <c r="KR15" s="340">
        <v>0</v>
      </c>
      <c r="KS15" s="342">
        <f t="shared" si="54"/>
        <v>41.92</v>
      </c>
      <c r="KT15" s="32">
        <f t="shared" si="5"/>
        <v>19.149999999999999</v>
      </c>
      <c r="KU15" s="33">
        <f t="shared" si="6"/>
        <v>0</v>
      </c>
      <c r="KV15" s="33">
        <f t="shared" si="7"/>
        <v>0</v>
      </c>
      <c r="KW15" s="340">
        <f t="shared" si="8"/>
        <v>0</v>
      </c>
      <c r="KX15" s="342">
        <f t="shared" si="9"/>
        <v>19.149999999999999</v>
      </c>
      <c r="KZ15" s="507">
        <f t="shared" si="55"/>
        <v>334.61</v>
      </c>
    </row>
    <row r="16" spans="1:312" ht="15.75" x14ac:dyDescent="0.25">
      <c r="A16" s="325"/>
      <c r="B16" s="326">
        <v>8</v>
      </c>
      <c r="C16" s="327">
        <v>61.6</v>
      </c>
      <c r="D16" s="328">
        <v>67.22</v>
      </c>
      <c r="E16" s="329"/>
      <c r="F16" s="330"/>
      <c r="G16" s="331"/>
      <c r="H16" s="332">
        <f t="shared" si="10"/>
        <v>67.22</v>
      </c>
      <c r="I16" s="333">
        <v>88.42</v>
      </c>
      <c r="J16" s="334"/>
      <c r="K16" s="334"/>
      <c r="L16" s="335"/>
      <c r="M16" s="300">
        <f t="shared" si="11"/>
        <v>88.42</v>
      </c>
      <c r="N16" s="333">
        <v>50.95</v>
      </c>
      <c r="O16" s="334"/>
      <c r="P16" s="334"/>
      <c r="Q16" s="335"/>
      <c r="R16" s="300">
        <f t="shared" si="0"/>
        <v>50.95</v>
      </c>
      <c r="S16" s="333">
        <v>31.16</v>
      </c>
      <c r="T16" s="334"/>
      <c r="U16" s="334"/>
      <c r="V16" s="335"/>
      <c r="W16" s="300">
        <f t="shared" si="1"/>
        <v>31.16</v>
      </c>
      <c r="X16" s="333">
        <v>39</v>
      </c>
      <c r="Y16" s="334">
        <v>50.56</v>
      </c>
      <c r="Z16" s="334"/>
      <c r="AA16" s="335"/>
      <c r="AB16" s="300">
        <f t="shared" si="12"/>
        <v>89.56</v>
      </c>
      <c r="AC16" s="336">
        <v>58.46</v>
      </c>
      <c r="AD16" s="337"/>
      <c r="AE16" s="337"/>
      <c r="AF16" s="338"/>
      <c r="AG16" s="304">
        <f t="shared" si="13"/>
        <v>58.46</v>
      </c>
      <c r="AH16" s="336">
        <v>31.99</v>
      </c>
      <c r="AI16" s="337">
        <v>33.479999999999997</v>
      </c>
      <c r="AJ16" s="337"/>
      <c r="AK16" s="338"/>
      <c r="AL16" s="339">
        <f t="shared" si="56"/>
        <v>65.47</v>
      </c>
      <c r="AM16" s="32">
        <v>52.72</v>
      </c>
      <c r="AN16" s="33">
        <v>10.06</v>
      </c>
      <c r="AO16" s="33"/>
      <c r="AP16" s="340"/>
      <c r="AQ16" s="341">
        <f t="shared" si="57"/>
        <v>62.78</v>
      </c>
      <c r="AR16" s="32">
        <v>28.42</v>
      </c>
      <c r="AS16" s="33">
        <v>40.85</v>
      </c>
      <c r="AT16" s="33">
        <v>40.82</v>
      </c>
      <c r="AU16" s="340"/>
      <c r="AV16" s="342">
        <f t="shared" si="58"/>
        <v>110.09</v>
      </c>
      <c r="AW16" s="32">
        <v>54.64</v>
      </c>
      <c r="AX16" s="33"/>
      <c r="AY16" s="33"/>
      <c r="AZ16" s="340"/>
      <c r="BA16" s="342">
        <f t="shared" si="59"/>
        <v>54.64</v>
      </c>
      <c r="BB16" s="32">
        <f>71.6+2.73</f>
        <v>74.33</v>
      </c>
      <c r="BC16" s="33">
        <v>21.24</v>
      </c>
      <c r="BD16" s="33"/>
      <c r="BE16" s="340"/>
      <c r="BF16" s="342">
        <f t="shared" si="65"/>
        <v>95.57</v>
      </c>
      <c r="BG16" s="32">
        <f>65.61+4.6</f>
        <v>70.209999999999994</v>
      </c>
      <c r="BH16" s="33">
        <v>53.26</v>
      </c>
      <c r="BI16" s="33"/>
      <c r="BJ16" s="343"/>
      <c r="BK16" s="342">
        <f t="shared" si="60"/>
        <v>123.47</v>
      </c>
      <c r="BL16" s="32">
        <v>87.27</v>
      </c>
      <c r="BM16" s="33">
        <v>7.89</v>
      </c>
      <c r="BN16" s="33">
        <v>34.49</v>
      </c>
      <c r="BO16" s="343"/>
      <c r="BP16" s="341">
        <f t="shared" si="61"/>
        <v>129.65</v>
      </c>
      <c r="BQ16" s="32">
        <v>33.03</v>
      </c>
      <c r="BR16" s="43">
        <v>17.73</v>
      </c>
      <c r="BS16" s="43"/>
      <c r="BT16" s="853"/>
      <c r="BU16" s="854">
        <f t="shared" si="14"/>
        <v>50.760000000000005</v>
      </c>
      <c r="BV16" s="855">
        <v>18.329999999999998</v>
      </c>
      <c r="BW16" s="43">
        <v>16.59</v>
      </c>
      <c r="BX16" s="43"/>
      <c r="BY16" s="853"/>
      <c r="BZ16" s="856">
        <f t="shared" si="15"/>
        <v>34.92</v>
      </c>
      <c r="CA16" s="857">
        <v>20.95</v>
      </c>
      <c r="CB16" s="858">
        <v>16.47</v>
      </c>
      <c r="CC16" s="858">
        <v>17.05</v>
      </c>
      <c r="CD16" s="859"/>
      <c r="CE16" s="860">
        <f t="shared" si="62"/>
        <v>54.47</v>
      </c>
      <c r="CF16" s="857">
        <v>29.22</v>
      </c>
      <c r="CG16" s="858">
        <v>28.2</v>
      </c>
      <c r="CH16" s="858"/>
      <c r="CI16" s="859"/>
      <c r="CJ16" s="860">
        <f t="shared" si="63"/>
        <v>57.42</v>
      </c>
      <c r="CK16" s="857">
        <v>28.76</v>
      </c>
      <c r="CL16" s="858">
        <v>23.12</v>
      </c>
      <c r="CM16" s="858"/>
      <c r="CN16" s="859"/>
      <c r="CO16" s="860">
        <f t="shared" si="64"/>
        <v>51.88</v>
      </c>
      <c r="CP16" s="861">
        <v>18.559999999999999</v>
      </c>
      <c r="CQ16" s="411">
        <v>24.3</v>
      </c>
      <c r="CR16" s="411"/>
      <c r="CS16" s="862"/>
      <c r="CT16" s="863">
        <v>42.86</v>
      </c>
      <c r="CU16" s="861">
        <v>30.58</v>
      </c>
      <c r="CV16" s="411">
        <v>37.450000000000003</v>
      </c>
      <c r="CW16" s="411"/>
      <c r="CX16" s="862"/>
      <c r="CY16" s="863">
        <f t="shared" si="2"/>
        <v>68.03</v>
      </c>
      <c r="CZ16" s="861">
        <v>10.29</v>
      </c>
      <c r="DA16" s="411">
        <v>62.17</v>
      </c>
      <c r="DB16" s="411"/>
      <c r="DC16" s="862"/>
      <c r="DD16" s="863">
        <f t="shared" si="3"/>
        <v>72.460000000000008</v>
      </c>
      <c r="DE16" s="861">
        <v>78.78</v>
      </c>
      <c r="DF16" s="411"/>
      <c r="DG16" s="411"/>
      <c r="DH16" s="862"/>
      <c r="DI16" s="863">
        <f t="shared" si="4"/>
        <v>78.78</v>
      </c>
      <c r="DJ16" s="861">
        <v>118.71</v>
      </c>
      <c r="DK16" s="411"/>
      <c r="DL16" s="411"/>
      <c r="DM16" s="862"/>
      <c r="DN16" s="863">
        <f t="shared" si="16"/>
        <v>118.71</v>
      </c>
      <c r="DO16" s="861">
        <v>111.62</v>
      </c>
      <c r="DP16" s="411"/>
      <c r="DQ16" s="411"/>
      <c r="DR16" s="862"/>
      <c r="DS16" s="863">
        <f t="shared" si="17"/>
        <v>111.62</v>
      </c>
      <c r="DT16" s="861">
        <v>70.260000000000005</v>
      </c>
      <c r="DU16" s="411"/>
      <c r="DV16" s="411"/>
      <c r="DW16" s="862"/>
      <c r="DX16" s="863">
        <f t="shared" si="18"/>
        <v>70.260000000000005</v>
      </c>
      <c r="DY16" s="861">
        <v>56.21</v>
      </c>
      <c r="DZ16" s="411">
        <v>12.42</v>
      </c>
      <c r="EA16" s="411"/>
      <c r="EB16" s="862"/>
      <c r="EC16" s="863">
        <f t="shared" si="19"/>
        <v>68.63</v>
      </c>
      <c r="ED16" s="861">
        <v>53.54</v>
      </c>
      <c r="EE16" s="411"/>
      <c r="EF16" s="411"/>
      <c r="EG16" s="862"/>
      <c r="EH16" s="863">
        <f t="shared" si="20"/>
        <v>53.54</v>
      </c>
      <c r="EI16" s="861">
        <v>27.15</v>
      </c>
      <c r="EJ16" s="411">
        <v>43.61</v>
      </c>
      <c r="EK16" s="411"/>
      <c r="EL16" s="862"/>
      <c r="EM16" s="863">
        <f t="shared" si="21"/>
        <v>70.759999999999991</v>
      </c>
      <c r="EN16" s="861">
        <v>55.5</v>
      </c>
      <c r="EO16" s="411"/>
      <c r="EP16" s="411"/>
      <c r="EQ16" s="862"/>
      <c r="ER16" s="863">
        <f t="shared" si="22"/>
        <v>55.5</v>
      </c>
      <c r="ES16" s="861">
        <v>42.9</v>
      </c>
      <c r="ET16" s="411">
        <v>20.04</v>
      </c>
      <c r="EU16" s="411"/>
      <c r="EV16" s="862"/>
      <c r="EW16" s="863">
        <f t="shared" si="23"/>
        <v>62.94</v>
      </c>
      <c r="EX16" s="861">
        <v>34.17</v>
      </c>
      <c r="EY16" s="411">
        <v>27.99</v>
      </c>
      <c r="EZ16" s="411"/>
      <c r="FA16" s="862"/>
      <c r="FB16" s="863">
        <f t="shared" si="24"/>
        <v>62.16</v>
      </c>
      <c r="FC16" s="861">
        <v>20.07</v>
      </c>
      <c r="FD16" s="411">
        <v>34.979999999999997</v>
      </c>
      <c r="FE16" s="411">
        <v>7.56</v>
      </c>
      <c r="FF16" s="862"/>
      <c r="FG16" s="863">
        <f t="shared" si="25"/>
        <v>62.61</v>
      </c>
      <c r="FH16" s="861">
        <v>32.11</v>
      </c>
      <c r="FI16" s="411">
        <v>73.739999999999995</v>
      </c>
      <c r="FJ16" s="411"/>
      <c r="FK16" s="862"/>
      <c r="FL16" s="863">
        <f t="shared" si="26"/>
        <v>105.85</v>
      </c>
      <c r="FM16" s="861">
        <v>41.92</v>
      </c>
      <c r="FN16" s="411">
        <v>12.33</v>
      </c>
      <c r="FO16" s="411"/>
      <c r="FP16" s="862"/>
      <c r="FQ16" s="863">
        <f t="shared" si="27"/>
        <v>54.25</v>
      </c>
      <c r="FR16" s="861">
        <v>94.95</v>
      </c>
      <c r="FS16" s="882"/>
      <c r="FT16" s="411"/>
      <c r="FU16" s="862"/>
      <c r="FV16" s="863">
        <f t="shared" si="28"/>
        <v>94.95</v>
      </c>
      <c r="FW16" s="861">
        <v>43.86</v>
      </c>
      <c r="FX16" s="411">
        <v>31.4</v>
      </c>
      <c r="FY16" s="411"/>
      <c r="FZ16" s="862"/>
      <c r="GA16" s="863">
        <f t="shared" si="29"/>
        <v>75.259999999999991</v>
      </c>
      <c r="GB16" s="861">
        <v>50.53</v>
      </c>
      <c r="GC16" s="411">
        <v>46.45</v>
      </c>
      <c r="GD16" s="411"/>
      <c r="GE16" s="862"/>
      <c r="GF16" s="863">
        <f t="shared" si="30"/>
        <v>96.98</v>
      </c>
      <c r="GG16" s="346">
        <v>42.77</v>
      </c>
      <c r="GH16" s="347">
        <v>18.39</v>
      </c>
      <c r="GI16" s="347"/>
      <c r="GJ16" s="348"/>
      <c r="GK16" s="349">
        <f t="shared" si="31"/>
        <v>61.160000000000004</v>
      </c>
      <c r="GL16" s="346">
        <v>32.46</v>
      </c>
      <c r="GM16" s="347">
        <v>20.34</v>
      </c>
      <c r="GN16" s="347"/>
      <c r="GO16" s="348"/>
      <c r="GP16" s="349">
        <f t="shared" si="32"/>
        <v>52.8</v>
      </c>
      <c r="GQ16" s="346">
        <v>22.63</v>
      </c>
      <c r="GR16" s="347">
        <v>19.03</v>
      </c>
      <c r="GS16" s="347"/>
      <c r="GT16" s="348"/>
      <c r="GU16" s="349">
        <f t="shared" si="33"/>
        <v>41.66</v>
      </c>
      <c r="GV16" s="346">
        <v>31.29</v>
      </c>
      <c r="GW16" s="347">
        <v>7.84</v>
      </c>
      <c r="GX16" s="347"/>
      <c r="GY16" s="348"/>
      <c r="GZ16" s="349">
        <f t="shared" si="34"/>
        <v>39.129999999999995</v>
      </c>
      <c r="HA16" s="346">
        <v>26.15</v>
      </c>
      <c r="HB16" s="347">
        <v>30.05</v>
      </c>
      <c r="HC16" s="347">
        <v>16.28</v>
      </c>
      <c r="HD16" s="348"/>
      <c r="HE16" s="349">
        <f t="shared" si="35"/>
        <v>72.48</v>
      </c>
      <c r="HF16" s="346">
        <v>18.05</v>
      </c>
      <c r="HG16" s="347">
        <v>23.72</v>
      </c>
      <c r="HH16" s="347"/>
      <c r="HI16" s="348"/>
      <c r="HJ16" s="349">
        <f t="shared" si="36"/>
        <v>41.769999999999996</v>
      </c>
      <c r="HK16" s="346">
        <v>24.42</v>
      </c>
      <c r="HL16" s="347">
        <v>20.18</v>
      </c>
      <c r="HM16" s="347">
        <v>8.36</v>
      </c>
      <c r="HN16" s="348"/>
      <c r="HO16" s="349">
        <f t="shared" si="37"/>
        <v>52.96</v>
      </c>
      <c r="HP16" s="346">
        <v>17.82</v>
      </c>
      <c r="HQ16" s="347">
        <v>37.83</v>
      </c>
      <c r="HR16" s="347">
        <v>58.75</v>
      </c>
      <c r="HS16" s="348"/>
      <c r="HT16" s="349">
        <f t="shared" si="38"/>
        <v>114.4</v>
      </c>
      <c r="HU16" s="346">
        <v>78.790000000000006</v>
      </c>
      <c r="HV16" s="352"/>
      <c r="HW16" s="347"/>
      <c r="HX16" s="348"/>
      <c r="HY16" s="349">
        <f t="shared" si="39"/>
        <v>78.790000000000006</v>
      </c>
      <c r="HZ16" s="346">
        <f>91.53+3.11</f>
        <v>94.64</v>
      </c>
      <c r="IA16" s="352"/>
      <c r="IB16" s="347"/>
      <c r="IC16" s="348"/>
      <c r="ID16" s="349">
        <f t="shared" si="40"/>
        <v>94.64</v>
      </c>
      <c r="IE16" s="88">
        <f>83.29+3.2</f>
        <v>86.490000000000009</v>
      </c>
      <c r="IF16" s="89">
        <v>64.989999999999995</v>
      </c>
      <c r="IG16" s="89"/>
      <c r="IH16" s="345"/>
      <c r="II16" s="344">
        <f t="shared" si="41"/>
        <v>151.48000000000002</v>
      </c>
      <c r="IJ16" s="88">
        <v>61.18</v>
      </c>
      <c r="IK16" s="89">
        <v>61.97</v>
      </c>
      <c r="IL16" s="345"/>
      <c r="IM16" s="340"/>
      <c r="IN16" s="492">
        <f t="shared" si="42"/>
        <v>123.15</v>
      </c>
      <c r="IO16" s="492"/>
      <c r="IP16" s="886">
        <f t="shared" si="43"/>
        <v>924.42</v>
      </c>
      <c r="IQ16" s="501">
        <v>44.66</v>
      </c>
      <c r="IR16" s="353"/>
      <c r="IS16" s="33"/>
      <c r="IT16" s="340"/>
      <c r="IU16" s="342">
        <f t="shared" si="44"/>
        <v>44.66</v>
      </c>
      <c r="IV16" s="32">
        <v>57.38</v>
      </c>
      <c r="IW16" s="33">
        <v>39.22</v>
      </c>
      <c r="IX16" s="33"/>
      <c r="IY16" s="340"/>
      <c r="IZ16" s="342">
        <f t="shared" si="45"/>
        <v>96.6</v>
      </c>
      <c r="JA16" s="32">
        <v>33.08</v>
      </c>
      <c r="JB16" s="33">
        <v>26.12</v>
      </c>
      <c r="JC16" s="33"/>
      <c r="JD16" s="340"/>
      <c r="JE16" s="342">
        <f t="shared" si="46"/>
        <v>59.2</v>
      </c>
      <c r="JF16" s="32">
        <v>61.53</v>
      </c>
      <c r="JG16" s="33">
        <v>17.5</v>
      </c>
      <c r="JH16" s="33"/>
      <c r="JI16" s="340"/>
      <c r="JJ16" s="342">
        <f t="shared" si="47"/>
        <v>79.03</v>
      </c>
      <c r="JK16" s="32">
        <v>14.91</v>
      </c>
      <c r="JL16" s="33">
        <v>34.14</v>
      </c>
      <c r="JM16" s="33">
        <v>14.68</v>
      </c>
      <c r="JN16" s="340"/>
      <c r="JO16" s="342">
        <f t="shared" si="48"/>
        <v>63.73</v>
      </c>
      <c r="JP16" s="32">
        <v>14.65</v>
      </c>
      <c r="JQ16" s="33">
        <v>23.41</v>
      </c>
      <c r="JR16" s="33">
        <v>20.48</v>
      </c>
      <c r="JS16" s="340"/>
      <c r="JT16" s="342">
        <f t="shared" si="49"/>
        <v>58.540000000000006</v>
      </c>
      <c r="JU16" s="32">
        <v>25.36</v>
      </c>
      <c r="JV16" s="33">
        <v>21.55</v>
      </c>
      <c r="JW16" s="33">
        <v>9.16</v>
      </c>
      <c r="JX16" s="340"/>
      <c r="JY16" s="342">
        <f t="shared" si="50"/>
        <v>56.069999999999993</v>
      </c>
      <c r="JZ16" s="32">
        <v>7.76</v>
      </c>
      <c r="KA16" s="33">
        <v>31.86</v>
      </c>
      <c r="KB16" s="33">
        <v>29.19</v>
      </c>
      <c r="KC16" s="340"/>
      <c r="KD16" s="342">
        <f t="shared" si="51"/>
        <v>68.81</v>
      </c>
      <c r="KE16" s="32">
        <v>36.22</v>
      </c>
      <c r="KF16" s="33">
        <v>45.540000000000006</v>
      </c>
      <c r="KG16" s="33">
        <v>0</v>
      </c>
      <c r="KH16" s="340">
        <v>0</v>
      </c>
      <c r="KI16" s="342">
        <f t="shared" si="52"/>
        <v>81.760000000000005</v>
      </c>
      <c r="KJ16" s="32">
        <v>37.410000000000004</v>
      </c>
      <c r="KK16" s="33">
        <v>71.929999999999993</v>
      </c>
      <c r="KL16" s="33">
        <v>0</v>
      </c>
      <c r="KM16" s="340">
        <v>0</v>
      </c>
      <c r="KN16" s="342">
        <f t="shared" si="53"/>
        <v>109.34</v>
      </c>
      <c r="KO16" s="32">
        <v>62.94</v>
      </c>
      <c r="KP16" s="33">
        <v>58.5</v>
      </c>
      <c r="KQ16" s="33">
        <v>0</v>
      </c>
      <c r="KR16" s="340">
        <v>0</v>
      </c>
      <c r="KS16" s="342">
        <f t="shared" si="54"/>
        <v>121.44</v>
      </c>
      <c r="KT16" s="32">
        <f t="shared" si="5"/>
        <v>59.31</v>
      </c>
      <c r="KU16" s="33">
        <f t="shared" si="6"/>
        <v>7.63</v>
      </c>
      <c r="KV16" s="33">
        <f t="shared" si="7"/>
        <v>0</v>
      </c>
      <c r="KW16" s="340">
        <f t="shared" si="8"/>
        <v>0</v>
      </c>
      <c r="KX16" s="342">
        <f t="shared" si="9"/>
        <v>66.94</v>
      </c>
      <c r="KZ16" s="507">
        <f t="shared" si="55"/>
        <v>906.12000000000012</v>
      </c>
    </row>
    <row r="17" spans="1:312" ht="15.75" x14ac:dyDescent="0.25">
      <c r="A17" s="325"/>
      <c r="B17" s="326">
        <v>9</v>
      </c>
      <c r="C17" s="327">
        <v>38.299999999999997</v>
      </c>
      <c r="D17" s="328">
        <v>45.17</v>
      </c>
      <c r="E17" s="329"/>
      <c r="F17" s="330"/>
      <c r="G17" s="331"/>
      <c r="H17" s="332">
        <f t="shared" si="10"/>
        <v>45.17</v>
      </c>
      <c r="I17" s="333">
        <v>39.4</v>
      </c>
      <c r="J17" s="334"/>
      <c r="K17" s="334"/>
      <c r="L17" s="335"/>
      <c r="M17" s="300">
        <f t="shared" si="11"/>
        <v>39.4</v>
      </c>
      <c r="N17" s="333">
        <v>27.71</v>
      </c>
      <c r="O17" s="334"/>
      <c r="P17" s="334"/>
      <c r="Q17" s="335"/>
      <c r="R17" s="300">
        <f t="shared" si="0"/>
        <v>27.71</v>
      </c>
      <c r="S17" s="333">
        <v>21.49</v>
      </c>
      <c r="T17" s="334"/>
      <c r="U17" s="334"/>
      <c r="V17" s="335"/>
      <c r="W17" s="300">
        <f t="shared" si="1"/>
        <v>21.49</v>
      </c>
      <c r="X17" s="333">
        <v>26.33</v>
      </c>
      <c r="Y17" s="334">
        <v>28.6</v>
      </c>
      <c r="Z17" s="334"/>
      <c r="AA17" s="335"/>
      <c r="AB17" s="300">
        <f t="shared" si="12"/>
        <v>54.93</v>
      </c>
      <c r="AC17" s="336">
        <v>31.47</v>
      </c>
      <c r="AD17" s="337"/>
      <c r="AE17" s="337"/>
      <c r="AF17" s="338"/>
      <c r="AG17" s="304">
        <f t="shared" si="13"/>
        <v>31.47</v>
      </c>
      <c r="AH17" s="336">
        <v>18.13</v>
      </c>
      <c r="AI17" s="337">
        <v>27.64</v>
      </c>
      <c r="AJ17" s="337"/>
      <c r="AK17" s="338"/>
      <c r="AL17" s="339">
        <f t="shared" si="56"/>
        <v>45.769999999999996</v>
      </c>
      <c r="AM17" s="32">
        <v>40.99</v>
      </c>
      <c r="AN17" s="33"/>
      <c r="AO17" s="33"/>
      <c r="AP17" s="340"/>
      <c r="AQ17" s="341">
        <f t="shared" si="57"/>
        <v>40.99</v>
      </c>
      <c r="AR17" s="32">
        <v>38.409999999999997</v>
      </c>
      <c r="AS17" s="33">
        <v>36.64</v>
      </c>
      <c r="AT17" s="33"/>
      <c r="AU17" s="340"/>
      <c r="AV17" s="342">
        <f t="shared" si="58"/>
        <v>75.05</v>
      </c>
      <c r="AW17" s="32">
        <v>27.49</v>
      </c>
      <c r="AX17" s="33">
        <v>48.83</v>
      </c>
      <c r="AY17" s="33"/>
      <c r="AZ17" s="340"/>
      <c r="BA17" s="342">
        <f t="shared" si="59"/>
        <v>76.319999999999993</v>
      </c>
      <c r="BB17" s="32">
        <f>40.57+0.9</f>
        <v>41.47</v>
      </c>
      <c r="BC17" s="33">
        <v>43.62</v>
      </c>
      <c r="BD17" s="33"/>
      <c r="BE17" s="340"/>
      <c r="BF17" s="342">
        <f t="shared" si="65"/>
        <v>85.09</v>
      </c>
      <c r="BG17" s="32">
        <f>43.99+1.96</f>
        <v>45.95</v>
      </c>
      <c r="BH17" s="33">
        <v>40.049999999999997</v>
      </c>
      <c r="BI17" s="33"/>
      <c r="BJ17" s="343"/>
      <c r="BK17" s="342">
        <f t="shared" si="60"/>
        <v>86</v>
      </c>
      <c r="BL17" s="32">
        <f>38.08+2.21</f>
        <v>40.29</v>
      </c>
      <c r="BM17" s="33">
        <v>23.09</v>
      </c>
      <c r="BN17" s="33"/>
      <c r="BO17" s="343"/>
      <c r="BP17" s="341">
        <f t="shared" si="61"/>
        <v>63.379999999999995</v>
      </c>
      <c r="BQ17" s="32">
        <v>15.76</v>
      </c>
      <c r="BR17" s="43">
        <v>11.62</v>
      </c>
      <c r="BS17" s="43"/>
      <c r="BT17" s="853"/>
      <c r="BU17" s="854">
        <f t="shared" si="14"/>
        <v>27.38</v>
      </c>
      <c r="BV17" s="855">
        <v>8.0299999999999994</v>
      </c>
      <c r="BW17" s="43">
        <v>8.4600000000000009</v>
      </c>
      <c r="BX17" s="43">
        <v>8.7799999999999994</v>
      </c>
      <c r="BY17" s="853"/>
      <c r="BZ17" s="856">
        <f t="shared" si="15"/>
        <v>25.270000000000003</v>
      </c>
      <c r="CA17" s="857">
        <v>9.58</v>
      </c>
      <c r="CB17" s="858">
        <v>10.050000000000001</v>
      </c>
      <c r="CC17" s="858"/>
      <c r="CD17" s="859"/>
      <c r="CE17" s="860">
        <f t="shared" si="62"/>
        <v>19.630000000000003</v>
      </c>
      <c r="CF17" s="857">
        <v>24.76</v>
      </c>
      <c r="CG17" s="858">
        <v>11.9</v>
      </c>
      <c r="CH17" s="858">
        <v>4.0199999999999996</v>
      </c>
      <c r="CI17" s="859"/>
      <c r="CJ17" s="860">
        <f t="shared" si="63"/>
        <v>40.680000000000007</v>
      </c>
      <c r="CK17" s="857">
        <v>16.309999999999999</v>
      </c>
      <c r="CL17" s="858">
        <v>16.260000000000002</v>
      </c>
      <c r="CM17" s="858"/>
      <c r="CN17" s="859"/>
      <c r="CO17" s="860">
        <f t="shared" si="64"/>
        <v>32.57</v>
      </c>
      <c r="CP17" s="861">
        <v>7.81</v>
      </c>
      <c r="CQ17" s="411">
        <v>12.46</v>
      </c>
      <c r="CR17" s="411"/>
      <c r="CS17" s="862"/>
      <c r="CT17" s="863">
        <v>20.27</v>
      </c>
      <c r="CU17" s="861">
        <v>18.43</v>
      </c>
      <c r="CV17" s="411"/>
      <c r="CW17" s="411"/>
      <c r="CX17" s="862"/>
      <c r="CY17" s="863">
        <f t="shared" si="2"/>
        <v>18.43</v>
      </c>
      <c r="CZ17" s="861">
        <v>39.090000000000003</v>
      </c>
      <c r="DA17" s="411">
        <v>36.43</v>
      </c>
      <c r="DB17" s="411"/>
      <c r="DC17" s="862"/>
      <c r="DD17" s="863">
        <f t="shared" si="3"/>
        <v>75.52000000000001</v>
      </c>
      <c r="DE17" s="861">
        <v>12.53</v>
      </c>
      <c r="DF17" s="411">
        <v>51.49</v>
      </c>
      <c r="DG17" s="411"/>
      <c r="DH17" s="862"/>
      <c r="DI17" s="863">
        <f t="shared" si="4"/>
        <v>64.02</v>
      </c>
      <c r="DJ17" s="861">
        <v>72.98</v>
      </c>
      <c r="DK17" s="411"/>
      <c r="DL17" s="411"/>
      <c r="DM17" s="862"/>
      <c r="DN17" s="863">
        <f t="shared" si="16"/>
        <v>72.98</v>
      </c>
      <c r="DO17" s="861">
        <v>43.4</v>
      </c>
      <c r="DP17" s="411"/>
      <c r="DQ17" s="411"/>
      <c r="DR17" s="862"/>
      <c r="DS17" s="863">
        <f t="shared" si="17"/>
        <v>43.4</v>
      </c>
      <c r="DT17" s="861">
        <v>54.92</v>
      </c>
      <c r="DU17" s="411"/>
      <c r="DV17" s="411"/>
      <c r="DW17" s="862"/>
      <c r="DX17" s="863">
        <f t="shared" si="18"/>
        <v>54.92</v>
      </c>
      <c r="DY17" s="861">
        <v>27.94</v>
      </c>
      <c r="DZ17" s="411"/>
      <c r="EA17" s="411"/>
      <c r="EB17" s="862"/>
      <c r="EC17" s="863">
        <f t="shared" si="19"/>
        <v>27.94</v>
      </c>
      <c r="ED17" s="861">
        <v>17.43</v>
      </c>
      <c r="EE17" s="411">
        <v>16.46</v>
      </c>
      <c r="EF17" s="411"/>
      <c r="EG17" s="862"/>
      <c r="EH17" s="863">
        <f t="shared" si="20"/>
        <v>33.89</v>
      </c>
      <c r="EI17" s="861">
        <v>21.09</v>
      </c>
      <c r="EJ17" s="411">
        <v>25.84</v>
      </c>
      <c r="EK17" s="411"/>
      <c r="EL17" s="862"/>
      <c r="EM17" s="863">
        <f t="shared" si="21"/>
        <v>46.93</v>
      </c>
      <c r="EN17" s="861">
        <v>38.409999999999997</v>
      </c>
      <c r="EO17" s="411"/>
      <c r="EP17" s="411"/>
      <c r="EQ17" s="862"/>
      <c r="ER17" s="863">
        <f t="shared" si="22"/>
        <v>38.409999999999997</v>
      </c>
      <c r="ES17" s="861">
        <v>20.14</v>
      </c>
      <c r="ET17" s="411">
        <v>11.77</v>
      </c>
      <c r="EU17" s="411"/>
      <c r="EV17" s="862"/>
      <c r="EW17" s="863">
        <f t="shared" si="23"/>
        <v>31.91</v>
      </c>
      <c r="EX17" s="861">
        <v>14.49</v>
      </c>
      <c r="EY17" s="411">
        <v>18.260000000000002</v>
      </c>
      <c r="EZ17" s="411"/>
      <c r="FA17" s="862"/>
      <c r="FB17" s="863">
        <f t="shared" si="24"/>
        <v>32.75</v>
      </c>
      <c r="FC17" s="861">
        <v>14.98</v>
      </c>
      <c r="FD17" s="411">
        <v>20.03</v>
      </c>
      <c r="FE17" s="411"/>
      <c r="FF17" s="862"/>
      <c r="FG17" s="863">
        <f t="shared" si="25"/>
        <v>35.010000000000005</v>
      </c>
      <c r="FH17" s="861">
        <v>20.62</v>
      </c>
      <c r="FI17" s="411">
        <v>22.69</v>
      </c>
      <c r="FJ17" s="411"/>
      <c r="FK17" s="862"/>
      <c r="FL17" s="863">
        <f t="shared" si="26"/>
        <v>43.31</v>
      </c>
      <c r="FM17" s="861">
        <v>24.08</v>
      </c>
      <c r="FN17" s="411">
        <v>24.13</v>
      </c>
      <c r="FO17" s="411"/>
      <c r="FP17" s="862"/>
      <c r="FQ17" s="863">
        <f t="shared" si="27"/>
        <v>48.209999999999994</v>
      </c>
      <c r="FR17" s="861">
        <v>33.31</v>
      </c>
      <c r="FS17" s="411">
        <v>38.090000000000003</v>
      </c>
      <c r="FT17" s="411"/>
      <c r="FU17" s="862"/>
      <c r="FV17" s="863">
        <f t="shared" si="28"/>
        <v>71.400000000000006</v>
      </c>
      <c r="FW17" s="861">
        <v>30.59</v>
      </c>
      <c r="FX17" s="411">
        <v>19.39</v>
      </c>
      <c r="FY17" s="411"/>
      <c r="FZ17" s="862"/>
      <c r="GA17" s="863">
        <f t="shared" si="29"/>
        <v>49.980000000000004</v>
      </c>
      <c r="GB17" s="861">
        <v>23.36</v>
      </c>
      <c r="GC17" s="411">
        <v>21.89</v>
      </c>
      <c r="GD17" s="411"/>
      <c r="GE17" s="862"/>
      <c r="GF17" s="863">
        <f t="shared" si="30"/>
        <v>45.25</v>
      </c>
      <c r="GG17" s="346">
        <v>27.43</v>
      </c>
      <c r="GH17" s="347">
        <v>10.62</v>
      </c>
      <c r="GI17" s="347"/>
      <c r="GJ17" s="348"/>
      <c r="GK17" s="349">
        <f t="shared" si="31"/>
        <v>38.049999999999997</v>
      </c>
      <c r="GL17" s="346">
        <v>6.51</v>
      </c>
      <c r="GM17" s="347">
        <v>14.2</v>
      </c>
      <c r="GN17" s="347"/>
      <c r="GO17" s="348"/>
      <c r="GP17" s="349">
        <f t="shared" si="32"/>
        <v>20.71</v>
      </c>
      <c r="GQ17" s="346">
        <v>10.91</v>
      </c>
      <c r="GR17" s="347">
        <v>11.74</v>
      </c>
      <c r="GS17" s="347"/>
      <c r="GT17" s="348"/>
      <c r="GU17" s="349">
        <f t="shared" si="33"/>
        <v>22.65</v>
      </c>
      <c r="GV17" s="346">
        <v>21.23</v>
      </c>
      <c r="GW17" s="354"/>
      <c r="GX17" s="347"/>
      <c r="GY17" s="348"/>
      <c r="GZ17" s="349">
        <f t="shared" si="34"/>
        <v>21.23</v>
      </c>
      <c r="HA17" s="346">
        <v>10.46</v>
      </c>
      <c r="HB17" s="347">
        <v>10.23</v>
      </c>
      <c r="HC17" s="347">
        <v>7.88</v>
      </c>
      <c r="HD17" s="348"/>
      <c r="HE17" s="349">
        <f t="shared" si="35"/>
        <v>28.57</v>
      </c>
      <c r="HF17" s="346">
        <v>3.58</v>
      </c>
      <c r="HG17" s="347">
        <v>10.74</v>
      </c>
      <c r="HH17" s="347">
        <v>14.75</v>
      </c>
      <c r="HI17" s="348"/>
      <c r="HJ17" s="349">
        <f t="shared" si="36"/>
        <v>29.07</v>
      </c>
      <c r="HK17" s="346">
        <v>13.44</v>
      </c>
      <c r="HL17" s="347">
        <v>10</v>
      </c>
      <c r="HM17" s="347"/>
      <c r="HN17" s="348"/>
      <c r="HO17" s="349">
        <f t="shared" si="37"/>
        <v>23.439999999999998</v>
      </c>
      <c r="HP17" s="346">
        <v>11.36</v>
      </c>
      <c r="HQ17" s="347">
        <v>19.690000000000001</v>
      </c>
      <c r="HR17" s="347">
        <v>12.66</v>
      </c>
      <c r="HS17" s="348"/>
      <c r="HT17" s="349">
        <f t="shared" si="38"/>
        <v>43.71</v>
      </c>
      <c r="HU17" s="346">
        <v>14.56</v>
      </c>
      <c r="HV17" s="347">
        <v>45</v>
      </c>
      <c r="HW17" s="347"/>
      <c r="HX17" s="348"/>
      <c r="HY17" s="349">
        <f t="shared" si="39"/>
        <v>59.56</v>
      </c>
      <c r="HZ17" s="346">
        <f>57.03+6.73</f>
        <v>63.760000000000005</v>
      </c>
      <c r="IA17" s="352"/>
      <c r="IB17" s="347"/>
      <c r="IC17" s="348"/>
      <c r="ID17" s="349">
        <f t="shared" si="40"/>
        <v>63.760000000000005</v>
      </c>
      <c r="IE17" s="88">
        <v>33.729999999999997</v>
      </c>
      <c r="IF17" s="89">
        <f>39.77+2.99</f>
        <v>42.760000000000005</v>
      </c>
      <c r="IG17" s="89"/>
      <c r="IH17" s="345"/>
      <c r="II17" s="344">
        <f t="shared" si="41"/>
        <v>76.490000000000009</v>
      </c>
      <c r="IJ17" s="88">
        <v>27.91</v>
      </c>
      <c r="IK17" s="89">
        <v>34.54</v>
      </c>
      <c r="IL17" s="345"/>
      <c r="IM17" s="340"/>
      <c r="IN17" s="492">
        <f t="shared" si="42"/>
        <v>62.45</v>
      </c>
      <c r="IO17" s="492"/>
      <c r="IP17" s="886">
        <f t="shared" si="43"/>
        <v>489.69</v>
      </c>
      <c r="IQ17" s="501">
        <v>19.18</v>
      </c>
      <c r="IR17" s="353"/>
      <c r="IS17" s="33"/>
      <c r="IT17" s="340"/>
      <c r="IU17" s="342">
        <f t="shared" si="44"/>
        <v>19.18</v>
      </c>
      <c r="IV17" s="32">
        <v>24.99</v>
      </c>
      <c r="IW17" s="33">
        <v>9.57</v>
      </c>
      <c r="IX17" s="33"/>
      <c r="IY17" s="340"/>
      <c r="IZ17" s="342">
        <f t="shared" si="45"/>
        <v>34.56</v>
      </c>
      <c r="JA17" s="32">
        <v>18.71</v>
      </c>
      <c r="JB17" s="33">
        <v>20.52</v>
      </c>
      <c r="JC17" s="33"/>
      <c r="JD17" s="340"/>
      <c r="JE17" s="342">
        <f t="shared" si="46"/>
        <v>39.230000000000004</v>
      </c>
      <c r="JF17" s="32">
        <v>16.64</v>
      </c>
      <c r="JG17" s="353"/>
      <c r="JH17" s="33"/>
      <c r="JI17" s="340"/>
      <c r="JJ17" s="342">
        <f t="shared" si="47"/>
        <v>16.64</v>
      </c>
      <c r="JK17" s="32">
        <v>28.4</v>
      </c>
      <c r="JL17" s="33">
        <v>19.29</v>
      </c>
      <c r="JM17" s="33"/>
      <c r="JN17" s="340"/>
      <c r="JO17" s="342">
        <f t="shared" si="48"/>
        <v>47.69</v>
      </c>
      <c r="JP17" s="32">
        <v>17.399999999999999</v>
      </c>
      <c r="JQ17" s="33">
        <v>13.53</v>
      </c>
      <c r="JR17" s="33">
        <v>17.12</v>
      </c>
      <c r="JS17" s="340"/>
      <c r="JT17" s="342">
        <f t="shared" si="49"/>
        <v>48.05</v>
      </c>
      <c r="JU17" s="32">
        <v>15.24</v>
      </c>
      <c r="JV17" s="33">
        <v>17.86</v>
      </c>
      <c r="JW17" s="33"/>
      <c r="JX17" s="340"/>
      <c r="JY17" s="342">
        <f t="shared" si="50"/>
        <v>33.1</v>
      </c>
      <c r="JZ17" s="32">
        <v>14.03</v>
      </c>
      <c r="KA17" s="33">
        <v>15.11</v>
      </c>
      <c r="KB17" s="33">
        <v>14.22</v>
      </c>
      <c r="KC17" s="340"/>
      <c r="KD17" s="342">
        <f t="shared" si="51"/>
        <v>43.36</v>
      </c>
      <c r="KE17" s="32">
        <v>20.07</v>
      </c>
      <c r="KF17" s="33">
        <v>18.03</v>
      </c>
      <c r="KG17" s="33">
        <v>0</v>
      </c>
      <c r="KH17" s="340">
        <v>0</v>
      </c>
      <c r="KI17" s="342">
        <f t="shared" si="52"/>
        <v>38.1</v>
      </c>
      <c r="KJ17" s="32">
        <v>28.06</v>
      </c>
      <c r="KK17" s="33">
        <v>40.119999999999997</v>
      </c>
      <c r="KL17" s="33">
        <v>0</v>
      </c>
      <c r="KM17" s="340">
        <v>0</v>
      </c>
      <c r="KN17" s="342">
        <f t="shared" si="53"/>
        <v>68.179999999999993</v>
      </c>
      <c r="KO17" s="32">
        <v>36.72</v>
      </c>
      <c r="KP17" s="33">
        <v>28.3</v>
      </c>
      <c r="KQ17" s="33">
        <v>0</v>
      </c>
      <c r="KR17" s="340">
        <v>0</v>
      </c>
      <c r="KS17" s="342">
        <f t="shared" si="54"/>
        <v>65.02</v>
      </c>
      <c r="KT17" s="32">
        <f t="shared" si="5"/>
        <v>33.010000000000005</v>
      </c>
      <c r="KU17" s="33">
        <f t="shared" si="6"/>
        <v>0</v>
      </c>
      <c r="KV17" s="33">
        <f t="shared" si="7"/>
        <v>0</v>
      </c>
      <c r="KW17" s="340">
        <f t="shared" si="8"/>
        <v>0</v>
      </c>
      <c r="KX17" s="342">
        <f t="shared" si="9"/>
        <v>33.010000000000005</v>
      </c>
      <c r="KZ17" s="507">
        <f t="shared" si="55"/>
        <v>486.12</v>
      </c>
    </row>
    <row r="18" spans="1:312" ht="15.75" x14ac:dyDescent="0.25">
      <c r="A18" s="325"/>
      <c r="B18" s="326">
        <v>11</v>
      </c>
      <c r="C18" s="327">
        <v>44.5</v>
      </c>
      <c r="D18" s="328"/>
      <c r="E18" s="329"/>
      <c r="F18" s="330"/>
      <c r="G18" s="331"/>
      <c r="H18" s="332">
        <f t="shared" si="10"/>
        <v>0</v>
      </c>
      <c r="I18" s="333">
        <v>68.66</v>
      </c>
      <c r="J18" s="334">
        <v>30.12</v>
      </c>
      <c r="K18" s="334"/>
      <c r="L18" s="335"/>
      <c r="M18" s="300">
        <f t="shared" si="11"/>
        <v>98.78</v>
      </c>
      <c r="N18" s="333">
        <v>12.27</v>
      </c>
      <c r="O18" s="334">
        <v>34.67</v>
      </c>
      <c r="P18" s="334"/>
      <c r="Q18" s="335"/>
      <c r="R18" s="300">
        <f t="shared" si="0"/>
        <v>46.94</v>
      </c>
      <c r="S18" s="333">
        <v>40.89</v>
      </c>
      <c r="T18" s="334"/>
      <c r="U18" s="334"/>
      <c r="V18" s="335"/>
      <c r="W18" s="300">
        <f t="shared" si="1"/>
        <v>40.89</v>
      </c>
      <c r="X18" s="333">
        <v>44.43</v>
      </c>
      <c r="Y18" s="334"/>
      <c r="Z18" s="334"/>
      <c r="AA18" s="335"/>
      <c r="AB18" s="300">
        <f t="shared" si="12"/>
        <v>44.43</v>
      </c>
      <c r="AC18" s="336">
        <v>43.12</v>
      </c>
      <c r="AD18" s="337">
        <v>33.67</v>
      </c>
      <c r="AE18" s="337"/>
      <c r="AF18" s="338"/>
      <c r="AG18" s="304">
        <f t="shared" si="13"/>
        <v>76.789999999999992</v>
      </c>
      <c r="AH18" s="336">
        <v>29.22</v>
      </c>
      <c r="AI18" s="337">
        <v>21.29</v>
      </c>
      <c r="AJ18" s="337"/>
      <c r="AK18" s="338"/>
      <c r="AL18" s="339">
        <f t="shared" si="56"/>
        <v>50.51</v>
      </c>
      <c r="AM18" s="32">
        <v>14.24</v>
      </c>
      <c r="AN18" s="33">
        <v>33.51</v>
      </c>
      <c r="AO18" s="33"/>
      <c r="AP18" s="340"/>
      <c r="AQ18" s="341">
        <f t="shared" si="57"/>
        <v>47.75</v>
      </c>
      <c r="AR18" s="32">
        <v>33.619999999999997</v>
      </c>
      <c r="AS18" s="33">
        <v>33.49</v>
      </c>
      <c r="AT18" s="33"/>
      <c r="AU18" s="340"/>
      <c r="AV18" s="342">
        <f t="shared" si="58"/>
        <v>67.11</v>
      </c>
      <c r="AW18" s="32">
        <v>50.26</v>
      </c>
      <c r="AX18" s="33">
        <v>10.23</v>
      </c>
      <c r="AY18" s="33"/>
      <c r="AZ18" s="340"/>
      <c r="BA18" s="342">
        <f t="shared" si="59"/>
        <v>60.489999999999995</v>
      </c>
      <c r="BB18" s="32">
        <v>30.95</v>
      </c>
      <c r="BC18" s="33">
        <f>43.53+1.52</f>
        <v>45.050000000000004</v>
      </c>
      <c r="BD18" s="33"/>
      <c r="BE18" s="340"/>
      <c r="BF18" s="342">
        <f t="shared" si="65"/>
        <v>76</v>
      </c>
      <c r="BG18" s="32">
        <f>46.33+2.18</f>
        <v>48.51</v>
      </c>
      <c r="BH18" s="33">
        <v>43.82</v>
      </c>
      <c r="BI18" s="33"/>
      <c r="BJ18" s="343"/>
      <c r="BK18" s="342">
        <f t="shared" si="60"/>
        <v>92.33</v>
      </c>
      <c r="BL18" s="32">
        <f>41.28+2.66</f>
        <v>43.94</v>
      </c>
      <c r="BM18" s="33"/>
      <c r="BN18" s="33"/>
      <c r="BO18" s="343"/>
      <c r="BP18" s="341">
        <f t="shared" si="61"/>
        <v>43.94</v>
      </c>
      <c r="BQ18" s="32">
        <v>26.39</v>
      </c>
      <c r="BR18" s="43">
        <v>15.48</v>
      </c>
      <c r="BS18" s="43">
        <v>7.32</v>
      </c>
      <c r="BT18" s="853"/>
      <c r="BU18" s="854">
        <f t="shared" si="14"/>
        <v>49.190000000000005</v>
      </c>
      <c r="BV18" s="855">
        <v>10.38</v>
      </c>
      <c r="BW18" s="43">
        <v>9.7100000000000009</v>
      </c>
      <c r="BX18" s="43"/>
      <c r="BY18" s="853"/>
      <c r="BZ18" s="856">
        <f t="shared" si="15"/>
        <v>20.090000000000003</v>
      </c>
      <c r="CA18" s="857">
        <v>9.76</v>
      </c>
      <c r="CB18" s="858">
        <v>14.41</v>
      </c>
      <c r="CC18" s="858">
        <v>13.13</v>
      </c>
      <c r="CD18" s="859"/>
      <c r="CE18" s="860">
        <f t="shared" si="62"/>
        <v>37.300000000000004</v>
      </c>
      <c r="CF18" s="857">
        <v>18.28</v>
      </c>
      <c r="CG18" s="858">
        <v>20.98</v>
      </c>
      <c r="CH18" s="858">
        <v>24.58</v>
      </c>
      <c r="CI18" s="859"/>
      <c r="CJ18" s="860">
        <f t="shared" si="63"/>
        <v>63.84</v>
      </c>
      <c r="CK18" s="857">
        <v>26.68</v>
      </c>
      <c r="CL18" s="858">
        <v>20.59</v>
      </c>
      <c r="CM18" s="858"/>
      <c r="CN18" s="859"/>
      <c r="CO18" s="860">
        <f t="shared" si="64"/>
        <v>47.269999999999996</v>
      </c>
      <c r="CP18" s="861">
        <v>12.87</v>
      </c>
      <c r="CQ18" s="411">
        <v>16.96</v>
      </c>
      <c r="CR18" s="411"/>
      <c r="CS18" s="862"/>
      <c r="CT18" s="863">
        <v>29.83</v>
      </c>
      <c r="CU18" s="861">
        <v>22.3</v>
      </c>
      <c r="CV18" s="411"/>
      <c r="CW18" s="411"/>
      <c r="CX18" s="862"/>
      <c r="CY18" s="863">
        <f t="shared" si="2"/>
        <v>22.3</v>
      </c>
      <c r="CZ18" s="861">
        <v>36.81</v>
      </c>
      <c r="DA18" s="411"/>
      <c r="DB18" s="411"/>
      <c r="DC18" s="862"/>
      <c r="DD18" s="863">
        <f t="shared" si="3"/>
        <v>36.81</v>
      </c>
      <c r="DE18" s="861">
        <v>37.65</v>
      </c>
      <c r="DF18" s="411">
        <v>50.19</v>
      </c>
      <c r="DG18" s="411"/>
      <c r="DH18" s="862"/>
      <c r="DI18" s="863">
        <f t="shared" si="4"/>
        <v>87.84</v>
      </c>
      <c r="DJ18" s="861">
        <v>59.98</v>
      </c>
      <c r="DK18" s="411"/>
      <c r="DL18" s="411"/>
      <c r="DM18" s="862"/>
      <c r="DN18" s="863">
        <f t="shared" si="16"/>
        <v>59.98</v>
      </c>
      <c r="DO18" s="861">
        <v>50.51</v>
      </c>
      <c r="DP18" s="411">
        <v>34.61</v>
      </c>
      <c r="DQ18" s="411"/>
      <c r="DR18" s="862"/>
      <c r="DS18" s="863">
        <f t="shared" si="17"/>
        <v>85.12</v>
      </c>
      <c r="DT18" s="861">
        <v>30.54</v>
      </c>
      <c r="DU18" s="411">
        <v>27.77</v>
      </c>
      <c r="DV18" s="411"/>
      <c r="DW18" s="862"/>
      <c r="DX18" s="863">
        <f t="shared" si="18"/>
        <v>58.31</v>
      </c>
      <c r="DY18" s="861">
        <v>31.57</v>
      </c>
      <c r="DZ18" s="411">
        <v>7.09</v>
      </c>
      <c r="EA18" s="411"/>
      <c r="EB18" s="862"/>
      <c r="EC18" s="863">
        <f t="shared" si="19"/>
        <v>38.659999999999997</v>
      </c>
      <c r="ED18" s="861">
        <v>19.11</v>
      </c>
      <c r="EE18" s="411">
        <v>13.62</v>
      </c>
      <c r="EF18" s="411"/>
      <c r="EG18" s="862"/>
      <c r="EH18" s="863">
        <f t="shared" si="20"/>
        <v>32.729999999999997</v>
      </c>
      <c r="EI18" s="861">
        <v>30.15</v>
      </c>
      <c r="EJ18" s="411">
        <v>6.8</v>
      </c>
      <c r="EK18" s="411"/>
      <c r="EL18" s="862"/>
      <c r="EM18" s="863">
        <f t="shared" si="21"/>
        <v>36.949999999999996</v>
      </c>
      <c r="EN18" s="861">
        <v>27.01</v>
      </c>
      <c r="EO18" s="411">
        <v>23.07</v>
      </c>
      <c r="EP18" s="411">
        <v>32.67</v>
      </c>
      <c r="EQ18" s="862"/>
      <c r="ER18" s="863">
        <f t="shared" si="22"/>
        <v>82.75</v>
      </c>
      <c r="ES18" s="861">
        <v>25.52</v>
      </c>
      <c r="ET18" s="411">
        <v>23.14</v>
      </c>
      <c r="EU18" s="411"/>
      <c r="EV18" s="862"/>
      <c r="EW18" s="863">
        <f t="shared" si="23"/>
        <v>48.66</v>
      </c>
      <c r="EX18" s="861">
        <v>26.37</v>
      </c>
      <c r="EY18" s="411">
        <v>22.06</v>
      </c>
      <c r="EZ18" s="411"/>
      <c r="FA18" s="862"/>
      <c r="FB18" s="863">
        <f t="shared" si="24"/>
        <v>48.43</v>
      </c>
      <c r="FC18" s="861">
        <v>26.02</v>
      </c>
      <c r="FD18" s="411">
        <v>28.42</v>
      </c>
      <c r="FE18" s="411"/>
      <c r="FF18" s="862"/>
      <c r="FG18" s="863">
        <f t="shared" si="25"/>
        <v>54.44</v>
      </c>
      <c r="FH18" s="861">
        <v>29.42</v>
      </c>
      <c r="FI18" s="411">
        <v>31.82</v>
      </c>
      <c r="FJ18" s="411"/>
      <c r="FK18" s="862"/>
      <c r="FL18" s="863">
        <f t="shared" si="26"/>
        <v>61.24</v>
      </c>
      <c r="FM18" s="861">
        <v>31.6</v>
      </c>
      <c r="FN18" s="411">
        <v>27.45</v>
      </c>
      <c r="FO18" s="411"/>
      <c r="FP18" s="862"/>
      <c r="FQ18" s="863">
        <f t="shared" si="27"/>
        <v>59.05</v>
      </c>
      <c r="FR18" s="861">
        <v>33.4</v>
      </c>
      <c r="FS18" s="411">
        <v>25.76</v>
      </c>
      <c r="FT18" s="411"/>
      <c r="FU18" s="862"/>
      <c r="FV18" s="863">
        <f t="shared" si="28"/>
        <v>59.16</v>
      </c>
      <c r="FW18" s="861">
        <v>28.49</v>
      </c>
      <c r="FX18" s="882"/>
      <c r="FY18" s="411"/>
      <c r="FZ18" s="862"/>
      <c r="GA18" s="863">
        <f t="shared" si="29"/>
        <v>28.49</v>
      </c>
      <c r="GB18" s="861">
        <v>24.62</v>
      </c>
      <c r="GC18" s="411">
        <v>21.9</v>
      </c>
      <c r="GD18" s="411">
        <v>8.01</v>
      </c>
      <c r="GE18" s="862"/>
      <c r="GF18" s="863">
        <f t="shared" si="30"/>
        <v>54.529999999999994</v>
      </c>
      <c r="GG18" s="346">
        <v>26.05</v>
      </c>
      <c r="GH18" s="347">
        <v>3.74</v>
      </c>
      <c r="GI18" s="347"/>
      <c r="GJ18" s="348"/>
      <c r="GK18" s="349">
        <f t="shared" si="31"/>
        <v>29.79</v>
      </c>
      <c r="GL18" s="346">
        <v>17.71</v>
      </c>
      <c r="GM18" s="347">
        <v>13.73</v>
      </c>
      <c r="GN18" s="347"/>
      <c r="GO18" s="348"/>
      <c r="GP18" s="349">
        <f t="shared" si="32"/>
        <v>31.44</v>
      </c>
      <c r="GQ18" s="346">
        <v>11.6</v>
      </c>
      <c r="GR18" s="347">
        <v>7.36</v>
      </c>
      <c r="GS18" s="347">
        <v>11.3</v>
      </c>
      <c r="GT18" s="348"/>
      <c r="GU18" s="349">
        <f t="shared" si="33"/>
        <v>30.26</v>
      </c>
      <c r="GV18" s="346">
        <v>37.340000000000003</v>
      </c>
      <c r="GW18" s="354"/>
      <c r="GX18" s="347"/>
      <c r="GY18" s="348"/>
      <c r="GZ18" s="349">
        <f t="shared" si="34"/>
        <v>37.340000000000003</v>
      </c>
      <c r="HA18" s="346">
        <v>15.38</v>
      </c>
      <c r="HB18" s="347">
        <v>17.77</v>
      </c>
      <c r="HC18" s="347">
        <v>20.63</v>
      </c>
      <c r="HD18" s="348"/>
      <c r="HE18" s="349">
        <f t="shared" si="35"/>
        <v>53.78</v>
      </c>
      <c r="HF18" s="346">
        <v>13.56</v>
      </c>
      <c r="HG18" s="347">
        <v>17.32</v>
      </c>
      <c r="HH18" s="347"/>
      <c r="HI18" s="348"/>
      <c r="HJ18" s="349">
        <f t="shared" si="36"/>
        <v>30.880000000000003</v>
      </c>
      <c r="HK18" s="346">
        <v>17.920000000000002</v>
      </c>
      <c r="HL18" s="347">
        <v>6.9</v>
      </c>
      <c r="HM18" s="347"/>
      <c r="HN18" s="348"/>
      <c r="HO18" s="349">
        <f t="shared" si="37"/>
        <v>24.82</v>
      </c>
      <c r="HP18" s="346">
        <v>43.08</v>
      </c>
      <c r="HQ18" s="352"/>
      <c r="HR18" s="347"/>
      <c r="HS18" s="348"/>
      <c r="HT18" s="349">
        <f t="shared" si="38"/>
        <v>43.08</v>
      </c>
      <c r="HU18" s="346">
        <v>48.81</v>
      </c>
      <c r="HV18" s="347">
        <v>49.45</v>
      </c>
      <c r="HW18" s="347"/>
      <c r="HX18" s="348"/>
      <c r="HY18" s="349">
        <f t="shared" si="39"/>
        <v>98.26</v>
      </c>
      <c r="HZ18" s="346">
        <f>43.64+1.69</f>
        <v>45.33</v>
      </c>
      <c r="IA18" s="352"/>
      <c r="IB18" s="347"/>
      <c r="IC18" s="348"/>
      <c r="ID18" s="349">
        <f t="shared" si="40"/>
        <v>45.33</v>
      </c>
      <c r="IE18" s="88">
        <f>33.98+3.57</f>
        <v>37.549999999999997</v>
      </c>
      <c r="IF18" s="89">
        <f>24.27+0.414</f>
        <v>24.684000000000001</v>
      </c>
      <c r="IG18" s="89"/>
      <c r="IH18" s="345"/>
      <c r="II18" s="344">
        <f t="shared" si="41"/>
        <v>62.233999999999995</v>
      </c>
      <c r="IJ18" s="88">
        <v>29.38</v>
      </c>
      <c r="IK18" s="89">
        <v>22.62</v>
      </c>
      <c r="IL18" s="345"/>
      <c r="IM18" s="340"/>
      <c r="IN18" s="492">
        <f t="shared" si="42"/>
        <v>52</v>
      </c>
      <c r="IO18" s="492"/>
      <c r="IP18" s="886">
        <f t="shared" si="43"/>
        <v>539.21399999999994</v>
      </c>
      <c r="IQ18" s="501">
        <v>20.73</v>
      </c>
      <c r="IR18" s="33">
        <v>20.350000000000001</v>
      </c>
      <c r="IS18" s="33"/>
      <c r="IT18" s="340"/>
      <c r="IU18" s="342">
        <f t="shared" si="44"/>
        <v>41.08</v>
      </c>
      <c r="IV18" s="32">
        <v>12.6</v>
      </c>
      <c r="IW18" s="33">
        <v>9.68</v>
      </c>
      <c r="IX18" s="33">
        <v>4.78</v>
      </c>
      <c r="IY18" s="340"/>
      <c r="IZ18" s="342">
        <f t="shared" si="45"/>
        <v>27.060000000000002</v>
      </c>
      <c r="JA18" s="32">
        <v>3.89</v>
      </c>
      <c r="JB18" s="33">
        <v>7.09</v>
      </c>
      <c r="JC18" s="33">
        <v>29.59</v>
      </c>
      <c r="JD18" s="340"/>
      <c r="JE18" s="342">
        <f t="shared" si="46"/>
        <v>40.57</v>
      </c>
      <c r="JF18" s="32">
        <v>35.96</v>
      </c>
      <c r="JG18" s="353"/>
      <c r="JH18" s="33"/>
      <c r="JI18" s="340"/>
      <c r="JJ18" s="342">
        <f t="shared" si="47"/>
        <v>35.96</v>
      </c>
      <c r="JK18" s="32">
        <v>28.43</v>
      </c>
      <c r="JL18" s="33">
        <v>17.93</v>
      </c>
      <c r="JM18" s="33">
        <v>5.04</v>
      </c>
      <c r="JN18" s="340"/>
      <c r="JO18" s="342">
        <f t="shared" si="48"/>
        <v>51.4</v>
      </c>
      <c r="JP18" s="32">
        <v>18.09</v>
      </c>
      <c r="JQ18" s="33">
        <v>13.65</v>
      </c>
      <c r="JR18" s="33">
        <v>12.36</v>
      </c>
      <c r="JS18" s="340"/>
      <c r="JT18" s="342">
        <f t="shared" si="49"/>
        <v>44.1</v>
      </c>
      <c r="JU18" s="32">
        <v>11.23</v>
      </c>
      <c r="JV18" s="33">
        <v>19.920000000000002</v>
      </c>
      <c r="JW18" s="33">
        <v>16.2</v>
      </c>
      <c r="JX18" s="340"/>
      <c r="JY18" s="342">
        <f t="shared" si="50"/>
        <v>47.35</v>
      </c>
      <c r="JZ18" s="32">
        <v>18.48</v>
      </c>
      <c r="KA18" s="33">
        <v>25.18</v>
      </c>
      <c r="KB18" s="33">
        <v>7.44</v>
      </c>
      <c r="KC18" s="340"/>
      <c r="KD18" s="342">
        <f t="shared" si="51"/>
        <v>51.099999999999994</v>
      </c>
      <c r="KE18" s="32">
        <v>6.15</v>
      </c>
      <c r="KF18" s="33">
        <v>27.300000000000004</v>
      </c>
      <c r="KG18" s="33">
        <v>17.57</v>
      </c>
      <c r="KH18" s="340">
        <v>0</v>
      </c>
      <c r="KI18" s="342">
        <f t="shared" si="52"/>
        <v>51.02</v>
      </c>
      <c r="KJ18" s="32">
        <v>25.83</v>
      </c>
      <c r="KK18" s="33">
        <v>38.109999999999992</v>
      </c>
      <c r="KL18" s="33">
        <v>0</v>
      </c>
      <c r="KM18" s="340">
        <v>0</v>
      </c>
      <c r="KN18" s="342">
        <f t="shared" si="53"/>
        <v>63.939999999999991</v>
      </c>
      <c r="KO18" s="32">
        <v>39.799999999999997</v>
      </c>
      <c r="KP18" s="33">
        <v>4.09</v>
      </c>
      <c r="KQ18" s="33">
        <v>0</v>
      </c>
      <c r="KR18" s="340">
        <v>0</v>
      </c>
      <c r="KS18" s="342">
        <f t="shared" si="54"/>
        <v>43.89</v>
      </c>
      <c r="KT18" s="32">
        <f t="shared" si="5"/>
        <v>32.42</v>
      </c>
      <c r="KU18" s="33">
        <f t="shared" si="6"/>
        <v>0</v>
      </c>
      <c r="KV18" s="33">
        <f t="shared" si="7"/>
        <v>0</v>
      </c>
      <c r="KW18" s="340">
        <f t="shared" si="8"/>
        <v>0</v>
      </c>
      <c r="KX18" s="342">
        <f t="shared" si="9"/>
        <v>32.42</v>
      </c>
      <c r="KZ18" s="507">
        <f t="shared" si="55"/>
        <v>529.89</v>
      </c>
    </row>
    <row r="19" spans="1:312" ht="15.75" x14ac:dyDescent="0.25">
      <c r="A19" s="325"/>
      <c r="B19" s="326">
        <v>12</v>
      </c>
      <c r="C19" s="327">
        <v>71</v>
      </c>
      <c r="D19" s="328">
        <v>43.54</v>
      </c>
      <c r="E19" s="329">
        <v>85.1</v>
      </c>
      <c r="F19" s="330"/>
      <c r="G19" s="331"/>
      <c r="H19" s="332">
        <f t="shared" si="10"/>
        <v>128.63999999999999</v>
      </c>
      <c r="I19" s="333">
        <v>6.21</v>
      </c>
      <c r="J19" s="334"/>
      <c r="K19" s="334"/>
      <c r="L19" s="335"/>
      <c r="M19" s="300">
        <f t="shared" si="11"/>
        <v>6.21</v>
      </c>
      <c r="N19" s="333">
        <v>89.68</v>
      </c>
      <c r="O19" s="334"/>
      <c r="P19" s="334"/>
      <c r="Q19" s="335"/>
      <c r="R19" s="300">
        <f t="shared" si="0"/>
        <v>89.68</v>
      </c>
      <c r="S19" s="333">
        <v>48.52</v>
      </c>
      <c r="T19" s="334">
        <v>54.27</v>
      </c>
      <c r="U19" s="334"/>
      <c r="V19" s="335"/>
      <c r="W19" s="300">
        <f t="shared" si="1"/>
        <v>102.79</v>
      </c>
      <c r="X19" s="333">
        <v>65.7</v>
      </c>
      <c r="Y19" s="334"/>
      <c r="Z19" s="334"/>
      <c r="AA19" s="335"/>
      <c r="AB19" s="300">
        <f t="shared" si="12"/>
        <v>65.7</v>
      </c>
      <c r="AC19" s="336">
        <v>66.069999999999993</v>
      </c>
      <c r="AD19" s="337">
        <v>56.38</v>
      </c>
      <c r="AE19" s="337"/>
      <c r="AF19" s="338"/>
      <c r="AG19" s="304">
        <f t="shared" si="13"/>
        <v>122.44999999999999</v>
      </c>
      <c r="AH19" s="336">
        <v>33.700000000000003</v>
      </c>
      <c r="AI19" s="337"/>
      <c r="AJ19" s="337"/>
      <c r="AK19" s="338"/>
      <c r="AL19" s="339">
        <f t="shared" si="56"/>
        <v>33.700000000000003</v>
      </c>
      <c r="AM19" s="32">
        <v>61.76</v>
      </c>
      <c r="AN19" s="33">
        <v>58.35</v>
      </c>
      <c r="AO19" s="33"/>
      <c r="AP19" s="340"/>
      <c r="AQ19" s="341">
        <f t="shared" si="57"/>
        <v>120.11</v>
      </c>
      <c r="AR19" s="32">
        <v>79.31</v>
      </c>
      <c r="AS19" s="33">
        <v>52.15</v>
      </c>
      <c r="AT19" s="33"/>
      <c r="AU19" s="340"/>
      <c r="AV19" s="342">
        <f t="shared" si="58"/>
        <v>131.46</v>
      </c>
      <c r="AW19" s="32">
        <v>54.72</v>
      </c>
      <c r="AX19" s="33">
        <v>78.08</v>
      </c>
      <c r="AY19" s="33"/>
      <c r="AZ19" s="340"/>
      <c r="BA19" s="342">
        <f t="shared" si="59"/>
        <v>132.80000000000001</v>
      </c>
      <c r="BB19" s="32">
        <f>75.61+1.78</f>
        <v>77.39</v>
      </c>
      <c r="BC19" s="33">
        <v>79.14</v>
      </c>
      <c r="BD19" s="33"/>
      <c r="BE19" s="340"/>
      <c r="BF19" s="342">
        <f t="shared" si="65"/>
        <v>156.53</v>
      </c>
      <c r="BG19" s="32">
        <f>83.29+7.72</f>
        <v>91.01</v>
      </c>
      <c r="BH19" s="33"/>
      <c r="BI19" s="33"/>
      <c r="BJ19" s="343"/>
      <c r="BK19" s="342">
        <f t="shared" si="60"/>
        <v>91.01</v>
      </c>
      <c r="BL19" s="32">
        <f>80.58+5.53</f>
        <v>86.11</v>
      </c>
      <c r="BM19" s="33">
        <v>66.63</v>
      </c>
      <c r="BN19" s="33"/>
      <c r="BO19" s="343"/>
      <c r="BP19" s="341">
        <f t="shared" si="61"/>
        <v>152.74</v>
      </c>
      <c r="BQ19" s="32">
        <f>42.71+4.25</f>
        <v>46.96</v>
      </c>
      <c r="BR19" s="43">
        <v>36.880000000000003</v>
      </c>
      <c r="BS19" s="43">
        <v>20.079999999999998</v>
      </c>
      <c r="BT19" s="853"/>
      <c r="BU19" s="854">
        <f t="shared" si="14"/>
        <v>103.92</v>
      </c>
      <c r="BV19" s="855">
        <v>19.95</v>
      </c>
      <c r="BW19" s="43">
        <v>21.87</v>
      </c>
      <c r="BX19" s="43"/>
      <c r="BY19" s="853"/>
      <c r="BZ19" s="856">
        <f t="shared" si="15"/>
        <v>41.82</v>
      </c>
      <c r="CA19" s="857">
        <v>24.83</v>
      </c>
      <c r="CB19" s="858">
        <v>26.51</v>
      </c>
      <c r="CC19" s="858">
        <v>17.86</v>
      </c>
      <c r="CD19" s="859"/>
      <c r="CE19" s="860">
        <f t="shared" si="62"/>
        <v>69.2</v>
      </c>
      <c r="CF19" s="857">
        <v>24.02</v>
      </c>
      <c r="CG19" s="858">
        <v>30.62</v>
      </c>
      <c r="CH19" s="858">
        <v>8.0299999999999994</v>
      </c>
      <c r="CI19" s="859"/>
      <c r="CJ19" s="860">
        <f t="shared" si="63"/>
        <v>62.67</v>
      </c>
      <c r="CK19" s="857">
        <v>31.96</v>
      </c>
      <c r="CL19" s="858">
        <v>41.31</v>
      </c>
      <c r="CM19" s="858">
        <v>23.36</v>
      </c>
      <c r="CN19" s="859"/>
      <c r="CO19" s="860">
        <f t="shared" si="64"/>
        <v>96.63000000000001</v>
      </c>
      <c r="CP19" s="861">
        <v>3.88</v>
      </c>
      <c r="CQ19" s="411">
        <v>27.28</v>
      </c>
      <c r="CR19" s="411">
        <v>26.08</v>
      </c>
      <c r="CS19" s="862"/>
      <c r="CT19" s="863">
        <v>57.239999999999995</v>
      </c>
      <c r="CU19" s="861">
        <v>43.55</v>
      </c>
      <c r="CV19" s="411"/>
      <c r="CW19" s="411"/>
      <c r="CX19" s="862"/>
      <c r="CY19" s="863">
        <f t="shared" si="2"/>
        <v>43.55</v>
      </c>
      <c r="CZ19" s="861">
        <v>58.84</v>
      </c>
      <c r="DA19" s="411"/>
      <c r="DB19" s="411"/>
      <c r="DC19" s="862"/>
      <c r="DD19" s="863">
        <f t="shared" si="3"/>
        <v>58.84</v>
      </c>
      <c r="DE19" s="861">
        <v>81.45</v>
      </c>
      <c r="DF19" s="411"/>
      <c r="DG19" s="411"/>
      <c r="DH19" s="862"/>
      <c r="DI19" s="863">
        <f t="shared" si="4"/>
        <v>81.45</v>
      </c>
      <c r="DJ19" s="861">
        <v>111.53</v>
      </c>
      <c r="DK19" s="411">
        <v>28.35</v>
      </c>
      <c r="DL19" s="411"/>
      <c r="DM19" s="862"/>
      <c r="DN19" s="863">
        <f t="shared" si="16"/>
        <v>139.88</v>
      </c>
      <c r="DO19" s="861">
        <v>122.47</v>
      </c>
      <c r="DP19" s="411"/>
      <c r="DQ19" s="411"/>
      <c r="DR19" s="862"/>
      <c r="DS19" s="863">
        <f t="shared" si="17"/>
        <v>122.47</v>
      </c>
      <c r="DT19" s="861">
        <v>118.78</v>
      </c>
      <c r="DU19" s="411">
        <v>61.75</v>
      </c>
      <c r="DV19" s="411"/>
      <c r="DW19" s="862"/>
      <c r="DX19" s="863">
        <f t="shared" si="18"/>
        <v>180.53</v>
      </c>
      <c r="DY19" s="861">
        <v>64.150000000000006</v>
      </c>
      <c r="DZ19" s="411"/>
      <c r="EA19" s="411"/>
      <c r="EB19" s="862"/>
      <c r="EC19" s="863">
        <f t="shared" si="19"/>
        <v>64.150000000000006</v>
      </c>
      <c r="ED19" s="861">
        <v>41.5</v>
      </c>
      <c r="EE19" s="411">
        <v>31.87</v>
      </c>
      <c r="EF19" s="411"/>
      <c r="EG19" s="862"/>
      <c r="EH19" s="863">
        <f t="shared" si="20"/>
        <v>73.37</v>
      </c>
      <c r="EI19" s="861">
        <v>41.5</v>
      </c>
      <c r="EJ19" s="411">
        <v>24.55</v>
      </c>
      <c r="EK19" s="411"/>
      <c r="EL19" s="862"/>
      <c r="EM19" s="863">
        <f t="shared" si="21"/>
        <v>66.05</v>
      </c>
      <c r="EN19" s="861">
        <v>39.06</v>
      </c>
      <c r="EO19" s="411">
        <v>33.29</v>
      </c>
      <c r="EP19" s="411"/>
      <c r="EQ19" s="862"/>
      <c r="ER19" s="863">
        <f t="shared" si="22"/>
        <v>72.349999999999994</v>
      </c>
      <c r="ES19" s="861">
        <v>69.09</v>
      </c>
      <c r="ET19" s="411"/>
      <c r="EU19" s="411"/>
      <c r="EV19" s="862"/>
      <c r="EW19" s="863">
        <f t="shared" si="23"/>
        <v>69.09</v>
      </c>
      <c r="EX19" s="861">
        <v>50.13</v>
      </c>
      <c r="EY19" s="411">
        <v>27.43</v>
      </c>
      <c r="EZ19" s="411"/>
      <c r="FA19" s="862"/>
      <c r="FB19" s="863">
        <f t="shared" si="24"/>
        <v>77.56</v>
      </c>
      <c r="FC19" s="861">
        <v>47.09</v>
      </c>
      <c r="FD19" s="411">
        <v>30.67</v>
      </c>
      <c r="FE19" s="411"/>
      <c r="FF19" s="862"/>
      <c r="FG19" s="863">
        <f t="shared" si="25"/>
        <v>77.760000000000005</v>
      </c>
      <c r="FH19" s="861">
        <v>37.92</v>
      </c>
      <c r="FI19" s="411">
        <v>36.65</v>
      </c>
      <c r="FJ19" s="411"/>
      <c r="FK19" s="862"/>
      <c r="FL19" s="863">
        <f t="shared" si="26"/>
        <v>74.569999999999993</v>
      </c>
      <c r="FM19" s="861">
        <v>41.36</v>
      </c>
      <c r="FN19" s="411">
        <v>54.17</v>
      </c>
      <c r="FO19" s="411"/>
      <c r="FP19" s="862"/>
      <c r="FQ19" s="863">
        <f t="shared" si="27"/>
        <v>95.53</v>
      </c>
      <c r="FR19" s="861">
        <v>65.17</v>
      </c>
      <c r="FS19" s="411">
        <v>52.15</v>
      </c>
      <c r="FT19" s="411"/>
      <c r="FU19" s="862"/>
      <c r="FV19" s="863">
        <f t="shared" si="28"/>
        <v>117.32</v>
      </c>
      <c r="FW19" s="861">
        <v>66.56</v>
      </c>
      <c r="FX19" s="411">
        <v>31.33</v>
      </c>
      <c r="FY19" s="411"/>
      <c r="FZ19" s="862"/>
      <c r="GA19" s="863">
        <f t="shared" si="29"/>
        <v>97.89</v>
      </c>
      <c r="GB19" s="861">
        <v>73.48</v>
      </c>
      <c r="GC19" s="411">
        <v>20.6</v>
      </c>
      <c r="GD19" s="411"/>
      <c r="GE19" s="862"/>
      <c r="GF19" s="863">
        <f t="shared" si="30"/>
        <v>94.080000000000013</v>
      </c>
      <c r="GG19" s="346">
        <v>40.06</v>
      </c>
      <c r="GH19" s="347">
        <v>38.47</v>
      </c>
      <c r="GI19" s="347"/>
      <c r="GJ19" s="348"/>
      <c r="GK19" s="349">
        <f t="shared" si="31"/>
        <v>78.53</v>
      </c>
      <c r="GL19" s="346">
        <v>26.29</v>
      </c>
      <c r="GM19" s="347">
        <v>21.45</v>
      </c>
      <c r="GN19" s="347">
        <v>12.99</v>
      </c>
      <c r="GO19" s="348"/>
      <c r="GP19" s="349">
        <f t="shared" si="32"/>
        <v>60.73</v>
      </c>
      <c r="GQ19" s="346">
        <v>15.16</v>
      </c>
      <c r="GR19" s="347">
        <v>26.68</v>
      </c>
      <c r="GS19" s="347"/>
      <c r="GT19" s="348"/>
      <c r="GU19" s="349">
        <f t="shared" si="33"/>
        <v>41.84</v>
      </c>
      <c r="GV19" s="346">
        <v>36.19</v>
      </c>
      <c r="GW19" s="347">
        <v>48.89</v>
      </c>
      <c r="GX19" s="347"/>
      <c r="GY19" s="348"/>
      <c r="GZ19" s="349">
        <f t="shared" si="34"/>
        <v>85.08</v>
      </c>
      <c r="HA19" s="346">
        <v>31.94</v>
      </c>
      <c r="HB19" s="347">
        <v>28.78</v>
      </c>
      <c r="HC19" s="347"/>
      <c r="HD19" s="348"/>
      <c r="HE19" s="349">
        <f t="shared" si="35"/>
        <v>60.72</v>
      </c>
      <c r="HF19" s="346">
        <v>28.02</v>
      </c>
      <c r="HG19" s="347">
        <v>24.12</v>
      </c>
      <c r="HH19" s="347">
        <v>5.84</v>
      </c>
      <c r="HI19" s="348"/>
      <c r="HJ19" s="349">
        <f t="shared" si="36"/>
        <v>57.980000000000004</v>
      </c>
      <c r="HK19" s="346">
        <v>17.68</v>
      </c>
      <c r="HL19" s="347">
        <v>27.29</v>
      </c>
      <c r="HM19" s="347">
        <v>17.2</v>
      </c>
      <c r="HN19" s="348"/>
      <c r="HO19" s="349">
        <f t="shared" si="37"/>
        <v>62.17</v>
      </c>
      <c r="HP19" s="346">
        <v>30.32</v>
      </c>
      <c r="HQ19" s="347">
        <v>37.119999999999997</v>
      </c>
      <c r="HR19" s="347"/>
      <c r="HS19" s="348"/>
      <c r="HT19" s="349">
        <f t="shared" si="38"/>
        <v>67.44</v>
      </c>
      <c r="HU19" s="346">
        <v>62.78</v>
      </c>
      <c r="HV19" s="347">
        <v>84.76</v>
      </c>
      <c r="HW19" s="347"/>
      <c r="HX19" s="348"/>
      <c r="HY19" s="349">
        <f t="shared" si="39"/>
        <v>147.54000000000002</v>
      </c>
      <c r="HZ19" s="346">
        <v>92.97</v>
      </c>
      <c r="IA19" s="352"/>
      <c r="IB19" s="347"/>
      <c r="IC19" s="348"/>
      <c r="ID19" s="349">
        <f t="shared" si="40"/>
        <v>92.97</v>
      </c>
      <c r="IE19" s="88">
        <f>63.77+5.88</f>
        <v>69.650000000000006</v>
      </c>
      <c r="IF19" s="89">
        <f>71.25+2.55</f>
        <v>73.8</v>
      </c>
      <c r="IG19" s="89"/>
      <c r="IH19" s="345"/>
      <c r="II19" s="344">
        <f t="shared" si="41"/>
        <v>143.44999999999999</v>
      </c>
      <c r="IJ19" s="88">
        <v>58.8</v>
      </c>
      <c r="IK19" s="89">
        <v>39.67</v>
      </c>
      <c r="IL19" s="345"/>
      <c r="IM19" s="340"/>
      <c r="IN19" s="492">
        <f t="shared" si="42"/>
        <v>98.47</v>
      </c>
      <c r="IO19" s="492"/>
      <c r="IP19" s="886">
        <f t="shared" si="43"/>
        <v>996.92000000000007</v>
      </c>
      <c r="IQ19" s="501">
        <v>51.83</v>
      </c>
      <c r="IR19" s="353"/>
      <c r="IS19" s="33"/>
      <c r="IT19" s="340"/>
      <c r="IU19" s="342">
        <f t="shared" si="44"/>
        <v>51.83</v>
      </c>
      <c r="IV19" s="32">
        <v>71.569999999999993</v>
      </c>
      <c r="IW19" s="33">
        <v>11.34</v>
      </c>
      <c r="IX19" s="33"/>
      <c r="IY19" s="340"/>
      <c r="IZ19" s="342">
        <f t="shared" si="45"/>
        <v>82.91</v>
      </c>
      <c r="JA19" s="32">
        <v>34.24</v>
      </c>
      <c r="JB19" s="33">
        <v>27.26</v>
      </c>
      <c r="JC19" s="33"/>
      <c r="JD19" s="340"/>
      <c r="JE19" s="342">
        <f t="shared" si="46"/>
        <v>61.5</v>
      </c>
      <c r="JF19" s="32">
        <v>62.01</v>
      </c>
      <c r="JG19" s="33">
        <v>46.54</v>
      </c>
      <c r="JH19" s="33"/>
      <c r="JI19" s="340"/>
      <c r="JJ19" s="342">
        <f t="shared" si="47"/>
        <v>108.55</v>
      </c>
      <c r="JK19" s="32">
        <v>35.229999999999997</v>
      </c>
      <c r="JL19" s="33">
        <v>34</v>
      </c>
      <c r="JM19" s="33"/>
      <c r="JN19" s="340"/>
      <c r="JO19" s="342">
        <f t="shared" si="48"/>
        <v>69.22999999999999</v>
      </c>
      <c r="JP19" s="32">
        <v>34.950000000000003</v>
      </c>
      <c r="JQ19" s="33">
        <v>29.5</v>
      </c>
      <c r="JR19" s="33">
        <v>7.98</v>
      </c>
      <c r="JS19" s="340"/>
      <c r="JT19" s="342">
        <f t="shared" si="49"/>
        <v>72.430000000000007</v>
      </c>
      <c r="JU19" s="32">
        <v>18.38</v>
      </c>
      <c r="JV19" s="33">
        <v>28.27</v>
      </c>
      <c r="JW19" s="33">
        <v>28.81</v>
      </c>
      <c r="JX19" s="340"/>
      <c r="JY19" s="342">
        <f t="shared" si="50"/>
        <v>75.459999999999994</v>
      </c>
      <c r="JZ19" s="32">
        <v>26.92</v>
      </c>
      <c r="KA19" s="33">
        <v>33.67</v>
      </c>
      <c r="KB19" s="33">
        <v>19.77</v>
      </c>
      <c r="KC19" s="340"/>
      <c r="KD19" s="342">
        <f t="shared" si="51"/>
        <v>80.36</v>
      </c>
      <c r="KE19" s="32">
        <v>7.58</v>
      </c>
      <c r="KF19" s="33">
        <v>54.559999999999995</v>
      </c>
      <c r="KG19" s="33">
        <v>42.160000000000004</v>
      </c>
      <c r="KH19" s="340">
        <v>0</v>
      </c>
      <c r="KI19" s="342">
        <f t="shared" si="52"/>
        <v>104.3</v>
      </c>
      <c r="KJ19" s="32">
        <v>50.85</v>
      </c>
      <c r="KK19" s="33">
        <v>55.43</v>
      </c>
      <c r="KL19" s="33">
        <v>0</v>
      </c>
      <c r="KM19" s="340">
        <v>0</v>
      </c>
      <c r="KN19" s="342">
        <f t="shared" si="53"/>
        <v>106.28</v>
      </c>
      <c r="KO19" s="32">
        <v>17.79</v>
      </c>
      <c r="KP19" s="33">
        <v>73.5</v>
      </c>
      <c r="KQ19" s="33">
        <v>3.22</v>
      </c>
      <c r="KR19" s="340">
        <v>0</v>
      </c>
      <c r="KS19" s="342">
        <f t="shared" si="54"/>
        <v>94.509999999999991</v>
      </c>
      <c r="KT19" s="32">
        <f t="shared" si="5"/>
        <v>49.47</v>
      </c>
      <c r="KU19" s="33">
        <f t="shared" si="6"/>
        <v>43.91</v>
      </c>
      <c r="KV19" s="33">
        <f t="shared" si="7"/>
        <v>0</v>
      </c>
      <c r="KW19" s="340">
        <f t="shared" si="8"/>
        <v>0</v>
      </c>
      <c r="KX19" s="342">
        <f t="shared" si="9"/>
        <v>93.38</v>
      </c>
      <c r="KZ19" s="507">
        <f t="shared" si="55"/>
        <v>1000.7399999999999</v>
      </c>
    </row>
    <row r="20" spans="1:312" ht="16.5" thickBot="1" x14ac:dyDescent="0.3">
      <c r="A20" s="359"/>
      <c r="B20" s="360">
        <v>23</v>
      </c>
      <c r="C20" s="361">
        <v>14.6</v>
      </c>
      <c r="D20" s="328">
        <v>19.149999999999999</v>
      </c>
      <c r="E20" s="329"/>
      <c r="F20" s="330"/>
      <c r="G20" s="331"/>
      <c r="H20" s="332">
        <f t="shared" si="10"/>
        <v>19.149999999999999</v>
      </c>
      <c r="I20" s="333"/>
      <c r="J20" s="334"/>
      <c r="K20" s="334"/>
      <c r="L20" s="335"/>
      <c r="M20" s="300">
        <f t="shared" si="11"/>
        <v>0</v>
      </c>
      <c r="N20" s="333">
        <v>20.37</v>
      </c>
      <c r="O20" s="334"/>
      <c r="P20" s="334"/>
      <c r="Q20" s="335"/>
      <c r="R20" s="300">
        <f t="shared" si="0"/>
        <v>20.37</v>
      </c>
      <c r="S20" s="333">
        <v>10.63</v>
      </c>
      <c r="T20" s="334"/>
      <c r="U20" s="334"/>
      <c r="V20" s="335"/>
      <c r="W20" s="300">
        <f t="shared" si="1"/>
        <v>10.63</v>
      </c>
      <c r="X20" s="333">
        <v>19.55</v>
      </c>
      <c r="Y20" s="334"/>
      <c r="Z20" s="334"/>
      <c r="AA20" s="335"/>
      <c r="AB20" s="300">
        <f t="shared" si="12"/>
        <v>19.55</v>
      </c>
      <c r="AC20" s="336">
        <v>22.54</v>
      </c>
      <c r="AD20" s="337">
        <v>13.25</v>
      </c>
      <c r="AE20" s="337"/>
      <c r="AF20" s="338"/>
      <c r="AG20" s="304">
        <f t="shared" si="13"/>
        <v>35.79</v>
      </c>
      <c r="AH20" s="336">
        <v>11.97</v>
      </c>
      <c r="AI20" s="337"/>
      <c r="AJ20" s="337"/>
      <c r="AK20" s="338"/>
      <c r="AL20" s="339">
        <f t="shared" si="56"/>
        <v>11.97</v>
      </c>
      <c r="AM20" s="32">
        <v>15.03</v>
      </c>
      <c r="AN20" s="33">
        <v>17.399999999999999</v>
      </c>
      <c r="AO20" s="33"/>
      <c r="AP20" s="340"/>
      <c r="AQ20" s="341">
        <f t="shared" si="57"/>
        <v>32.43</v>
      </c>
      <c r="AR20" s="32">
        <v>18.372</v>
      </c>
      <c r="AS20" s="33"/>
      <c r="AT20" s="33"/>
      <c r="AU20" s="340"/>
      <c r="AV20" s="342">
        <f t="shared" si="58"/>
        <v>18.372</v>
      </c>
      <c r="AW20" s="32">
        <v>11.87</v>
      </c>
      <c r="AX20" s="33">
        <v>16.38</v>
      </c>
      <c r="AY20" s="33"/>
      <c r="AZ20" s="340"/>
      <c r="BA20" s="342">
        <f t="shared" si="59"/>
        <v>28.25</v>
      </c>
      <c r="BB20" s="32">
        <f>22.69+2.81</f>
        <v>25.5</v>
      </c>
      <c r="BC20" s="33"/>
      <c r="BD20" s="33"/>
      <c r="BE20" s="340"/>
      <c r="BF20" s="342">
        <f t="shared" si="65"/>
        <v>25.5</v>
      </c>
      <c r="BG20" s="32">
        <v>26.7</v>
      </c>
      <c r="BH20" s="33"/>
      <c r="BI20" s="33"/>
      <c r="BJ20" s="343"/>
      <c r="BK20" s="342">
        <f t="shared" si="60"/>
        <v>26.7</v>
      </c>
      <c r="BL20" s="32">
        <f>20.89+3.22</f>
        <v>24.11</v>
      </c>
      <c r="BM20" s="33">
        <v>12.47</v>
      </c>
      <c r="BN20" s="33"/>
      <c r="BO20" s="343"/>
      <c r="BP20" s="341">
        <f t="shared" si="61"/>
        <v>36.58</v>
      </c>
      <c r="BQ20" s="32">
        <v>3.99</v>
      </c>
      <c r="BR20" s="43">
        <v>12.25</v>
      </c>
      <c r="BS20" s="43"/>
      <c r="BT20" s="853"/>
      <c r="BU20" s="854">
        <f t="shared" si="14"/>
        <v>16.240000000000002</v>
      </c>
      <c r="BV20" s="855">
        <v>4.6900000000000004</v>
      </c>
      <c r="BW20" s="43">
        <v>4.05</v>
      </c>
      <c r="BX20" s="43"/>
      <c r="BY20" s="853"/>
      <c r="BZ20" s="856">
        <f t="shared" si="15"/>
        <v>8.74</v>
      </c>
      <c r="CA20" s="857">
        <v>7.02</v>
      </c>
      <c r="CB20" s="858">
        <v>7.68</v>
      </c>
      <c r="CC20" s="858"/>
      <c r="CD20" s="859"/>
      <c r="CE20" s="860">
        <f t="shared" si="62"/>
        <v>14.7</v>
      </c>
      <c r="CF20" s="857">
        <v>11.17</v>
      </c>
      <c r="CG20" s="858">
        <v>8.9600000000000009</v>
      </c>
      <c r="CH20" s="858"/>
      <c r="CI20" s="859"/>
      <c r="CJ20" s="860">
        <f t="shared" si="63"/>
        <v>20.130000000000003</v>
      </c>
      <c r="CK20" s="857">
        <v>9.02</v>
      </c>
      <c r="CL20" s="858">
        <v>9.08</v>
      </c>
      <c r="CM20" s="858"/>
      <c r="CN20" s="859"/>
      <c r="CO20" s="860">
        <f t="shared" si="64"/>
        <v>18.100000000000001</v>
      </c>
      <c r="CP20" s="861">
        <v>8.8000000000000007</v>
      </c>
      <c r="CQ20" s="411">
        <v>3.8</v>
      </c>
      <c r="CR20" s="411"/>
      <c r="CS20" s="862"/>
      <c r="CT20" s="863">
        <v>12.600000000000001</v>
      </c>
      <c r="CU20" s="861">
        <v>6.1</v>
      </c>
      <c r="CV20" s="411">
        <v>7.23</v>
      </c>
      <c r="CW20" s="411"/>
      <c r="CX20" s="862"/>
      <c r="CY20" s="863">
        <f t="shared" si="2"/>
        <v>13.33</v>
      </c>
      <c r="CZ20" s="861">
        <v>9.76</v>
      </c>
      <c r="DA20" s="411">
        <v>9.06</v>
      </c>
      <c r="DB20" s="411"/>
      <c r="DC20" s="862"/>
      <c r="DD20" s="863">
        <f t="shared" si="3"/>
        <v>18.82</v>
      </c>
      <c r="DE20" s="861">
        <v>14.39</v>
      </c>
      <c r="DF20" s="411"/>
      <c r="DG20" s="411"/>
      <c r="DH20" s="862"/>
      <c r="DI20" s="863">
        <f t="shared" si="4"/>
        <v>14.39</v>
      </c>
      <c r="DJ20" s="861">
        <v>19.690000000000001</v>
      </c>
      <c r="DK20" s="411">
        <v>22.57</v>
      </c>
      <c r="DL20" s="411"/>
      <c r="DM20" s="862"/>
      <c r="DN20" s="863">
        <f t="shared" si="16"/>
        <v>42.260000000000005</v>
      </c>
      <c r="DO20" s="861">
        <v>28.15</v>
      </c>
      <c r="DP20" s="411"/>
      <c r="DQ20" s="411"/>
      <c r="DR20" s="862"/>
      <c r="DS20" s="863">
        <f t="shared" si="17"/>
        <v>28.15</v>
      </c>
      <c r="DT20" s="861">
        <v>18.77</v>
      </c>
      <c r="DU20" s="411"/>
      <c r="DV20" s="411"/>
      <c r="DW20" s="862"/>
      <c r="DX20" s="863">
        <f t="shared" si="18"/>
        <v>18.77</v>
      </c>
      <c r="DY20" s="861">
        <v>13.39</v>
      </c>
      <c r="DZ20" s="411"/>
      <c r="EA20" s="411"/>
      <c r="EB20" s="862"/>
      <c r="EC20" s="863">
        <f t="shared" si="19"/>
        <v>13.39</v>
      </c>
      <c r="ED20" s="861">
        <v>10.82</v>
      </c>
      <c r="EE20" s="411">
        <v>12.56</v>
      </c>
      <c r="EF20" s="411"/>
      <c r="EG20" s="862"/>
      <c r="EH20" s="863">
        <f t="shared" si="20"/>
        <v>23.380000000000003</v>
      </c>
      <c r="EI20" s="861">
        <v>14.47</v>
      </c>
      <c r="EJ20" s="411"/>
      <c r="EK20" s="411"/>
      <c r="EL20" s="862"/>
      <c r="EM20" s="863">
        <f t="shared" si="21"/>
        <v>14.47</v>
      </c>
      <c r="EN20" s="861">
        <v>7.79</v>
      </c>
      <c r="EO20" s="411"/>
      <c r="EP20" s="411"/>
      <c r="EQ20" s="862"/>
      <c r="ER20" s="863">
        <f t="shared" si="22"/>
        <v>7.79</v>
      </c>
      <c r="ES20" s="861">
        <v>12.21</v>
      </c>
      <c r="ET20" s="411">
        <v>4.2699999999999996</v>
      </c>
      <c r="EU20" s="411"/>
      <c r="EV20" s="862"/>
      <c r="EW20" s="863">
        <f t="shared" si="23"/>
        <v>16.48</v>
      </c>
      <c r="EX20" s="861">
        <v>12.54</v>
      </c>
      <c r="EY20" s="411">
        <v>8.83</v>
      </c>
      <c r="EZ20" s="411"/>
      <c r="FA20" s="862"/>
      <c r="FB20" s="863">
        <f t="shared" si="24"/>
        <v>21.369999999999997</v>
      </c>
      <c r="FC20" s="861">
        <v>12.79</v>
      </c>
      <c r="FD20" s="411">
        <v>8.4</v>
      </c>
      <c r="FE20" s="411"/>
      <c r="FF20" s="862"/>
      <c r="FG20" s="863">
        <f t="shared" si="25"/>
        <v>21.189999999999998</v>
      </c>
      <c r="FH20" s="861">
        <v>8.9</v>
      </c>
      <c r="FI20" s="411">
        <v>32.92</v>
      </c>
      <c r="FJ20" s="411"/>
      <c r="FK20" s="862"/>
      <c r="FL20" s="863">
        <f t="shared" si="26"/>
        <v>41.82</v>
      </c>
      <c r="FM20" s="861">
        <f>12.97+0.34</f>
        <v>13.31</v>
      </c>
      <c r="FN20" s="411">
        <v>8.8800000000000008</v>
      </c>
      <c r="FO20" s="411"/>
      <c r="FP20" s="862"/>
      <c r="FQ20" s="863">
        <f t="shared" si="27"/>
        <v>22.19</v>
      </c>
      <c r="FR20" s="861">
        <v>15.19</v>
      </c>
      <c r="FS20" s="411">
        <v>8.67</v>
      </c>
      <c r="FT20" s="411"/>
      <c r="FU20" s="862"/>
      <c r="FV20" s="863">
        <f t="shared" si="28"/>
        <v>23.86</v>
      </c>
      <c r="FW20" s="861">
        <v>11.73</v>
      </c>
      <c r="FX20" s="411">
        <v>9.02</v>
      </c>
      <c r="FY20" s="411"/>
      <c r="FZ20" s="862"/>
      <c r="GA20" s="863">
        <f t="shared" si="29"/>
        <v>20.75</v>
      </c>
      <c r="GB20" s="861">
        <v>16.809999999999999</v>
      </c>
      <c r="GC20" s="882"/>
      <c r="GD20" s="411"/>
      <c r="GE20" s="862"/>
      <c r="GF20" s="863">
        <f t="shared" si="30"/>
        <v>16.809999999999999</v>
      </c>
      <c r="GG20" s="346">
        <v>13.68</v>
      </c>
      <c r="GH20" s="347">
        <v>7.15</v>
      </c>
      <c r="GI20" s="347"/>
      <c r="GJ20" s="348"/>
      <c r="GK20" s="349">
        <f t="shared" si="31"/>
        <v>20.83</v>
      </c>
      <c r="GL20" s="346">
        <v>7.71</v>
      </c>
      <c r="GM20" s="347">
        <v>7.31</v>
      </c>
      <c r="GN20" s="347"/>
      <c r="GO20" s="348"/>
      <c r="GP20" s="349">
        <f t="shared" si="32"/>
        <v>15.02</v>
      </c>
      <c r="GQ20" s="346">
        <v>3.82</v>
      </c>
      <c r="GR20" s="347">
        <v>3.35</v>
      </c>
      <c r="GS20" s="347"/>
      <c r="GT20" s="348"/>
      <c r="GU20" s="349">
        <f t="shared" si="33"/>
        <v>7.17</v>
      </c>
      <c r="GV20" s="346">
        <v>5.05</v>
      </c>
      <c r="GW20" s="347">
        <v>7.32</v>
      </c>
      <c r="GX20" s="347"/>
      <c r="GY20" s="348"/>
      <c r="GZ20" s="349">
        <f t="shared" si="34"/>
        <v>12.370000000000001</v>
      </c>
      <c r="HA20" s="346">
        <v>13.94</v>
      </c>
      <c r="HB20" s="347">
        <v>10.199999999999999</v>
      </c>
      <c r="HC20" s="347"/>
      <c r="HD20" s="348"/>
      <c r="HE20" s="349">
        <f t="shared" si="35"/>
        <v>24.14</v>
      </c>
      <c r="HF20" s="346">
        <v>7.96</v>
      </c>
      <c r="HG20" s="347">
        <v>7.36</v>
      </c>
      <c r="HH20" s="347"/>
      <c r="HI20" s="348"/>
      <c r="HJ20" s="349">
        <f t="shared" si="36"/>
        <v>15.32</v>
      </c>
      <c r="HK20" s="346">
        <v>12.46</v>
      </c>
      <c r="HL20" s="347">
        <v>16.66</v>
      </c>
      <c r="HM20" s="347"/>
      <c r="HN20" s="348"/>
      <c r="HO20" s="349">
        <f t="shared" si="37"/>
        <v>29.12</v>
      </c>
      <c r="HP20" s="346">
        <v>12.77</v>
      </c>
      <c r="HQ20" s="347">
        <v>27.27</v>
      </c>
      <c r="HR20" s="347"/>
      <c r="HS20" s="348"/>
      <c r="HT20" s="349">
        <f t="shared" si="38"/>
        <v>40.04</v>
      </c>
      <c r="HU20" s="346">
        <v>25.52</v>
      </c>
      <c r="HV20" s="352"/>
      <c r="HW20" s="347"/>
      <c r="HX20" s="348"/>
      <c r="HY20" s="349">
        <f t="shared" si="39"/>
        <v>25.52</v>
      </c>
      <c r="HZ20" s="346">
        <f>22.74+1.77</f>
        <v>24.509999999999998</v>
      </c>
      <c r="IA20" s="347">
        <v>19.52</v>
      </c>
      <c r="IB20" s="347"/>
      <c r="IC20" s="348"/>
      <c r="ID20" s="349">
        <f t="shared" si="40"/>
        <v>44.03</v>
      </c>
      <c r="IE20" s="88">
        <v>17.55</v>
      </c>
      <c r="IF20" s="89">
        <f>11.65+3.17</f>
        <v>14.82</v>
      </c>
      <c r="IG20" s="89"/>
      <c r="IH20" s="345"/>
      <c r="II20" s="344">
        <f t="shared" si="41"/>
        <v>32.370000000000005</v>
      </c>
      <c r="IJ20" s="88">
        <v>4</v>
      </c>
      <c r="IK20" s="89">
        <v>17.66</v>
      </c>
      <c r="IL20" s="345"/>
      <c r="IM20" s="340"/>
      <c r="IN20" s="492">
        <f t="shared" si="42"/>
        <v>21.66</v>
      </c>
      <c r="IO20" s="492"/>
      <c r="IP20" s="886">
        <f t="shared" si="43"/>
        <v>287.59000000000003</v>
      </c>
      <c r="IQ20" s="501">
        <v>15.99</v>
      </c>
      <c r="IR20" s="353"/>
      <c r="IS20" s="33"/>
      <c r="IT20" s="340"/>
      <c r="IU20" s="342">
        <f t="shared" si="44"/>
        <v>15.99</v>
      </c>
      <c r="IV20" s="32">
        <v>16.3</v>
      </c>
      <c r="IW20" s="33">
        <v>4.55</v>
      </c>
      <c r="IX20" s="33"/>
      <c r="IY20" s="340"/>
      <c r="IZ20" s="342">
        <f t="shared" si="45"/>
        <v>20.85</v>
      </c>
      <c r="JA20" s="32">
        <v>7.52</v>
      </c>
      <c r="JB20" s="33">
        <v>4.88</v>
      </c>
      <c r="JC20" s="33"/>
      <c r="JD20" s="340"/>
      <c r="JE20" s="342">
        <f t="shared" si="46"/>
        <v>12.399999999999999</v>
      </c>
      <c r="JF20" s="32">
        <v>17.23</v>
      </c>
      <c r="JG20" s="33">
        <v>14.09</v>
      </c>
      <c r="JH20" s="33"/>
      <c r="JI20" s="340"/>
      <c r="JJ20" s="342">
        <f t="shared" si="47"/>
        <v>31.32</v>
      </c>
      <c r="JK20" s="32">
        <v>14.23</v>
      </c>
      <c r="JL20" s="33">
        <v>7.32</v>
      </c>
      <c r="JM20" s="33"/>
      <c r="JN20" s="340"/>
      <c r="JO20" s="342">
        <f t="shared" si="48"/>
        <v>21.55</v>
      </c>
      <c r="JP20" s="32">
        <v>17.14</v>
      </c>
      <c r="JQ20" s="33">
        <v>4.37</v>
      </c>
      <c r="JR20" s="33"/>
      <c r="JS20" s="340"/>
      <c r="JT20" s="342">
        <f t="shared" si="49"/>
        <v>21.51</v>
      </c>
      <c r="JU20" s="32">
        <v>7.6</v>
      </c>
      <c r="JV20" s="33">
        <v>11.51</v>
      </c>
      <c r="JW20" s="33"/>
      <c r="JX20" s="340"/>
      <c r="JY20" s="342">
        <f t="shared" si="50"/>
        <v>19.11</v>
      </c>
      <c r="JZ20" s="32">
        <v>16.600000000000001</v>
      </c>
      <c r="KA20" s="33">
        <v>13.16</v>
      </c>
      <c r="KB20" s="33"/>
      <c r="KC20" s="340"/>
      <c r="KD20" s="342">
        <f t="shared" si="51"/>
        <v>29.76</v>
      </c>
      <c r="KE20" s="32">
        <v>11.48</v>
      </c>
      <c r="KF20" s="33">
        <v>11.98</v>
      </c>
      <c r="KG20" s="33">
        <v>0</v>
      </c>
      <c r="KH20" s="340">
        <v>0</v>
      </c>
      <c r="KI20" s="342">
        <f t="shared" si="52"/>
        <v>23.46</v>
      </c>
      <c r="KJ20" s="32">
        <v>13.55</v>
      </c>
      <c r="KK20" s="33">
        <v>21.560000000000002</v>
      </c>
      <c r="KL20" s="33">
        <v>0</v>
      </c>
      <c r="KM20" s="340">
        <v>0</v>
      </c>
      <c r="KN20" s="342">
        <f t="shared" si="53"/>
        <v>35.11</v>
      </c>
      <c r="KO20" s="32">
        <v>22.73</v>
      </c>
      <c r="KP20" s="33">
        <v>12.56</v>
      </c>
      <c r="KQ20" s="33">
        <v>0</v>
      </c>
      <c r="KR20" s="340">
        <v>0</v>
      </c>
      <c r="KS20" s="342">
        <f t="shared" si="54"/>
        <v>35.29</v>
      </c>
      <c r="KT20" s="32">
        <f t="shared" si="5"/>
        <v>25.259999999999998</v>
      </c>
      <c r="KU20" s="33">
        <f t="shared" si="6"/>
        <v>0</v>
      </c>
      <c r="KV20" s="33">
        <f t="shared" si="7"/>
        <v>0</v>
      </c>
      <c r="KW20" s="340">
        <f t="shared" si="8"/>
        <v>0</v>
      </c>
      <c r="KX20" s="342">
        <f t="shared" si="9"/>
        <v>25.259999999999998</v>
      </c>
      <c r="KZ20" s="507">
        <f t="shared" si="55"/>
        <v>291.61</v>
      </c>
    </row>
    <row r="21" spans="1:312" ht="15.75" x14ac:dyDescent="0.25">
      <c r="A21" s="290" t="s">
        <v>38</v>
      </c>
      <c r="B21" s="362">
        <v>10</v>
      </c>
      <c r="C21" s="363">
        <v>19.100000000000001</v>
      </c>
      <c r="D21" s="328">
        <v>19.53</v>
      </c>
      <c r="E21" s="329"/>
      <c r="F21" s="330"/>
      <c r="G21" s="331"/>
      <c r="H21" s="332">
        <f t="shared" si="10"/>
        <v>19.53</v>
      </c>
      <c r="I21" s="333">
        <v>15.9</v>
      </c>
      <c r="J21" s="334"/>
      <c r="K21" s="334"/>
      <c r="L21" s="335"/>
      <c r="M21" s="300">
        <f t="shared" si="11"/>
        <v>15.9</v>
      </c>
      <c r="N21" s="333">
        <v>10.86</v>
      </c>
      <c r="O21" s="334">
        <v>4.05</v>
      </c>
      <c r="P21" s="334"/>
      <c r="Q21" s="335"/>
      <c r="R21" s="300">
        <f t="shared" si="0"/>
        <v>14.91</v>
      </c>
      <c r="S21" s="333">
        <v>14.42</v>
      </c>
      <c r="T21" s="334"/>
      <c r="U21" s="334"/>
      <c r="V21" s="335"/>
      <c r="W21" s="300">
        <f t="shared" si="1"/>
        <v>14.42</v>
      </c>
      <c r="X21" s="333">
        <v>29.71</v>
      </c>
      <c r="Y21" s="334"/>
      <c r="Z21" s="334"/>
      <c r="AA21" s="335"/>
      <c r="AB21" s="300">
        <f t="shared" si="12"/>
        <v>29.71</v>
      </c>
      <c r="AC21" s="336">
        <v>16.14</v>
      </c>
      <c r="AD21" s="337"/>
      <c r="AE21" s="337"/>
      <c r="AF21" s="338"/>
      <c r="AG21" s="304">
        <f t="shared" si="13"/>
        <v>16.14</v>
      </c>
      <c r="AH21" s="336">
        <v>9.23</v>
      </c>
      <c r="AI21" s="337">
        <v>14.2</v>
      </c>
      <c r="AJ21" s="337"/>
      <c r="AK21" s="338"/>
      <c r="AL21" s="339">
        <f t="shared" si="56"/>
        <v>23.43</v>
      </c>
      <c r="AM21" s="32">
        <v>17.04</v>
      </c>
      <c r="AN21" s="33"/>
      <c r="AO21" s="33"/>
      <c r="AP21" s="340"/>
      <c r="AQ21" s="341">
        <f t="shared" si="57"/>
        <v>17.04</v>
      </c>
      <c r="AR21" s="32">
        <v>29.35</v>
      </c>
      <c r="AS21" s="33"/>
      <c r="AT21" s="33"/>
      <c r="AU21" s="340"/>
      <c r="AV21" s="342">
        <f t="shared" si="58"/>
        <v>29.35</v>
      </c>
      <c r="AW21" s="32">
        <v>12.06</v>
      </c>
      <c r="AX21" s="33">
        <v>13.56</v>
      </c>
      <c r="AY21" s="33"/>
      <c r="AZ21" s="340"/>
      <c r="BA21" s="342">
        <f t="shared" si="59"/>
        <v>25.62</v>
      </c>
      <c r="BB21" s="32">
        <v>15.26</v>
      </c>
      <c r="BC21" s="33">
        <v>15.23</v>
      </c>
      <c r="BD21" s="33"/>
      <c r="BE21" s="340"/>
      <c r="BF21" s="342">
        <f t="shared" si="65"/>
        <v>30.490000000000002</v>
      </c>
      <c r="BG21" s="32">
        <v>15.78</v>
      </c>
      <c r="BH21" s="33">
        <v>15.61</v>
      </c>
      <c r="BI21" s="33"/>
      <c r="BJ21" s="343"/>
      <c r="BK21" s="342">
        <f t="shared" si="60"/>
        <v>31.39</v>
      </c>
      <c r="BL21" s="32">
        <v>15.54</v>
      </c>
      <c r="BM21" s="33">
        <v>12</v>
      </c>
      <c r="BN21" s="33"/>
      <c r="BO21" s="343"/>
      <c r="BP21" s="341">
        <f t="shared" si="61"/>
        <v>27.54</v>
      </c>
      <c r="BQ21" s="32">
        <v>7.68</v>
      </c>
      <c r="BR21" s="43">
        <v>4.0199999999999996</v>
      </c>
      <c r="BS21" s="43"/>
      <c r="BT21" s="853"/>
      <c r="BU21" s="854">
        <f t="shared" si="14"/>
        <v>11.7</v>
      </c>
      <c r="BV21" s="855">
        <v>4.03</v>
      </c>
      <c r="BW21" s="43">
        <v>3.31</v>
      </c>
      <c r="BX21" s="43"/>
      <c r="BY21" s="853"/>
      <c r="BZ21" s="856">
        <f t="shared" si="15"/>
        <v>7.34</v>
      </c>
      <c r="CA21" s="857">
        <v>3.46</v>
      </c>
      <c r="CB21" s="858">
        <v>7.35</v>
      </c>
      <c r="CC21" s="858">
        <v>4.04</v>
      </c>
      <c r="CD21" s="859"/>
      <c r="CE21" s="860">
        <f t="shared" si="62"/>
        <v>14.849999999999998</v>
      </c>
      <c r="CF21" s="857">
        <v>7.56</v>
      </c>
      <c r="CG21" s="858">
        <v>7.9</v>
      </c>
      <c r="CH21" s="858">
        <v>3.72</v>
      </c>
      <c r="CI21" s="859"/>
      <c r="CJ21" s="860">
        <f t="shared" si="63"/>
        <v>19.18</v>
      </c>
      <c r="CK21" s="857">
        <v>14.38</v>
      </c>
      <c r="CL21" s="858">
        <v>12.03</v>
      </c>
      <c r="CM21" s="858"/>
      <c r="CN21" s="859"/>
      <c r="CO21" s="860">
        <f t="shared" si="64"/>
        <v>26.41</v>
      </c>
      <c r="CP21" s="861">
        <v>10.93</v>
      </c>
      <c r="CQ21" s="411">
        <v>11.61</v>
      </c>
      <c r="CR21" s="411"/>
      <c r="CS21" s="862"/>
      <c r="CT21" s="863">
        <v>22.54</v>
      </c>
      <c r="CU21" s="861">
        <v>13.11</v>
      </c>
      <c r="CV21" s="411"/>
      <c r="CW21" s="411"/>
      <c r="CX21" s="862"/>
      <c r="CY21" s="863">
        <f t="shared" si="2"/>
        <v>13.11</v>
      </c>
      <c r="CZ21" s="861">
        <v>20.47</v>
      </c>
      <c r="DA21" s="411"/>
      <c r="DB21" s="411"/>
      <c r="DC21" s="862"/>
      <c r="DD21" s="863">
        <f t="shared" si="3"/>
        <v>20.47</v>
      </c>
      <c r="DE21" s="861">
        <v>44.04</v>
      </c>
      <c r="DF21" s="411"/>
      <c r="DG21" s="411"/>
      <c r="DH21" s="862"/>
      <c r="DI21" s="863">
        <f t="shared" si="4"/>
        <v>44.04</v>
      </c>
      <c r="DJ21" s="861">
        <v>36.01</v>
      </c>
      <c r="DK21" s="411"/>
      <c r="DL21" s="411"/>
      <c r="DM21" s="862"/>
      <c r="DN21" s="863">
        <f t="shared" si="16"/>
        <v>36.01</v>
      </c>
      <c r="DO21" s="861"/>
      <c r="DP21" s="411"/>
      <c r="DQ21" s="411"/>
      <c r="DR21" s="862"/>
      <c r="DS21" s="863">
        <f t="shared" si="17"/>
        <v>0</v>
      </c>
      <c r="DT21" s="861">
        <v>53.05</v>
      </c>
      <c r="DU21" s="411"/>
      <c r="DV21" s="411"/>
      <c r="DW21" s="862"/>
      <c r="DX21" s="863">
        <f t="shared" si="18"/>
        <v>53.05</v>
      </c>
      <c r="DY21" s="861">
        <v>11.86</v>
      </c>
      <c r="DZ21" s="411">
        <v>4.43</v>
      </c>
      <c r="EA21" s="411"/>
      <c r="EB21" s="862"/>
      <c r="EC21" s="863">
        <f t="shared" si="19"/>
        <v>16.29</v>
      </c>
      <c r="ED21" s="861">
        <v>16.53</v>
      </c>
      <c r="EE21" s="411"/>
      <c r="EF21" s="411"/>
      <c r="EG21" s="862"/>
      <c r="EH21" s="863">
        <f t="shared" si="20"/>
        <v>16.53</v>
      </c>
      <c r="EI21" s="861">
        <v>6.59</v>
      </c>
      <c r="EJ21" s="411">
        <v>12.07</v>
      </c>
      <c r="EK21" s="411"/>
      <c r="EL21" s="862"/>
      <c r="EM21" s="863">
        <f t="shared" si="21"/>
        <v>18.66</v>
      </c>
      <c r="EN21" s="861">
        <v>15.34</v>
      </c>
      <c r="EO21" s="411"/>
      <c r="EP21" s="411"/>
      <c r="EQ21" s="862"/>
      <c r="ER21" s="863">
        <f t="shared" si="22"/>
        <v>15.34</v>
      </c>
      <c r="ES21" s="861">
        <v>18.13</v>
      </c>
      <c r="ET21" s="411">
        <v>7.43</v>
      </c>
      <c r="EU21" s="411"/>
      <c r="EV21" s="862"/>
      <c r="EW21" s="863">
        <f t="shared" si="23"/>
        <v>25.56</v>
      </c>
      <c r="EX21" s="861">
        <v>10.87</v>
      </c>
      <c r="EY21" s="411">
        <v>10.63</v>
      </c>
      <c r="EZ21" s="411"/>
      <c r="FA21" s="862"/>
      <c r="FB21" s="863">
        <f t="shared" si="24"/>
        <v>21.5</v>
      </c>
      <c r="FC21" s="861">
        <v>10.95</v>
      </c>
      <c r="FD21" s="411">
        <v>16.98</v>
      </c>
      <c r="FE21" s="411"/>
      <c r="FF21" s="862"/>
      <c r="FG21" s="863">
        <f t="shared" si="25"/>
        <v>27.93</v>
      </c>
      <c r="FH21" s="861">
        <v>12.05</v>
      </c>
      <c r="FI21" s="411">
        <v>17.149999999999999</v>
      </c>
      <c r="FJ21" s="411"/>
      <c r="FK21" s="862"/>
      <c r="FL21" s="863">
        <f t="shared" si="26"/>
        <v>29.2</v>
      </c>
      <c r="FM21" s="861">
        <v>15.33</v>
      </c>
      <c r="FN21" s="411">
        <v>18.73</v>
      </c>
      <c r="FO21" s="411"/>
      <c r="FP21" s="862"/>
      <c r="FQ21" s="863">
        <f t="shared" si="27"/>
        <v>34.06</v>
      </c>
      <c r="FR21" s="861">
        <v>14.47</v>
      </c>
      <c r="FS21" s="411">
        <v>15.19</v>
      </c>
      <c r="FT21" s="411"/>
      <c r="FU21" s="862"/>
      <c r="FV21" s="863">
        <f t="shared" si="28"/>
        <v>29.66</v>
      </c>
      <c r="FW21" s="861">
        <v>11.67</v>
      </c>
      <c r="FX21" s="411">
        <v>13.05</v>
      </c>
      <c r="FY21" s="411"/>
      <c r="FZ21" s="862"/>
      <c r="GA21" s="863">
        <f t="shared" si="29"/>
        <v>24.72</v>
      </c>
      <c r="GB21" s="861">
        <v>16.32</v>
      </c>
      <c r="GC21" s="411">
        <v>11.73</v>
      </c>
      <c r="GD21" s="411"/>
      <c r="GE21" s="862"/>
      <c r="GF21" s="863">
        <f t="shared" si="30"/>
        <v>28.05</v>
      </c>
      <c r="GG21" s="346">
        <v>11.88</v>
      </c>
      <c r="GH21" s="347">
        <v>7.71</v>
      </c>
      <c r="GI21" s="347"/>
      <c r="GJ21" s="348"/>
      <c r="GK21" s="349">
        <f t="shared" si="31"/>
        <v>19.59</v>
      </c>
      <c r="GL21" s="346">
        <v>5.47</v>
      </c>
      <c r="GM21" s="347">
        <v>4.82</v>
      </c>
      <c r="GN21" s="347"/>
      <c r="GO21" s="348"/>
      <c r="GP21" s="349">
        <f t="shared" si="32"/>
        <v>10.29</v>
      </c>
      <c r="GQ21" s="346">
        <v>6.14</v>
      </c>
      <c r="GR21" s="347">
        <v>4.8</v>
      </c>
      <c r="GS21" s="347"/>
      <c r="GT21" s="348"/>
      <c r="GU21" s="349">
        <f t="shared" si="33"/>
        <v>10.94</v>
      </c>
      <c r="GV21" s="346">
        <v>7.91</v>
      </c>
      <c r="GW21" s="354"/>
      <c r="GX21" s="347"/>
      <c r="GY21" s="348"/>
      <c r="GZ21" s="349">
        <f t="shared" si="34"/>
        <v>7.91</v>
      </c>
      <c r="HA21" s="346">
        <v>10.07</v>
      </c>
      <c r="HB21" s="347">
        <v>6.52</v>
      </c>
      <c r="HC21" s="347"/>
      <c r="HD21" s="348"/>
      <c r="HE21" s="349">
        <f t="shared" si="35"/>
        <v>16.59</v>
      </c>
      <c r="HF21" s="346">
        <v>6.95</v>
      </c>
      <c r="HG21" s="347">
        <v>7.07</v>
      </c>
      <c r="HH21" s="347">
        <v>6.93</v>
      </c>
      <c r="HI21" s="348"/>
      <c r="HJ21" s="349">
        <f t="shared" si="36"/>
        <v>20.95</v>
      </c>
      <c r="HK21" s="346">
        <v>6.11</v>
      </c>
      <c r="HL21" s="347">
        <v>7.41</v>
      </c>
      <c r="HM21" s="347"/>
      <c r="HN21" s="348"/>
      <c r="HO21" s="349">
        <f t="shared" si="37"/>
        <v>13.52</v>
      </c>
      <c r="HP21" s="346">
        <v>10.08</v>
      </c>
      <c r="HQ21" s="347">
        <v>17.53</v>
      </c>
      <c r="HR21" s="347"/>
      <c r="HS21" s="348"/>
      <c r="HT21" s="349">
        <f t="shared" si="38"/>
        <v>27.61</v>
      </c>
      <c r="HU21" s="346">
        <v>18.350000000000001</v>
      </c>
      <c r="HV21" s="347">
        <v>22.22</v>
      </c>
      <c r="HW21" s="347"/>
      <c r="HX21" s="348"/>
      <c r="HY21" s="349">
        <f t="shared" si="39"/>
        <v>40.57</v>
      </c>
      <c r="HZ21" s="346">
        <v>28.14</v>
      </c>
      <c r="IA21" s="352"/>
      <c r="IB21" s="347"/>
      <c r="IC21" s="348"/>
      <c r="ID21" s="349">
        <f t="shared" si="40"/>
        <v>28.14</v>
      </c>
      <c r="IE21" s="88">
        <v>15.56</v>
      </c>
      <c r="IF21" s="89">
        <v>19.82</v>
      </c>
      <c r="IG21" s="89"/>
      <c r="IH21" s="345"/>
      <c r="II21" s="344">
        <f t="shared" si="41"/>
        <v>35.380000000000003</v>
      </c>
      <c r="IJ21" s="88">
        <v>14.74</v>
      </c>
      <c r="IK21" s="89">
        <v>14.57</v>
      </c>
      <c r="IL21" s="345"/>
      <c r="IM21" s="340"/>
      <c r="IN21" s="492">
        <f t="shared" si="42"/>
        <v>29.310000000000002</v>
      </c>
      <c r="IO21" s="492"/>
      <c r="IP21" s="886">
        <f t="shared" si="43"/>
        <v>260.8</v>
      </c>
      <c r="IQ21" s="501">
        <v>8.8699999999999992</v>
      </c>
      <c r="IR21" s="353"/>
      <c r="IS21" s="33"/>
      <c r="IT21" s="340"/>
      <c r="IU21" s="342">
        <f t="shared" si="44"/>
        <v>8.8699999999999992</v>
      </c>
      <c r="IV21" s="32">
        <v>10.84</v>
      </c>
      <c r="IW21" s="33">
        <v>7.76</v>
      </c>
      <c r="IX21" s="33"/>
      <c r="IY21" s="340"/>
      <c r="IZ21" s="342">
        <f t="shared" si="45"/>
        <v>18.600000000000001</v>
      </c>
      <c r="JA21" s="32">
        <v>10.64</v>
      </c>
      <c r="JB21" s="33">
        <v>11.31</v>
      </c>
      <c r="JC21" s="33"/>
      <c r="JD21" s="340"/>
      <c r="JE21" s="342">
        <f t="shared" si="46"/>
        <v>21.950000000000003</v>
      </c>
      <c r="JF21" s="32">
        <v>17.760000000000002</v>
      </c>
      <c r="JG21" s="353"/>
      <c r="JH21" s="33"/>
      <c r="JI21" s="340"/>
      <c r="JJ21" s="342">
        <f t="shared" si="47"/>
        <v>17.760000000000002</v>
      </c>
      <c r="JK21" s="32">
        <v>7.73</v>
      </c>
      <c r="JL21" s="33">
        <v>13.36</v>
      </c>
      <c r="JM21" s="33"/>
      <c r="JN21" s="340"/>
      <c r="JO21" s="342">
        <f t="shared" si="48"/>
        <v>21.09</v>
      </c>
      <c r="JP21" s="32">
        <v>11.27</v>
      </c>
      <c r="JQ21" s="33">
        <v>9.6</v>
      </c>
      <c r="JR21" s="33">
        <v>8.8000000000000007</v>
      </c>
      <c r="JS21" s="340"/>
      <c r="JT21" s="342">
        <f t="shared" si="49"/>
        <v>29.669999999999998</v>
      </c>
      <c r="JU21" s="32">
        <v>7.83</v>
      </c>
      <c r="JV21" s="33">
        <v>7.3</v>
      </c>
      <c r="JW21" s="33"/>
      <c r="JX21" s="340"/>
      <c r="JY21" s="342">
        <f t="shared" si="50"/>
        <v>15.129999999999999</v>
      </c>
      <c r="JZ21" s="32">
        <v>8.49</v>
      </c>
      <c r="KA21" s="33">
        <v>8.61</v>
      </c>
      <c r="KB21" s="33">
        <v>6.52</v>
      </c>
      <c r="KC21" s="340"/>
      <c r="KD21" s="342">
        <f t="shared" si="51"/>
        <v>23.62</v>
      </c>
      <c r="KE21" s="32">
        <v>14.79</v>
      </c>
      <c r="KF21" s="33">
        <v>10.85</v>
      </c>
      <c r="KG21" s="33">
        <v>0</v>
      </c>
      <c r="KH21" s="340">
        <v>0</v>
      </c>
      <c r="KI21" s="342">
        <f t="shared" si="52"/>
        <v>25.64</v>
      </c>
      <c r="KJ21" s="32">
        <v>11.67</v>
      </c>
      <c r="KK21" s="33">
        <v>19.649999999999999</v>
      </c>
      <c r="KL21" s="33">
        <v>0</v>
      </c>
      <c r="KM21" s="340">
        <v>0</v>
      </c>
      <c r="KN21" s="342">
        <f t="shared" si="53"/>
        <v>31.32</v>
      </c>
      <c r="KO21" s="32">
        <v>17.61</v>
      </c>
      <c r="KP21" s="33">
        <v>14.37</v>
      </c>
      <c r="KQ21" s="33">
        <v>0</v>
      </c>
      <c r="KR21" s="340">
        <v>0</v>
      </c>
      <c r="KS21" s="342">
        <f t="shared" si="54"/>
        <v>31.979999999999997</v>
      </c>
      <c r="KT21" s="32">
        <f t="shared" si="5"/>
        <v>13.41</v>
      </c>
      <c r="KU21" s="33">
        <f t="shared" si="6"/>
        <v>0</v>
      </c>
      <c r="KV21" s="33">
        <f t="shared" si="7"/>
        <v>0</v>
      </c>
      <c r="KW21" s="340">
        <f t="shared" si="8"/>
        <v>0</v>
      </c>
      <c r="KX21" s="342">
        <f t="shared" si="9"/>
        <v>13.41</v>
      </c>
      <c r="KZ21" s="507">
        <f t="shared" si="55"/>
        <v>259.04000000000002</v>
      </c>
    </row>
    <row r="22" spans="1:312" ht="15.75" x14ac:dyDescent="0.25">
      <c r="A22" s="325"/>
      <c r="B22" s="326">
        <v>13</v>
      </c>
      <c r="C22" s="327">
        <v>60.8</v>
      </c>
      <c r="D22" s="328">
        <v>66.36</v>
      </c>
      <c r="E22" s="329"/>
      <c r="F22" s="330"/>
      <c r="G22" s="331"/>
      <c r="H22" s="332">
        <f t="shared" si="10"/>
        <v>66.36</v>
      </c>
      <c r="I22" s="333">
        <v>76.98</v>
      </c>
      <c r="J22" s="334"/>
      <c r="K22" s="334"/>
      <c r="L22" s="335"/>
      <c r="M22" s="300">
        <f t="shared" si="11"/>
        <v>76.98</v>
      </c>
      <c r="N22" s="333">
        <v>73.06</v>
      </c>
      <c r="O22" s="334"/>
      <c r="P22" s="334"/>
      <c r="Q22" s="335"/>
      <c r="R22" s="300">
        <f t="shared" si="0"/>
        <v>73.06</v>
      </c>
      <c r="S22" s="333">
        <v>46.75</v>
      </c>
      <c r="T22" s="334">
        <v>51.57</v>
      </c>
      <c r="U22" s="334"/>
      <c r="V22" s="335"/>
      <c r="W22" s="300">
        <f t="shared" si="1"/>
        <v>98.32</v>
      </c>
      <c r="X22" s="333">
        <v>60.5</v>
      </c>
      <c r="Y22" s="334"/>
      <c r="Z22" s="334"/>
      <c r="AA22" s="335"/>
      <c r="AB22" s="300">
        <f t="shared" si="12"/>
        <v>60.5</v>
      </c>
      <c r="AC22" s="336">
        <v>69.97</v>
      </c>
      <c r="AD22" s="337"/>
      <c r="AE22" s="337"/>
      <c r="AF22" s="338"/>
      <c r="AG22" s="304">
        <f t="shared" si="13"/>
        <v>69.97</v>
      </c>
      <c r="AH22" s="336">
        <v>45.5</v>
      </c>
      <c r="AI22" s="337">
        <v>47.04</v>
      </c>
      <c r="AJ22" s="337"/>
      <c r="AK22" s="338"/>
      <c r="AL22" s="339">
        <f t="shared" si="56"/>
        <v>92.539999999999992</v>
      </c>
      <c r="AM22" s="32">
        <v>64.430000000000007</v>
      </c>
      <c r="AN22" s="33">
        <v>57.06</v>
      </c>
      <c r="AO22" s="33"/>
      <c r="AP22" s="340"/>
      <c r="AQ22" s="341">
        <f t="shared" si="57"/>
        <v>121.49000000000001</v>
      </c>
      <c r="AR22" s="32">
        <v>84.91</v>
      </c>
      <c r="AS22" s="33">
        <v>44.04</v>
      </c>
      <c r="AT22" s="33"/>
      <c r="AU22" s="340"/>
      <c r="AV22" s="342">
        <f t="shared" si="58"/>
        <v>128.94999999999999</v>
      </c>
      <c r="AW22" s="32">
        <v>65.47</v>
      </c>
      <c r="AX22" s="33">
        <v>3.5</v>
      </c>
      <c r="AY22" s="33"/>
      <c r="AZ22" s="340"/>
      <c r="BA22" s="342">
        <f t="shared" si="59"/>
        <v>68.97</v>
      </c>
      <c r="BB22" s="32">
        <f>82.14+2.45</f>
        <v>84.59</v>
      </c>
      <c r="BC22" s="33">
        <f>48.02+1.43</f>
        <v>49.45</v>
      </c>
      <c r="BD22" s="33"/>
      <c r="BE22" s="340"/>
      <c r="BF22" s="342">
        <f t="shared" si="65"/>
        <v>134.04000000000002</v>
      </c>
      <c r="BG22" s="32">
        <v>61.94</v>
      </c>
      <c r="BH22" s="33">
        <f>60.15+1.58</f>
        <v>61.73</v>
      </c>
      <c r="BI22" s="33"/>
      <c r="BJ22" s="343"/>
      <c r="BK22" s="342">
        <f t="shared" si="60"/>
        <v>123.66999999999999</v>
      </c>
      <c r="BL22" s="32">
        <f>63.2+5.29</f>
        <v>68.490000000000009</v>
      </c>
      <c r="BM22" s="33">
        <v>44.73</v>
      </c>
      <c r="BN22" s="33"/>
      <c r="BO22" s="343"/>
      <c r="BP22" s="341">
        <f t="shared" si="61"/>
        <v>113.22</v>
      </c>
      <c r="BQ22" s="32">
        <f>30.27+0.73</f>
        <v>31</v>
      </c>
      <c r="BR22" s="43">
        <v>24.04</v>
      </c>
      <c r="BS22" s="43"/>
      <c r="BT22" s="853"/>
      <c r="BU22" s="854">
        <f t="shared" si="14"/>
        <v>55.04</v>
      </c>
      <c r="BV22" s="855">
        <v>17.38</v>
      </c>
      <c r="BW22" s="43">
        <v>16.79</v>
      </c>
      <c r="BX22" s="43">
        <v>15.09</v>
      </c>
      <c r="BY22" s="853"/>
      <c r="BZ22" s="856">
        <f t="shared" si="15"/>
        <v>49.260000000000005</v>
      </c>
      <c r="CA22" s="857">
        <v>21.21</v>
      </c>
      <c r="CB22" s="858">
        <v>15.68</v>
      </c>
      <c r="CC22" s="858">
        <v>18.170000000000002</v>
      </c>
      <c r="CD22" s="859"/>
      <c r="CE22" s="860">
        <f t="shared" si="62"/>
        <v>55.06</v>
      </c>
      <c r="CF22" s="857">
        <v>22.13</v>
      </c>
      <c r="CG22" s="858">
        <v>29.62</v>
      </c>
      <c r="CH22" s="858"/>
      <c r="CI22" s="859"/>
      <c r="CJ22" s="860">
        <f t="shared" si="63"/>
        <v>51.75</v>
      </c>
      <c r="CK22" s="857">
        <v>45.4</v>
      </c>
      <c r="CL22" s="858">
        <v>40.75</v>
      </c>
      <c r="CM22" s="858"/>
      <c r="CN22" s="859"/>
      <c r="CO22" s="860">
        <f t="shared" si="64"/>
        <v>86.15</v>
      </c>
      <c r="CP22" s="861">
        <v>26.03</v>
      </c>
      <c r="CQ22" s="411">
        <v>33.56</v>
      </c>
      <c r="CR22" s="411">
        <v>16.59</v>
      </c>
      <c r="CS22" s="862"/>
      <c r="CT22" s="863">
        <v>76.180000000000007</v>
      </c>
      <c r="CU22" s="861">
        <v>17.149999999999999</v>
      </c>
      <c r="CV22" s="411">
        <v>67.209999999999994</v>
      </c>
      <c r="CW22" s="411"/>
      <c r="CX22" s="862"/>
      <c r="CY22" s="863">
        <f t="shared" si="2"/>
        <v>84.359999999999985</v>
      </c>
      <c r="CZ22" s="861">
        <v>80.569999999999993</v>
      </c>
      <c r="DA22" s="411"/>
      <c r="DB22" s="411"/>
      <c r="DC22" s="862"/>
      <c r="DD22" s="863">
        <f t="shared" si="3"/>
        <v>80.569999999999993</v>
      </c>
      <c r="DE22" s="861">
        <v>96.34</v>
      </c>
      <c r="DF22" s="411"/>
      <c r="DG22" s="411"/>
      <c r="DH22" s="862"/>
      <c r="DI22" s="863">
        <f t="shared" si="4"/>
        <v>96.34</v>
      </c>
      <c r="DJ22" s="861">
        <v>113.44</v>
      </c>
      <c r="DK22" s="411"/>
      <c r="DL22" s="411"/>
      <c r="DM22" s="862"/>
      <c r="DN22" s="863">
        <f t="shared" si="16"/>
        <v>113.44</v>
      </c>
      <c r="DO22" s="861">
        <v>119.28</v>
      </c>
      <c r="DP22" s="411"/>
      <c r="DQ22" s="411"/>
      <c r="DR22" s="862"/>
      <c r="DS22" s="863">
        <f t="shared" si="17"/>
        <v>119.28</v>
      </c>
      <c r="DT22" s="861">
        <v>97.38</v>
      </c>
      <c r="DU22" s="411"/>
      <c r="DV22" s="411"/>
      <c r="DW22" s="862"/>
      <c r="DX22" s="863">
        <f t="shared" si="18"/>
        <v>97.38</v>
      </c>
      <c r="DY22" s="861">
        <v>65.260000000000005</v>
      </c>
      <c r="DZ22" s="411">
        <v>42.5</v>
      </c>
      <c r="EA22" s="411"/>
      <c r="EB22" s="862"/>
      <c r="EC22" s="863">
        <f t="shared" si="19"/>
        <v>107.76</v>
      </c>
      <c r="ED22" s="861">
        <v>42.3</v>
      </c>
      <c r="EE22" s="411">
        <v>21.67</v>
      </c>
      <c r="EF22" s="411"/>
      <c r="EG22" s="862"/>
      <c r="EH22" s="863">
        <f t="shared" si="20"/>
        <v>63.97</v>
      </c>
      <c r="EI22" s="861">
        <v>15.89</v>
      </c>
      <c r="EJ22" s="411">
        <v>46.09</v>
      </c>
      <c r="EK22" s="411"/>
      <c r="EL22" s="862"/>
      <c r="EM22" s="863">
        <f t="shared" si="21"/>
        <v>61.980000000000004</v>
      </c>
      <c r="EN22" s="861">
        <v>47.14</v>
      </c>
      <c r="EO22" s="411"/>
      <c r="EP22" s="411"/>
      <c r="EQ22" s="862"/>
      <c r="ER22" s="863">
        <f t="shared" si="22"/>
        <v>47.14</v>
      </c>
      <c r="ES22" s="861">
        <v>52.74</v>
      </c>
      <c r="ET22" s="411">
        <v>33.159999999999997</v>
      </c>
      <c r="EU22" s="411"/>
      <c r="EV22" s="862"/>
      <c r="EW22" s="863">
        <f t="shared" si="23"/>
        <v>85.9</v>
      </c>
      <c r="EX22" s="861">
        <v>35.33</v>
      </c>
      <c r="EY22" s="411">
        <v>35.04</v>
      </c>
      <c r="EZ22" s="411">
        <v>7.22</v>
      </c>
      <c r="FA22" s="862"/>
      <c r="FB22" s="863">
        <f t="shared" si="24"/>
        <v>77.59</v>
      </c>
      <c r="FC22" s="861">
        <v>29.15</v>
      </c>
      <c r="FD22" s="411">
        <v>64.63</v>
      </c>
      <c r="FE22" s="411"/>
      <c r="FF22" s="862"/>
      <c r="FG22" s="863">
        <f t="shared" si="25"/>
        <v>93.78</v>
      </c>
      <c r="FH22" s="861">
        <v>43.04</v>
      </c>
      <c r="FI22" s="411">
        <v>42.88</v>
      </c>
      <c r="FJ22" s="411"/>
      <c r="FK22" s="862"/>
      <c r="FL22" s="863">
        <f t="shared" si="26"/>
        <v>85.92</v>
      </c>
      <c r="FM22" s="861">
        <v>51.48</v>
      </c>
      <c r="FN22" s="411">
        <v>58.16</v>
      </c>
      <c r="FO22" s="411"/>
      <c r="FP22" s="862"/>
      <c r="FQ22" s="863">
        <f t="shared" si="27"/>
        <v>109.63999999999999</v>
      </c>
      <c r="FR22" s="861">
        <v>82.53</v>
      </c>
      <c r="FS22" s="411">
        <v>11.9</v>
      </c>
      <c r="FT22" s="411"/>
      <c r="FU22" s="862"/>
      <c r="FV22" s="863">
        <f t="shared" si="28"/>
        <v>94.43</v>
      </c>
      <c r="FW22" s="861">
        <v>49.54</v>
      </c>
      <c r="FX22" s="411">
        <v>63.08</v>
      </c>
      <c r="FY22" s="411"/>
      <c r="FZ22" s="862"/>
      <c r="GA22" s="863">
        <f t="shared" si="29"/>
        <v>112.62</v>
      </c>
      <c r="GB22" s="861">
        <v>48.27</v>
      </c>
      <c r="GC22" s="411">
        <v>50.61</v>
      </c>
      <c r="GD22" s="411"/>
      <c r="GE22" s="862"/>
      <c r="GF22" s="863">
        <f t="shared" si="30"/>
        <v>98.88</v>
      </c>
      <c r="GG22" s="346">
        <v>46.01</v>
      </c>
      <c r="GH22" s="347">
        <v>28.91</v>
      </c>
      <c r="GI22" s="347"/>
      <c r="GJ22" s="348"/>
      <c r="GK22" s="349">
        <f t="shared" si="31"/>
        <v>74.92</v>
      </c>
      <c r="GL22" s="346">
        <v>29.21</v>
      </c>
      <c r="GM22" s="347">
        <v>27.67</v>
      </c>
      <c r="GN22" s="347"/>
      <c r="GO22" s="348"/>
      <c r="GP22" s="349">
        <f t="shared" si="32"/>
        <v>56.88</v>
      </c>
      <c r="GQ22" s="346">
        <v>23.1</v>
      </c>
      <c r="GR22" s="347">
        <v>21.69</v>
      </c>
      <c r="GS22" s="347"/>
      <c r="GT22" s="348"/>
      <c r="GU22" s="349">
        <f t="shared" si="33"/>
        <v>44.790000000000006</v>
      </c>
      <c r="GV22" s="346">
        <v>45.89</v>
      </c>
      <c r="GW22" s="347">
        <v>22.12</v>
      </c>
      <c r="GX22" s="347"/>
      <c r="GY22" s="348"/>
      <c r="GZ22" s="349">
        <f t="shared" si="34"/>
        <v>68.010000000000005</v>
      </c>
      <c r="HA22" s="346">
        <v>23.22</v>
      </c>
      <c r="HB22" s="347">
        <v>24.79</v>
      </c>
      <c r="HC22" s="347"/>
      <c r="HD22" s="348"/>
      <c r="HE22" s="349">
        <f t="shared" si="35"/>
        <v>48.01</v>
      </c>
      <c r="HF22" s="346">
        <v>25.94</v>
      </c>
      <c r="HG22" s="347">
        <v>27.51</v>
      </c>
      <c r="HH22" s="347"/>
      <c r="HI22" s="348"/>
      <c r="HJ22" s="349">
        <f t="shared" si="36"/>
        <v>53.45</v>
      </c>
      <c r="HK22" s="346">
        <v>25.66</v>
      </c>
      <c r="HL22" s="347">
        <v>29.12</v>
      </c>
      <c r="HM22" s="347">
        <v>16.309999999999999</v>
      </c>
      <c r="HN22" s="348"/>
      <c r="HO22" s="349">
        <f t="shared" si="37"/>
        <v>71.09</v>
      </c>
      <c r="HP22" s="346">
        <v>38.74</v>
      </c>
      <c r="HQ22" s="347">
        <v>58.15</v>
      </c>
      <c r="HR22" s="347"/>
      <c r="HS22" s="348"/>
      <c r="HT22" s="349">
        <f t="shared" si="38"/>
        <v>96.89</v>
      </c>
      <c r="HU22" s="346">
        <v>80.66</v>
      </c>
      <c r="HV22" s="352"/>
      <c r="HW22" s="347"/>
      <c r="HX22" s="348"/>
      <c r="HY22" s="349">
        <f t="shared" si="39"/>
        <v>80.66</v>
      </c>
      <c r="HZ22" s="346">
        <v>104.81</v>
      </c>
      <c r="IA22" s="347">
        <v>79.900000000000006</v>
      </c>
      <c r="IB22" s="347"/>
      <c r="IC22" s="348"/>
      <c r="ID22" s="349">
        <f t="shared" si="40"/>
        <v>184.71</v>
      </c>
      <c r="IE22" s="88">
        <f>44.77+3</f>
        <v>47.77</v>
      </c>
      <c r="IF22" s="89">
        <f>35.09+3.849</f>
        <v>38.939000000000007</v>
      </c>
      <c r="IG22" s="89">
        <v>52.42</v>
      </c>
      <c r="IH22" s="345"/>
      <c r="II22" s="344">
        <f t="shared" si="41"/>
        <v>139.12900000000002</v>
      </c>
      <c r="IJ22" s="88">
        <v>28.76</v>
      </c>
      <c r="IK22" s="89">
        <v>42.98</v>
      </c>
      <c r="IL22" s="345">
        <v>8.58</v>
      </c>
      <c r="IM22" s="340"/>
      <c r="IN22" s="492">
        <f t="shared" si="42"/>
        <v>80.319999999999993</v>
      </c>
      <c r="IO22" s="492"/>
      <c r="IP22" s="886">
        <f t="shared" si="43"/>
        <v>998.85899999999992</v>
      </c>
      <c r="IQ22" s="501">
        <v>56.69</v>
      </c>
      <c r="IR22" s="33">
        <v>20.399999999999999</v>
      </c>
      <c r="IS22" s="33">
        <v>14.31</v>
      </c>
      <c r="IT22" s="340"/>
      <c r="IU22" s="342">
        <f t="shared" si="44"/>
        <v>91.4</v>
      </c>
      <c r="IV22" s="32">
        <v>74.7</v>
      </c>
      <c r="IW22" s="353"/>
      <c r="IX22" s="33"/>
      <c r="IY22" s="340"/>
      <c r="IZ22" s="342">
        <f t="shared" si="45"/>
        <v>74.7</v>
      </c>
      <c r="JA22" s="32">
        <v>32.619999999999997</v>
      </c>
      <c r="JB22" s="33">
        <v>24.97</v>
      </c>
      <c r="JC22" s="33"/>
      <c r="JD22" s="340"/>
      <c r="JE22" s="342">
        <f t="shared" si="46"/>
        <v>57.589999999999996</v>
      </c>
      <c r="JF22" s="32">
        <v>47.86</v>
      </c>
      <c r="JG22" s="353"/>
      <c r="JH22" s="33"/>
      <c r="JI22" s="340"/>
      <c r="JJ22" s="342">
        <f t="shared" si="47"/>
        <v>47.86</v>
      </c>
      <c r="JK22" s="32">
        <v>38.229999999999997</v>
      </c>
      <c r="JL22" s="33">
        <v>22.22</v>
      </c>
      <c r="JM22" s="33">
        <v>30.11</v>
      </c>
      <c r="JN22" s="340"/>
      <c r="JO22" s="342">
        <f t="shared" si="48"/>
        <v>90.56</v>
      </c>
      <c r="JP22" s="32">
        <v>29.55</v>
      </c>
      <c r="JQ22" s="33">
        <v>26.67</v>
      </c>
      <c r="JR22" s="33"/>
      <c r="JS22" s="340"/>
      <c r="JT22" s="342">
        <f t="shared" si="49"/>
        <v>56.22</v>
      </c>
      <c r="JU22" s="32">
        <v>29.55</v>
      </c>
      <c r="JV22" s="33">
        <v>30.66</v>
      </c>
      <c r="JW22" s="33">
        <v>29.32</v>
      </c>
      <c r="JX22" s="340"/>
      <c r="JY22" s="342">
        <f t="shared" si="50"/>
        <v>89.53</v>
      </c>
      <c r="JZ22" s="32">
        <v>29.87</v>
      </c>
      <c r="KA22" s="33">
        <v>36.6</v>
      </c>
      <c r="KB22" s="33"/>
      <c r="KC22" s="340"/>
      <c r="KD22" s="342">
        <f t="shared" si="51"/>
        <v>66.47</v>
      </c>
      <c r="KE22" s="32">
        <v>39.58</v>
      </c>
      <c r="KF22" s="33">
        <v>52.31</v>
      </c>
      <c r="KG22" s="33">
        <v>0</v>
      </c>
      <c r="KH22" s="340">
        <v>0</v>
      </c>
      <c r="KI22" s="342">
        <f t="shared" si="52"/>
        <v>91.89</v>
      </c>
      <c r="KJ22" s="32">
        <v>46.48</v>
      </c>
      <c r="KK22" s="33">
        <v>69.669999999999987</v>
      </c>
      <c r="KL22" s="33">
        <v>0</v>
      </c>
      <c r="KM22" s="340">
        <v>0</v>
      </c>
      <c r="KN22" s="342">
        <f t="shared" si="53"/>
        <v>116.14999999999998</v>
      </c>
      <c r="KO22" s="32">
        <v>78.239999999999995</v>
      </c>
      <c r="KP22" s="33">
        <v>65.34</v>
      </c>
      <c r="KQ22" s="33">
        <v>0</v>
      </c>
      <c r="KR22" s="340">
        <v>0</v>
      </c>
      <c r="KS22" s="342">
        <f t="shared" si="54"/>
        <v>143.57999999999998</v>
      </c>
      <c r="KT22" s="32">
        <f t="shared" si="5"/>
        <v>59.580000000000005</v>
      </c>
      <c r="KU22" s="33">
        <f t="shared" si="6"/>
        <v>53.370000000000005</v>
      </c>
      <c r="KV22" s="33">
        <f t="shared" si="7"/>
        <v>0</v>
      </c>
      <c r="KW22" s="340">
        <f t="shared" si="8"/>
        <v>0</v>
      </c>
      <c r="KX22" s="342">
        <f t="shared" si="9"/>
        <v>112.95000000000002</v>
      </c>
      <c r="KZ22" s="507">
        <f t="shared" si="55"/>
        <v>1038.9000000000001</v>
      </c>
    </row>
    <row r="23" spans="1:312" ht="15.75" x14ac:dyDescent="0.25">
      <c r="A23" s="325"/>
      <c r="B23" s="326">
        <v>14</v>
      </c>
      <c r="C23" s="327">
        <v>41.6</v>
      </c>
      <c r="D23" s="328">
        <v>38.35</v>
      </c>
      <c r="E23" s="329"/>
      <c r="F23" s="330"/>
      <c r="G23" s="331"/>
      <c r="H23" s="332">
        <f t="shared" si="10"/>
        <v>38.35</v>
      </c>
      <c r="I23" s="333">
        <v>41.82</v>
      </c>
      <c r="J23" s="334"/>
      <c r="K23" s="334"/>
      <c r="L23" s="335"/>
      <c r="M23" s="300">
        <f t="shared" si="11"/>
        <v>41.82</v>
      </c>
      <c r="N23" s="333">
        <v>53.95</v>
      </c>
      <c r="O23" s="334"/>
      <c r="P23" s="334"/>
      <c r="Q23" s="335"/>
      <c r="R23" s="300">
        <f t="shared" si="0"/>
        <v>53.95</v>
      </c>
      <c r="S23" s="333">
        <v>51.45</v>
      </c>
      <c r="T23" s="334">
        <v>19.91</v>
      </c>
      <c r="U23" s="334"/>
      <c r="V23" s="335"/>
      <c r="W23" s="300">
        <f t="shared" si="1"/>
        <v>71.36</v>
      </c>
      <c r="X23" s="333">
        <v>6.95</v>
      </c>
      <c r="Y23" s="334">
        <v>47.02</v>
      </c>
      <c r="Z23" s="334"/>
      <c r="AA23" s="335"/>
      <c r="AB23" s="300">
        <f t="shared" si="12"/>
        <v>53.970000000000006</v>
      </c>
      <c r="AC23" s="336">
        <v>57.92</v>
      </c>
      <c r="AD23" s="337"/>
      <c r="AE23" s="337"/>
      <c r="AF23" s="338"/>
      <c r="AG23" s="304">
        <f t="shared" si="13"/>
        <v>57.92</v>
      </c>
      <c r="AH23" s="336">
        <f>61.18+1.71</f>
        <v>62.89</v>
      </c>
      <c r="AI23" s="337">
        <v>27.94</v>
      </c>
      <c r="AJ23" s="337"/>
      <c r="AK23" s="338"/>
      <c r="AL23" s="339">
        <f t="shared" si="56"/>
        <v>90.83</v>
      </c>
      <c r="AM23" s="32">
        <v>20.47</v>
      </c>
      <c r="AN23" s="33">
        <v>35.779000000000003</v>
      </c>
      <c r="AO23" s="33">
        <v>4.25</v>
      </c>
      <c r="AP23" s="340"/>
      <c r="AQ23" s="341">
        <f t="shared" si="57"/>
        <v>60.499000000000002</v>
      </c>
      <c r="AR23" s="32">
        <v>36.049999999999997</v>
      </c>
      <c r="AS23" s="33">
        <v>44.85</v>
      </c>
      <c r="AT23" s="33"/>
      <c r="AU23" s="340"/>
      <c r="AV23" s="342">
        <f t="shared" si="58"/>
        <v>80.900000000000006</v>
      </c>
      <c r="AW23" s="32">
        <v>70.13</v>
      </c>
      <c r="AX23" s="33"/>
      <c r="AY23" s="33"/>
      <c r="AZ23" s="340"/>
      <c r="BA23" s="342">
        <f t="shared" si="59"/>
        <v>70.13</v>
      </c>
      <c r="BB23" s="32">
        <v>54.78</v>
      </c>
      <c r="BC23" s="33">
        <f>37.09+2.11</f>
        <v>39.200000000000003</v>
      </c>
      <c r="BD23" s="33"/>
      <c r="BE23" s="340"/>
      <c r="BF23" s="342">
        <f t="shared" si="65"/>
        <v>93.98</v>
      </c>
      <c r="BG23" s="32">
        <f>31.43+0.99</f>
        <v>32.42</v>
      </c>
      <c r="BH23" s="33">
        <v>50.06</v>
      </c>
      <c r="BI23" s="33"/>
      <c r="BJ23" s="343"/>
      <c r="BK23" s="342">
        <f t="shared" si="60"/>
        <v>82.48</v>
      </c>
      <c r="BL23" s="32">
        <f>24.04+2.1</f>
        <v>26.14</v>
      </c>
      <c r="BM23" s="33"/>
      <c r="BN23" s="33"/>
      <c r="BO23" s="343"/>
      <c r="BP23" s="341">
        <f t="shared" si="61"/>
        <v>26.14</v>
      </c>
      <c r="BQ23" s="32">
        <f>44.67+2.14</f>
        <v>46.81</v>
      </c>
      <c r="BR23" s="43">
        <v>18.75</v>
      </c>
      <c r="BS23" s="43"/>
      <c r="BT23" s="853"/>
      <c r="BU23" s="854">
        <f t="shared" si="14"/>
        <v>65.56</v>
      </c>
      <c r="BV23" s="855">
        <v>19.71</v>
      </c>
      <c r="BW23" s="43">
        <v>14.5</v>
      </c>
      <c r="BX23" s="43"/>
      <c r="BY23" s="853"/>
      <c r="BZ23" s="856">
        <f t="shared" si="15"/>
        <v>34.21</v>
      </c>
      <c r="CA23" s="857">
        <v>29.24</v>
      </c>
      <c r="CB23" s="858"/>
      <c r="CC23" s="858"/>
      <c r="CD23" s="859"/>
      <c r="CE23" s="860">
        <f t="shared" si="62"/>
        <v>29.24</v>
      </c>
      <c r="CF23" s="857">
        <v>28.13</v>
      </c>
      <c r="CG23" s="858"/>
      <c r="CH23" s="858"/>
      <c r="CI23" s="859"/>
      <c r="CJ23" s="860">
        <f t="shared" si="63"/>
        <v>28.13</v>
      </c>
      <c r="CK23" s="857">
        <v>49.87</v>
      </c>
      <c r="CL23" s="858">
        <v>36.75</v>
      </c>
      <c r="CM23" s="858"/>
      <c r="CN23" s="859"/>
      <c r="CO23" s="860">
        <f t="shared" si="64"/>
        <v>86.62</v>
      </c>
      <c r="CP23" s="861">
        <v>26.37</v>
      </c>
      <c r="CQ23" s="411">
        <v>18.55</v>
      </c>
      <c r="CR23" s="411"/>
      <c r="CS23" s="862"/>
      <c r="CT23" s="863">
        <v>44.92</v>
      </c>
      <c r="CU23" s="861">
        <v>29</v>
      </c>
      <c r="CV23" s="411">
        <v>33.590000000000003</v>
      </c>
      <c r="CW23" s="411"/>
      <c r="CX23" s="862"/>
      <c r="CY23" s="863">
        <f t="shared" si="2"/>
        <v>62.59</v>
      </c>
      <c r="CZ23" s="861">
        <v>49.78</v>
      </c>
      <c r="DA23" s="411"/>
      <c r="DB23" s="411"/>
      <c r="DC23" s="862"/>
      <c r="DD23" s="863">
        <f t="shared" si="3"/>
        <v>49.78</v>
      </c>
      <c r="DE23" s="861">
        <v>59</v>
      </c>
      <c r="DF23" s="411"/>
      <c r="DG23" s="411"/>
      <c r="DH23" s="862"/>
      <c r="DI23" s="863">
        <f t="shared" si="4"/>
        <v>59</v>
      </c>
      <c r="DJ23" s="861">
        <v>61.58</v>
      </c>
      <c r="DK23" s="411"/>
      <c r="DL23" s="411"/>
      <c r="DM23" s="862"/>
      <c r="DN23" s="863">
        <f t="shared" si="16"/>
        <v>61.58</v>
      </c>
      <c r="DO23" s="861">
        <v>64.37</v>
      </c>
      <c r="DP23" s="411"/>
      <c r="DQ23" s="411"/>
      <c r="DR23" s="862"/>
      <c r="DS23" s="863">
        <f t="shared" si="17"/>
        <v>64.37</v>
      </c>
      <c r="DT23" s="861">
        <v>63.52</v>
      </c>
      <c r="DU23" s="411"/>
      <c r="DV23" s="411"/>
      <c r="DW23" s="862"/>
      <c r="DX23" s="863">
        <f t="shared" si="18"/>
        <v>63.52</v>
      </c>
      <c r="DY23" s="861">
        <v>42.41</v>
      </c>
      <c r="DZ23" s="411"/>
      <c r="EA23" s="411"/>
      <c r="EB23" s="862"/>
      <c r="EC23" s="863">
        <f t="shared" si="19"/>
        <v>42.41</v>
      </c>
      <c r="ED23" s="861">
        <v>45.37</v>
      </c>
      <c r="EE23" s="411"/>
      <c r="EF23" s="411"/>
      <c r="EG23" s="862"/>
      <c r="EH23" s="863">
        <f t="shared" si="20"/>
        <v>45.37</v>
      </c>
      <c r="EI23" s="861">
        <v>31.07</v>
      </c>
      <c r="EJ23" s="411">
        <v>26.98</v>
      </c>
      <c r="EK23" s="411"/>
      <c r="EL23" s="862"/>
      <c r="EM23" s="863">
        <f t="shared" si="21"/>
        <v>58.05</v>
      </c>
      <c r="EN23" s="861">
        <v>29.4</v>
      </c>
      <c r="EO23" s="411">
        <v>7.83</v>
      </c>
      <c r="EP23" s="411"/>
      <c r="EQ23" s="862"/>
      <c r="ER23" s="863">
        <f t="shared" si="22"/>
        <v>37.229999999999997</v>
      </c>
      <c r="ES23" s="861">
        <v>40.89</v>
      </c>
      <c r="ET23" s="411">
        <v>18.78</v>
      </c>
      <c r="EU23" s="411"/>
      <c r="EV23" s="862"/>
      <c r="EW23" s="863">
        <f t="shared" si="23"/>
        <v>59.67</v>
      </c>
      <c r="EX23" s="861">
        <v>33.5</v>
      </c>
      <c r="EY23" s="411">
        <v>21.97</v>
      </c>
      <c r="EZ23" s="411"/>
      <c r="FA23" s="862"/>
      <c r="FB23" s="863">
        <f t="shared" si="24"/>
        <v>55.47</v>
      </c>
      <c r="FC23" s="861">
        <v>26.71</v>
      </c>
      <c r="FD23" s="411">
        <v>24.97</v>
      </c>
      <c r="FE23" s="411"/>
      <c r="FF23" s="862"/>
      <c r="FG23" s="863">
        <f t="shared" si="25"/>
        <v>51.68</v>
      </c>
      <c r="FH23" s="861">
        <v>38.979999999999997</v>
      </c>
      <c r="FI23" s="411">
        <v>19.809999999999999</v>
      </c>
      <c r="FJ23" s="411"/>
      <c r="FK23" s="862"/>
      <c r="FL23" s="863">
        <f t="shared" si="26"/>
        <v>58.789999999999992</v>
      </c>
      <c r="FM23" s="861">
        <v>42.2</v>
      </c>
      <c r="FN23" s="411">
        <v>37.58</v>
      </c>
      <c r="FO23" s="411"/>
      <c r="FP23" s="862"/>
      <c r="FQ23" s="863">
        <f t="shared" si="27"/>
        <v>79.78</v>
      </c>
      <c r="FR23" s="861">
        <v>23.8</v>
      </c>
      <c r="FS23" s="411">
        <v>34.11</v>
      </c>
      <c r="FT23" s="411"/>
      <c r="FU23" s="862"/>
      <c r="FV23" s="863">
        <f t="shared" si="28"/>
        <v>57.91</v>
      </c>
      <c r="FW23" s="861">
        <v>40.729999999999997</v>
      </c>
      <c r="FX23" s="411">
        <v>36.65</v>
      </c>
      <c r="FY23" s="411"/>
      <c r="FZ23" s="862"/>
      <c r="GA23" s="863">
        <f t="shared" si="29"/>
        <v>77.38</v>
      </c>
      <c r="GB23" s="861">
        <v>29.96</v>
      </c>
      <c r="GC23" s="411">
        <v>33.44</v>
      </c>
      <c r="GD23" s="411"/>
      <c r="GE23" s="862"/>
      <c r="GF23" s="863">
        <f t="shared" si="30"/>
        <v>63.4</v>
      </c>
      <c r="GG23" s="346">
        <v>49.21</v>
      </c>
      <c r="GH23" s="347">
        <v>3.66</v>
      </c>
      <c r="GI23" s="347"/>
      <c r="GJ23" s="348"/>
      <c r="GK23" s="349">
        <f t="shared" si="31"/>
        <v>52.870000000000005</v>
      </c>
      <c r="GL23" s="346">
        <v>15.54</v>
      </c>
      <c r="GM23" s="347">
        <v>23.28</v>
      </c>
      <c r="GN23" s="347"/>
      <c r="GO23" s="348"/>
      <c r="GP23" s="349">
        <f t="shared" si="32"/>
        <v>38.82</v>
      </c>
      <c r="GQ23" s="346">
        <v>12.49</v>
      </c>
      <c r="GR23" s="347">
        <v>6.09</v>
      </c>
      <c r="GS23" s="347"/>
      <c r="GT23" s="348"/>
      <c r="GU23" s="349">
        <f t="shared" si="33"/>
        <v>18.579999999999998</v>
      </c>
      <c r="GV23" s="346">
        <v>28.29</v>
      </c>
      <c r="GW23" s="347">
        <v>19.72</v>
      </c>
      <c r="GX23" s="347"/>
      <c r="GY23" s="348"/>
      <c r="GZ23" s="349">
        <f t="shared" si="34"/>
        <v>48.01</v>
      </c>
      <c r="HA23" s="346">
        <v>44.78</v>
      </c>
      <c r="HB23" s="347">
        <v>26.98</v>
      </c>
      <c r="HC23" s="347"/>
      <c r="HD23" s="348"/>
      <c r="HE23" s="349">
        <f t="shared" si="35"/>
        <v>71.760000000000005</v>
      </c>
      <c r="HF23" s="346">
        <v>25.46</v>
      </c>
      <c r="HG23" s="347">
        <v>15.82</v>
      </c>
      <c r="HH23" s="347"/>
      <c r="HI23" s="348"/>
      <c r="HJ23" s="349">
        <f t="shared" si="36"/>
        <v>41.28</v>
      </c>
      <c r="HK23" s="346">
        <v>41.1</v>
      </c>
      <c r="HL23" s="347">
        <v>11.93</v>
      </c>
      <c r="HM23" s="347"/>
      <c r="HN23" s="348"/>
      <c r="HO23" s="349">
        <f t="shared" si="37"/>
        <v>53.03</v>
      </c>
      <c r="HP23" s="346">
        <v>87.25</v>
      </c>
      <c r="HQ23" s="347">
        <v>17.93</v>
      </c>
      <c r="HR23" s="347"/>
      <c r="HS23" s="348"/>
      <c r="HT23" s="349">
        <f t="shared" si="38"/>
        <v>105.18</v>
      </c>
      <c r="HU23" s="346">
        <v>3.62</v>
      </c>
      <c r="HV23" s="347">
        <v>46.62</v>
      </c>
      <c r="HW23" s="347">
        <v>34.22</v>
      </c>
      <c r="HX23" s="348"/>
      <c r="HY23" s="349">
        <f t="shared" si="39"/>
        <v>84.46</v>
      </c>
      <c r="HZ23" s="346">
        <v>32.299999999999997</v>
      </c>
      <c r="IA23" s="347">
        <v>63.89</v>
      </c>
      <c r="IB23" s="347"/>
      <c r="IC23" s="348"/>
      <c r="ID23" s="349">
        <f t="shared" si="40"/>
        <v>96.19</v>
      </c>
      <c r="IE23" s="88">
        <f>28.86+2.636</f>
        <v>31.495999999999999</v>
      </c>
      <c r="IF23" s="89">
        <v>27.1</v>
      </c>
      <c r="IG23" s="89"/>
      <c r="IH23" s="345"/>
      <c r="II23" s="344">
        <f t="shared" si="41"/>
        <v>58.596000000000004</v>
      </c>
      <c r="IJ23" s="88">
        <v>59.76</v>
      </c>
      <c r="IK23" s="89">
        <v>34.15</v>
      </c>
      <c r="IL23" s="345"/>
      <c r="IM23" s="340"/>
      <c r="IN23" s="492">
        <f t="shared" si="42"/>
        <v>93.91</v>
      </c>
      <c r="IO23" s="492"/>
      <c r="IP23" s="886">
        <f t="shared" si="43"/>
        <v>762.68600000000004</v>
      </c>
      <c r="IQ23" s="501">
        <v>11.26</v>
      </c>
      <c r="IR23" s="33">
        <v>35.479999999999997</v>
      </c>
      <c r="IS23" s="33"/>
      <c r="IT23" s="340"/>
      <c r="IU23" s="342">
        <f t="shared" si="44"/>
        <v>46.739999999999995</v>
      </c>
      <c r="IV23" s="32">
        <v>35.03</v>
      </c>
      <c r="IW23" s="33">
        <v>4.21</v>
      </c>
      <c r="IX23" s="33"/>
      <c r="IY23" s="340"/>
      <c r="IZ23" s="342">
        <f t="shared" si="45"/>
        <v>39.24</v>
      </c>
      <c r="JA23" s="32">
        <v>22.95</v>
      </c>
      <c r="JB23" s="33">
        <v>9.1300000000000008</v>
      </c>
      <c r="JC23" s="33"/>
      <c r="JD23" s="340"/>
      <c r="JE23" s="342">
        <f t="shared" si="46"/>
        <v>32.08</v>
      </c>
      <c r="JF23" s="32">
        <v>52.23</v>
      </c>
      <c r="JG23" s="33">
        <v>9.64</v>
      </c>
      <c r="JH23" s="33"/>
      <c r="JI23" s="340"/>
      <c r="JJ23" s="342">
        <f t="shared" si="47"/>
        <v>61.87</v>
      </c>
      <c r="JK23" s="32">
        <v>44.44</v>
      </c>
      <c r="JL23" s="33">
        <v>11.04</v>
      </c>
      <c r="JM23" s="33"/>
      <c r="JN23" s="340"/>
      <c r="JO23" s="342">
        <f t="shared" si="48"/>
        <v>55.48</v>
      </c>
      <c r="JP23" s="32">
        <v>37.78</v>
      </c>
      <c r="JQ23" s="33">
        <v>39.17</v>
      </c>
      <c r="JR23" s="33"/>
      <c r="JS23" s="340"/>
      <c r="JT23" s="342">
        <f t="shared" si="49"/>
        <v>76.95</v>
      </c>
      <c r="JU23" s="32">
        <v>19.989999999999998</v>
      </c>
      <c r="JV23" s="33">
        <v>42.53</v>
      </c>
      <c r="JW23" s="33"/>
      <c r="JX23" s="340"/>
      <c r="JY23" s="342">
        <f t="shared" si="50"/>
        <v>62.519999999999996</v>
      </c>
      <c r="JZ23" s="32">
        <v>37.32</v>
      </c>
      <c r="KA23" s="33">
        <v>21.13</v>
      </c>
      <c r="KB23" s="33"/>
      <c r="KC23" s="340"/>
      <c r="KD23" s="342">
        <f t="shared" si="51"/>
        <v>58.45</v>
      </c>
      <c r="KE23" s="32">
        <v>62.89</v>
      </c>
      <c r="KF23" s="33">
        <v>13.16</v>
      </c>
      <c r="KG23" s="33">
        <v>0</v>
      </c>
      <c r="KH23" s="340">
        <v>0</v>
      </c>
      <c r="KI23" s="342">
        <f t="shared" si="52"/>
        <v>76.05</v>
      </c>
      <c r="KJ23" s="32">
        <v>65.399999999999991</v>
      </c>
      <c r="KK23" s="33">
        <v>0</v>
      </c>
      <c r="KL23" s="33">
        <v>0</v>
      </c>
      <c r="KM23" s="340">
        <v>0</v>
      </c>
      <c r="KN23" s="342">
        <f t="shared" si="53"/>
        <v>65.399999999999991</v>
      </c>
      <c r="KO23" s="32">
        <v>54.75</v>
      </c>
      <c r="KP23" s="33">
        <v>38.659999999999997</v>
      </c>
      <c r="KQ23" s="33">
        <v>0</v>
      </c>
      <c r="KR23" s="340">
        <v>0</v>
      </c>
      <c r="KS23" s="342">
        <f t="shared" si="54"/>
        <v>93.41</v>
      </c>
      <c r="KT23" s="32">
        <f t="shared" si="5"/>
        <v>45.839999999999996</v>
      </c>
      <c r="KU23" s="33">
        <f t="shared" si="6"/>
        <v>0</v>
      </c>
      <c r="KV23" s="33">
        <f t="shared" si="7"/>
        <v>0</v>
      </c>
      <c r="KW23" s="340">
        <f t="shared" si="8"/>
        <v>0</v>
      </c>
      <c r="KX23" s="342">
        <f t="shared" si="9"/>
        <v>45.839999999999996</v>
      </c>
      <c r="KZ23" s="507">
        <f t="shared" si="55"/>
        <v>714.03</v>
      </c>
    </row>
    <row r="24" spans="1:312" ht="15.75" x14ac:dyDescent="0.25">
      <c r="A24" s="325"/>
      <c r="B24" s="326">
        <v>15</v>
      </c>
      <c r="C24" s="327">
        <v>49.3</v>
      </c>
      <c r="D24" s="328">
        <v>21.71</v>
      </c>
      <c r="E24" s="329">
        <v>40.119999999999997</v>
      </c>
      <c r="F24" s="330"/>
      <c r="G24" s="331"/>
      <c r="H24" s="332">
        <f t="shared" si="10"/>
        <v>61.83</v>
      </c>
      <c r="I24" s="333">
        <v>62.85</v>
      </c>
      <c r="J24" s="334"/>
      <c r="K24" s="334"/>
      <c r="L24" s="335"/>
      <c r="M24" s="300">
        <f t="shared" si="11"/>
        <v>62.85</v>
      </c>
      <c r="N24" s="333">
        <v>36.03</v>
      </c>
      <c r="O24" s="334">
        <v>20.18</v>
      </c>
      <c r="P24" s="334"/>
      <c r="Q24" s="335"/>
      <c r="R24" s="300">
        <f t="shared" si="0"/>
        <v>56.21</v>
      </c>
      <c r="S24" s="333">
        <v>52.4</v>
      </c>
      <c r="T24" s="334">
        <v>4.5199999999999996</v>
      </c>
      <c r="U24" s="334"/>
      <c r="V24" s="335"/>
      <c r="W24" s="300">
        <f t="shared" si="1"/>
        <v>56.92</v>
      </c>
      <c r="X24" s="333">
        <v>21.06</v>
      </c>
      <c r="Y24" s="334">
        <v>25.49</v>
      </c>
      <c r="Z24" s="334">
        <v>23.97</v>
      </c>
      <c r="AA24" s="335"/>
      <c r="AB24" s="300">
        <f t="shared" si="12"/>
        <v>70.52</v>
      </c>
      <c r="AC24" s="336">
        <v>40.29</v>
      </c>
      <c r="AD24" s="337">
        <v>30.38</v>
      </c>
      <c r="AE24" s="337"/>
      <c r="AF24" s="338"/>
      <c r="AG24" s="304">
        <f t="shared" si="13"/>
        <v>70.67</v>
      </c>
      <c r="AH24" s="336">
        <v>12.28</v>
      </c>
      <c r="AI24" s="337">
        <v>16.309999999999999</v>
      </c>
      <c r="AJ24" s="364">
        <v>17.55</v>
      </c>
      <c r="AK24" s="338"/>
      <c r="AL24" s="339">
        <f t="shared" si="56"/>
        <v>46.14</v>
      </c>
      <c r="AM24" s="32">
        <v>26.32</v>
      </c>
      <c r="AN24" s="33">
        <v>28.08</v>
      </c>
      <c r="AO24" s="33"/>
      <c r="AP24" s="340"/>
      <c r="AQ24" s="341">
        <f t="shared" si="57"/>
        <v>54.4</v>
      </c>
      <c r="AR24" s="32">
        <v>40.74</v>
      </c>
      <c r="AS24" s="33">
        <v>43.42</v>
      </c>
      <c r="AT24" s="33"/>
      <c r="AU24" s="340"/>
      <c r="AV24" s="342">
        <f t="shared" si="58"/>
        <v>84.16</v>
      </c>
      <c r="AW24" s="32">
        <v>41.24</v>
      </c>
      <c r="AX24" s="33"/>
      <c r="AY24" s="33"/>
      <c r="AZ24" s="340"/>
      <c r="BA24" s="342">
        <f>SUM(AW24:AZ24)</f>
        <v>41.24</v>
      </c>
      <c r="BB24" s="32">
        <v>77</v>
      </c>
      <c r="BC24" s="33">
        <v>59.91</v>
      </c>
      <c r="BD24" s="33"/>
      <c r="BE24" s="340"/>
      <c r="BF24" s="342">
        <f>SUM(BB24:BE24)</f>
        <v>136.91</v>
      </c>
      <c r="BG24" s="32">
        <v>41.24</v>
      </c>
      <c r="BH24" s="33">
        <v>27.29</v>
      </c>
      <c r="BI24" s="33"/>
      <c r="BJ24" s="343"/>
      <c r="BK24" s="342">
        <f t="shared" si="60"/>
        <v>68.53</v>
      </c>
      <c r="BL24" s="32">
        <v>28.63</v>
      </c>
      <c r="BM24" s="33">
        <v>17.63</v>
      </c>
      <c r="BN24" s="33"/>
      <c r="BO24" s="343"/>
      <c r="BP24" s="341">
        <f t="shared" si="61"/>
        <v>46.26</v>
      </c>
      <c r="BQ24" s="32">
        <v>15.21</v>
      </c>
      <c r="BR24" s="43">
        <v>10.43</v>
      </c>
      <c r="BS24" s="43"/>
      <c r="BT24" s="853"/>
      <c r="BU24" s="854">
        <f t="shared" si="14"/>
        <v>25.64</v>
      </c>
      <c r="BV24" s="855">
        <v>10.16</v>
      </c>
      <c r="BW24" s="43">
        <v>9.1999999999999993</v>
      </c>
      <c r="BX24" s="43"/>
      <c r="BY24" s="853"/>
      <c r="BZ24" s="856">
        <f t="shared" si="15"/>
        <v>19.36</v>
      </c>
      <c r="CA24" s="857">
        <v>6.11</v>
      </c>
      <c r="CB24" s="858">
        <v>19.52</v>
      </c>
      <c r="CC24" s="858">
        <v>10.44</v>
      </c>
      <c r="CD24" s="859"/>
      <c r="CE24" s="860">
        <f t="shared" si="62"/>
        <v>36.07</v>
      </c>
      <c r="CF24" s="857">
        <v>20.309999999999999</v>
      </c>
      <c r="CG24" s="858">
        <v>16.690000000000001</v>
      </c>
      <c r="CH24" s="858"/>
      <c r="CI24" s="859"/>
      <c r="CJ24" s="863">
        <f t="shared" si="63"/>
        <v>37</v>
      </c>
      <c r="CK24" s="857">
        <v>26.4</v>
      </c>
      <c r="CL24" s="858">
        <v>22.59</v>
      </c>
      <c r="CM24" s="858"/>
      <c r="CN24" s="859"/>
      <c r="CO24" s="860">
        <f t="shared" si="64"/>
        <v>48.989999999999995</v>
      </c>
      <c r="CP24" s="861">
        <v>23.41</v>
      </c>
      <c r="CQ24" s="411">
        <v>23.85</v>
      </c>
      <c r="CR24" s="411">
        <v>34.479999999999997</v>
      </c>
      <c r="CS24" s="862"/>
      <c r="CT24" s="863">
        <v>81.740000000000009</v>
      </c>
      <c r="CU24" s="861">
        <v>34.39</v>
      </c>
      <c r="CV24" s="411">
        <v>25.83</v>
      </c>
      <c r="CW24" s="411"/>
      <c r="CX24" s="862"/>
      <c r="CY24" s="863">
        <f t="shared" si="2"/>
        <v>60.22</v>
      </c>
      <c r="CZ24" s="861">
        <v>39.25</v>
      </c>
      <c r="DA24" s="411">
        <v>33.590000000000003</v>
      </c>
      <c r="DB24" s="411"/>
      <c r="DC24" s="862"/>
      <c r="DD24" s="863">
        <f t="shared" si="3"/>
        <v>72.84</v>
      </c>
      <c r="DE24" s="861">
        <v>50.53</v>
      </c>
      <c r="DF24" s="411"/>
      <c r="DG24" s="411"/>
      <c r="DH24" s="862"/>
      <c r="DI24" s="863">
        <f t="shared" si="4"/>
        <v>50.53</v>
      </c>
      <c r="DJ24" s="861">
        <v>47.75</v>
      </c>
      <c r="DK24" s="411">
        <v>47.01</v>
      </c>
      <c r="DL24" s="411">
        <v>15.84</v>
      </c>
      <c r="DM24" s="862"/>
      <c r="DN24" s="863">
        <f t="shared" si="16"/>
        <v>110.6</v>
      </c>
      <c r="DO24" s="861">
        <v>23.17</v>
      </c>
      <c r="DP24" s="411">
        <v>38.36</v>
      </c>
      <c r="DQ24" s="411"/>
      <c r="DR24" s="862"/>
      <c r="DS24" s="863">
        <f t="shared" si="17"/>
        <v>61.53</v>
      </c>
      <c r="DT24" s="861">
        <v>44.31</v>
      </c>
      <c r="DU24" s="411">
        <v>37.89</v>
      </c>
      <c r="DV24" s="411"/>
      <c r="DW24" s="862"/>
      <c r="DX24" s="863">
        <f t="shared" si="18"/>
        <v>82.2</v>
      </c>
      <c r="DY24" s="861">
        <v>69.069999999999993</v>
      </c>
      <c r="DZ24" s="411"/>
      <c r="EA24" s="411"/>
      <c r="EB24" s="862"/>
      <c r="EC24" s="863">
        <f t="shared" si="19"/>
        <v>69.069999999999993</v>
      </c>
      <c r="ED24" s="861">
        <v>29.2</v>
      </c>
      <c r="EE24" s="411">
        <v>27.56</v>
      </c>
      <c r="EF24" s="411"/>
      <c r="EG24" s="862"/>
      <c r="EH24" s="863">
        <f t="shared" si="20"/>
        <v>56.76</v>
      </c>
      <c r="EI24" s="861">
        <v>28.55</v>
      </c>
      <c r="EJ24" s="411">
        <v>32.36</v>
      </c>
      <c r="EK24" s="411"/>
      <c r="EL24" s="862"/>
      <c r="EM24" s="863">
        <f t="shared" si="21"/>
        <v>60.91</v>
      </c>
      <c r="EN24" s="861">
        <v>17.399999999999999</v>
      </c>
      <c r="EO24" s="411">
        <v>27.62</v>
      </c>
      <c r="EP24" s="411"/>
      <c r="EQ24" s="862"/>
      <c r="ER24" s="863">
        <f t="shared" si="22"/>
        <v>45.019999999999996</v>
      </c>
      <c r="ES24" s="861">
        <v>26.58</v>
      </c>
      <c r="ET24" s="411">
        <v>25.67</v>
      </c>
      <c r="EU24" s="411"/>
      <c r="EV24" s="862"/>
      <c r="EW24" s="863">
        <f t="shared" si="23"/>
        <v>52.25</v>
      </c>
      <c r="EX24" s="861">
        <v>24.15</v>
      </c>
      <c r="EY24" s="411">
        <v>35.33</v>
      </c>
      <c r="EZ24" s="411"/>
      <c r="FA24" s="862"/>
      <c r="FB24" s="863">
        <f t="shared" si="24"/>
        <v>59.48</v>
      </c>
      <c r="FC24" s="861">
        <v>36.19</v>
      </c>
      <c r="FD24" s="411">
        <v>33.79</v>
      </c>
      <c r="FE24" s="411"/>
      <c r="FF24" s="862"/>
      <c r="FG24" s="863">
        <f t="shared" si="25"/>
        <v>69.97999999999999</v>
      </c>
      <c r="FH24" s="861">
        <v>35.299999999999997</v>
      </c>
      <c r="FI24" s="411">
        <v>30.08</v>
      </c>
      <c r="FJ24" s="411"/>
      <c r="FK24" s="862"/>
      <c r="FL24" s="863">
        <f t="shared" si="26"/>
        <v>65.38</v>
      </c>
      <c r="FM24" s="861">
        <v>34.71</v>
      </c>
      <c r="FN24" s="411">
        <v>34.92</v>
      </c>
      <c r="FO24" s="411"/>
      <c r="FP24" s="862"/>
      <c r="FQ24" s="863">
        <f t="shared" si="27"/>
        <v>69.63</v>
      </c>
      <c r="FR24" s="861">
        <v>39.159999999999997</v>
      </c>
      <c r="FS24" s="411">
        <v>36.33</v>
      </c>
      <c r="FT24" s="411"/>
      <c r="FU24" s="862"/>
      <c r="FV24" s="863">
        <f t="shared" si="28"/>
        <v>75.489999999999995</v>
      </c>
      <c r="FW24" s="861">
        <v>35.28</v>
      </c>
      <c r="FX24" s="411">
        <v>35.869999999999997</v>
      </c>
      <c r="FY24" s="411"/>
      <c r="FZ24" s="862"/>
      <c r="GA24" s="863">
        <f t="shared" si="29"/>
        <v>71.150000000000006</v>
      </c>
      <c r="GB24" s="861">
        <v>28</v>
      </c>
      <c r="GC24" s="411">
        <v>30.24</v>
      </c>
      <c r="GD24" s="411"/>
      <c r="GE24" s="862"/>
      <c r="GF24" s="863">
        <f t="shared" si="30"/>
        <v>58.239999999999995</v>
      </c>
      <c r="GG24" s="346">
        <v>22.07</v>
      </c>
      <c r="GH24" s="347">
        <v>15.31</v>
      </c>
      <c r="GI24" s="347"/>
      <c r="GJ24" s="348"/>
      <c r="GK24" s="349">
        <f t="shared" si="31"/>
        <v>37.380000000000003</v>
      </c>
      <c r="GL24" s="346">
        <v>9.6199999999999992</v>
      </c>
      <c r="GM24" s="347">
        <v>7.33</v>
      </c>
      <c r="GN24" s="347"/>
      <c r="GO24" s="348"/>
      <c r="GP24" s="349">
        <f t="shared" si="32"/>
        <v>16.95</v>
      </c>
      <c r="GQ24" s="346">
        <v>8.48</v>
      </c>
      <c r="GR24" s="347">
        <v>4.96</v>
      </c>
      <c r="GS24" s="347"/>
      <c r="GT24" s="348"/>
      <c r="GU24" s="349">
        <f t="shared" si="33"/>
        <v>13.440000000000001</v>
      </c>
      <c r="GV24" s="346">
        <v>14.53</v>
      </c>
      <c r="GW24" s="354"/>
      <c r="GX24" s="347"/>
      <c r="GY24" s="348"/>
      <c r="GZ24" s="349">
        <f t="shared" si="34"/>
        <v>14.53</v>
      </c>
      <c r="HA24" s="346">
        <v>7.23</v>
      </c>
      <c r="HB24" s="347">
        <v>10.7</v>
      </c>
      <c r="HC24" s="347">
        <v>14.57</v>
      </c>
      <c r="HD24" s="348"/>
      <c r="HE24" s="349">
        <f t="shared" si="35"/>
        <v>32.5</v>
      </c>
      <c r="HF24" s="346">
        <v>26.78</v>
      </c>
      <c r="HG24" s="347">
        <v>22.72</v>
      </c>
      <c r="HH24" s="347"/>
      <c r="HI24" s="348"/>
      <c r="HJ24" s="349">
        <f t="shared" si="36"/>
        <v>49.5</v>
      </c>
      <c r="HK24" s="346">
        <v>20.97</v>
      </c>
      <c r="HL24" s="347">
        <v>13.11</v>
      </c>
      <c r="HM24" s="347"/>
      <c r="HN24" s="348"/>
      <c r="HO24" s="349">
        <f t="shared" si="37"/>
        <v>34.08</v>
      </c>
      <c r="HP24" s="346">
        <v>34.42</v>
      </c>
      <c r="HQ24" s="347">
        <v>62.02</v>
      </c>
      <c r="HR24" s="347"/>
      <c r="HS24" s="348"/>
      <c r="HT24" s="349">
        <f t="shared" si="38"/>
        <v>96.44</v>
      </c>
      <c r="HU24" s="346">
        <v>79.52</v>
      </c>
      <c r="HV24" s="352"/>
      <c r="HW24" s="347"/>
      <c r="HX24" s="348"/>
      <c r="HY24" s="349">
        <f t="shared" si="39"/>
        <v>79.52</v>
      </c>
      <c r="HZ24" s="346">
        <f>69.24+0.55</f>
        <v>69.789999999999992</v>
      </c>
      <c r="IA24" s="347">
        <v>37.229999999999997</v>
      </c>
      <c r="IB24" s="347"/>
      <c r="IC24" s="348"/>
      <c r="ID24" s="349">
        <f t="shared" si="40"/>
        <v>107.01999999999998</v>
      </c>
      <c r="IE24" s="88">
        <v>46.04</v>
      </c>
      <c r="IF24" s="89">
        <v>31.87</v>
      </c>
      <c r="IG24" s="89"/>
      <c r="IH24" s="345"/>
      <c r="II24" s="344">
        <f t="shared" si="41"/>
        <v>77.91</v>
      </c>
      <c r="IJ24" s="88">
        <v>34.21</v>
      </c>
      <c r="IK24" s="89">
        <v>26.28</v>
      </c>
      <c r="IL24" s="345"/>
      <c r="IM24" s="340"/>
      <c r="IN24" s="492">
        <f t="shared" si="42"/>
        <v>60.49</v>
      </c>
      <c r="IO24" s="492"/>
      <c r="IP24" s="886">
        <f t="shared" si="43"/>
        <v>619.76</v>
      </c>
      <c r="IQ24" s="501">
        <v>19.399999999999999</v>
      </c>
      <c r="IR24" s="33">
        <v>38.770000000000003</v>
      </c>
      <c r="IS24" s="33"/>
      <c r="IT24" s="340"/>
      <c r="IU24" s="342">
        <f t="shared" si="44"/>
        <v>58.17</v>
      </c>
      <c r="IV24" s="32">
        <v>39.159999999999997</v>
      </c>
      <c r="IW24" s="33">
        <v>20.38</v>
      </c>
      <c r="IX24" s="33"/>
      <c r="IY24" s="340"/>
      <c r="IZ24" s="342">
        <f t="shared" si="45"/>
        <v>59.539999999999992</v>
      </c>
      <c r="JA24" s="32">
        <v>18.46</v>
      </c>
      <c r="JB24" s="33">
        <v>29.86</v>
      </c>
      <c r="JC24" s="33"/>
      <c r="JD24" s="340"/>
      <c r="JE24" s="342">
        <f t="shared" si="46"/>
        <v>48.32</v>
      </c>
      <c r="JF24" s="32">
        <v>46.6</v>
      </c>
      <c r="JG24" s="353"/>
      <c r="JH24" s="33"/>
      <c r="JI24" s="340"/>
      <c r="JJ24" s="342">
        <f t="shared" si="47"/>
        <v>46.6</v>
      </c>
      <c r="JK24" s="32">
        <v>28.7</v>
      </c>
      <c r="JL24" s="33">
        <v>4.9000000000000004</v>
      </c>
      <c r="JM24" s="33">
        <v>25.76</v>
      </c>
      <c r="JN24" s="340"/>
      <c r="JO24" s="342">
        <f t="shared" si="48"/>
        <v>59.36</v>
      </c>
      <c r="JP24" s="32">
        <v>21.2</v>
      </c>
      <c r="JQ24" s="33">
        <v>19.14</v>
      </c>
      <c r="JR24" s="33">
        <v>14.52</v>
      </c>
      <c r="JS24" s="340"/>
      <c r="JT24" s="342">
        <f t="shared" si="49"/>
        <v>54.86</v>
      </c>
      <c r="JU24" s="32">
        <v>34.090000000000003</v>
      </c>
      <c r="JV24" s="33">
        <v>16.93</v>
      </c>
      <c r="JW24" s="33"/>
      <c r="JX24" s="340"/>
      <c r="JY24" s="342">
        <f t="shared" si="50"/>
        <v>51.02</v>
      </c>
      <c r="JZ24" s="32">
        <v>34.950000000000003</v>
      </c>
      <c r="KA24" s="33">
        <v>16.77</v>
      </c>
      <c r="KB24" s="33"/>
      <c r="KC24" s="340"/>
      <c r="KD24" s="342">
        <f t="shared" si="51"/>
        <v>51.72</v>
      </c>
      <c r="KE24" s="32">
        <v>32.64</v>
      </c>
      <c r="KF24" s="33">
        <v>23.779999999999998</v>
      </c>
      <c r="KG24" s="33">
        <v>0</v>
      </c>
      <c r="KH24" s="340">
        <v>0</v>
      </c>
      <c r="KI24" s="342">
        <f t="shared" si="52"/>
        <v>56.42</v>
      </c>
      <c r="KJ24" s="32">
        <v>56.39</v>
      </c>
      <c r="KK24" s="33">
        <v>60.65</v>
      </c>
      <c r="KL24" s="33">
        <v>0</v>
      </c>
      <c r="KM24" s="340">
        <v>0</v>
      </c>
      <c r="KN24" s="342">
        <f t="shared" si="53"/>
        <v>117.03999999999999</v>
      </c>
      <c r="KO24" s="32">
        <v>49.78</v>
      </c>
      <c r="KP24" s="33">
        <v>0</v>
      </c>
      <c r="KQ24" s="33">
        <v>0</v>
      </c>
      <c r="KR24" s="340">
        <v>0</v>
      </c>
      <c r="KS24" s="342">
        <f t="shared" si="54"/>
        <v>49.78</v>
      </c>
      <c r="KT24" s="32">
        <f t="shared" si="5"/>
        <v>70.900000000000006</v>
      </c>
      <c r="KU24" s="33">
        <f t="shared" si="6"/>
        <v>53.16</v>
      </c>
      <c r="KV24" s="33">
        <f t="shared" si="7"/>
        <v>0</v>
      </c>
      <c r="KW24" s="340">
        <f t="shared" si="8"/>
        <v>0</v>
      </c>
      <c r="KX24" s="342">
        <f t="shared" si="9"/>
        <v>124.06</v>
      </c>
      <c r="KZ24" s="507">
        <f t="shared" si="55"/>
        <v>776.8900000000001</v>
      </c>
    </row>
    <row r="25" spans="1:312" ht="15.75" x14ac:dyDescent="0.25">
      <c r="A25" s="325"/>
      <c r="B25" s="326">
        <v>16</v>
      </c>
      <c r="C25" s="327">
        <v>53.2</v>
      </c>
      <c r="D25" s="328">
        <v>14.96</v>
      </c>
      <c r="E25" s="329">
        <v>42.95</v>
      </c>
      <c r="F25" s="330"/>
      <c r="G25" s="331"/>
      <c r="H25" s="332">
        <f t="shared" si="10"/>
        <v>57.910000000000004</v>
      </c>
      <c r="I25" s="333">
        <v>18.61</v>
      </c>
      <c r="J25" s="351">
        <v>9</v>
      </c>
      <c r="K25" s="334"/>
      <c r="L25" s="335"/>
      <c r="M25" s="300">
        <f t="shared" si="11"/>
        <v>27.61</v>
      </c>
      <c r="N25" s="333">
        <v>54.79</v>
      </c>
      <c r="O25" s="351">
        <v>35.92</v>
      </c>
      <c r="P25" s="334"/>
      <c r="Q25" s="335"/>
      <c r="R25" s="300">
        <f t="shared" si="0"/>
        <v>90.710000000000008</v>
      </c>
      <c r="S25" s="333">
        <v>26.22</v>
      </c>
      <c r="T25" s="351">
        <v>59.21</v>
      </c>
      <c r="U25" s="334"/>
      <c r="V25" s="335"/>
      <c r="W25" s="300">
        <f t="shared" si="1"/>
        <v>85.43</v>
      </c>
      <c r="X25" s="333">
        <v>26.07</v>
      </c>
      <c r="Y25" s="351">
        <v>26.88</v>
      </c>
      <c r="Z25" s="334"/>
      <c r="AA25" s="335"/>
      <c r="AB25" s="300">
        <f t="shared" si="12"/>
        <v>52.95</v>
      </c>
      <c r="AC25" s="336">
        <v>12.15</v>
      </c>
      <c r="AD25" s="364">
        <v>59.77</v>
      </c>
      <c r="AE25" s="337"/>
      <c r="AF25" s="338"/>
      <c r="AG25" s="304">
        <f t="shared" si="13"/>
        <v>71.92</v>
      </c>
      <c r="AH25" s="336">
        <v>24.72</v>
      </c>
      <c r="AI25" s="364">
        <v>21.08</v>
      </c>
      <c r="AJ25" s="364">
        <v>23.55</v>
      </c>
      <c r="AK25" s="338"/>
      <c r="AL25" s="339">
        <f t="shared" si="56"/>
        <v>69.349999999999994</v>
      </c>
      <c r="AM25" s="32">
        <v>33.42</v>
      </c>
      <c r="AN25" s="33">
        <v>45.56</v>
      </c>
      <c r="AO25" s="33"/>
      <c r="AP25" s="340"/>
      <c r="AQ25" s="341">
        <f t="shared" si="57"/>
        <v>78.98</v>
      </c>
      <c r="AR25" s="32">
        <v>40.56</v>
      </c>
      <c r="AS25" s="33">
        <v>50.51</v>
      </c>
      <c r="AT25" s="33"/>
      <c r="AU25" s="340"/>
      <c r="AV25" s="342">
        <f t="shared" si="58"/>
        <v>91.07</v>
      </c>
      <c r="AW25" s="32">
        <v>49.31</v>
      </c>
      <c r="AX25" s="33">
        <v>16.98</v>
      </c>
      <c r="AY25" s="33"/>
      <c r="AZ25" s="340"/>
      <c r="BA25" s="342">
        <f>SUM(AW25:AZ25)</f>
        <v>66.290000000000006</v>
      </c>
      <c r="BB25" s="32">
        <v>57.32</v>
      </c>
      <c r="BC25" s="33">
        <v>64.59</v>
      </c>
      <c r="BD25" s="33"/>
      <c r="BE25" s="340"/>
      <c r="BF25" s="342">
        <f>SUM(BB25:BE25)</f>
        <v>121.91</v>
      </c>
      <c r="BG25" s="32">
        <v>48.97</v>
      </c>
      <c r="BH25" s="33">
        <v>33.83</v>
      </c>
      <c r="BI25" s="33"/>
      <c r="BJ25" s="343"/>
      <c r="BK25" s="342">
        <f t="shared" si="60"/>
        <v>82.8</v>
      </c>
      <c r="BL25" s="32">
        <v>38.06</v>
      </c>
      <c r="BM25" s="33">
        <v>28.88</v>
      </c>
      <c r="BN25" s="33"/>
      <c r="BO25" s="343"/>
      <c r="BP25" s="341">
        <f t="shared" si="61"/>
        <v>66.94</v>
      </c>
      <c r="BQ25" s="32">
        <v>22.35</v>
      </c>
      <c r="BR25" s="43">
        <v>24.13</v>
      </c>
      <c r="BS25" s="43"/>
      <c r="BT25" s="853"/>
      <c r="BU25" s="854">
        <f t="shared" si="14"/>
        <v>46.480000000000004</v>
      </c>
      <c r="BV25" s="855">
        <v>15.88</v>
      </c>
      <c r="BW25" s="43">
        <v>17.579999999999998</v>
      </c>
      <c r="BX25" s="43">
        <v>13.91</v>
      </c>
      <c r="BY25" s="853"/>
      <c r="BZ25" s="856">
        <f t="shared" si="15"/>
        <v>47.370000000000005</v>
      </c>
      <c r="CA25" s="857">
        <v>22.2</v>
      </c>
      <c r="CB25" s="858">
        <v>22.79</v>
      </c>
      <c r="CC25" s="858"/>
      <c r="CD25" s="859"/>
      <c r="CE25" s="860">
        <f t="shared" si="62"/>
        <v>44.989999999999995</v>
      </c>
      <c r="CF25" s="857">
        <v>27.61</v>
      </c>
      <c r="CG25" s="858">
        <v>24.06</v>
      </c>
      <c r="CH25" s="858"/>
      <c r="CI25" s="859"/>
      <c r="CJ25" s="860">
        <f t="shared" si="63"/>
        <v>51.67</v>
      </c>
      <c r="CK25" s="857">
        <v>38.86</v>
      </c>
      <c r="CL25" s="858">
        <v>32.630000000000003</v>
      </c>
      <c r="CM25" s="858"/>
      <c r="CN25" s="859"/>
      <c r="CO25" s="860">
        <f t="shared" si="64"/>
        <v>71.490000000000009</v>
      </c>
      <c r="CP25" s="861">
        <v>35.31</v>
      </c>
      <c r="CQ25" s="411">
        <v>29.26</v>
      </c>
      <c r="CR25" s="411">
        <v>47.67</v>
      </c>
      <c r="CS25" s="862"/>
      <c r="CT25" s="863">
        <v>112.24000000000001</v>
      </c>
      <c r="CU25" s="861">
        <v>42.98</v>
      </c>
      <c r="CV25" s="411">
        <v>48.61</v>
      </c>
      <c r="CW25" s="411"/>
      <c r="CX25" s="862"/>
      <c r="CY25" s="863">
        <f t="shared" si="2"/>
        <v>91.59</v>
      </c>
      <c r="CZ25" s="861">
        <v>56.14</v>
      </c>
      <c r="DA25" s="411">
        <v>49.03</v>
      </c>
      <c r="DB25" s="411"/>
      <c r="DC25" s="862"/>
      <c r="DD25" s="863">
        <f t="shared" si="3"/>
        <v>105.17</v>
      </c>
      <c r="DE25" s="861">
        <v>32.979999999999997</v>
      </c>
      <c r="DF25" s="411">
        <v>31.83</v>
      </c>
      <c r="DG25" s="411">
        <v>38.700000000000003</v>
      </c>
      <c r="DH25" s="862"/>
      <c r="DI25" s="863">
        <f t="shared" si="4"/>
        <v>103.51</v>
      </c>
      <c r="DJ25" s="861">
        <v>74.150000000000006</v>
      </c>
      <c r="DK25" s="411">
        <v>44.78</v>
      </c>
      <c r="DL25" s="411"/>
      <c r="DM25" s="862"/>
      <c r="DN25" s="863">
        <f t="shared" si="16"/>
        <v>118.93</v>
      </c>
      <c r="DO25" s="861">
        <v>81.400000000000006</v>
      </c>
      <c r="DP25" s="411"/>
      <c r="DQ25" s="411"/>
      <c r="DR25" s="862"/>
      <c r="DS25" s="863">
        <f t="shared" si="17"/>
        <v>81.400000000000006</v>
      </c>
      <c r="DT25" s="861">
        <v>19.440000000000001</v>
      </c>
      <c r="DU25" s="411">
        <v>76.88</v>
      </c>
      <c r="DV25" s="411"/>
      <c r="DW25" s="862"/>
      <c r="DX25" s="863">
        <f t="shared" si="18"/>
        <v>96.32</v>
      </c>
      <c r="DY25" s="861">
        <v>65.75</v>
      </c>
      <c r="DZ25" s="411"/>
      <c r="EA25" s="411"/>
      <c r="EB25" s="862"/>
      <c r="EC25" s="863">
        <f t="shared" si="19"/>
        <v>65.75</v>
      </c>
      <c r="ED25" s="861">
        <v>59.36</v>
      </c>
      <c r="EE25" s="411">
        <v>22.89</v>
      </c>
      <c r="EF25" s="411"/>
      <c r="EG25" s="862"/>
      <c r="EH25" s="863">
        <f t="shared" si="20"/>
        <v>82.25</v>
      </c>
      <c r="EI25" s="861">
        <v>34.39</v>
      </c>
      <c r="EJ25" s="411">
        <v>40.92</v>
      </c>
      <c r="EK25" s="411"/>
      <c r="EL25" s="862"/>
      <c r="EM25" s="863">
        <f t="shared" si="21"/>
        <v>75.31</v>
      </c>
      <c r="EN25" s="861">
        <v>25.15</v>
      </c>
      <c r="EO25" s="411">
        <v>24.35</v>
      </c>
      <c r="EP25" s="411"/>
      <c r="EQ25" s="862"/>
      <c r="ER25" s="863">
        <f t="shared" si="22"/>
        <v>49.5</v>
      </c>
      <c r="ES25" s="861">
        <v>32.42</v>
      </c>
      <c r="ET25" s="411">
        <v>34.630000000000003</v>
      </c>
      <c r="EU25" s="411"/>
      <c r="EV25" s="862"/>
      <c r="EW25" s="863">
        <f t="shared" si="23"/>
        <v>67.050000000000011</v>
      </c>
      <c r="EX25" s="861">
        <v>28.11</v>
      </c>
      <c r="EY25" s="411">
        <v>36.36</v>
      </c>
      <c r="EZ25" s="411"/>
      <c r="FA25" s="862"/>
      <c r="FB25" s="863">
        <f t="shared" si="24"/>
        <v>64.47</v>
      </c>
      <c r="FC25" s="861">
        <v>43.97</v>
      </c>
      <c r="FD25" s="411">
        <v>59.64</v>
      </c>
      <c r="FE25" s="411"/>
      <c r="FF25" s="862"/>
      <c r="FG25" s="863">
        <f t="shared" si="25"/>
        <v>103.61</v>
      </c>
      <c r="FH25" s="861">
        <v>39.450000000000003</v>
      </c>
      <c r="FI25" s="411">
        <v>53.72</v>
      </c>
      <c r="FJ25" s="411"/>
      <c r="FK25" s="862"/>
      <c r="FL25" s="863">
        <f t="shared" si="26"/>
        <v>93.17</v>
      </c>
      <c r="FM25" s="861">
        <v>49.85</v>
      </c>
      <c r="FN25" s="411">
        <v>41.52</v>
      </c>
      <c r="FO25" s="411"/>
      <c r="FP25" s="862"/>
      <c r="FQ25" s="863">
        <f t="shared" si="27"/>
        <v>91.37</v>
      </c>
      <c r="FR25" s="861">
        <v>44.32</v>
      </c>
      <c r="FS25" s="411">
        <v>39.83</v>
      </c>
      <c r="FT25" s="411"/>
      <c r="FU25" s="862"/>
      <c r="FV25" s="863">
        <f t="shared" si="28"/>
        <v>84.15</v>
      </c>
      <c r="FW25" s="861">
        <v>37.49</v>
      </c>
      <c r="FX25" s="411">
        <v>45.84</v>
      </c>
      <c r="FY25" s="411"/>
      <c r="FZ25" s="862"/>
      <c r="GA25" s="863">
        <f t="shared" si="29"/>
        <v>83.330000000000013</v>
      </c>
      <c r="GB25" s="861">
        <v>34.6</v>
      </c>
      <c r="GC25" s="411">
        <v>30.89</v>
      </c>
      <c r="GD25" s="411"/>
      <c r="GE25" s="862"/>
      <c r="GF25" s="863">
        <f t="shared" si="30"/>
        <v>65.490000000000009</v>
      </c>
      <c r="GG25" s="346">
        <v>24.88</v>
      </c>
      <c r="GH25" s="347">
        <v>23.45</v>
      </c>
      <c r="GI25" s="347"/>
      <c r="GJ25" s="348"/>
      <c r="GK25" s="349">
        <f t="shared" si="31"/>
        <v>48.33</v>
      </c>
      <c r="GL25" s="346">
        <v>20.88</v>
      </c>
      <c r="GM25" s="347">
        <v>13.31</v>
      </c>
      <c r="GN25" s="347"/>
      <c r="GO25" s="348"/>
      <c r="GP25" s="349">
        <f t="shared" si="32"/>
        <v>34.19</v>
      </c>
      <c r="GQ25" s="346">
        <v>12.31</v>
      </c>
      <c r="GR25" s="347">
        <v>11.32</v>
      </c>
      <c r="GS25" s="347"/>
      <c r="GT25" s="348"/>
      <c r="GU25" s="349">
        <f t="shared" si="33"/>
        <v>23.630000000000003</v>
      </c>
      <c r="GV25" s="346">
        <v>32.729999999999997</v>
      </c>
      <c r="GW25" s="347">
        <v>22.68</v>
      </c>
      <c r="GX25" s="347"/>
      <c r="GY25" s="348"/>
      <c r="GZ25" s="349">
        <f t="shared" si="34"/>
        <v>55.41</v>
      </c>
      <c r="HA25" s="346">
        <v>20.99</v>
      </c>
      <c r="HB25" s="347">
        <v>19.54</v>
      </c>
      <c r="HC25" s="347"/>
      <c r="HD25" s="348"/>
      <c r="HE25" s="349">
        <f t="shared" si="35"/>
        <v>40.53</v>
      </c>
      <c r="HF25" s="346">
        <v>30.08</v>
      </c>
      <c r="HG25" s="347">
        <v>38.6</v>
      </c>
      <c r="HH25" s="347"/>
      <c r="HI25" s="348"/>
      <c r="HJ25" s="349">
        <f t="shared" si="36"/>
        <v>68.680000000000007</v>
      </c>
      <c r="HK25" s="346">
        <v>34.64</v>
      </c>
      <c r="HL25" s="347">
        <v>33.57</v>
      </c>
      <c r="HM25" s="347"/>
      <c r="HN25" s="348"/>
      <c r="HO25" s="349">
        <f t="shared" si="37"/>
        <v>68.210000000000008</v>
      </c>
      <c r="HP25" s="346">
        <v>40.1</v>
      </c>
      <c r="HQ25" s="347">
        <v>75.62</v>
      </c>
      <c r="HR25" s="347"/>
      <c r="HS25" s="348"/>
      <c r="HT25" s="349">
        <f t="shared" si="38"/>
        <v>115.72</v>
      </c>
      <c r="HU25" s="346">
        <v>88.25</v>
      </c>
      <c r="HV25" s="352"/>
      <c r="HW25" s="347"/>
      <c r="HX25" s="348"/>
      <c r="HY25" s="349">
        <f t="shared" si="39"/>
        <v>88.25</v>
      </c>
      <c r="HZ25" s="346">
        <f>75.24+1.15</f>
        <v>76.39</v>
      </c>
      <c r="IA25" s="347">
        <v>39.22</v>
      </c>
      <c r="IB25" s="347"/>
      <c r="IC25" s="348"/>
      <c r="ID25" s="349">
        <f t="shared" si="40"/>
        <v>115.61</v>
      </c>
      <c r="IE25" s="88">
        <v>51.38</v>
      </c>
      <c r="IF25" s="89">
        <v>39.630000000000003</v>
      </c>
      <c r="IG25" s="89"/>
      <c r="IH25" s="345"/>
      <c r="II25" s="344">
        <f t="shared" si="41"/>
        <v>91.01</v>
      </c>
      <c r="IJ25" s="88">
        <v>28.6</v>
      </c>
      <c r="IK25" s="89">
        <v>27.35</v>
      </c>
      <c r="IL25" s="345">
        <v>31.71</v>
      </c>
      <c r="IM25" s="340"/>
      <c r="IN25" s="492">
        <f t="shared" si="42"/>
        <v>87.66</v>
      </c>
      <c r="IO25" s="492"/>
      <c r="IP25" s="886">
        <f t="shared" si="43"/>
        <v>837.23</v>
      </c>
      <c r="IQ25" s="501">
        <v>42.08</v>
      </c>
      <c r="IR25" s="353"/>
      <c r="IS25" s="33"/>
      <c r="IT25" s="340"/>
      <c r="IU25" s="342">
        <f t="shared" si="44"/>
        <v>42.08</v>
      </c>
      <c r="IV25" s="32">
        <v>41.72</v>
      </c>
      <c r="IW25" s="33">
        <v>23.95</v>
      </c>
      <c r="IX25" s="33"/>
      <c r="IY25" s="340"/>
      <c r="IZ25" s="342">
        <f t="shared" si="45"/>
        <v>65.67</v>
      </c>
      <c r="JA25" s="32">
        <v>30.97</v>
      </c>
      <c r="JB25" s="33">
        <v>31.66</v>
      </c>
      <c r="JC25" s="33"/>
      <c r="JD25" s="340"/>
      <c r="JE25" s="342">
        <f t="shared" si="46"/>
        <v>62.629999999999995</v>
      </c>
      <c r="JF25" s="32">
        <v>59.59</v>
      </c>
      <c r="JG25" s="353"/>
      <c r="JH25" s="33"/>
      <c r="JI25" s="340"/>
      <c r="JJ25" s="342">
        <f t="shared" si="47"/>
        <v>59.59</v>
      </c>
      <c r="JK25" s="32">
        <v>30.95</v>
      </c>
      <c r="JL25" s="33">
        <v>12.7</v>
      </c>
      <c r="JM25" s="33">
        <v>29.5</v>
      </c>
      <c r="JN25" s="340"/>
      <c r="JO25" s="342">
        <f t="shared" si="48"/>
        <v>73.150000000000006</v>
      </c>
      <c r="JP25" s="32">
        <v>24.06</v>
      </c>
      <c r="JQ25" s="33">
        <v>20.55</v>
      </c>
      <c r="JR25" s="33">
        <v>25.26</v>
      </c>
      <c r="JS25" s="340"/>
      <c r="JT25" s="342">
        <f t="shared" si="49"/>
        <v>69.87</v>
      </c>
      <c r="JU25" s="32">
        <v>40.61</v>
      </c>
      <c r="JV25" s="33">
        <v>35.590000000000003</v>
      </c>
      <c r="JW25" s="33"/>
      <c r="JX25" s="340"/>
      <c r="JY25" s="342">
        <f t="shared" si="50"/>
        <v>76.2</v>
      </c>
      <c r="JZ25" s="32">
        <v>41.16</v>
      </c>
      <c r="KA25" s="33">
        <v>37.65</v>
      </c>
      <c r="KB25" s="33"/>
      <c r="KC25" s="340"/>
      <c r="KD25" s="342">
        <f t="shared" si="51"/>
        <v>78.81</v>
      </c>
      <c r="KE25" s="32">
        <v>37.260000000000005</v>
      </c>
      <c r="KF25" s="33">
        <v>44.15</v>
      </c>
      <c r="KG25" s="33">
        <v>0</v>
      </c>
      <c r="KH25" s="340">
        <v>0</v>
      </c>
      <c r="KI25" s="342">
        <f t="shared" si="52"/>
        <v>81.41</v>
      </c>
      <c r="KJ25" s="32">
        <v>38.340000000000003</v>
      </c>
      <c r="KK25" s="33">
        <v>62.370000000000005</v>
      </c>
      <c r="KL25" s="33">
        <v>0</v>
      </c>
      <c r="KM25" s="340">
        <v>0</v>
      </c>
      <c r="KN25" s="342">
        <f t="shared" si="53"/>
        <v>100.71000000000001</v>
      </c>
      <c r="KO25" s="32">
        <v>48.72</v>
      </c>
      <c r="KP25" s="33">
        <v>30.18</v>
      </c>
      <c r="KQ25" s="33">
        <v>0</v>
      </c>
      <c r="KR25" s="340">
        <v>0</v>
      </c>
      <c r="KS25" s="342">
        <f t="shared" si="54"/>
        <v>78.900000000000006</v>
      </c>
      <c r="KT25" s="32">
        <f t="shared" si="5"/>
        <v>53.38</v>
      </c>
      <c r="KU25" s="33">
        <f t="shared" si="6"/>
        <v>58.28</v>
      </c>
      <c r="KV25" s="33">
        <f t="shared" si="7"/>
        <v>0</v>
      </c>
      <c r="KW25" s="340">
        <f t="shared" si="8"/>
        <v>0</v>
      </c>
      <c r="KX25" s="342">
        <f t="shared" si="9"/>
        <v>111.66</v>
      </c>
      <c r="KZ25" s="507">
        <f t="shared" si="55"/>
        <v>900.68</v>
      </c>
    </row>
    <row r="26" spans="1:312" ht="15.75" x14ac:dyDescent="0.25">
      <c r="A26" s="325"/>
      <c r="B26" s="326">
        <v>17</v>
      </c>
      <c r="C26" s="327">
        <v>45.7</v>
      </c>
      <c r="D26" s="328">
        <v>34.11</v>
      </c>
      <c r="E26" s="329">
        <v>30.05</v>
      </c>
      <c r="F26" s="330"/>
      <c r="G26" s="331"/>
      <c r="H26" s="332">
        <f t="shared" si="10"/>
        <v>64.16</v>
      </c>
      <c r="I26" s="333">
        <v>73.510000000000005</v>
      </c>
      <c r="J26" s="334"/>
      <c r="K26" s="334"/>
      <c r="L26" s="335"/>
      <c r="M26" s="300">
        <f t="shared" si="11"/>
        <v>73.510000000000005</v>
      </c>
      <c r="N26" s="333">
        <v>39.54</v>
      </c>
      <c r="O26" s="334">
        <v>36.97</v>
      </c>
      <c r="P26" s="334"/>
      <c r="Q26" s="335"/>
      <c r="R26" s="300">
        <f t="shared" si="0"/>
        <v>76.509999999999991</v>
      </c>
      <c r="S26" s="333">
        <v>46.48</v>
      </c>
      <c r="T26" s="334">
        <v>8.3000000000000007</v>
      </c>
      <c r="U26" s="334">
        <v>23.39</v>
      </c>
      <c r="V26" s="335"/>
      <c r="W26" s="300">
        <f t="shared" si="1"/>
        <v>78.17</v>
      </c>
      <c r="X26" s="333">
        <v>21.41</v>
      </c>
      <c r="Y26" s="334">
        <v>20.25</v>
      </c>
      <c r="Z26" s="334">
        <v>4.78</v>
      </c>
      <c r="AA26" s="335"/>
      <c r="AB26" s="300">
        <f t="shared" si="12"/>
        <v>46.44</v>
      </c>
      <c r="AC26" s="336">
        <v>23.8</v>
      </c>
      <c r="AD26" s="337">
        <v>26.03</v>
      </c>
      <c r="AE26" s="337">
        <v>18.46</v>
      </c>
      <c r="AF26" s="338"/>
      <c r="AG26" s="304">
        <f t="shared" si="13"/>
        <v>68.289999999999992</v>
      </c>
      <c r="AH26" s="336">
        <v>19.75</v>
      </c>
      <c r="AI26" s="337">
        <v>21.8</v>
      </c>
      <c r="AJ26" s="364">
        <v>19.38</v>
      </c>
      <c r="AK26" s="338"/>
      <c r="AL26" s="339">
        <f t="shared" si="56"/>
        <v>60.929999999999993</v>
      </c>
      <c r="AM26" s="32">
        <v>27.51</v>
      </c>
      <c r="AN26" s="33">
        <v>48.33</v>
      </c>
      <c r="AO26" s="33"/>
      <c r="AP26" s="340"/>
      <c r="AQ26" s="341">
        <f t="shared" si="57"/>
        <v>75.84</v>
      </c>
      <c r="AR26" s="32">
        <v>42.55</v>
      </c>
      <c r="AS26" s="33">
        <v>56.3</v>
      </c>
      <c r="AT26" s="33"/>
      <c r="AU26" s="340"/>
      <c r="AV26" s="342">
        <f t="shared" si="58"/>
        <v>98.85</v>
      </c>
      <c r="AW26" s="32">
        <v>47.33</v>
      </c>
      <c r="AX26" s="33">
        <v>62.14</v>
      </c>
      <c r="AY26" s="33"/>
      <c r="AZ26" s="340"/>
      <c r="BA26" s="342">
        <f t="shared" si="59"/>
        <v>109.47</v>
      </c>
      <c r="BB26" s="32">
        <v>59.55</v>
      </c>
      <c r="BC26" s="33"/>
      <c r="BD26" s="33"/>
      <c r="BE26" s="340"/>
      <c r="BF26" s="342">
        <f>SUM(BB26:BE26)</f>
        <v>59.55</v>
      </c>
      <c r="BG26" s="32">
        <v>40.1</v>
      </c>
      <c r="BH26" s="33">
        <v>29.91</v>
      </c>
      <c r="BI26" s="33"/>
      <c r="BJ26" s="343"/>
      <c r="BK26" s="342">
        <f t="shared" si="60"/>
        <v>70.010000000000005</v>
      </c>
      <c r="BL26" s="32">
        <v>34.9</v>
      </c>
      <c r="BM26" s="33">
        <v>24.02</v>
      </c>
      <c r="BN26" s="33"/>
      <c r="BO26" s="343"/>
      <c r="BP26" s="341">
        <f t="shared" si="61"/>
        <v>58.92</v>
      </c>
      <c r="BQ26" s="32">
        <v>21.33</v>
      </c>
      <c r="BR26" s="43">
        <v>15.22</v>
      </c>
      <c r="BS26" s="43"/>
      <c r="BT26" s="853"/>
      <c r="BU26" s="854">
        <f t="shared" si="14"/>
        <v>36.549999999999997</v>
      </c>
      <c r="BV26" s="855">
        <v>12.84</v>
      </c>
      <c r="BW26" s="43">
        <v>18.02</v>
      </c>
      <c r="BX26" s="43">
        <v>13.3</v>
      </c>
      <c r="BY26" s="853"/>
      <c r="BZ26" s="856">
        <f t="shared" si="15"/>
        <v>44.16</v>
      </c>
      <c r="CA26" s="861">
        <v>20</v>
      </c>
      <c r="CB26" s="858">
        <v>20.82</v>
      </c>
      <c r="CC26" s="858"/>
      <c r="CD26" s="859"/>
      <c r="CE26" s="860">
        <f t="shared" si="62"/>
        <v>40.82</v>
      </c>
      <c r="CF26" s="861">
        <v>27.26</v>
      </c>
      <c r="CG26" s="858">
        <v>24.28</v>
      </c>
      <c r="CH26" s="858"/>
      <c r="CI26" s="859"/>
      <c r="CJ26" s="860">
        <f t="shared" si="63"/>
        <v>51.540000000000006</v>
      </c>
      <c r="CK26" s="861">
        <v>30.72</v>
      </c>
      <c r="CL26" s="858">
        <v>35.159999999999997</v>
      </c>
      <c r="CM26" s="858">
        <v>8.57</v>
      </c>
      <c r="CN26" s="859"/>
      <c r="CO26" s="860">
        <f t="shared" si="64"/>
        <v>74.449999999999989</v>
      </c>
      <c r="CP26" s="861">
        <v>21.85</v>
      </c>
      <c r="CQ26" s="411">
        <v>29.43</v>
      </c>
      <c r="CR26" s="411">
        <v>50.87</v>
      </c>
      <c r="CS26" s="862"/>
      <c r="CT26" s="863">
        <v>102.15</v>
      </c>
      <c r="CU26" s="861">
        <v>44.79</v>
      </c>
      <c r="CV26" s="411">
        <v>34.85</v>
      </c>
      <c r="CW26" s="411"/>
      <c r="CX26" s="862"/>
      <c r="CY26" s="863">
        <f t="shared" si="2"/>
        <v>79.64</v>
      </c>
      <c r="CZ26" s="861">
        <v>49.65</v>
      </c>
      <c r="DA26" s="411">
        <v>45.26</v>
      </c>
      <c r="DB26" s="411">
        <v>36.020000000000003</v>
      </c>
      <c r="DC26" s="862"/>
      <c r="DD26" s="863">
        <f t="shared" si="3"/>
        <v>130.93</v>
      </c>
      <c r="DE26" s="861">
        <v>31.99</v>
      </c>
      <c r="DF26" s="411">
        <v>46.14</v>
      </c>
      <c r="DG26" s="411"/>
      <c r="DH26" s="862"/>
      <c r="DI26" s="863">
        <f t="shared" si="4"/>
        <v>78.13</v>
      </c>
      <c r="DJ26" s="861">
        <v>52.06</v>
      </c>
      <c r="DK26" s="411">
        <v>37.090000000000003</v>
      </c>
      <c r="DL26" s="411"/>
      <c r="DM26" s="862"/>
      <c r="DN26" s="863">
        <f t="shared" si="16"/>
        <v>89.15</v>
      </c>
      <c r="DO26" s="861">
        <v>36.229999999999997</v>
      </c>
      <c r="DP26" s="411">
        <v>23.94</v>
      </c>
      <c r="DQ26" s="411"/>
      <c r="DR26" s="862"/>
      <c r="DS26" s="863">
        <f t="shared" si="17"/>
        <v>60.17</v>
      </c>
      <c r="DT26" s="861">
        <v>52.15</v>
      </c>
      <c r="DU26" s="411">
        <v>31.2</v>
      </c>
      <c r="DV26" s="411"/>
      <c r="DW26" s="862"/>
      <c r="DX26" s="863">
        <f t="shared" si="18"/>
        <v>83.35</v>
      </c>
      <c r="DY26" s="861">
        <v>28.3</v>
      </c>
      <c r="DZ26" s="411">
        <v>20.07</v>
      </c>
      <c r="EA26" s="411"/>
      <c r="EB26" s="862"/>
      <c r="EC26" s="863">
        <f t="shared" si="19"/>
        <v>48.370000000000005</v>
      </c>
      <c r="ED26" s="861">
        <v>32.46</v>
      </c>
      <c r="EE26" s="411"/>
      <c r="EF26" s="411"/>
      <c r="EG26" s="862"/>
      <c r="EH26" s="863">
        <f t="shared" si="20"/>
        <v>32.46</v>
      </c>
      <c r="EI26" s="861">
        <v>21.83</v>
      </c>
      <c r="EJ26" s="411">
        <v>34.68</v>
      </c>
      <c r="EK26" s="411"/>
      <c r="EL26" s="862"/>
      <c r="EM26" s="863">
        <f t="shared" si="21"/>
        <v>56.51</v>
      </c>
      <c r="EN26" s="861">
        <v>20.18</v>
      </c>
      <c r="EO26" s="411">
        <v>26.37</v>
      </c>
      <c r="EP26" s="411"/>
      <c r="EQ26" s="862"/>
      <c r="ER26" s="863">
        <f t="shared" si="22"/>
        <v>46.55</v>
      </c>
      <c r="ES26" s="861">
        <v>32.07</v>
      </c>
      <c r="ET26" s="411">
        <v>31.66</v>
      </c>
      <c r="EU26" s="411"/>
      <c r="EV26" s="862"/>
      <c r="EW26" s="863">
        <f t="shared" si="23"/>
        <v>63.730000000000004</v>
      </c>
      <c r="EX26" s="861">
        <v>27.05</v>
      </c>
      <c r="EY26" s="411">
        <v>36.35</v>
      </c>
      <c r="EZ26" s="411"/>
      <c r="FA26" s="862"/>
      <c r="FB26" s="863">
        <f t="shared" si="24"/>
        <v>63.400000000000006</v>
      </c>
      <c r="FC26" s="861">
        <v>30.12</v>
      </c>
      <c r="FD26" s="411">
        <v>36.28</v>
      </c>
      <c r="FE26" s="411"/>
      <c r="FF26" s="862"/>
      <c r="FG26" s="863">
        <f t="shared" si="25"/>
        <v>66.400000000000006</v>
      </c>
      <c r="FH26" s="861">
        <v>38.65</v>
      </c>
      <c r="FI26" s="411">
        <v>41.43</v>
      </c>
      <c r="FJ26" s="411"/>
      <c r="FK26" s="862"/>
      <c r="FL26" s="863">
        <f t="shared" si="26"/>
        <v>80.08</v>
      </c>
      <c r="FM26" s="861">
        <v>40.409999999999997</v>
      </c>
      <c r="FN26" s="411">
        <v>39.549999999999997</v>
      </c>
      <c r="FO26" s="411"/>
      <c r="FP26" s="862"/>
      <c r="FQ26" s="863">
        <f t="shared" si="27"/>
        <v>79.959999999999994</v>
      </c>
      <c r="FR26" s="861">
        <v>38.57</v>
      </c>
      <c r="FS26" s="411">
        <v>39.17</v>
      </c>
      <c r="FT26" s="411"/>
      <c r="FU26" s="862"/>
      <c r="FV26" s="863">
        <f t="shared" si="28"/>
        <v>77.740000000000009</v>
      </c>
      <c r="FW26" s="861">
        <v>37.03</v>
      </c>
      <c r="FX26" s="411">
        <v>32.01</v>
      </c>
      <c r="FY26" s="411"/>
      <c r="FZ26" s="862"/>
      <c r="GA26" s="863">
        <f t="shared" si="29"/>
        <v>69.039999999999992</v>
      </c>
      <c r="GB26" s="861">
        <v>27.48</v>
      </c>
      <c r="GC26" s="411">
        <v>24.71</v>
      </c>
      <c r="GD26" s="411"/>
      <c r="GE26" s="862"/>
      <c r="GF26" s="863">
        <f t="shared" si="30"/>
        <v>52.19</v>
      </c>
      <c r="GG26" s="346">
        <v>25.52</v>
      </c>
      <c r="GH26" s="347">
        <v>20.25</v>
      </c>
      <c r="GI26" s="347"/>
      <c r="GJ26" s="348"/>
      <c r="GK26" s="349">
        <f t="shared" si="31"/>
        <v>45.769999999999996</v>
      </c>
      <c r="GL26" s="346">
        <v>16</v>
      </c>
      <c r="GM26" s="347">
        <v>10.55</v>
      </c>
      <c r="GN26" s="347"/>
      <c r="GO26" s="348"/>
      <c r="GP26" s="349">
        <f t="shared" si="32"/>
        <v>26.55</v>
      </c>
      <c r="GQ26" s="346">
        <v>13.09</v>
      </c>
      <c r="GR26" s="347">
        <v>8.3699999999999992</v>
      </c>
      <c r="GS26" s="347"/>
      <c r="GT26" s="348"/>
      <c r="GU26" s="349">
        <f t="shared" si="33"/>
        <v>21.46</v>
      </c>
      <c r="GV26" s="346">
        <v>22.98</v>
      </c>
      <c r="GW26" s="347">
        <v>34.08</v>
      </c>
      <c r="GX26" s="347"/>
      <c r="GY26" s="348"/>
      <c r="GZ26" s="349">
        <f t="shared" si="34"/>
        <v>57.06</v>
      </c>
      <c r="HA26" s="346">
        <v>29.02</v>
      </c>
      <c r="HB26" s="347">
        <v>28</v>
      </c>
      <c r="HC26" s="347"/>
      <c r="HD26" s="348"/>
      <c r="HE26" s="349">
        <f t="shared" si="35"/>
        <v>57.019999999999996</v>
      </c>
      <c r="HF26" s="346">
        <v>27.28</v>
      </c>
      <c r="HG26" s="347">
        <v>32.26</v>
      </c>
      <c r="HH26" s="347"/>
      <c r="HI26" s="348"/>
      <c r="HJ26" s="349">
        <f t="shared" si="36"/>
        <v>59.54</v>
      </c>
      <c r="HK26" s="346">
        <v>33.229999999999997</v>
      </c>
      <c r="HL26" s="347">
        <v>29.44</v>
      </c>
      <c r="HM26" s="347"/>
      <c r="HN26" s="348"/>
      <c r="HO26" s="349">
        <f t="shared" si="37"/>
        <v>62.67</v>
      </c>
      <c r="HP26" s="346">
        <v>40.450000000000003</v>
      </c>
      <c r="HQ26" s="347">
        <v>73.62</v>
      </c>
      <c r="HR26" s="347"/>
      <c r="HS26" s="348"/>
      <c r="HT26" s="349">
        <f t="shared" si="38"/>
        <v>114.07000000000001</v>
      </c>
      <c r="HU26" s="346">
        <v>78.14</v>
      </c>
      <c r="HV26" s="352"/>
      <c r="HW26" s="347"/>
      <c r="HX26" s="348"/>
      <c r="HY26" s="349">
        <f t="shared" si="39"/>
        <v>78.14</v>
      </c>
      <c r="HZ26" s="346">
        <v>74.97</v>
      </c>
      <c r="IA26" s="347">
        <v>45.7</v>
      </c>
      <c r="IB26" s="347"/>
      <c r="IC26" s="348"/>
      <c r="ID26" s="349">
        <f t="shared" si="40"/>
        <v>120.67</v>
      </c>
      <c r="IE26" s="88">
        <v>44.69</v>
      </c>
      <c r="IF26" s="89">
        <v>30.02</v>
      </c>
      <c r="IG26" s="89"/>
      <c r="IH26" s="345"/>
      <c r="II26" s="344">
        <f t="shared" si="41"/>
        <v>74.709999999999994</v>
      </c>
      <c r="IJ26" s="88">
        <v>28.85</v>
      </c>
      <c r="IK26" s="89">
        <v>35.46</v>
      </c>
      <c r="IL26" s="345">
        <v>32.58</v>
      </c>
      <c r="IM26" s="340"/>
      <c r="IN26" s="492">
        <f t="shared" si="42"/>
        <v>96.89</v>
      </c>
      <c r="IO26" s="492"/>
      <c r="IP26" s="886">
        <f t="shared" si="43"/>
        <v>814.55000000000007</v>
      </c>
      <c r="IQ26" s="501">
        <v>35.18</v>
      </c>
      <c r="IR26" s="353"/>
      <c r="IS26" s="33"/>
      <c r="IT26" s="340"/>
      <c r="IU26" s="342">
        <f t="shared" si="44"/>
        <v>35.18</v>
      </c>
      <c r="IV26" s="32">
        <v>44.62</v>
      </c>
      <c r="IW26" s="33">
        <v>34.03</v>
      </c>
      <c r="IX26" s="33"/>
      <c r="IY26" s="340"/>
      <c r="IZ26" s="342">
        <f t="shared" si="45"/>
        <v>78.650000000000006</v>
      </c>
      <c r="JA26" s="32">
        <v>27.41</v>
      </c>
      <c r="JB26" s="33">
        <v>28.79</v>
      </c>
      <c r="JC26" s="33"/>
      <c r="JD26" s="340"/>
      <c r="JE26" s="342">
        <f t="shared" si="46"/>
        <v>56.2</v>
      </c>
      <c r="JF26" s="32">
        <v>48.38</v>
      </c>
      <c r="JG26" s="353"/>
      <c r="JH26" s="33"/>
      <c r="JI26" s="340"/>
      <c r="JJ26" s="342">
        <f t="shared" si="47"/>
        <v>48.38</v>
      </c>
      <c r="JK26" s="32">
        <v>22.92</v>
      </c>
      <c r="JL26" s="33">
        <v>16.239999999999998</v>
      </c>
      <c r="JM26" s="33">
        <v>23.17</v>
      </c>
      <c r="JN26" s="340"/>
      <c r="JO26" s="342">
        <f t="shared" si="48"/>
        <v>62.33</v>
      </c>
      <c r="JP26" s="32">
        <v>26.71</v>
      </c>
      <c r="JQ26" s="33">
        <v>25.56</v>
      </c>
      <c r="JR26" s="33">
        <v>19.57</v>
      </c>
      <c r="JS26" s="340"/>
      <c r="JT26" s="342">
        <f t="shared" si="49"/>
        <v>71.84</v>
      </c>
      <c r="JU26" s="32">
        <v>46.18</v>
      </c>
      <c r="JV26" s="33">
        <v>29.4</v>
      </c>
      <c r="JW26" s="33"/>
      <c r="JX26" s="340"/>
      <c r="JY26" s="342">
        <f t="shared" si="50"/>
        <v>75.58</v>
      </c>
      <c r="JZ26" s="32">
        <v>33.549999999999997</v>
      </c>
      <c r="KA26" s="33">
        <v>34.33</v>
      </c>
      <c r="KB26" s="33"/>
      <c r="KC26" s="340"/>
      <c r="KD26" s="342">
        <f t="shared" si="51"/>
        <v>67.88</v>
      </c>
      <c r="KE26" s="32">
        <v>29.86</v>
      </c>
      <c r="KF26" s="33">
        <v>34.950000000000003</v>
      </c>
      <c r="KG26" s="33">
        <v>0</v>
      </c>
      <c r="KH26" s="340">
        <v>0</v>
      </c>
      <c r="KI26" s="342">
        <f t="shared" si="52"/>
        <v>64.81</v>
      </c>
      <c r="KJ26" s="32">
        <v>41.78</v>
      </c>
      <c r="KK26" s="33">
        <v>48.11</v>
      </c>
      <c r="KL26" s="33">
        <v>0</v>
      </c>
      <c r="KM26" s="340">
        <v>0</v>
      </c>
      <c r="KN26" s="342">
        <f t="shared" si="53"/>
        <v>89.89</v>
      </c>
      <c r="KO26" s="32">
        <v>48.36</v>
      </c>
      <c r="KP26" s="33">
        <v>54.98</v>
      </c>
      <c r="KQ26" s="33">
        <v>0</v>
      </c>
      <c r="KR26" s="340">
        <v>0</v>
      </c>
      <c r="KS26" s="342">
        <f t="shared" si="54"/>
        <v>103.34</v>
      </c>
      <c r="KT26" s="32">
        <f t="shared" si="5"/>
        <v>43.17</v>
      </c>
      <c r="KU26" s="33">
        <f t="shared" si="6"/>
        <v>0</v>
      </c>
      <c r="KV26" s="33">
        <f t="shared" si="7"/>
        <v>0</v>
      </c>
      <c r="KW26" s="340">
        <f t="shared" si="8"/>
        <v>0</v>
      </c>
      <c r="KX26" s="342">
        <f t="shared" si="9"/>
        <v>43.17</v>
      </c>
      <c r="KZ26" s="507">
        <f t="shared" si="55"/>
        <v>797.25</v>
      </c>
    </row>
    <row r="27" spans="1:312" ht="16.5" thickBot="1" x14ac:dyDescent="0.3">
      <c r="A27" s="359"/>
      <c r="B27" s="365">
        <v>18</v>
      </c>
      <c r="C27" s="361">
        <v>40.799999999999997</v>
      </c>
      <c r="D27" s="328">
        <v>40.49</v>
      </c>
      <c r="E27" s="329">
        <v>36.4</v>
      </c>
      <c r="F27" s="330"/>
      <c r="G27" s="331"/>
      <c r="H27" s="332">
        <f t="shared" si="10"/>
        <v>76.89</v>
      </c>
      <c r="I27" s="333"/>
      <c r="J27" s="334"/>
      <c r="K27" s="334"/>
      <c r="L27" s="335"/>
      <c r="M27" s="300">
        <f t="shared" si="11"/>
        <v>0</v>
      </c>
      <c r="N27" s="333">
        <v>64.66</v>
      </c>
      <c r="O27" s="334"/>
      <c r="P27" s="334"/>
      <c r="Q27" s="335"/>
      <c r="R27" s="300">
        <f t="shared" si="0"/>
        <v>64.66</v>
      </c>
      <c r="S27" s="333">
        <v>33.83</v>
      </c>
      <c r="T27" s="334">
        <v>30.13</v>
      </c>
      <c r="U27" s="334"/>
      <c r="V27" s="335"/>
      <c r="W27" s="300">
        <f t="shared" si="1"/>
        <v>63.959999999999994</v>
      </c>
      <c r="X27" s="333">
        <v>38.04</v>
      </c>
      <c r="Y27" s="334"/>
      <c r="Z27" s="334"/>
      <c r="AA27" s="335"/>
      <c r="AB27" s="300">
        <f t="shared" si="12"/>
        <v>38.04</v>
      </c>
      <c r="AC27" s="336">
        <v>37.71</v>
      </c>
      <c r="AD27" s="337">
        <v>29.85</v>
      </c>
      <c r="AE27" s="337"/>
      <c r="AF27" s="338"/>
      <c r="AG27" s="304">
        <f t="shared" si="13"/>
        <v>67.56</v>
      </c>
      <c r="AH27" s="336">
        <f>38.93+3.05</f>
        <v>41.98</v>
      </c>
      <c r="AI27" s="337"/>
      <c r="AJ27" s="364"/>
      <c r="AK27" s="338"/>
      <c r="AL27" s="339">
        <f t="shared" si="56"/>
        <v>41.98</v>
      </c>
      <c r="AM27" s="32">
        <v>49.07</v>
      </c>
      <c r="AN27" s="33">
        <v>46.384999999999998</v>
      </c>
      <c r="AO27" s="33"/>
      <c r="AP27" s="340"/>
      <c r="AQ27" s="341">
        <f t="shared" si="57"/>
        <v>95.454999999999998</v>
      </c>
      <c r="AR27" s="32">
        <v>51.22</v>
      </c>
      <c r="AS27" s="33">
        <v>15.25</v>
      </c>
      <c r="AT27" s="33">
        <v>19.22</v>
      </c>
      <c r="AU27" s="340"/>
      <c r="AV27" s="342">
        <f t="shared" si="58"/>
        <v>85.69</v>
      </c>
      <c r="AW27" s="32">
        <v>37.96</v>
      </c>
      <c r="AX27" s="33">
        <v>50.97</v>
      </c>
      <c r="AY27" s="33"/>
      <c r="AZ27" s="340"/>
      <c r="BA27" s="342">
        <f t="shared" ref="BA27:BA32" si="66">SUM(AW27:AZ27)</f>
        <v>88.93</v>
      </c>
      <c r="BB27" s="32">
        <f>42.65+4.2</f>
        <v>46.85</v>
      </c>
      <c r="BC27" s="33">
        <v>12.32</v>
      </c>
      <c r="BD27" s="33"/>
      <c r="BE27" s="340"/>
      <c r="BF27" s="342">
        <f t="shared" ref="BF27:BF32" si="67">SUM(BB27:BE27)</f>
        <v>59.17</v>
      </c>
      <c r="BG27" s="32">
        <f>29.52+2.19</f>
        <v>31.71</v>
      </c>
      <c r="BH27" s="33">
        <v>48.47</v>
      </c>
      <c r="BI27" s="33"/>
      <c r="BJ27" s="343"/>
      <c r="BK27" s="342">
        <f t="shared" si="60"/>
        <v>80.180000000000007</v>
      </c>
      <c r="BL27" s="32">
        <f>44.7+3.43</f>
        <v>48.13</v>
      </c>
      <c r="BM27" s="33">
        <v>31.03</v>
      </c>
      <c r="BN27" s="33"/>
      <c r="BO27" s="343"/>
      <c r="BP27" s="341">
        <f t="shared" si="61"/>
        <v>79.16</v>
      </c>
      <c r="BQ27" s="32">
        <f>21.27+1.56</f>
        <v>22.83</v>
      </c>
      <c r="BR27" s="43">
        <v>19.899999999999999</v>
      </c>
      <c r="BS27" s="43">
        <v>6.76</v>
      </c>
      <c r="BT27" s="853"/>
      <c r="BU27" s="854">
        <f t="shared" si="14"/>
        <v>49.489999999999995</v>
      </c>
      <c r="BV27" s="855">
        <v>3.46</v>
      </c>
      <c r="BW27" s="43">
        <v>12.25</v>
      </c>
      <c r="BX27" s="43">
        <v>15.06</v>
      </c>
      <c r="BY27" s="853"/>
      <c r="BZ27" s="856">
        <f t="shared" si="15"/>
        <v>30.770000000000003</v>
      </c>
      <c r="CA27" s="857">
        <v>14.89</v>
      </c>
      <c r="CB27" s="858">
        <v>15.63</v>
      </c>
      <c r="CC27" s="858">
        <v>10.63</v>
      </c>
      <c r="CD27" s="859"/>
      <c r="CE27" s="860">
        <f t="shared" si="62"/>
        <v>41.150000000000006</v>
      </c>
      <c r="CF27" s="857">
        <v>17.2</v>
      </c>
      <c r="CG27" s="858">
        <v>20.69</v>
      </c>
      <c r="CH27" s="858"/>
      <c r="CI27" s="859"/>
      <c r="CJ27" s="860">
        <f t="shared" si="63"/>
        <v>37.89</v>
      </c>
      <c r="CK27" s="857">
        <v>29.61</v>
      </c>
      <c r="CL27" s="858">
        <v>31.08</v>
      </c>
      <c r="CM27" s="858"/>
      <c r="CN27" s="859"/>
      <c r="CO27" s="860">
        <f t="shared" si="64"/>
        <v>60.69</v>
      </c>
      <c r="CP27" s="861">
        <v>26</v>
      </c>
      <c r="CQ27" s="411">
        <v>26.84</v>
      </c>
      <c r="CR27" s="411">
        <v>29.12</v>
      </c>
      <c r="CS27" s="862"/>
      <c r="CT27" s="863">
        <v>81.960000000000008</v>
      </c>
      <c r="CU27" s="861">
        <v>47.95</v>
      </c>
      <c r="CV27" s="411"/>
      <c r="CW27" s="411"/>
      <c r="CX27" s="862"/>
      <c r="CY27" s="863">
        <f t="shared" si="2"/>
        <v>47.95</v>
      </c>
      <c r="CZ27" s="861">
        <v>65.5</v>
      </c>
      <c r="DA27" s="411"/>
      <c r="DB27" s="411"/>
      <c r="DC27" s="862"/>
      <c r="DD27" s="863">
        <f t="shared" si="3"/>
        <v>65.5</v>
      </c>
      <c r="DE27" s="861">
        <v>71.73</v>
      </c>
      <c r="DF27" s="411"/>
      <c r="DG27" s="411"/>
      <c r="DH27" s="862"/>
      <c r="DI27" s="863">
        <f t="shared" si="4"/>
        <v>71.73</v>
      </c>
      <c r="DJ27" s="861">
        <v>66.47</v>
      </c>
      <c r="DK27" s="411"/>
      <c r="DL27" s="411"/>
      <c r="DM27" s="862"/>
      <c r="DN27" s="863">
        <f t="shared" si="16"/>
        <v>66.47</v>
      </c>
      <c r="DO27" s="861">
        <v>87.02</v>
      </c>
      <c r="DP27" s="411"/>
      <c r="DQ27" s="411"/>
      <c r="DR27" s="862"/>
      <c r="DS27" s="863">
        <f t="shared" si="17"/>
        <v>87.02</v>
      </c>
      <c r="DT27" s="861">
        <v>67.2</v>
      </c>
      <c r="DU27" s="411"/>
      <c r="DV27" s="411"/>
      <c r="DW27" s="862"/>
      <c r="DX27" s="863">
        <f t="shared" si="18"/>
        <v>67.2</v>
      </c>
      <c r="DY27" s="861">
        <v>48.68</v>
      </c>
      <c r="DZ27" s="411">
        <v>33.08</v>
      </c>
      <c r="EA27" s="411"/>
      <c r="EB27" s="862"/>
      <c r="EC27" s="863">
        <f t="shared" si="19"/>
        <v>81.759999999999991</v>
      </c>
      <c r="ED27" s="861">
        <v>25.67</v>
      </c>
      <c r="EE27" s="411">
        <v>23.64</v>
      </c>
      <c r="EF27" s="411"/>
      <c r="EG27" s="862"/>
      <c r="EH27" s="863">
        <f t="shared" si="20"/>
        <v>49.31</v>
      </c>
      <c r="EI27" s="861">
        <v>30.29</v>
      </c>
      <c r="EJ27" s="411"/>
      <c r="EK27" s="411"/>
      <c r="EL27" s="862"/>
      <c r="EM27" s="863">
        <f t="shared" si="21"/>
        <v>30.29</v>
      </c>
      <c r="EN27" s="861">
        <v>30.95</v>
      </c>
      <c r="EO27" s="411">
        <v>33.42</v>
      </c>
      <c r="EP27" s="411"/>
      <c r="EQ27" s="862"/>
      <c r="ER27" s="863">
        <f t="shared" si="22"/>
        <v>64.37</v>
      </c>
      <c r="ES27" s="861">
        <v>23.68</v>
      </c>
      <c r="ET27" s="411">
        <v>19.48</v>
      </c>
      <c r="EU27" s="411"/>
      <c r="EV27" s="862"/>
      <c r="EW27" s="863">
        <f t="shared" si="23"/>
        <v>43.16</v>
      </c>
      <c r="EX27" s="861">
        <v>32.229999999999997</v>
      </c>
      <c r="EY27" s="411">
        <v>26.55</v>
      </c>
      <c r="EZ27" s="411"/>
      <c r="FA27" s="862"/>
      <c r="FB27" s="863">
        <f t="shared" si="24"/>
        <v>58.78</v>
      </c>
      <c r="FC27" s="861">
        <v>31.28</v>
      </c>
      <c r="FD27" s="411">
        <v>31.13</v>
      </c>
      <c r="FE27" s="411"/>
      <c r="FF27" s="862"/>
      <c r="FG27" s="863">
        <f t="shared" si="25"/>
        <v>62.41</v>
      </c>
      <c r="FH27" s="861">
        <v>28.93</v>
      </c>
      <c r="FI27" s="411">
        <v>26.18</v>
      </c>
      <c r="FJ27" s="411"/>
      <c r="FK27" s="862"/>
      <c r="FL27" s="863">
        <f t="shared" si="26"/>
        <v>55.11</v>
      </c>
      <c r="FM27" s="861">
        <v>31.79</v>
      </c>
      <c r="FN27" s="411">
        <v>37.08</v>
      </c>
      <c r="FO27" s="411"/>
      <c r="FP27" s="862"/>
      <c r="FQ27" s="863">
        <f t="shared" si="27"/>
        <v>68.87</v>
      </c>
      <c r="FR27" s="861">
        <v>45.43</v>
      </c>
      <c r="FS27" s="411">
        <v>36.36</v>
      </c>
      <c r="FT27" s="411"/>
      <c r="FU27" s="862"/>
      <c r="FV27" s="863">
        <f t="shared" si="28"/>
        <v>81.789999999999992</v>
      </c>
      <c r="FW27" s="861">
        <v>47.18</v>
      </c>
      <c r="FX27" s="411">
        <v>10.97</v>
      </c>
      <c r="FY27" s="411"/>
      <c r="FZ27" s="862"/>
      <c r="GA27" s="863">
        <f t="shared" si="29"/>
        <v>58.15</v>
      </c>
      <c r="GB27" s="861">
        <v>22.99</v>
      </c>
      <c r="GC27" s="411">
        <v>37.25</v>
      </c>
      <c r="GD27" s="411"/>
      <c r="GE27" s="862"/>
      <c r="GF27" s="863">
        <f t="shared" si="30"/>
        <v>60.239999999999995</v>
      </c>
      <c r="GG27" s="346">
        <v>35.35</v>
      </c>
      <c r="GH27" s="347">
        <v>22.66</v>
      </c>
      <c r="GI27" s="347"/>
      <c r="GJ27" s="348"/>
      <c r="GK27" s="349">
        <f t="shared" si="31"/>
        <v>58.010000000000005</v>
      </c>
      <c r="GL27" s="346">
        <v>19.2</v>
      </c>
      <c r="GM27" s="347">
        <v>19.02</v>
      </c>
      <c r="GN27" s="347"/>
      <c r="GO27" s="348"/>
      <c r="GP27" s="349">
        <f t="shared" si="32"/>
        <v>38.22</v>
      </c>
      <c r="GQ27" s="346">
        <v>14.81</v>
      </c>
      <c r="GR27" s="347">
        <v>15.68</v>
      </c>
      <c r="GS27" s="347"/>
      <c r="GT27" s="348"/>
      <c r="GU27" s="349">
        <f t="shared" si="33"/>
        <v>30.490000000000002</v>
      </c>
      <c r="GV27" s="346">
        <v>28.36</v>
      </c>
      <c r="GW27" s="347">
        <v>26.78</v>
      </c>
      <c r="GX27" s="347"/>
      <c r="GY27" s="348"/>
      <c r="GZ27" s="349">
        <f t="shared" si="34"/>
        <v>55.14</v>
      </c>
      <c r="HA27" s="346">
        <v>23.51</v>
      </c>
      <c r="HB27" s="347">
        <v>22.56</v>
      </c>
      <c r="HC27" s="347"/>
      <c r="HD27" s="348"/>
      <c r="HE27" s="349">
        <f t="shared" si="35"/>
        <v>46.07</v>
      </c>
      <c r="HF27" s="346">
        <v>21.31</v>
      </c>
      <c r="HG27" s="347">
        <v>19.22</v>
      </c>
      <c r="HH27" s="347"/>
      <c r="HI27" s="348"/>
      <c r="HJ27" s="349">
        <f t="shared" si="36"/>
        <v>40.53</v>
      </c>
      <c r="HK27" s="346">
        <v>23.65</v>
      </c>
      <c r="HL27" s="347">
        <v>19.25</v>
      </c>
      <c r="HM27" s="347">
        <v>16.86</v>
      </c>
      <c r="HN27" s="348"/>
      <c r="HO27" s="349">
        <f t="shared" si="37"/>
        <v>59.76</v>
      </c>
      <c r="HP27" s="346">
        <v>27.26</v>
      </c>
      <c r="HQ27" s="347">
        <v>36.840000000000003</v>
      </c>
      <c r="HR27" s="347"/>
      <c r="HS27" s="348"/>
      <c r="HT27" s="349">
        <f t="shared" si="38"/>
        <v>64.100000000000009</v>
      </c>
      <c r="HU27" s="346">
        <v>50.79</v>
      </c>
      <c r="HV27" s="347">
        <v>28.25</v>
      </c>
      <c r="HW27" s="347"/>
      <c r="HX27" s="348"/>
      <c r="HY27" s="349">
        <f t="shared" si="39"/>
        <v>79.039999999999992</v>
      </c>
      <c r="HZ27" s="346">
        <v>38.35</v>
      </c>
      <c r="IA27" s="347">
        <v>70.31</v>
      </c>
      <c r="IB27" s="347"/>
      <c r="IC27" s="348"/>
      <c r="ID27" s="349">
        <f t="shared" si="40"/>
        <v>108.66</v>
      </c>
      <c r="IE27" s="88">
        <f>43.51+4.14</f>
        <v>47.65</v>
      </c>
      <c r="IF27" s="89">
        <v>7.08</v>
      </c>
      <c r="IG27" s="89"/>
      <c r="IH27" s="345"/>
      <c r="II27" s="344">
        <f t="shared" si="41"/>
        <v>54.73</v>
      </c>
      <c r="IJ27" s="88">
        <v>45.2</v>
      </c>
      <c r="IK27" s="89">
        <v>32.75</v>
      </c>
      <c r="IL27" s="345">
        <v>24.38</v>
      </c>
      <c r="IM27" s="340"/>
      <c r="IN27" s="492">
        <f t="shared" si="42"/>
        <v>102.33</v>
      </c>
      <c r="IO27" s="492"/>
      <c r="IP27" s="886">
        <f t="shared" si="43"/>
        <v>737.08</v>
      </c>
      <c r="IQ27" s="501">
        <v>54.83</v>
      </c>
      <c r="IR27" s="353"/>
      <c r="IS27" s="33"/>
      <c r="IT27" s="340"/>
      <c r="IU27" s="342">
        <f t="shared" si="44"/>
        <v>54.83</v>
      </c>
      <c r="IV27" s="32">
        <v>52.43</v>
      </c>
      <c r="IW27" s="353"/>
      <c r="IX27" s="33"/>
      <c r="IY27" s="340"/>
      <c r="IZ27" s="342">
        <f t="shared" si="45"/>
        <v>52.43</v>
      </c>
      <c r="JA27" s="32">
        <v>23.96</v>
      </c>
      <c r="JB27" s="33">
        <v>21.24</v>
      </c>
      <c r="JC27" s="33"/>
      <c r="JD27" s="340"/>
      <c r="JE27" s="342">
        <f t="shared" si="46"/>
        <v>45.2</v>
      </c>
      <c r="JF27" s="32">
        <v>40.51</v>
      </c>
      <c r="JG27" s="33">
        <v>25.2</v>
      </c>
      <c r="JH27" s="33"/>
      <c r="JI27" s="340"/>
      <c r="JJ27" s="342">
        <f t="shared" si="47"/>
        <v>65.709999999999994</v>
      </c>
      <c r="JK27" s="32">
        <v>11.83</v>
      </c>
      <c r="JL27" s="33">
        <v>25.41</v>
      </c>
      <c r="JM27" s="33">
        <v>23.67</v>
      </c>
      <c r="JN27" s="340"/>
      <c r="JO27" s="342">
        <f t="shared" si="48"/>
        <v>60.910000000000004</v>
      </c>
      <c r="JP27" s="32">
        <v>32.200000000000003</v>
      </c>
      <c r="JQ27" s="33">
        <v>20.95</v>
      </c>
      <c r="JR27" s="33"/>
      <c r="JS27" s="340"/>
      <c r="JT27" s="342">
        <f t="shared" si="49"/>
        <v>53.150000000000006</v>
      </c>
      <c r="JU27" s="32">
        <v>24.78</v>
      </c>
      <c r="JV27" s="33">
        <v>24.36</v>
      </c>
      <c r="JW27" s="33">
        <v>20.52</v>
      </c>
      <c r="JX27" s="340"/>
      <c r="JY27" s="342">
        <f t="shared" si="50"/>
        <v>69.66</v>
      </c>
      <c r="JZ27" s="32">
        <v>28.58</v>
      </c>
      <c r="KA27" s="33">
        <v>35.229999999999997</v>
      </c>
      <c r="KB27" s="33"/>
      <c r="KC27" s="340"/>
      <c r="KD27" s="342">
        <f t="shared" si="51"/>
        <v>63.809999999999995</v>
      </c>
      <c r="KE27" s="32">
        <v>25.82</v>
      </c>
      <c r="KF27" s="33">
        <v>43.61</v>
      </c>
      <c r="KG27" s="33">
        <v>0</v>
      </c>
      <c r="KH27" s="340">
        <v>0</v>
      </c>
      <c r="KI27" s="342">
        <f t="shared" si="52"/>
        <v>69.430000000000007</v>
      </c>
      <c r="KJ27" s="32">
        <v>33.340000000000003</v>
      </c>
      <c r="KK27" s="33">
        <v>44.74</v>
      </c>
      <c r="KL27" s="33">
        <v>0</v>
      </c>
      <c r="KM27" s="340">
        <v>0</v>
      </c>
      <c r="KN27" s="342">
        <f t="shared" si="53"/>
        <v>78.080000000000013</v>
      </c>
      <c r="KO27" s="32">
        <v>52.94</v>
      </c>
      <c r="KP27" s="33">
        <v>48.63</v>
      </c>
      <c r="KQ27" s="33">
        <v>0</v>
      </c>
      <c r="KR27" s="340">
        <v>0</v>
      </c>
      <c r="KS27" s="342">
        <f t="shared" si="54"/>
        <v>101.57</v>
      </c>
      <c r="KT27" s="32">
        <f t="shared" si="5"/>
        <v>45.21</v>
      </c>
      <c r="KU27" s="33">
        <f t="shared" si="6"/>
        <v>40.72</v>
      </c>
      <c r="KV27" s="33">
        <f t="shared" si="7"/>
        <v>0</v>
      </c>
      <c r="KW27" s="340">
        <f t="shared" si="8"/>
        <v>0</v>
      </c>
      <c r="KX27" s="342">
        <f t="shared" si="9"/>
        <v>85.93</v>
      </c>
      <c r="KZ27" s="507">
        <f t="shared" si="55"/>
        <v>800.71</v>
      </c>
    </row>
    <row r="28" spans="1:312" ht="15.75" x14ac:dyDescent="0.25">
      <c r="A28" s="366" t="s">
        <v>40</v>
      </c>
      <c r="B28" s="291">
        <v>19</v>
      </c>
      <c r="C28" s="363">
        <v>50.62</v>
      </c>
      <c r="D28" s="328">
        <v>39.82</v>
      </c>
      <c r="E28" s="329">
        <v>42.11</v>
      </c>
      <c r="F28" s="330"/>
      <c r="G28" s="331"/>
      <c r="H28" s="332">
        <f t="shared" si="10"/>
        <v>81.93</v>
      </c>
      <c r="I28" s="333">
        <v>44.96</v>
      </c>
      <c r="J28" s="334"/>
      <c r="K28" s="334"/>
      <c r="L28" s="335"/>
      <c r="M28" s="300">
        <f t="shared" si="11"/>
        <v>44.96</v>
      </c>
      <c r="N28" s="333">
        <v>56.07</v>
      </c>
      <c r="O28" s="334"/>
      <c r="P28" s="334"/>
      <c r="Q28" s="335"/>
      <c r="R28" s="300">
        <f t="shared" si="0"/>
        <v>56.07</v>
      </c>
      <c r="S28" s="333">
        <v>50.03</v>
      </c>
      <c r="T28" s="334">
        <v>15.32</v>
      </c>
      <c r="U28" s="334"/>
      <c r="V28" s="335"/>
      <c r="W28" s="300">
        <f t="shared" si="1"/>
        <v>65.349999999999994</v>
      </c>
      <c r="X28" s="333">
        <v>31.53</v>
      </c>
      <c r="Y28" s="334">
        <v>37.4</v>
      </c>
      <c r="Z28" s="334">
        <v>27.47</v>
      </c>
      <c r="AA28" s="335"/>
      <c r="AB28" s="300">
        <f t="shared" si="12"/>
        <v>96.4</v>
      </c>
      <c r="AC28" s="336">
        <v>26.2</v>
      </c>
      <c r="AD28" s="337">
        <v>28.01</v>
      </c>
      <c r="AE28" s="337"/>
      <c r="AF28" s="338"/>
      <c r="AG28" s="304">
        <f t="shared" si="13"/>
        <v>54.21</v>
      </c>
      <c r="AH28" s="336">
        <v>38.6</v>
      </c>
      <c r="AI28" s="337">
        <v>10.99</v>
      </c>
      <c r="AJ28" s="364">
        <v>30.85</v>
      </c>
      <c r="AK28" s="338"/>
      <c r="AL28" s="339">
        <f t="shared" si="56"/>
        <v>80.44</v>
      </c>
      <c r="AM28" s="32">
        <v>38.049999999999997</v>
      </c>
      <c r="AN28" s="33">
        <v>12.17</v>
      </c>
      <c r="AO28" s="33">
        <v>35.9</v>
      </c>
      <c r="AP28" s="340"/>
      <c r="AQ28" s="341">
        <f t="shared" si="57"/>
        <v>86.12</v>
      </c>
      <c r="AR28" s="32">
        <v>60.04</v>
      </c>
      <c r="AS28" s="33">
        <v>35.69</v>
      </c>
      <c r="AT28" s="33"/>
      <c r="AU28" s="340"/>
      <c r="AV28" s="342">
        <f t="shared" si="58"/>
        <v>95.72999999999999</v>
      </c>
      <c r="AW28" s="32">
        <v>70.959999999999994</v>
      </c>
      <c r="AX28" s="33"/>
      <c r="AY28" s="33"/>
      <c r="AZ28" s="340"/>
      <c r="BA28" s="342">
        <f t="shared" si="66"/>
        <v>70.959999999999994</v>
      </c>
      <c r="BB28" s="32">
        <v>62.18</v>
      </c>
      <c r="BC28" s="33"/>
      <c r="BD28" s="33"/>
      <c r="BE28" s="340"/>
      <c r="BF28" s="342">
        <f t="shared" si="67"/>
        <v>62.18</v>
      </c>
      <c r="BG28" s="32">
        <v>59.35</v>
      </c>
      <c r="BH28" s="33">
        <v>34.58</v>
      </c>
      <c r="BI28" s="33"/>
      <c r="BJ28" s="343"/>
      <c r="BK28" s="342">
        <f t="shared" si="60"/>
        <v>93.93</v>
      </c>
      <c r="BL28" s="32">
        <v>31.42</v>
      </c>
      <c r="BM28" s="33">
        <v>21.02</v>
      </c>
      <c r="BN28" s="33">
        <v>8.73</v>
      </c>
      <c r="BO28" s="343"/>
      <c r="BP28" s="341">
        <f t="shared" si="61"/>
        <v>61.17</v>
      </c>
      <c r="BQ28" s="32">
        <v>21.08</v>
      </c>
      <c r="BR28" s="43">
        <v>17.41</v>
      </c>
      <c r="BS28" s="43">
        <v>9.61</v>
      </c>
      <c r="BT28" s="853"/>
      <c r="BU28" s="854">
        <f t="shared" si="14"/>
        <v>48.099999999999994</v>
      </c>
      <c r="BV28" s="855">
        <v>17.399999999999999</v>
      </c>
      <c r="BW28" s="43">
        <v>17.649999999999999</v>
      </c>
      <c r="BX28" s="43"/>
      <c r="BY28" s="853"/>
      <c r="BZ28" s="856">
        <f t="shared" si="15"/>
        <v>35.049999999999997</v>
      </c>
      <c r="CA28" s="857">
        <v>21.82</v>
      </c>
      <c r="CB28" s="858">
        <v>22.04</v>
      </c>
      <c r="CC28" s="858">
        <v>3.44</v>
      </c>
      <c r="CD28" s="859"/>
      <c r="CE28" s="860">
        <f t="shared" si="62"/>
        <v>47.3</v>
      </c>
      <c r="CF28" s="857">
        <v>16.260000000000002</v>
      </c>
      <c r="CG28" s="858">
        <v>28.38</v>
      </c>
      <c r="CH28" s="858">
        <v>23.79</v>
      </c>
      <c r="CI28" s="859"/>
      <c r="CJ28" s="860">
        <f t="shared" si="63"/>
        <v>68.430000000000007</v>
      </c>
      <c r="CK28" s="857">
        <v>27.92</v>
      </c>
      <c r="CL28" s="858">
        <v>26.18</v>
      </c>
      <c r="CM28" s="858"/>
      <c r="CN28" s="859"/>
      <c r="CO28" s="860">
        <f t="shared" si="64"/>
        <v>54.1</v>
      </c>
      <c r="CP28" s="861">
        <v>18.850000000000001</v>
      </c>
      <c r="CQ28" s="411">
        <v>28.53</v>
      </c>
      <c r="CR28" s="411">
        <v>18.62</v>
      </c>
      <c r="CS28" s="862"/>
      <c r="CT28" s="863">
        <v>66</v>
      </c>
      <c r="CU28" s="861">
        <v>11.32</v>
      </c>
      <c r="CV28" s="411">
        <v>36.47</v>
      </c>
      <c r="CW28" s="411">
        <v>40.380000000000003</v>
      </c>
      <c r="CX28" s="862"/>
      <c r="CY28" s="863">
        <f t="shared" si="2"/>
        <v>88.17</v>
      </c>
      <c r="CZ28" s="861">
        <v>47.61</v>
      </c>
      <c r="DA28" s="411">
        <v>41.79</v>
      </c>
      <c r="DB28" s="411"/>
      <c r="DC28" s="862"/>
      <c r="DD28" s="863">
        <f t="shared" si="3"/>
        <v>89.4</v>
      </c>
      <c r="DE28" s="861">
        <v>32.35</v>
      </c>
      <c r="DF28" s="411">
        <v>29.97</v>
      </c>
      <c r="DG28" s="411"/>
      <c r="DH28" s="862"/>
      <c r="DI28" s="863">
        <f t="shared" si="4"/>
        <v>62.32</v>
      </c>
      <c r="DJ28" s="861">
        <v>59.42</v>
      </c>
      <c r="DK28" s="411">
        <v>50.5</v>
      </c>
      <c r="DL28" s="411"/>
      <c r="DM28" s="862"/>
      <c r="DN28" s="863">
        <f t="shared" si="16"/>
        <v>109.92</v>
      </c>
      <c r="DO28" s="861">
        <v>37.68</v>
      </c>
      <c r="DP28" s="411">
        <v>30.31</v>
      </c>
      <c r="DQ28" s="411"/>
      <c r="DR28" s="862"/>
      <c r="DS28" s="863">
        <f t="shared" si="17"/>
        <v>67.989999999999995</v>
      </c>
      <c r="DT28" s="861">
        <v>44.95</v>
      </c>
      <c r="DU28" s="411">
        <v>37.58</v>
      </c>
      <c r="DV28" s="411"/>
      <c r="DW28" s="862"/>
      <c r="DX28" s="863">
        <f t="shared" si="18"/>
        <v>82.53</v>
      </c>
      <c r="DY28" s="861">
        <v>30.76</v>
      </c>
      <c r="DZ28" s="411">
        <v>23.94</v>
      </c>
      <c r="EA28" s="411"/>
      <c r="EB28" s="862"/>
      <c r="EC28" s="863">
        <f t="shared" si="19"/>
        <v>54.7</v>
      </c>
      <c r="ED28" s="861">
        <v>29.28</v>
      </c>
      <c r="EE28" s="411">
        <v>28.183</v>
      </c>
      <c r="EF28" s="411"/>
      <c r="EG28" s="862"/>
      <c r="EH28" s="863">
        <f t="shared" si="20"/>
        <v>57.463000000000001</v>
      </c>
      <c r="EI28" s="861">
        <v>42.13</v>
      </c>
      <c r="EJ28" s="411"/>
      <c r="EK28" s="411"/>
      <c r="EL28" s="862"/>
      <c r="EM28" s="863">
        <f t="shared" si="21"/>
        <v>42.13</v>
      </c>
      <c r="EN28" s="861">
        <v>35.29</v>
      </c>
      <c r="EO28" s="411">
        <v>23.19</v>
      </c>
      <c r="EP28" s="411">
        <v>12.31</v>
      </c>
      <c r="EQ28" s="862"/>
      <c r="ER28" s="863">
        <f t="shared" si="22"/>
        <v>70.790000000000006</v>
      </c>
      <c r="ES28" s="861">
        <v>29.74</v>
      </c>
      <c r="ET28" s="411">
        <v>35.36</v>
      </c>
      <c r="EU28" s="411">
        <v>28.91</v>
      </c>
      <c r="EV28" s="862"/>
      <c r="EW28" s="863">
        <f t="shared" si="23"/>
        <v>94.009999999999991</v>
      </c>
      <c r="EX28" s="861">
        <v>40.9</v>
      </c>
      <c r="EY28" s="411">
        <v>33.54</v>
      </c>
      <c r="EZ28" s="411"/>
      <c r="FA28" s="862"/>
      <c r="FB28" s="863">
        <f t="shared" si="24"/>
        <v>74.44</v>
      </c>
      <c r="FC28" s="861">
        <v>50.95</v>
      </c>
      <c r="FD28" s="411">
        <v>36.9</v>
      </c>
      <c r="FE28" s="411"/>
      <c r="FF28" s="862"/>
      <c r="FG28" s="863">
        <f t="shared" si="25"/>
        <v>87.85</v>
      </c>
      <c r="FH28" s="861">
        <v>39.93</v>
      </c>
      <c r="FI28" s="411">
        <v>3.43</v>
      </c>
      <c r="FJ28" s="411"/>
      <c r="FK28" s="862"/>
      <c r="FL28" s="863">
        <f t="shared" si="26"/>
        <v>43.36</v>
      </c>
      <c r="FM28" s="861">
        <v>38.369999999999997</v>
      </c>
      <c r="FN28" s="411">
        <v>42.72</v>
      </c>
      <c r="FO28" s="411"/>
      <c r="FP28" s="862"/>
      <c r="FQ28" s="863">
        <f t="shared" si="27"/>
        <v>81.09</v>
      </c>
      <c r="FR28" s="861">
        <v>35.32</v>
      </c>
      <c r="FS28" s="411">
        <v>40.729999999999997</v>
      </c>
      <c r="FT28" s="411"/>
      <c r="FU28" s="862"/>
      <c r="FV28" s="863">
        <f t="shared" si="28"/>
        <v>76.05</v>
      </c>
      <c r="FW28" s="861">
        <v>36.119999999999997</v>
      </c>
      <c r="FX28" s="411">
        <v>42.68</v>
      </c>
      <c r="FY28" s="411"/>
      <c r="FZ28" s="862"/>
      <c r="GA28" s="863">
        <f t="shared" si="29"/>
        <v>78.8</v>
      </c>
      <c r="GB28" s="861">
        <v>32.35</v>
      </c>
      <c r="GC28" s="411">
        <v>26.49</v>
      </c>
      <c r="GD28" s="411"/>
      <c r="GE28" s="862"/>
      <c r="GF28" s="863">
        <f t="shared" si="30"/>
        <v>58.84</v>
      </c>
      <c r="GG28" s="346">
        <v>27.52</v>
      </c>
      <c r="GH28" s="347">
        <v>20.74</v>
      </c>
      <c r="GI28" s="347"/>
      <c r="GJ28" s="348"/>
      <c r="GK28" s="349">
        <f t="shared" si="31"/>
        <v>48.26</v>
      </c>
      <c r="GL28" s="346">
        <v>15.06</v>
      </c>
      <c r="GM28" s="347">
        <v>11</v>
      </c>
      <c r="GN28" s="347"/>
      <c r="GO28" s="348"/>
      <c r="GP28" s="349">
        <f t="shared" si="32"/>
        <v>26.060000000000002</v>
      </c>
      <c r="GQ28" s="346">
        <v>11.64</v>
      </c>
      <c r="GR28" s="347">
        <v>8.18</v>
      </c>
      <c r="GS28" s="347">
        <v>7.52</v>
      </c>
      <c r="GT28" s="348"/>
      <c r="GU28" s="349">
        <f t="shared" si="33"/>
        <v>27.34</v>
      </c>
      <c r="GV28" s="346">
        <v>37.159999999999997</v>
      </c>
      <c r="GW28" s="354"/>
      <c r="GX28" s="347"/>
      <c r="GY28" s="348"/>
      <c r="GZ28" s="349">
        <f t="shared" si="34"/>
        <v>37.159999999999997</v>
      </c>
      <c r="HA28" s="346">
        <v>19.32</v>
      </c>
      <c r="HB28" s="347">
        <v>19.190000000000001</v>
      </c>
      <c r="HC28" s="347">
        <v>20.010000000000002</v>
      </c>
      <c r="HD28" s="348"/>
      <c r="HE28" s="349">
        <f t="shared" si="35"/>
        <v>58.52000000000001</v>
      </c>
      <c r="HF28" s="346">
        <v>4.3499999999999996</v>
      </c>
      <c r="HG28" s="347">
        <v>19.75</v>
      </c>
      <c r="HH28" s="347">
        <v>27.34</v>
      </c>
      <c r="HI28" s="348"/>
      <c r="HJ28" s="349">
        <f t="shared" si="36"/>
        <v>51.44</v>
      </c>
      <c r="HK28" s="346">
        <v>25.51</v>
      </c>
      <c r="HL28" s="347">
        <v>14.72</v>
      </c>
      <c r="HM28" s="347"/>
      <c r="HN28" s="348"/>
      <c r="HO28" s="349">
        <f t="shared" si="37"/>
        <v>40.230000000000004</v>
      </c>
      <c r="HP28" s="346">
        <v>68.5</v>
      </c>
      <c r="HQ28" s="352"/>
      <c r="HR28" s="347"/>
      <c r="HS28" s="348"/>
      <c r="HT28" s="349">
        <f t="shared" si="38"/>
        <v>68.5</v>
      </c>
      <c r="HU28" s="346">
        <v>87.75</v>
      </c>
      <c r="HV28" s="347">
        <v>87.18</v>
      </c>
      <c r="HW28" s="347"/>
      <c r="HX28" s="348"/>
      <c r="HY28" s="349">
        <f t="shared" si="39"/>
        <v>174.93</v>
      </c>
      <c r="HZ28" s="346">
        <f>58.68+3.08</f>
        <v>61.76</v>
      </c>
      <c r="IA28" s="347">
        <v>27.95</v>
      </c>
      <c r="IB28" s="347"/>
      <c r="IC28" s="348"/>
      <c r="ID28" s="349">
        <f t="shared" si="40"/>
        <v>89.71</v>
      </c>
      <c r="IE28" s="88">
        <v>50.74</v>
      </c>
      <c r="IF28" s="89">
        <v>23.71</v>
      </c>
      <c r="IG28" s="89"/>
      <c r="IH28" s="345"/>
      <c r="II28" s="344">
        <f t="shared" si="41"/>
        <v>74.45</v>
      </c>
      <c r="IJ28" s="88">
        <v>40.1</v>
      </c>
      <c r="IK28" s="89">
        <v>9.11</v>
      </c>
      <c r="IL28" s="345"/>
      <c r="IM28" s="340"/>
      <c r="IN28" s="492">
        <f t="shared" si="42"/>
        <v>49.21</v>
      </c>
      <c r="IO28" s="492"/>
      <c r="IP28" s="886">
        <f t="shared" si="43"/>
        <v>745.81000000000017</v>
      </c>
      <c r="IQ28" s="501">
        <v>28.74</v>
      </c>
      <c r="IR28" s="33">
        <v>26.29</v>
      </c>
      <c r="IS28" s="33"/>
      <c r="IT28" s="340"/>
      <c r="IU28" s="342">
        <f t="shared" si="44"/>
        <v>55.03</v>
      </c>
      <c r="IV28" s="32">
        <v>40.56</v>
      </c>
      <c r="IW28" s="33">
        <v>23.43</v>
      </c>
      <c r="IX28" s="33"/>
      <c r="IY28" s="340"/>
      <c r="IZ28" s="342">
        <f t="shared" si="45"/>
        <v>63.99</v>
      </c>
      <c r="JA28" s="32">
        <v>31.71</v>
      </c>
      <c r="JB28" s="33">
        <v>8.9600000000000009</v>
      </c>
      <c r="JC28" s="33"/>
      <c r="JD28" s="340"/>
      <c r="JE28" s="342">
        <f t="shared" si="46"/>
        <v>40.67</v>
      </c>
      <c r="JF28" s="32">
        <v>43.32</v>
      </c>
      <c r="JG28" s="33">
        <v>48.33</v>
      </c>
      <c r="JH28" s="33"/>
      <c r="JI28" s="340"/>
      <c r="JJ28" s="342">
        <f t="shared" si="47"/>
        <v>91.65</v>
      </c>
      <c r="JK28" s="32">
        <v>26.47</v>
      </c>
      <c r="JL28" s="33">
        <v>17.850000000000001</v>
      </c>
      <c r="JM28" s="33">
        <v>20.71</v>
      </c>
      <c r="JN28" s="340"/>
      <c r="JO28" s="342">
        <f t="shared" si="48"/>
        <v>65.03</v>
      </c>
      <c r="JP28" s="32">
        <v>32.54</v>
      </c>
      <c r="JQ28" s="33">
        <v>20.16</v>
      </c>
      <c r="JR28" s="33"/>
      <c r="JS28" s="340"/>
      <c r="JT28" s="342">
        <f t="shared" si="49"/>
        <v>52.7</v>
      </c>
      <c r="JU28" s="32">
        <v>36.39</v>
      </c>
      <c r="JV28" s="33">
        <v>36.229999999999997</v>
      </c>
      <c r="JW28" s="33">
        <v>11.13</v>
      </c>
      <c r="JX28" s="340"/>
      <c r="JY28" s="342">
        <f t="shared" si="50"/>
        <v>83.75</v>
      </c>
      <c r="JZ28" s="32">
        <v>21.68</v>
      </c>
      <c r="KA28" s="33">
        <v>38.17</v>
      </c>
      <c r="KB28" s="33">
        <v>22.24</v>
      </c>
      <c r="KC28" s="340"/>
      <c r="KD28" s="342">
        <f t="shared" si="51"/>
        <v>82.09</v>
      </c>
      <c r="KE28" s="32">
        <v>45.83</v>
      </c>
      <c r="KF28" s="33">
        <v>38.379999999999995</v>
      </c>
      <c r="KG28" s="33">
        <v>0</v>
      </c>
      <c r="KH28" s="340">
        <v>0</v>
      </c>
      <c r="KI28" s="342">
        <f t="shared" si="52"/>
        <v>84.21</v>
      </c>
      <c r="KJ28" s="32">
        <v>48.669999999999995</v>
      </c>
      <c r="KK28" s="33">
        <v>57.73</v>
      </c>
      <c r="KL28" s="33">
        <v>0</v>
      </c>
      <c r="KM28" s="340">
        <v>0</v>
      </c>
      <c r="KN28" s="342">
        <f t="shared" si="53"/>
        <v>106.39999999999999</v>
      </c>
      <c r="KO28" s="32">
        <v>50.51</v>
      </c>
      <c r="KP28" s="33">
        <v>0</v>
      </c>
      <c r="KQ28" s="33">
        <v>0</v>
      </c>
      <c r="KR28" s="340">
        <v>0</v>
      </c>
      <c r="KS28" s="342">
        <f t="shared" si="54"/>
        <v>50.51</v>
      </c>
      <c r="KT28" s="32">
        <f t="shared" si="5"/>
        <v>56.22</v>
      </c>
      <c r="KU28" s="33">
        <f t="shared" si="6"/>
        <v>33.75</v>
      </c>
      <c r="KV28" s="33">
        <f t="shared" si="7"/>
        <v>0</v>
      </c>
      <c r="KW28" s="340">
        <f t="shared" si="8"/>
        <v>0</v>
      </c>
      <c r="KX28" s="342">
        <f t="shared" si="9"/>
        <v>89.97</v>
      </c>
      <c r="KZ28" s="507">
        <f t="shared" si="55"/>
        <v>866</v>
      </c>
    </row>
    <row r="29" spans="1:312" ht="15.75" x14ac:dyDescent="0.25">
      <c r="A29" s="367"/>
      <c r="B29" s="326">
        <v>20</v>
      </c>
      <c r="C29" s="327">
        <v>62.08</v>
      </c>
      <c r="D29" s="328">
        <v>39.950000000000003</v>
      </c>
      <c r="E29" s="329">
        <v>51.61</v>
      </c>
      <c r="F29" s="330"/>
      <c r="G29" s="331"/>
      <c r="H29" s="332">
        <f t="shared" si="10"/>
        <v>91.56</v>
      </c>
      <c r="I29" s="333">
        <v>50.55</v>
      </c>
      <c r="J29" s="334"/>
      <c r="K29" s="334"/>
      <c r="L29" s="335"/>
      <c r="M29" s="300">
        <f t="shared" si="11"/>
        <v>50.55</v>
      </c>
      <c r="N29" s="333">
        <v>45.12</v>
      </c>
      <c r="O29" s="334">
        <v>27.36</v>
      </c>
      <c r="P29" s="334"/>
      <c r="Q29" s="335"/>
      <c r="R29" s="300">
        <f t="shared" si="0"/>
        <v>72.47999999999999</v>
      </c>
      <c r="S29" s="333">
        <v>41.54</v>
      </c>
      <c r="T29" s="334">
        <v>29.27</v>
      </c>
      <c r="U29" s="334"/>
      <c r="V29" s="335"/>
      <c r="W29" s="300">
        <f t="shared" si="1"/>
        <v>70.81</v>
      </c>
      <c r="X29" s="333">
        <v>31.53</v>
      </c>
      <c r="Y29" s="334">
        <v>27.73</v>
      </c>
      <c r="Z29" s="334">
        <v>20.48</v>
      </c>
      <c r="AA29" s="335"/>
      <c r="AB29" s="300">
        <f t="shared" si="12"/>
        <v>79.740000000000009</v>
      </c>
      <c r="AC29" s="336">
        <v>40.99</v>
      </c>
      <c r="AD29" s="337">
        <v>31.33</v>
      </c>
      <c r="AE29" s="337"/>
      <c r="AF29" s="338"/>
      <c r="AG29" s="304">
        <f t="shared" si="13"/>
        <v>72.319999999999993</v>
      </c>
      <c r="AH29" s="336">
        <v>37.68</v>
      </c>
      <c r="AI29" s="337">
        <v>10.48</v>
      </c>
      <c r="AJ29" s="364">
        <v>22.11</v>
      </c>
      <c r="AK29" s="338"/>
      <c r="AL29" s="339">
        <f t="shared" si="56"/>
        <v>70.27</v>
      </c>
      <c r="AM29" s="32">
        <v>54.88</v>
      </c>
      <c r="AN29" s="33">
        <v>18.64</v>
      </c>
      <c r="AO29" s="33">
        <v>27.75</v>
      </c>
      <c r="AP29" s="340"/>
      <c r="AQ29" s="341">
        <f t="shared" si="57"/>
        <v>101.27000000000001</v>
      </c>
      <c r="AR29" s="32">
        <v>53.61</v>
      </c>
      <c r="AS29" s="33">
        <v>7.31</v>
      </c>
      <c r="AT29" s="33"/>
      <c r="AU29" s="340"/>
      <c r="AV29" s="342">
        <f t="shared" si="58"/>
        <v>60.92</v>
      </c>
      <c r="AW29" s="32">
        <v>38.33</v>
      </c>
      <c r="AX29" s="33">
        <v>44.86</v>
      </c>
      <c r="AY29" s="33"/>
      <c r="AZ29" s="340"/>
      <c r="BA29" s="342">
        <f t="shared" si="66"/>
        <v>83.19</v>
      </c>
      <c r="BB29" s="32">
        <v>70.66</v>
      </c>
      <c r="BC29" s="33"/>
      <c r="BD29" s="33"/>
      <c r="BE29" s="340"/>
      <c r="BF29" s="342">
        <f t="shared" si="67"/>
        <v>70.66</v>
      </c>
      <c r="BG29" s="32">
        <v>52.33</v>
      </c>
      <c r="BH29" s="33">
        <v>36.43</v>
      </c>
      <c r="BI29" s="33"/>
      <c r="BJ29" s="343"/>
      <c r="BK29" s="342">
        <f t="shared" si="60"/>
        <v>88.759999999999991</v>
      </c>
      <c r="BL29" s="32">
        <v>33.090000000000003</v>
      </c>
      <c r="BM29" s="33">
        <v>30.93</v>
      </c>
      <c r="BN29" s="33"/>
      <c r="BO29" s="343"/>
      <c r="BP29" s="341">
        <f t="shared" si="61"/>
        <v>64.02000000000001</v>
      </c>
      <c r="BQ29" s="32">
        <v>20.39</v>
      </c>
      <c r="BR29" s="43">
        <v>19.920000000000002</v>
      </c>
      <c r="BS29" s="43">
        <v>11.6</v>
      </c>
      <c r="BT29" s="853"/>
      <c r="BU29" s="854">
        <f t="shared" si="14"/>
        <v>51.910000000000004</v>
      </c>
      <c r="BV29" s="855">
        <v>16.8</v>
      </c>
      <c r="BW29" s="43">
        <v>14.41</v>
      </c>
      <c r="BX29" s="43"/>
      <c r="BY29" s="853"/>
      <c r="BZ29" s="856">
        <f t="shared" si="15"/>
        <v>31.21</v>
      </c>
      <c r="CA29" s="857">
        <v>19.329999999999998</v>
      </c>
      <c r="CB29" s="858">
        <v>20.59</v>
      </c>
      <c r="CC29" s="858"/>
      <c r="CD29" s="859"/>
      <c r="CE29" s="860">
        <f t="shared" si="62"/>
        <v>39.92</v>
      </c>
      <c r="CF29" s="857">
        <v>23.25</v>
      </c>
      <c r="CG29" s="858">
        <v>27.31</v>
      </c>
      <c r="CH29" s="858">
        <v>17.79</v>
      </c>
      <c r="CI29" s="859"/>
      <c r="CJ29" s="860">
        <f t="shared" si="63"/>
        <v>68.349999999999994</v>
      </c>
      <c r="CK29" s="857">
        <v>4.1100000000000003</v>
      </c>
      <c r="CL29" s="858">
        <v>25.93</v>
      </c>
      <c r="CM29" s="858">
        <v>22.42</v>
      </c>
      <c r="CN29" s="859"/>
      <c r="CO29" s="860">
        <f t="shared" si="64"/>
        <v>52.46</v>
      </c>
      <c r="CP29" s="861">
        <v>19.75</v>
      </c>
      <c r="CQ29" s="411">
        <v>30.35</v>
      </c>
      <c r="CR29" s="411"/>
      <c r="CS29" s="862"/>
      <c r="CT29" s="863">
        <v>50.1</v>
      </c>
      <c r="CU29" s="861">
        <v>41.08</v>
      </c>
      <c r="CV29" s="411">
        <v>44.4</v>
      </c>
      <c r="CW29" s="411">
        <v>42.71</v>
      </c>
      <c r="CX29" s="862"/>
      <c r="CY29" s="863">
        <f t="shared" si="2"/>
        <v>128.19</v>
      </c>
      <c r="CZ29" s="861">
        <v>60.77</v>
      </c>
      <c r="DA29" s="411">
        <v>38.67</v>
      </c>
      <c r="DB29" s="411"/>
      <c r="DC29" s="862"/>
      <c r="DD29" s="863">
        <f t="shared" si="3"/>
        <v>99.44</v>
      </c>
      <c r="DE29" s="861">
        <v>26.9</v>
      </c>
      <c r="DF29" s="411">
        <v>42.53</v>
      </c>
      <c r="DG29" s="411"/>
      <c r="DH29" s="862"/>
      <c r="DI29" s="863">
        <f t="shared" si="4"/>
        <v>69.430000000000007</v>
      </c>
      <c r="DJ29" s="861">
        <v>59.84</v>
      </c>
      <c r="DK29" s="411">
        <v>49.97</v>
      </c>
      <c r="DL29" s="411"/>
      <c r="DM29" s="862"/>
      <c r="DN29" s="863">
        <f t="shared" si="16"/>
        <v>109.81</v>
      </c>
      <c r="DO29" s="861">
        <v>51.31</v>
      </c>
      <c r="DP29" s="411">
        <v>40.08</v>
      </c>
      <c r="DQ29" s="411"/>
      <c r="DR29" s="862"/>
      <c r="DS29" s="863">
        <f t="shared" si="17"/>
        <v>91.39</v>
      </c>
      <c r="DT29" s="861">
        <v>42.86</v>
      </c>
      <c r="DU29" s="411">
        <v>34.549999999999997</v>
      </c>
      <c r="DV29" s="411"/>
      <c r="DW29" s="862"/>
      <c r="DX29" s="863">
        <f t="shared" si="18"/>
        <v>77.41</v>
      </c>
      <c r="DY29" s="861">
        <v>30.72</v>
      </c>
      <c r="DZ29" s="411">
        <v>30.75</v>
      </c>
      <c r="EA29" s="411"/>
      <c r="EB29" s="862"/>
      <c r="EC29" s="863">
        <f t="shared" si="19"/>
        <v>61.47</v>
      </c>
      <c r="ED29" s="861">
        <v>33.619999999999997</v>
      </c>
      <c r="EE29" s="411">
        <v>21.05</v>
      </c>
      <c r="EF29" s="411"/>
      <c r="EG29" s="862"/>
      <c r="EH29" s="863">
        <f t="shared" si="20"/>
        <v>54.67</v>
      </c>
      <c r="EI29" s="861">
        <v>10.34</v>
      </c>
      <c r="EJ29" s="411">
        <v>42.34</v>
      </c>
      <c r="EK29" s="411"/>
      <c r="EL29" s="862"/>
      <c r="EM29" s="863">
        <f t="shared" si="21"/>
        <v>52.680000000000007</v>
      </c>
      <c r="EN29" s="861">
        <v>37.74</v>
      </c>
      <c r="EO29" s="411">
        <v>25.94</v>
      </c>
      <c r="EP29" s="411"/>
      <c r="EQ29" s="862"/>
      <c r="ER29" s="863">
        <f t="shared" si="22"/>
        <v>63.680000000000007</v>
      </c>
      <c r="ES29" s="861">
        <v>39.39</v>
      </c>
      <c r="ET29" s="411">
        <v>35.65</v>
      </c>
      <c r="EU29" s="411">
        <v>33.22</v>
      </c>
      <c r="EV29" s="862"/>
      <c r="EW29" s="863">
        <f t="shared" si="23"/>
        <v>108.25999999999999</v>
      </c>
      <c r="EX29" s="861">
        <v>40.08</v>
      </c>
      <c r="EY29" s="411">
        <v>34.1</v>
      </c>
      <c r="EZ29" s="411"/>
      <c r="FA29" s="862"/>
      <c r="FB29" s="863">
        <f t="shared" si="24"/>
        <v>74.180000000000007</v>
      </c>
      <c r="FC29" s="861">
        <v>52.25</v>
      </c>
      <c r="FD29" s="411">
        <v>14.72</v>
      </c>
      <c r="FE29" s="411"/>
      <c r="FF29" s="862"/>
      <c r="FG29" s="863">
        <f t="shared" si="25"/>
        <v>66.97</v>
      </c>
      <c r="FH29" s="861">
        <v>26.92</v>
      </c>
      <c r="FI29" s="411">
        <v>48.55</v>
      </c>
      <c r="FJ29" s="411"/>
      <c r="FK29" s="862"/>
      <c r="FL29" s="863">
        <f t="shared" si="26"/>
        <v>75.47</v>
      </c>
      <c r="FM29" s="861">
        <v>31.99</v>
      </c>
      <c r="FN29" s="411">
        <v>34.619999999999997</v>
      </c>
      <c r="FO29" s="411"/>
      <c r="FP29" s="862"/>
      <c r="FQ29" s="863">
        <f t="shared" si="27"/>
        <v>66.61</v>
      </c>
      <c r="FR29" s="861">
        <v>43.68</v>
      </c>
      <c r="FS29" s="411">
        <v>48.8</v>
      </c>
      <c r="FT29" s="411"/>
      <c r="FU29" s="862"/>
      <c r="FV29" s="863">
        <f t="shared" si="28"/>
        <v>92.47999999999999</v>
      </c>
      <c r="FW29" s="861">
        <v>41.4</v>
      </c>
      <c r="FX29" s="411">
        <v>36.65</v>
      </c>
      <c r="FY29" s="411"/>
      <c r="FZ29" s="862"/>
      <c r="GA29" s="863">
        <f t="shared" si="29"/>
        <v>78.05</v>
      </c>
      <c r="GB29" s="861">
        <v>37.89</v>
      </c>
      <c r="GC29" s="411">
        <v>30.42</v>
      </c>
      <c r="GD29" s="411"/>
      <c r="GE29" s="862"/>
      <c r="GF29" s="863">
        <f t="shared" si="30"/>
        <v>68.31</v>
      </c>
      <c r="GG29" s="346">
        <v>29.16</v>
      </c>
      <c r="GH29" s="347">
        <v>20.350000000000001</v>
      </c>
      <c r="GI29" s="347"/>
      <c r="GJ29" s="348"/>
      <c r="GK29" s="349">
        <f t="shared" si="31"/>
        <v>49.510000000000005</v>
      </c>
      <c r="GL29" s="346">
        <v>14.02</v>
      </c>
      <c r="GM29" s="347">
        <v>10.06</v>
      </c>
      <c r="GN29" s="347"/>
      <c r="GO29" s="348"/>
      <c r="GP29" s="349">
        <f t="shared" si="32"/>
        <v>24.08</v>
      </c>
      <c r="GQ29" s="346">
        <v>7.04</v>
      </c>
      <c r="GR29" s="347">
        <v>3.67</v>
      </c>
      <c r="GS29" s="347">
        <v>5.84</v>
      </c>
      <c r="GT29" s="348"/>
      <c r="GU29" s="349">
        <f t="shared" si="33"/>
        <v>16.55</v>
      </c>
      <c r="GV29" s="346">
        <v>22.51</v>
      </c>
      <c r="GW29" s="354"/>
      <c r="GX29" s="347"/>
      <c r="GY29" s="348"/>
      <c r="GZ29" s="349">
        <f t="shared" si="34"/>
        <v>22.51</v>
      </c>
      <c r="HA29" s="346">
        <v>22.64</v>
      </c>
      <c r="HB29" s="347">
        <v>23.19</v>
      </c>
      <c r="HC29" s="347"/>
      <c r="HD29" s="348"/>
      <c r="HE29" s="349">
        <f t="shared" si="35"/>
        <v>45.83</v>
      </c>
      <c r="HF29" s="346">
        <v>25.81</v>
      </c>
      <c r="HG29" s="347">
        <v>22.15</v>
      </c>
      <c r="HH29" s="347">
        <v>16.850000000000001</v>
      </c>
      <c r="HI29" s="348"/>
      <c r="HJ29" s="349">
        <f t="shared" si="36"/>
        <v>64.81</v>
      </c>
      <c r="HK29" s="346">
        <v>13.96</v>
      </c>
      <c r="HL29" s="347">
        <v>33.44</v>
      </c>
      <c r="HM29" s="347">
        <v>21.88</v>
      </c>
      <c r="HN29" s="348"/>
      <c r="HO29" s="349">
        <f t="shared" si="37"/>
        <v>69.28</v>
      </c>
      <c r="HP29" s="346">
        <v>70.23</v>
      </c>
      <c r="HQ29" s="352"/>
      <c r="HR29" s="347"/>
      <c r="HS29" s="348"/>
      <c r="HT29" s="349">
        <f t="shared" si="38"/>
        <v>70.23</v>
      </c>
      <c r="HU29" s="346">
        <v>84.53</v>
      </c>
      <c r="HV29" s="347">
        <v>84.03</v>
      </c>
      <c r="HW29" s="347"/>
      <c r="HX29" s="348"/>
      <c r="HY29" s="349">
        <f t="shared" si="39"/>
        <v>168.56</v>
      </c>
      <c r="HZ29" s="346">
        <f>75.93+1.59</f>
        <v>77.52000000000001</v>
      </c>
      <c r="IA29" s="347">
        <v>37.82</v>
      </c>
      <c r="IB29" s="347"/>
      <c r="IC29" s="348"/>
      <c r="ID29" s="349">
        <f t="shared" si="40"/>
        <v>115.34</v>
      </c>
      <c r="IE29" s="88">
        <v>60.64</v>
      </c>
      <c r="IF29" s="89">
        <v>23.65</v>
      </c>
      <c r="IG29" s="89"/>
      <c r="IH29" s="345"/>
      <c r="II29" s="344">
        <f t="shared" si="41"/>
        <v>84.289999999999992</v>
      </c>
      <c r="IJ29" s="88">
        <v>47.96</v>
      </c>
      <c r="IK29" s="89">
        <v>21.04</v>
      </c>
      <c r="IL29" s="345"/>
      <c r="IM29" s="340"/>
      <c r="IN29" s="492">
        <f t="shared" si="42"/>
        <v>69</v>
      </c>
      <c r="IO29" s="492"/>
      <c r="IP29" s="886">
        <f t="shared" si="43"/>
        <v>799.99000000000012</v>
      </c>
      <c r="IQ29" s="501">
        <v>30.22</v>
      </c>
      <c r="IR29" s="33">
        <v>39.9</v>
      </c>
      <c r="IS29" s="33"/>
      <c r="IT29" s="340"/>
      <c r="IU29" s="342">
        <f t="shared" si="44"/>
        <v>70.12</v>
      </c>
      <c r="IV29" s="32">
        <v>44.09</v>
      </c>
      <c r="IW29" s="33">
        <v>26.75</v>
      </c>
      <c r="IX29" s="33"/>
      <c r="IY29" s="340"/>
      <c r="IZ29" s="342">
        <f t="shared" si="45"/>
        <v>70.84</v>
      </c>
      <c r="JA29" s="32">
        <v>34.53</v>
      </c>
      <c r="JB29" s="353"/>
      <c r="JC29" s="33"/>
      <c r="JD29" s="340"/>
      <c r="JE29" s="342">
        <f t="shared" si="46"/>
        <v>34.53</v>
      </c>
      <c r="JF29" s="32">
        <v>69.31</v>
      </c>
      <c r="JG29" s="33">
        <v>47.24</v>
      </c>
      <c r="JH29" s="33"/>
      <c r="JI29" s="340"/>
      <c r="JJ29" s="342">
        <f t="shared" si="47"/>
        <v>116.55000000000001</v>
      </c>
      <c r="JK29" s="32">
        <v>31.89</v>
      </c>
      <c r="JL29" s="33">
        <v>29.95</v>
      </c>
      <c r="JM29" s="33">
        <v>28.37</v>
      </c>
      <c r="JN29" s="340"/>
      <c r="JO29" s="342">
        <f t="shared" si="48"/>
        <v>90.210000000000008</v>
      </c>
      <c r="JP29" s="32">
        <v>29.8</v>
      </c>
      <c r="JQ29" s="33">
        <v>21.33</v>
      </c>
      <c r="JR29" s="33"/>
      <c r="JS29" s="340"/>
      <c r="JT29" s="342">
        <f t="shared" si="49"/>
        <v>51.129999999999995</v>
      </c>
      <c r="JU29" s="32">
        <v>39.03</v>
      </c>
      <c r="JV29" s="33">
        <v>36.28</v>
      </c>
      <c r="JW29" s="33"/>
      <c r="JX29" s="340"/>
      <c r="JY29" s="342">
        <f t="shared" si="50"/>
        <v>75.31</v>
      </c>
      <c r="JZ29" s="32">
        <v>40.53</v>
      </c>
      <c r="KA29" s="33">
        <v>36.32</v>
      </c>
      <c r="KB29" s="33">
        <v>24.35</v>
      </c>
      <c r="KC29" s="340"/>
      <c r="KD29" s="342">
        <f t="shared" si="51"/>
        <v>101.19999999999999</v>
      </c>
      <c r="KE29" s="32">
        <v>51.959999999999994</v>
      </c>
      <c r="KF29" s="33">
        <v>30.14</v>
      </c>
      <c r="KG29" s="33">
        <v>0</v>
      </c>
      <c r="KH29" s="340">
        <v>0</v>
      </c>
      <c r="KI29" s="342">
        <f t="shared" si="52"/>
        <v>82.1</v>
      </c>
      <c r="KJ29" s="32">
        <v>62.42</v>
      </c>
      <c r="KK29" s="33">
        <v>62.42</v>
      </c>
      <c r="KL29" s="33">
        <v>0</v>
      </c>
      <c r="KM29" s="340">
        <v>0</v>
      </c>
      <c r="KN29" s="342">
        <f t="shared" si="53"/>
        <v>124.84</v>
      </c>
      <c r="KO29" s="32">
        <v>75.11</v>
      </c>
      <c r="KP29" s="33">
        <v>0</v>
      </c>
      <c r="KQ29" s="33">
        <v>0</v>
      </c>
      <c r="KR29" s="340">
        <v>0</v>
      </c>
      <c r="KS29" s="342">
        <f t="shared" si="54"/>
        <v>75.11</v>
      </c>
      <c r="KT29" s="32">
        <f t="shared" si="5"/>
        <v>84.19</v>
      </c>
      <c r="KU29" s="33">
        <f t="shared" si="6"/>
        <v>52.47</v>
      </c>
      <c r="KV29" s="33">
        <f t="shared" si="7"/>
        <v>0</v>
      </c>
      <c r="KW29" s="340">
        <f t="shared" si="8"/>
        <v>0</v>
      </c>
      <c r="KX29" s="342">
        <f t="shared" si="9"/>
        <v>136.66</v>
      </c>
      <c r="KZ29" s="507">
        <f t="shared" si="55"/>
        <v>1028.6000000000001</v>
      </c>
    </row>
    <row r="30" spans="1:312" ht="15.75" x14ac:dyDescent="0.25">
      <c r="A30" s="367"/>
      <c r="B30" s="326">
        <v>21</v>
      </c>
      <c r="C30" s="327">
        <v>72.2</v>
      </c>
      <c r="D30" s="328">
        <v>49.51</v>
      </c>
      <c r="E30" s="329">
        <v>62.4</v>
      </c>
      <c r="F30" s="330"/>
      <c r="G30" s="331"/>
      <c r="H30" s="332">
        <f t="shared" si="10"/>
        <v>111.91</v>
      </c>
      <c r="I30" s="333">
        <v>35.94</v>
      </c>
      <c r="J30" s="334">
        <v>74.459999999999994</v>
      </c>
      <c r="K30" s="334"/>
      <c r="L30" s="335"/>
      <c r="M30" s="300">
        <f t="shared" si="11"/>
        <v>110.39999999999999</v>
      </c>
      <c r="N30" s="333">
        <v>79.73</v>
      </c>
      <c r="O30" s="334">
        <v>21.21</v>
      </c>
      <c r="P30" s="334"/>
      <c r="Q30" s="335"/>
      <c r="R30" s="300">
        <f t="shared" si="0"/>
        <v>100.94</v>
      </c>
      <c r="S30" s="333">
        <v>35.72</v>
      </c>
      <c r="T30" s="334">
        <v>73.03</v>
      </c>
      <c r="U30" s="334">
        <v>5</v>
      </c>
      <c r="V30" s="335"/>
      <c r="W30" s="300">
        <f t="shared" si="1"/>
        <v>113.75</v>
      </c>
      <c r="X30" s="333">
        <v>44.79</v>
      </c>
      <c r="Y30" s="334">
        <v>37.950000000000003</v>
      </c>
      <c r="Z30" s="334">
        <v>44.6</v>
      </c>
      <c r="AA30" s="335"/>
      <c r="AB30" s="300">
        <f t="shared" si="12"/>
        <v>127.34</v>
      </c>
      <c r="AC30" s="336">
        <v>47.73</v>
      </c>
      <c r="AD30" s="337">
        <v>34.75</v>
      </c>
      <c r="AE30" s="337"/>
      <c r="AF30" s="338"/>
      <c r="AG30" s="304">
        <f t="shared" si="13"/>
        <v>82.47999999999999</v>
      </c>
      <c r="AH30" s="336">
        <v>56.96</v>
      </c>
      <c r="AI30" s="337">
        <v>23.3</v>
      </c>
      <c r="AJ30" s="364">
        <v>34.33</v>
      </c>
      <c r="AK30" s="338"/>
      <c r="AL30" s="339">
        <f t="shared" si="56"/>
        <v>114.59</v>
      </c>
      <c r="AM30" s="32">
        <v>46.3</v>
      </c>
      <c r="AN30" s="33">
        <v>62.99</v>
      </c>
      <c r="AO30" s="33"/>
      <c r="AP30" s="340"/>
      <c r="AQ30" s="341">
        <f t="shared" si="57"/>
        <v>109.28999999999999</v>
      </c>
      <c r="AR30" s="32">
        <v>67.28</v>
      </c>
      <c r="AS30" s="33">
        <v>81.64</v>
      </c>
      <c r="AT30" s="33"/>
      <c r="AU30" s="340"/>
      <c r="AV30" s="342">
        <f t="shared" si="58"/>
        <v>148.92000000000002</v>
      </c>
      <c r="AW30" s="32">
        <v>74.67</v>
      </c>
      <c r="AX30" s="33">
        <v>91.68</v>
      </c>
      <c r="AY30" s="33"/>
      <c r="AZ30" s="340"/>
      <c r="BA30" s="342">
        <f t="shared" si="66"/>
        <v>166.35000000000002</v>
      </c>
      <c r="BB30" s="32">
        <v>111.31</v>
      </c>
      <c r="BC30" s="33"/>
      <c r="BD30" s="33"/>
      <c r="BE30" s="340"/>
      <c r="BF30" s="342">
        <f t="shared" si="67"/>
        <v>111.31</v>
      </c>
      <c r="BG30" s="32">
        <v>74.19</v>
      </c>
      <c r="BH30" s="33">
        <v>63.08</v>
      </c>
      <c r="BI30" s="33"/>
      <c r="BJ30" s="343"/>
      <c r="BK30" s="342">
        <f t="shared" si="60"/>
        <v>137.26999999999998</v>
      </c>
      <c r="BL30" s="32">
        <v>57.17</v>
      </c>
      <c r="BM30" s="33">
        <v>44.23</v>
      </c>
      <c r="BN30" s="33"/>
      <c r="BO30" s="343"/>
      <c r="BP30" s="341">
        <f t="shared" si="61"/>
        <v>101.4</v>
      </c>
      <c r="BQ30" s="32">
        <v>37.92</v>
      </c>
      <c r="BR30" s="43">
        <v>17</v>
      </c>
      <c r="BS30" s="43">
        <v>31.94</v>
      </c>
      <c r="BT30" s="853"/>
      <c r="BU30" s="854">
        <f t="shared" si="14"/>
        <v>86.86</v>
      </c>
      <c r="BV30" s="855">
        <v>31.82</v>
      </c>
      <c r="BW30" s="43">
        <v>22.05</v>
      </c>
      <c r="BX30" s="43"/>
      <c r="BY30" s="853"/>
      <c r="BZ30" s="856">
        <f t="shared" si="15"/>
        <v>53.870000000000005</v>
      </c>
      <c r="CA30" s="857">
        <v>36.15</v>
      </c>
      <c r="CB30" s="858">
        <v>31.82</v>
      </c>
      <c r="CC30" s="858"/>
      <c r="CD30" s="859"/>
      <c r="CE30" s="860">
        <f t="shared" si="62"/>
        <v>67.97</v>
      </c>
      <c r="CF30" s="857">
        <v>39.840000000000003</v>
      </c>
      <c r="CG30" s="858">
        <v>37.18</v>
      </c>
      <c r="CH30" s="858"/>
      <c r="CI30" s="859"/>
      <c r="CJ30" s="860">
        <f t="shared" si="63"/>
        <v>77.02000000000001</v>
      </c>
      <c r="CK30" s="857">
        <v>46.97</v>
      </c>
      <c r="CL30" s="858">
        <v>39.28</v>
      </c>
      <c r="CM30" s="858">
        <v>40.4</v>
      </c>
      <c r="CN30" s="859"/>
      <c r="CO30" s="860">
        <f t="shared" si="64"/>
        <v>126.65</v>
      </c>
      <c r="CP30" s="861">
        <v>31.58</v>
      </c>
      <c r="CQ30" s="411">
        <v>47.41</v>
      </c>
      <c r="CR30" s="411"/>
      <c r="CS30" s="862"/>
      <c r="CT30" s="863">
        <v>78.989999999999995</v>
      </c>
      <c r="CU30" s="861">
        <v>50.95</v>
      </c>
      <c r="CV30" s="411">
        <v>62.95</v>
      </c>
      <c r="CW30" s="411">
        <v>26.72</v>
      </c>
      <c r="CX30" s="862"/>
      <c r="CY30" s="863">
        <f t="shared" si="2"/>
        <v>140.62</v>
      </c>
      <c r="CZ30" s="861">
        <v>36.200000000000003</v>
      </c>
      <c r="DA30" s="411">
        <v>93.42</v>
      </c>
      <c r="DB30" s="411">
        <v>60.63</v>
      </c>
      <c r="DC30" s="862"/>
      <c r="DD30" s="863">
        <f t="shared" si="3"/>
        <v>190.25</v>
      </c>
      <c r="DE30" s="861">
        <v>51.93</v>
      </c>
      <c r="DF30" s="411">
        <v>85.19</v>
      </c>
      <c r="DG30" s="411"/>
      <c r="DH30" s="862"/>
      <c r="DI30" s="863">
        <f t="shared" si="4"/>
        <v>137.12</v>
      </c>
      <c r="DJ30" s="861">
        <v>73.12</v>
      </c>
      <c r="DK30" s="411">
        <v>88.73</v>
      </c>
      <c r="DL30" s="411"/>
      <c r="DM30" s="862"/>
      <c r="DN30" s="863">
        <f t="shared" si="16"/>
        <v>161.85000000000002</v>
      </c>
      <c r="DO30" s="861">
        <v>81.64</v>
      </c>
      <c r="DP30" s="411">
        <v>70.709999999999994</v>
      </c>
      <c r="DQ30" s="411"/>
      <c r="DR30" s="862"/>
      <c r="DS30" s="863">
        <f t="shared" si="17"/>
        <v>152.35</v>
      </c>
      <c r="DT30" s="861">
        <v>111.87</v>
      </c>
      <c r="DU30" s="411">
        <v>27.61</v>
      </c>
      <c r="DV30" s="411"/>
      <c r="DW30" s="862"/>
      <c r="DX30" s="863">
        <f t="shared" si="18"/>
        <v>139.48000000000002</v>
      </c>
      <c r="DY30" s="861">
        <v>47.83</v>
      </c>
      <c r="DZ30" s="411">
        <v>47.09</v>
      </c>
      <c r="EA30" s="411"/>
      <c r="EB30" s="862"/>
      <c r="EC30" s="863">
        <f t="shared" si="19"/>
        <v>94.92</v>
      </c>
      <c r="ED30" s="861">
        <v>60.31</v>
      </c>
      <c r="EE30" s="411"/>
      <c r="EF30" s="411"/>
      <c r="EG30" s="862"/>
      <c r="EH30" s="863">
        <f t="shared" si="20"/>
        <v>60.31</v>
      </c>
      <c r="EI30" s="861">
        <v>61.62</v>
      </c>
      <c r="EJ30" s="411">
        <v>58.21</v>
      </c>
      <c r="EK30" s="411"/>
      <c r="EL30" s="862"/>
      <c r="EM30" s="863">
        <f t="shared" si="21"/>
        <v>119.83</v>
      </c>
      <c r="EN30" s="861">
        <v>50.02</v>
      </c>
      <c r="EO30" s="411">
        <v>26.37</v>
      </c>
      <c r="EP30" s="411"/>
      <c r="EQ30" s="862"/>
      <c r="ER30" s="863">
        <f t="shared" si="22"/>
        <v>76.39</v>
      </c>
      <c r="ES30" s="861">
        <v>47.56</v>
      </c>
      <c r="ET30" s="411">
        <v>37.479999999999997</v>
      </c>
      <c r="EU30" s="411">
        <v>7.71</v>
      </c>
      <c r="EV30" s="862"/>
      <c r="EW30" s="863">
        <f t="shared" si="23"/>
        <v>92.749999999999986</v>
      </c>
      <c r="EX30" s="861">
        <v>31.29</v>
      </c>
      <c r="EY30" s="411">
        <v>50.69</v>
      </c>
      <c r="EZ30" s="411">
        <v>2.5</v>
      </c>
      <c r="FA30" s="862"/>
      <c r="FB30" s="863">
        <f t="shared" si="24"/>
        <v>84.47999999999999</v>
      </c>
      <c r="FC30" s="861">
        <v>54.21</v>
      </c>
      <c r="FD30" s="411">
        <v>63.44</v>
      </c>
      <c r="FE30" s="411"/>
      <c r="FF30" s="862"/>
      <c r="FG30" s="863">
        <f t="shared" si="25"/>
        <v>117.65</v>
      </c>
      <c r="FH30" s="861">
        <v>72.87</v>
      </c>
      <c r="FI30" s="411">
        <v>66.86</v>
      </c>
      <c r="FJ30" s="411"/>
      <c r="FK30" s="862"/>
      <c r="FL30" s="863">
        <f t="shared" si="26"/>
        <v>139.73000000000002</v>
      </c>
      <c r="FM30" s="861">
        <v>64.69</v>
      </c>
      <c r="FN30" s="411">
        <v>73.290000000000006</v>
      </c>
      <c r="FO30" s="411"/>
      <c r="FP30" s="862"/>
      <c r="FQ30" s="863">
        <f t="shared" si="27"/>
        <v>137.98000000000002</v>
      </c>
      <c r="FR30" s="861">
        <v>69.89</v>
      </c>
      <c r="FS30" s="411">
        <v>73.180000000000007</v>
      </c>
      <c r="FT30" s="411"/>
      <c r="FU30" s="862"/>
      <c r="FV30" s="863">
        <f t="shared" si="28"/>
        <v>143.07</v>
      </c>
      <c r="FW30" s="861">
        <v>73.08</v>
      </c>
      <c r="FX30" s="411">
        <v>74.989999999999995</v>
      </c>
      <c r="FY30" s="411"/>
      <c r="FZ30" s="862"/>
      <c r="GA30" s="863">
        <f t="shared" si="29"/>
        <v>148.07</v>
      </c>
      <c r="GB30" s="861">
        <v>60.25</v>
      </c>
      <c r="GC30" s="411">
        <v>48.41</v>
      </c>
      <c r="GD30" s="411"/>
      <c r="GE30" s="862"/>
      <c r="GF30" s="863">
        <f t="shared" si="30"/>
        <v>108.66</v>
      </c>
      <c r="GG30" s="346">
        <v>47.8</v>
      </c>
      <c r="GH30" s="347">
        <v>38.65</v>
      </c>
      <c r="GI30" s="347"/>
      <c r="GJ30" s="348"/>
      <c r="GK30" s="349">
        <f t="shared" si="31"/>
        <v>86.449999999999989</v>
      </c>
      <c r="GL30" s="346">
        <v>30.27</v>
      </c>
      <c r="GM30" s="347">
        <v>20.51</v>
      </c>
      <c r="GN30" s="347"/>
      <c r="GO30" s="348"/>
      <c r="GP30" s="349">
        <f t="shared" si="32"/>
        <v>50.78</v>
      </c>
      <c r="GQ30" s="346">
        <v>24.16</v>
      </c>
      <c r="GR30" s="347">
        <v>21.92</v>
      </c>
      <c r="GS30" s="347"/>
      <c r="GT30" s="348"/>
      <c r="GU30" s="349">
        <f t="shared" si="33"/>
        <v>46.08</v>
      </c>
      <c r="GV30" s="346">
        <v>20.9</v>
      </c>
      <c r="GW30" s="347">
        <v>49.48</v>
      </c>
      <c r="GX30" s="347"/>
      <c r="GY30" s="348"/>
      <c r="GZ30" s="349">
        <f t="shared" si="34"/>
        <v>70.38</v>
      </c>
      <c r="HA30" s="346">
        <v>39.369999999999997</v>
      </c>
      <c r="HB30" s="347">
        <v>29.69</v>
      </c>
      <c r="HC30" s="347">
        <v>8.5399999999999991</v>
      </c>
      <c r="HD30" s="348"/>
      <c r="HE30" s="349">
        <f t="shared" si="35"/>
        <v>77.599999999999994</v>
      </c>
      <c r="HF30" s="346">
        <v>53.6</v>
      </c>
      <c r="HG30" s="347">
        <v>51.84</v>
      </c>
      <c r="HH30" s="347"/>
      <c r="HI30" s="348"/>
      <c r="HJ30" s="349">
        <f t="shared" si="36"/>
        <v>105.44</v>
      </c>
      <c r="HK30" s="346">
        <v>62.45</v>
      </c>
      <c r="HL30" s="347">
        <v>61.58</v>
      </c>
      <c r="HM30" s="347">
        <v>36.35</v>
      </c>
      <c r="HN30" s="348"/>
      <c r="HO30" s="349">
        <f t="shared" si="37"/>
        <v>160.38</v>
      </c>
      <c r="HP30" s="346">
        <v>10</v>
      </c>
      <c r="HQ30" s="347">
        <v>105.14</v>
      </c>
      <c r="HR30" s="347"/>
      <c r="HS30" s="348"/>
      <c r="HT30" s="349">
        <f t="shared" si="38"/>
        <v>115.14</v>
      </c>
      <c r="HU30" s="346">
        <v>122.07</v>
      </c>
      <c r="HV30" s="347">
        <v>20.48</v>
      </c>
      <c r="HW30" s="347"/>
      <c r="HX30" s="348"/>
      <c r="HY30" s="349">
        <f t="shared" si="39"/>
        <v>142.54999999999998</v>
      </c>
      <c r="HZ30" s="346">
        <v>108.95</v>
      </c>
      <c r="IA30" s="347">
        <f>81.06+1.09</f>
        <v>82.15</v>
      </c>
      <c r="IB30" s="347">
        <v>8.81</v>
      </c>
      <c r="IC30" s="348"/>
      <c r="ID30" s="349">
        <f t="shared" si="40"/>
        <v>199.91000000000003</v>
      </c>
      <c r="IE30" s="88">
        <f>55.54+0.34</f>
        <v>55.88</v>
      </c>
      <c r="IF30" s="89">
        <v>61.53</v>
      </c>
      <c r="IG30" s="89">
        <v>36.82</v>
      </c>
      <c r="IH30" s="345"/>
      <c r="II30" s="344">
        <f t="shared" si="41"/>
        <v>154.22999999999999</v>
      </c>
      <c r="IJ30" s="88">
        <v>46.57</v>
      </c>
      <c r="IK30" s="89">
        <v>49.48</v>
      </c>
      <c r="IL30" s="345"/>
      <c r="IM30" s="340"/>
      <c r="IN30" s="492">
        <f t="shared" si="42"/>
        <v>96.05</v>
      </c>
      <c r="IO30" s="492"/>
      <c r="IP30" s="886">
        <f t="shared" si="43"/>
        <v>1304.9899999999998</v>
      </c>
      <c r="IQ30" s="501">
        <v>40.67</v>
      </c>
      <c r="IR30" s="33">
        <v>54.79</v>
      </c>
      <c r="IS30" s="33"/>
      <c r="IT30" s="340"/>
      <c r="IU30" s="342">
        <f t="shared" si="44"/>
        <v>95.460000000000008</v>
      </c>
      <c r="IV30" s="32">
        <v>54.6</v>
      </c>
      <c r="IW30" s="33">
        <v>4.84</v>
      </c>
      <c r="IX30" s="33"/>
      <c r="IY30" s="340"/>
      <c r="IZ30" s="342">
        <f t="shared" si="45"/>
        <v>59.44</v>
      </c>
      <c r="JA30" s="32">
        <v>34.99</v>
      </c>
      <c r="JB30" s="33">
        <v>48.74</v>
      </c>
      <c r="JC30" s="33"/>
      <c r="JD30" s="340"/>
      <c r="JE30" s="342">
        <f t="shared" si="46"/>
        <v>83.73</v>
      </c>
      <c r="JF30" s="32">
        <v>109.54</v>
      </c>
      <c r="JG30" s="33">
        <v>50.39</v>
      </c>
      <c r="JH30" s="33"/>
      <c r="JI30" s="340"/>
      <c r="JJ30" s="342">
        <f t="shared" si="47"/>
        <v>159.93</v>
      </c>
      <c r="JK30" s="32">
        <v>43.19</v>
      </c>
      <c r="JL30" s="33">
        <v>32.5</v>
      </c>
      <c r="JM30" s="33">
        <v>36.5</v>
      </c>
      <c r="JN30" s="340"/>
      <c r="JO30" s="342">
        <f t="shared" si="48"/>
        <v>112.19</v>
      </c>
      <c r="JP30" s="32">
        <v>38.979999999999997</v>
      </c>
      <c r="JQ30" s="33">
        <v>30.59</v>
      </c>
      <c r="JR30" s="33"/>
      <c r="JS30" s="340"/>
      <c r="JT30" s="342">
        <f t="shared" si="49"/>
        <v>69.569999999999993</v>
      </c>
      <c r="JU30" s="32">
        <v>48.52</v>
      </c>
      <c r="JV30" s="33">
        <v>47.16</v>
      </c>
      <c r="JW30" s="33"/>
      <c r="JX30" s="340"/>
      <c r="JY30" s="342">
        <f t="shared" si="50"/>
        <v>95.68</v>
      </c>
      <c r="JZ30" s="32">
        <v>52.89</v>
      </c>
      <c r="KA30" s="33">
        <v>46.99</v>
      </c>
      <c r="KB30" s="33">
        <v>11.29</v>
      </c>
      <c r="KC30" s="340"/>
      <c r="KD30" s="342">
        <f t="shared" si="51"/>
        <v>111.16999999999999</v>
      </c>
      <c r="KE30" s="32">
        <v>30.470000000000002</v>
      </c>
      <c r="KF30" s="33">
        <v>68.490000000000009</v>
      </c>
      <c r="KG30" s="33">
        <v>47</v>
      </c>
      <c r="KH30" s="340">
        <v>0</v>
      </c>
      <c r="KI30" s="342">
        <f t="shared" si="52"/>
        <v>145.96</v>
      </c>
      <c r="KJ30" s="32">
        <v>87.73</v>
      </c>
      <c r="KK30" s="33">
        <v>17.68</v>
      </c>
      <c r="KL30" s="33">
        <v>0</v>
      </c>
      <c r="KM30" s="340">
        <v>0</v>
      </c>
      <c r="KN30" s="342">
        <f t="shared" si="53"/>
        <v>105.41</v>
      </c>
      <c r="KO30" s="32">
        <v>69.41</v>
      </c>
      <c r="KP30" s="33">
        <v>94.26</v>
      </c>
      <c r="KQ30" s="33">
        <v>0</v>
      </c>
      <c r="KR30" s="340">
        <v>0</v>
      </c>
      <c r="KS30" s="342">
        <f t="shared" si="54"/>
        <v>163.67000000000002</v>
      </c>
      <c r="KT30" s="32">
        <f t="shared" si="5"/>
        <v>101.30000000000001</v>
      </c>
      <c r="KU30" s="33">
        <f t="shared" si="6"/>
        <v>20.9</v>
      </c>
      <c r="KV30" s="33">
        <f t="shared" si="7"/>
        <v>0</v>
      </c>
      <c r="KW30" s="340">
        <f t="shared" si="8"/>
        <v>0</v>
      </c>
      <c r="KX30" s="342">
        <f t="shared" si="9"/>
        <v>122.20000000000002</v>
      </c>
      <c r="KZ30" s="507">
        <f t="shared" si="55"/>
        <v>1324.41</v>
      </c>
    </row>
    <row r="31" spans="1:312" ht="15.75" x14ac:dyDescent="0.25">
      <c r="A31" s="367"/>
      <c r="B31" s="326">
        <v>22</v>
      </c>
      <c r="C31" s="327">
        <v>52.3</v>
      </c>
      <c r="D31" s="328">
        <v>33.94</v>
      </c>
      <c r="E31" s="329"/>
      <c r="F31" s="330"/>
      <c r="G31" s="331"/>
      <c r="H31" s="332">
        <f t="shared" si="10"/>
        <v>33.94</v>
      </c>
      <c r="I31" s="333">
        <v>50.89</v>
      </c>
      <c r="J31" s="334">
        <v>47.71</v>
      </c>
      <c r="K31" s="334"/>
      <c r="L31" s="335"/>
      <c r="M31" s="300">
        <f t="shared" si="11"/>
        <v>98.6</v>
      </c>
      <c r="N31" s="333">
        <v>44.1</v>
      </c>
      <c r="O31" s="334"/>
      <c r="P31" s="334"/>
      <c r="Q31" s="335"/>
      <c r="R31" s="300">
        <f t="shared" si="0"/>
        <v>44.1</v>
      </c>
      <c r="S31" s="333">
        <v>19.18</v>
      </c>
      <c r="T31" s="334">
        <v>27.01</v>
      </c>
      <c r="U31" s="334">
        <v>25.01</v>
      </c>
      <c r="V31" s="335"/>
      <c r="W31" s="300">
        <f t="shared" si="1"/>
        <v>71.2</v>
      </c>
      <c r="X31" s="333">
        <v>27.18</v>
      </c>
      <c r="Y31" s="334">
        <v>33.49</v>
      </c>
      <c r="Z31" s="334">
        <v>10.7</v>
      </c>
      <c r="AA31" s="335"/>
      <c r="AB31" s="300">
        <f t="shared" si="12"/>
        <v>71.37</v>
      </c>
      <c r="AC31" s="336">
        <v>52.9</v>
      </c>
      <c r="AD31" s="337">
        <v>16.34</v>
      </c>
      <c r="AE31" s="337"/>
      <c r="AF31" s="338"/>
      <c r="AG31" s="304">
        <f t="shared" si="13"/>
        <v>69.239999999999995</v>
      </c>
      <c r="AH31" s="336">
        <v>34.200000000000003</v>
      </c>
      <c r="AI31" s="337">
        <v>18.579999999999998</v>
      </c>
      <c r="AJ31" s="364">
        <v>29.48</v>
      </c>
      <c r="AK31" s="338"/>
      <c r="AL31" s="339">
        <f t="shared" si="56"/>
        <v>82.26</v>
      </c>
      <c r="AM31" s="32">
        <v>37.39</v>
      </c>
      <c r="AN31" s="33">
        <v>47.69</v>
      </c>
      <c r="AO31" s="33"/>
      <c r="AP31" s="340"/>
      <c r="AQ31" s="341">
        <f t="shared" si="57"/>
        <v>85.08</v>
      </c>
      <c r="AR31" s="32">
        <v>40.369999999999997</v>
      </c>
      <c r="AS31" s="33">
        <v>53.82</v>
      </c>
      <c r="AT31" s="33"/>
      <c r="AU31" s="340"/>
      <c r="AV31" s="342">
        <f t="shared" si="58"/>
        <v>94.19</v>
      </c>
      <c r="AW31" s="32">
        <v>46.04</v>
      </c>
      <c r="AX31" s="33">
        <v>62.26</v>
      </c>
      <c r="AY31" s="33"/>
      <c r="AZ31" s="340"/>
      <c r="BA31" s="342">
        <f t="shared" si="66"/>
        <v>108.3</v>
      </c>
      <c r="BB31" s="32">
        <v>75.95</v>
      </c>
      <c r="BC31" s="33"/>
      <c r="BD31" s="33"/>
      <c r="BE31" s="340"/>
      <c r="BF31" s="342">
        <f t="shared" si="67"/>
        <v>75.95</v>
      </c>
      <c r="BG31" s="32">
        <v>58.63</v>
      </c>
      <c r="BH31" s="33">
        <v>37.229999999999997</v>
      </c>
      <c r="BI31" s="33"/>
      <c r="BJ31" s="343"/>
      <c r="BK31" s="342">
        <f t="shared" si="60"/>
        <v>95.86</v>
      </c>
      <c r="BL31" s="32">
        <v>41.96</v>
      </c>
      <c r="BM31" s="33">
        <v>29.03</v>
      </c>
      <c r="BN31" s="33"/>
      <c r="BO31" s="343"/>
      <c r="BP31" s="341">
        <f t="shared" si="61"/>
        <v>70.990000000000009</v>
      </c>
      <c r="BQ31" s="32">
        <v>23.02</v>
      </c>
      <c r="BR31" s="43">
        <v>21.28</v>
      </c>
      <c r="BS31" s="43">
        <v>11.01</v>
      </c>
      <c r="BT31" s="853"/>
      <c r="BU31" s="854">
        <f t="shared" si="14"/>
        <v>55.309999999999995</v>
      </c>
      <c r="BV31" s="855">
        <v>24.58</v>
      </c>
      <c r="BW31" s="43">
        <v>15.7</v>
      </c>
      <c r="BX31" s="43"/>
      <c r="BY31" s="853"/>
      <c r="BZ31" s="856">
        <f t="shared" si="15"/>
        <v>40.28</v>
      </c>
      <c r="CA31" s="857">
        <v>20.43</v>
      </c>
      <c r="CB31" s="858">
        <v>17.09</v>
      </c>
      <c r="CC31" s="858"/>
      <c r="CD31" s="859"/>
      <c r="CE31" s="860">
        <f t="shared" si="62"/>
        <v>37.519999999999996</v>
      </c>
      <c r="CF31" s="857">
        <v>26.56</v>
      </c>
      <c r="CG31" s="858">
        <v>23.63</v>
      </c>
      <c r="CH31" s="858"/>
      <c r="CI31" s="859"/>
      <c r="CJ31" s="860">
        <f t="shared" si="63"/>
        <v>50.19</v>
      </c>
      <c r="CK31" s="857">
        <v>29.68</v>
      </c>
      <c r="CL31" s="858">
        <v>28.21</v>
      </c>
      <c r="CM31" s="858">
        <v>20.52</v>
      </c>
      <c r="CN31" s="859"/>
      <c r="CO31" s="860">
        <f t="shared" si="64"/>
        <v>78.41</v>
      </c>
      <c r="CP31" s="861">
        <v>24.21</v>
      </c>
      <c r="CQ31" s="411">
        <v>33.119999999999997</v>
      </c>
      <c r="CR31" s="411"/>
      <c r="CS31" s="862"/>
      <c r="CT31" s="863">
        <v>57.33</v>
      </c>
      <c r="CU31" s="861">
        <v>37.06</v>
      </c>
      <c r="CV31" s="411">
        <v>40.770000000000003</v>
      </c>
      <c r="CW31" s="411"/>
      <c r="CX31" s="862"/>
      <c r="CY31" s="863">
        <f t="shared" si="2"/>
        <v>77.830000000000013</v>
      </c>
      <c r="CZ31" s="861">
        <v>52.6</v>
      </c>
      <c r="DA31" s="411">
        <v>52.46</v>
      </c>
      <c r="DB31" s="411">
        <v>32.71</v>
      </c>
      <c r="DC31" s="862"/>
      <c r="DD31" s="863">
        <f t="shared" si="3"/>
        <v>137.77000000000001</v>
      </c>
      <c r="DE31" s="861">
        <v>30.39</v>
      </c>
      <c r="DF31" s="411">
        <v>57.26</v>
      </c>
      <c r="DG31" s="411"/>
      <c r="DH31" s="862"/>
      <c r="DI31" s="863">
        <f t="shared" si="4"/>
        <v>87.65</v>
      </c>
      <c r="DJ31" s="861">
        <v>53.17</v>
      </c>
      <c r="DK31" s="411">
        <v>50.42</v>
      </c>
      <c r="DL31" s="411"/>
      <c r="DM31" s="862"/>
      <c r="DN31" s="863">
        <f t="shared" si="16"/>
        <v>103.59</v>
      </c>
      <c r="DO31" s="861">
        <v>51.02</v>
      </c>
      <c r="DP31" s="411">
        <v>32.869999999999997</v>
      </c>
      <c r="DQ31" s="411"/>
      <c r="DR31" s="862"/>
      <c r="DS31" s="863">
        <f t="shared" si="17"/>
        <v>83.89</v>
      </c>
      <c r="DT31" s="861">
        <v>50.97</v>
      </c>
      <c r="DU31" s="411">
        <v>40.840000000000003</v>
      </c>
      <c r="DV31" s="411"/>
      <c r="DW31" s="862"/>
      <c r="DX31" s="863">
        <f t="shared" si="18"/>
        <v>91.81</v>
      </c>
      <c r="DY31" s="861">
        <v>36.94</v>
      </c>
      <c r="DZ31" s="411">
        <v>26.85</v>
      </c>
      <c r="EA31" s="411"/>
      <c r="EB31" s="862"/>
      <c r="EC31" s="863">
        <f t="shared" si="19"/>
        <v>63.79</v>
      </c>
      <c r="ED31" s="861">
        <v>38.15</v>
      </c>
      <c r="EE31" s="411"/>
      <c r="EF31" s="411"/>
      <c r="EG31" s="862"/>
      <c r="EH31" s="863">
        <f t="shared" si="20"/>
        <v>38.15</v>
      </c>
      <c r="EI31" s="861">
        <v>30.2</v>
      </c>
      <c r="EJ31" s="411">
        <v>33.78</v>
      </c>
      <c r="EK31" s="411"/>
      <c r="EL31" s="862"/>
      <c r="EM31" s="863">
        <f t="shared" si="21"/>
        <v>63.980000000000004</v>
      </c>
      <c r="EN31" s="861">
        <v>22.65</v>
      </c>
      <c r="EO31" s="411">
        <v>22.29</v>
      </c>
      <c r="EP31" s="411"/>
      <c r="EQ31" s="862"/>
      <c r="ER31" s="863">
        <f t="shared" si="22"/>
        <v>44.94</v>
      </c>
      <c r="ES31" s="861">
        <v>29.54</v>
      </c>
      <c r="ET31" s="411">
        <v>26.22</v>
      </c>
      <c r="EU31" s="411"/>
      <c r="EV31" s="862"/>
      <c r="EW31" s="863">
        <f t="shared" si="23"/>
        <v>55.76</v>
      </c>
      <c r="EX31" s="861">
        <v>22.99</v>
      </c>
      <c r="EY31" s="411">
        <v>39.01</v>
      </c>
      <c r="EZ31" s="411"/>
      <c r="FA31" s="862"/>
      <c r="FB31" s="863">
        <f t="shared" si="24"/>
        <v>62</v>
      </c>
      <c r="FC31" s="861">
        <v>35.57</v>
      </c>
      <c r="FD31" s="411">
        <v>47.87</v>
      </c>
      <c r="FE31" s="411"/>
      <c r="FF31" s="862"/>
      <c r="FG31" s="863">
        <f t="shared" si="25"/>
        <v>83.44</v>
      </c>
      <c r="FH31" s="861">
        <v>47.65</v>
      </c>
      <c r="FI31" s="411">
        <v>43.47</v>
      </c>
      <c r="FJ31" s="411"/>
      <c r="FK31" s="862"/>
      <c r="FL31" s="863">
        <f t="shared" si="26"/>
        <v>91.12</v>
      </c>
      <c r="FM31" s="861">
        <v>44.24</v>
      </c>
      <c r="FN31" s="411">
        <v>45.46</v>
      </c>
      <c r="FO31" s="411"/>
      <c r="FP31" s="862"/>
      <c r="FQ31" s="863">
        <f t="shared" si="27"/>
        <v>89.7</v>
      </c>
      <c r="FR31" s="861">
        <v>49.43</v>
      </c>
      <c r="FS31" s="411">
        <v>50.9</v>
      </c>
      <c r="FT31" s="411"/>
      <c r="FU31" s="862"/>
      <c r="FV31" s="863">
        <f t="shared" si="28"/>
        <v>100.33</v>
      </c>
      <c r="FW31" s="861">
        <v>49.04</v>
      </c>
      <c r="FX31" s="411">
        <v>47.02</v>
      </c>
      <c r="FY31" s="411"/>
      <c r="FZ31" s="862"/>
      <c r="GA31" s="863">
        <f t="shared" si="29"/>
        <v>96.06</v>
      </c>
      <c r="GB31" s="861">
        <v>39.03</v>
      </c>
      <c r="GC31" s="411">
        <v>31.71</v>
      </c>
      <c r="GD31" s="411"/>
      <c r="GE31" s="862"/>
      <c r="GF31" s="863">
        <f t="shared" si="30"/>
        <v>70.740000000000009</v>
      </c>
      <c r="GG31" s="346">
        <v>33.450000000000003</v>
      </c>
      <c r="GH31" s="347">
        <v>25.22</v>
      </c>
      <c r="GI31" s="347"/>
      <c r="GJ31" s="348"/>
      <c r="GK31" s="349">
        <f t="shared" si="31"/>
        <v>58.67</v>
      </c>
      <c r="GL31" s="346">
        <v>20.78</v>
      </c>
      <c r="GM31" s="347">
        <v>15.28</v>
      </c>
      <c r="GN31" s="347"/>
      <c r="GO31" s="348"/>
      <c r="GP31" s="349">
        <f t="shared" si="32"/>
        <v>36.06</v>
      </c>
      <c r="GQ31" s="346">
        <v>16.43</v>
      </c>
      <c r="GR31" s="347">
        <v>10.62</v>
      </c>
      <c r="GS31" s="347"/>
      <c r="GT31" s="348"/>
      <c r="GU31" s="349">
        <f t="shared" si="33"/>
        <v>27.049999999999997</v>
      </c>
      <c r="GV31" s="346">
        <v>16.18</v>
      </c>
      <c r="GW31" s="347">
        <v>27.63</v>
      </c>
      <c r="GX31" s="347"/>
      <c r="GY31" s="348"/>
      <c r="GZ31" s="349">
        <f t="shared" si="34"/>
        <v>43.81</v>
      </c>
      <c r="HA31" s="346">
        <v>16.559999999999999</v>
      </c>
      <c r="HB31" s="347">
        <v>22.03</v>
      </c>
      <c r="HC31" s="347"/>
      <c r="HD31" s="348"/>
      <c r="HE31" s="349">
        <f t="shared" si="35"/>
        <v>38.590000000000003</v>
      </c>
      <c r="HF31" s="346">
        <v>28.5</v>
      </c>
      <c r="HG31" s="347">
        <v>30.42</v>
      </c>
      <c r="HH31" s="347"/>
      <c r="HI31" s="348"/>
      <c r="HJ31" s="349">
        <f t="shared" si="36"/>
        <v>58.92</v>
      </c>
      <c r="HK31" s="346">
        <v>40.74</v>
      </c>
      <c r="HL31" s="347">
        <v>28.13</v>
      </c>
      <c r="HM31" s="347"/>
      <c r="HN31" s="348"/>
      <c r="HO31" s="349">
        <f t="shared" si="37"/>
        <v>68.87</v>
      </c>
      <c r="HP31" s="346">
        <v>32.130000000000003</v>
      </c>
      <c r="HQ31" s="347">
        <v>68.430000000000007</v>
      </c>
      <c r="HR31" s="347"/>
      <c r="HS31" s="348"/>
      <c r="HT31" s="349">
        <f t="shared" si="38"/>
        <v>100.56</v>
      </c>
      <c r="HU31" s="346">
        <v>75.260000000000005</v>
      </c>
      <c r="HV31" s="352"/>
      <c r="HW31" s="347"/>
      <c r="HX31" s="348"/>
      <c r="HY31" s="349">
        <f t="shared" si="39"/>
        <v>75.260000000000005</v>
      </c>
      <c r="HZ31" s="346">
        <v>83.04</v>
      </c>
      <c r="IA31" s="347">
        <v>50.38</v>
      </c>
      <c r="IB31" s="347"/>
      <c r="IC31" s="348"/>
      <c r="ID31" s="349">
        <f t="shared" si="40"/>
        <v>133.42000000000002</v>
      </c>
      <c r="IE31" s="88">
        <v>40.15</v>
      </c>
      <c r="IF31" s="89">
        <v>35.04</v>
      </c>
      <c r="IG31" s="89">
        <v>18.22</v>
      </c>
      <c r="IH31" s="345"/>
      <c r="II31" s="344">
        <f t="shared" si="41"/>
        <v>93.41</v>
      </c>
      <c r="IJ31" s="88">
        <v>7.25</v>
      </c>
      <c r="IK31" s="89">
        <v>29.27</v>
      </c>
      <c r="IL31" s="345">
        <v>31.16</v>
      </c>
      <c r="IM31" s="340"/>
      <c r="IN31" s="492">
        <f t="shared" si="42"/>
        <v>67.679999999999993</v>
      </c>
      <c r="IO31" s="492"/>
      <c r="IP31" s="886">
        <f t="shared" si="43"/>
        <v>802.3</v>
      </c>
      <c r="IQ31" s="501">
        <v>30.8</v>
      </c>
      <c r="IR31" s="353"/>
      <c r="IS31" s="33"/>
      <c r="IT31" s="340"/>
      <c r="IU31" s="342">
        <f t="shared" si="44"/>
        <v>30.8</v>
      </c>
      <c r="IV31" s="32">
        <v>45.27</v>
      </c>
      <c r="IW31" s="33">
        <v>29.23</v>
      </c>
      <c r="IX31" s="33"/>
      <c r="IY31" s="340"/>
      <c r="IZ31" s="342">
        <f t="shared" si="45"/>
        <v>74.5</v>
      </c>
      <c r="JA31" s="32">
        <v>24.74</v>
      </c>
      <c r="JB31" s="33">
        <v>30.52</v>
      </c>
      <c r="JC31" s="33"/>
      <c r="JD31" s="340"/>
      <c r="JE31" s="342">
        <f t="shared" si="46"/>
        <v>55.26</v>
      </c>
      <c r="JF31" s="32">
        <v>55.47</v>
      </c>
      <c r="JG31" s="33">
        <v>22.66</v>
      </c>
      <c r="JH31" s="33"/>
      <c r="JI31" s="340"/>
      <c r="JJ31" s="342">
        <f t="shared" si="47"/>
        <v>78.13</v>
      </c>
      <c r="JK31" s="32">
        <v>16.579999999999998</v>
      </c>
      <c r="JL31" s="33">
        <v>23.98</v>
      </c>
      <c r="JM31" s="33"/>
      <c r="JN31" s="340"/>
      <c r="JO31" s="342">
        <f t="shared" si="48"/>
        <v>40.56</v>
      </c>
      <c r="JP31" s="32">
        <v>42.1</v>
      </c>
      <c r="JQ31" s="33">
        <v>3.71</v>
      </c>
      <c r="JR31" s="33">
        <v>19.190000000000001</v>
      </c>
      <c r="JS31" s="340"/>
      <c r="JT31" s="342">
        <f t="shared" si="49"/>
        <v>65</v>
      </c>
      <c r="JU31" s="32">
        <v>33.6</v>
      </c>
      <c r="JV31" s="33">
        <v>32.76</v>
      </c>
      <c r="JW31" s="33"/>
      <c r="JX31" s="340"/>
      <c r="JY31" s="342">
        <f t="shared" si="50"/>
        <v>66.36</v>
      </c>
      <c r="JZ31" s="32">
        <v>36.17</v>
      </c>
      <c r="KA31" s="33">
        <v>30.43</v>
      </c>
      <c r="KB31" s="33"/>
      <c r="KC31" s="340"/>
      <c r="KD31" s="342">
        <f t="shared" si="51"/>
        <v>66.599999999999994</v>
      </c>
      <c r="KE31" s="32">
        <v>32.760000000000005</v>
      </c>
      <c r="KF31" s="33">
        <v>46.08</v>
      </c>
      <c r="KG31" s="33">
        <v>18.97</v>
      </c>
      <c r="KH31" s="340">
        <v>0</v>
      </c>
      <c r="KI31" s="342">
        <f t="shared" si="52"/>
        <v>97.81</v>
      </c>
      <c r="KJ31" s="32">
        <v>20.939999999999998</v>
      </c>
      <c r="KK31" s="33">
        <v>63.26</v>
      </c>
      <c r="KL31" s="33">
        <v>0</v>
      </c>
      <c r="KM31" s="340">
        <v>0</v>
      </c>
      <c r="KN31" s="342">
        <f t="shared" si="53"/>
        <v>84.199999999999989</v>
      </c>
      <c r="KO31" s="32">
        <v>55.65</v>
      </c>
      <c r="KP31" s="33">
        <v>66.52</v>
      </c>
      <c r="KQ31" s="33">
        <v>0</v>
      </c>
      <c r="KR31" s="340">
        <v>0</v>
      </c>
      <c r="KS31" s="342">
        <f t="shared" si="54"/>
        <v>122.16999999999999</v>
      </c>
      <c r="KT31" s="32">
        <f t="shared" si="5"/>
        <v>64.45</v>
      </c>
      <c r="KU31" s="33">
        <f t="shared" si="6"/>
        <v>0</v>
      </c>
      <c r="KV31" s="33">
        <f t="shared" si="7"/>
        <v>0</v>
      </c>
      <c r="KW31" s="340">
        <f t="shared" si="8"/>
        <v>0</v>
      </c>
      <c r="KX31" s="342">
        <f t="shared" si="9"/>
        <v>64.45</v>
      </c>
      <c r="KZ31" s="507">
        <f t="shared" si="55"/>
        <v>845.84</v>
      </c>
    </row>
    <row r="32" spans="1:312" ht="16.5" thickBot="1" x14ac:dyDescent="0.3">
      <c r="A32" s="367"/>
      <c r="B32" s="326">
        <v>24</v>
      </c>
      <c r="C32" s="361">
        <v>44.7</v>
      </c>
      <c r="D32" s="328">
        <v>49.85</v>
      </c>
      <c r="E32" s="329"/>
      <c r="F32" s="330"/>
      <c r="G32" s="331"/>
      <c r="H32" s="332">
        <f t="shared" si="10"/>
        <v>49.85</v>
      </c>
      <c r="I32" s="333"/>
      <c r="J32" s="334"/>
      <c r="K32" s="334"/>
      <c r="L32" s="335"/>
      <c r="M32" s="300">
        <f t="shared" si="11"/>
        <v>0</v>
      </c>
      <c r="N32" s="333">
        <v>47</v>
      </c>
      <c r="O32" s="334"/>
      <c r="P32" s="334"/>
      <c r="Q32" s="335"/>
      <c r="R32" s="300">
        <f t="shared" si="0"/>
        <v>47</v>
      </c>
      <c r="S32" s="333">
        <v>28.85</v>
      </c>
      <c r="T32" s="334"/>
      <c r="U32" s="334"/>
      <c r="V32" s="335"/>
      <c r="W32" s="300">
        <f t="shared" si="1"/>
        <v>28.85</v>
      </c>
      <c r="X32" s="333">
        <v>45.93</v>
      </c>
      <c r="Y32" s="334"/>
      <c r="Z32" s="334"/>
      <c r="AA32" s="335"/>
      <c r="AB32" s="300">
        <f t="shared" si="12"/>
        <v>45.93</v>
      </c>
      <c r="AC32" s="336">
        <v>56.21</v>
      </c>
      <c r="AD32" s="337">
        <v>32.08</v>
      </c>
      <c r="AE32" s="337"/>
      <c r="AF32" s="338"/>
      <c r="AG32" s="304">
        <f t="shared" si="13"/>
        <v>88.289999999999992</v>
      </c>
      <c r="AH32" s="336">
        <v>23.57</v>
      </c>
      <c r="AI32" s="337"/>
      <c r="AJ32" s="337"/>
      <c r="AK32" s="338"/>
      <c r="AL32" s="339">
        <f t="shared" si="56"/>
        <v>23.57</v>
      </c>
      <c r="AM32" s="32">
        <v>32.57</v>
      </c>
      <c r="AN32" s="33">
        <v>34.67</v>
      </c>
      <c r="AO32" s="33"/>
      <c r="AP32" s="340"/>
      <c r="AQ32" s="341">
        <f t="shared" si="57"/>
        <v>67.240000000000009</v>
      </c>
      <c r="AR32" s="32">
        <v>43.82</v>
      </c>
      <c r="AS32" s="33"/>
      <c r="AT32" s="33"/>
      <c r="AU32" s="340"/>
      <c r="AV32" s="342">
        <f t="shared" si="58"/>
        <v>43.82</v>
      </c>
      <c r="AW32" s="32">
        <v>29.95</v>
      </c>
      <c r="AX32" s="33">
        <v>40</v>
      </c>
      <c r="AY32" s="33"/>
      <c r="AZ32" s="340"/>
      <c r="BA32" s="342">
        <f t="shared" si="66"/>
        <v>69.95</v>
      </c>
      <c r="BB32" s="32">
        <f>52.6+2.82</f>
        <v>55.42</v>
      </c>
      <c r="BC32" s="33"/>
      <c r="BD32" s="33"/>
      <c r="BE32" s="340"/>
      <c r="BF32" s="342">
        <f t="shared" si="67"/>
        <v>55.42</v>
      </c>
      <c r="BG32" s="32">
        <f>73.4+4.57</f>
        <v>77.97</v>
      </c>
      <c r="BH32" s="33"/>
      <c r="BI32" s="33"/>
      <c r="BJ32" s="343"/>
      <c r="BK32" s="342">
        <f>SUM(BG32:BJ32)</f>
        <v>77.97</v>
      </c>
      <c r="BL32" s="32">
        <f>69.32+2.62</f>
        <v>71.94</v>
      </c>
      <c r="BM32" s="33"/>
      <c r="BN32" s="33"/>
      <c r="BO32" s="343"/>
      <c r="BP32" s="341">
        <f t="shared" si="61"/>
        <v>71.94</v>
      </c>
      <c r="BQ32" s="32">
        <f>40.73+3.11</f>
        <v>43.839999999999996</v>
      </c>
      <c r="BR32" s="43">
        <f>16.5+1.54</f>
        <v>18.04</v>
      </c>
      <c r="BS32" s="43"/>
      <c r="BT32" s="853"/>
      <c r="BU32" s="854">
        <f t="shared" si="14"/>
        <v>61.879999999999995</v>
      </c>
      <c r="BV32" s="855">
        <v>4.7699999999999996</v>
      </c>
      <c r="BW32" s="43">
        <v>10.75</v>
      </c>
      <c r="BX32" s="43"/>
      <c r="BY32" s="853"/>
      <c r="BZ32" s="856">
        <f t="shared" si="15"/>
        <v>15.52</v>
      </c>
      <c r="CA32" s="857">
        <v>10.76</v>
      </c>
      <c r="CB32" s="858">
        <v>15.23</v>
      </c>
      <c r="CC32" s="858"/>
      <c r="CD32" s="859"/>
      <c r="CE32" s="860">
        <f t="shared" si="62"/>
        <v>25.990000000000002</v>
      </c>
      <c r="CF32" s="857">
        <v>21.56</v>
      </c>
      <c r="CG32" s="858">
        <v>20.79</v>
      </c>
      <c r="CH32" s="858"/>
      <c r="CI32" s="859"/>
      <c r="CJ32" s="860">
        <f t="shared" si="63"/>
        <v>42.349999999999994</v>
      </c>
      <c r="CK32" s="857">
        <v>21.63</v>
      </c>
      <c r="CL32" s="858">
        <v>13.39</v>
      </c>
      <c r="CM32" s="858"/>
      <c r="CN32" s="859"/>
      <c r="CO32" s="860">
        <f t="shared" si="64"/>
        <v>35.019999999999996</v>
      </c>
      <c r="CP32" s="861">
        <v>20.55</v>
      </c>
      <c r="CQ32" s="411">
        <v>12.14</v>
      </c>
      <c r="CR32" s="411"/>
      <c r="CS32" s="862"/>
      <c r="CT32" s="863">
        <v>32.69</v>
      </c>
      <c r="CU32" s="861">
        <v>20.309999999999999</v>
      </c>
      <c r="CV32" s="411">
        <v>17.55</v>
      </c>
      <c r="CW32" s="411"/>
      <c r="CX32" s="862"/>
      <c r="CY32" s="863">
        <f t="shared" si="2"/>
        <v>37.86</v>
      </c>
      <c r="CZ32" s="861">
        <v>30.49</v>
      </c>
      <c r="DA32" s="411">
        <v>41.28</v>
      </c>
      <c r="DB32" s="411"/>
      <c r="DC32" s="862"/>
      <c r="DD32" s="863">
        <f t="shared" si="3"/>
        <v>71.77</v>
      </c>
      <c r="DE32" s="861">
        <v>46.45</v>
      </c>
      <c r="DF32" s="411">
        <v>28.63</v>
      </c>
      <c r="DG32" s="411"/>
      <c r="DH32" s="862"/>
      <c r="DI32" s="863">
        <f t="shared" si="4"/>
        <v>75.08</v>
      </c>
      <c r="DJ32" s="861">
        <v>23.69</v>
      </c>
      <c r="DK32" s="411">
        <v>58.59</v>
      </c>
      <c r="DL32" s="411"/>
      <c r="DM32" s="862"/>
      <c r="DN32" s="863">
        <f t="shared" si="16"/>
        <v>82.28</v>
      </c>
      <c r="DO32" s="861">
        <v>59.83</v>
      </c>
      <c r="DP32" s="411"/>
      <c r="DQ32" s="411"/>
      <c r="DR32" s="862"/>
      <c r="DS32" s="863">
        <f t="shared" si="17"/>
        <v>59.83</v>
      </c>
      <c r="DT32" s="861">
        <v>46.12</v>
      </c>
      <c r="DU32" s="411"/>
      <c r="DV32" s="411"/>
      <c r="DW32" s="862"/>
      <c r="DX32" s="863">
        <f t="shared" si="18"/>
        <v>46.12</v>
      </c>
      <c r="DY32" s="861">
        <v>34.53</v>
      </c>
      <c r="DZ32" s="411">
        <v>15.22</v>
      </c>
      <c r="EA32" s="411"/>
      <c r="EB32" s="862"/>
      <c r="EC32" s="863">
        <f t="shared" si="19"/>
        <v>49.75</v>
      </c>
      <c r="ED32" s="861">
        <v>9.9499999999999993</v>
      </c>
      <c r="EE32" s="411">
        <v>24.55</v>
      </c>
      <c r="EF32" s="411"/>
      <c r="EG32" s="862"/>
      <c r="EH32" s="863">
        <f t="shared" si="20"/>
        <v>34.5</v>
      </c>
      <c r="EI32" s="861">
        <v>29.77</v>
      </c>
      <c r="EJ32" s="411"/>
      <c r="EK32" s="411"/>
      <c r="EL32" s="862"/>
      <c r="EM32" s="863">
        <f t="shared" si="21"/>
        <v>29.77</v>
      </c>
      <c r="EN32" s="861">
        <v>29.76</v>
      </c>
      <c r="EO32" s="411"/>
      <c r="EP32" s="411"/>
      <c r="EQ32" s="862"/>
      <c r="ER32" s="863">
        <f t="shared" si="22"/>
        <v>29.76</v>
      </c>
      <c r="ES32" s="861">
        <v>12.15</v>
      </c>
      <c r="ET32" s="411">
        <v>29.13</v>
      </c>
      <c r="EU32" s="411">
        <v>5.83</v>
      </c>
      <c r="EV32" s="862"/>
      <c r="EW32" s="863">
        <f t="shared" si="23"/>
        <v>47.11</v>
      </c>
      <c r="EX32" s="861">
        <v>28.01</v>
      </c>
      <c r="EY32" s="411">
        <v>27.38</v>
      </c>
      <c r="EZ32" s="411"/>
      <c r="FA32" s="862"/>
      <c r="FB32" s="863">
        <f t="shared" si="24"/>
        <v>55.39</v>
      </c>
      <c r="FC32" s="861">
        <v>25.04</v>
      </c>
      <c r="FD32" s="411">
        <v>28</v>
      </c>
      <c r="FE32" s="411"/>
      <c r="FF32" s="862"/>
      <c r="FG32" s="863">
        <f t="shared" si="25"/>
        <v>53.04</v>
      </c>
      <c r="FH32" s="861">
        <v>24.2</v>
      </c>
      <c r="FI32" s="411">
        <v>31.73</v>
      </c>
      <c r="FJ32" s="411"/>
      <c r="FK32" s="862"/>
      <c r="FL32" s="863">
        <f t="shared" si="26"/>
        <v>55.93</v>
      </c>
      <c r="FM32" s="861">
        <v>33.94</v>
      </c>
      <c r="FN32" s="411">
        <f>34.39+0.3</f>
        <v>34.69</v>
      </c>
      <c r="FO32" s="411"/>
      <c r="FP32" s="862"/>
      <c r="FQ32" s="863">
        <f t="shared" si="27"/>
        <v>68.63</v>
      </c>
      <c r="FR32" s="861">
        <v>44.36</v>
      </c>
      <c r="FS32" s="411">
        <v>43.1</v>
      </c>
      <c r="FT32" s="411"/>
      <c r="FU32" s="862"/>
      <c r="FV32" s="863">
        <f t="shared" si="28"/>
        <v>87.460000000000008</v>
      </c>
      <c r="FW32" s="861">
        <v>46.4</v>
      </c>
      <c r="FX32" s="411">
        <v>34.619999999999997</v>
      </c>
      <c r="FY32" s="411"/>
      <c r="FZ32" s="862"/>
      <c r="GA32" s="863">
        <f t="shared" si="29"/>
        <v>81.02</v>
      </c>
      <c r="GB32" s="861">
        <v>61.3</v>
      </c>
      <c r="GC32" s="882"/>
      <c r="GD32" s="411"/>
      <c r="GE32" s="862"/>
      <c r="GF32" s="863">
        <f t="shared" si="30"/>
        <v>61.3</v>
      </c>
      <c r="GG32" s="346">
        <v>40.47</v>
      </c>
      <c r="GH32" s="347">
        <v>11.98</v>
      </c>
      <c r="GI32" s="347"/>
      <c r="GJ32" s="348"/>
      <c r="GK32" s="349">
        <f t="shared" si="31"/>
        <v>52.45</v>
      </c>
      <c r="GL32" s="346">
        <v>10.65</v>
      </c>
      <c r="GM32" s="347">
        <v>11.75</v>
      </c>
      <c r="GN32" s="347"/>
      <c r="GO32" s="348"/>
      <c r="GP32" s="349">
        <f t="shared" si="32"/>
        <v>22.4</v>
      </c>
      <c r="GQ32" s="346">
        <v>7.11</v>
      </c>
      <c r="GR32" s="347">
        <v>4.0199999999999996</v>
      </c>
      <c r="GS32" s="347">
        <v>2.67</v>
      </c>
      <c r="GT32" s="348"/>
      <c r="GU32" s="349">
        <f t="shared" si="33"/>
        <v>13.799999999999999</v>
      </c>
      <c r="GV32" s="346">
        <v>14.27</v>
      </c>
      <c r="GW32" s="347">
        <v>2.87</v>
      </c>
      <c r="GX32" s="347"/>
      <c r="GY32" s="348"/>
      <c r="GZ32" s="349">
        <f t="shared" si="34"/>
        <v>17.14</v>
      </c>
      <c r="HA32" s="346">
        <v>40.590000000000003</v>
      </c>
      <c r="HB32" s="347">
        <v>24.53</v>
      </c>
      <c r="HC32" s="347"/>
      <c r="HD32" s="348"/>
      <c r="HE32" s="349">
        <f t="shared" si="35"/>
        <v>65.12</v>
      </c>
      <c r="HF32" s="346">
        <v>16.11</v>
      </c>
      <c r="HG32" s="347">
        <v>19.62</v>
      </c>
      <c r="HH32" s="347">
        <v>27.34</v>
      </c>
      <c r="HI32" s="348"/>
      <c r="HJ32" s="349">
        <f t="shared" si="36"/>
        <v>63.070000000000007</v>
      </c>
      <c r="HK32" s="346">
        <v>45.15</v>
      </c>
      <c r="HL32" s="347">
        <v>11.87</v>
      </c>
      <c r="HM32" s="347"/>
      <c r="HN32" s="348"/>
      <c r="HO32" s="349">
        <f t="shared" si="37"/>
        <v>57.019999999999996</v>
      </c>
      <c r="HP32" s="346">
        <v>23.98</v>
      </c>
      <c r="HQ32" s="347">
        <v>73.34</v>
      </c>
      <c r="HR32" s="347"/>
      <c r="HS32" s="348"/>
      <c r="HT32" s="349">
        <f t="shared" si="38"/>
        <v>97.320000000000007</v>
      </c>
      <c r="HU32" s="346">
        <v>87.79</v>
      </c>
      <c r="HV32" s="352"/>
      <c r="HW32" s="347"/>
      <c r="HX32" s="348"/>
      <c r="HY32" s="349">
        <f t="shared" si="39"/>
        <v>87.79</v>
      </c>
      <c r="HZ32" s="346">
        <v>86.78</v>
      </c>
      <c r="IA32" s="347">
        <v>44.96</v>
      </c>
      <c r="IB32" s="347"/>
      <c r="IC32" s="348"/>
      <c r="ID32" s="349">
        <f t="shared" si="40"/>
        <v>131.74</v>
      </c>
      <c r="IE32" s="88">
        <f>74.8+2.67</f>
        <v>77.47</v>
      </c>
      <c r="IF32" s="89">
        <v>22.06</v>
      </c>
      <c r="IG32" s="89"/>
      <c r="IH32" s="345"/>
      <c r="II32" s="344">
        <f t="shared" si="41"/>
        <v>99.53</v>
      </c>
      <c r="IJ32" s="88">
        <v>29.61</v>
      </c>
      <c r="IK32" s="89">
        <v>57.95</v>
      </c>
      <c r="IL32" s="345"/>
      <c r="IM32" s="340"/>
      <c r="IN32" s="492">
        <f t="shared" si="42"/>
        <v>87.56</v>
      </c>
      <c r="IO32" s="492"/>
      <c r="IP32" s="886">
        <f t="shared" si="43"/>
        <v>794.94</v>
      </c>
      <c r="IQ32" s="501">
        <v>53.53</v>
      </c>
      <c r="IR32" s="353"/>
      <c r="IS32" s="33"/>
      <c r="IT32" s="340"/>
      <c r="IU32" s="342">
        <f t="shared" si="44"/>
        <v>53.53</v>
      </c>
      <c r="IV32" s="32">
        <v>53.72</v>
      </c>
      <c r="IW32" s="33">
        <v>6.63</v>
      </c>
      <c r="IX32" s="33"/>
      <c r="IY32" s="340"/>
      <c r="IZ32" s="342">
        <f t="shared" si="45"/>
        <v>60.35</v>
      </c>
      <c r="JA32" s="32">
        <v>38.17</v>
      </c>
      <c r="JB32" s="33">
        <v>10.39</v>
      </c>
      <c r="JC32" s="33"/>
      <c r="JD32" s="340"/>
      <c r="JE32" s="342">
        <f t="shared" si="46"/>
        <v>48.56</v>
      </c>
      <c r="JF32" s="32">
        <v>53.56</v>
      </c>
      <c r="JG32" s="33">
        <v>38.85</v>
      </c>
      <c r="JH32" s="33"/>
      <c r="JI32" s="340"/>
      <c r="JJ32" s="342">
        <f t="shared" si="47"/>
        <v>92.41</v>
      </c>
      <c r="JK32" s="32">
        <v>3.97</v>
      </c>
      <c r="JL32" s="33">
        <v>28.66</v>
      </c>
      <c r="JM32" s="33"/>
      <c r="JN32" s="340"/>
      <c r="JO32" s="342">
        <f t="shared" si="48"/>
        <v>32.630000000000003</v>
      </c>
      <c r="JP32" s="32">
        <v>45.17</v>
      </c>
      <c r="JQ32" s="33">
        <v>19.14</v>
      </c>
      <c r="JR32" s="33"/>
      <c r="JS32" s="340"/>
      <c r="JT32" s="342">
        <f t="shared" si="49"/>
        <v>64.31</v>
      </c>
      <c r="JU32" s="32">
        <v>21.82</v>
      </c>
      <c r="JV32" s="33">
        <v>23.58</v>
      </c>
      <c r="JW32" s="33">
        <v>3.94</v>
      </c>
      <c r="JX32" s="340"/>
      <c r="JY32" s="342">
        <f t="shared" si="50"/>
        <v>49.339999999999996</v>
      </c>
      <c r="JZ32" s="32">
        <v>36.090000000000003</v>
      </c>
      <c r="KA32" s="33">
        <v>38.69</v>
      </c>
      <c r="KB32" s="33">
        <v>3.01</v>
      </c>
      <c r="KC32" s="340"/>
      <c r="KD32" s="342">
        <f t="shared" si="51"/>
        <v>77.790000000000006</v>
      </c>
      <c r="KE32" s="32">
        <v>19.45</v>
      </c>
      <c r="KF32" s="33">
        <v>51.440000000000005</v>
      </c>
      <c r="KG32" s="33">
        <v>0</v>
      </c>
      <c r="KH32" s="340">
        <v>0</v>
      </c>
      <c r="KI32" s="342">
        <f t="shared" si="52"/>
        <v>70.89</v>
      </c>
      <c r="KJ32" s="32">
        <v>52.29</v>
      </c>
      <c r="KK32" s="33">
        <v>60.83</v>
      </c>
      <c r="KL32" s="33">
        <v>0</v>
      </c>
      <c r="KM32" s="340">
        <v>0</v>
      </c>
      <c r="KN32" s="342">
        <f t="shared" si="53"/>
        <v>113.12</v>
      </c>
      <c r="KO32" s="32">
        <v>45.06</v>
      </c>
      <c r="KP32" s="33">
        <v>49.58</v>
      </c>
      <c r="KQ32" s="33">
        <v>0</v>
      </c>
      <c r="KR32" s="340">
        <v>0</v>
      </c>
      <c r="KS32" s="342">
        <f t="shared" si="54"/>
        <v>94.64</v>
      </c>
      <c r="KT32" s="32">
        <f t="shared" si="5"/>
        <v>49.910000000000004</v>
      </c>
      <c r="KU32" s="33">
        <f t="shared" si="6"/>
        <v>0</v>
      </c>
      <c r="KV32" s="33">
        <f t="shared" si="7"/>
        <v>0</v>
      </c>
      <c r="KW32" s="340">
        <f t="shared" si="8"/>
        <v>0</v>
      </c>
      <c r="KX32" s="342">
        <f t="shared" si="9"/>
        <v>49.910000000000004</v>
      </c>
      <c r="KZ32" s="507">
        <f t="shared" si="55"/>
        <v>807.48</v>
      </c>
    </row>
    <row r="33" spans="1:312" ht="16.5" thickBot="1" x14ac:dyDescent="0.3">
      <c r="A33" s="368"/>
      <c r="B33" s="360">
        <v>38</v>
      </c>
      <c r="C33" s="369"/>
      <c r="D33" s="328"/>
      <c r="E33" s="329"/>
      <c r="F33" s="330"/>
      <c r="G33" s="331"/>
      <c r="H33" s="332">
        <f t="shared" si="10"/>
        <v>0</v>
      </c>
      <c r="I33" s="333"/>
      <c r="J33" s="334"/>
      <c r="K33" s="334"/>
      <c r="L33" s="335"/>
      <c r="M33" s="300">
        <f>SUM(I33:L33)</f>
        <v>0</v>
      </c>
      <c r="N33" s="333"/>
      <c r="O33" s="334"/>
      <c r="P33" s="334"/>
      <c r="Q33" s="335"/>
      <c r="R33" s="300">
        <f t="shared" si="0"/>
        <v>0</v>
      </c>
      <c r="S33" s="333"/>
      <c r="T33" s="334"/>
      <c r="U33" s="334"/>
      <c r="V33" s="335"/>
      <c r="W33" s="300">
        <f t="shared" si="1"/>
        <v>0</v>
      </c>
      <c r="X33" s="333">
        <v>0</v>
      </c>
      <c r="Y33" s="334"/>
      <c r="Z33" s="334"/>
      <c r="AA33" s="335"/>
      <c r="AB33" s="300">
        <f>SUM(X33:AA33)</f>
        <v>0</v>
      </c>
      <c r="AC33" s="336"/>
      <c r="AD33" s="337"/>
      <c r="AE33" s="337"/>
      <c r="AF33" s="338"/>
      <c r="AG33" s="304">
        <f>SUM(AC33:AF33)</f>
        <v>0</v>
      </c>
      <c r="AH33" s="336"/>
      <c r="AI33" s="337"/>
      <c r="AJ33" s="337"/>
      <c r="AK33" s="338"/>
      <c r="AL33" s="339">
        <f>SUM(AH33:AK33)</f>
        <v>0</v>
      </c>
      <c r="AM33" s="32"/>
      <c r="AN33" s="33"/>
      <c r="AO33" s="33"/>
      <c r="AP33" s="340"/>
      <c r="AQ33" s="341">
        <f t="shared" si="57"/>
        <v>0</v>
      </c>
      <c r="AR33" s="32"/>
      <c r="AS33" s="33"/>
      <c r="AT33" s="33"/>
      <c r="AU33" s="340"/>
      <c r="AV33" s="342">
        <f t="shared" si="58"/>
        <v>0</v>
      </c>
      <c r="AW33" s="32"/>
      <c r="AX33" s="33"/>
      <c r="AY33" s="33"/>
      <c r="AZ33" s="340"/>
      <c r="BA33" s="342">
        <f t="shared" si="59"/>
        <v>0</v>
      </c>
      <c r="BB33" s="32"/>
      <c r="BC33" s="33"/>
      <c r="BD33" s="33"/>
      <c r="BE33" s="340"/>
      <c r="BF33" s="342">
        <f>SUM(BB33:BE33)</f>
        <v>0</v>
      </c>
      <c r="BG33" s="32"/>
      <c r="BH33" s="33"/>
      <c r="BI33" s="33"/>
      <c r="BJ33" s="343"/>
      <c r="BK33" s="342">
        <f t="shared" ref="BK33:BK47" si="68">SUM(BG33:BJ33)</f>
        <v>0</v>
      </c>
      <c r="BL33" s="32"/>
      <c r="BM33" s="33"/>
      <c r="BN33" s="33"/>
      <c r="BO33" s="343"/>
      <c r="BP33" s="341">
        <f t="shared" si="61"/>
        <v>0</v>
      </c>
      <c r="BQ33" s="32"/>
      <c r="BR33" s="43"/>
      <c r="BS33" s="43"/>
      <c r="BT33" s="853"/>
      <c r="BU33" s="854">
        <f t="shared" si="14"/>
        <v>0</v>
      </c>
      <c r="BV33" s="855"/>
      <c r="BW33" s="43"/>
      <c r="BX33" s="43"/>
      <c r="BY33" s="853"/>
      <c r="BZ33" s="856">
        <f t="shared" si="15"/>
        <v>0</v>
      </c>
      <c r="CA33" s="857"/>
      <c r="CB33" s="858"/>
      <c r="CC33" s="858"/>
      <c r="CD33" s="859"/>
      <c r="CE33" s="860">
        <f t="shared" si="62"/>
        <v>0</v>
      </c>
      <c r="CF33" s="857"/>
      <c r="CG33" s="858"/>
      <c r="CH33" s="858"/>
      <c r="CI33" s="859"/>
      <c r="CJ33" s="860">
        <f t="shared" si="63"/>
        <v>0</v>
      </c>
      <c r="CK33" s="857"/>
      <c r="CL33" s="858"/>
      <c r="CM33" s="858"/>
      <c r="CN33" s="859"/>
      <c r="CO33" s="860">
        <f t="shared" si="64"/>
        <v>0</v>
      </c>
      <c r="CP33" s="861"/>
      <c r="CQ33" s="411"/>
      <c r="CR33" s="411"/>
      <c r="CS33" s="862"/>
      <c r="CT33" s="863"/>
      <c r="CU33" s="861"/>
      <c r="CV33" s="411"/>
      <c r="CW33" s="411"/>
      <c r="CX33" s="862"/>
      <c r="CY33" s="863"/>
      <c r="CZ33" s="861"/>
      <c r="DA33" s="411"/>
      <c r="DB33" s="411"/>
      <c r="DC33" s="862"/>
      <c r="DD33" s="863"/>
      <c r="DE33" s="861"/>
      <c r="DF33" s="411"/>
      <c r="DG33" s="411"/>
      <c r="DH33" s="862"/>
      <c r="DI33" s="863"/>
      <c r="DJ33" s="861"/>
      <c r="DK33" s="411"/>
      <c r="DL33" s="411"/>
      <c r="DM33" s="862"/>
      <c r="DN33" s="863"/>
      <c r="DO33" s="861"/>
      <c r="DP33" s="411"/>
      <c r="DQ33" s="411"/>
      <c r="DR33" s="862"/>
      <c r="DS33" s="863"/>
      <c r="DT33" s="861"/>
      <c r="DU33" s="411"/>
      <c r="DV33" s="411"/>
      <c r="DW33" s="862"/>
      <c r="DX33" s="863"/>
      <c r="DY33" s="861"/>
      <c r="DZ33" s="411"/>
      <c r="EA33" s="411"/>
      <c r="EB33" s="862"/>
      <c r="EC33" s="863"/>
      <c r="ED33" s="861"/>
      <c r="EE33" s="411"/>
      <c r="EF33" s="411"/>
      <c r="EG33" s="862"/>
      <c r="EH33" s="863"/>
      <c r="EI33" s="861"/>
      <c r="EJ33" s="411"/>
      <c r="EK33" s="411"/>
      <c r="EL33" s="862"/>
      <c r="EM33" s="863"/>
      <c r="EN33" s="861"/>
      <c r="EO33" s="411"/>
      <c r="EP33" s="411"/>
      <c r="EQ33" s="862"/>
      <c r="ER33" s="863"/>
      <c r="ES33" s="861"/>
      <c r="ET33" s="411"/>
      <c r="EU33" s="411"/>
      <c r="EV33" s="862"/>
      <c r="EW33" s="863"/>
      <c r="EX33" s="861"/>
      <c r="EY33" s="411"/>
      <c r="EZ33" s="411"/>
      <c r="FA33" s="862"/>
      <c r="FB33" s="863"/>
      <c r="FC33" s="861"/>
      <c r="FD33" s="411"/>
      <c r="FE33" s="411"/>
      <c r="FF33" s="862"/>
      <c r="FG33" s="863"/>
      <c r="FH33" s="861"/>
      <c r="FI33" s="411"/>
      <c r="FJ33" s="411"/>
      <c r="FK33" s="862"/>
      <c r="FL33" s="863"/>
      <c r="FM33" s="861"/>
      <c r="FN33" s="411"/>
      <c r="FO33" s="411"/>
      <c r="FP33" s="862"/>
      <c r="FQ33" s="863"/>
      <c r="FR33" s="861"/>
      <c r="FS33" s="411"/>
      <c r="FT33" s="411"/>
      <c r="FU33" s="862"/>
      <c r="FV33" s="863"/>
      <c r="FW33" s="861"/>
      <c r="FX33" s="411"/>
      <c r="FY33" s="411"/>
      <c r="FZ33" s="862"/>
      <c r="GA33" s="863"/>
      <c r="GB33" s="861"/>
      <c r="GC33" s="411"/>
      <c r="GD33" s="411"/>
      <c r="GE33" s="862"/>
      <c r="GF33" s="863"/>
      <c r="GG33" s="346"/>
      <c r="GH33" s="347"/>
      <c r="GI33" s="347"/>
      <c r="GJ33" s="348"/>
      <c r="GK33" s="349"/>
      <c r="GL33" s="346"/>
      <c r="GM33" s="347"/>
      <c r="GN33" s="347"/>
      <c r="GO33" s="348"/>
      <c r="GP33" s="349"/>
      <c r="GQ33" s="346"/>
      <c r="GR33" s="347"/>
      <c r="GS33" s="347"/>
      <c r="GT33" s="348"/>
      <c r="GU33" s="349"/>
      <c r="GV33" s="346"/>
      <c r="GW33" s="347"/>
      <c r="GX33" s="347"/>
      <c r="GY33" s="348"/>
      <c r="GZ33" s="349"/>
      <c r="HA33" s="346"/>
      <c r="HB33" s="347"/>
      <c r="HC33" s="347"/>
      <c r="HD33" s="348"/>
      <c r="HE33" s="349"/>
      <c r="HF33" s="346"/>
      <c r="HG33" s="347"/>
      <c r="HH33" s="347"/>
      <c r="HI33" s="348"/>
      <c r="HJ33" s="349"/>
      <c r="HK33" s="346"/>
      <c r="HL33" s="347"/>
      <c r="HM33" s="347"/>
      <c r="HN33" s="348"/>
      <c r="HO33" s="349"/>
      <c r="HP33" s="346"/>
      <c r="HQ33" s="347"/>
      <c r="HR33" s="347"/>
      <c r="HS33" s="348"/>
      <c r="HT33" s="349"/>
      <c r="HU33" s="346"/>
      <c r="HV33" s="347"/>
      <c r="HW33" s="347"/>
      <c r="HX33" s="348"/>
      <c r="HY33" s="349"/>
      <c r="HZ33" s="346"/>
      <c r="IA33" s="347"/>
      <c r="IB33" s="347"/>
      <c r="IC33" s="348"/>
      <c r="ID33" s="349"/>
      <c r="IE33" s="88"/>
      <c r="IF33" s="89"/>
      <c r="IG33" s="89"/>
      <c r="IH33" s="345"/>
      <c r="II33" s="344"/>
      <c r="IJ33" s="88"/>
      <c r="IK33" s="89"/>
      <c r="IL33" s="345"/>
      <c r="IM33" s="340"/>
      <c r="IN33" s="492"/>
      <c r="IO33" s="492"/>
      <c r="IP33" s="507">
        <f t="shared" si="43"/>
        <v>0</v>
      </c>
      <c r="IQ33" s="501"/>
      <c r="IR33" s="353"/>
      <c r="IS33" s="33"/>
      <c r="IT33" s="340"/>
      <c r="IU33" s="342"/>
      <c r="IV33" s="32"/>
      <c r="IW33" s="33"/>
      <c r="IX33" s="33"/>
      <c r="IY33" s="340"/>
      <c r="IZ33" s="342"/>
      <c r="JA33" s="32"/>
      <c r="JB33" s="33"/>
      <c r="JC33" s="33"/>
      <c r="JD33" s="340"/>
      <c r="JE33" s="342"/>
      <c r="JF33" s="32"/>
      <c r="JG33" s="33"/>
      <c r="JH33" s="33"/>
      <c r="JI33" s="340"/>
      <c r="JJ33" s="342"/>
      <c r="JK33" s="32"/>
      <c r="JL33" s="33"/>
      <c r="JM33" s="33"/>
      <c r="JN33" s="340"/>
      <c r="JO33" s="342"/>
      <c r="JP33" s="32"/>
      <c r="JQ33" s="33"/>
      <c r="JR33" s="33"/>
      <c r="JS33" s="340"/>
      <c r="JT33" s="342"/>
      <c r="JU33" s="32"/>
      <c r="JV33" s="33"/>
      <c r="JW33" s="33"/>
      <c r="JX33" s="340"/>
      <c r="JY33" s="342"/>
      <c r="JZ33" s="32"/>
      <c r="KA33" s="33"/>
      <c r="KB33" s="33"/>
      <c r="KC33" s="340"/>
      <c r="KD33" s="342">
        <f t="shared" si="51"/>
        <v>0</v>
      </c>
      <c r="KE33" s="32" t="s">
        <v>213</v>
      </c>
      <c r="KF33" s="33" t="s">
        <v>213</v>
      </c>
      <c r="KG33" s="33" t="s">
        <v>213</v>
      </c>
      <c r="KH33" s="340" t="s">
        <v>213</v>
      </c>
      <c r="KI33" s="342">
        <f t="shared" si="52"/>
        <v>0</v>
      </c>
      <c r="KJ33" s="32" t="s">
        <v>213</v>
      </c>
      <c r="KK33" s="33" t="s">
        <v>213</v>
      </c>
      <c r="KL33" s="33" t="s">
        <v>213</v>
      </c>
      <c r="KM33" s="340" t="s">
        <v>213</v>
      </c>
      <c r="KN33" s="342">
        <f t="shared" si="53"/>
        <v>0</v>
      </c>
      <c r="KO33" s="32" t="s">
        <v>213</v>
      </c>
      <c r="KP33" s="33" t="s">
        <v>213</v>
      </c>
      <c r="KQ33" s="33" t="s">
        <v>213</v>
      </c>
      <c r="KR33" s="340" t="s">
        <v>213</v>
      </c>
      <c r="KS33" s="342">
        <f t="shared" si="54"/>
        <v>0</v>
      </c>
      <c r="KT33" s="32" t="str">
        <f t="shared" si="5"/>
        <v/>
      </c>
      <c r="KU33" s="33" t="str">
        <f t="shared" si="6"/>
        <v/>
      </c>
      <c r="KV33" s="33" t="str">
        <f t="shared" si="7"/>
        <v/>
      </c>
      <c r="KW33" s="340" t="str">
        <f t="shared" si="8"/>
        <v/>
      </c>
      <c r="KX33" s="342">
        <f t="shared" si="9"/>
        <v>0</v>
      </c>
      <c r="KZ33" s="507">
        <f t="shared" si="55"/>
        <v>0</v>
      </c>
    </row>
    <row r="34" spans="1:312" ht="15.75" x14ac:dyDescent="0.25">
      <c r="A34" s="366" t="s">
        <v>161</v>
      </c>
      <c r="B34" s="291" t="s">
        <v>162</v>
      </c>
      <c r="C34" s="369"/>
      <c r="D34" s="370"/>
      <c r="E34" s="371"/>
      <c r="F34" s="372"/>
      <c r="G34" s="373"/>
      <c r="H34" s="332">
        <f t="shared" si="10"/>
        <v>0</v>
      </c>
      <c r="I34" s="350"/>
      <c r="J34" s="334"/>
      <c r="K34" s="334"/>
      <c r="L34" s="335"/>
      <c r="M34" s="300">
        <f>SUM(I34:L34)</f>
        <v>0</v>
      </c>
      <c r="N34" s="350"/>
      <c r="O34" s="334"/>
      <c r="P34" s="334"/>
      <c r="Q34" s="335"/>
      <c r="R34" s="300">
        <f t="shared" si="0"/>
        <v>0</v>
      </c>
      <c r="S34" s="350"/>
      <c r="T34" s="334"/>
      <c r="U34" s="334"/>
      <c r="V34" s="335"/>
      <c r="W34" s="300">
        <f t="shared" si="1"/>
        <v>0</v>
      </c>
      <c r="X34" s="350"/>
      <c r="Y34" s="334"/>
      <c r="Z34" s="334"/>
      <c r="AA34" s="335"/>
      <c r="AB34" s="300">
        <f>SUM(X34:AA34)</f>
        <v>0</v>
      </c>
      <c r="AC34" s="374"/>
      <c r="AD34" s="337"/>
      <c r="AE34" s="337"/>
      <c r="AF34" s="338"/>
      <c r="AG34" s="304">
        <f>SUM(AC34:AF34)</f>
        <v>0</v>
      </c>
      <c r="AH34" s="374"/>
      <c r="AI34" s="337"/>
      <c r="AJ34" s="337"/>
      <c r="AK34" s="338"/>
      <c r="AL34" s="339">
        <f>SUM(AH34:AK34)</f>
        <v>0</v>
      </c>
      <c r="AM34" s="32"/>
      <c r="AN34" s="33"/>
      <c r="AO34" s="33"/>
      <c r="AP34" s="340"/>
      <c r="AQ34" s="341">
        <f t="shared" si="57"/>
        <v>0</v>
      </c>
      <c r="AR34" s="32"/>
      <c r="AS34" s="33"/>
      <c r="AT34" s="33"/>
      <c r="AU34" s="340"/>
      <c r="AV34" s="342">
        <f t="shared" si="58"/>
        <v>0</v>
      </c>
      <c r="AW34" s="32"/>
      <c r="AX34" s="33"/>
      <c r="AY34" s="33"/>
      <c r="AZ34" s="340"/>
      <c r="BA34" s="342">
        <f t="shared" si="59"/>
        <v>0</v>
      </c>
      <c r="BB34" s="32"/>
      <c r="BC34" s="33"/>
      <c r="BD34" s="33"/>
      <c r="BE34" s="340"/>
      <c r="BF34" s="342">
        <f>SUM(BB34:BE34)</f>
        <v>0</v>
      </c>
      <c r="BG34" s="32"/>
      <c r="BH34" s="33"/>
      <c r="BI34" s="33"/>
      <c r="BJ34" s="343"/>
      <c r="BK34" s="342">
        <f t="shared" si="68"/>
        <v>0</v>
      </c>
      <c r="BL34" s="32"/>
      <c r="BM34" s="33"/>
      <c r="BN34" s="33"/>
      <c r="BO34" s="343"/>
      <c r="BP34" s="341">
        <f t="shared" si="61"/>
        <v>0</v>
      </c>
      <c r="BQ34" s="32"/>
      <c r="BR34" s="43"/>
      <c r="BS34" s="43"/>
      <c r="BT34" s="853"/>
      <c r="BU34" s="854">
        <f t="shared" si="14"/>
        <v>0</v>
      </c>
      <c r="BV34" s="855"/>
      <c r="BW34" s="43"/>
      <c r="BX34" s="43"/>
      <c r="BY34" s="853"/>
      <c r="BZ34" s="856">
        <f t="shared" si="15"/>
        <v>0</v>
      </c>
      <c r="CA34" s="857"/>
      <c r="CB34" s="858"/>
      <c r="CC34" s="858"/>
      <c r="CD34" s="859"/>
      <c r="CE34" s="860">
        <f t="shared" si="62"/>
        <v>0</v>
      </c>
      <c r="CF34" s="857"/>
      <c r="CG34" s="858"/>
      <c r="CH34" s="858"/>
      <c r="CI34" s="859"/>
      <c r="CJ34" s="860">
        <f t="shared" si="63"/>
        <v>0</v>
      </c>
      <c r="CK34" s="857"/>
      <c r="CL34" s="858"/>
      <c r="CM34" s="858"/>
      <c r="CN34" s="859"/>
      <c r="CO34" s="860">
        <f t="shared" si="64"/>
        <v>0</v>
      </c>
      <c r="CP34" s="861"/>
      <c r="CQ34" s="411"/>
      <c r="CR34" s="411"/>
      <c r="CS34" s="862"/>
      <c r="CT34" s="863"/>
      <c r="CU34" s="861"/>
      <c r="CV34" s="411"/>
      <c r="CW34" s="411"/>
      <c r="CX34" s="862"/>
      <c r="CY34" s="863"/>
      <c r="CZ34" s="861"/>
      <c r="DA34" s="411"/>
      <c r="DB34" s="411"/>
      <c r="DC34" s="862"/>
      <c r="DD34" s="863"/>
      <c r="DE34" s="861"/>
      <c r="DF34" s="411"/>
      <c r="DG34" s="411"/>
      <c r="DH34" s="862"/>
      <c r="DI34" s="863"/>
      <c r="DJ34" s="861"/>
      <c r="DK34" s="411"/>
      <c r="DL34" s="411"/>
      <c r="DM34" s="862"/>
      <c r="DN34" s="863"/>
      <c r="DO34" s="861"/>
      <c r="DP34" s="411"/>
      <c r="DQ34" s="411"/>
      <c r="DR34" s="862"/>
      <c r="DS34" s="863"/>
      <c r="DT34" s="861"/>
      <c r="DU34" s="411"/>
      <c r="DV34" s="411"/>
      <c r="DW34" s="862"/>
      <c r="DX34" s="863"/>
      <c r="DY34" s="861"/>
      <c r="DZ34" s="411"/>
      <c r="EA34" s="411"/>
      <c r="EB34" s="862"/>
      <c r="EC34" s="863"/>
      <c r="ED34" s="861"/>
      <c r="EE34" s="411"/>
      <c r="EF34" s="411"/>
      <c r="EG34" s="862"/>
      <c r="EH34" s="863"/>
      <c r="EI34" s="861"/>
      <c r="EJ34" s="411"/>
      <c r="EK34" s="411"/>
      <c r="EL34" s="862"/>
      <c r="EM34" s="863"/>
      <c r="EN34" s="861"/>
      <c r="EO34" s="411"/>
      <c r="EP34" s="411"/>
      <c r="EQ34" s="862"/>
      <c r="ER34" s="863"/>
      <c r="ES34" s="861"/>
      <c r="ET34" s="411"/>
      <c r="EU34" s="411"/>
      <c r="EV34" s="862"/>
      <c r="EW34" s="863"/>
      <c r="EX34" s="861"/>
      <c r="EY34" s="411"/>
      <c r="EZ34" s="411"/>
      <c r="FA34" s="862"/>
      <c r="FB34" s="863"/>
      <c r="FC34" s="861"/>
      <c r="FD34" s="411"/>
      <c r="FE34" s="411"/>
      <c r="FF34" s="862"/>
      <c r="FG34" s="863"/>
      <c r="FH34" s="861"/>
      <c r="FI34" s="411"/>
      <c r="FJ34" s="411"/>
      <c r="FK34" s="862"/>
      <c r="FL34" s="863"/>
      <c r="FM34" s="861"/>
      <c r="FN34" s="411"/>
      <c r="FO34" s="411"/>
      <c r="FP34" s="862"/>
      <c r="FQ34" s="863"/>
      <c r="FR34" s="861"/>
      <c r="FS34" s="411"/>
      <c r="FT34" s="411"/>
      <c r="FU34" s="862"/>
      <c r="FV34" s="863"/>
      <c r="FW34" s="861"/>
      <c r="FX34" s="411"/>
      <c r="FY34" s="411"/>
      <c r="FZ34" s="862"/>
      <c r="GA34" s="863"/>
      <c r="GB34" s="861"/>
      <c r="GC34" s="411"/>
      <c r="GD34" s="411"/>
      <c r="GE34" s="862"/>
      <c r="GF34" s="863"/>
      <c r="GG34" s="346"/>
      <c r="GH34" s="347"/>
      <c r="GI34" s="347"/>
      <c r="GJ34" s="348"/>
      <c r="GK34" s="349"/>
      <c r="GL34" s="346"/>
      <c r="GM34" s="347"/>
      <c r="GN34" s="347"/>
      <c r="GO34" s="348"/>
      <c r="GP34" s="349"/>
      <c r="GQ34" s="346"/>
      <c r="GR34" s="347"/>
      <c r="GS34" s="347"/>
      <c r="GT34" s="348"/>
      <c r="GU34" s="349"/>
      <c r="GV34" s="346"/>
      <c r="GW34" s="347"/>
      <c r="GX34" s="347"/>
      <c r="GY34" s="348"/>
      <c r="GZ34" s="349"/>
      <c r="HA34" s="346"/>
      <c r="HB34" s="347"/>
      <c r="HC34" s="347"/>
      <c r="HD34" s="348"/>
      <c r="HE34" s="349"/>
      <c r="HF34" s="346"/>
      <c r="HG34" s="347"/>
      <c r="HH34" s="347"/>
      <c r="HI34" s="348"/>
      <c r="HJ34" s="349"/>
      <c r="HK34" s="346"/>
      <c r="HL34" s="347"/>
      <c r="HM34" s="347"/>
      <c r="HN34" s="348"/>
      <c r="HO34" s="349"/>
      <c r="HP34" s="346"/>
      <c r="HQ34" s="347"/>
      <c r="HR34" s="347"/>
      <c r="HS34" s="348"/>
      <c r="HT34" s="349"/>
      <c r="HU34" s="346"/>
      <c r="HV34" s="347"/>
      <c r="HW34" s="347"/>
      <c r="HX34" s="348"/>
      <c r="HY34" s="349"/>
      <c r="HZ34" s="346"/>
      <c r="IA34" s="347"/>
      <c r="IB34" s="347"/>
      <c r="IC34" s="348"/>
      <c r="ID34" s="349"/>
      <c r="IE34" s="88"/>
      <c r="IF34" s="89"/>
      <c r="IG34" s="89"/>
      <c r="IH34" s="345"/>
      <c r="II34" s="344"/>
      <c r="IJ34" s="88"/>
      <c r="IK34" s="89"/>
      <c r="IL34" s="345"/>
      <c r="IM34" s="340"/>
      <c r="IN34" s="492"/>
      <c r="IO34" s="492"/>
      <c r="IP34" s="507">
        <f t="shared" si="43"/>
        <v>0</v>
      </c>
      <c r="IQ34" s="501"/>
      <c r="IR34" s="353"/>
      <c r="IS34" s="33"/>
      <c r="IT34" s="340"/>
      <c r="IU34" s="342"/>
      <c r="IV34" s="32"/>
      <c r="IW34" s="33"/>
      <c r="IX34" s="33"/>
      <c r="IY34" s="340"/>
      <c r="IZ34" s="342"/>
      <c r="JA34" s="32"/>
      <c r="JB34" s="33"/>
      <c r="JC34" s="33"/>
      <c r="JD34" s="340"/>
      <c r="JE34" s="342"/>
      <c r="JF34" s="32"/>
      <c r="JG34" s="33"/>
      <c r="JH34" s="33"/>
      <c r="JI34" s="340"/>
      <c r="JJ34" s="342"/>
      <c r="JK34" s="32"/>
      <c r="JL34" s="33"/>
      <c r="JM34" s="33"/>
      <c r="JN34" s="340"/>
      <c r="JO34" s="342"/>
      <c r="JP34" s="32"/>
      <c r="JQ34" s="33"/>
      <c r="JR34" s="33"/>
      <c r="JS34" s="340"/>
      <c r="JT34" s="342"/>
      <c r="JU34" s="32"/>
      <c r="JV34" s="33"/>
      <c r="JW34" s="33"/>
      <c r="JX34" s="340"/>
      <c r="JY34" s="342"/>
      <c r="JZ34" s="32"/>
      <c r="KA34" s="33"/>
      <c r="KB34" s="33"/>
      <c r="KC34" s="340"/>
      <c r="KD34" s="342">
        <f t="shared" si="51"/>
        <v>0</v>
      </c>
      <c r="KE34" s="32" t="s">
        <v>213</v>
      </c>
      <c r="KF34" s="33" t="s">
        <v>213</v>
      </c>
      <c r="KG34" s="33" t="s">
        <v>213</v>
      </c>
      <c r="KH34" s="340" t="s">
        <v>213</v>
      </c>
      <c r="KI34" s="342">
        <f t="shared" si="52"/>
        <v>0</v>
      </c>
      <c r="KJ34" s="32" t="s">
        <v>213</v>
      </c>
      <c r="KK34" s="33" t="s">
        <v>213</v>
      </c>
      <c r="KL34" s="33" t="s">
        <v>213</v>
      </c>
      <c r="KM34" s="340" t="s">
        <v>213</v>
      </c>
      <c r="KN34" s="342">
        <f t="shared" si="53"/>
        <v>0</v>
      </c>
      <c r="KO34" s="32" t="s">
        <v>213</v>
      </c>
      <c r="KP34" s="33" t="s">
        <v>213</v>
      </c>
      <c r="KQ34" s="33" t="s">
        <v>213</v>
      </c>
      <c r="KR34" s="340" t="s">
        <v>213</v>
      </c>
      <c r="KS34" s="342">
        <f t="shared" si="54"/>
        <v>0</v>
      </c>
      <c r="KT34" s="32" t="str">
        <f t="shared" si="5"/>
        <v/>
      </c>
      <c r="KU34" s="33" t="str">
        <f t="shared" si="6"/>
        <v/>
      </c>
      <c r="KV34" s="33" t="str">
        <f t="shared" si="7"/>
        <v/>
      </c>
      <c r="KW34" s="340" t="str">
        <f t="shared" si="8"/>
        <v/>
      </c>
      <c r="KX34" s="342">
        <f t="shared" si="9"/>
        <v>0</v>
      </c>
      <c r="KZ34" s="507">
        <f t="shared" si="55"/>
        <v>0</v>
      </c>
    </row>
    <row r="35" spans="1:312" ht="15.75" x14ac:dyDescent="0.25">
      <c r="A35" s="367"/>
      <c r="B35" s="326">
        <v>32</v>
      </c>
      <c r="C35" s="375"/>
      <c r="D35" s="376">
        <v>8.92</v>
      </c>
      <c r="E35" s="377">
        <v>3</v>
      </c>
      <c r="F35" s="378"/>
      <c r="G35" s="379"/>
      <c r="H35" s="332">
        <f t="shared" si="10"/>
        <v>11.92</v>
      </c>
      <c r="I35" s="333">
        <v>5.83</v>
      </c>
      <c r="J35" s="334">
        <v>7.36</v>
      </c>
      <c r="K35" s="334"/>
      <c r="L35" s="335"/>
      <c r="M35" s="300">
        <f>SUM(I35:L35)</f>
        <v>13.190000000000001</v>
      </c>
      <c r="N35" s="333"/>
      <c r="O35" s="334">
        <v>2.33</v>
      </c>
      <c r="P35" s="334"/>
      <c r="Q35" s="335"/>
      <c r="R35" s="300">
        <f t="shared" si="0"/>
        <v>2.33</v>
      </c>
      <c r="S35" s="333">
        <v>7.39</v>
      </c>
      <c r="T35" s="334">
        <v>9.77</v>
      </c>
      <c r="U35" s="334"/>
      <c r="V35" s="335"/>
      <c r="W35" s="300">
        <f t="shared" si="1"/>
        <v>17.16</v>
      </c>
      <c r="X35" s="333">
        <v>7.56</v>
      </c>
      <c r="Y35" s="334">
        <v>7.42</v>
      </c>
      <c r="Z35" s="334"/>
      <c r="AA35" s="335"/>
      <c r="AB35" s="300">
        <f>SUM(X35:AA35)</f>
        <v>14.98</v>
      </c>
      <c r="AC35" s="336">
        <v>12.7</v>
      </c>
      <c r="AD35" s="337">
        <v>6.91</v>
      </c>
      <c r="AE35" s="337"/>
      <c r="AF35" s="338"/>
      <c r="AG35" s="304">
        <f>SUM(AC35:AF35)</f>
        <v>19.61</v>
      </c>
      <c r="AH35" s="336">
        <v>13.41</v>
      </c>
      <c r="AI35" s="337">
        <v>6.8</v>
      </c>
      <c r="AJ35" s="337"/>
      <c r="AK35" s="338"/>
      <c r="AL35" s="339">
        <f>SUM(AH35:AK35)</f>
        <v>20.21</v>
      </c>
      <c r="AM35" s="32">
        <v>5.74</v>
      </c>
      <c r="AN35" s="33">
        <v>3.76</v>
      </c>
      <c r="AO35" s="33">
        <v>2.73</v>
      </c>
      <c r="AP35" s="340"/>
      <c r="AQ35" s="341">
        <f t="shared" si="57"/>
        <v>12.23</v>
      </c>
      <c r="AR35" s="32"/>
      <c r="AS35" s="33"/>
      <c r="AT35" s="33"/>
      <c r="AU35" s="340"/>
      <c r="AV35" s="342">
        <f t="shared" si="58"/>
        <v>0</v>
      </c>
      <c r="AW35" s="32"/>
      <c r="AX35" s="33"/>
      <c r="AY35" s="33"/>
      <c r="AZ35" s="340"/>
      <c r="BA35" s="342">
        <f t="shared" si="59"/>
        <v>0</v>
      </c>
      <c r="BB35" s="32"/>
      <c r="BC35" s="33"/>
      <c r="BD35" s="33"/>
      <c r="BE35" s="340"/>
      <c r="BF35" s="342">
        <f>SUM(BB35:BE35)</f>
        <v>0</v>
      </c>
      <c r="BG35" s="32"/>
      <c r="BH35" s="33"/>
      <c r="BI35" s="33"/>
      <c r="BJ35" s="343"/>
      <c r="BK35" s="342">
        <f t="shared" si="68"/>
        <v>0</v>
      </c>
      <c r="BL35" s="32"/>
      <c r="BM35" s="33"/>
      <c r="BN35" s="33"/>
      <c r="BO35" s="343"/>
      <c r="BP35" s="341">
        <f t="shared" si="61"/>
        <v>0</v>
      </c>
      <c r="BQ35" s="32"/>
      <c r="BR35" s="43"/>
      <c r="BS35" s="43"/>
      <c r="BT35" s="853"/>
      <c r="BU35" s="854">
        <f t="shared" si="14"/>
        <v>0</v>
      </c>
      <c r="BV35" s="855"/>
      <c r="BW35" s="43"/>
      <c r="BX35" s="43"/>
      <c r="BY35" s="853"/>
      <c r="BZ35" s="856">
        <f t="shared" si="15"/>
        <v>0</v>
      </c>
      <c r="CA35" s="857"/>
      <c r="CB35" s="858"/>
      <c r="CC35" s="858"/>
      <c r="CD35" s="859"/>
      <c r="CE35" s="860">
        <f t="shared" si="62"/>
        <v>0</v>
      </c>
      <c r="CF35" s="857"/>
      <c r="CG35" s="858"/>
      <c r="CH35" s="858"/>
      <c r="CI35" s="859"/>
      <c r="CJ35" s="860">
        <f t="shared" si="63"/>
        <v>0</v>
      </c>
      <c r="CK35" s="857"/>
      <c r="CL35" s="858"/>
      <c r="CM35" s="858"/>
      <c r="CN35" s="859"/>
      <c r="CO35" s="860">
        <f t="shared" si="64"/>
        <v>0</v>
      </c>
      <c r="CP35" s="861"/>
      <c r="CQ35" s="411"/>
      <c r="CR35" s="411"/>
      <c r="CS35" s="862"/>
      <c r="CT35" s="863"/>
      <c r="CU35" s="861"/>
      <c r="CV35" s="411"/>
      <c r="CW35" s="411"/>
      <c r="CX35" s="862"/>
      <c r="CY35" s="863"/>
      <c r="CZ35" s="861"/>
      <c r="DA35" s="411"/>
      <c r="DB35" s="411"/>
      <c r="DC35" s="862"/>
      <c r="DD35" s="863"/>
      <c r="DE35" s="861"/>
      <c r="DF35" s="411"/>
      <c r="DG35" s="411"/>
      <c r="DH35" s="862"/>
      <c r="DI35" s="863"/>
      <c r="DJ35" s="861"/>
      <c r="DK35" s="411"/>
      <c r="DL35" s="411"/>
      <c r="DM35" s="862"/>
      <c r="DN35" s="863"/>
      <c r="DO35" s="861"/>
      <c r="DP35" s="411"/>
      <c r="DQ35" s="411"/>
      <c r="DR35" s="862"/>
      <c r="DS35" s="863"/>
      <c r="DT35" s="861"/>
      <c r="DU35" s="411"/>
      <c r="DV35" s="411"/>
      <c r="DW35" s="862"/>
      <c r="DX35" s="863"/>
      <c r="DY35" s="861"/>
      <c r="DZ35" s="411"/>
      <c r="EA35" s="411"/>
      <c r="EB35" s="862"/>
      <c r="EC35" s="863"/>
      <c r="ED35" s="861"/>
      <c r="EE35" s="411"/>
      <c r="EF35" s="411"/>
      <c r="EG35" s="862"/>
      <c r="EH35" s="863"/>
      <c r="EI35" s="861"/>
      <c r="EJ35" s="411"/>
      <c r="EK35" s="411"/>
      <c r="EL35" s="862"/>
      <c r="EM35" s="863"/>
      <c r="EN35" s="861"/>
      <c r="EO35" s="411"/>
      <c r="EP35" s="411"/>
      <c r="EQ35" s="862"/>
      <c r="ER35" s="863"/>
      <c r="ES35" s="861"/>
      <c r="ET35" s="411"/>
      <c r="EU35" s="411"/>
      <c r="EV35" s="862"/>
      <c r="EW35" s="863"/>
      <c r="EX35" s="861"/>
      <c r="EY35" s="411"/>
      <c r="EZ35" s="411"/>
      <c r="FA35" s="862"/>
      <c r="FB35" s="863"/>
      <c r="FC35" s="861"/>
      <c r="FD35" s="411"/>
      <c r="FE35" s="411"/>
      <c r="FF35" s="862"/>
      <c r="FG35" s="863"/>
      <c r="FH35" s="861"/>
      <c r="FI35" s="411"/>
      <c r="FJ35" s="411"/>
      <c r="FK35" s="862"/>
      <c r="FL35" s="863"/>
      <c r="FM35" s="861"/>
      <c r="FN35" s="411"/>
      <c r="FO35" s="411"/>
      <c r="FP35" s="862"/>
      <c r="FQ35" s="863"/>
      <c r="FR35" s="861"/>
      <c r="FS35" s="411"/>
      <c r="FT35" s="411"/>
      <c r="FU35" s="862"/>
      <c r="FV35" s="863"/>
      <c r="FW35" s="861"/>
      <c r="FX35" s="411"/>
      <c r="FY35" s="411"/>
      <c r="FZ35" s="862"/>
      <c r="GA35" s="863"/>
      <c r="GB35" s="861"/>
      <c r="GC35" s="411"/>
      <c r="GD35" s="411"/>
      <c r="GE35" s="862"/>
      <c r="GF35" s="863"/>
      <c r="GG35" s="346"/>
      <c r="GH35" s="347"/>
      <c r="GI35" s="347"/>
      <c r="GJ35" s="348"/>
      <c r="GK35" s="349"/>
      <c r="GL35" s="346"/>
      <c r="GM35" s="347"/>
      <c r="GN35" s="347"/>
      <c r="GO35" s="348"/>
      <c r="GP35" s="349"/>
      <c r="GQ35" s="346"/>
      <c r="GR35" s="347"/>
      <c r="GS35" s="347"/>
      <c r="GT35" s="348"/>
      <c r="GU35" s="349"/>
      <c r="GV35" s="346"/>
      <c r="GW35" s="347"/>
      <c r="GX35" s="347"/>
      <c r="GY35" s="348"/>
      <c r="GZ35" s="349"/>
      <c r="HA35" s="346"/>
      <c r="HB35" s="347"/>
      <c r="HC35" s="347"/>
      <c r="HD35" s="348"/>
      <c r="HE35" s="349"/>
      <c r="HF35" s="346"/>
      <c r="HG35" s="347"/>
      <c r="HH35" s="347"/>
      <c r="HI35" s="348"/>
      <c r="HJ35" s="349"/>
      <c r="HK35" s="346"/>
      <c r="HL35" s="347"/>
      <c r="HM35" s="347"/>
      <c r="HN35" s="348"/>
      <c r="HO35" s="349"/>
      <c r="HP35" s="346"/>
      <c r="HQ35" s="347"/>
      <c r="HR35" s="347"/>
      <c r="HS35" s="348"/>
      <c r="HT35" s="349"/>
      <c r="HU35" s="346"/>
      <c r="HV35" s="347"/>
      <c r="HW35" s="347"/>
      <c r="HX35" s="348"/>
      <c r="HY35" s="349"/>
      <c r="HZ35" s="346"/>
      <c r="IA35" s="347"/>
      <c r="IB35" s="347"/>
      <c r="IC35" s="348"/>
      <c r="ID35" s="349"/>
      <c r="IE35" s="88"/>
      <c r="IF35" s="89"/>
      <c r="IG35" s="89"/>
      <c r="IH35" s="345"/>
      <c r="II35" s="344"/>
      <c r="IJ35" s="88"/>
      <c r="IK35" s="89"/>
      <c r="IL35" s="345"/>
      <c r="IM35" s="340"/>
      <c r="IN35" s="492"/>
      <c r="IO35" s="492"/>
      <c r="IP35" s="507">
        <f t="shared" si="43"/>
        <v>0</v>
      </c>
      <c r="IQ35" s="501"/>
      <c r="IR35" s="353"/>
      <c r="IS35" s="33"/>
      <c r="IT35" s="340"/>
      <c r="IU35" s="342"/>
      <c r="IV35" s="32"/>
      <c r="IW35" s="33"/>
      <c r="IX35" s="33"/>
      <c r="IY35" s="340"/>
      <c r="IZ35" s="342"/>
      <c r="JA35" s="32"/>
      <c r="JB35" s="33"/>
      <c r="JC35" s="33"/>
      <c r="JD35" s="340"/>
      <c r="JE35" s="342"/>
      <c r="JF35" s="32"/>
      <c r="JG35" s="33"/>
      <c r="JH35" s="33"/>
      <c r="JI35" s="340"/>
      <c r="JJ35" s="342"/>
      <c r="JK35" s="32"/>
      <c r="JL35" s="33"/>
      <c r="JM35" s="33"/>
      <c r="JN35" s="340"/>
      <c r="JO35" s="342"/>
      <c r="JP35" s="32"/>
      <c r="JQ35" s="33"/>
      <c r="JR35" s="33"/>
      <c r="JS35" s="340"/>
      <c r="JT35" s="342"/>
      <c r="JU35" s="32"/>
      <c r="JV35" s="33"/>
      <c r="JW35" s="33"/>
      <c r="JX35" s="340"/>
      <c r="JY35" s="342"/>
      <c r="JZ35" s="32"/>
      <c r="KA35" s="33"/>
      <c r="KB35" s="33"/>
      <c r="KC35" s="340"/>
      <c r="KD35" s="342">
        <f t="shared" si="51"/>
        <v>0</v>
      </c>
      <c r="KE35" s="32" t="s">
        <v>213</v>
      </c>
      <c r="KF35" s="33" t="s">
        <v>213</v>
      </c>
      <c r="KG35" s="33" t="s">
        <v>213</v>
      </c>
      <c r="KH35" s="340" t="s">
        <v>213</v>
      </c>
      <c r="KI35" s="342">
        <f t="shared" si="52"/>
        <v>0</v>
      </c>
      <c r="KJ35" s="32" t="s">
        <v>213</v>
      </c>
      <c r="KK35" s="33" t="s">
        <v>213</v>
      </c>
      <c r="KL35" s="33" t="s">
        <v>213</v>
      </c>
      <c r="KM35" s="340" t="s">
        <v>213</v>
      </c>
      <c r="KN35" s="342">
        <f t="shared" si="53"/>
        <v>0</v>
      </c>
      <c r="KO35" s="32" t="s">
        <v>213</v>
      </c>
      <c r="KP35" s="33" t="s">
        <v>213</v>
      </c>
      <c r="KQ35" s="33" t="s">
        <v>213</v>
      </c>
      <c r="KR35" s="340" t="s">
        <v>213</v>
      </c>
      <c r="KS35" s="342">
        <f t="shared" si="54"/>
        <v>0</v>
      </c>
      <c r="KT35" s="32" t="str">
        <f t="shared" si="5"/>
        <v/>
      </c>
      <c r="KU35" s="33" t="str">
        <f t="shared" si="6"/>
        <v/>
      </c>
      <c r="KV35" s="33" t="str">
        <f t="shared" si="7"/>
        <v/>
      </c>
      <c r="KW35" s="340" t="str">
        <f t="shared" si="8"/>
        <v/>
      </c>
      <c r="KX35" s="342">
        <f t="shared" si="9"/>
        <v>0</v>
      </c>
      <c r="KZ35" s="507">
        <f t="shared" si="55"/>
        <v>0</v>
      </c>
    </row>
    <row r="36" spans="1:312" ht="16.5" thickBot="1" x14ac:dyDescent="0.3">
      <c r="A36" s="367"/>
      <c r="B36" s="380"/>
      <c r="C36" s="369"/>
      <c r="D36" s="376"/>
      <c r="E36" s="377"/>
      <c r="F36" s="378"/>
      <c r="G36" s="379"/>
      <c r="H36" s="381"/>
      <c r="I36" s="382"/>
      <c r="J36" s="221"/>
      <c r="K36" s="221"/>
      <c r="L36" s="383"/>
      <c r="M36" s="384"/>
      <c r="N36" s="382"/>
      <c r="O36" s="221"/>
      <c r="P36" s="221"/>
      <c r="Q36" s="383"/>
      <c r="R36" s="300"/>
      <c r="S36" s="382"/>
      <c r="T36" s="221"/>
      <c r="U36" s="221"/>
      <c r="V36" s="383"/>
      <c r="W36" s="300"/>
      <c r="X36" s="382"/>
      <c r="Y36" s="221"/>
      <c r="Z36" s="221"/>
      <c r="AA36" s="383"/>
      <c r="AB36" s="300"/>
      <c r="AC36" s="385"/>
      <c r="AD36" s="386"/>
      <c r="AE36" s="386"/>
      <c r="AF36" s="387"/>
      <c r="AG36" s="304"/>
      <c r="AH36" s="385"/>
      <c r="AI36" s="386"/>
      <c r="AJ36" s="386"/>
      <c r="AK36" s="387"/>
      <c r="AL36" s="388"/>
      <c r="AM36" s="389"/>
      <c r="AN36" s="390"/>
      <c r="AO36" s="390"/>
      <c r="AP36" s="309"/>
      <c r="AQ36" s="391"/>
      <c r="AR36" s="389"/>
      <c r="AS36" s="390"/>
      <c r="AT36" s="390"/>
      <c r="AU36" s="392"/>
      <c r="AV36" s="342"/>
      <c r="AW36" s="389"/>
      <c r="AX36" s="390"/>
      <c r="AY36" s="390"/>
      <c r="AZ36" s="392"/>
      <c r="BA36" s="342"/>
      <c r="BB36" s="389"/>
      <c r="BC36" s="390"/>
      <c r="BD36" s="390"/>
      <c r="BE36" s="392"/>
      <c r="BF36" s="342"/>
      <c r="BG36" s="32"/>
      <c r="BH36" s="33"/>
      <c r="BI36" s="33"/>
      <c r="BJ36" s="343"/>
      <c r="BK36" s="342">
        <f t="shared" si="68"/>
        <v>0</v>
      </c>
      <c r="BL36" s="32"/>
      <c r="BM36" s="33"/>
      <c r="BN36" s="33"/>
      <c r="BO36" s="343"/>
      <c r="BP36" s="341">
        <f t="shared" si="61"/>
        <v>0</v>
      </c>
      <c r="BQ36" s="32"/>
      <c r="BR36" s="43"/>
      <c r="BS36" s="43"/>
      <c r="BT36" s="853"/>
      <c r="BU36" s="854">
        <f t="shared" si="14"/>
        <v>0</v>
      </c>
      <c r="BV36" s="855"/>
      <c r="BW36" s="43"/>
      <c r="BX36" s="43"/>
      <c r="BY36" s="853"/>
      <c r="BZ36" s="856">
        <f t="shared" si="15"/>
        <v>0</v>
      </c>
      <c r="CA36" s="857"/>
      <c r="CB36" s="858"/>
      <c r="CC36" s="858"/>
      <c r="CD36" s="859"/>
      <c r="CE36" s="860">
        <f t="shared" si="62"/>
        <v>0</v>
      </c>
      <c r="CF36" s="857"/>
      <c r="CG36" s="858"/>
      <c r="CH36" s="858"/>
      <c r="CI36" s="859"/>
      <c r="CJ36" s="860">
        <f t="shared" si="63"/>
        <v>0</v>
      </c>
      <c r="CK36" s="857"/>
      <c r="CL36" s="858"/>
      <c r="CM36" s="858"/>
      <c r="CN36" s="859"/>
      <c r="CO36" s="860">
        <f t="shared" si="64"/>
        <v>0</v>
      </c>
      <c r="CP36" s="861"/>
      <c r="CQ36" s="411"/>
      <c r="CR36" s="411"/>
      <c r="CS36" s="862"/>
      <c r="CT36" s="863"/>
      <c r="CU36" s="861"/>
      <c r="CV36" s="411"/>
      <c r="CW36" s="411"/>
      <c r="CX36" s="862"/>
      <c r="CY36" s="863"/>
      <c r="CZ36" s="861"/>
      <c r="DA36" s="411"/>
      <c r="DB36" s="411"/>
      <c r="DC36" s="862"/>
      <c r="DD36" s="863"/>
      <c r="DE36" s="861"/>
      <c r="DF36" s="411"/>
      <c r="DG36" s="411"/>
      <c r="DH36" s="862"/>
      <c r="DI36" s="863"/>
      <c r="DJ36" s="861"/>
      <c r="DK36" s="411"/>
      <c r="DL36" s="411"/>
      <c r="DM36" s="862"/>
      <c r="DN36" s="863"/>
      <c r="DO36" s="861"/>
      <c r="DP36" s="411"/>
      <c r="DQ36" s="411"/>
      <c r="DR36" s="862"/>
      <c r="DS36" s="863"/>
      <c r="DT36" s="861"/>
      <c r="DU36" s="411"/>
      <c r="DV36" s="411"/>
      <c r="DW36" s="862"/>
      <c r="DX36" s="863"/>
      <c r="DY36" s="861"/>
      <c r="DZ36" s="411"/>
      <c r="EA36" s="411"/>
      <c r="EB36" s="862"/>
      <c r="EC36" s="863"/>
      <c r="ED36" s="861"/>
      <c r="EE36" s="411"/>
      <c r="EF36" s="411"/>
      <c r="EG36" s="862"/>
      <c r="EH36" s="863"/>
      <c r="EI36" s="861"/>
      <c r="EJ36" s="411"/>
      <c r="EK36" s="411"/>
      <c r="EL36" s="862"/>
      <c r="EM36" s="863"/>
      <c r="EN36" s="861"/>
      <c r="EO36" s="411"/>
      <c r="EP36" s="411"/>
      <c r="EQ36" s="862"/>
      <c r="ER36" s="863"/>
      <c r="ES36" s="861"/>
      <c r="ET36" s="411"/>
      <c r="EU36" s="411"/>
      <c r="EV36" s="862"/>
      <c r="EW36" s="863"/>
      <c r="EX36" s="861"/>
      <c r="EY36" s="411"/>
      <c r="EZ36" s="411"/>
      <c r="FA36" s="862"/>
      <c r="FB36" s="863"/>
      <c r="FC36" s="861"/>
      <c r="FD36" s="411"/>
      <c r="FE36" s="411"/>
      <c r="FF36" s="862"/>
      <c r="FG36" s="863"/>
      <c r="FH36" s="861"/>
      <c r="FI36" s="411"/>
      <c r="FJ36" s="411"/>
      <c r="FK36" s="862"/>
      <c r="FL36" s="863"/>
      <c r="FM36" s="861"/>
      <c r="FN36" s="411"/>
      <c r="FO36" s="411"/>
      <c r="FP36" s="862"/>
      <c r="FQ36" s="863"/>
      <c r="FR36" s="861"/>
      <c r="FS36" s="411"/>
      <c r="FT36" s="411"/>
      <c r="FU36" s="862"/>
      <c r="FV36" s="863"/>
      <c r="FW36" s="861"/>
      <c r="FX36" s="411"/>
      <c r="FY36" s="411"/>
      <c r="FZ36" s="862"/>
      <c r="GA36" s="863"/>
      <c r="GB36" s="861"/>
      <c r="GC36" s="411"/>
      <c r="GD36" s="411"/>
      <c r="GE36" s="862"/>
      <c r="GF36" s="863"/>
      <c r="GG36" s="346"/>
      <c r="GH36" s="347"/>
      <c r="GI36" s="347"/>
      <c r="GJ36" s="348"/>
      <c r="GK36" s="349"/>
      <c r="GL36" s="346"/>
      <c r="GM36" s="347"/>
      <c r="GN36" s="347"/>
      <c r="GO36" s="348"/>
      <c r="GP36" s="349"/>
      <c r="GQ36" s="346"/>
      <c r="GR36" s="347"/>
      <c r="GS36" s="347"/>
      <c r="GT36" s="348"/>
      <c r="GU36" s="349"/>
      <c r="GV36" s="346"/>
      <c r="GW36" s="347"/>
      <c r="GX36" s="347"/>
      <c r="GY36" s="348"/>
      <c r="GZ36" s="349"/>
      <c r="HA36" s="346"/>
      <c r="HB36" s="347"/>
      <c r="HC36" s="347"/>
      <c r="HD36" s="348"/>
      <c r="HE36" s="349"/>
      <c r="HF36" s="346"/>
      <c r="HG36" s="347"/>
      <c r="HH36" s="347"/>
      <c r="HI36" s="348"/>
      <c r="HJ36" s="349"/>
      <c r="HK36" s="346"/>
      <c r="HL36" s="347"/>
      <c r="HM36" s="347"/>
      <c r="HN36" s="348"/>
      <c r="HO36" s="349"/>
      <c r="HP36" s="346"/>
      <c r="HQ36" s="347"/>
      <c r="HR36" s="347"/>
      <c r="HS36" s="348"/>
      <c r="HT36" s="349"/>
      <c r="HU36" s="346"/>
      <c r="HV36" s="347"/>
      <c r="HW36" s="347"/>
      <c r="HX36" s="348"/>
      <c r="HY36" s="349"/>
      <c r="HZ36" s="346"/>
      <c r="IA36" s="347"/>
      <c r="IB36" s="347"/>
      <c r="IC36" s="348"/>
      <c r="ID36" s="349"/>
      <c r="IE36" s="88"/>
      <c r="IF36" s="89"/>
      <c r="IG36" s="89"/>
      <c r="IH36" s="345"/>
      <c r="II36" s="344"/>
      <c r="IJ36" s="88"/>
      <c r="IK36" s="89"/>
      <c r="IL36" s="345"/>
      <c r="IM36" s="340"/>
      <c r="IN36" s="492"/>
      <c r="IO36" s="492"/>
      <c r="IP36" s="507">
        <f t="shared" si="43"/>
        <v>0</v>
      </c>
      <c r="IQ36" s="501"/>
      <c r="IR36" s="353"/>
      <c r="IS36" s="33"/>
      <c r="IT36" s="340"/>
      <c r="IU36" s="342"/>
      <c r="IV36" s="32"/>
      <c r="IW36" s="33"/>
      <c r="IX36" s="33"/>
      <c r="IY36" s="340"/>
      <c r="IZ36" s="342"/>
      <c r="JA36" s="32"/>
      <c r="JB36" s="33"/>
      <c r="JC36" s="33"/>
      <c r="JD36" s="340"/>
      <c r="JE36" s="342"/>
      <c r="JF36" s="32"/>
      <c r="JG36" s="33"/>
      <c r="JH36" s="33"/>
      <c r="JI36" s="340"/>
      <c r="JJ36" s="342"/>
      <c r="JK36" s="32"/>
      <c r="JL36" s="33"/>
      <c r="JM36" s="33"/>
      <c r="JN36" s="340"/>
      <c r="JO36" s="342"/>
      <c r="JP36" s="32"/>
      <c r="JQ36" s="33"/>
      <c r="JR36" s="33"/>
      <c r="JS36" s="340"/>
      <c r="JT36" s="342"/>
      <c r="JU36" s="32"/>
      <c r="JV36" s="33"/>
      <c r="JW36" s="33"/>
      <c r="JX36" s="340"/>
      <c r="JY36" s="342"/>
      <c r="JZ36" s="32"/>
      <c r="KA36" s="33"/>
      <c r="KB36" s="33"/>
      <c r="KC36" s="340"/>
      <c r="KD36" s="342">
        <f t="shared" si="51"/>
        <v>0</v>
      </c>
      <c r="KE36" s="32" t="s">
        <v>213</v>
      </c>
      <c r="KF36" s="33" t="s">
        <v>213</v>
      </c>
      <c r="KG36" s="33" t="s">
        <v>213</v>
      </c>
      <c r="KH36" s="340" t="s">
        <v>213</v>
      </c>
      <c r="KI36" s="342">
        <f t="shared" si="52"/>
        <v>0</v>
      </c>
      <c r="KJ36" s="32" t="s">
        <v>213</v>
      </c>
      <c r="KK36" s="33" t="s">
        <v>213</v>
      </c>
      <c r="KL36" s="33" t="s">
        <v>213</v>
      </c>
      <c r="KM36" s="340" t="s">
        <v>213</v>
      </c>
      <c r="KN36" s="342">
        <f t="shared" si="53"/>
        <v>0</v>
      </c>
      <c r="KO36" s="32" t="s">
        <v>213</v>
      </c>
      <c r="KP36" s="33" t="s">
        <v>213</v>
      </c>
      <c r="KQ36" s="33" t="s">
        <v>213</v>
      </c>
      <c r="KR36" s="340" t="s">
        <v>213</v>
      </c>
      <c r="KS36" s="342">
        <f t="shared" si="54"/>
        <v>0</v>
      </c>
      <c r="KT36" s="32" t="str">
        <f t="shared" si="5"/>
        <v/>
      </c>
      <c r="KU36" s="33" t="str">
        <f t="shared" si="6"/>
        <v/>
      </c>
      <c r="KV36" s="33" t="str">
        <f t="shared" si="7"/>
        <v/>
      </c>
      <c r="KW36" s="340" t="str">
        <f t="shared" si="8"/>
        <v/>
      </c>
      <c r="KX36" s="342">
        <f t="shared" si="9"/>
        <v>0</v>
      </c>
      <c r="KZ36" s="507">
        <f t="shared" si="55"/>
        <v>0</v>
      </c>
    </row>
    <row r="37" spans="1:312" ht="16.5" thickBot="1" x14ac:dyDescent="0.3">
      <c r="A37" s="366" t="s">
        <v>163</v>
      </c>
      <c r="B37" s="393">
        <v>105</v>
      </c>
      <c r="C37" s="369">
        <v>50</v>
      </c>
      <c r="D37" s="376">
        <v>3.78</v>
      </c>
      <c r="E37" s="377"/>
      <c r="F37" s="378"/>
      <c r="G37" s="379"/>
      <c r="H37" s="381">
        <f t="shared" si="10"/>
        <v>3.78</v>
      </c>
      <c r="I37" s="394">
        <v>3.76</v>
      </c>
      <c r="J37" s="221"/>
      <c r="K37" s="221"/>
      <c r="L37" s="383"/>
      <c r="M37" s="384">
        <f t="shared" si="11"/>
        <v>3.76</v>
      </c>
      <c r="N37" s="394"/>
      <c r="O37" s="221"/>
      <c r="P37" s="221"/>
      <c r="Q37" s="383"/>
      <c r="R37" s="300">
        <f t="shared" si="0"/>
        <v>0</v>
      </c>
      <c r="S37" s="394">
        <v>8.2100000000000009</v>
      </c>
      <c r="T37" s="221">
        <v>2.0499999999999998</v>
      </c>
      <c r="U37" s="221"/>
      <c r="V37" s="383"/>
      <c r="W37" s="300">
        <f t="shared" si="1"/>
        <v>10.260000000000002</v>
      </c>
      <c r="X37" s="394">
        <v>3.61</v>
      </c>
      <c r="Y37" s="221">
        <v>2.2999999999999998</v>
      </c>
      <c r="Z37" s="221"/>
      <c r="AA37" s="383"/>
      <c r="AB37" s="300">
        <f t="shared" si="12"/>
        <v>5.91</v>
      </c>
      <c r="AC37" s="395">
        <v>4.21</v>
      </c>
      <c r="AD37" s="386">
        <v>5.2</v>
      </c>
      <c r="AE37" s="386"/>
      <c r="AF37" s="387"/>
      <c r="AG37" s="304">
        <f>SUM(AC37:AF37)</f>
        <v>9.41</v>
      </c>
      <c r="AH37" s="395">
        <v>7.56</v>
      </c>
      <c r="AI37" s="386">
        <v>3.86</v>
      </c>
      <c r="AJ37" s="386"/>
      <c r="AK37" s="387"/>
      <c r="AL37" s="396">
        <f>SUM(AH37:AK37)</f>
        <v>11.42</v>
      </c>
      <c r="AM37" s="389">
        <v>5.88</v>
      </c>
      <c r="AN37" s="390"/>
      <c r="AO37" s="390"/>
      <c r="AP37" s="309"/>
      <c r="AQ37" s="391">
        <f t="shared" si="57"/>
        <v>5.88</v>
      </c>
      <c r="AR37" s="389">
        <v>5.88</v>
      </c>
      <c r="AS37" s="390">
        <v>4.7</v>
      </c>
      <c r="AT37" s="390"/>
      <c r="AU37" s="392"/>
      <c r="AV37" s="342">
        <f t="shared" si="58"/>
        <v>10.58</v>
      </c>
      <c r="AW37" s="389">
        <v>4.13</v>
      </c>
      <c r="AX37" s="390">
        <v>3.83</v>
      </c>
      <c r="AY37" s="390"/>
      <c r="AZ37" s="392"/>
      <c r="BA37" s="342">
        <f t="shared" si="59"/>
        <v>7.96</v>
      </c>
      <c r="BB37" s="389">
        <v>4.49</v>
      </c>
      <c r="BC37" s="390">
        <v>6.15</v>
      </c>
      <c r="BD37" s="390"/>
      <c r="BE37" s="392"/>
      <c r="BF37" s="342">
        <f>SUM(BB37:BE37)</f>
        <v>10.64</v>
      </c>
      <c r="BG37" s="32"/>
      <c r="BH37" s="33"/>
      <c r="BI37" s="33"/>
      <c r="BJ37" s="343"/>
      <c r="BK37" s="342">
        <f t="shared" si="68"/>
        <v>0</v>
      </c>
      <c r="BL37" s="32"/>
      <c r="BM37" s="33"/>
      <c r="BN37" s="33"/>
      <c r="BO37" s="343"/>
      <c r="BP37" s="341">
        <f t="shared" si="61"/>
        <v>0</v>
      </c>
      <c r="BQ37" s="32"/>
      <c r="BR37" s="43"/>
      <c r="BS37" s="43"/>
      <c r="BT37" s="853"/>
      <c r="BU37" s="854">
        <f t="shared" si="14"/>
        <v>0</v>
      </c>
      <c r="BV37" s="855"/>
      <c r="BW37" s="43"/>
      <c r="BX37" s="43"/>
      <c r="BY37" s="853"/>
      <c r="BZ37" s="856">
        <f t="shared" si="15"/>
        <v>0</v>
      </c>
      <c r="CA37" s="857"/>
      <c r="CB37" s="858"/>
      <c r="CC37" s="858"/>
      <c r="CD37" s="859"/>
      <c r="CE37" s="860">
        <f t="shared" si="62"/>
        <v>0</v>
      </c>
      <c r="CF37" s="857"/>
      <c r="CG37" s="858"/>
      <c r="CH37" s="858"/>
      <c r="CI37" s="859"/>
      <c r="CJ37" s="860">
        <f t="shared" si="63"/>
        <v>0</v>
      </c>
      <c r="CK37" s="857"/>
      <c r="CL37" s="858"/>
      <c r="CM37" s="858"/>
      <c r="CN37" s="859"/>
      <c r="CO37" s="860">
        <f t="shared" si="64"/>
        <v>0</v>
      </c>
      <c r="CP37" s="861"/>
      <c r="CQ37" s="411"/>
      <c r="CR37" s="411"/>
      <c r="CS37" s="862"/>
      <c r="CT37" s="863"/>
      <c r="CU37" s="861"/>
      <c r="CV37" s="411"/>
      <c r="CW37" s="411"/>
      <c r="CX37" s="862"/>
      <c r="CY37" s="863">
        <v>0</v>
      </c>
      <c r="CZ37" s="861"/>
      <c r="DA37" s="411"/>
      <c r="DB37" s="411"/>
      <c r="DC37" s="862"/>
      <c r="DD37" s="863">
        <v>0</v>
      </c>
      <c r="DE37" s="861">
        <v>3.05</v>
      </c>
      <c r="DF37" s="411"/>
      <c r="DG37" s="411"/>
      <c r="DH37" s="862"/>
      <c r="DI37" s="863">
        <f>SUM(DE37:DH37)</f>
        <v>3.05</v>
      </c>
      <c r="DJ37" s="861"/>
      <c r="DK37" s="411"/>
      <c r="DL37" s="411"/>
      <c r="DM37" s="862"/>
      <c r="DN37" s="863">
        <f>SUM(DJ37:DM37)</f>
        <v>0</v>
      </c>
      <c r="DO37" s="861"/>
      <c r="DP37" s="411"/>
      <c r="DQ37" s="411"/>
      <c r="DR37" s="862"/>
      <c r="DS37" s="863">
        <f>SUM(DO37:DR37)</f>
        <v>0</v>
      </c>
      <c r="DT37" s="861"/>
      <c r="DU37" s="411"/>
      <c r="DV37" s="411"/>
      <c r="DW37" s="862"/>
      <c r="DX37" s="863">
        <f>SUM(DT37:DW37)</f>
        <v>0</v>
      </c>
      <c r="DY37" s="861"/>
      <c r="DZ37" s="411"/>
      <c r="EA37" s="411"/>
      <c r="EB37" s="862"/>
      <c r="EC37" s="863">
        <f>SUM(DY37:EB37)</f>
        <v>0</v>
      </c>
      <c r="ED37" s="861"/>
      <c r="EE37" s="411"/>
      <c r="EF37" s="411"/>
      <c r="EG37" s="862"/>
      <c r="EH37" s="863">
        <f>SUM(ED37:EG37)</f>
        <v>0</v>
      </c>
      <c r="EI37" s="861"/>
      <c r="EJ37" s="411"/>
      <c r="EK37" s="411"/>
      <c r="EL37" s="862"/>
      <c r="EM37" s="863">
        <f>SUM(EI37:EL37)</f>
        <v>0</v>
      </c>
      <c r="EN37" s="861"/>
      <c r="EO37" s="411"/>
      <c r="EP37" s="411"/>
      <c r="EQ37" s="862"/>
      <c r="ER37" s="863">
        <f>SUM(EN37:EQ37)</f>
        <v>0</v>
      </c>
      <c r="ES37" s="861"/>
      <c r="ET37" s="411"/>
      <c r="EU37" s="411"/>
      <c r="EV37" s="862"/>
      <c r="EW37" s="863">
        <f>SUM(ES37:EV37)</f>
        <v>0</v>
      </c>
      <c r="EX37" s="861"/>
      <c r="EY37" s="411"/>
      <c r="EZ37" s="411"/>
      <c r="FA37" s="862"/>
      <c r="FB37" s="863">
        <f>SUM(EX37:FA37)</f>
        <v>0</v>
      </c>
      <c r="FC37" s="861"/>
      <c r="FD37" s="411"/>
      <c r="FE37" s="411"/>
      <c r="FF37" s="862"/>
      <c r="FG37" s="863">
        <f>SUM(FC37:FF37)</f>
        <v>0</v>
      </c>
      <c r="FH37" s="861"/>
      <c r="FI37" s="411"/>
      <c r="FJ37" s="411"/>
      <c r="FK37" s="862"/>
      <c r="FL37" s="863">
        <f>SUM(FH37:FK37)</f>
        <v>0</v>
      </c>
      <c r="FM37" s="861"/>
      <c r="FN37" s="411"/>
      <c r="FO37" s="411"/>
      <c r="FP37" s="862"/>
      <c r="FQ37" s="863">
        <f>SUM(FM37:FP37)</f>
        <v>0</v>
      </c>
      <c r="FR37" s="861"/>
      <c r="FS37" s="411"/>
      <c r="FT37" s="411"/>
      <c r="FU37" s="862"/>
      <c r="FV37" s="863">
        <f>SUM(FR37:FU37)</f>
        <v>0</v>
      </c>
      <c r="FW37" s="861"/>
      <c r="FX37" s="411"/>
      <c r="FY37" s="411"/>
      <c r="FZ37" s="862"/>
      <c r="GA37" s="863">
        <f>SUM(FW37:FZ37)</f>
        <v>0</v>
      </c>
      <c r="GB37" s="861"/>
      <c r="GC37" s="411"/>
      <c r="GD37" s="411"/>
      <c r="GE37" s="862"/>
      <c r="GF37" s="863">
        <f>SUM(GB37:GE37)</f>
        <v>0</v>
      </c>
      <c r="GG37" s="397"/>
      <c r="GH37" s="398"/>
      <c r="GI37" s="398"/>
      <c r="GJ37" s="399"/>
      <c r="GK37" s="349">
        <f>SUM(GG37:GJ37)</f>
        <v>0</v>
      </c>
      <c r="GL37" s="397"/>
      <c r="GM37" s="398"/>
      <c r="GN37" s="398"/>
      <c r="GO37" s="399"/>
      <c r="GP37" s="349">
        <f>SUM(GL37:GO37)</f>
        <v>0</v>
      </c>
      <c r="GQ37" s="346">
        <v>0.15</v>
      </c>
      <c r="GR37" s="354"/>
      <c r="GS37" s="347"/>
      <c r="GT37" s="348"/>
      <c r="GU37" s="349">
        <f>SUM(GQ37:GT37)</f>
        <v>0.15</v>
      </c>
      <c r="GV37" s="346"/>
      <c r="GW37" s="347"/>
      <c r="GX37" s="347"/>
      <c r="GY37" s="348"/>
      <c r="GZ37" s="349">
        <f>SUM(GV37:GY37)</f>
        <v>0</v>
      </c>
      <c r="HA37" s="346"/>
      <c r="HB37" s="347"/>
      <c r="HC37" s="347"/>
      <c r="HD37" s="348"/>
      <c r="HE37" s="349">
        <f>SUM(HA37:HD37)</f>
        <v>0</v>
      </c>
      <c r="HF37" s="346"/>
      <c r="HG37" s="347"/>
      <c r="HH37" s="347"/>
      <c r="HI37" s="348"/>
      <c r="HJ37" s="349">
        <f>SUM(HF37:HI37)</f>
        <v>0</v>
      </c>
      <c r="HK37" s="346"/>
      <c r="HL37" s="347"/>
      <c r="HM37" s="347"/>
      <c r="HN37" s="348"/>
      <c r="HO37" s="349">
        <f>SUM(HK37:HN37)</f>
        <v>0</v>
      </c>
      <c r="HP37" s="346"/>
      <c r="HQ37" s="347"/>
      <c r="HR37" s="347"/>
      <c r="HS37" s="348"/>
      <c r="HT37" s="349">
        <f>SUM(HP37:HS37)</f>
        <v>0</v>
      </c>
      <c r="HU37" s="346"/>
      <c r="HV37" s="347"/>
      <c r="HW37" s="347"/>
      <c r="HX37" s="348"/>
      <c r="HY37" s="349">
        <f>SUM(HU37:HX37)</f>
        <v>0</v>
      </c>
      <c r="HZ37" s="346"/>
      <c r="IA37" s="347"/>
      <c r="IB37" s="347"/>
      <c r="IC37" s="348"/>
      <c r="ID37" s="349">
        <f>SUM(HZ37:IC37)</f>
        <v>0</v>
      </c>
      <c r="IE37" s="88"/>
      <c r="IF37" s="89"/>
      <c r="IG37" s="89"/>
      <c r="IH37" s="345"/>
      <c r="II37" s="344">
        <f>SUM(IE37:IH37)</f>
        <v>0</v>
      </c>
      <c r="IJ37" s="88"/>
      <c r="IK37" s="89"/>
      <c r="IL37" s="345"/>
      <c r="IM37" s="340"/>
      <c r="IN37" s="492">
        <f>SUM(IJ37:IM37)</f>
        <v>0</v>
      </c>
      <c r="IO37" s="492"/>
      <c r="IP37" s="507">
        <f t="shared" si="43"/>
        <v>0.15</v>
      </c>
      <c r="IQ37" s="501"/>
      <c r="IR37" s="353"/>
      <c r="IS37" s="33"/>
      <c r="IT37" s="340"/>
      <c r="IU37" s="342">
        <f>SUM(IQ37:IT37)</f>
        <v>0</v>
      </c>
      <c r="IV37" s="32"/>
      <c r="IW37" s="33"/>
      <c r="IX37" s="33"/>
      <c r="IY37" s="340"/>
      <c r="IZ37" s="342">
        <f>SUM(IV37:IY37)</f>
        <v>0</v>
      </c>
      <c r="JA37" s="32"/>
      <c r="JB37" s="33"/>
      <c r="JC37" s="33"/>
      <c r="JD37" s="340"/>
      <c r="JE37" s="342">
        <f>SUM(JA37:JD37)</f>
        <v>0</v>
      </c>
      <c r="JF37" s="32"/>
      <c r="JG37" s="33"/>
      <c r="JH37" s="33"/>
      <c r="JI37" s="340"/>
      <c r="JJ37" s="342">
        <f>SUM(JF37:JI37)</f>
        <v>0</v>
      </c>
      <c r="JK37" s="32"/>
      <c r="JL37" s="33"/>
      <c r="JM37" s="33"/>
      <c r="JN37" s="340"/>
      <c r="JO37" s="342">
        <f>SUM(JK37:JN37)</f>
        <v>0</v>
      </c>
      <c r="JP37" s="32"/>
      <c r="JQ37" s="33"/>
      <c r="JR37" s="33"/>
      <c r="JS37" s="340"/>
      <c r="JT37" s="342">
        <f>SUM(JP37:JS37)</f>
        <v>0</v>
      </c>
      <c r="JU37" s="32"/>
      <c r="JV37" s="33"/>
      <c r="JW37" s="33"/>
      <c r="JX37" s="340"/>
      <c r="JY37" s="342">
        <f>SUM(JU37:JX37)</f>
        <v>0</v>
      </c>
      <c r="JZ37" s="32"/>
      <c r="KA37" s="33"/>
      <c r="KB37" s="33"/>
      <c r="KC37" s="340"/>
      <c r="KD37" s="342">
        <f t="shared" si="51"/>
        <v>0</v>
      </c>
      <c r="KE37" s="32" t="s">
        <v>213</v>
      </c>
      <c r="KF37" s="33" t="s">
        <v>213</v>
      </c>
      <c r="KG37" s="33" t="s">
        <v>213</v>
      </c>
      <c r="KH37" s="340" t="s">
        <v>213</v>
      </c>
      <c r="KI37" s="342">
        <f t="shared" si="52"/>
        <v>0</v>
      </c>
      <c r="KJ37" s="32" t="s">
        <v>213</v>
      </c>
      <c r="KK37" s="33" t="s">
        <v>213</v>
      </c>
      <c r="KL37" s="33" t="s">
        <v>213</v>
      </c>
      <c r="KM37" s="340" t="s">
        <v>213</v>
      </c>
      <c r="KN37" s="342">
        <f t="shared" si="53"/>
        <v>0</v>
      </c>
      <c r="KO37" s="32" t="s">
        <v>213</v>
      </c>
      <c r="KP37" s="33" t="s">
        <v>213</v>
      </c>
      <c r="KQ37" s="33" t="s">
        <v>213</v>
      </c>
      <c r="KR37" s="340" t="s">
        <v>213</v>
      </c>
      <c r="KS37" s="342">
        <f t="shared" si="54"/>
        <v>0</v>
      </c>
      <c r="KT37" s="32" t="str">
        <f t="shared" si="5"/>
        <v/>
      </c>
      <c r="KU37" s="33" t="str">
        <f t="shared" si="6"/>
        <v/>
      </c>
      <c r="KV37" s="33" t="str">
        <f t="shared" si="7"/>
        <v/>
      </c>
      <c r="KW37" s="340" t="str">
        <f t="shared" si="8"/>
        <v/>
      </c>
      <c r="KX37" s="342">
        <f t="shared" si="9"/>
        <v>0</v>
      </c>
      <c r="KZ37" s="507">
        <f t="shared" si="55"/>
        <v>0</v>
      </c>
    </row>
    <row r="38" spans="1:312" ht="16.5" thickBot="1" x14ac:dyDescent="0.3">
      <c r="A38" s="400" t="s">
        <v>164</v>
      </c>
      <c r="B38" s="360">
        <v>114</v>
      </c>
      <c r="C38" s="361">
        <v>46</v>
      </c>
      <c r="D38" s="370"/>
      <c r="E38" s="371"/>
      <c r="F38" s="372"/>
      <c r="G38" s="373"/>
      <c r="H38" s="401"/>
      <c r="I38" s="402"/>
      <c r="J38" s="222"/>
      <c r="K38" s="222"/>
      <c r="L38" s="403"/>
      <c r="M38" s="384"/>
      <c r="N38" s="402"/>
      <c r="O38" s="222"/>
      <c r="P38" s="222"/>
      <c r="Q38" s="403"/>
      <c r="R38" s="300"/>
      <c r="S38" s="402"/>
      <c r="T38" s="222"/>
      <c r="U38" s="222"/>
      <c r="V38" s="403"/>
      <c r="W38" s="300"/>
      <c r="X38" s="402"/>
      <c r="Y38" s="222"/>
      <c r="Z38" s="222"/>
      <c r="AA38" s="403"/>
      <c r="AB38" s="300"/>
      <c r="AC38" s="404"/>
      <c r="AD38" s="405"/>
      <c r="AE38" s="405"/>
      <c r="AF38" s="406"/>
      <c r="AG38" s="407"/>
      <c r="AH38" s="395"/>
      <c r="AI38" s="386"/>
      <c r="AJ38" s="386"/>
      <c r="AK38" s="408"/>
      <c r="AL38" s="396"/>
      <c r="AM38" s="389"/>
      <c r="AN38" s="390"/>
      <c r="AO38" s="390"/>
      <c r="AP38" s="309"/>
      <c r="AQ38" s="391"/>
      <c r="AR38" s="389"/>
      <c r="AS38" s="390"/>
      <c r="AT38" s="390"/>
      <c r="AU38" s="392"/>
      <c r="AV38" s="409"/>
      <c r="AW38" s="389"/>
      <c r="AX38" s="390"/>
      <c r="AY38" s="390"/>
      <c r="AZ38" s="392"/>
      <c r="BA38" s="409"/>
      <c r="BB38" s="389"/>
      <c r="BC38" s="390"/>
      <c r="BD38" s="390"/>
      <c r="BE38" s="392"/>
      <c r="BF38" s="409"/>
      <c r="BG38" s="32"/>
      <c r="BH38" s="33"/>
      <c r="BI38" s="33"/>
      <c r="BJ38" s="343"/>
      <c r="BK38" s="342"/>
      <c r="BL38" s="32"/>
      <c r="BM38" s="33"/>
      <c r="BN38" s="33"/>
      <c r="BO38" s="343"/>
      <c r="BP38" s="341"/>
      <c r="BQ38" s="32"/>
      <c r="BR38" s="43"/>
      <c r="BS38" s="43"/>
      <c r="BT38" s="853"/>
      <c r="BU38" s="854"/>
      <c r="BV38" s="855"/>
      <c r="BW38" s="43"/>
      <c r="BX38" s="43"/>
      <c r="BY38" s="853"/>
      <c r="BZ38" s="856"/>
      <c r="CA38" s="857"/>
      <c r="CB38" s="858"/>
      <c r="CC38" s="858"/>
      <c r="CD38" s="859"/>
      <c r="CE38" s="860"/>
      <c r="CF38" s="857"/>
      <c r="CG38" s="858"/>
      <c r="CH38" s="858"/>
      <c r="CI38" s="859"/>
      <c r="CJ38" s="860"/>
      <c r="CK38" s="857"/>
      <c r="CL38" s="858"/>
      <c r="CM38" s="858"/>
      <c r="CN38" s="859"/>
      <c r="CO38" s="860"/>
      <c r="CP38" s="861"/>
      <c r="CQ38" s="411"/>
      <c r="CR38" s="411"/>
      <c r="CS38" s="862"/>
      <c r="CT38" s="863"/>
      <c r="CU38" s="861"/>
      <c r="CV38" s="411"/>
      <c r="CW38" s="411"/>
      <c r="CX38" s="862"/>
      <c r="CY38" s="863"/>
      <c r="CZ38" s="861"/>
      <c r="DA38" s="411"/>
      <c r="DB38" s="411"/>
      <c r="DC38" s="862"/>
      <c r="DD38" s="863"/>
      <c r="DE38" s="861"/>
      <c r="DF38" s="411"/>
      <c r="DG38" s="411"/>
      <c r="DH38" s="862"/>
      <c r="DI38" s="863"/>
      <c r="DJ38" s="861"/>
      <c r="DK38" s="411"/>
      <c r="DL38" s="411"/>
      <c r="DM38" s="862"/>
      <c r="DN38" s="863"/>
      <c r="DO38" s="861"/>
      <c r="DP38" s="411"/>
      <c r="DQ38" s="411"/>
      <c r="DR38" s="862"/>
      <c r="DS38" s="863"/>
      <c r="DT38" s="861"/>
      <c r="DU38" s="411"/>
      <c r="DV38" s="411"/>
      <c r="DW38" s="862"/>
      <c r="DX38" s="863"/>
      <c r="DY38" s="861"/>
      <c r="DZ38" s="411"/>
      <c r="EA38" s="411"/>
      <c r="EB38" s="862"/>
      <c r="EC38" s="863"/>
      <c r="ED38" s="861"/>
      <c r="EE38" s="411"/>
      <c r="EF38" s="411"/>
      <c r="EG38" s="862"/>
      <c r="EH38" s="863"/>
      <c r="EI38" s="861"/>
      <c r="EJ38" s="411"/>
      <c r="EK38" s="411"/>
      <c r="EL38" s="862"/>
      <c r="EM38" s="863"/>
      <c r="EN38" s="861"/>
      <c r="EO38" s="411"/>
      <c r="EP38" s="411"/>
      <c r="EQ38" s="862"/>
      <c r="ER38" s="863"/>
      <c r="ES38" s="861"/>
      <c r="ET38" s="411"/>
      <c r="EU38" s="411"/>
      <c r="EV38" s="862"/>
      <c r="EW38" s="863"/>
      <c r="EX38" s="861"/>
      <c r="EY38" s="411"/>
      <c r="EZ38" s="411"/>
      <c r="FA38" s="862"/>
      <c r="FB38" s="863"/>
      <c r="FC38" s="861"/>
      <c r="FD38" s="411"/>
      <c r="FE38" s="411"/>
      <c r="FF38" s="862"/>
      <c r="FG38" s="863"/>
      <c r="FH38" s="861"/>
      <c r="FI38" s="411"/>
      <c r="FJ38" s="411"/>
      <c r="FK38" s="862"/>
      <c r="FL38" s="863"/>
      <c r="FM38" s="861"/>
      <c r="FN38" s="411"/>
      <c r="FO38" s="411"/>
      <c r="FP38" s="862"/>
      <c r="FQ38" s="863"/>
      <c r="FR38" s="861"/>
      <c r="FS38" s="411"/>
      <c r="FT38" s="411"/>
      <c r="FU38" s="862"/>
      <c r="FV38" s="863"/>
      <c r="FW38" s="861"/>
      <c r="FX38" s="411"/>
      <c r="FY38" s="411"/>
      <c r="FZ38" s="862"/>
      <c r="GA38" s="863"/>
      <c r="GB38" s="861"/>
      <c r="GC38" s="411"/>
      <c r="GD38" s="411"/>
      <c r="GE38" s="862"/>
      <c r="GF38" s="863"/>
      <c r="GG38" s="397"/>
      <c r="GH38" s="398"/>
      <c r="GI38" s="398"/>
      <c r="GJ38" s="399"/>
      <c r="GK38" s="349">
        <v>0</v>
      </c>
      <c r="GL38" s="397"/>
      <c r="GM38" s="398"/>
      <c r="GN38" s="398"/>
      <c r="GO38" s="399"/>
      <c r="GP38" s="349">
        <v>0</v>
      </c>
      <c r="GQ38" s="346">
        <v>0.15</v>
      </c>
      <c r="GR38" s="354"/>
      <c r="GS38" s="347"/>
      <c r="GT38" s="348"/>
      <c r="GU38" s="349">
        <f>SUM(GQ38:GT38)</f>
        <v>0.15</v>
      </c>
      <c r="GV38" s="346"/>
      <c r="GW38" s="347"/>
      <c r="GX38" s="347"/>
      <c r="GY38" s="348"/>
      <c r="GZ38" s="349">
        <f>SUM(GV38:GY38)</f>
        <v>0</v>
      </c>
      <c r="HA38" s="346"/>
      <c r="HB38" s="347"/>
      <c r="HC38" s="347"/>
      <c r="HD38" s="348"/>
      <c r="HE38" s="349">
        <f>SUM(HA38:HD38)</f>
        <v>0</v>
      </c>
      <c r="HF38" s="346"/>
      <c r="HG38" s="347"/>
      <c r="HH38" s="347"/>
      <c r="HI38" s="348"/>
      <c r="HJ38" s="349">
        <f>SUM(HF38:HI38)</f>
        <v>0</v>
      </c>
      <c r="HK38" s="346"/>
      <c r="HL38" s="347"/>
      <c r="HM38" s="347"/>
      <c r="HN38" s="348"/>
      <c r="HO38" s="349">
        <f>SUM(HK38:HN38)</f>
        <v>0</v>
      </c>
      <c r="HP38" s="346"/>
      <c r="HQ38" s="347"/>
      <c r="HR38" s="347"/>
      <c r="HS38" s="348"/>
      <c r="HT38" s="349">
        <f>SUM(HP38:HS38)</f>
        <v>0</v>
      </c>
      <c r="HU38" s="346"/>
      <c r="HV38" s="347"/>
      <c r="HW38" s="347"/>
      <c r="HX38" s="348"/>
      <c r="HY38" s="349">
        <f>SUM(HU38:HX38)</f>
        <v>0</v>
      </c>
      <c r="HZ38" s="346"/>
      <c r="IA38" s="347"/>
      <c r="IB38" s="347"/>
      <c r="IC38" s="348"/>
      <c r="ID38" s="349">
        <f>SUM(HZ38:IC38)</f>
        <v>0</v>
      </c>
      <c r="IE38" s="88"/>
      <c r="IF38" s="89"/>
      <c r="IG38" s="89"/>
      <c r="IH38" s="345"/>
      <c r="II38" s="344">
        <f>SUM(IE38:IH38)</f>
        <v>0</v>
      </c>
      <c r="IJ38" s="88"/>
      <c r="IK38" s="89"/>
      <c r="IL38" s="345"/>
      <c r="IM38" s="340"/>
      <c r="IN38" s="492">
        <f>SUM(IJ38:IM38)</f>
        <v>0</v>
      </c>
      <c r="IO38" s="492"/>
      <c r="IP38" s="507">
        <f t="shared" si="43"/>
        <v>0.15</v>
      </c>
      <c r="IQ38" s="501"/>
      <c r="IR38" s="353"/>
      <c r="IS38" s="33"/>
      <c r="IT38" s="340"/>
      <c r="IU38" s="342">
        <f>SUM(IQ38:IT38)</f>
        <v>0</v>
      </c>
      <c r="IV38" s="32"/>
      <c r="IW38" s="33"/>
      <c r="IX38" s="33"/>
      <c r="IY38" s="340"/>
      <c r="IZ38" s="342">
        <f>SUM(IV38:IY38)</f>
        <v>0</v>
      </c>
      <c r="JA38" s="32"/>
      <c r="JB38" s="33"/>
      <c r="JC38" s="33"/>
      <c r="JD38" s="340"/>
      <c r="JE38" s="342">
        <f>SUM(JA38:JD38)</f>
        <v>0</v>
      </c>
      <c r="JF38" s="32"/>
      <c r="JG38" s="33"/>
      <c r="JH38" s="33"/>
      <c r="JI38" s="340"/>
      <c r="JJ38" s="342">
        <f>SUM(JF38:JI38)</f>
        <v>0</v>
      </c>
      <c r="JK38" s="32"/>
      <c r="JL38" s="33"/>
      <c r="JM38" s="33"/>
      <c r="JN38" s="340"/>
      <c r="JO38" s="342">
        <f>SUM(JK38:JN38)</f>
        <v>0</v>
      </c>
      <c r="JP38" s="32"/>
      <c r="JQ38" s="33"/>
      <c r="JR38" s="33"/>
      <c r="JS38" s="340"/>
      <c r="JT38" s="342">
        <f>SUM(JP38:JS38)</f>
        <v>0</v>
      </c>
      <c r="JU38" s="32"/>
      <c r="JV38" s="33"/>
      <c r="JW38" s="33"/>
      <c r="JX38" s="340"/>
      <c r="JY38" s="342">
        <f>SUM(JU38:JX38)</f>
        <v>0</v>
      </c>
      <c r="JZ38" s="32"/>
      <c r="KA38" s="33"/>
      <c r="KB38" s="33"/>
      <c r="KC38" s="340"/>
      <c r="KD38" s="342">
        <f t="shared" si="51"/>
        <v>0</v>
      </c>
      <c r="KE38" s="32" t="s">
        <v>213</v>
      </c>
      <c r="KF38" s="33" t="s">
        <v>213</v>
      </c>
      <c r="KG38" s="33" t="s">
        <v>213</v>
      </c>
      <c r="KH38" s="340" t="s">
        <v>213</v>
      </c>
      <c r="KI38" s="342">
        <f t="shared" si="52"/>
        <v>0</v>
      </c>
      <c r="KJ38" s="32" t="s">
        <v>213</v>
      </c>
      <c r="KK38" s="33" t="s">
        <v>213</v>
      </c>
      <c r="KL38" s="33" t="s">
        <v>213</v>
      </c>
      <c r="KM38" s="340" t="s">
        <v>213</v>
      </c>
      <c r="KN38" s="342">
        <f t="shared" si="53"/>
        <v>0</v>
      </c>
      <c r="KO38" s="32" t="s">
        <v>213</v>
      </c>
      <c r="KP38" s="33" t="s">
        <v>213</v>
      </c>
      <c r="KQ38" s="33" t="s">
        <v>213</v>
      </c>
      <c r="KR38" s="340" t="s">
        <v>213</v>
      </c>
      <c r="KS38" s="342">
        <f t="shared" si="54"/>
        <v>0</v>
      </c>
      <c r="KT38" s="32" t="str">
        <f t="shared" si="5"/>
        <v/>
      </c>
      <c r="KU38" s="33" t="str">
        <f t="shared" si="6"/>
        <v/>
      </c>
      <c r="KV38" s="33" t="str">
        <f t="shared" si="7"/>
        <v/>
      </c>
      <c r="KW38" s="340" t="str">
        <f t="shared" si="8"/>
        <v/>
      </c>
      <c r="KX38" s="342">
        <f t="shared" si="9"/>
        <v>0</v>
      </c>
      <c r="KZ38" s="507">
        <f t="shared" si="55"/>
        <v>0</v>
      </c>
    </row>
    <row r="39" spans="1:312" ht="15.75" collapsed="1" x14ac:dyDescent="0.25">
      <c r="A39" s="366" t="s">
        <v>73</v>
      </c>
      <c r="B39" s="291">
        <v>25</v>
      </c>
      <c r="C39" s="292">
        <v>38.22</v>
      </c>
      <c r="D39" s="370"/>
      <c r="E39" s="371"/>
      <c r="F39" s="372"/>
      <c r="G39" s="373"/>
      <c r="H39" s="401"/>
      <c r="I39" s="402"/>
      <c r="J39" s="222"/>
      <c r="K39" s="222"/>
      <c r="L39" s="403"/>
      <c r="M39" s="384"/>
      <c r="N39" s="402"/>
      <c r="O39" s="222"/>
      <c r="P39" s="222"/>
      <c r="Q39" s="403"/>
      <c r="R39" s="300"/>
      <c r="S39" s="402"/>
      <c r="T39" s="222"/>
      <c r="U39" s="222"/>
      <c r="V39" s="403"/>
      <c r="W39" s="300"/>
      <c r="X39" s="402"/>
      <c r="Y39" s="222"/>
      <c r="Z39" s="222"/>
      <c r="AA39" s="403"/>
      <c r="AB39" s="300"/>
      <c r="AC39" s="404"/>
      <c r="AD39" s="405"/>
      <c r="AE39" s="405"/>
      <c r="AF39" s="406"/>
      <c r="AG39" s="407"/>
      <c r="AH39" s="395"/>
      <c r="AI39" s="386"/>
      <c r="AJ39" s="386"/>
      <c r="AK39" s="408"/>
      <c r="AL39" s="396"/>
      <c r="AM39" s="389"/>
      <c r="AN39" s="390"/>
      <c r="AO39" s="390"/>
      <c r="AP39" s="309"/>
      <c r="AQ39" s="391"/>
      <c r="AR39" s="389"/>
      <c r="AS39" s="390"/>
      <c r="AT39" s="390"/>
      <c r="AU39" s="392"/>
      <c r="AV39" s="409"/>
      <c r="AW39" s="389"/>
      <c r="AX39" s="390"/>
      <c r="AY39" s="390"/>
      <c r="AZ39" s="392"/>
      <c r="BA39" s="409"/>
      <c r="BB39" s="389"/>
      <c r="BC39" s="390"/>
      <c r="BD39" s="390"/>
      <c r="BE39" s="392"/>
      <c r="BF39" s="409"/>
      <c r="BG39" s="32"/>
      <c r="BH39" s="33"/>
      <c r="BI39" s="33"/>
      <c r="BJ39" s="343"/>
      <c r="BK39" s="342">
        <f t="shared" si="68"/>
        <v>0</v>
      </c>
      <c r="BL39" s="32"/>
      <c r="BM39" s="33"/>
      <c r="BN39" s="33"/>
      <c r="BO39" s="343"/>
      <c r="BP39" s="341">
        <f t="shared" si="61"/>
        <v>0</v>
      </c>
      <c r="BQ39" s="32"/>
      <c r="BR39" s="43"/>
      <c r="BS39" s="43"/>
      <c r="BT39" s="853"/>
      <c r="BU39" s="854">
        <f t="shared" si="14"/>
        <v>0</v>
      </c>
      <c r="BV39" s="855"/>
      <c r="BW39" s="43"/>
      <c r="BX39" s="43"/>
      <c r="BY39" s="853"/>
      <c r="BZ39" s="856">
        <f t="shared" si="15"/>
        <v>0</v>
      </c>
      <c r="CA39" s="857"/>
      <c r="CB39" s="858"/>
      <c r="CC39" s="858"/>
      <c r="CD39" s="859"/>
      <c r="CE39" s="860">
        <f t="shared" si="62"/>
        <v>0</v>
      </c>
      <c r="CF39" s="857"/>
      <c r="CG39" s="858"/>
      <c r="CH39" s="858"/>
      <c r="CI39" s="859"/>
      <c r="CJ39" s="860">
        <f t="shared" si="63"/>
        <v>0</v>
      </c>
      <c r="CK39" s="857"/>
      <c r="CL39" s="858"/>
      <c r="CM39" s="858"/>
      <c r="CN39" s="859"/>
      <c r="CO39" s="863">
        <f t="shared" si="64"/>
        <v>0</v>
      </c>
      <c r="CP39" s="861"/>
      <c r="CQ39" s="411"/>
      <c r="CR39" s="411"/>
      <c r="CS39" s="862"/>
      <c r="CT39" s="863">
        <v>0</v>
      </c>
      <c r="CU39" s="861"/>
      <c r="CV39" s="411"/>
      <c r="CW39" s="411"/>
      <c r="CX39" s="862"/>
      <c r="CY39" s="863">
        <v>0</v>
      </c>
      <c r="CZ39" s="861">
        <v>0.28999999999999998</v>
      </c>
      <c r="DA39" s="411"/>
      <c r="DB39" s="411"/>
      <c r="DC39" s="862"/>
      <c r="DD39" s="863">
        <f>SUM(CZ39:DC39)</f>
        <v>0.28999999999999998</v>
      </c>
      <c r="DE39" s="861">
        <v>0.69</v>
      </c>
      <c r="DF39" s="411"/>
      <c r="DG39" s="411"/>
      <c r="DH39" s="862"/>
      <c r="DI39" s="863">
        <f>SUM(DE39:DH39)</f>
        <v>0.69</v>
      </c>
      <c r="DJ39" s="861">
        <v>0.4</v>
      </c>
      <c r="DK39" s="411"/>
      <c r="DL39" s="411"/>
      <c r="DM39" s="862"/>
      <c r="DN39" s="863">
        <f>SUM(DJ39:DM39)</f>
        <v>0.4</v>
      </c>
      <c r="DO39" s="861">
        <v>0.71</v>
      </c>
      <c r="DP39" s="411"/>
      <c r="DQ39" s="411"/>
      <c r="DR39" s="862"/>
      <c r="DS39" s="863">
        <f>SUM(DO39:DR39)</f>
        <v>0.71</v>
      </c>
      <c r="DT39" s="861">
        <v>0.99</v>
      </c>
      <c r="DU39" s="411"/>
      <c r="DV39" s="411"/>
      <c r="DW39" s="862"/>
      <c r="DX39" s="863">
        <f>SUM(DT39:DW39)</f>
        <v>0.99</v>
      </c>
      <c r="DY39" s="861">
        <v>0.61</v>
      </c>
      <c r="DZ39" s="411">
        <v>0.81</v>
      </c>
      <c r="EA39" s="411"/>
      <c r="EB39" s="862"/>
      <c r="EC39" s="863">
        <f>SUM(DY39:EB39)</f>
        <v>1.42</v>
      </c>
      <c r="ED39" s="861">
        <v>0.37</v>
      </c>
      <c r="EE39" s="411"/>
      <c r="EF39" s="411"/>
      <c r="EG39" s="862"/>
      <c r="EH39" s="863">
        <f>SUM(ED39:EG39)</f>
        <v>0.37</v>
      </c>
      <c r="EI39" s="861">
        <v>0.36</v>
      </c>
      <c r="EJ39" s="411"/>
      <c r="EK39" s="411"/>
      <c r="EL39" s="862"/>
      <c r="EM39" s="863">
        <f>SUM(EI39:EL39)</f>
        <v>0.36</v>
      </c>
      <c r="EN39" s="861">
        <v>1.26</v>
      </c>
      <c r="EO39" s="411"/>
      <c r="EP39" s="411"/>
      <c r="EQ39" s="862"/>
      <c r="ER39" s="863">
        <f>SUM(EN39:EQ39)</f>
        <v>1.26</v>
      </c>
      <c r="ES39" s="861">
        <v>1.83</v>
      </c>
      <c r="ET39" s="411">
        <v>0.93</v>
      </c>
      <c r="EU39" s="411"/>
      <c r="EV39" s="862"/>
      <c r="EW39" s="863">
        <f>SUM(ES39:EV39)</f>
        <v>2.7600000000000002</v>
      </c>
      <c r="EX39" s="861">
        <v>0.92</v>
      </c>
      <c r="EY39" s="411"/>
      <c r="EZ39" s="411"/>
      <c r="FA39" s="862"/>
      <c r="FB39" s="863">
        <f>SUM(EX39:FA39)</f>
        <v>0.92</v>
      </c>
      <c r="FC39" s="861">
        <v>1.19</v>
      </c>
      <c r="FD39" s="411"/>
      <c r="FE39" s="411"/>
      <c r="FF39" s="862"/>
      <c r="FG39" s="863">
        <f>SUM(FC39:FF39)</f>
        <v>1.19</v>
      </c>
      <c r="FH39" s="861">
        <v>0.89</v>
      </c>
      <c r="FI39" s="411">
        <v>1.27</v>
      </c>
      <c r="FJ39" s="411"/>
      <c r="FK39" s="862"/>
      <c r="FL39" s="863">
        <f>SUM(FH39:FK39)</f>
        <v>2.16</v>
      </c>
      <c r="FM39" s="861">
        <v>0.71</v>
      </c>
      <c r="FN39" s="411"/>
      <c r="FO39" s="411"/>
      <c r="FP39" s="862"/>
      <c r="FQ39" s="863">
        <f>SUM(FM39:FP39)</f>
        <v>0.71</v>
      </c>
      <c r="FR39" s="861">
        <v>0.62</v>
      </c>
      <c r="FS39" s="411">
        <v>0.78</v>
      </c>
      <c r="FT39" s="411"/>
      <c r="FU39" s="862"/>
      <c r="FV39" s="863">
        <f>SUM(FR39:FU39)</f>
        <v>1.4</v>
      </c>
      <c r="FW39" s="861">
        <v>0.5</v>
      </c>
      <c r="FX39" s="411">
        <v>1.07</v>
      </c>
      <c r="FY39" s="411"/>
      <c r="FZ39" s="862"/>
      <c r="GA39" s="863">
        <f>SUM(FW39:FZ39)</f>
        <v>1.57</v>
      </c>
      <c r="GB39" s="861">
        <v>0.52</v>
      </c>
      <c r="GC39" s="411">
        <v>0.51</v>
      </c>
      <c r="GD39" s="411"/>
      <c r="GE39" s="862"/>
      <c r="GF39" s="863">
        <f>SUM(GB39:GE39)</f>
        <v>1.03</v>
      </c>
      <c r="GG39" s="346">
        <v>0.37</v>
      </c>
      <c r="GH39" s="347">
        <v>0.65</v>
      </c>
      <c r="GI39" s="347"/>
      <c r="GJ39" s="348"/>
      <c r="GK39" s="349">
        <f>SUM(GG39:GJ39)</f>
        <v>1.02</v>
      </c>
      <c r="GL39" s="346">
        <v>0.48</v>
      </c>
      <c r="GM39" s="347">
        <v>0.54</v>
      </c>
      <c r="GN39" s="347"/>
      <c r="GO39" s="348"/>
      <c r="GP39" s="349">
        <f>SUM(GL39:GO39)</f>
        <v>1.02</v>
      </c>
      <c r="GQ39" s="346">
        <v>0.94</v>
      </c>
      <c r="GR39" s="347">
        <v>1.34</v>
      </c>
      <c r="GS39" s="347"/>
      <c r="GT39" s="348"/>
      <c r="GU39" s="349">
        <f>SUM(GQ39:GT39)</f>
        <v>2.2800000000000002</v>
      </c>
      <c r="GV39" s="346">
        <v>1.66</v>
      </c>
      <c r="GW39" s="347">
        <v>1.77</v>
      </c>
      <c r="GX39" s="347"/>
      <c r="GY39" s="348"/>
      <c r="GZ39" s="349">
        <f>SUM(GV39:GY39)</f>
        <v>3.4299999999999997</v>
      </c>
      <c r="HA39" s="346">
        <v>2.68</v>
      </c>
      <c r="HB39" s="347">
        <v>6.66</v>
      </c>
      <c r="HC39" s="347"/>
      <c r="HD39" s="348"/>
      <c r="HE39" s="349">
        <f>SUM(HA39:HD39)</f>
        <v>9.34</v>
      </c>
      <c r="HF39" s="346">
        <v>3.23</v>
      </c>
      <c r="HG39" s="347">
        <v>8.94</v>
      </c>
      <c r="HH39" s="347"/>
      <c r="HI39" s="348"/>
      <c r="HJ39" s="349">
        <f>SUM(HF39:HI39)</f>
        <v>12.17</v>
      </c>
      <c r="HK39" s="346">
        <v>1.51</v>
      </c>
      <c r="HL39" s="347">
        <v>6.59</v>
      </c>
      <c r="HM39" s="347"/>
      <c r="HN39" s="348"/>
      <c r="HO39" s="349">
        <f>SUM(HK39:HN39)</f>
        <v>8.1</v>
      </c>
      <c r="HP39" s="346">
        <v>10.59</v>
      </c>
      <c r="HQ39" s="352"/>
      <c r="HR39" s="347"/>
      <c r="HS39" s="348"/>
      <c r="HT39" s="349">
        <f>SUM(HP39:HS39)</f>
        <v>10.59</v>
      </c>
      <c r="HU39" s="346">
        <v>8.4600000000000009</v>
      </c>
      <c r="HV39" s="347">
        <v>6.37</v>
      </c>
      <c r="HW39" s="347"/>
      <c r="HX39" s="348"/>
      <c r="HY39" s="349">
        <f>SUM(HU39:HX39)</f>
        <v>14.830000000000002</v>
      </c>
      <c r="HZ39" s="346">
        <v>7.62</v>
      </c>
      <c r="IA39" s="347">
        <v>5.59</v>
      </c>
      <c r="IB39" s="347"/>
      <c r="IC39" s="348"/>
      <c r="ID39" s="349">
        <f>SUM(HZ39:IC39)</f>
        <v>13.21</v>
      </c>
      <c r="IE39" s="88">
        <v>11.73</v>
      </c>
      <c r="IF39" s="89">
        <v>13.08</v>
      </c>
      <c r="IG39" s="89"/>
      <c r="IH39" s="345"/>
      <c r="II39" s="344">
        <f>SUM(IE39:IH39)</f>
        <v>24.810000000000002</v>
      </c>
      <c r="IJ39" s="88">
        <v>4.58</v>
      </c>
      <c r="IK39" s="89">
        <v>4.53</v>
      </c>
      <c r="IL39" s="345"/>
      <c r="IM39" s="340"/>
      <c r="IN39" s="492">
        <f>SUM(IJ39:IM39)</f>
        <v>9.11</v>
      </c>
      <c r="IO39" s="492"/>
      <c r="IP39" s="886">
        <f t="shared" si="43"/>
        <v>109.91000000000001</v>
      </c>
      <c r="IQ39" s="501">
        <v>18.25</v>
      </c>
      <c r="IR39" s="353"/>
      <c r="IS39" s="33"/>
      <c r="IT39" s="340"/>
      <c r="IU39" s="342">
        <f>SUM(IQ39:IT39)</f>
        <v>18.25</v>
      </c>
      <c r="IV39" s="32">
        <v>14.66</v>
      </c>
      <c r="IW39" s="33">
        <v>6.8</v>
      </c>
      <c r="IX39" s="33"/>
      <c r="IY39" s="340"/>
      <c r="IZ39" s="342">
        <f>SUM(IV39:IY39)</f>
        <v>21.46</v>
      </c>
      <c r="JA39" s="32">
        <v>7.51</v>
      </c>
      <c r="JB39" s="33">
        <v>11.47</v>
      </c>
      <c r="JC39" s="33"/>
      <c r="JD39" s="340"/>
      <c r="JE39" s="342">
        <f>SUM(JA39:JD39)</f>
        <v>18.98</v>
      </c>
      <c r="JF39" s="32">
        <v>15.53</v>
      </c>
      <c r="JG39" s="33">
        <v>13.39</v>
      </c>
      <c r="JH39" s="33"/>
      <c r="JI39" s="340"/>
      <c r="JJ39" s="342">
        <f>SUM(JF39:JI39)</f>
        <v>28.92</v>
      </c>
      <c r="JK39" s="32">
        <v>19.649999999999999</v>
      </c>
      <c r="JL39" s="33">
        <v>24.13</v>
      </c>
      <c r="JM39" s="33"/>
      <c r="JN39" s="340"/>
      <c r="JO39" s="342">
        <f>SUM(JK39:JN39)</f>
        <v>43.78</v>
      </c>
      <c r="JP39" s="32">
        <v>9.7899999999999991</v>
      </c>
      <c r="JQ39" s="33">
        <v>14.64</v>
      </c>
      <c r="JR39" s="33"/>
      <c r="JS39" s="340"/>
      <c r="JT39" s="342">
        <f>SUM(JP39:JS39)</f>
        <v>24.43</v>
      </c>
      <c r="JU39" s="32">
        <v>13.64</v>
      </c>
      <c r="JV39" s="33">
        <v>10.25</v>
      </c>
      <c r="JW39" s="33"/>
      <c r="JX39" s="340"/>
      <c r="JY39" s="342">
        <f>SUM(JU39:JX39)</f>
        <v>23.89</v>
      </c>
      <c r="JZ39" s="32">
        <v>23.57</v>
      </c>
      <c r="KA39" s="33">
        <v>6.51</v>
      </c>
      <c r="KB39" s="33"/>
      <c r="KC39" s="340"/>
      <c r="KD39" s="342">
        <f t="shared" si="51"/>
        <v>30.08</v>
      </c>
      <c r="KE39" s="32">
        <v>23.03</v>
      </c>
      <c r="KF39" s="33">
        <v>7.02</v>
      </c>
      <c r="KG39" s="33">
        <v>0</v>
      </c>
      <c r="KH39" s="340">
        <v>0</v>
      </c>
      <c r="KI39" s="342">
        <f t="shared" si="52"/>
        <v>30.05</v>
      </c>
      <c r="KJ39" s="32">
        <v>25.560000000000002</v>
      </c>
      <c r="KK39" s="33">
        <v>14.440000000000001</v>
      </c>
      <c r="KL39" s="33">
        <v>0</v>
      </c>
      <c r="KM39" s="340">
        <v>0</v>
      </c>
      <c r="KN39" s="342">
        <f t="shared" si="53"/>
        <v>40</v>
      </c>
      <c r="KO39" s="32">
        <v>13.8</v>
      </c>
      <c r="KP39" s="33">
        <v>14.97</v>
      </c>
      <c r="KQ39" s="33">
        <v>0</v>
      </c>
      <c r="KR39" s="340">
        <v>0</v>
      </c>
      <c r="KS39" s="342">
        <f t="shared" si="54"/>
        <v>28.770000000000003</v>
      </c>
      <c r="KT39" s="32">
        <f t="shared" si="5"/>
        <v>12.27</v>
      </c>
      <c r="KU39" s="33">
        <f t="shared" si="6"/>
        <v>9.43</v>
      </c>
      <c r="KV39" s="33">
        <f t="shared" si="7"/>
        <v>0</v>
      </c>
      <c r="KW39" s="340">
        <f t="shared" si="8"/>
        <v>0</v>
      </c>
      <c r="KX39" s="342">
        <f t="shared" si="9"/>
        <v>21.7</v>
      </c>
      <c r="KZ39" s="507">
        <f t="shared" si="55"/>
        <v>330.30999999999995</v>
      </c>
    </row>
    <row r="40" spans="1:312" ht="15.75" x14ac:dyDescent="0.25">
      <c r="A40" s="367"/>
      <c r="B40" s="326" t="s">
        <v>7</v>
      </c>
      <c r="C40" s="410">
        <v>22.72</v>
      </c>
      <c r="D40" s="370"/>
      <c r="E40" s="371"/>
      <c r="F40" s="372"/>
      <c r="G40" s="373"/>
      <c r="H40" s="401"/>
      <c r="I40" s="402"/>
      <c r="J40" s="222"/>
      <c r="K40" s="222"/>
      <c r="L40" s="403"/>
      <c r="M40" s="384"/>
      <c r="N40" s="402"/>
      <c r="O40" s="222"/>
      <c r="P40" s="222"/>
      <c r="Q40" s="403"/>
      <c r="R40" s="300"/>
      <c r="S40" s="402"/>
      <c r="T40" s="222"/>
      <c r="U40" s="222"/>
      <c r="V40" s="403"/>
      <c r="W40" s="300"/>
      <c r="X40" s="402"/>
      <c r="Y40" s="222"/>
      <c r="Z40" s="222"/>
      <c r="AA40" s="403"/>
      <c r="AB40" s="300"/>
      <c r="AC40" s="404"/>
      <c r="AD40" s="405"/>
      <c r="AE40" s="405"/>
      <c r="AF40" s="406"/>
      <c r="AG40" s="407"/>
      <c r="AH40" s="395"/>
      <c r="AI40" s="386"/>
      <c r="AJ40" s="386"/>
      <c r="AK40" s="408"/>
      <c r="AL40" s="396"/>
      <c r="AM40" s="389"/>
      <c r="AN40" s="390"/>
      <c r="AO40" s="390"/>
      <c r="AP40" s="309"/>
      <c r="AQ40" s="391"/>
      <c r="AR40" s="389"/>
      <c r="AS40" s="390"/>
      <c r="AT40" s="390"/>
      <c r="AU40" s="392"/>
      <c r="AV40" s="409"/>
      <c r="AW40" s="389"/>
      <c r="AX40" s="390"/>
      <c r="AY40" s="390"/>
      <c r="AZ40" s="392"/>
      <c r="BA40" s="409"/>
      <c r="BB40" s="389"/>
      <c r="BC40" s="390"/>
      <c r="BD40" s="390"/>
      <c r="BE40" s="392"/>
      <c r="BF40" s="409"/>
      <c r="BG40" s="32">
        <v>2</v>
      </c>
      <c r="BH40" s="33"/>
      <c r="BI40" s="33"/>
      <c r="BJ40" s="343"/>
      <c r="BK40" s="342">
        <f t="shared" si="68"/>
        <v>2</v>
      </c>
      <c r="BL40" s="32">
        <v>1.79</v>
      </c>
      <c r="BM40" s="33">
        <v>1.2</v>
      </c>
      <c r="BN40" s="33"/>
      <c r="BO40" s="343"/>
      <c r="BP40" s="341">
        <f t="shared" si="61"/>
        <v>2.99</v>
      </c>
      <c r="BQ40" s="32">
        <v>0.48</v>
      </c>
      <c r="BR40" s="43">
        <v>0.55000000000000004</v>
      </c>
      <c r="BS40" s="43"/>
      <c r="BT40" s="853"/>
      <c r="BU40" s="854">
        <f t="shared" si="14"/>
        <v>1.03</v>
      </c>
      <c r="BV40" s="855">
        <v>0.5</v>
      </c>
      <c r="BW40" s="43"/>
      <c r="BX40" s="43"/>
      <c r="BY40" s="853"/>
      <c r="BZ40" s="856">
        <f t="shared" si="15"/>
        <v>0.5</v>
      </c>
      <c r="CA40" s="857"/>
      <c r="CB40" s="858"/>
      <c r="CC40" s="858"/>
      <c r="CD40" s="859"/>
      <c r="CE40" s="860">
        <f t="shared" si="62"/>
        <v>0</v>
      </c>
      <c r="CF40" s="857"/>
      <c r="CG40" s="858"/>
      <c r="CH40" s="858"/>
      <c r="CI40" s="859"/>
      <c r="CJ40" s="860">
        <f t="shared" si="63"/>
        <v>0</v>
      </c>
      <c r="CK40" s="857">
        <v>1.53</v>
      </c>
      <c r="CL40" s="858">
        <v>0.24</v>
      </c>
      <c r="CM40" s="858"/>
      <c r="CN40" s="859"/>
      <c r="CO40" s="860">
        <f t="shared" si="64"/>
        <v>1.77</v>
      </c>
      <c r="CP40" s="861">
        <v>0.3</v>
      </c>
      <c r="CQ40" s="411">
        <v>0.4</v>
      </c>
      <c r="CR40" s="411"/>
      <c r="CS40" s="862"/>
      <c r="CT40" s="863">
        <v>0.7</v>
      </c>
      <c r="CU40" s="861">
        <v>0.52</v>
      </c>
      <c r="CV40" s="411">
        <v>0.45</v>
      </c>
      <c r="CW40" s="411"/>
      <c r="CX40" s="862"/>
      <c r="CY40" s="863">
        <f>SUM(CU40:CX40)</f>
        <v>0.97</v>
      </c>
      <c r="CZ40" s="861">
        <v>0.75</v>
      </c>
      <c r="DA40" s="411">
        <v>1</v>
      </c>
      <c r="DB40" s="411"/>
      <c r="DC40" s="862"/>
      <c r="DD40" s="863">
        <f>SUM(CZ40:DC40)</f>
        <v>1.75</v>
      </c>
      <c r="DE40" s="861">
        <v>2</v>
      </c>
      <c r="DF40" s="411"/>
      <c r="DG40" s="411"/>
      <c r="DH40" s="862"/>
      <c r="DI40" s="863">
        <f>SUM(DE40:DH40)</f>
        <v>2</v>
      </c>
      <c r="DJ40" s="861">
        <v>2</v>
      </c>
      <c r="DK40" s="411"/>
      <c r="DL40" s="411"/>
      <c r="DM40" s="862"/>
      <c r="DN40" s="863">
        <f>SUM(DJ40:DM40)</f>
        <v>2</v>
      </c>
      <c r="DO40" s="861">
        <v>3.21</v>
      </c>
      <c r="DP40" s="411"/>
      <c r="DQ40" s="411"/>
      <c r="DR40" s="862"/>
      <c r="DS40" s="863">
        <f>SUM(DO40:DR40)</f>
        <v>3.21</v>
      </c>
      <c r="DT40" s="861">
        <v>1.5</v>
      </c>
      <c r="DU40" s="411"/>
      <c r="DV40" s="411"/>
      <c r="DW40" s="862"/>
      <c r="DX40" s="863">
        <f>SUM(DT40:DW40)</f>
        <v>1.5</v>
      </c>
      <c r="DY40" s="861">
        <v>2.4</v>
      </c>
      <c r="DZ40" s="411">
        <v>2.21</v>
      </c>
      <c r="EA40" s="411"/>
      <c r="EB40" s="862"/>
      <c r="EC40" s="863">
        <f>SUM(DY40:EB40)</f>
        <v>4.6099999999999994</v>
      </c>
      <c r="ED40" s="861">
        <v>1.23</v>
      </c>
      <c r="EE40" s="411"/>
      <c r="EF40" s="411"/>
      <c r="EG40" s="862"/>
      <c r="EH40" s="863">
        <f>SUM(ED40:EG40)</f>
        <v>1.23</v>
      </c>
      <c r="EI40" s="861">
        <v>2</v>
      </c>
      <c r="EJ40" s="411"/>
      <c r="EK40" s="411"/>
      <c r="EL40" s="862"/>
      <c r="EM40" s="863">
        <f>SUM(EI40:EL40)</f>
        <v>2</v>
      </c>
      <c r="EN40" s="861">
        <v>2.17</v>
      </c>
      <c r="EO40" s="411"/>
      <c r="EP40" s="411"/>
      <c r="EQ40" s="862"/>
      <c r="ER40" s="863">
        <f>SUM(EN40:EQ40)</f>
        <v>2.17</v>
      </c>
      <c r="ES40" s="861">
        <v>2.4900000000000002</v>
      </c>
      <c r="ET40" s="411">
        <v>0.9</v>
      </c>
      <c r="EU40" s="411"/>
      <c r="EV40" s="862"/>
      <c r="EW40" s="863">
        <f>SUM(ES40:EV40)</f>
        <v>3.39</v>
      </c>
      <c r="EX40" s="861">
        <v>2.4900000000000002</v>
      </c>
      <c r="EY40" s="411"/>
      <c r="EZ40" s="411"/>
      <c r="FA40" s="862"/>
      <c r="FB40" s="863">
        <f>SUM(EX40:FA40)</f>
        <v>2.4900000000000002</v>
      </c>
      <c r="FC40" s="861">
        <v>2.62</v>
      </c>
      <c r="FD40" s="411">
        <v>1.41</v>
      </c>
      <c r="FE40" s="411"/>
      <c r="FF40" s="862"/>
      <c r="FG40" s="863">
        <f>SUM(FC40:FF40)</f>
        <v>4.03</v>
      </c>
      <c r="FH40" s="861">
        <v>3.1</v>
      </c>
      <c r="FI40" s="411"/>
      <c r="FJ40" s="411"/>
      <c r="FK40" s="862"/>
      <c r="FL40" s="863">
        <f>SUM(FH40:FK40)</f>
        <v>3.1</v>
      </c>
      <c r="FM40" s="861">
        <v>4.79</v>
      </c>
      <c r="FN40" s="411"/>
      <c r="FO40" s="411"/>
      <c r="FP40" s="862"/>
      <c r="FQ40" s="863">
        <f>SUM(FM40:FP40)</f>
        <v>4.79</v>
      </c>
      <c r="FR40" s="861">
        <v>2.75</v>
      </c>
      <c r="FS40" s="411">
        <v>4.92</v>
      </c>
      <c r="FT40" s="411"/>
      <c r="FU40" s="862"/>
      <c r="FV40" s="863">
        <f>SUM(FR40:FU40)</f>
        <v>7.67</v>
      </c>
      <c r="FW40" s="861">
        <v>4.51</v>
      </c>
      <c r="FX40" s="411">
        <v>3.96</v>
      </c>
      <c r="FY40" s="411"/>
      <c r="FZ40" s="862"/>
      <c r="GA40" s="863">
        <f>SUM(FW40:FZ40)</f>
        <v>8.4699999999999989</v>
      </c>
      <c r="GB40" s="861">
        <v>3.33</v>
      </c>
      <c r="GC40" s="411">
        <v>2.86</v>
      </c>
      <c r="GD40" s="411"/>
      <c r="GE40" s="862"/>
      <c r="GF40" s="863">
        <f>SUM(GB40:GE40)</f>
        <v>6.1899999999999995</v>
      </c>
      <c r="GG40" s="346">
        <v>3.24</v>
      </c>
      <c r="GH40" s="347">
        <v>2.54</v>
      </c>
      <c r="GI40" s="347"/>
      <c r="GJ40" s="348"/>
      <c r="GK40" s="349">
        <f>SUM(GG40:GJ40)</f>
        <v>5.78</v>
      </c>
      <c r="GL40" s="346">
        <v>2.54</v>
      </c>
      <c r="GM40" s="347">
        <v>2.27</v>
      </c>
      <c r="GN40" s="347"/>
      <c r="GO40" s="348"/>
      <c r="GP40" s="349">
        <f>SUM(GL40:GO40)</f>
        <v>4.8100000000000005</v>
      </c>
      <c r="GQ40" s="346">
        <v>4.12</v>
      </c>
      <c r="GR40" s="347">
        <v>1.95</v>
      </c>
      <c r="GS40" s="347"/>
      <c r="GT40" s="348"/>
      <c r="GU40" s="349">
        <f>SUM(GQ40:GT40)</f>
        <v>6.07</v>
      </c>
      <c r="GV40" s="346">
        <v>4.1900000000000004</v>
      </c>
      <c r="GW40" s="347">
        <v>4.87</v>
      </c>
      <c r="GX40" s="347"/>
      <c r="GY40" s="348"/>
      <c r="GZ40" s="349">
        <f>SUM(GV40:GY40)</f>
        <v>9.06</v>
      </c>
      <c r="HA40" s="346">
        <v>8</v>
      </c>
      <c r="HB40" s="347">
        <v>7.52</v>
      </c>
      <c r="HC40" s="347"/>
      <c r="HD40" s="348"/>
      <c r="HE40" s="349">
        <f>SUM(HA40:HD40)</f>
        <v>15.52</v>
      </c>
      <c r="HF40" s="346">
        <v>5.66</v>
      </c>
      <c r="HG40" s="347">
        <v>8.51</v>
      </c>
      <c r="HH40" s="347"/>
      <c r="HI40" s="348"/>
      <c r="HJ40" s="349">
        <f>SUM(HF40:HI40)</f>
        <v>14.17</v>
      </c>
      <c r="HK40" s="346">
        <v>3.9</v>
      </c>
      <c r="HL40" s="347">
        <v>5.77</v>
      </c>
      <c r="HM40" s="347"/>
      <c r="HN40" s="348"/>
      <c r="HO40" s="349">
        <f>SUM(HK40:HN40)</f>
        <v>9.67</v>
      </c>
      <c r="HP40" s="346">
        <v>8.16</v>
      </c>
      <c r="HQ40" s="347">
        <v>12.98</v>
      </c>
      <c r="HR40" s="347"/>
      <c r="HS40" s="348"/>
      <c r="HT40" s="349">
        <f>SUM(HP40:HS40)</f>
        <v>21.14</v>
      </c>
      <c r="HU40" s="346">
        <v>10.89</v>
      </c>
      <c r="HV40" s="347">
        <v>9.2100000000000009</v>
      </c>
      <c r="HW40" s="347"/>
      <c r="HX40" s="348"/>
      <c r="HY40" s="349">
        <f>SUM(HU40:HX40)</f>
        <v>20.100000000000001</v>
      </c>
      <c r="HZ40" s="346">
        <v>14.61</v>
      </c>
      <c r="IA40" s="347">
        <v>2.0699999999999998</v>
      </c>
      <c r="IB40" s="347"/>
      <c r="IC40" s="348"/>
      <c r="ID40" s="349">
        <f>SUM(HZ40:IC40)</f>
        <v>16.68</v>
      </c>
      <c r="IE40" s="88">
        <v>6.89</v>
      </c>
      <c r="IF40" s="89">
        <v>12.92</v>
      </c>
      <c r="IG40" s="89"/>
      <c r="IH40" s="345"/>
      <c r="II40" s="344">
        <f>SUM(IE40:IH40)</f>
        <v>19.809999999999999</v>
      </c>
      <c r="IJ40" s="88">
        <v>7.88</v>
      </c>
      <c r="IK40" s="89">
        <v>14.17</v>
      </c>
      <c r="IL40" s="345"/>
      <c r="IM40" s="340"/>
      <c r="IN40" s="492">
        <f>SUM(IJ40:IM40)</f>
        <v>22.05</v>
      </c>
      <c r="IO40" s="492"/>
      <c r="IP40" s="886">
        <f t="shared" si="43"/>
        <v>164.86</v>
      </c>
      <c r="IQ40" s="501">
        <v>9.0399999999999991</v>
      </c>
      <c r="IR40" s="43">
        <v>9.56</v>
      </c>
      <c r="IS40" s="33"/>
      <c r="IT40" s="340"/>
      <c r="IU40" s="342">
        <f>SUM(IQ40:IT40)</f>
        <v>18.600000000000001</v>
      </c>
      <c r="IV40" s="32">
        <v>8.83</v>
      </c>
      <c r="IW40" s="43">
        <v>2.0699999999999998</v>
      </c>
      <c r="IX40" s="33"/>
      <c r="IY40" s="340"/>
      <c r="IZ40" s="342">
        <f>SUM(IV40:IY40)</f>
        <v>10.9</v>
      </c>
      <c r="JA40" s="32">
        <v>14.27</v>
      </c>
      <c r="JB40" s="43">
        <v>9.57</v>
      </c>
      <c r="JC40" s="33"/>
      <c r="JD40" s="340"/>
      <c r="JE40" s="342">
        <f>SUM(JA40:JD40)</f>
        <v>23.84</v>
      </c>
      <c r="JF40" s="32">
        <v>13.13</v>
      </c>
      <c r="JG40" s="43">
        <v>6.48</v>
      </c>
      <c r="JH40" s="33"/>
      <c r="JI40" s="340"/>
      <c r="JJ40" s="342">
        <f>SUM(JF40:JI40)</f>
        <v>19.61</v>
      </c>
      <c r="JK40" s="32">
        <v>20.61</v>
      </c>
      <c r="JL40" s="412"/>
      <c r="JM40" s="33"/>
      <c r="JN40" s="340"/>
      <c r="JO40" s="342">
        <f>SUM(JK40:JN40)</f>
        <v>20.61</v>
      </c>
      <c r="JP40" s="32">
        <v>16.12</v>
      </c>
      <c r="JQ40" s="43">
        <v>8.6199999999999992</v>
      </c>
      <c r="JR40" s="33"/>
      <c r="JS40" s="340"/>
      <c r="JT40" s="342">
        <f>SUM(JP40:JS40)</f>
        <v>24.740000000000002</v>
      </c>
      <c r="JU40" s="32">
        <v>8.86</v>
      </c>
      <c r="JV40" s="43">
        <v>8.9499999999999993</v>
      </c>
      <c r="JW40" s="33"/>
      <c r="JX40" s="340"/>
      <c r="JY40" s="342">
        <f>SUM(JU40:JX40)</f>
        <v>17.809999999999999</v>
      </c>
      <c r="JZ40" s="32">
        <v>18.23</v>
      </c>
      <c r="KA40" s="43">
        <v>6.13</v>
      </c>
      <c r="KB40" s="33"/>
      <c r="KC40" s="340"/>
      <c r="KD40" s="342">
        <f t="shared" si="51"/>
        <v>24.36</v>
      </c>
      <c r="KE40" s="32">
        <v>25.71</v>
      </c>
      <c r="KF40" s="43">
        <v>2.5099999999999998</v>
      </c>
      <c r="KG40" s="33">
        <v>0</v>
      </c>
      <c r="KH40" s="340">
        <v>0</v>
      </c>
      <c r="KI40" s="342">
        <f t="shared" si="52"/>
        <v>28.22</v>
      </c>
      <c r="KJ40" s="32">
        <v>27.609999999999996</v>
      </c>
      <c r="KK40" s="43">
        <v>6.29</v>
      </c>
      <c r="KL40" s="33">
        <v>0</v>
      </c>
      <c r="KM40" s="340">
        <v>0</v>
      </c>
      <c r="KN40" s="342">
        <f t="shared" si="53"/>
        <v>33.9</v>
      </c>
      <c r="KO40" s="32">
        <v>24.59</v>
      </c>
      <c r="KP40" s="43">
        <v>5.81</v>
      </c>
      <c r="KQ40" s="33">
        <v>0</v>
      </c>
      <c r="KR40" s="340">
        <v>0</v>
      </c>
      <c r="KS40" s="342">
        <f t="shared" si="54"/>
        <v>30.4</v>
      </c>
      <c r="KT40" s="32">
        <f t="shared" si="5"/>
        <v>10.02</v>
      </c>
      <c r="KU40" s="43">
        <f t="shared" si="6"/>
        <v>18.229999999999997</v>
      </c>
      <c r="KV40" s="33">
        <f t="shared" si="7"/>
        <v>0</v>
      </c>
      <c r="KW40" s="340">
        <f t="shared" si="8"/>
        <v>0</v>
      </c>
      <c r="KX40" s="342">
        <f t="shared" si="9"/>
        <v>28.249999999999996</v>
      </c>
      <c r="KZ40" s="507">
        <f t="shared" si="55"/>
        <v>281.24</v>
      </c>
    </row>
    <row r="41" spans="1:312" ht="15.75" x14ac:dyDescent="0.25">
      <c r="A41" s="367"/>
      <c r="B41" s="326" t="s">
        <v>165</v>
      </c>
      <c r="C41" s="410"/>
      <c r="D41" s="370"/>
      <c r="E41" s="371"/>
      <c r="F41" s="372"/>
      <c r="G41" s="373"/>
      <c r="H41" s="401"/>
      <c r="I41" s="402"/>
      <c r="J41" s="222"/>
      <c r="K41" s="222"/>
      <c r="L41" s="403"/>
      <c r="M41" s="384"/>
      <c r="N41" s="402"/>
      <c r="O41" s="222"/>
      <c r="P41" s="222"/>
      <c r="Q41" s="403"/>
      <c r="R41" s="300"/>
      <c r="S41" s="402"/>
      <c r="T41" s="222"/>
      <c r="U41" s="222"/>
      <c r="V41" s="403"/>
      <c r="W41" s="300"/>
      <c r="X41" s="402"/>
      <c r="Y41" s="222"/>
      <c r="Z41" s="222"/>
      <c r="AA41" s="403"/>
      <c r="AB41" s="300"/>
      <c r="AC41" s="404"/>
      <c r="AD41" s="405"/>
      <c r="AE41" s="405"/>
      <c r="AF41" s="406"/>
      <c r="AG41" s="407"/>
      <c r="AH41" s="395"/>
      <c r="AI41" s="386"/>
      <c r="AJ41" s="386"/>
      <c r="AK41" s="408"/>
      <c r="AL41" s="396"/>
      <c r="AM41" s="389"/>
      <c r="AN41" s="390"/>
      <c r="AO41" s="390"/>
      <c r="AP41" s="309"/>
      <c r="AQ41" s="391"/>
      <c r="AR41" s="389"/>
      <c r="AS41" s="390"/>
      <c r="AT41" s="390"/>
      <c r="AU41" s="392"/>
      <c r="AV41" s="409"/>
      <c r="AW41" s="389"/>
      <c r="AX41" s="390"/>
      <c r="AY41" s="390"/>
      <c r="AZ41" s="392"/>
      <c r="BA41" s="409"/>
      <c r="BB41" s="389"/>
      <c r="BC41" s="390"/>
      <c r="BD41" s="390"/>
      <c r="BE41" s="392"/>
      <c r="BF41" s="409"/>
      <c r="BG41" s="32"/>
      <c r="BH41" s="33"/>
      <c r="BI41" s="33"/>
      <c r="BJ41" s="343"/>
      <c r="BK41" s="342">
        <f t="shared" si="68"/>
        <v>0</v>
      </c>
      <c r="BL41" s="32"/>
      <c r="BM41" s="33"/>
      <c r="BN41" s="33"/>
      <c r="BO41" s="343"/>
      <c r="BP41" s="341">
        <f t="shared" si="61"/>
        <v>0</v>
      </c>
      <c r="BQ41" s="32"/>
      <c r="BR41" s="43"/>
      <c r="BS41" s="43"/>
      <c r="BT41" s="853"/>
      <c r="BU41" s="854">
        <f t="shared" si="14"/>
        <v>0</v>
      </c>
      <c r="BV41" s="855"/>
      <c r="BW41" s="43"/>
      <c r="BX41" s="43"/>
      <c r="BY41" s="853"/>
      <c r="BZ41" s="856">
        <f t="shared" si="15"/>
        <v>0</v>
      </c>
      <c r="CA41" s="857"/>
      <c r="CB41" s="858"/>
      <c r="CC41" s="858"/>
      <c r="CD41" s="859"/>
      <c r="CE41" s="860">
        <f t="shared" si="62"/>
        <v>0</v>
      </c>
      <c r="CF41" s="857"/>
      <c r="CG41" s="858"/>
      <c r="CH41" s="858"/>
      <c r="CI41" s="859"/>
      <c r="CJ41" s="860">
        <f t="shared" si="63"/>
        <v>0</v>
      </c>
      <c r="CK41" s="857"/>
      <c r="CL41" s="858"/>
      <c r="CM41" s="858"/>
      <c r="CN41" s="859"/>
      <c r="CO41" s="860">
        <f t="shared" si="64"/>
        <v>0</v>
      </c>
      <c r="CP41" s="861"/>
      <c r="CQ41" s="411"/>
      <c r="CR41" s="411"/>
      <c r="CS41" s="862"/>
      <c r="CT41" s="863"/>
      <c r="CU41" s="861"/>
      <c r="CV41" s="411"/>
      <c r="CW41" s="411"/>
      <c r="CX41" s="862"/>
      <c r="CY41" s="863"/>
      <c r="CZ41" s="861"/>
      <c r="DA41" s="411"/>
      <c r="DB41" s="411"/>
      <c r="DC41" s="862"/>
      <c r="DD41" s="863"/>
      <c r="DE41" s="861"/>
      <c r="DF41" s="411"/>
      <c r="DG41" s="411"/>
      <c r="DH41" s="862"/>
      <c r="DI41" s="863"/>
      <c r="DJ41" s="861"/>
      <c r="DK41" s="411"/>
      <c r="DL41" s="411"/>
      <c r="DM41" s="862"/>
      <c r="DN41" s="863"/>
      <c r="DO41" s="861"/>
      <c r="DP41" s="411"/>
      <c r="DQ41" s="411"/>
      <c r="DR41" s="862"/>
      <c r="DS41" s="863"/>
      <c r="DT41" s="861"/>
      <c r="DU41" s="411"/>
      <c r="DV41" s="411"/>
      <c r="DW41" s="862"/>
      <c r="DX41" s="863"/>
      <c r="DY41" s="861"/>
      <c r="DZ41" s="411"/>
      <c r="EA41" s="411"/>
      <c r="EB41" s="862"/>
      <c r="EC41" s="863"/>
      <c r="ED41" s="861"/>
      <c r="EE41" s="411"/>
      <c r="EF41" s="411"/>
      <c r="EG41" s="862"/>
      <c r="EH41" s="863"/>
      <c r="EI41" s="861"/>
      <c r="EJ41" s="411"/>
      <c r="EK41" s="411"/>
      <c r="EL41" s="862"/>
      <c r="EM41" s="863"/>
      <c r="EN41" s="861"/>
      <c r="EO41" s="411"/>
      <c r="EP41" s="411"/>
      <c r="EQ41" s="862"/>
      <c r="ER41" s="863"/>
      <c r="ES41" s="861"/>
      <c r="ET41" s="411"/>
      <c r="EU41" s="411"/>
      <c r="EV41" s="862"/>
      <c r="EW41" s="863"/>
      <c r="EX41" s="861"/>
      <c r="EY41" s="411"/>
      <c r="EZ41" s="411"/>
      <c r="FA41" s="862"/>
      <c r="FB41" s="863"/>
      <c r="FC41" s="861"/>
      <c r="FD41" s="411"/>
      <c r="FE41" s="411"/>
      <c r="FF41" s="862"/>
      <c r="FG41" s="863"/>
      <c r="FH41" s="861"/>
      <c r="FI41" s="411"/>
      <c r="FJ41" s="411"/>
      <c r="FK41" s="862"/>
      <c r="FL41" s="863"/>
      <c r="FM41" s="861"/>
      <c r="FN41" s="411"/>
      <c r="FO41" s="411"/>
      <c r="FP41" s="862"/>
      <c r="FQ41" s="863"/>
      <c r="FR41" s="861"/>
      <c r="FS41" s="411"/>
      <c r="FT41" s="411"/>
      <c r="FU41" s="862"/>
      <c r="FV41" s="863"/>
      <c r="FW41" s="861"/>
      <c r="FX41" s="411"/>
      <c r="FY41" s="411"/>
      <c r="FZ41" s="862"/>
      <c r="GA41" s="863"/>
      <c r="GB41" s="861"/>
      <c r="GC41" s="411"/>
      <c r="GD41" s="411"/>
      <c r="GE41" s="862"/>
      <c r="GF41" s="863"/>
      <c r="GG41" s="346"/>
      <c r="GH41" s="347"/>
      <c r="GI41" s="347"/>
      <c r="GJ41" s="348"/>
      <c r="GK41" s="349"/>
      <c r="GL41" s="346"/>
      <c r="GM41" s="347"/>
      <c r="GN41" s="347"/>
      <c r="GO41" s="348"/>
      <c r="GP41" s="349"/>
      <c r="GQ41" s="346"/>
      <c r="GR41" s="347"/>
      <c r="GS41" s="347"/>
      <c r="GT41" s="348"/>
      <c r="GU41" s="349"/>
      <c r="GV41" s="346"/>
      <c r="GW41" s="347"/>
      <c r="GX41" s="347"/>
      <c r="GY41" s="348"/>
      <c r="GZ41" s="349"/>
      <c r="HA41" s="346"/>
      <c r="HB41" s="347"/>
      <c r="HC41" s="347"/>
      <c r="HD41" s="348"/>
      <c r="HE41" s="349"/>
      <c r="HF41" s="346"/>
      <c r="HG41" s="347"/>
      <c r="HH41" s="347"/>
      <c r="HI41" s="348"/>
      <c r="HJ41" s="349"/>
      <c r="HK41" s="346"/>
      <c r="HL41" s="347"/>
      <c r="HM41" s="347"/>
      <c r="HN41" s="348"/>
      <c r="HO41" s="349"/>
      <c r="HP41" s="346"/>
      <c r="HQ41" s="347"/>
      <c r="HR41" s="347"/>
      <c r="HS41" s="348"/>
      <c r="HT41" s="349"/>
      <c r="HU41" s="346"/>
      <c r="HV41" s="347"/>
      <c r="HW41" s="347"/>
      <c r="HX41" s="348"/>
      <c r="HY41" s="349"/>
      <c r="HZ41" s="346"/>
      <c r="IA41" s="347"/>
      <c r="IB41" s="347"/>
      <c r="IC41" s="348"/>
      <c r="ID41" s="349"/>
      <c r="IE41" s="88"/>
      <c r="IF41" s="89"/>
      <c r="IG41" s="89"/>
      <c r="IH41" s="345"/>
      <c r="II41" s="344"/>
      <c r="IJ41" s="88"/>
      <c r="IK41" s="89"/>
      <c r="IL41" s="345"/>
      <c r="IM41" s="340"/>
      <c r="IN41" s="492"/>
      <c r="IO41" s="492"/>
      <c r="IP41" s="886">
        <f t="shared" si="43"/>
        <v>0</v>
      </c>
      <c r="IQ41" s="501"/>
      <c r="IR41" s="33"/>
      <c r="IS41" s="33"/>
      <c r="IT41" s="340"/>
      <c r="IU41" s="342"/>
      <c r="IV41" s="32"/>
      <c r="IW41" s="33"/>
      <c r="IX41" s="33"/>
      <c r="IY41" s="340"/>
      <c r="IZ41" s="342"/>
      <c r="JA41" s="32"/>
      <c r="JB41" s="33"/>
      <c r="JC41" s="33"/>
      <c r="JD41" s="340"/>
      <c r="JE41" s="342"/>
      <c r="JF41" s="32"/>
      <c r="JG41" s="33"/>
      <c r="JH41" s="33"/>
      <c r="JI41" s="340"/>
      <c r="JJ41" s="342"/>
      <c r="JK41" s="32"/>
      <c r="JL41" s="33"/>
      <c r="JM41" s="33"/>
      <c r="JN41" s="340"/>
      <c r="JO41" s="342"/>
      <c r="JP41" s="32"/>
      <c r="JQ41" s="33"/>
      <c r="JR41" s="33"/>
      <c r="JS41" s="340"/>
      <c r="JT41" s="342"/>
      <c r="JU41" s="32"/>
      <c r="JV41" s="33"/>
      <c r="JW41" s="33"/>
      <c r="JX41" s="340"/>
      <c r="JY41" s="342"/>
      <c r="JZ41" s="32"/>
      <c r="KA41" s="33"/>
      <c r="KB41" s="33"/>
      <c r="KC41" s="340"/>
      <c r="KD41" s="342">
        <f t="shared" si="51"/>
        <v>0</v>
      </c>
      <c r="KE41" s="32" t="s">
        <v>213</v>
      </c>
      <c r="KF41" s="33" t="s">
        <v>213</v>
      </c>
      <c r="KG41" s="33" t="s">
        <v>213</v>
      </c>
      <c r="KH41" s="340" t="s">
        <v>213</v>
      </c>
      <c r="KI41" s="342">
        <f t="shared" si="52"/>
        <v>0</v>
      </c>
      <c r="KJ41" s="32" t="s">
        <v>213</v>
      </c>
      <c r="KK41" s="33" t="s">
        <v>213</v>
      </c>
      <c r="KL41" s="33" t="s">
        <v>213</v>
      </c>
      <c r="KM41" s="340" t="s">
        <v>213</v>
      </c>
      <c r="KN41" s="342">
        <f t="shared" si="53"/>
        <v>0</v>
      </c>
      <c r="KO41" s="32" t="s">
        <v>213</v>
      </c>
      <c r="KP41" s="33" t="s">
        <v>213</v>
      </c>
      <c r="KQ41" s="33" t="s">
        <v>213</v>
      </c>
      <c r="KR41" s="340" t="s">
        <v>213</v>
      </c>
      <c r="KS41" s="342">
        <f t="shared" si="54"/>
        <v>0</v>
      </c>
      <c r="KT41" s="32" t="str">
        <f t="shared" si="5"/>
        <v/>
      </c>
      <c r="KU41" s="33" t="str">
        <f t="shared" si="6"/>
        <v/>
      </c>
      <c r="KV41" s="33" t="str">
        <f t="shared" si="7"/>
        <v/>
      </c>
      <c r="KW41" s="340" t="str">
        <f t="shared" si="8"/>
        <v/>
      </c>
      <c r="KX41" s="342">
        <f t="shared" si="9"/>
        <v>0</v>
      </c>
      <c r="KZ41" s="507">
        <f t="shared" si="55"/>
        <v>0</v>
      </c>
    </row>
    <row r="42" spans="1:312" ht="15.75" x14ac:dyDescent="0.25">
      <c r="A42" s="367"/>
      <c r="B42" s="326">
        <v>27</v>
      </c>
      <c r="C42" s="410">
        <v>18.64</v>
      </c>
      <c r="D42" s="370"/>
      <c r="E42" s="371"/>
      <c r="F42" s="372"/>
      <c r="G42" s="373"/>
      <c r="H42" s="401"/>
      <c r="I42" s="402"/>
      <c r="J42" s="222"/>
      <c r="K42" s="222"/>
      <c r="L42" s="403"/>
      <c r="M42" s="384"/>
      <c r="N42" s="402"/>
      <c r="O42" s="222"/>
      <c r="P42" s="222"/>
      <c r="Q42" s="403"/>
      <c r="R42" s="300"/>
      <c r="S42" s="402"/>
      <c r="T42" s="222"/>
      <c r="U42" s="222"/>
      <c r="V42" s="403"/>
      <c r="W42" s="300"/>
      <c r="X42" s="402"/>
      <c r="Y42" s="222"/>
      <c r="Z42" s="222"/>
      <c r="AA42" s="403"/>
      <c r="AB42" s="300"/>
      <c r="AC42" s="404"/>
      <c r="AD42" s="405"/>
      <c r="AE42" s="405"/>
      <c r="AF42" s="406"/>
      <c r="AG42" s="407"/>
      <c r="AH42" s="395"/>
      <c r="AI42" s="386"/>
      <c r="AJ42" s="386"/>
      <c r="AK42" s="408"/>
      <c r="AL42" s="396"/>
      <c r="AM42" s="389"/>
      <c r="AN42" s="390"/>
      <c r="AO42" s="390"/>
      <c r="AP42" s="309"/>
      <c r="AQ42" s="391"/>
      <c r="AR42" s="389"/>
      <c r="AS42" s="390"/>
      <c r="AT42" s="390"/>
      <c r="AU42" s="392"/>
      <c r="AV42" s="409"/>
      <c r="AW42" s="389"/>
      <c r="AX42" s="390"/>
      <c r="AY42" s="390"/>
      <c r="AZ42" s="392"/>
      <c r="BA42" s="409"/>
      <c r="BB42" s="389"/>
      <c r="BC42" s="390"/>
      <c r="BD42" s="390"/>
      <c r="BE42" s="392"/>
      <c r="BF42" s="409"/>
      <c r="BG42" s="32"/>
      <c r="BH42" s="33"/>
      <c r="BI42" s="33"/>
      <c r="BJ42" s="343"/>
      <c r="BK42" s="342">
        <f t="shared" si="68"/>
        <v>0</v>
      </c>
      <c r="BL42" s="32">
        <v>2.63</v>
      </c>
      <c r="BM42" s="33"/>
      <c r="BN42" s="33"/>
      <c r="BO42" s="343"/>
      <c r="BP42" s="341">
        <f t="shared" si="61"/>
        <v>2.63</v>
      </c>
      <c r="BQ42" s="389">
        <v>0.3</v>
      </c>
      <c r="BR42" s="864">
        <v>0.3</v>
      </c>
      <c r="BS42" s="864"/>
      <c r="BT42" s="865"/>
      <c r="BU42" s="854">
        <f t="shared" si="14"/>
        <v>0.6</v>
      </c>
      <c r="BV42" s="866">
        <v>0.33</v>
      </c>
      <c r="BW42" s="864"/>
      <c r="BX42" s="864"/>
      <c r="BY42" s="865"/>
      <c r="BZ42" s="856">
        <f t="shared" si="15"/>
        <v>0.33</v>
      </c>
      <c r="CA42" s="857"/>
      <c r="CB42" s="858"/>
      <c r="CC42" s="858"/>
      <c r="CD42" s="859"/>
      <c r="CE42" s="860">
        <f t="shared" si="62"/>
        <v>0</v>
      </c>
      <c r="CF42" s="857"/>
      <c r="CG42" s="858"/>
      <c r="CH42" s="858"/>
      <c r="CI42" s="859"/>
      <c r="CJ42" s="860">
        <f t="shared" si="63"/>
        <v>0</v>
      </c>
      <c r="CK42" s="857">
        <v>1.17</v>
      </c>
      <c r="CL42" s="858">
        <v>0.31</v>
      </c>
      <c r="CM42" s="858"/>
      <c r="CN42" s="859"/>
      <c r="CO42" s="860">
        <f t="shared" si="64"/>
        <v>1.48</v>
      </c>
      <c r="CP42" s="861">
        <v>0.3</v>
      </c>
      <c r="CQ42" s="411">
        <v>0.3</v>
      </c>
      <c r="CR42" s="411"/>
      <c r="CS42" s="862"/>
      <c r="CT42" s="863">
        <v>0.6</v>
      </c>
      <c r="CU42" s="861">
        <v>0.42</v>
      </c>
      <c r="CV42" s="411">
        <v>0.36</v>
      </c>
      <c r="CW42" s="411"/>
      <c r="CX42" s="862"/>
      <c r="CY42" s="863">
        <f>SUM(CU42:CX42)</f>
        <v>0.78</v>
      </c>
      <c r="CZ42" s="861">
        <v>0.65</v>
      </c>
      <c r="DA42" s="411">
        <v>0.7</v>
      </c>
      <c r="DB42" s="411"/>
      <c r="DC42" s="862"/>
      <c r="DD42" s="863">
        <f>SUM(CZ42:DC42)</f>
        <v>1.35</v>
      </c>
      <c r="DE42" s="861">
        <v>1</v>
      </c>
      <c r="DF42" s="411"/>
      <c r="DG42" s="411"/>
      <c r="DH42" s="862"/>
      <c r="DI42" s="863">
        <f>SUM(DE42:DH42)</f>
        <v>1</v>
      </c>
      <c r="DJ42" s="861">
        <v>0.9</v>
      </c>
      <c r="DK42" s="411"/>
      <c r="DL42" s="411"/>
      <c r="DM42" s="862"/>
      <c r="DN42" s="863">
        <f>SUM(DJ42:DM42)</f>
        <v>0.9</v>
      </c>
      <c r="DO42" s="861">
        <v>1.21</v>
      </c>
      <c r="DP42" s="411"/>
      <c r="DQ42" s="411"/>
      <c r="DR42" s="862"/>
      <c r="DS42" s="863">
        <f>SUM(DO42:DR42)</f>
        <v>1.21</v>
      </c>
      <c r="DT42" s="861">
        <v>0.99</v>
      </c>
      <c r="DU42" s="411"/>
      <c r="DV42" s="411"/>
      <c r="DW42" s="862"/>
      <c r="DX42" s="863">
        <f>SUM(DT42:DW42)</f>
        <v>0.99</v>
      </c>
      <c r="DY42" s="861">
        <v>0.81</v>
      </c>
      <c r="DZ42" s="411">
        <v>1</v>
      </c>
      <c r="EA42" s="411"/>
      <c r="EB42" s="862"/>
      <c r="EC42" s="863">
        <f>SUM(DY42:EB42)</f>
        <v>1.81</v>
      </c>
      <c r="ED42" s="861">
        <v>0.61</v>
      </c>
      <c r="EE42" s="411"/>
      <c r="EF42" s="411"/>
      <c r="EG42" s="862"/>
      <c r="EH42" s="863">
        <f>SUM(ED42:EG42)</f>
        <v>0.61</v>
      </c>
      <c r="EI42" s="861">
        <v>3.33</v>
      </c>
      <c r="EJ42" s="411"/>
      <c r="EK42" s="411"/>
      <c r="EL42" s="862"/>
      <c r="EM42" s="863">
        <f>SUM(EI42:EL42)</f>
        <v>3.33</v>
      </c>
      <c r="EN42" s="861">
        <v>1.27</v>
      </c>
      <c r="EO42" s="411"/>
      <c r="EP42" s="411"/>
      <c r="EQ42" s="862"/>
      <c r="ER42" s="863">
        <f>SUM(EN42:EQ42)</f>
        <v>1.27</v>
      </c>
      <c r="ES42" s="861">
        <v>1.7</v>
      </c>
      <c r="ET42" s="411">
        <v>3.53</v>
      </c>
      <c r="EU42" s="411"/>
      <c r="EV42" s="862"/>
      <c r="EW42" s="863">
        <f>SUM(ES42:EV42)</f>
        <v>5.2299999999999995</v>
      </c>
      <c r="EX42" s="861">
        <v>2.19</v>
      </c>
      <c r="EY42" s="411"/>
      <c r="EZ42" s="411"/>
      <c r="FA42" s="862"/>
      <c r="FB42" s="863">
        <f>SUM(EX42:FA42)</f>
        <v>2.19</v>
      </c>
      <c r="FC42" s="861">
        <v>3.9</v>
      </c>
      <c r="FD42" s="411">
        <v>4.21</v>
      </c>
      <c r="FE42" s="411"/>
      <c r="FF42" s="862"/>
      <c r="FG42" s="863">
        <f>SUM(FC42:FF42)</f>
        <v>8.11</v>
      </c>
      <c r="FH42" s="861">
        <v>1.67</v>
      </c>
      <c r="FI42" s="411">
        <v>2.66</v>
      </c>
      <c r="FJ42" s="411"/>
      <c r="FK42" s="862"/>
      <c r="FL42" s="863">
        <f>SUM(FH42:FK42)</f>
        <v>4.33</v>
      </c>
      <c r="FM42" s="861">
        <v>2.41</v>
      </c>
      <c r="FN42" s="411"/>
      <c r="FO42" s="411"/>
      <c r="FP42" s="862"/>
      <c r="FQ42" s="863">
        <f>SUM(FM42:FP42)</f>
        <v>2.41</v>
      </c>
      <c r="FR42" s="861">
        <v>1.93</v>
      </c>
      <c r="FS42" s="411">
        <v>1.69</v>
      </c>
      <c r="FT42" s="411"/>
      <c r="FU42" s="862"/>
      <c r="FV42" s="863">
        <f>SUM(FR42:FU42)</f>
        <v>3.62</v>
      </c>
      <c r="FW42" s="861">
        <v>2.1</v>
      </c>
      <c r="FX42" s="411">
        <v>1.38</v>
      </c>
      <c r="FY42" s="411"/>
      <c r="FZ42" s="862"/>
      <c r="GA42" s="863">
        <f>SUM(FW42:FZ42)</f>
        <v>3.48</v>
      </c>
      <c r="GB42" s="861">
        <v>1.19</v>
      </c>
      <c r="GC42" s="411">
        <v>0.88</v>
      </c>
      <c r="GD42" s="411"/>
      <c r="GE42" s="862"/>
      <c r="GF42" s="863">
        <f>SUM(GB42:GE42)</f>
        <v>2.0699999999999998</v>
      </c>
      <c r="GG42" s="346">
        <v>0.8</v>
      </c>
      <c r="GH42" s="347">
        <v>0.68</v>
      </c>
      <c r="GI42" s="347">
        <v>0.71</v>
      </c>
      <c r="GJ42" s="348"/>
      <c r="GK42" s="349">
        <f>SUM(GG42:GJ42)</f>
        <v>2.19</v>
      </c>
      <c r="GL42" s="346">
        <v>0.95</v>
      </c>
      <c r="GM42" s="347">
        <v>1</v>
      </c>
      <c r="GN42" s="347"/>
      <c r="GO42" s="348"/>
      <c r="GP42" s="349">
        <f>SUM(GL42:GO42)</f>
        <v>1.95</v>
      </c>
      <c r="GQ42" s="346">
        <v>0.41</v>
      </c>
      <c r="GR42" s="347">
        <v>2.56</v>
      </c>
      <c r="GS42" s="347"/>
      <c r="GT42" s="348"/>
      <c r="GU42" s="349">
        <f>SUM(GQ42:GT42)</f>
        <v>2.97</v>
      </c>
      <c r="GV42" s="346">
        <v>3.37</v>
      </c>
      <c r="GW42" s="347">
        <v>4.09</v>
      </c>
      <c r="GX42" s="347"/>
      <c r="GY42" s="348"/>
      <c r="GZ42" s="349">
        <f>SUM(GV42:GY42)</f>
        <v>7.46</v>
      </c>
      <c r="HA42" s="346">
        <v>4.37</v>
      </c>
      <c r="HB42" s="347">
        <v>6.83</v>
      </c>
      <c r="HC42" s="347"/>
      <c r="HD42" s="348"/>
      <c r="HE42" s="349">
        <f>SUM(HA42:HD42)</f>
        <v>11.2</v>
      </c>
      <c r="HF42" s="346">
        <v>5.05</v>
      </c>
      <c r="HG42" s="347">
        <v>2.96</v>
      </c>
      <c r="HH42" s="347"/>
      <c r="HI42" s="348"/>
      <c r="HJ42" s="349">
        <f>SUM(HF42:HI42)</f>
        <v>8.01</v>
      </c>
      <c r="HK42" s="346">
        <v>9.66</v>
      </c>
      <c r="HL42" s="347">
        <v>3.87</v>
      </c>
      <c r="HM42" s="347"/>
      <c r="HN42" s="348"/>
      <c r="HO42" s="349">
        <f>SUM(HK42:HN42)</f>
        <v>13.530000000000001</v>
      </c>
      <c r="HP42" s="346">
        <v>3.46</v>
      </c>
      <c r="HQ42" s="347">
        <v>4.34</v>
      </c>
      <c r="HR42" s="347"/>
      <c r="HS42" s="348"/>
      <c r="HT42" s="349">
        <f>SUM(HP42:HS42)</f>
        <v>7.8</v>
      </c>
      <c r="HU42" s="346">
        <v>4.2</v>
      </c>
      <c r="HV42" s="347">
        <v>5.29</v>
      </c>
      <c r="HW42" s="347"/>
      <c r="HX42" s="348"/>
      <c r="HY42" s="349">
        <f>SUM(HU42:HX42)</f>
        <v>9.49</v>
      </c>
      <c r="HZ42" s="346">
        <v>9.64</v>
      </c>
      <c r="IA42" s="347">
        <v>5.83</v>
      </c>
      <c r="IB42" s="347"/>
      <c r="IC42" s="348"/>
      <c r="ID42" s="349">
        <f>SUM(HZ42:IC42)</f>
        <v>15.47</v>
      </c>
      <c r="IE42" s="88">
        <v>8.5500000000000007</v>
      </c>
      <c r="IF42" s="89">
        <v>6.76</v>
      </c>
      <c r="IG42" s="89"/>
      <c r="IH42" s="345"/>
      <c r="II42" s="344">
        <f>SUM(IE42:IH42)</f>
        <v>15.31</v>
      </c>
      <c r="IJ42" s="88">
        <v>6.36</v>
      </c>
      <c r="IK42" s="89">
        <v>7.39</v>
      </c>
      <c r="IL42" s="345"/>
      <c r="IM42" s="340"/>
      <c r="IN42" s="492">
        <f>SUM(IJ42:IM42)</f>
        <v>13.75</v>
      </c>
      <c r="IO42" s="492"/>
      <c r="IP42" s="886">
        <f t="shared" si="43"/>
        <v>109.13</v>
      </c>
      <c r="IQ42" s="501">
        <v>2.98</v>
      </c>
      <c r="IR42" s="353"/>
      <c r="IS42" s="33"/>
      <c r="IT42" s="340"/>
      <c r="IU42" s="342">
        <f>SUM(IQ42:IT42)</f>
        <v>2.98</v>
      </c>
      <c r="IV42" s="32">
        <v>8.36</v>
      </c>
      <c r="IW42" s="33">
        <v>3.6</v>
      </c>
      <c r="IX42" s="33"/>
      <c r="IY42" s="340"/>
      <c r="IZ42" s="342">
        <f>SUM(IV42:IY42)</f>
        <v>11.959999999999999</v>
      </c>
      <c r="JA42" s="32">
        <v>5.41</v>
      </c>
      <c r="JB42" s="33">
        <v>3.84</v>
      </c>
      <c r="JC42" s="33"/>
      <c r="JD42" s="340"/>
      <c r="JE42" s="342">
        <f>SUM(JA42:JD42)</f>
        <v>9.25</v>
      </c>
      <c r="JF42" s="32">
        <v>9.08</v>
      </c>
      <c r="JG42" s="33">
        <v>8.18</v>
      </c>
      <c r="JH42" s="33"/>
      <c r="JI42" s="340"/>
      <c r="JJ42" s="342">
        <f>SUM(JF42:JI42)</f>
        <v>17.259999999999998</v>
      </c>
      <c r="JK42" s="32">
        <v>8.16</v>
      </c>
      <c r="JL42" s="33">
        <v>6.15</v>
      </c>
      <c r="JM42" s="33"/>
      <c r="JN42" s="340"/>
      <c r="JO42" s="342">
        <f>SUM(JK42:JN42)</f>
        <v>14.31</v>
      </c>
      <c r="JP42" s="32">
        <v>6.9</v>
      </c>
      <c r="JQ42" s="33">
        <v>6.83</v>
      </c>
      <c r="JR42" s="33"/>
      <c r="JS42" s="340"/>
      <c r="JT42" s="342">
        <f>SUM(JP42:JS42)</f>
        <v>13.73</v>
      </c>
      <c r="JU42" s="32">
        <v>7.34</v>
      </c>
      <c r="JV42" s="33">
        <v>8.73</v>
      </c>
      <c r="JW42" s="33"/>
      <c r="JX42" s="340"/>
      <c r="JY42" s="342">
        <f>SUM(JU42:JX42)</f>
        <v>16.07</v>
      </c>
      <c r="JZ42" s="32">
        <v>7.79</v>
      </c>
      <c r="KA42" s="33">
        <v>7.52</v>
      </c>
      <c r="KB42" s="33">
        <v>9.9600000000000009</v>
      </c>
      <c r="KC42" s="340"/>
      <c r="KD42" s="342">
        <f t="shared" si="51"/>
        <v>25.27</v>
      </c>
      <c r="KE42" s="32">
        <v>9.42</v>
      </c>
      <c r="KF42" s="33">
        <v>7.53</v>
      </c>
      <c r="KG42" s="33">
        <v>0</v>
      </c>
      <c r="KH42" s="340">
        <v>0</v>
      </c>
      <c r="KI42" s="342">
        <f t="shared" si="52"/>
        <v>16.95</v>
      </c>
      <c r="KJ42" s="32">
        <v>3.37</v>
      </c>
      <c r="KK42" s="33">
        <v>17.25</v>
      </c>
      <c r="KL42" s="33">
        <v>0</v>
      </c>
      <c r="KM42" s="340">
        <v>0</v>
      </c>
      <c r="KN42" s="342">
        <f t="shared" si="53"/>
        <v>20.62</v>
      </c>
      <c r="KO42" s="32">
        <v>4.34</v>
      </c>
      <c r="KP42" s="33">
        <v>19.899999999999999</v>
      </c>
      <c r="KQ42" s="33">
        <v>0</v>
      </c>
      <c r="KR42" s="340">
        <v>0</v>
      </c>
      <c r="KS42" s="342">
        <f t="shared" si="54"/>
        <v>24.24</v>
      </c>
      <c r="KT42" s="32">
        <f t="shared" si="5"/>
        <v>10</v>
      </c>
      <c r="KU42" s="33">
        <f t="shared" si="6"/>
        <v>9</v>
      </c>
      <c r="KV42" s="33">
        <f t="shared" si="7"/>
        <v>0</v>
      </c>
      <c r="KW42" s="340">
        <f t="shared" si="8"/>
        <v>0</v>
      </c>
      <c r="KX42" s="342">
        <f t="shared" si="9"/>
        <v>19</v>
      </c>
      <c r="KZ42" s="507">
        <f t="shared" si="55"/>
        <v>191.64000000000001</v>
      </c>
    </row>
    <row r="43" spans="1:312" ht="15.75" x14ac:dyDescent="0.25">
      <c r="A43" s="367"/>
      <c r="B43" s="326">
        <v>28</v>
      </c>
      <c r="C43" s="410">
        <v>25.5</v>
      </c>
      <c r="D43" s="370"/>
      <c r="E43" s="371"/>
      <c r="F43" s="372"/>
      <c r="G43" s="373"/>
      <c r="H43" s="401"/>
      <c r="I43" s="402"/>
      <c r="J43" s="222"/>
      <c r="K43" s="222"/>
      <c r="L43" s="403"/>
      <c r="M43" s="384"/>
      <c r="N43" s="402"/>
      <c r="O43" s="222"/>
      <c r="P43" s="222"/>
      <c r="Q43" s="403"/>
      <c r="R43" s="300"/>
      <c r="S43" s="402"/>
      <c r="T43" s="222"/>
      <c r="U43" s="222"/>
      <c r="V43" s="403"/>
      <c r="W43" s="300"/>
      <c r="X43" s="402"/>
      <c r="Y43" s="222"/>
      <c r="Z43" s="222"/>
      <c r="AA43" s="403"/>
      <c r="AB43" s="300"/>
      <c r="AC43" s="404"/>
      <c r="AD43" s="405"/>
      <c r="AE43" s="405"/>
      <c r="AF43" s="406"/>
      <c r="AG43" s="407"/>
      <c r="AH43" s="395"/>
      <c r="AI43" s="386"/>
      <c r="AJ43" s="386"/>
      <c r="AK43" s="408"/>
      <c r="AL43" s="396"/>
      <c r="AM43" s="389"/>
      <c r="AN43" s="390"/>
      <c r="AO43" s="390"/>
      <c r="AP43" s="309"/>
      <c r="AQ43" s="391"/>
      <c r="AR43" s="389"/>
      <c r="AS43" s="390"/>
      <c r="AT43" s="390"/>
      <c r="AU43" s="392"/>
      <c r="AV43" s="409"/>
      <c r="AW43" s="389"/>
      <c r="AX43" s="390"/>
      <c r="AY43" s="390"/>
      <c r="AZ43" s="392"/>
      <c r="BA43" s="409"/>
      <c r="BB43" s="389"/>
      <c r="BC43" s="390"/>
      <c r="BD43" s="390"/>
      <c r="BE43" s="392"/>
      <c r="BF43" s="409"/>
      <c r="BG43" s="32">
        <v>3.88</v>
      </c>
      <c r="BH43" s="33"/>
      <c r="BI43" s="33"/>
      <c r="BJ43" s="343"/>
      <c r="BK43" s="342">
        <f t="shared" si="68"/>
        <v>3.88</v>
      </c>
      <c r="BL43" s="32">
        <v>6.56</v>
      </c>
      <c r="BM43" s="33">
        <v>2.04</v>
      </c>
      <c r="BN43" s="33"/>
      <c r="BO43" s="343"/>
      <c r="BP43" s="341">
        <f t="shared" si="61"/>
        <v>8.6</v>
      </c>
      <c r="BQ43" s="32">
        <v>2.06</v>
      </c>
      <c r="BR43" s="43">
        <v>1.55</v>
      </c>
      <c r="BS43" s="43"/>
      <c r="BT43" s="853"/>
      <c r="BU43" s="854">
        <f t="shared" si="14"/>
        <v>3.6100000000000003</v>
      </c>
      <c r="BV43" s="855">
        <v>1.93</v>
      </c>
      <c r="BW43" s="43">
        <v>2.1</v>
      </c>
      <c r="BX43" s="43"/>
      <c r="BY43" s="853"/>
      <c r="BZ43" s="856">
        <f t="shared" si="15"/>
        <v>4.03</v>
      </c>
      <c r="CA43" s="857">
        <v>1.1299999999999999</v>
      </c>
      <c r="CB43" s="858"/>
      <c r="CC43" s="858"/>
      <c r="CD43" s="859"/>
      <c r="CE43" s="860">
        <f t="shared" si="62"/>
        <v>1.1299999999999999</v>
      </c>
      <c r="CF43" s="857">
        <v>5.29</v>
      </c>
      <c r="CG43" s="858"/>
      <c r="CH43" s="858"/>
      <c r="CI43" s="859"/>
      <c r="CJ43" s="860">
        <f t="shared" si="63"/>
        <v>5.29</v>
      </c>
      <c r="CK43" s="857">
        <v>3.9</v>
      </c>
      <c r="CL43" s="858">
        <v>6.64</v>
      </c>
      <c r="CM43" s="858"/>
      <c r="CN43" s="859"/>
      <c r="CO43" s="860">
        <f t="shared" si="64"/>
        <v>10.54</v>
      </c>
      <c r="CP43" s="861">
        <v>6.46</v>
      </c>
      <c r="CQ43" s="411">
        <v>8.81</v>
      </c>
      <c r="CR43" s="411"/>
      <c r="CS43" s="862"/>
      <c r="CT43" s="863">
        <v>15.27</v>
      </c>
      <c r="CU43" s="861">
        <v>7.27</v>
      </c>
      <c r="CV43" s="411">
        <v>8.18</v>
      </c>
      <c r="CW43" s="411"/>
      <c r="CX43" s="862"/>
      <c r="CY43" s="863">
        <f>SUM(CU43:CX43)</f>
        <v>15.45</v>
      </c>
      <c r="CZ43" s="861">
        <v>7.03</v>
      </c>
      <c r="DA43" s="411">
        <v>8.39</v>
      </c>
      <c r="DB43" s="411"/>
      <c r="DC43" s="862"/>
      <c r="DD43" s="863">
        <f>SUM(CZ43:DC43)</f>
        <v>15.420000000000002</v>
      </c>
      <c r="DE43" s="861">
        <v>13.77</v>
      </c>
      <c r="DF43" s="411"/>
      <c r="DG43" s="411"/>
      <c r="DH43" s="862"/>
      <c r="DI43" s="863">
        <f>SUM(DE43:DH43)</f>
        <v>13.77</v>
      </c>
      <c r="DJ43" s="861">
        <v>18.03</v>
      </c>
      <c r="DK43" s="411"/>
      <c r="DL43" s="411"/>
      <c r="DM43" s="862"/>
      <c r="DN43" s="863">
        <f>SUM(DJ43:DM43)</f>
        <v>18.03</v>
      </c>
      <c r="DO43" s="861">
        <v>12.02</v>
      </c>
      <c r="DP43" s="411">
        <v>2.08</v>
      </c>
      <c r="DQ43" s="411"/>
      <c r="DR43" s="862"/>
      <c r="DS43" s="863">
        <f>SUM(DO43:DR43)</f>
        <v>14.1</v>
      </c>
      <c r="DT43" s="861">
        <v>16.010000000000002</v>
      </c>
      <c r="DU43" s="411">
        <v>7.27</v>
      </c>
      <c r="DV43" s="411"/>
      <c r="DW43" s="862"/>
      <c r="DX43" s="863">
        <f>SUM(DT43:DW43)</f>
        <v>23.28</v>
      </c>
      <c r="DY43" s="861">
        <v>6.37</v>
      </c>
      <c r="DZ43" s="411"/>
      <c r="EA43" s="411"/>
      <c r="EB43" s="862"/>
      <c r="EC43" s="863">
        <f>SUM(DY43:EB43)</f>
        <v>6.37</v>
      </c>
      <c r="ED43" s="861">
        <v>8.07</v>
      </c>
      <c r="EE43" s="411"/>
      <c r="EF43" s="411"/>
      <c r="EG43" s="862"/>
      <c r="EH43" s="863">
        <f>SUM(ED43:EG43)</f>
        <v>8.07</v>
      </c>
      <c r="EI43" s="861">
        <v>11.76</v>
      </c>
      <c r="EJ43" s="411"/>
      <c r="EK43" s="411"/>
      <c r="EL43" s="862"/>
      <c r="EM43" s="863">
        <f>SUM(EI43:EL43)</f>
        <v>11.76</v>
      </c>
      <c r="EN43" s="861">
        <v>10.65</v>
      </c>
      <c r="EO43" s="411"/>
      <c r="EP43" s="411"/>
      <c r="EQ43" s="862"/>
      <c r="ER43" s="863">
        <f>SUM(EN43:EQ43)</f>
        <v>10.65</v>
      </c>
      <c r="ES43" s="861">
        <v>10.37</v>
      </c>
      <c r="ET43" s="411">
        <v>6.61</v>
      </c>
      <c r="EU43" s="411"/>
      <c r="EV43" s="862"/>
      <c r="EW43" s="863">
        <f>SUM(ES43:EV43)</f>
        <v>16.98</v>
      </c>
      <c r="EX43" s="861">
        <v>6.85</v>
      </c>
      <c r="EY43" s="411">
        <v>3.78</v>
      </c>
      <c r="EZ43" s="411"/>
      <c r="FA43" s="862"/>
      <c r="FB43" s="863">
        <f>SUM(EX43:FA43)</f>
        <v>10.629999999999999</v>
      </c>
      <c r="FC43" s="861">
        <v>4.72</v>
      </c>
      <c r="FD43" s="411">
        <v>8.06</v>
      </c>
      <c r="FE43" s="411"/>
      <c r="FF43" s="862"/>
      <c r="FG43" s="863">
        <f>SUM(FC43:FF43)</f>
        <v>12.780000000000001</v>
      </c>
      <c r="FH43" s="861">
        <v>9.11</v>
      </c>
      <c r="FI43" s="411">
        <v>6.78</v>
      </c>
      <c r="FJ43" s="411"/>
      <c r="FK43" s="862"/>
      <c r="FL43" s="863">
        <f>SUM(FH43:FK43)</f>
        <v>15.89</v>
      </c>
      <c r="FM43" s="861">
        <v>11.23</v>
      </c>
      <c r="FN43" s="411">
        <v>10.17</v>
      </c>
      <c r="FO43" s="411"/>
      <c r="FP43" s="862"/>
      <c r="FQ43" s="863">
        <f>SUM(FM43:FP43)</f>
        <v>21.4</v>
      </c>
      <c r="FR43" s="861">
        <v>10.55</v>
      </c>
      <c r="FS43" s="411">
        <v>12.33</v>
      </c>
      <c r="FT43" s="411"/>
      <c r="FU43" s="862"/>
      <c r="FV43" s="863">
        <f>SUM(FR43:FU43)</f>
        <v>22.880000000000003</v>
      </c>
      <c r="FW43" s="861">
        <v>17.14</v>
      </c>
      <c r="FX43" s="882"/>
      <c r="FY43" s="411"/>
      <c r="FZ43" s="862"/>
      <c r="GA43" s="863">
        <f>SUM(FW43:FZ43)</f>
        <v>17.14</v>
      </c>
      <c r="GB43" s="861">
        <v>7.48</v>
      </c>
      <c r="GC43" s="411">
        <v>8.67</v>
      </c>
      <c r="GD43" s="411"/>
      <c r="GE43" s="862"/>
      <c r="GF43" s="863">
        <f>SUM(GB43:GE43)</f>
        <v>16.149999999999999</v>
      </c>
      <c r="GG43" s="346">
        <v>11.54</v>
      </c>
      <c r="GH43" s="347">
        <v>6.35</v>
      </c>
      <c r="GI43" s="347"/>
      <c r="GJ43" s="348"/>
      <c r="GK43" s="349">
        <f>SUM(GG43:GJ43)</f>
        <v>17.89</v>
      </c>
      <c r="GL43" s="346">
        <v>7.38</v>
      </c>
      <c r="GM43" s="347">
        <v>8.43</v>
      </c>
      <c r="GN43" s="347"/>
      <c r="GO43" s="348"/>
      <c r="GP43" s="349">
        <f>SUM(GL43:GO43)</f>
        <v>15.809999999999999</v>
      </c>
      <c r="GQ43" s="346">
        <v>10.14</v>
      </c>
      <c r="GR43" s="347">
        <v>8.74</v>
      </c>
      <c r="GS43" s="347"/>
      <c r="GT43" s="348"/>
      <c r="GU43" s="349">
        <f>SUM(GQ43:GT43)</f>
        <v>18.880000000000003</v>
      </c>
      <c r="GV43" s="346">
        <v>6.83</v>
      </c>
      <c r="GW43" s="347">
        <v>13.91</v>
      </c>
      <c r="GX43" s="347"/>
      <c r="GY43" s="348"/>
      <c r="GZ43" s="349">
        <f>SUM(GV43:GY43)</f>
        <v>20.740000000000002</v>
      </c>
      <c r="HA43" s="346">
        <v>10.68</v>
      </c>
      <c r="HB43" s="347">
        <v>9.7899999999999991</v>
      </c>
      <c r="HC43" s="347"/>
      <c r="HD43" s="348"/>
      <c r="HE43" s="349">
        <f>SUM(HA43:HD43)</f>
        <v>20.47</v>
      </c>
      <c r="HF43" s="346">
        <v>9.1999999999999993</v>
      </c>
      <c r="HG43" s="347">
        <v>14.41</v>
      </c>
      <c r="HH43" s="347"/>
      <c r="HI43" s="348"/>
      <c r="HJ43" s="349">
        <f>SUM(HF43:HI43)</f>
        <v>23.61</v>
      </c>
      <c r="HK43" s="346">
        <v>8.6</v>
      </c>
      <c r="HL43" s="347">
        <v>8.6199999999999992</v>
      </c>
      <c r="HM43" s="347"/>
      <c r="HN43" s="348"/>
      <c r="HO43" s="349">
        <f>SUM(HK43:HN43)</f>
        <v>17.22</v>
      </c>
      <c r="HP43" s="346">
        <v>10.84</v>
      </c>
      <c r="HQ43" s="347">
        <v>13.11</v>
      </c>
      <c r="HR43" s="347"/>
      <c r="HS43" s="348"/>
      <c r="HT43" s="349">
        <f>SUM(HP43:HS43)</f>
        <v>23.95</v>
      </c>
      <c r="HU43" s="346">
        <v>11.38</v>
      </c>
      <c r="HV43" s="347">
        <v>12.32</v>
      </c>
      <c r="HW43" s="347"/>
      <c r="HX43" s="348"/>
      <c r="HY43" s="349">
        <f>SUM(HU43:HX43)</f>
        <v>23.700000000000003</v>
      </c>
      <c r="HZ43" s="346">
        <v>16.940000000000001</v>
      </c>
      <c r="IA43" s="347">
        <v>7.76</v>
      </c>
      <c r="IB43" s="347"/>
      <c r="IC43" s="348"/>
      <c r="ID43" s="349">
        <f>SUM(HZ43:IC43)</f>
        <v>24.700000000000003</v>
      </c>
      <c r="IE43" s="88">
        <v>22.85</v>
      </c>
      <c r="IF43" s="355"/>
      <c r="IG43" s="89"/>
      <c r="IH43" s="345"/>
      <c r="II43" s="344">
        <f>SUM(IE43:IH43)</f>
        <v>22.85</v>
      </c>
      <c r="IJ43" s="88">
        <v>8.5399999999999991</v>
      </c>
      <c r="IK43" s="89">
        <v>11.07</v>
      </c>
      <c r="IL43" s="345"/>
      <c r="IM43" s="340"/>
      <c r="IN43" s="492">
        <f>SUM(IJ43:IM43)</f>
        <v>19.61</v>
      </c>
      <c r="IO43" s="492"/>
      <c r="IP43" s="886">
        <f t="shared" si="43"/>
        <v>249.42999999999995</v>
      </c>
      <c r="IQ43" s="501">
        <v>13.12</v>
      </c>
      <c r="IR43" s="33">
        <v>13.67</v>
      </c>
      <c r="IS43" s="33"/>
      <c r="IT43" s="340"/>
      <c r="IU43" s="342">
        <f>SUM(IQ43:IT43)</f>
        <v>26.79</v>
      </c>
      <c r="IV43" s="32">
        <v>13.81</v>
      </c>
      <c r="IW43" s="33">
        <v>2.56</v>
      </c>
      <c r="IX43" s="33"/>
      <c r="IY43" s="340"/>
      <c r="IZ43" s="342">
        <f>SUM(IV43:IY43)</f>
        <v>16.37</v>
      </c>
      <c r="JA43" s="32">
        <v>14.53</v>
      </c>
      <c r="JB43" s="33">
        <v>12.85</v>
      </c>
      <c r="JC43" s="33"/>
      <c r="JD43" s="340"/>
      <c r="JE43" s="342">
        <f>SUM(JA43:JD43)</f>
        <v>27.38</v>
      </c>
      <c r="JF43" s="32">
        <v>19</v>
      </c>
      <c r="JG43" s="33">
        <v>7.42</v>
      </c>
      <c r="JH43" s="33"/>
      <c r="JI43" s="340"/>
      <c r="JJ43" s="342">
        <f>SUM(JF43:JI43)</f>
        <v>26.42</v>
      </c>
      <c r="JK43" s="32">
        <v>23.19</v>
      </c>
      <c r="JL43" s="353"/>
      <c r="JM43" s="33"/>
      <c r="JN43" s="340"/>
      <c r="JO43" s="342">
        <f>SUM(JK43:JN43)</f>
        <v>23.19</v>
      </c>
      <c r="JP43" s="32">
        <v>21.95</v>
      </c>
      <c r="JQ43" s="33">
        <v>15.82</v>
      </c>
      <c r="JR43" s="33"/>
      <c r="JS43" s="340"/>
      <c r="JT43" s="342">
        <f>SUM(JP43:JS43)</f>
        <v>37.769999999999996</v>
      </c>
      <c r="JU43" s="32">
        <v>15.71</v>
      </c>
      <c r="JV43" s="33">
        <v>11.26</v>
      </c>
      <c r="JW43" s="33"/>
      <c r="JX43" s="340"/>
      <c r="JY43" s="342">
        <f>SUM(JU43:JX43)</f>
        <v>26.97</v>
      </c>
      <c r="JZ43" s="32">
        <v>17.920000000000002</v>
      </c>
      <c r="KA43" s="33">
        <v>4.12</v>
      </c>
      <c r="KB43" s="33"/>
      <c r="KC43" s="340"/>
      <c r="KD43" s="342">
        <f t="shared" si="51"/>
        <v>22.040000000000003</v>
      </c>
      <c r="KE43" s="32">
        <v>24.71</v>
      </c>
      <c r="KF43" s="33">
        <v>5.59</v>
      </c>
      <c r="KG43" s="33">
        <v>0</v>
      </c>
      <c r="KH43" s="340">
        <v>0</v>
      </c>
      <c r="KI43" s="342">
        <f t="shared" si="52"/>
        <v>30.3</v>
      </c>
      <c r="KJ43" s="32">
        <v>22.75</v>
      </c>
      <c r="KK43" s="33">
        <v>10.870000000000001</v>
      </c>
      <c r="KL43" s="33">
        <v>0</v>
      </c>
      <c r="KM43" s="340">
        <v>0</v>
      </c>
      <c r="KN43" s="342">
        <f t="shared" si="53"/>
        <v>33.620000000000005</v>
      </c>
      <c r="KO43" s="32">
        <v>23.27</v>
      </c>
      <c r="KP43" s="33">
        <v>13.7</v>
      </c>
      <c r="KQ43" s="33">
        <v>0</v>
      </c>
      <c r="KR43" s="340">
        <v>0</v>
      </c>
      <c r="KS43" s="342">
        <f t="shared" si="54"/>
        <v>36.97</v>
      </c>
      <c r="KT43" s="32">
        <f t="shared" si="5"/>
        <v>23.75</v>
      </c>
      <c r="KU43" s="33">
        <f t="shared" si="6"/>
        <v>0</v>
      </c>
      <c r="KV43" s="33">
        <f t="shared" si="7"/>
        <v>0</v>
      </c>
      <c r="KW43" s="340">
        <f t="shared" si="8"/>
        <v>0</v>
      </c>
      <c r="KX43" s="342">
        <f t="shared" si="9"/>
        <v>23.75</v>
      </c>
      <c r="KZ43" s="507">
        <f t="shared" si="55"/>
        <v>331.57000000000005</v>
      </c>
    </row>
    <row r="44" spans="1:312" ht="15.75" x14ac:dyDescent="0.25">
      <c r="A44" s="367"/>
      <c r="B44" s="326">
        <v>29</v>
      </c>
      <c r="C44" s="410">
        <v>11.38</v>
      </c>
      <c r="D44" s="370"/>
      <c r="E44" s="371"/>
      <c r="F44" s="372"/>
      <c r="G44" s="373"/>
      <c r="H44" s="401"/>
      <c r="I44" s="402"/>
      <c r="J44" s="222"/>
      <c r="K44" s="222"/>
      <c r="L44" s="403"/>
      <c r="M44" s="384"/>
      <c r="N44" s="402"/>
      <c r="O44" s="222"/>
      <c r="P44" s="222"/>
      <c r="Q44" s="403"/>
      <c r="R44" s="300"/>
      <c r="S44" s="402"/>
      <c r="T44" s="222"/>
      <c r="U44" s="222"/>
      <c r="V44" s="403"/>
      <c r="W44" s="300"/>
      <c r="X44" s="402"/>
      <c r="Y44" s="222"/>
      <c r="Z44" s="222"/>
      <c r="AA44" s="403"/>
      <c r="AB44" s="300"/>
      <c r="AC44" s="404"/>
      <c r="AD44" s="405"/>
      <c r="AE44" s="405"/>
      <c r="AF44" s="406"/>
      <c r="AG44" s="407"/>
      <c r="AH44" s="395"/>
      <c r="AI44" s="386"/>
      <c r="AJ44" s="386"/>
      <c r="AK44" s="408"/>
      <c r="AL44" s="396"/>
      <c r="AM44" s="389"/>
      <c r="AN44" s="390"/>
      <c r="AO44" s="390"/>
      <c r="AP44" s="309"/>
      <c r="AQ44" s="391"/>
      <c r="AR44" s="389"/>
      <c r="AS44" s="390"/>
      <c r="AT44" s="390"/>
      <c r="AU44" s="392"/>
      <c r="AV44" s="409"/>
      <c r="AW44" s="389"/>
      <c r="AX44" s="390"/>
      <c r="AY44" s="390"/>
      <c r="AZ44" s="392"/>
      <c r="BA44" s="409"/>
      <c r="BB44" s="389"/>
      <c r="BC44" s="390"/>
      <c r="BD44" s="390"/>
      <c r="BE44" s="392"/>
      <c r="BF44" s="409"/>
      <c r="BG44" s="32"/>
      <c r="BH44" s="33"/>
      <c r="BI44" s="33"/>
      <c r="BJ44" s="343"/>
      <c r="BK44" s="342">
        <f t="shared" si="68"/>
        <v>0</v>
      </c>
      <c r="BL44" s="32"/>
      <c r="BM44" s="33"/>
      <c r="BN44" s="33"/>
      <c r="BO44" s="343"/>
      <c r="BP44" s="341">
        <f t="shared" si="61"/>
        <v>0</v>
      </c>
      <c r="BQ44" s="32"/>
      <c r="BR44" s="43"/>
      <c r="BS44" s="43"/>
      <c r="BT44" s="853"/>
      <c r="BU44" s="854">
        <f t="shared" si="14"/>
        <v>0</v>
      </c>
      <c r="BV44" s="855"/>
      <c r="BW44" s="43"/>
      <c r="BX44" s="43"/>
      <c r="BY44" s="853"/>
      <c r="BZ44" s="856">
        <f t="shared" si="15"/>
        <v>0</v>
      </c>
      <c r="CA44" s="857"/>
      <c r="CB44" s="858"/>
      <c r="CC44" s="858"/>
      <c r="CD44" s="859"/>
      <c r="CE44" s="860">
        <f t="shared" si="62"/>
        <v>0</v>
      </c>
      <c r="CF44" s="857"/>
      <c r="CG44" s="858"/>
      <c r="CH44" s="858"/>
      <c r="CI44" s="859"/>
      <c r="CJ44" s="860">
        <f t="shared" si="63"/>
        <v>0</v>
      </c>
      <c r="CK44" s="857"/>
      <c r="CL44" s="858"/>
      <c r="CM44" s="858"/>
      <c r="CN44" s="859"/>
      <c r="CO44" s="863">
        <f t="shared" si="64"/>
        <v>0</v>
      </c>
      <c r="CP44" s="861"/>
      <c r="CQ44" s="411"/>
      <c r="CR44" s="411"/>
      <c r="CS44" s="862"/>
      <c r="CT44" s="863">
        <v>0</v>
      </c>
      <c r="CU44" s="861"/>
      <c r="CV44" s="411"/>
      <c r="CW44" s="411"/>
      <c r="CX44" s="862"/>
      <c r="CY44" s="863">
        <v>0</v>
      </c>
      <c r="CZ44" s="861"/>
      <c r="DA44" s="411"/>
      <c r="DB44" s="411"/>
      <c r="DC44" s="862"/>
      <c r="DD44" s="863">
        <v>0</v>
      </c>
      <c r="DE44" s="861"/>
      <c r="DF44" s="411"/>
      <c r="DG44" s="411"/>
      <c r="DH44" s="862"/>
      <c r="DI44" s="863">
        <v>0</v>
      </c>
      <c r="DJ44" s="861"/>
      <c r="DK44" s="411"/>
      <c r="DL44" s="411"/>
      <c r="DM44" s="862"/>
      <c r="DN44" s="863">
        <v>0</v>
      </c>
      <c r="DO44" s="861"/>
      <c r="DP44" s="411"/>
      <c r="DQ44" s="411"/>
      <c r="DR44" s="862"/>
      <c r="DS44" s="863">
        <v>0</v>
      </c>
      <c r="DT44" s="861"/>
      <c r="DU44" s="411"/>
      <c r="DV44" s="411"/>
      <c r="DW44" s="862"/>
      <c r="DX44" s="863">
        <v>0</v>
      </c>
      <c r="DY44" s="861"/>
      <c r="DZ44" s="411"/>
      <c r="EA44" s="411"/>
      <c r="EB44" s="862"/>
      <c r="EC44" s="863">
        <v>0</v>
      </c>
      <c r="ED44" s="861"/>
      <c r="EE44" s="411"/>
      <c r="EF44" s="411"/>
      <c r="EG44" s="862"/>
      <c r="EH44" s="863">
        <v>0</v>
      </c>
      <c r="EI44" s="861"/>
      <c r="EJ44" s="411"/>
      <c r="EK44" s="411"/>
      <c r="EL44" s="862"/>
      <c r="EM44" s="863">
        <v>0</v>
      </c>
      <c r="EN44" s="861"/>
      <c r="EO44" s="411"/>
      <c r="EP44" s="411"/>
      <c r="EQ44" s="862"/>
      <c r="ER44" s="863">
        <v>0</v>
      </c>
      <c r="ES44" s="861"/>
      <c r="ET44" s="411"/>
      <c r="EU44" s="411"/>
      <c r="EV44" s="862"/>
      <c r="EW44" s="863">
        <v>0</v>
      </c>
      <c r="EX44" s="861"/>
      <c r="EY44" s="411"/>
      <c r="EZ44" s="411"/>
      <c r="FA44" s="862"/>
      <c r="FB44" s="863">
        <v>0</v>
      </c>
      <c r="FC44" s="861"/>
      <c r="FD44" s="411"/>
      <c r="FE44" s="411"/>
      <c r="FF44" s="862"/>
      <c r="FG44" s="863">
        <v>0</v>
      </c>
      <c r="FH44" s="861"/>
      <c r="FI44" s="411"/>
      <c r="FJ44" s="411"/>
      <c r="FK44" s="862"/>
      <c r="FL44" s="863">
        <v>0</v>
      </c>
      <c r="FM44" s="861"/>
      <c r="FN44" s="411"/>
      <c r="FO44" s="411"/>
      <c r="FP44" s="862"/>
      <c r="FQ44" s="863">
        <v>0</v>
      </c>
      <c r="FR44" s="861"/>
      <c r="FS44" s="411"/>
      <c r="FT44" s="411"/>
      <c r="FU44" s="862"/>
      <c r="FV44" s="863">
        <v>0</v>
      </c>
      <c r="FW44" s="861"/>
      <c r="FX44" s="411"/>
      <c r="FY44" s="411"/>
      <c r="FZ44" s="862"/>
      <c r="GA44" s="863">
        <v>0</v>
      </c>
      <c r="GB44" s="861"/>
      <c r="GC44" s="411"/>
      <c r="GD44" s="411"/>
      <c r="GE44" s="862"/>
      <c r="GF44" s="863">
        <v>0</v>
      </c>
      <c r="GG44" s="346"/>
      <c r="GH44" s="347"/>
      <c r="GI44" s="347"/>
      <c r="GJ44" s="348"/>
      <c r="GK44" s="349">
        <v>0</v>
      </c>
      <c r="GL44" s="346"/>
      <c r="GM44" s="347"/>
      <c r="GN44" s="347"/>
      <c r="GO44" s="348"/>
      <c r="GP44" s="349">
        <v>0</v>
      </c>
      <c r="GQ44" s="346"/>
      <c r="GR44" s="347"/>
      <c r="GS44" s="347"/>
      <c r="GT44" s="348"/>
      <c r="GU44" s="349">
        <v>0</v>
      </c>
      <c r="GV44" s="346"/>
      <c r="GW44" s="347"/>
      <c r="GX44" s="347"/>
      <c r="GY44" s="348"/>
      <c r="GZ44" s="349">
        <v>0</v>
      </c>
      <c r="HA44" s="346"/>
      <c r="HB44" s="347"/>
      <c r="HC44" s="347"/>
      <c r="HD44" s="348"/>
      <c r="HE44" s="349">
        <v>0</v>
      </c>
      <c r="HF44" s="346">
        <v>1.99</v>
      </c>
      <c r="HG44" s="347">
        <v>0.54</v>
      </c>
      <c r="HH44" s="347"/>
      <c r="HI44" s="348"/>
      <c r="HJ44" s="349">
        <f>SUM(HF44:HI44)</f>
        <v>2.5300000000000002</v>
      </c>
      <c r="HK44" s="346">
        <v>0.52</v>
      </c>
      <c r="HL44" s="347">
        <v>1.32</v>
      </c>
      <c r="HM44" s="347"/>
      <c r="HN44" s="348"/>
      <c r="HO44" s="349">
        <f>SUM(HK44:HN44)</f>
        <v>1.84</v>
      </c>
      <c r="HP44" s="346">
        <v>0.94</v>
      </c>
      <c r="HQ44" s="347">
        <v>1.57</v>
      </c>
      <c r="HR44" s="347"/>
      <c r="HS44" s="348"/>
      <c r="HT44" s="349">
        <f>SUM(HP44:HS44)</f>
        <v>2.5099999999999998</v>
      </c>
      <c r="HU44" s="346">
        <v>0.9</v>
      </c>
      <c r="HV44" s="352"/>
      <c r="HW44" s="347"/>
      <c r="HX44" s="348"/>
      <c r="HY44" s="349">
        <f>SUM(HU44:HX44)</f>
        <v>0.9</v>
      </c>
      <c r="HZ44" s="346">
        <v>0.83</v>
      </c>
      <c r="IA44" s="347">
        <v>1</v>
      </c>
      <c r="IB44" s="347"/>
      <c r="IC44" s="348"/>
      <c r="ID44" s="349">
        <f>SUM(HZ44:IC44)</f>
        <v>1.83</v>
      </c>
      <c r="IE44" s="88">
        <v>1.04</v>
      </c>
      <c r="IF44" s="89">
        <v>3.27</v>
      </c>
      <c r="IG44" s="89"/>
      <c r="IH44" s="345"/>
      <c r="II44" s="344">
        <f>SUM(IE44:IH44)</f>
        <v>4.3100000000000005</v>
      </c>
      <c r="IJ44" s="88">
        <v>1.3</v>
      </c>
      <c r="IK44" s="89">
        <v>1.4</v>
      </c>
      <c r="IL44" s="345"/>
      <c r="IM44" s="340"/>
      <c r="IN44" s="492">
        <f>SUM(IJ44:IM44)</f>
        <v>2.7</v>
      </c>
      <c r="IO44" s="492"/>
      <c r="IP44" s="886">
        <f t="shared" si="43"/>
        <v>16.62</v>
      </c>
      <c r="IQ44" s="501">
        <v>1.81</v>
      </c>
      <c r="IR44" s="353"/>
      <c r="IS44" s="33"/>
      <c r="IT44" s="340"/>
      <c r="IU44" s="342">
        <f>SUM(IQ44:IT44)</f>
        <v>1.81</v>
      </c>
      <c r="IV44" s="32">
        <v>1.02</v>
      </c>
      <c r="IW44" s="33">
        <v>0.5</v>
      </c>
      <c r="IX44" s="33"/>
      <c r="IY44" s="340"/>
      <c r="IZ44" s="342">
        <f>SUM(IV44:IY44)</f>
        <v>1.52</v>
      </c>
      <c r="JA44" s="32">
        <v>0.65</v>
      </c>
      <c r="JB44" s="33">
        <v>0.99</v>
      </c>
      <c r="JC44" s="33">
        <v>1</v>
      </c>
      <c r="JD44" s="340"/>
      <c r="JE44" s="342">
        <f>SUM(JA44:JD44)</f>
        <v>2.64</v>
      </c>
      <c r="JF44" s="32">
        <v>1.41</v>
      </c>
      <c r="JG44" s="33">
        <v>2.23</v>
      </c>
      <c r="JH44" s="33"/>
      <c r="JI44" s="340"/>
      <c r="JJ44" s="342">
        <f>SUM(JF44:JI44)</f>
        <v>3.6399999999999997</v>
      </c>
      <c r="JK44" s="32">
        <v>5.3</v>
      </c>
      <c r="JL44" s="353"/>
      <c r="JM44" s="33"/>
      <c r="JN44" s="340"/>
      <c r="JO44" s="342">
        <f>SUM(JK44:JN44)</f>
        <v>5.3</v>
      </c>
      <c r="JP44" s="32">
        <v>3.5</v>
      </c>
      <c r="JQ44" s="33">
        <v>5.73</v>
      </c>
      <c r="JR44" s="33"/>
      <c r="JS44" s="340"/>
      <c r="JT44" s="342">
        <f>SUM(JP44:JS44)</f>
        <v>9.23</v>
      </c>
      <c r="JU44" s="32">
        <v>2.19</v>
      </c>
      <c r="JV44" s="33">
        <v>3.53</v>
      </c>
      <c r="JW44" s="33"/>
      <c r="JX44" s="340"/>
      <c r="JY44" s="342">
        <f>SUM(JU44:JX44)</f>
        <v>5.72</v>
      </c>
      <c r="JZ44" s="32">
        <v>8.4700000000000006</v>
      </c>
      <c r="KA44" s="33">
        <v>4.1900000000000004</v>
      </c>
      <c r="KB44" s="33"/>
      <c r="KC44" s="340"/>
      <c r="KD44" s="342">
        <f t="shared" si="51"/>
        <v>12.66</v>
      </c>
      <c r="KE44" s="32">
        <v>5.51</v>
      </c>
      <c r="KF44" s="33">
        <v>6.58</v>
      </c>
      <c r="KG44" s="33">
        <v>0</v>
      </c>
      <c r="KH44" s="340">
        <v>0</v>
      </c>
      <c r="KI44" s="342">
        <f t="shared" si="52"/>
        <v>12.09</v>
      </c>
      <c r="KJ44" s="32">
        <v>8.0299999999999994</v>
      </c>
      <c r="KK44" s="33">
        <v>7.78</v>
      </c>
      <c r="KL44" s="33">
        <v>0</v>
      </c>
      <c r="KM44" s="340">
        <v>0</v>
      </c>
      <c r="KN44" s="342">
        <f t="shared" si="53"/>
        <v>15.809999999999999</v>
      </c>
      <c r="KO44" s="32">
        <v>12</v>
      </c>
      <c r="KP44" s="33">
        <v>0</v>
      </c>
      <c r="KQ44" s="33">
        <v>0</v>
      </c>
      <c r="KR44" s="340">
        <v>0</v>
      </c>
      <c r="KS44" s="342">
        <f t="shared" si="54"/>
        <v>12</v>
      </c>
      <c r="KT44" s="32">
        <f t="shared" si="5"/>
        <v>4.74</v>
      </c>
      <c r="KU44" s="33">
        <f t="shared" si="6"/>
        <v>10.379999999999999</v>
      </c>
      <c r="KV44" s="33">
        <f t="shared" si="7"/>
        <v>0</v>
      </c>
      <c r="KW44" s="340">
        <f t="shared" si="8"/>
        <v>0</v>
      </c>
      <c r="KX44" s="342">
        <f t="shared" si="9"/>
        <v>15.12</v>
      </c>
      <c r="KZ44" s="507">
        <f t="shared" si="55"/>
        <v>97.54</v>
      </c>
    </row>
    <row r="45" spans="1:312" ht="15.75" collapsed="1" x14ac:dyDescent="0.25">
      <c r="A45" s="367"/>
      <c r="B45" s="326">
        <v>30</v>
      </c>
      <c r="C45" s="410">
        <v>24.35</v>
      </c>
      <c r="D45" s="370"/>
      <c r="E45" s="371"/>
      <c r="F45" s="372"/>
      <c r="G45" s="373"/>
      <c r="H45" s="401"/>
      <c r="I45" s="402"/>
      <c r="J45" s="222"/>
      <c r="K45" s="222"/>
      <c r="L45" s="403"/>
      <c r="M45" s="384"/>
      <c r="N45" s="402"/>
      <c r="O45" s="222"/>
      <c r="P45" s="222"/>
      <c r="Q45" s="403"/>
      <c r="R45" s="300"/>
      <c r="S45" s="402"/>
      <c r="T45" s="222"/>
      <c r="U45" s="222"/>
      <c r="V45" s="403"/>
      <c r="W45" s="300"/>
      <c r="X45" s="402"/>
      <c r="Y45" s="222"/>
      <c r="Z45" s="222"/>
      <c r="AA45" s="403"/>
      <c r="AB45" s="300"/>
      <c r="AC45" s="404"/>
      <c r="AD45" s="405"/>
      <c r="AE45" s="405"/>
      <c r="AF45" s="406"/>
      <c r="AG45" s="407"/>
      <c r="AH45" s="395"/>
      <c r="AI45" s="386"/>
      <c r="AJ45" s="386"/>
      <c r="AK45" s="408"/>
      <c r="AL45" s="396"/>
      <c r="AM45" s="389"/>
      <c r="AN45" s="390"/>
      <c r="AO45" s="390"/>
      <c r="AP45" s="309"/>
      <c r="AQ45" s="391"/>
      <c r="AR45" s="389"/>
      <c r="AS45" s="390"/>
      <c r="AT45" s="390"/>
      <c r="AU45" s="392"/>
      <c r="AV45" s="409"/>
      <c r="AW45" s="389"/>
      <c r="AX45" s="390"/>
      <c r="AY45" s="390"/>
      <c r="AZ45" s="392"/>
      <c r="BA45" s="409"/>
      <c r="BB45" s="389"/>
      <c r="BC45" s="390"/>
      <c r="BD45" s="390"/>
      <c r="BE45" s="392"/>
      <c r="BF45" s="409"/>
      <c r="BG45" s="32"/>
      <c r="BH45" s="33"/>
      <c r="BI45" s="33"/>
      <c r="BJ45" s="343"/>
      <c r="BK45" s="342">
        <f t="shared" si="68"/>
        <v>0</v>
      </c>
      <c r="BL45" s="32"/>
      <c r="BM45" s="33"/>
      <c r="BN45" s="33"/>
      <c r="BO45" s="343"/>
      <c r="BP45" s="341">
        <f t="shared" si="61"/>
        <v>0</v>
      </c>
      <c r="BQ45" s="32"/>
      <c r="BR45" s="43"/>
      <c r="BS45" s="43"/>
      <c r="BT45" s="853"/>
      <c r="BU45" s="854">
        <f t="shared" si="14"/>
        <v>0</v>
      </c>
      <c r="BV45" s="855"/>
      <c r="BW45" s="43"/>
      <c r="BX45" s="43"/>
      <c r="BY45" s="853"/>
      <c r="BZ45" s="856">
        <f t="shared" si="15"/>
        <v>0</v>
      </c>
      <c r="CA45" s="857"/>
      <c r="CB45" s="858"/>
      <c r="CC45" s="858"/>
      <c r="CD45" s="859"/>
      <c r="CE45" s="860">
        <f t="shared" si="62"/>
        <v>0</v>
      </c>
      <c r="CF45" s="857"/>
      <c r="CG45" s="858"/>
      <c r="CH45" s="858"/>
      <c r="CI45" s="859"/>
      <c r="CJ45" s="860">
        <f t="shared" si="63"/>
        <v>0</v>
      </c>
      <c r="CK45" s="857"/>
      <c r="CL45" s="858"/>
      <c r="CM45" s="858"/>
      <c r="CN45" s="859"/>
      <c r="CO45" s="863">
        <f t="shared" si="64"/>
        <v>0</v>
      </c>
      <c r="CP45" s="861"/>
      <c r="CQ45" s="411"/>
      <c r="CR45" s="411"/>
      <c r="CS45" s="862"/>
      <c r="CT45" s="863">
        <v>0</v>
      </c>
      <c r="CU45" s="861"/>
      <c r="CV45" s="411"/>
      <c r="CW45" s="411"/>
      <c r="CX45" s="862"/>
      <c r="CY45" s="863">
        <v>0</v>
      </c>
      <c r="CZ45" s="861"/>
      <c r="DA45" s="411"/>
      <c r="DB45" s="411"/>
      <c r="DC45" s="862"/>
      <c r="DD45" s="863">
        <v>0</v>
      </c>
      <c r="DE45" s="861"/>
      <c r="DF45" s="411"/>
      <c r="DG45" s="411"/>
      <c r="DH45" s="862"/>
      <c r="DI45" s="863">
        <v>0</v>
      </c>
      <c r="DJ45" s="861"/>
      <c r="DK45" s="411"/>
      <c r="DL45" s="411"/>
      <c r="DM45" s="862"/>
      <c r="DN45" s="863">
        <v>0</v>
      </c>
      <c r="DO45" s="861"/>
      <c r="DP45" s="411"/>
      <c r="DQ45" s="411"/>
      <c r="DR45" s="862"/>
      <c r="DS45" s="863">
        <v>0</v>
      </c>
      <c r="DT45" s="861"/>
      <c r="DU45" s="411"/>
      <c r="DV45" s="411"/>
      <c r="DW45" s="862"/>
      <c r="DX45" s="863">
        <v>0</v>
      </c>
      <c r="DY45" s="861"/>
      <c r="DZ45" s="411"/>
      <c r="EA45" s="411"/>
      <c r="EB45" s="862"/>
      <c r="EC45" s="863">
        <v>0</v>
      </c>
      <c r="ED45" s="861"/>
      <c r="EE45" s="411"/>
      <c r="EF45" s="411"/>
      <c r="EG45" s="862"/>
      <c r="EH45" s="863">
        <v>0</v>
      </c>
      <c r="EI45" s="861"/>
      <c r="EJ45" s="411"/>
      <c r="EK45" s="411"/>
      <c r="EL45" s="862"/>
      <c r="EM45" s="863">
        <v>0</v>
      </c>
      <c r="EN45" s="861"/>
      <c r="EO45" s="411"/>
      <c r="EP45" s="411"/>
      <c r="EQ45" s="862"/>
      <c r="ER45" s="863">
        <v>0</v>
      </c>
      <c r="ES45" s="861"/>
      <c r="ET45" s="411"/>
      <c r="EU45" s="411"/>
      <c r="EV45" s="862"/>
      <c r="EW45" s="863">
        <v>0</v>
      </c>
      <c r="EX45" s="861"/>
      <c r="EY45" s="411"/>
      <c r="EZ45" s="411"/>
      <c r="FA45" s="862"/>
      <c r="FB45" s="863">
        <v>0</v>
      </c>
      <c r="FC45" s="861"/>
      <c r="FD45" s="411"/>
      <c r="FE45" s="411"/>
      <c r="FF45" s="862"/>
      <c r="FG45" s="863">
        <v>0</v>
      </c>
      <c r="FH45" s="861"/>
      <c r="FI45" s="411"/>
      <c r="FJ45" s="411"/>
      <c r="FK45" s="862"/>
      <c r="FL45" s="863">
        <v>0</v>
      </c>
      <c r="FM45" s="861"/>
      <c r="FN45" s="411"/>
      <c r="FO45" s="411"/>
      <c r="FP45" s="862"/>
      <c r="FQ45" s="863">
        <v>0</v>
      </c>
      <c r="FR45" s="861"/>
      <c r="FS45" s="411"/>
      <c r="FT45" s="411"/>
      <c r="FU45" s="862"/>
      <c r="FV45" s="863">
        <v>0</v>
      </c>
      <c r="FW45" s="861"/>
      <c r="FX45" s="411"/>
      <c r="FY45" s="411"/>
      <c r="FZ45" s="862"/>
      <c r="GA45" s="863">
        <v>0</v>
      </c>
      <c r="GB45" s="861"/>
      <c r="GC45" s="411"/>
      <c r="GD45" s="411"/>
      <c r="GE45" s="862"/>
      <c r="GF45" s="863">
        <v>0</v>
      </c>
      <c r="GG45" s="397"/>
      <c r="GH45" s="398"/>
      <c r="GI45" s="347"/>
      <c r="GJ45" s="348"/>
      <c r="GK45" s="349">
        <v>0</v>
      </c>
      <c r="GL45" s="346">
        <v>1.6</v>
      </c>
      <c r="GM45" s="347">
        <v>0.84</v>
      </c>
      <c r="GN45" s="347"/>
      <c r="GO45" s="348"/>
      <c r="GP45" s="349">
        <f>SUM(GL45:GO45)</f>
        <v>2.44</v>
      </c>
      <c r="GQ45" s="346">
        <v>0.87</v>
      </c>
      <c r="GR45" s="347">
        <v>0.95</v>
      </c>
      <c r="GS45" s="347"/>
      <c r="GT45" s="348"/>
      <c r="GU45" s="349">
        <f>SUM(GQ45:GT45)</f>
        <v>1.8199999999999998</v>
      </c>
      <c r="GV45" s="346">
        <v>1.02</v>
      </c>
      <c r="GW45" s="354"/>
      <c r="GX45" s="347"/>
      <c r="GY45" s="348"/>
      <c r="GZ45" s="349">
        <f>SUM(GV45:GY45)</f>
        <v>1.02</v>
      </c>
      <c r="HA45" s="346">
        <v>1.26</v>
      </c>
      <c r="HB45" s="347">
        <v>1.33</v>
      </c>
      <c r="HC45" s="347"/>
      <c r="HD45" s="348"/>
      <c r="HE45" s="349">
        <f>SUM(HA45:HD45)</f>
        <v>2.59</v>
      </c>
      <c r="HF45" s="346">
        <v>1.67</v>
      </c>
      <c r="HG45" s="347">
        <v>1.23</v>
      </c>
      <c r="HH45" s="347"/>
      <c r="HI45" s="348"/>
      <c r="HJ45" s="349">
        <f>SUM(HF45:HI45)</f>
        <v>2.9</v>
      </c>
      <c r="HK45" s="346">
        <v>0.94</v>
      </c>
      <c r="HL45" s="347">
        <v>0.67</v>
      </c>
      <c r="HM45" s="347"/>
      <c r="HN45" s="348"/>
      <c r="HO45" s="349">
        <f>SUM(HK45:HN45)</f>
        <v>1.6099999999999999</v>
      </c>
      <c r="HP45" s="346">
        <v>2.96</v>
      </c>
      <c r="HQ45" s="347">
        <v>2.4900000000000002</v>
      </c>
      <c r="HR45" s="347"/>
      <c r="HS45" s="348"/>
      <c r="HT45" s="349">
        <f>SUM(HP45:HS45)</f>
        <v>5.45</v>
      </c>
      <c r="HU45" s="346">
        <v>1.97</v>
      </c>
      <c r="HV45" s="347">
        <v>2.2000000000000002</v>
      </c>
      <c r="HW45" s="347"/>
      <c r="HX45" s="348"/>
      <c r="HY45" s="349">
        <f>SUM(HU45:HX45)</f>
        <v>4.17</v>
      </c>
      <c r="HZ45" s="346">
        <v>4.0999999999999996</v>
      </c>
      <c r="IA45" s="352"/>
      <c r="IB45" s="347"/>
      <c r="IC45" s="348"/>
      <c r="ID45" s="349">
        <f>SUM(HZ45:IC45)</f>
        <v>4.0999999999999996</v>
      </c>
      <c r="IE45" s="88">
        <v>12.16</v>
      </c>
      <c r="IF45" s="89">
        <v>3.38</v>
      </c>
      <c r="IG45" s="89"/>
      <c r="IH45" s="345"/>
      <c r="II45" s="344">
        <f>SUM(IE45:IH45)</f>
        <v>15.54</v>
      </c>
      <c r="IJ45" s="88">
        <v>2.2400000000000002</v>
      </c>
      <c r="IK45" s="355"/>
      <c r="IL45" s="345"/>
      <c r="IM45" s="340"/>
      <c r="IN45" s="492">
        <f>SUM(IJ45:IM45)</f>
        <v>2.2400000000000002</v>
      </c>
      <c r="IO45" s="492"/>
      <c r="IP45" s="886">
        <f t="shared" si="43"/>
        <v>43.88</v>
      </c>
      <c r="IQ45" s="501">
        <v>9.26</v>
      </c>
      <c r="IR45" s="33">
        <v>11.92</v>
      </c>
      <c r="IS45" s="33"/>
      <c r="IT45" s="340"/>
      <c r="IU45" s="342">
        <f>SUM(IQ45:IT45)</f>
        <v>21.18</v>
      </c>
      <c r="IV45" s="32">
        <v>9.9</v>
      </c>
      <c r="IW45" s="33">
        <v>1.97</v>
      </c>
      <c r="IX45" s="33"/>
      <c r="IY45" s="340"/>
      <c r="IZ45" s="342">
        <f>SUM(IV45:IY45)</f>
        <v>11.870000000000001</v>
      </c>
      <c r="JA45" s="32">
        <v>10.64</v>
      </c>
      <c r="JB45" s="33">
        <v>3.38</v>
      </c>
      <c r="JC45" s="33"/>
      <c r="JD45" s="340"/>
      <c r="JE45" s="342">
        <f>SUM(JA45:JD45)</f>
        <v>14.02</v>
      </c>
      <c r="JF45" s="32">
        <v>17.32</v>
      </c>
      <c r="JG45" s="33">
        <v>4.7</v>
      </c>
      <c r="JH45" s="33"/>
      <c r="JI45" s="340"/>
      <c r="JJ45" s="342">
        <f>SUM(JF45:JI45)</f>
        <v>22.02</v>
      </c>
      <c r="JK45" s="32">
        <v>17.350000000000001</v>
      </c>
      <c r="JL45" s="33">
        <v>7.63</v>
      </c>
      <c r="JM45" s="33"/>
      <c r="JN45" s="340"/>
      <c r="JO45" s="342">
        <f>SUM(JK45:JN45)</f>
        <v>24.98</v>
      </c>
      <c r="JP45" s="32">
        <v>10.75</v>
      </c>
      <c r="JQ45" s="33">
        <v>9.1199999999999992</v>
      </c>
      <c r="JR45" s="33"/>
      <c r="JS45" s="340"/>
      <c r="JT45" s="342">
        <f>SUM(JP45:JS45)</f>
        <v>19.869999999999997</v>
      </c>
      <c r="JU45" s="32">
        <v>8.91</v>
      </c>
      <c r="JV45" s="33">
        <v>6.22</v>
      </c>
      <c r="JW45" s="33"/>
      <c r="JX45" s="340"/>
      <c r="JY45" s="342">
        <f>SUM(JU45:JX45)</f>
        <v>15.129999999999999</v>
      </c>
      <c r="JZ45" s="32">
        <v>13.22</v>
      </c>
      <c r="KA45" s="33">
        <v>2.65</v>
      </c>
      <c r="KB45" s="33"/>
      <c r="KC45" s="340"/>
      <c r="KD45" s="342">
        <f t="shared" si="51"/>
        <v>15.870000000000001</v>
      </c>
      <c r="KE45" s="32">
        <v>14.44</v>
      </c>
      <c r="KF45" s="33">
        <v>3.64</v>
      </c>
      <c r="KG45" s="33">
        <v>0</v>
      </c>
      <c r="KH45" s="340">
        <v>0</v>
      </c>
      <c r="KI45" s="342">
        <f t="shared" si="52"/>
        <v>18.079999999999998</v>
      </c>
      <c r="KJ45" s="32">
        <v>14.520000000000001</v>
      </c>
      <c r="KK45" s="33">
        <v>7.91</v>
      </c>
      <c r="KL45" s="33">
        <v>0</v>
      </c>
      <c r="KM45" s="340">
        <v>0</v>
      </c>
      <c r="KN45" s="342">
        <f t="shared" si="53"/>
        <v>22.43</v>
      </c>
      <c r="KO45" s="32">
        <v>15.26</v>
      </c>
      <c r="KP45" s="33">
        <v>9.77</v>
      </c>
      <c r="KQ45" s="33">
        <v>0</v>
      </c>
      <c r="KR45" s="340">
        <v>0</v>
      </c>
      <c r="KS45" s="342">
        <f t="shared" si="54"/>
        <v>25.03</v>
      </c>
      <c r="KT45" s="32">
        <f t="shared" si="5"/>
        <v>12.309999999999999</v>
      </c>
      <c r="KU45" s="33">
        <f t="shared" si="6"/>
        <v>0</v>
      </c>
      <c r="KV45" s="33">
        <f t="shared" si="7"/>
        <v>0</v>
      </c>
      <c r="KW45" s="340">
        <f t="shared" si="8"/>
        <v>0</v>
      </c>
      <c r="KX45" s="342">
        <f t="shared" si="9"/>
        <v>12.309999999999999</v>
      </c>
      <c r="KZ45" s="507">
        <f t="shared" si="55"/>
        <v>222.79</v>
      </c>
    </row>
    <row r="46" spans="1:312" ht="15.75" x14ac:dyDescent="0.25">
      <c r="A46" s="367"/>
      <c r="B46" s="326">
        <v>31</v>
      </c>
      <c r="C46" s="410">
        <v>34.08</v>
      </c>
      <c r="D46" s="370"/>
      <c r="E46" s="371"/>
      <c r="F46" s="372"/>
      <c r="G46" s="373"/>
      <c r="H46" s="401"/>
      <c r="I46" s="402"/>
      <c r="J46" s="222"/>
      <c r="K46" s="222"/>
      <c r="L46" s="403"/>
      <c r="M46" s="384"/>
      <c r="N46" s="402"/>
      <c r="O46" s="222"/>
      <c r="P46" s="222"/>
      <c r="Q46" s="403"/>
      <c r="R46" s="300"/>
      <c r="S46" s="402"/>
      <c r="T46" s="222"/>
      <c r="U46" s="222"/>
      <c r="V46" s="403"/>
      <c r="W46" s="300"/>
      <c r="X46" s="402"/>
      <c r="Y46" s="222"/>
      <c r="Z46" s="222"/>
      <c r="AA46" s="403"/>
      <c r="AB46" s="300"/>
      <c r="AC46" s="404"/>
      <c r="AD46" s="405"/>
      <c r="AE46" s="405"/>
      <c r="AF46" s="406"/>
      <c r="AG46" s="407"/>
      <c r="AH46" s="395"/>
      <c r="AI46" s="386"/>
      <c r="AJ46" s="386"/>
      <c r="AK46" s="408"/>
      <c r="AL46" s="396"/>
      <c r="AM46" s="389"/>
      <c r="AN46" s="390"/>
      <c r="AO46" s="390"/>
      <c r="AP46" s="309"/>
      <c r="AQ46" s="391"/>
      <c r="AR46" s="389"/>
      <c r="AS46" s="390"/>
      <c r="AT46" s="390"/>
      <c r="AU46" s="392"/>
      <c r="AV46" s="409"/>
      <c r="AW46" s="389"/>
      <c r="AX46" s="390"/>
      <c r="AY46" s="390"/>
      <c r="AZ46" s="392"/>
      <c r="BA46" s="409"/>
      <c r="BB46" s="389"/>
      <c r="BC46" s="390"/>
      <c r="BD46" s="390"/>
      <c r="BE46" s="392"/>
      <c r="BF46" s="409"/>
      <c r="BG46" s="32"/>
      <c r="BH46" s="33"/>
      <c r="BI46" s="33"/>
      <c r="BJ46" s="343"/>
      <c r="BK46" s="342">
        <f t="shared" si="68"/>
        <v>0</v>
      </c>
      <c r="BL46" s="32"/>
      <c r="BM46" s="33"/>
      <c r="BN46" s="33"/>
      <c r="BO46" s="343"/>
      <c r="BP46" s="341">
        <f t="shared" si="61"/>
        <v>0</v>
      </c>
      <c r="BQ46" s="32"/>
      <c r="BR46" s="43"/>
      <c r="BS46" s="43"/>
      <c r="BT46" s="853"/>
      <c r="BU46" s="854">
        <f t="shared" si="14"/>
        <v>0</v>
      </c>
      <c r="BV46" s="855"/>
      <c r="BW46" s="43"/>
      <c r="BX46" s="43"/>
      <c r="BY46" s="853"/>
      <c r="BZ46" s="856">
        <f t="shared" si="15"/>
        <v>0</v>
      </c>
      <c r="CA46" s="857"/>
      <c r="CB46" s="858"/>
      <c r="CC46" s="858"/>
      <c r="CD46" s="859"/>
      <c r="CE46" s="860">
        <f t="shared" si="62"/>
        <v>0</v>
      </c>
      <c r="CF46" s="857"/>
      <c r="CG46" s="858"/>
      <c r="CH46" s="858"/>
      <c r="CI46" s="859"/>
      <c r="CJ46" s="860">
        <f t="shared" si="63"/>
        <v>0</v>
      </c>
      <c r="CK46" s="857"/>
      <c r="CL46" s="858"/>
      <c r="CM46" s="858"/>
      <c r="CN46" s="859"/>
      <c r="CO46" s="863">
        <f t="shared" si="64"/>
        <v>0</v>
      </c>
      <c r="CP46" s="861"/>
      <c r="CQ46" s="411"/>
      <c r="CR46" s="411"/>
      <c r="CS46" s="862"/>
      <c r="CT46" s="863">
        <v>0</v>
      </c>
      <c r="CU46" s="861"/>
      <c r="CV46" s="411"/>
      <c r="CW46" s="411"/>
      <c r="CX46" s="862"/>
      <c r="CY46" s="863">
        <v>0</v>
      </c>
      <c r="CZ46" s="861"/>
      <c r="DA46" s="411"/>
      <c r="DB46" s="411"/>
      <c r="DC46" s="862"/>
      <c r="DD46" s="863">
        <v>0</v>
      </c>
      <c r="DE46" s="861"/>
      <c r="DF46" s="411"/>
      <c r="DG46" s="411"/>
      <c r="DH46" s="862"/>
      <c r="DI46" s="863">
        <v>0</v>
      </c>
      <c r="DJ46" s="861"/>
      <c r="DK46" s="411"/>
      <c r="DL46" s="411"/>
      <c r="DM46" s="862"/>
      <c r="DN46" s="863">
        <v>0</v>
      </c>
      <c r="DO46" s="861"/>
      <c r="DP46" s="411"/>
      <c r="DQ46" s="411"/>
      <c r="DR46" s="862"/>
      <c r="DS46" s="863">
        <v>0</v>
      </c>
      <c r="DT46" s="861"/>
      <c r="DU46" s="411"/>
      <c r="DV46" s="411"/>
      <c r="DW46" s="862"/>
      <c r="DX46" s="863">
        <v>0</v>
      </c>
      <c r="DY46" s="861"/>
      <c r="DZ46" s="411"/>
      <c r="EA46" s="411"/>
      <c r="EB46" s="862"/>
      <c r="EC46" s="863">
        <v>0</v>
      </c>
      <c r="ED46" s="861"/>
      <c r="EE46" s="411"/>
      <c r="EF46" s="411"/>
      <c r="EG46" s="862"/>
      <c r="EH46" s="863">
        <v>0</v>
      </c>
      <c r="EI46" s="861"/>
      <c r="EJ46" s="411"/>
      <c r="EK46" s="411"/>
      <c r="EL46" s="862"/>
      <c r="EM46" s="863">
        <v>0</v>
      </c>
      <c r="EN46" s="861"/>
      <c r="EO46" s="411"/>
      <c r="EP46" s="411"/>
      <c r="EQ46" s="862"/>
      <c r="ER46" s="863">
        <v>0</v>
      </c>
      <c r="ES46" s="861"/>
      <c r="ET46" s="411"/>
      <c r="EU46" s="411"/>
      <c r="EV46" s="862"/>
      <c r="EW46" s="863">
        <v>0</v>
      </c>
      <c r="EX46" s="861"/>
      <c r="EY46" s="411"/>
      <c r="EZ46" s="411"/>
      <c r="FA46" s="862"/>
      <c r="FB46" s="863">
        <v>0</v>
      </c>
      <c r="FC46" s="861"/>
      <c r="FD46" s="411"/>
      <c r="FE46" s="411"/>
      <c r="FF46" s="862"/>
      <c r="FG46" s="863">
        <v>0</v>
      </c>
      <c r="FH46" s="861"/>
      <c r="FI46" s="411"/>
      <c r="FJ46" s="411"/>
      <c r="FK46" s="862"/>
      <c r="FL46" s="863">
        <v>0</v>
      </c>
      <c r="FM46" s="861"/>
      <c r="FN46" s="411"/>
      <c r="FO46" s="411"/>
      <c r="FP46" s="862"/>
      <c r="FQ46" s="863">
        <v>0</v>
      </c>
      <c r="FR46" s="861"/>
      <c r="FS46" s="411"/>
      <c r="FT46" s="411"/>
      <c r="FU46" s="862"/>
      <c r="FV46" s="863">
        <v>0</v>
      </c>
      <c r="FW46" s="861"/>
      <c r="FX46" s="411"/>
      <c r="FY46" s="411"/>
      <c r="FZ46" s="862"/>
      <c r="GA46" s="863">
        <v>0</v>
      </c>
      <c r="GB46" s="861"/>
      <c r="GC46" s="411"/>
      <c r="GD46" s="411"/>
      <c r="GE46" s="862"/>
      <c r="GF46" s="863">
        <v>0</v>
      </c>
      <c r="GG46" s="397"/>
      <c r="GH46" s="398"/>
      <c r="GI46" s="347"/>
      <c r="GJ46" s="348"/>
      <c r="GK46" s="349">
        <v>0</v>
      </c>
      <c r="GL46" s="346">
        <v>0.95</v>
      </c>
      <c r="GM46" s="354"/>
      <c r="GN46" s="347"/>
      <c r="GO46" s="348"/>
      <c r="GP46" s="349">
        <f>SUM(GL46:GO46)</f>
        <v>0.95</v>
      </c>
      <c r="GQ46" s="346">
        <v>0.81</v>
      </c>
      <c r="GR46" s="347">
        <v>0.81</v>
      </c>
      <c r="GS46" s="347"/>
      <c r="GT46" s="348"/>
      <c r="GU46" s="349">
        <f>SUM(GQ46:GT46)</f>
        <v>1.62</v>
      </c>
      <c r="GV46" s="346">
        <v>1.5329999999999999</v>
      </c>
      <c r="GW46" s="354"/>
      <c r="GX46" s="347"/>
      <c r="GY46" s="348"/>
      <c r="GZ46" s="349">
        <f>SUM(GV46:GY46)</f>
        <v>1.5329999999999999</v>
      </c>
      <c r="HA46" s="346">
        <v>1.1499999999999999</v>
      </c>
      <c r="HB46" s="347">
        <v>1.56</v>
      </c>
      <c r="HC46" s="347"/>
      <c r="HD46" s="348"/>
      <c r="HE46" s="349">
        <f>SUM(HA46:HD46)</f>
        <v>2.71</v>
      </c>
      <c r="HF46" s="346">
        <v>1.04</v>
      </c>
      <c r="HG46" s="347">
        <v>0.84</v>
      </c>
      <c r="HH46" s="347"/>
      <c r="HI46" s="348"/>
      <c r="HJ46" s="349">
        <f>SUM(HF46:HI46)</f>
        <v>1.88</v>
      </c>
      <c r="HK46" s="346">
        <v>1.3</v>
      </c>
      <c r="HL46" s="347">
        <v>1.47</v>
      </c>
      <c r="HM46" s="347"/>
      <c r="HN46" s="348"/>
      <c r="HO46" s="349">
        <f>SUM(HK46:HN46)</f>
        <v>2.77</v>
      </c>
      <c r="HP46" s="346">
        <v>3.75</v>
      </c>
      <c r="HQ46" s="347">
        <v>4.79</v>
      </c>
      <c r="HR46" s="347"/>
      <c r="HS46" s="348"/>
      <c r="HT46" s="349">
        <f>SUM(HP46:HS46)</f>
        <v>8.5399999999999991</v>
      </c>
      <c r="HU46" s="346">
        <v>3.55</v>
      </c>
      <c r="HV46" s="347">
        <v>2.21</v>
      </c>
      <c r="HW46" s="347"/>
      <c r="HX46" s="348"/>
      <c r="HY46" s="349">
        <f>SUM(HU46:HX46)</f>
        <v>5.76</v>
      </c>
      <c r="HZ46" s="346">
        <v>6.39</v>
      </c>
      <c r="IA46" s="347">
        <v>1.33</v>
      </c>
      <c r="IB46" s="347"/>
      <c r="IC46" s="348"/>
      <c r="ID46" s="349">
        <f>SUM(HZ46:IC46)</f>
        <v>7.72</v>
      </c>
      <c r="IE46" s="88">
        <v>11.64</v>
      </c>
      <c r="IF46" s="89">
        <v>2.88</v>
      </c>
      <c r="IG46" s="89"/>
      <c r="IH46" s="345"/>
      <c r="II46" s="344">
        <f>SUM(IE46:IH46)</f>
        <v>14.52</v>
      </c>
      <c r="IJ46" s="88">
        <v>3.33</v>
      </c>
      <c r="IK46" s="355"/>
      <c r="IL46" s="345"/>
      <c r="IM46" s="340"/>
      <c r="IN46" s="492">
        <f>SUM(IJ46:IM46)</f>
        <v>3.33</v>
      </c>
      <c r="IO46" s="492"/>
      <c r="IP46" s="886">
        <f t="shared" si="43"/>
        <v>51.332999999999998</v>
      </c>
      <c r="IQ46" s="501">
        <v>5.51</v>
      </c>
      <c r="IR46" s="33">
        <v>12.38</v>
      </c>
      <c r="IS46" s="33"/>
      <c r="IT46" s="340"/>
      <c r="IU46" s="342">
        <f>SUM(IQ46:IT46)</f>
        <v>17.89</v>
      </c>
      <c r="IV46" s="32">
        <v>9.5299999999999994</v>
      </c>
      <c r="IW46" s="33">
        <v>3.62</v>
      </c>
      <c r="IX46" s="33"/>
      <c r="IY46" s="340"/>
      <c r="IZ46" s="342">
        <f>SUM(IV46:IY46)</f>
        <v>13.149999999999999</v>
      </c>
      <c r="JA46" s="32">
        <v>8.58</v>
      </c>
      <c r="JB46" s="33">
        <v>5.07</v>
      </c>
      <c r="JC46" s="33"/>
      <c r="JD46" s="340"/>
      <c r="JE46" s="342">
        <f>SUM(JA46:JD46)</f>
        <v>13.65</v>
      </c>
      <c r="JF46" s="32">
        <v>14.69</v>
      </c>
      <c r="JG46" s="33">
        <v>4.5999999999999996</v>
      </c>
      <c r="JH46" s="33"/>
      <c r="JI46" s="340"/>
      <c r="JJ46" s="342">
        <f>SUM(JF46:JI46)</f>
        <v>19.29</v>
      </c>
      <c r="JK46" s="32">
        <v>16.850000000000001</v>
      </c>
      <c r="JL46" s="33">
        <v>12.91</v>
      </c>
      <c r="JM46" s="33"/>
      <c r="JN46" s="340"/>
      <c r="JO46" s="342">
        <f>SUM(JK46:JN46)</f>
        <v>29.76</v>
      </c>
      <c r="JP46" s="32">
        <v>6.55</v>
      </c>
      <c r="JQ46" s="33">
        <v>10.39</v>
      </c>
      <c r="JR46" s="33"/>
      <c r="JS46" s="340"/>
      <c r="JT46" s="342">
        <f>SUM(JP46:JS46)</f>
        <v>16.940000000000001</v>
      </c>
      <c r="JU46" s="32">
        <v>9.49</v>
      </c>
      <c r="JV46" s="33">
        <v>6.75</v>
      </c>
      <c r="JW46" s="33"/>
      <c r="JX46" s="340"/>
      <c r="JY46" s="342">
        <f>SUM(JU46:JX46)</f>
        <v>16.240000000000002</v>
      </c>
      <c r="JZ46" s="32">
        <v>13.52</v>
      </c>
      <c r="KA46" s="33">
        <v>3.68</v>
      </c>
      <c r="KB46" s="33"/>
      <c r="KC46" s="340"/>
      <c r="KD46" s="342">
        <f t="shared" si="51"/>
        <v>17.2</v>
      </c>
      <c r="KE46" s="32">
        <v>20.21</v>
      </c>
      <c r="KF46" s="33">
        <v>5.08</v>
      </c>
      <c r="KG46" s="33">
        <v>0</v>
      </c>
      <c r="KH46" s="340">
        <v>0</v>
      </c>
      <c r="KI46" s="342">
        <f t="shared" si="52"/>
        <v>25.29</v>
      </c>
      <c r="KJ46" s="32">
        <v>20.309999999999999</v>
      </c>
      <c r="KK46" s="33">
        <v>8.25</v>
      </c>
      <c r="KL46" s="33">
        <v>0</v>
      </c>
      <c r="KM46" s="340">
        <v>0</v>
      </c>
      <c r="KN46" s="342">
        <f t="shared" si="53"/>
        <v>28.56</v>
      </c>
      <c r="KO46" s="32">
        <v>11.84</v>
      </c>
      <c r="KP46" s="33">
        <v>9.36</v>
      </c>
      <c r="KQ46" s="33">
        <v>0</v>
      </c>
      <c r="KR46" s="340">
        <v>0</v>
      </c>
      <c r="KS46" s="342">
        <f t="shared" si="54"/>
        <v>21.2</v>
      </c>
      <c r="KT46" s="32">
        <f t="shared" si="5"/>
        <v>14.02</v>
      </c>
      <c r="KU46" s="33">
        <f t="shared" si="6"/>
        <v>0</v>
      </c>
      <c r="KV46" s="33">
        <f t="shared" si="7"/>
        <v>0</v>
      </c>
      <c r="KW46" s="340">
        <f t="shared" si="8"/>
        <v>0</v>
      </c>
      <c r="KX46" s="342">
        <f t="shared" si="9"/>
        <v>14.02</v>
      </c>
      <c r="KZ46" s="507">
        <f t="shared" si="55"/>
        <v>233.18999999999997</v>
      </c>
    </row>
    <row r="47" spans="1:312" ht="16.5" thickBot="1" x14ac:dyDescent="0.3">
      <c r="A47" s="368"/>
      <c r="B47" s="380">
        <v>32</v>
      </c>
      <c r="C47" s="416">
        <v>0</v>
      </c>
      <c r="D47" s="370"/>
      <c r="E47" s="371"/>
      <c r="F47" s="372"/>
      <c r="G47" s="373"/>
      <c r="H47" s="401"/>
      <c r="I47" s="402"/>
      <c r="J47" s="222"/>
      <c r="K47" s="222"/>
      <c r="L47" s="403"/>
      <c r="M47" s="384"/>
      <c r="N47" s="402"/>
      <c r="O47" s="222"/>
      <c r="P47" s="222"/>
      <c r="Q47" s="403"/>
      <c r="R47" s="300"/>
      <c r="S47" s="402"/>
      <c r="T47" s="222"/>
      <c r="U47" s="222"/>
      <c r="V47" s="403"/>
      <c r="W47" s="300"/>
      <c r="X47" s="402"/>
      <c r="Y47" s="222"/>
      <c r="Z47" s="222"/>
      <c r="AA47" s="403"/>
      <c r="AB47" s="300"/>
      <c r="AC47" s="404"/>
      <c r="AD47" s="405"/>
      <c r="AE47" s="405"/>
      <c r="AF47" s="406"/>
      <c r="AG47" s="407"/>
      <c r="AH47" s="395"/>
      <c r="AI47" s="386"/>
      <c r="AJ47" s="386"/>
      <c r="AK47" s="408"/>
      <c r="AL47" s="396"/>
      <c r="AM47" s="389"/>
      <c r="AN47" s="390"/>
      <c r="AO47" s="390"/>
      <c r="AP47" s="309"/>
      <c r="AQ47" s="391"/>
      <c r="AR47" s="389"/>
      <c r="AS47" s="390"/>
      <c r="AT47" s="390"/>
      <c r="AU47" s="392"/>
      <c r="AV47" s="409"/>
      <c r="AW47" s="389"/>
      <c r="AX47" s="390"/>
      <c r="AY47" s="390"/>
      <c r="AZ47" s="392"/>
      <c r="BA47" s="409"/>
      <c r="BB47" s="389"/>
      <c r="BC47" s="390"/>
      <c r="BD47" s="390"/>
      <c r="BE47" s="392"/>
      <c r="BF47" s="409"/>
      <c r="BG47" s="32"/>
      <c r="BH47" s="33"/>
      <c r="BI47" s="33"/>
      <c r="BJ47" s="343"/>
      <c r="BK47" s="342">
        <f t="shared" si="68"/>
        <v>0</v>
      </c>
      <c r="BL47" s="32"/>
      <c r="BM47" s="33"/>
      <c r="BN47" s="33"/>
      <c r="BO47" s="343"/>
      <c r="BP47" s="341">
        <f t="shared" si="61"/>
        <v>0</v>
      </c>
      <c r="BQ47" s="32"/>
      <c r="BR47" s="43"/>
      <c r="BS47" s="43"/>
      <c r="BT47" s="853"/>
      <c r="BU47" s="854">
        <f t="shared" si="14"/>
        <v>0</v>
      </c>
      <c r="BV47" s="855"/>
      <c r="BW47" s="43"/>
      <c r="BX47" s="43"/>
      <c r="BY47" s="853"/>
      <c r="BZ47" s="856">
        <f t="shared" si="15"/>
        <v>0</v>
      </c>
      <c r="CA47" s="857"/>
      <c r="CB47" s="858"/>
      <c r="CC47" s="858"/>
      <c r="CD47" s="859"/>
      <c r="CE47" s="860">
        <f t="shared" si="62"/>
        <v>0</v>
      </c>
      <c r="CF47" s="857"/>
      <c r="CG47" s="858"/>
      <c r="CH47" s="858"/>
      <c r="CI47" s="859"/>
      <c r="CJ47" s="860">
        <f t="shared" si="63"/>
        <v>0</v>
      </c>
      <c r="CK47" s="857"/>
      <c r="CL47" s="858"/>
      <c r="CM47" s="858"/>
      <c r="CN47" s="859"/>
      <c r="CO47" s="863">
        <f t="shared" si="64"/>
        <v>0</v>
      </c>
      <c r="CP47" s="861"/>
      <c r="CQ47" s="411"/>
      <c r="CR47" s="411"/>
      <c r="CS47" s="862"/>
      <c r="CT47" s="863">
        <v>0</v>
      </c>
      <c r="CU47" s="861"/>
      <c r="CV47" s="411"/>
      <c r="CW47" s="411"/>
      <c r="CX47" s="862"/>
      <c r="CY47" s="863">
        <v>0</v>
      </c>
      <c r="CZ47" s="861"/>
      <c r="DA47" s="411"/>
      <c r="DB47" s="411"/>
      <c r="DC47" s="862"/>
      <c r="DD47" s="863">
        <v>0</v>
      </c>
      <c r="DE47" s="861"/>
      <c r="DF47" s="411"/>
      <c r="DG47" s="411"/>
      <c r="DH47" s="862"/>
      <c r="DI47" s="863">
        <v>0</v>
      </c>
      <c r="DJ47" s="861"/>
      <c r="DK47" s="411"/>
      <c r="DL47" s="411"/>
      <c r="DM47" s="862"/>
      <c r="DN47" s="863">
        <v>0</v>
      </c>
      <c r="DO47" s="861"/>
      <c r="DP47" s="411"/>
      <c r="DQ47" s="411"/>
      <c r="DR47" s="862"/>
      <c r="DS47" s="863">
        <v>0</v>
      </c>
      <c r="DT47" s="861"/>
      <c r="DU47" s="411"/>
      <c r="DV47" s="411"/>
      <c r="DW47" s="862"/>
      <c r="DX47" s="863">
        <v>0</v>
      </c>
      <c r="DY47" s="861"/>
      <c r="DZ47" s="411"/>
      <c r="EA47" s="411"/>
      <c r="EB47" s="862"/>
      <c r="EC47" s="863">
        <v>0</v>
      </c>
      <c r="ED47" s="861"/>
      <c r="EE47" s="411"/>
      <c r="EF47" s="411"/>
      <c r="EG47" s="862"/>
      <c r="EH47" s="863">
        <v>0</v>
      </c>
      <c r="EI47" s="861"/>
      <c r="EJ47" s="411"/>
      <c r="EK47" s="411"/>
      <c r="EL47" s="862"/>
      <c r="EM47" s="863">
        <v>0</v>
      </c>
      <c r="EN47" s="861"/>
      <c r="EO47" s="411"/>
      <c r="EP47" s="411"/>
      <c r="EQ47" s="862"/>
      <c r="ER47" s="863">
        <v>0</v>
      </c>
      <c r="ES47" s="861"/>
      <c r="ET47" s="411"/>
      <c r="EU47" s="411"/>
      <c r="EV47" s="862"/>
      <c r="EW47" s="863">
        <v>0</v>
      </c>
      <c r="EX47" s="861"/>
      <c r="EY47" s="411"/>
      <c r="EZ47" s="411"/>
      <c r="FA47" s="862"/>
      <c r="FB47" s="863">
        <v>0</v>
      </c>
      <c r="FC47" s="861"/>
      <c r="FD47" s="411"/>
      <c r="FE47" s="411"/>
      <c r="FF47" s="862"/>
      <c r="FG47" s="863">
        <v>0</v>
      </c>
      <c r="FH47" s="861"/>
      <c r="FI47" s="411"/>
      <c r="FJ47" s="411"/>
      <c r="FK47" s="862"/>
      <c r="FL47" s="863">
        <v>0</v>
      </c>
      <c r="FM47" s="861"/>
      <c r="FN47" s="411"/>
      <c r="FO47" s="411"/>
      <c r="FP47" s="862"/>
      <c r="FQ47" s="863">
        <v>0</v>
      </c>
      <c r="FR47" s="861"/>
      <c r="FS47" s="411"/>
      <c r="FT47" s="411"/>
      <c r="FU47" s="862"/>
      <c r="FV47" s="863">
        <v>0</v>
      </c>
      <c r="FW47" s="861"/>
      <c r="FX47" s="411"/>
      <c r="FY47" s="411"/>
      <c r="FZ47" s="862"/>
      <c r="GA47" s="863">
        <v>0</v>
      </c>
      <c r="GB47" s="861"/>
      <c r="GC47" s="411"/>
      <c r="GD47" s="411"/>
      <c r="GE47" s="862"/>
      <c r="GF47" s="863">
        <v>0</v>
      </c>
      <c r="GG47" s="346"/>
      <c r="GH47" s="347"/>
      <c r="GI47" s="347"/>
      <c r="GJ47" s="348"/>
      <c r="GK47" s="349">
        <v>0</v>
      </c>
      <c r="GL47" s="346"/>
      <c r="GM47" s="347"/>
      <c r="GN47" s="347"/>
      <c r="GO47" s="348"/>
      <c r="GP47" s="349">
        <v>0</v>
      </c>
      <c r="GQ47" s="346"/>
      <c r="GR47" s="347"/>
      <c r="GS47" s="347"/>
      <c r="GT47" s="348"/>
      <c r="GU47" s="349">
        <v>0</v>
      </c>
      <c r="GV47" s="346"/>
      <c r="GW47" s="347"/>
      <c r="GX47" s="347"/>
      <c r="GY47" s="348"/>
      <c r="GZ47" s="349">
        <v>0</v>
      </c>
      <c r="HA47" s="346"/>
      <c r="HB47" s="347"/>
      <c r="HC47" s="347"/>
      <c r="HD47" s="348"/>
      <c r="HE47" s="349">
        <v>0</v>
      </c>
      <c r="HF47" s="346"/>
      <c r="HG47" s="347"/>
      <c r="HH47" s="347"/>
      <c r="HI47" s="348"/>
      <c r="HJ47" s="349">
        <v>0</v>
      </c>
      <c r="HK47" s="346"/>
      <c r="HL47" s="347"/>
      <c r="HM47" s="347"/>
      <c r="HN47" s="348"/>
      <c r="HO47" s="349">
        <v>0</v>
      </c>
      <c r="HP47" s="346"/>
      <c r="HQ47" s="347"/>
      <c r="HR47" s="347"/>
      <c r="HS47" s="348"/>
      <c r="HT47" s="349">
        <v>0</v>
      </c>
      <c r="HU47" s="346"/>
      <c r="HV47" s="347"/>
      <c r="HW47" s="347"/>
      <c r="HX47" s="348"/>
      <c r="HY47" s="349">
        <v>0</v>
      </c>
      <c r="HZ47" s="346"/>
      <c r="IA47" s="347"/>
      <c r="IB47" s="347"/>
      <c r="IC47" s="348"/>
      <c r="ID47" s="349">
        <v>0</v>
      </c>
      <c r="IE47" s="88"/>
      <c r="IF47" s="89"/>
      <c r="IG47" s="89"/>
      <c r="IH47" s="345"/>
      <c r="II47" s="344">
        <v>0</v>
      </c>
      <c r="IJ47" s="88"/>
      <c r="IK47" s="89"/>
      <c r="IL47" s="345"/>
      <c r="IM47" s="340"/>
      <c r="IN47" s="492">
        <v>0</v>
      </c>
      <c r="IO47" s="492"/>
      <c r="IP47" s="886">
        <f t="shared" si="43"/>
        <v>0</v>
      </c>
      <c r="IQ47" s="501"/>
      <c r="IR47" s="33"/>
      <c r="IS47" s="33"/>
      <c r="IT47" s="340"/>
      <c r="IU47" s="342">
        <v>0</v>
      </c>
      <c r="IV47" s="32"/>
      <c r="IW47" s="33"/>
      <c r="IX47" s="33"/>
      <c r="IY47" s="340"/>
      <c r="IZ47" s="342">
        <v>0</v>
      </c>
      <c r="JA47" s="32"/>
      <c r="JB47" s="33"/>
      <c r="JC47" s="33"/>
      <c r="JD47" s="340"/>
      <c r="JE47" s="342">
        <v>0</v>
      </c>
      <c r="JF47" s="32"/>
      <c r="JG47" s="33"/>
      <c r="JH47" s="33"/>
      <c r="JI47" s="340"/>
      <c r="JJ47" s="342">
        <v>0</v>
      </c>
      <c r="JK47" s="32"/>
      <c r="JL47" s="33"/>
      <c r="JM47" s="33"/>
      <c r="JN47" s="340"/>
      <c r="JO47" s="342">
        <v>0</v>
      </c>
      <c r="JP47" s="32"/>
      <c r="JQ47" s="33"/>
      <c r="JR47" s="33"/>
      <c r="JS47" s="340"/>
      <c r="JT47" s="342">
        <v>0</v>
      </c>
      <c r="JU47" s="32"/>
      <c r="JV47" s="33"/>
      <c r="JW47" s="33"/>
      <c r="JX47" s="340"/>
      <c r="JY47" s="342">
        <v>0</v>
      </c>
      <c r="JZ47" s="32"/>
      <c r="KA47" s="33"/>
      <c r="KB47" s="33"/>
      <c r="KC47" s="340"/>
      <c r="KD47" s="342">
        <f t="shared" si="51"/>
        <v>0</v>
      </c>
      <c r="KE47" s="32" t="s">
        <v>213</v>
      </c>
      <c r="KF47" s="33" t="s">
        <v>213</v>
      </c>
      <c r="KG47" s="33" t="s">
        <v>213</v>
      </c>
      <c r="KH47" s="340" t="s">
        <v>213</v>
      </c>
      <c r="KI47" s="342">
        <f t="shared" si="52"/>
        <v>0</v>
      </c>
      <c r="KJ47" s="32" t="s">
        <v>213</v>
      </c>
      <c r="KK47" s="33" t="s">
        <v>213</v>
      </c>
      <c r="KL47" s="33" t="s">
        <v>213</v>
      </c>
      <c r="KM47" s="340" t="s">
        <v>213</v>
      </c>
      <c r="KN47" s="342">
        <f t="shared" si="53"/>
        <v>0</v>
      </c>
      <c r="KO47" s="32" t="s">
        <v>213</v>
      </c>
      <c r="KP47" s="33" t="s">
        <v>213</v>
      </c>
      <c r="KQ47" s="33" t="s">
        <v>213</v>
      </c>
      <c r="KR47" s="340" t="s">
        <v>213</v>
      </c>
      <c r="KS47" s="342">
        <f t="shared" si="54"/>
        <v>0</v>
      </c>
      <c r="KT47" s="32" t="str">
        <f t="shared" si="5"/>
        <v/>
      </c>
      <c r="KU47" s="33" t="str">
        <f t="shared" si="6"/>
        <v/>
      </c>
      <c r="KV47" s="33" t="str">
        <f t="shared" si="7"/>
        <v/>
      </c>
      <c r="KW47" s="340" t="str">
        <f t="shared" si="8"/>
        <v/>
      </c>
      <c r="KX47" s="342">
        <f t="shared" si="9"/>
        <v>0</v>
      </c>
      <c r="KZ47" s="507">
        <f t="shared" si="55"/>
        <v>0</v>
      </c>
    </row>
    <row r="48" spans="1:312" ht="15.75" collapsed="1" x14ac:dyDescent="0.25">
      <c r="A48" s="366" t="s">
        <v>51</v>
      </c>
      <c r="B48" s="291">
        <v>33</v>
      </c>
      <c r="C48" s="292">
        <v>28.72</v>
      </c>
      <c r="D48" s="417"/>
      <c r="E48" s="418"/>
      <c r="F48" s="419"/>
      <c r="G48" s="420"/>
      <c r="H48" s="332"/>
      <c r="I48" s="350"/>
      <c r="J48" s="334"/>
      <c r="K48" s="334"/>
      <c r="L48" s="335"/>
      <c r="M48" s="421"/>
      <c r="N48" s="350"/>
      <c r="O48" s="334"/>
      <c r="P48" s="334"/>
      <c r="Q48" s="335"/>
      <c r="R48" s="421"/>
      <c r="S48" s="350"/>
      <c r="T48" s="334"/>
      <c r="U48" s="334"/>
      <c r="V48" s="335"/>
      <c r="W48" s="421"/>
      <c r="X48" s="350"/>
      <c r="Y48" s="334"/>
      <c r="Z48" s="334"/>
      <c r="AA48" s="335"/>
      <c r="AB48" s="421"/>
      <c r="AC48" s="374"/>
      <c r="AD48" s="337"/>
      <c r="AE48" s="337"/>
      <c r="AF48" s="422"/>
      <c r="AG48" s="422"/>
      <c r="AH48" s="423"/>
      <c r="AI48" s="338"/>
      <c r="AJ48" s="338"/>
      <c r="AK48" s="424"/>
      <c r="AL48" s="425">
        <f>SUM(AH48:AK48)</f>
        <v>0</v>
      </c>
      <c r="AM48" s="426"/>
      <c r="AN48" s="340"/>
      <c r="AO48" s="340"/>
      <c r="AP48" s="34"/>
      <c r="AQ48" s="342">
        <f>SUM(AM48:AP48)</f>
        <v>0</v>
      </c>
      <c r="AR48" s="426">
        <v>3.95</v>
      </c>
      <c r="AS48" s="340">
        <v>5.3</v>
      </c>
      <c r="AT48" s="340"/>
      <c r="AU48" s="34"/>
      <c r="AV48" s="342">
        <f>SUM(AR48:AU48)</f>
        <v>9.25</v>
      </c>
      <c r="AW48" s="426">
        <v>4.4800000000000004</v>
      </c>
      <c r="AX48" s="340">
        <v>2.92</v>
      </c>
      <c r="AY48" s="340"/>
      <c r="AZ48" s="34"/>
      <c r="BA48" s="342">
        <f>SUM(AW48:AZ48)</f>
        <v>7.4</v>
      </c>
      <c r="BB48" s="426">
        <v>4.83</v>
      </c>
      <c r="BC48" s="340"/>
      <c r="BD48" s="340"/>
      <c r="BE48" s="34"/>
      <c r="BF48" s="342">
        <f>SUM(BB48:BE48)</f>
        <v>4.83</v>
      </c>
      <c r="BG48" s="32">
        <v>4.24</v>
      </c>
      <c r="BH48" s="33">
        <v>3.78</v>
      </c>
      <c r="BI48" s="33"/>
      <c r="BJ48" s="343"/>
      <c r="BK48" s="342">
        <f t="shared" si="60"/>
        <v>8.02</v>
      </c>
      <c r="BL48" s="32">
        <v>1.78</v>
      </c>
      <c r="BM48" s="33">
        <v>1.84</v>
      </c>
      <c r="BN48" s="33">
        <v>0.85</v>
      </c>
      <c r="BO48" s="343"/>
      <c r="BP48" s="341">
        <f t="shared" si="61"/>
        <v>4.47</v>
      </c>
      <c r="BQ48" s="32">
        <v>4.18</v>
      </c>
      <c r="BR48" s="43">
        <v>0.22</v>
      </c>
      <c r="BS48" s="43"/>
      <c r="BT48" s="853"/>
      <c r="BU48" s="854">
        <f>SUM(BQ48:BT48)</f>
        <v>4.3999999999999995</v>
      </c>
      <c r="BV48" s="855">
        <v>5.31</v>
      </c>
      <c r="BW48" s="43"/>
      <c r="BX48" s="43"/>
      <c r="BY48" s="853"/>
      <c r="BZ48" s="856">
        <f>SUM(BV48:BY48)</f>
        <v>5.31</v>
      </c>
      <c r="CA48" s="857">
        <v>7.9</v>
      </c>
      <c r="CB48" s="858"/>
      <c r="CC48" s="858"/>
      <c r="CD48" s="859"/>
      <c r="CE48" s="860">
        <f t="shared" si="62"/>
        <v>7.9</v>
      </c>
      <c r="CF48" s="857">
        <v>3.74</v>
      </c>
      <c r="CG48" s="858"/>
      <c r="CH48" s="858"/>
      <c r="CI48" s="859"/>
      <c r="CJ48" s="860">
        <f t="shared" si="63"/>
        <v>3.74</v>
      </c>
      <c r="CK48" s="857">
        <v>14.8</v>
      </c>
      <c r="CL48" s="858">
        <v>1.38</v>
      </c>
      <c r="CM48" s="858"/>
      <c r="CN48" s="859"/>
      <c r="CO48" s="860">
        <f t="shared" si="64"/>
        <v>16.18</v>
      </c>
      <c r="CP48" s="861">
        <v>21.09</v>
      </c>
      <c r="CQ48" s="411">
        <v>1.61</v>
      </c>
      <c r="CR48" s="411"/>
      <c r="CS48" s="862"/>
      <c r="CT48" s="863">
        <v>22.7</v>
      </c>
      <c r="CU48" s="861">
        <v>13.99</v>
      </c>
      <c r="CV48" s="411">
        <v>4.5</v>
      </c>
      <c r="CW48" s="411"/>
      <c r="CX48" s="862"/>
      <c r="CY48" s="863">
        <f>SUM(CU48:CX48)</f>
        <v>18.490000000000002</v>
      </c>
      <c r="CZ48" s="861">
        <v>17.68</v>
      </c>
      <c r="DA48" s="411"/>
      <c r="DB48" s="411"/>
      <c r="DC48" s="862"/>
      <c r="DD48" s="863">
        <f>SUM(CZ48:DC48)</f>
        <v>17.68</v>
      </c>
      <c r="DE48" s="861">
        <v>13.52</v>
      </c>
      <c r="DF48" s="411">
        <v>8.17</v>
      </c>
      <c r="DG48" s="411"/>
      <c r="DH48" s="862"/>
      <c r="DI48" s="863">
        <f>SUM(DE48:DH48)</f>
        <v>21.689999999999998</v>
      </c>
      <c r="DJ48" s="861">
        <v>11.3</v>
      </c>
      <c r="DK48" s="411">
        <v>21.89</v>
      </c>
      <c r="DL48" s="411"/>
      <c r="DM48" s="862"/>
      <c r="DN48" s="863">
        <f>SUM(DJ48:DM48)</f>
        <v>33.19</v>
      </c>
      <c r="DO48" s="861">
        <v>20.69</v>
      </c>
      <c r="DP48" s="411"/>
      <c r="DQ48" s="411"/>
      <c r="DR48" s="862"/>
      <c r="DS48" s="863">
        <f>SUM(DO48:DR48)</f>
        <v>20.69</v>
      </c>
      <c r="DT48" s="861">
        <v>20.84</v>
      </c>
      <c r="DU48" s="411"/>
      <c r="DV48" s="411"/>
      <c r="DW48" s="862"/>
      <c r="DX48" s="863">
        <f>SUM(DT48:DW48)</f>
        <v>20.84</v>
      </c>
      <c r="DY48" s="861">
        <v>15.65</v>
      </c>
      <c r="DZ48" s="411">
        <v>3.9</v>
      </c>
      <c r="EA48" s="411"/>
      <c r="EB48" s="862"/>
      <c r="EC48" s="863">
        <f>SUM(DY48:EB48)</f>
        <v>19.55</v>
      </c>
      <c r="ED48" s="861">
        <v>7.99</v>
      </c>
      <c r="EE48" s="411">
        <v>11.48</v>
      </c>
      <c r="EF48" s="411"/>
      <c r="EG48" s="862"/>
      <c r="EH48" s="863">
        <f>SUM(ED48:EG48)</f>
        <v>19.47</v>
      </c>
      <c r="EI48" s="861">
        <v>3.09</v>
      </c>
      <c r="EJ48" s="411">
        <v>8.85</v>
      </c>
      <c r="EK48" s="411"/>
      <c r="EL48" s="862"/>
      <c r="EM48" s="863">
        <f>SUM(EI48:EL48)</f>
        <v>11.94</v>
      </c>
      <c r="EN48" s="861">
        <v>14.39</v>
      </c>
      <c r="EO48" s="411">
        <v>17.36</v>
      </c>
      <c r="EP48" s="411"/>
      <c r="EQ48" s="862"/>
      <c r="ER48" s="863">
        <f>SUM(EN48:EQ48)</f>
        <v>31.75</v>
      </c>
      <c r="ES48" s="861">
        <v>19.45</v>
      </c>
      <c r="ET48" s="411"/>
      <c r="EU48" s="411"/>
      <c r="EV48" s="862"/>
      <c r="EW48" s="863">
        <f>SUM(ES48:EV48)</f>
        <v>19.45</v>
      </c>
      <c r="EX48" s="861">
        <v>16.739999999999998</v>
      </c>
      <c r="EY48" s="411">
        <v>17.72</v>
      </c>
      <c r="EZ48" s="411"/>
      <c r="FA48" s="862"/>
      <c r="FB48" s="863">
        <f>SUM(EX48:FA48)</f>
        <v>34.459999999999994</v>
      </c>
      <c r="FC48" s="861">
        <v>4.2300000000000004</v>
      </c>
      <c r="FD48" s="411">
        <v>17.59</v>
      </c>
      <c r="FE48" s="411"/>
      <c r="FF48" s="862"/>
      <c r="FG48" s="863">
        <f>SUM(FC48:FF48)</f>
        <v>21.82</v>
      </c>
      <c r="FH48" s="861">
        <v>19.89</v>
      </c>
      <c r="FI48" s="411">
        <v>16.329999999999998</v>
      </c>
      <c r="FJ48" s="411"/>
      <c r="FK48" s="862"/>
      <c r="FL48" s="863">
        <f>SUM(FH48:FK48)</f>
        <v>36.22</v>
      </c>
      <c r="FM48" s="861">
        <v>12.46</v>
      </c>
      <c r="FN48" s="411">
        <v>14.33</v>
      </c>
      <c r="FO48" s="411"/>
      <c r="FP48" s="862"/>
      <c r="FQ48" s="863">
        <f>SUM(FM48:FP48)</f>
        <v>26.79</v>
      </c>
      <c r="FR48" s="861">
        <v>15.27</v>
      </c>
      <c r="FS48" s="411">
        <v>18.04</v>
      </c>
      <c r="FT48" s="411"/>
      <c r="FU48" s="862"/>
      <c r="FV48" s="863">
        <f>SUM(FR48:FU48)</f>
        <v>33.31</v>
      </c>
      <c r="FW48" s="861">
        <v>21.06</v>
      </c>
      <c r="FX48" s="411">
        <v>14.28</v>
      </c>
      <c r="FY48" s="411"/>
      <c r="FZ48" s="862"/>
      <c r="GA48" s="863">
        <f>SUM(FW48:FZ48)</f>
        <v>35.339999999999996</v>
      </c>
      <c r="GB48" s="861">
        <v>14.06</v>
      </c>
      <c r="GC48" s="411">
        <v>11.13</v>
      </c>
      <c r="GD48" s="411"/>
      <c r="GE48" s="862"/>
      <c r="GF48" s="863">
        <f>SUM(GB48:GE48)</f>
        <v>25.19</v>
      </c>
      <c r="GG48" s="346">
        <v>11.13</v>
      </c>
      <c r="GH48" s="347">
        <v>9.5299999999999994</v>
      </c>
      <c r="GI48" s="347"/>
      <c r="GJ48" s="348"/>
      <c r="GK48" s="349">
        <f>SUM(GG48:GJ48)</f>
        <v>20.66</v>
      </c>
      <c r="GL48" s="346">
        <v>8.89</v>
      </c>
      <c r="GM48" s="347">
        <v>6.29</v>
      </c>
      <c r="GN48" s="347"/>
      <c r="GO48" s="348"/>
      <c r="GP48" s="349">
        <f>SUM(GL48:GO48)</f>
        <v>15.18</v>
      </c>
      <c r="GQ48" s="346">
        <v>9.2100000000000009</v>
      </c>
      <c r="GR48" s="347">
        <v>4.18</v>
      </c>
      <c r="GS48" s="347"/>
      <c r="GT48" s="348"/>
      <c r="GU48" s="349">
        <f>SUM(GQ48:GT48)</f>
        <v>13.39</v>
      </c>
      <c r="GV48" s="346">
        <v>12.96</v>
      </c>
      <c r="GW48" s="347">
        <v>10.77</v>
      </c>
      <c r="GX48" s="347"/>
      <c r="GY48" s="348"/>
      <c r="GZ48" s="349">
        <f>SUM(GV48:GY48)</f>
        <v>23.73</v>
      </c>
      <c r="HA48" s="346">
        <v>16.489999999999998</v>
      </c>
      <c r="HB48" s="347">
        <v>9.48</v>
      </c>
      <c r="HC48" s="347"/>
      <c r="HD48" s="348"/>
      <c r="HE48" s="349">
        <f>SUM(HA48:HD48)</f>
        <v>25.97</v>
      </c>
      <c r="HF48" s="346">
        <v>21.71</v>
      </c>
      <c r="HG48" s="347">
        <v>8.4600000000000009</v>
      </c>
      <c r="HH48" s="347"/>
      <c r="HI48" s="348"/>
      <c r="HJ48" s="349">
        <f>SUM(HF48:HI48)</f>
        <v>30.17</v>
      </c>
      <c r="HK48" s="346">
        <v>4.7300000000000004</v>
      </c>
      <c r="HL48" s="347">
        <v>14.86</v>
      </c>
      <c r="HM48" s="347">
        <v>4.1900000000000004</v>
      </c>
      <c r="HN48" s="348"/>
      <c r="HO48" s="349">
        <f>SUM(HK48:HN48)</f>
        <v>23.78</v>
      </c>
      <c r="HP48" s="346">
        <v>14.31</v>
      </c>
      <c r="HQ48" s="347">
        <v>23.55</v>
      </c>
      <c r="HR48" s="347"/>
      <c r="HS48" s="348"/>
      <c r="HT48" s="349">
        <f>SUM(HP48:HS48)</f>
        <v>37.86</v>
      </c>
      <c r="HU48" s="346">
        <v>21.87</v>
      </c>
      <c r="HV48" s="347">
        <v>23.98</v>
      </c>
      <c r="HW48" s="347"/>
      <c r="HX48" s="348"/>
      <c r="HY48" s="349">
        <f>SUM(HU48:HX48)</f>
        <v>45.85</v>
      </c>
      <c r="HZ48" s="346">
        <v>29.02</v>
      </c>
      <c r="IA48" s="347">
        <v>18.73</v>
      </c>
      <c r="IB48" s="347"/>
      <c r="IC48" s="348"/>
      <c r="ID48" s="349">
        <f>SUM(HZ48:IC48)</f>
        <v>47.75</v>
      </c>
      <c r="IE48" s="88">
        <v>26.46</v>
      </c>
      <c r="IF48" s="89">
        <v>17.61</v>
      </c>
      <c r="IG48" s="89"/>
      <c r="IH48" s="345"/>
      <c r="II48" s="344">
        <f>SUM(IE48:IH48)</f>
        <v>44.07</v>
      </c>
      <c r="IJ48" s="88">
        <v>20.59</v>
      </c>
      <c r="IK48" s="89">
        <v>10.199999999999999</v>
      </c>
      <c r="IL48" s="345"/>
      <c r="IM48" s="340"/>
      <c r="IN48" s="492">
        <f>SUM(IJ48:IM48)</f>
        <v>30.79</v>
      </c>
      <c r="IO48" s="492"/>
      <c r="IP48" s="886">
        <f t="shared" si="43"/>
        <v>359.20000000000005</v>
      </c>
      <c r="IQ48" s="501">
        <v>9.4600000000000009</v>
      </c>
      <c r="IR48" s="33">
        <v>21.96</v>
      </c>
      <c r="IS48" s="33"/>
      <c r="IT48" s="340"/>
      <c r="IU48" s="342">
        <f>SUM(IQ48:IT48)</f>
        <v>31.42</v>
      </c>
      <c r="IV48" s="32">
        <v>23.3</v>
      </c>
      <c r="IW48" s="33">
        <v>5.86</v>
      </c>
      <c r="IX48" s="33"/>
      <c r="IY48" s="340"/>
      <c r="IZ48" s="342">
        <f>SUM(IV48:IY48)</f>
        <v>29.16</v>
      </c>
      <c r="JA48" s="32">
        <v>20.6</v>
      </c>
      <c r="JB48" s="33">
        <v>16.95</v>
      </c>
      <c r="JC48" s="33"/>
      <c r="JD48" s="340"/>
      <c r="JE48" s="342">
        <f>SUM(JA48:JD48)</f>
        <v>37.549999999999997</v>
      </c>
      <c r="JF48" s="32">
        <v>19.89</v>
      </c>
      <c r="JG48" s="33">
        <v>13.65</v>
      </c>
      <c r="JH48" s="33"/>
      <c r="JI48" s="340"/>
      <c r="JJ48" s="342">
        <f>SUM(JF48:JI48)</f>
        <v>33.54</v>
      </c>
      <c r="JK48" s="32">
        <v>23.47</v>
      </c>
      <c r="JL48" s="33">
        <v>26.73</v>
      </c>
      <c r="JM48" s="33"/>
      <c r="JN48" s="340"/>
      <c r="JO48" s="342">
        <f>SUM(JK48:JN48)</f>
        <v>50.2</v>
      </c>
      <c r="JP48" s="32">
        <v>4.6399999999999997</v>
      </c>
      <c r="JQ48" s="33">
        <v>22.49</v>
      </c>
      <c r="JR48" s="33"/>
      <c r="JS48" s="340"/>
      <c r="JT48" s="342">
        <f>SUM(JP48:JS48)</f>
        <v>27.13</v>
      </c>
      <c r="JU48" s="32">
        <v>17.079999999999998</v>
      </c>
      <c r="JV48" s="33">
        <v>17.260000000000002</v>
      </c>
      <c r="JW48" s="33"/>
      <c r="JX48" s="340"/>
      <c r="JY48" s="342">
        <f>SUM(JU48:JX48)</f>
        <v>34.340000000000003</v>
      </c>
      <c r="JZ48" s="32">
        <v>23.57</v>
      </c>
      <c r="KA48" s="33">
        <v>9.56</v>
      </c>
      <c r="KB48" s="33"/>
      <c r="KC48" s="340"/>
      <c r="KD48" s="342">
        <f t="shared" si="51"/>
        <v>33.130000000000003</v>
      </c>
      <c r="KE48" s="32">
        <v>27.339999999999996</v>
      </c>
      <c r="KF48" s="33">
        <v>13.600000000000001</v>
      </c>
      <c r="KG48" s="33">
        <v>0</v>
      </c>
      <c r="KH48" s="340">
        <v>0</v>
      </c>
      <c r="KI48" s="342">
        <f t="shared" si="52"/>
        <v>40.94</v>
      </c>
      <c r="KJ48" s="32">
        <v>30.77</v>
      </c>
      <c r="KK48" s="33">
        <v>23.62</v>
      </c>
      <c r="KL48" s="33">
        <v>0</v>
      </c>
      <c r="KM48" s="340">
        <v>0</v>
      </c>
      <c r="KN48" s="342">
        <f t="shared" si="53"/>
        <v>54.39</v>
      </c>
      <c r="KO48" s="32">
        <v>27.73</v>
      </c>
      <c r="KP48" s="33">
        <v>28.55</v>
      </c>
      <c r="KQ48" s="33">
        <v>0</v>
      </c>
      <c r="KR48" s="340">
        <v>0</v>
      </c>
      <c r="KS48" s="342">
        <f t="shared" si="54"/>
        <v>56.28</v>
      </c>
      <c r="KT48" s="32">
        <f t="shared" si="5"/>
        <v>24.580000000000002</v>
      </c>
      <c r="KU48" s="33">
        <f t="shared" si="6"/>
        <v>25.439999999999998</v>
      </c>
      <c r="KV48" s="33">
        <f t="shared" si="7"/>
        <v>0</v>
      </c>
      <c r="KW48" s="340">
        <f t="shared" si="8"/>
        <v>0</v>
      </c>
      <c r="KX48" s="342">
        <f t="shared" si="9"/>
        <v>50.019999999999996</v>
      </c>
      <c r="KZ48" s="507">
        <f t="shared" si="55"/>
        <v>478.1</v>
      </c>
    </row>
    <row r="49" spans="1:312" ht="16.5" thickBot="1" x14ac:dyDescent="0.3">
      <c r="A49" s="368"/>
      <c r="B49" s="380">
        <v>39</v>
      </c>
      <c r="C49" s="369">
        <v>4.5</v>
      </c>
      <c r="D49" s="370"/>
      <c r="E49" s="371"/>
      <c r="F49" s="372"/>
      <c r="G49" s="373"/>
      <c r="H49" s="401"/>
      <c r="I49" s="402"/>
      <c r="J49" s="222"/>
      <c r="K49" s="222"/>
      <c r="L49" s="403"/>
      <c r="M49" s="384"/>
      <c r="N49" s="402"/>
      <c r="O49" s="222"/>
      <c r="P49" s="222"/>
      <c r="Q49" s="403"/>
      <c r="R49" s="384"/>
      <c r="S49" s="402"/>
      <c r="T49" s="222"/>
      <c r="U49" s="222"/>
      <c r="V49" s="403"/>
      <c r="W49" s="384"/>
      <c r="X49" s="402"/>
      <c r="Y49" s="222"/>
      <c r="Z49" s="222"/>
      <c r="AA49" s="403"/>
      <c r="AB49" s="384"/>
      <c r="AC49" s="404"/>
      <c r="AD49" s="405"/>
      <c r="AE49" s="405"/>
      <c r="AF49" s="406"/>
      <c r="AG49" s="427"/>
      <c r="AH49" s="404"/>
      <c r="AI49" s="405"/>
      <c r="AJ49" s="405"/>
      <c r="AK49" s="406"/>
      <c r="AL49" s="428">
        <f>SUM(AH49:AK49)</f>
        <v>0</v>
      </c>
      <c r="AM49" s="429"/>
      <c r="AN49" s="430"/>
      <c r="AO49" s="430"/>
      <c r="AP49" s="309"/>
      <c r="AQ49" s="391">
        <f>SUM(AM49:AP49)</f>
        <v>0</v>
      </c>
      <c r="AR49" s="429">
        <v>1.71</v>
      </c>
      <c r="AS49" s="430"/>
      <c r="AT49" s="430"/>
      <c r="AU49" s="431"/>
      <c r="AV49" s="432">
        <f>SUM(AR49:AU49)</f>
        <v>1.71</v>
      </c>
      <c r="AW49" s="429">
        <v>1.37</v>
      </c>
      <c r="AX49" s="430"/>
      <c r="AY49" s="430"/>
      <c r="AZ49" s="431"/>
      <c r="BA49" s="432">
        <f>SUM(AW49:AZ49)</f>
        <v>1.37</v>
      </c>
      <c r="BB49" s="429">
        <v>1.29</v>
      </c>
      <c r="BC49" s="430"/>
      <c r="BD49" s="430"/>
      <c r="BE49" s="431"/>
      <c r="BF49" s="432">
        <f>SUM(BB49:BE49)</f>
        <v>1.29</v>
      </c>
      <c r="BG49" s="429">
        <v>1.67</v>
      </c>
      <c r="BH49" s="430"/>
      <c r="BI49" s="430"/>
      <c r="BJ49" s="433"/>
      <c r="BK49" s="433">
        <f>SUM(BG49:BJ49)</f>
        <v>1.67</v>
      </c>
      <c r="BL49" s="429">
        <v>1.2</v>
      </c>
      <c r="BM49" s="430"/>
      <c r="BN49" s="430"/>
      <c r="BO49" s="433"/>
      <c r="BP49" s="309">
        <f>SUM(BL49:BO49)</f>
        <v>1.2</v>
      </c>
      <c r="BQ49" s="32">
        <v>1.17</v>
      </c>
      <c r="BR49" s="43">
        <v>1.02</v>
      </c>
      <c r="BS49" s="43"/>
      <c r="BT49" s="853"/>
      <c r="BU49" s="854">
        <f>SUM(BQ49:BT49)</f>
        <v>2.19</v>
      </c>
      <c r="BV49" s="855">
        <v>0.74</v>
      </c>
      <c r="BW49" s="43"/>
      <c r="BX49" s="43"/>
      <c r="BY49" s="853"/>
      <c r="BZ49" s="856">
        <f>SUM(BV49:BY49)</f>
        <v>0.74</v>
      </c>
      <c r="CA49" s="867"/>
      <c r="CB49" s="868"/>
      <c r="CC49" s="868"/>
      <c r="CD49" s="869"/>
      <c r="CE49" s="870">
        <f t="shared" si="62"/>
        <v>0</v>
      </c>
      <c r="CF49" s="867"/>
      <c r="CG49" s="868"/>
      <c r="CH49" s="868"/>
      <c r="CI49" s="869"/>
      <c r="CJ49" s="870">
        <f t="shared" si="63"/>
        <v>0</v>
      </c>
      <c r="CK49" s="867">
        <v>1.65</v>
      </c>
      <c r="CL49" s="868">
        <v>0.6</v>
      </c>
      <c r="CM49" s="868"/>
      <c r="CN49" s="869"/>
      <c r="CO49" s="870">
        <f t="shared" si="64"/>
        <v>2.25</v>
      </c>
      <c r="CP49" s="871">
        <v>0.7</v>
      </c>
      <c r="CQ49" s="872">
        <v>0.7</v>
      </c>
      <c r="CR49" s="872"/>
      <c r="CS49" s="873"/>
      <c r="CT49" s="874">
        <v>1.4</v>
      </c>
      <c r="CU49" s="871">
        <v>0.62</v>
      </c>
      <c r="CV49" s="872">
        <v>0.87</v>
      </c>
      <c r="CW49" s="872"/>
      <c r="CX49" s="873"/>
      <c r="CY49" s="874">
        <f>SUM(CU49:CX49)</f>
        <v>1.49</v>
      </c>
      <c r="CZ49" s="871">
        <v>0.45</v>
      </c>
      <c r="DA49" s="872">
        <v>1.34</v>
      </c>
      <c r="DB49" s="872"/>
      <c r="DC49" s="873"/>
      <c r="DD49" s="874">
        <f>SUM(CZ49:DC49)</f>
        <v>1.79</v>
      </c>
      <c r="DE49" s="871"/>
      <c r="DF49" s="872"/>
      <c r="DG49" s="872"/>
      <c r="DH49" s="873"/>
      <c r="DI49" s="874">
        <f>SUM(DE49:DH49)</f>
        <v>0</v>
      </c>
      <c r="DJ49" s="871">
        <v>1.5</v>
      </c>
      <c r="DK49" s="872"/>
      <c r="DL49" s="872"/>
      <c r="DM49" s="873"/>
      <c r="DN49" s="874">
        <f>SUM(DJ49:DM49)</f>
        <v>1.5</v>
      </c>
      <c r="DO49" s="871">
        <v>1.6</v>
      </c>
      <c r="DP49" s="872">
        <v>0.96</v>
      </c>
      <c r="DQ49" s="872"/>
      <c r="DR49" s="873"/>
      <c r="DS49" s="874">
        <f>SUM(DO49:DR49)</f>
        <v>2.56</v>
      </c>
      <c r="DT49" s="871"/>
      <c r="DU49" s="872"/>
      <c r="DV49" s="872"/>
      <c r="DW49" s="873"/>
      <c r="DX49" s="874">
        <f>SUM(DT49:DW49)</f>
        <v>0</v>
      </c>
      <c r="DY49" s="871">
        <v>2.0499999999999998</v>
      </c>
      <c r="DZ49" s="872"/>
      <c r="EA49" s="872"/>
      <c r="EB49" s="873"/>
      <c r="EC49" s="874">
        <f>SUM(DY49:EB49)</f>
        <v>2.0499999999999998</v>
      </c>
      <c r="ED49" s="871"/>
      <c r="EE49" s="872"/>
      <c r="EF49" s="872"/>
      <c r="EG49" s="873"/>
      <c r="EH49" s="874">
        <f>SUM(ED49:EG49)</f>
        <v>0</v>
      </c>
      <c r="EI49" s="871"/>
      <c r="EJ49" s="872"/>
      <c r="EK49" s="872"/>
      <c r="EL49" s="873"/>
      <c r="EM49" s="874">
        <f>SUM(EI49:EL49)</f>
        <v>0</v>
      </c>
      <c r="EN49" s="871">
        <v>0.98</v>
      </c>
      <c r="EO49" s="872"/>
      <c r="EP49" s="872"/>
      <c r="EQ49" s="873"/>
      <c r="ER49" s="874">
        <f>SUM(EN49:EQ49)</f>
        <v>0.98</v>
      </c>
      <c r="ES49" s="871">
        <v>0.6</v>
      </c>
      <c r="ET49" s="872">
        <v>0.6</v>
      </c>
      <c r="EU49" s="872"/>
      <c r="EV49" s="873"/>
      <c r="EW49" s="874">
        <f>SUM(ES49:EV49)</f>
        <v>1.2</v>
      </c>
      <c r="EX49" s="871">
        <v>0.7</v>
      </c>
      <c r="EY49" s="872"/>
      <c r="EZ49" s="872"/>
      <c r="FA49" s="873"/>
      <c r="FB49" s="874">
        <f>SUM(EX49:FA49)</f>
        <v>0.7</v>
      </c>
      <c r="FC49" s="871">
        <v>0.8</v>
      </c>
      <c r="FD49" s="872">
        <v>0.7</v>
      </c>
      <c r="FE49" s="872"/>
      <c r="FF49" s="873"/>
      <c r="FG49" s="874">
        <f>SUM(FC49:FF49)</f>
        <v>1.5</v>
      </c>
      <c r="FH49" s="871">
        <v>0.8</v>
      </c>
      <c r="FI49" s="872">
        <v>0.9</v>
      </c>
      <c r="FJ49" s="872"/>
      <c r="FK49" s="873"/>
      <c r="FL49" s="874">
        <f>SUM(FH49:FK49)</f>
        <v>1.7000000000000002</v>
      </c>
      <c r="FM49" s="871">
        <v>0.92</v>
      </c>
      <c r="FN49" s="872">
        <v>1</v>
      </c>
      <c r="FO49" s="872"/>
      <c r="FP49" s="873"/>
      <c r="FQ49" s="874">
        <f>SUM(FM49:FP49)</f>
        <v>1.92</v>
      </c>
      <c r="FR49" s="871">
        <v>1.32</v>
      </c>
      <c r="FS49" s="884"/>
      <c r="FT49" s="872"/>
      <c r="FU49" s="873"/>
      <c r="FV49" s="874">
        <f>SUM(FR49:FU49)</f>
        <v>1.32</v>
      </c>
      <c r="FW49" s="871">
        <v>1.69</v>
      </c>
      <c r="FX49" s="872">
        <v>1.22</v>
      </c>
      <c r="FY49" s="872"/>
      <c r="FZ49" s="873"/>
      <c r="GA49" s="874">
        <f>SUM(FW49:FZ49)</f>
        <v>2.91</v>
      </c>
      <c r="GB49" s="871">
        <v>0.53</v>
      </c>
      <c r="GC49" s="872">
        <v>2.5</v>
      </c>
      <c r="GD49" s="872"/>
      <c r="GE49" s="873"/>
      <c r="GF49" s="874">
        <f>SUM(GB49:GE49)</f>
        <v>3.0300000000000002</v>
      </c>
      <c r="GG49" s="434">
        <v>1.79</v>
      </c>
      <c r="GH49" s="435">
        <v>1.18</v>
      </c>
      <c r="GI49" s="435"/>
      <c r="GJ49" s="436"/>
      <c r="GK49" s="437">
        <f>SUM(GG49:GJ49)</f>
        <v>2.9699999999999998</v>
      </c>
      <c r="GL49" s="439"/>
      <c r="GM49" s="438"/>
      <c r="GN49" s="435"/>
      <c r="GO49" s="436"/>
      <c r="GP49" s="437">
        <f>SUM(GL49:GO49)</f>
        <v>0</v>
      </c>
      <c r="GQ49" s="434">
        <v>1.79</v>
      </c>
      <c r="GR49" s="435">
        <v>0.42</v>
      </c>
      <c r="GS49" s="435"/>
      <c r="GT49" s="436"/>
      <c r="GU49" s="437">
        <f>SUM(GQ49:GT49)</f>
        <v>2.21</v>
      </c>
      <c r="GV49" s="434">
        <v>1.5</v>
      </c>
      <c r="GW49" s="438"/>
      <c r="GX49" s="435"/>
      <c r="GY49" s="436"/>
      <c r="GZ49" s="437">
        <f>SUM(GV49:GY49)</f>
        <v>1.5</v>
      </c>
      <c r="HA49" s="434">
        <v>1.0900000000000001</v>
      </c>
      <c r="HB49" s="435">
        <v>0.99</v>
      </c>
      <c r="HC49" s="435"/>
      <c r="HD49" s="436"/>
      <c r="HE49" s="437">
        <f>SUM(HA49:HD49)</f>
        <v>2.08</v>
      </c>
      <c r="HF49" s="434">
        <v>1.02</v>
      </c>
      <c r="HG49" s="435">
        <v>1.02</v>
      </c>
      <c r="HH49" s="435"/>
      <c r="HI49" s="436"/>
      <c r="HJ49" s="437">
        <f>SUM(HF49:HI49)</f>
        <v>2.04</v>
      </c>
      <c r="HK49" s="434">
        <v>1</v>
      </c>
      <c r="HL49" s="435">
        <v>0.9</v>
      </c>
      <c r="HM49" s="435"/>
      <c r="HN49" s="436"/>
      <c r="HO49" s="437">
        <f>SUM(HK49:HN49)</f>
        <v>1.9</v>
      </c>
      <c r="HP49" s="434">
        <v>1.19</v>
      </c>
      <c r="HQ49" s="435">
        <v>2.21</v>
      </c>
      <c r="HR49" s="435"/>
      <c r="HS49" s="436"/>
      <c r="HT49" s="437">
        <f>SUM(HP49:HS49)</f>
        <v>3.4</v>
      </c>
      <c r="HU49" s="434">
        <v>2.21</v>
      </c>
      <c r="HV49" s="435">
        <v>2.48</v>
      </c>
      <c r="HW49" s="435"/>
      <c r="HX49" s="436"/>
      <c r="HY49" s="437">
        <f>SUM(HU49:HX49)</f>
        <v>4.6899999999999995</v>
      </c>
      <c r="HZ49" s="434">
        <v>1.93</v>
      </c>
      <c r="IA49" s="440"/>
      <c r="IB49" s="435"/>
      <c r="IC49" s="436"/>
      <c r="ID49" s="437">
        <f>SUM(HZ49:IC49)</f>
        <v>1.93</v>
      </c>
      <c r="IE49" s="413">
        <v>2.4700000000000002</v>
      </c>
      <c r="IF49" s="414">
        <v>1.84</v>
      </c>
      <c r="IG49" s="414"/>
      <c r="IH49" s="415"/>
      <c r="II49" s="441">
        <f>SUM(IE49:IH49)</f>
        <v>4.3100000000000005</v>
      </c>
      <c r="IJ49" s="413">
        <v>1.19</v>
      </c>
      <c r="IK49" s="414">
        <v>2.02</v>
      </c>
      <c r="IL49" s="415"/>
      <c r="IM49" s="392"/>
      <c r="IN49" s="493">
        <f>SUM(IJ49:IM49)</f>
        <v>3.21</v>
      </c>
      <c r="IO49" s="521"/>
      <c r="IP49" s="886">
        <f t="shared" si="43"/>
        <v>30.240000000000002</v>
      </c>
      <c r="IQ49" s="502">
        <v>2.2599999999999998</v>
      </c>
      <c r="IR49" s="442"/>
      <c r="IS49" s="390"/>
      <c r="IT49" s="392"/>
      <c r="IU49" s="443">
        <f>SUM(IQ49:IT49)</f>
        <v>2.2599999999999998</v>
      </c>
      <c r="IV49" s="389">
        <v>3.29</v>
      </c>
      <c r="IW49" s="442"/>
      <c r="IX49" s="390"/>
      <c r="IY49" s="392"/>
      <c r="IZ49" s="443">
        <f>SUM(IV49:IY49)</f>
        <v>3.29</v>
      </c>
      <c r="JA49" s="389">
        <v>1.2</v>
      </c>
      <c r="JB49" s="390">
        <v>1.05</v>
      </c>
      <c r="JC49" s="390"/>
      <c r="JD49" s="392"/>
      <c r="JE49" s="443">
        <f>SUM(JA49:JD49)</f>
        <v>2.25</v>
      </c>
      <c r="JF49" s="389">
        <v>1.1399999999999999</v>
      </c>
      <c r="JG49" s="390">
        <v>1.58</v>
      </c>
      <c r="JH49" s="390"/>
      <c r="JI49" s="392"/>
      <c r="JJ49" s="443">
        <f>SUM(JF49:JI49)</f>
        <v>2.7199999999999998</v>
      </c>
      <c r="JK49" s="389">
        <v>1.46</v>
      </c>
      <c r="JL49" s="390">
        <v>0.56999999999999995</v>
      </c>
      <c r="JM49" s="390"/>
      <c r="JN49" s="392"/>
      <c r="JO49" s="443">
        <f>SUM(JK49:JN49)</f>
        <v>2.0299999999999998</v>
      </c>
      <c r="JP49" s="389">
        <v>1.56</v>
      </c>
      <c r="JQ49" s="442"/>
      <c r="JR49" s="390"/>
      <c r="JS49" s="392"/>
      <c r="JT49" s="443">
        <f>SUM(JP49:JS49)</f>
        <v>1.56</v>
      </c>
      <c r="JU49" s="389">
        <v>1.47</v>
      </c>
      <c r="JV49" s="390">
        <v>1.91</v>
      </c>
      <c r="JW49" s="390"/>
      <c r="JX49" s="392"/>
      <c r="JY49" s="443">
        <f>SUM(JU49:JX49)</f>
        <v>3.38</v>
      </c>
      <c r="JZ49" s="389">
        <v>1.21</v>
      </c>
      <c r="KA49" s="390">
        <v>3.25</v>
      </c>
      <c r="KB49" s="390"/>
      <c r="KC49" s="392"/>
      <c r="KD49" s="443">
        <f t="shared" si="51"/>
        <v>4.46</v>
      </c>
      <c r="KE49" s="389">
        <v>0.96</v>
      </c>
      <c r="KF49" s="390">
        <v>3.54</v>
      </c>
      <c r="KG49" s="390">
        <v>0</v>
      </c>
      <c r="KH49" s="392">
        <v>0</v>
      </c>
      <c r="KI49" s="443">
        <f t="shared" si="52"/>
        <v>4.5</v>
      </c>
      <c r="KJ49" s="389">
        <v>4.07</v>
      </c>
      <c r="KK49" s="390">
        <v>2.3199999999999998</v>
      </c>
      <c r="KL49" s="390">
        <v>0</v>
      </c>
      <c r="KM49" s="392">
        <v>0</v>
      </c>
      <c r="KN49" s="443">
        <f t="shared" si="53"/>
        <v>6.3900000000000006</v>
      </c>
      <c r="KO49" s="389">
        <v>2.19</v>
      </c>
      <c r="KP49" s="390">
        <v>2.21</v>
      </c>
      <c r="KQ49" s="390">
        <v>0</v>
      </c>
      <c r="KR49" s="392">
        <v>0</v>
      </c>
      <c r="KS49" s="443">
        <f t="shared" si="54"/>
        <v>4.4000000000000004</v>
      </c>
      <c r="KT49" s="389">
        <f t="shared" si="5"/>
        <v>2.39</v>
      </c>
      <c r="KU49" s="390">
        <f t="shared" si="6"/>
        <v>0</v>
      </c>
      <c r="KV49" s="390">
        <f t="shared" si="7"/>
        <v>0</v>
      </c>
      <c r="KW49" s="392">
        <f t="shared" si="8"/>
        <v>0</v>
      </c>
      <c r="KX49" s="443">
        <f t="shared" si="9"/>
        <v>2.39</v>
      </c>
      <c r="KZ49" s="507">
        <f t="shared" si="55"/>
        <v>39.630000000000003</v>
      </c>
    </row>
    <row r="50" spans="1:312" s="20" customFormat="1" ht="16.5" thickBot="1" x14ac:dyDescent="0.3">
      <c r="A50" s="444" t="s">
        <v>62</v>
      </c>
      <c r="B50" s="445"/>
      <c r="C50" s="446">
        <f>SUM(C9:C20,C21:C27,C28:C32,C39:C46,C48:C49)</f>
        <v>1416.5100000000002</v>
      </c>
      <c r="D50" s="447">
        <f>SUM(D9:D37)</f>
        <v>998.31000000000017</v>
      </c>
      <c r="E50" s="448">
        <f>SUM(E9:E37)</f>
        <v>499.36</v>
      </c>
      <c r="F50" s="448"/>
      <c r="G50" s="449"/>
      <c r="H50" s="446">
        <f t="shared" ref="H50:AK50" si="69">SUM(H9:H37)</f>
        <v>1497.67</v>
      </c>
      <c r="I50" s="450">
        <f t="shared" si="69"/>
        <v>1067.48</v>
      </c>
      <c r="J50" s="448">
        <f t="shared" si="69"/>
        <v>215.59</v>
      </c>
      <c r="K50" s="448">
        <f t="shared" si="69"/>
        <v>0</v>
      </c>
      <c r="L50" s="449">
        <f t="shared" si="69"/>
        <v>0</v>
      </c>
      <c r="M50" s="451">
        <f t="shared" si="69"/>
        <v>1283.0700000000002</v>
      </c>
      <c r="N50" s="450">
        <f t="shared" si="69"/>
        <v>1104.0899999999999</v>
      </c>
      <c r="O50" s="448">
        <f t="shared" si="69"/>
        <v>222.39</v>
      </c>
      <c r="P50" s="448">
        <f t="shared" si="69"/>
        <v>0</v>
      </c>
      <c r="Q50" s="449">
        <f t="shared" si="69"/>
        <v>0</v>
      </c>
      <c r="R50" s="451">
        <f t="shared" si="69"/>
        <v>1326.48</v>
      </c>
      <c r="S50" s="450">
        <f t="shared" si="69"/>
        <v>884.66000000000008</v>
      </c>
      <c r="T50" s="448">
        <f t="shared" si="69"/>
        <v>550.76999999999987</v>
      </c>
      <c r="U50" s="448">
        <f t="shared" si="69"/>
        <v>53.400000000000006</v>
      </c>
      <c r="V50" s="449">
        <f t="shared" si="69"/>
        <v>0</v>
      </c>
      <c r="W50" s="451">
        <f t="shared" si="69"/>
        <v>1488.83</v>
      </c>
      <c r="X50" s="450">
        <f t="shared" si="69"/>
        <v>926.23999999999978</v>
      </c>
      <c r="Y50" s="448">
        <f t="shared" si="69"/>
        <v>433.43000000000006</v>
      </c>
      <c r="Z50" s="448">
        <f t="shared" si="69"/>
        <v>132</v>
      </c>
      <c r="AA50" s="449">
        <f t="shared" si="69"/>
        <v>0</v>
      </c>
      <c r="AB50" s="451">
        <f t="shared" si="69"/>
        <v>1491.67</v>
      </c>
      <c r="AC50" s="452">
        <f t="shared" si="69"/>
        <v>1047.8700000000001</v>
      </c>
      <c r="AD50" s="453">
        <f t="shared" si="69"/>
        <v>525.16999999999996</v>
      </c>
      <c r="AE50" s="453">
        <f t="shared" si="69"/>
        <v>18.46</v>
      </c>
      <c r="AF50" s="454">
        <f t="shared" si="69"/>
        <v>0</v>
      </c>
      <c r="AG50" s="454">
        <f t="shared" si="69"/>
        <v>1591.4999999999995</v>
      </c>
      <c r="AH50" s="452">
        <f t="shared" si="69"/>
        <v>858.05000000000018</v>
      </c>
      <c r="AI50" s="453">
        <f t="shared" si="69"/>
        <v>448.69</v>
      </c>
      <c r="AJ50" s="453">
        <f t="shared" si="69"/>
        <v>177.25</v>
      </c>
      <c r="AK50" s="454">
        <f t="shared" si="69"/>
        <v>0</v>
      </c>
      <c r="AL50" s="454">
        <f>SUM(AL9:AL49)</f>
        <v>1483.99</v>
      </c>
      <c r="AM50" s="450">
        <f>SUM(AM9:AM37)</f>
        <v>920.44</v>
      </c>
      <c r="AN50" s="448">
        <f>SUM(AN9:AN37)</f>
        <v>700.93999999999994</v>
      </c>
      <c r="AO50" s="448">
        <f>SUM(AO9:AO37)</f>
        <v>75.75</v>
      </c>
      <c r="AP50" s="455">
        <f>SUM(AP9:AP37)</f>
        <v>0</v>
      </c>
      <c r="AQ50" s="456">
        <f>SUM(AQ9:AQ49)</f>
        <v>1697.1299999999999</v>
      </c>
      <c r="AR50" s="450">
        <f>SUM(AR9:AR49)</f>
        <v>1183.0900000000001</v>
      </c>
      <c r="AS50" s="448">
        <f>SUM(AS9:AS49)</f>
        <v>828.74</v>
      </c>
      <c r="AT50" s="448">
        <f>SUM(AT9:AT47)</f>
        <v>60.04</v>
      </c>
      <c r="AU50" s="448">
        <f>SUM(AU9:AU47)</f>
        <v>0</v>
      </c>
      <c r="AV50" s="451">
        <f>SUM(AV9:AV49)</f>
        <v>2071.8700000000003</v>
      </c>
      <c r="AW50" s="450">
        <f>SUM(AW9:AW49)</f>
        <v>1186.7700000000002</v>
      </c>
      <c r="AX50" s="448">
        <f>SUM(AX9:AX49)</f>
        <v>694.88000000000011</v>
      </c>
      <c r="AY50" s="448">
        <f>SUM(AY9:AY47)</f>
        <v>0</v>
      </c>
      <c r="AZ50" s="448">
        <f>SUM(AZ9:AZ47)</f>
        <v>0</v>
      </c>
      <c r="BA50" s="451">
        <f>SUM(BA9:BA49)</f>
        <v>1881.65</v>
      </c>
      <c r="BB50" s="450">
        <f>SUM(BB9:BB49)</f>
        <v>1483.9500000000003</v>
      </c>
      <c r="BC50" s="448">
        <f>SUM(BC9:BC49)</f>
        <v>764.7600000000001</v>
      </c>
      <c r="BD50" s="448">
        <f>SUM(BD9:BD47)</f>
        <v>24.97</v>
      </c>
      <c r="BE50" s="448">
        <f>SUM(BE9:BE47)</f>
        <v>0</v>
      </c>
      <c r="BF50" s="451">
        <f t="shared" ref="BF50:CO50" si="70">SUM(BF9:BF49)</f>
        <v>2273.6800000000003</v>
      </c>
      <c r="BG50" s="457">
        <f t="shared" si="70"/>
        <v>1401.1700000000003</v>
      </c>
      <c r="BH50" s="458">
        <f t="shared" si="70"/>
        <v>726.61000000000013</v>
      </c>
      <c r="BI50" s="458">
        <f t="shared" si="70"/>
        <v>0</v>
      </c>
      <c r="BJ50" s="459">
        <f t="shared" si="70"/>
        <v>0</v>
      </c>
      <c r="BK50" s="459">
        <f t="shared" si="70"/>
        <v>2127.7800000000002</v>
      </c>
      <c r="BL50" s="457">
        <f t="shared" si="70"/>
        <v>1213.94</v>
      </c>
      <c r="BM50" s="458">
        <f t="shared" si="70"/>
        <v>578.34999999999991</v>
      </c>
      <c r="BN50" s="458">
        <f t="shared" si="70"/>
        <v>44.07</v>
      </c>
      <c r="BO50" s="459">
        <f t="shared" si="70"/>
        <v>0</v>
      </c>
      <c r="BP50" s="460">
        <f t="shared" si="70"/>
        <v>1836.3600000000006</v>
      </c>
      <c r="BQ50" s="461">
        <f t="shared" si="70"/>
        <v>704.45999999999992</v>
      </c>
      <c r="BR50" s="875">
        <f t="shared" si="70"/>
        <v>473.97</v>
      </c>
      <c r="BS50" s="875">
        <f t="shared" si="70"/>
        <v>98.320000000000007</v>
      </c>
      <c r="BT50" s="876">
        <f t="shared" si="70"/>
        <v>0</v>
      </c>
      <c r="BU50" s="877">
        <f t="shared" si="70"/>
        <v>1276.75</v>
      </c>
      <c r="BV50" s="878">
        <f t="shared" si="70"/>
        <v>399.82999999999987</v>
      </c>
      <c r="BW50" s="875">
        <f t="shared" si="70"/>
        <v>348.04</v>
      </c>
      <c r="BX50" s="875">
        <f t="shared" si="70"/>
        <v>74.959999999999994</v>
      </c>
      <c r="BY50" s="876">
        <f t="shared" si="70"/>
        <v>0</v>
      </c>
      <c r="BZ50" s="878">
        <f t="shared" si="70"/>
        <v>822.8299999999997</v>
      </c>
      <c r="CA50" s="879">
        <f t="shared" si="70"/>
        <v>494.32999999999987</v>
      </c>
      <c r="CB50" s="880">
        <f t="shared" si="70"/>
        <v>452.21</v>
      </c>
      <c r="CC50" s="880">
        <f t="shared" si="70"/>
        <v>114.91</v>
      </c>
      <c r="CD50" s="880">
        <f t="shared" si="70"/>
        <v>0</v>
      </c>
      <c r="CE50" s="877">
        <f t="shared" si="70"/>
        <v>1061.4500000000003</v>
      </c>
      <c r="CF50" s="879">
        <f t="shared" si="70"/>
        <v>664.18999999999983</v>
      </c>
      <c r="CG50" s="880">
        <f t="shared" si="70"/>
        <v>528.41999999999996</v>
      </c>
      <c r="CH50" s="880">
        <f t="shared" si="70"/>
        <v>81.929999999999978</v>
      </c>
      <c r="CI50" s="880">
        <f t="shared" si="70"/>
        <v>0</v>
      </c>
      <c r="CJ50" s="877">
        <f t="shared" si="70"/>
        <v>1274.5399999999995</v>
      </c>
      <c r="CK50" s="879">
        <f t="shared" si="70"/>
        <v>775.86999999999978</v>
      </c>
      <c r="CL50" s="880">
        <f t="shared" si="70"/>
        <v>601.27</v>
      </c>
      <c r="CM50" s="880">
        <f t="shared" si="70"/>
        <v>118.99999999999999</v>
      </c>
      <c r="CN50" s="880">
        <f t="shared" si="70"/>
        <v>0</v>
      </c>
      <c r="CO50" s="877">
        <f t="shared" si="70"/>
        <v>1496.1400000000003</v>
      </c>
      <c r="CP50" s="879">
        <f>SUM(CP9:CP49)</f>
        <v>522.84000000000015</v>
      </c>
      <c r="CQ50" s="880">
        <f>SUM(CQ9:CQ49)</f>
        <v>569.61</v>
      </c>
      <c r="CR50" s="880">
        <f>SUM(CR9:CR49)</f>
        <v>270.89</v>
      </c>
      <c r="CS50" s="880">
        <v>0</v>
      </c>
      <c r="CT50" s="878">
        <f>SUM(CT9:CT49)</f>
        <v>1363.34</v>
      </c>
      <c r="CU50" s="879">
        <f>SUM(CU9:CU49)</f>
        <v>719.7800000000002</v>
      </c>
      <c r="CV50" s="880">
        <f>SUM(CV9:CV49)</f>
        <v>637.85</v>
      </c>
      <c r="CW50" s="880">
        <f>SUM(CW9:CW49)</f>
        <v>126.19</v>
      </c>
      <c r="CX50" s="880">
        <v>0</v>
      </c>
      <c r="CY50" s="878">
        <f>SUM(CY9:CY49)</f>
        <v>1483.8200000000002</v>
      </c>
      <c r="CZ50" s="879">
        <f>SUM(CZ9:CZ49)</f>
        <v>1046.2900000000002</v>
      </c>
      <c r="DA50" s="880">
        <f>SUM(DA9:DA49)</f>
        <v>720.73</v>
      </c>
      <c r="DB50" s="880">
        <f>SUM(DB9:DB49)</f>
        <v>129.36000000000001</v>
      </c>
      <c r="DC50" s="880">
        <v>0</v>
      </c>
      <c r="DD50" s="878">
        <f>SUM(DD9:DD49)</f>
        <v>1896.38</v>
      </c>
      <c r="DE50" s="879">
        <f>SUM(DE9:DE49)</f>
        <v>1209.3400000000001</v>
      </c>
      <c r="DF50" s="880">
        <f>SUM(DF9:DF49)</f>
        <v>635.41999999999985</v>
      </c>
      <c r="DG50" s="880">
        <f>SUM(DG9:DG49)</f>
        <v>38.700000000000003</v>
      </c>
      <c r="DH50" s="880">
        <v>0</v>
      </c>
      <c r="DI50" s="877">
        <f>SUM(DI9:DI49)</f>
        <v>1883.4599999999998</v>
      </c>
      <c r="DJ50" s="879">
        <f>SUM(DJ9:DJ49)</f>
        <v>1628.0800000000004</v>
      </c>
      <c r="DK50" s="880">
        <f>SUM(DK9:DK49)</f>
        <v>702.58</v>
      </c>
      <c r="DL50" s="880">
        <f>SUM(DL9:DL49)</f>
        <v>15.84</v>
      </c>
      <c r="DM50" s="880">
        <v>0</v>
      </c>
      <c r="DN50" s="877">
        <f>SUM(DN9:DN49)</f>
        <v>2346.5000000000009</v>
      </c>
      <c r="DO50" s="879">
        <f>SUM(DO9:DO49)</f>
        <v>1574.9700000000003</v>
      </c>
      <c r="DP50" s="880">
        <f>SUM(DP9:DP49)</f>
        <v>361.20999999999992</v>
      </c>
      <c r="DQ50" s="880">
        <f>SUM(DQ9:DQ49)</f>
        <v>0</v>
      </c>
      <c r="DR50" s="880">
        <v>0</v>
      </c>
      <c r="DS50" s="877">
        <f>SUM(DS9:DS49)</f>
        <v>1936.1800000000003</v>
      </c>
      <c r="DT50" s="879">
        <f>SUM(DT9:DT49)</f>
        <v>1496.3799999999999</v>
      </c>
      <c r="DU50" s="880">
        <f>SUM(DU9:DU49)</f>
        <v>494.65999999999997</v>
      </c>
      <c r="DV50" s="880">
        <f>SUM(DV9:DV49)</f>
        <v>0</v>
      </c>
      <c r="DW50" s="880">
        <v>0</v>
      </c>
      <c r="DX50" s="877">
        <f>SUM(DX9:DX49)</f>
        <v>1991.0399999999997</v>
      </c>
      <c r="DY50" s="879">
        <f>SUM(DY9:DY49)</f>
        <v>1115.7899999999997</v>
      </c>
      <c r="DZ50" s="880">
        <f>SUM(DZ9:DZ49)</f>
        <v>335.15999999999997</v>
      </c>
      <c r="EA50" s="880">
        <f>SUM(EA9:EA49)</f>
        <v>0</v>
      </c>
      <c r="EB50" s="880">
        <v>0</v>
      </c>
      <c r="EC50" s="877">
        <f>SUM(EC9:EC49)</f>
        <v>1450.9499999999996</v>
      </c>
      <c r="ED50" s="879">
        <f>SUM(ED9:ED49)</f>
        <v>860.12000000000012</v>
      </c>
      <c r="EE50" s="880">
        <f>SUM(EE9:EE49)</f>
        <v>331.60300000000001</v>
      </c>
      <c r="EF50" s="880">
        <f>SUM(EF9:EF49)</f>
        <v>0</v>
      </c>
      <c r="EG50" s="880">
        <v>0</v>
      </c>
      <c r="EH50" s="877">
        <f>SUM(EH9:EH49)</f>
        <v>1191.723</v>
      </c>
      <c r="EI50" s="879">
        <f>SUM(EI9:EI49)</f>
        <v>777.43000000000006</v>
      </c>
      <c r="EJ50" s="880">
        <f>SUM(EJ9:EJ49)</f>
        <v>557.05000000000018</v>
      </c>
      <c r="EK50" s="880">
        <f>SUM(EK9:EK49)</f>
        <v>0</v>
      </c>
      <c r="EL50" s="880">
        <v>0</v>
      </c>
      <c r="EM50" s="877">
        <f>SUM(EM9:EM49)</f>
        <v>1334.4799999999998</v>
      </c>
      <c r="EN50" s="879">
        <f>SUM(EN9:EN49)</f>
        <v>794.02999999999975</v>
      </c>
      <c r="EO50" s="880">
        <f>SUM(EO9:EO49)</f>
        <v>424.47</v>
      </c>
      <c r="EP50" s="880">
        <f>SUM(EP9:EP49)</f>
        <v>44.980000000000004</v>
      </c>
      <c r="EQ50" s="880">
        <v>0</v>
      </c>
      <c r="ER50" s="877">
        <f>SUM(ER9:ER49)</f>
        <v>1263.4800000000002</v>
      </c>
      <c r="ES50" s="879">
        <f>SUM(ES9:ES49)</f>
        <v>830.84000000000015</v>
      </c>
      <c r="ET50" s="880">
        <f>SUM(ET9:ET49)</f>
        <v>494.32</v>
      </c>
      <c r="EU50" s="880">
        <f>SUM(EU9:EU49)</f>
        <v>75.669999999999987</v>
      </c>
      <c r="EV50" s="880">
        <v>0</v>
      </c>
      <c r="EW50" s="877">
        <f>SUM(EW9:EW49)</f>
        <v>1400.8300000000002</v>
      </c>
      <c r="EX50" s="879">
        <f>SUM(EX9:EX49)</f>
        <v>788.3900000000001</v>
      </c>
      <c r="EY50" s="880">
        <f>SUM(EY9:EY49)</f>
        <v>625.99</v>
      </c>
      <c r="EZ50" s="880">
        <f>SUM(EZ9:EZ49)</f>
        <v>9.7199999999999989</v>
      </c>
      <c r="FA50" s="880">
        <v>0</v>
      </c>
      <c r="FB50" s="877">
        <f>SUM(FB9:FB49)</f>
        <v>1424.1000000000004</v>
      </c>
      <c r="FC50" s="879">
        <f>SUM(FC9:FC49)</f>
        <v>762.55000000000007</v>
      </c>
      <c r="FD50" s="880">
        <f>SUM(FD9:FD49)</f>
        <v>802.03000000000009</v>
      </c>
      <c r="FE50" s="880">
        <f>SUM(FE9:FE49)</f>
        <v>17.669999999999998</v>
      </c>
      <c r="FF50" s="880">
        <v>0</v>
      </c>
      <c r="FG50" s="877">
        <f>SUM(FG9:FG49)</f>
        <v>1582.2499999999998</v>
      </c>
      <c r="FH50" s="879">
        <f>SUM(FH9:FH49)</f>
        <v>852.80999999999983</v>
      </c>
      <c r="FI50" s="880">
        <f>SUM(FI9:FI49)</f>
        <v>805.55999999999972</v>
      </c>
      <c r="FJ50" s="880">
        <f>SUM(FJ9:FJ49)</f>
        <v>0</v>
      </c>
      <c r="FK50" s="880">
        <v>0</v>
      </c>
      <c r="FL50" s="877">
        <f>SUM(FL9:FL49)</f>
        <v>1658.3699999999997</v>
      </c>
      <c r="FM50" s="879">
        <f>SUM(FM9:FM49)</f>
        <v>964.15000000000009</v>
      </c>
      <c r="FN50" s="880">
        <f>SUM(FN9:FN49)</f>
        <v>833.87000000000012</v>
      </c>
      <c r="FO50" s="880">
        <f>SUM(FO9:FO49)</f>
        <v>8.9</v>
      </c>
      <c r="FP50" s="880">
        <v>0</v>
      </c>
      <c r="FQ50" s="877">
        <f>SUM(FQ9:FQ49)</f>
        <v>1806.9199999999998</v>
      </c>
      <c r="FR50" s="879">
        <f>SUM(FR9:FR49)</f>
        <v>1076.5299999999997</v>
      </c>
      <c r="FS50" s="880">
        <f>SUM(FS9:FS49)</f>
        <v>889.6099999999999</v>
      </c>
      <c r="FT50" s="880">
        <f>SUM(FT9:FT49)</f>
        <v>0</v>
      </c>
      <c r="FU50" s="880">
        <v>0</v>
      </c>
      <c r="FV50" s="877">
        <f>SUM(FV9:FV49)</f>
        <v>1966.14</v>
      </c>
      <c r="FW50" s="879">
        <f>SUM(FW9:FW49)</f>
        <v>1010.4399999999999</v>
      </c>
      <c r="FX50" s="880">
        <f>SUM(FX9:FX49)</f>
        <v>792.67</v>
      </c>
      <c r="FY50" s="880">
        <f>SUM(FY9:FY49)</f>
        <v>0</v>
      </c>
      <c r="FZ50" s="880">
        <v>0</v>
      </c>
      <c r="GA50" s="877">
        <f>SUM(GA9:GA49)</f>
        <v>1803.11</v>
      </c>
      <c r="GB50" s="879">
        <f>SUM(GB9:GB49)</f>
        <v>890.7700000000001</v>
      </c>
      <c r="GC50" s="880">
        <f>SUM(GC9:GC49)</f>
        <v>646.64</v>
      </c>
      <c r="GD50" s="880">
        <f>SUM(GD9:GD49)</f>
        <v>8.01</v>
      </c>
      <c r="GE50" s="880">
        <v>0</v>
      </c>
      <c r="GF50" s="877">
        <f>SUM(GF9:GF49)</f>
        <v>1545.4199999999998</v>
      </c>
      <c r="GG50" s="463">
        <f>SUM(GG9:GG49)</f>
        <v>861.71999999999991</v>
      </c>
      <c r="GH50" s="464">
        <f>SUM(GH9:GH49)</f>
        <v>465.78000000000003</v>
      </c>
      <c r="GI50" s="464">
        <f>SUM(GI9:GI49)</f>
        <v>0.71</v>
      </c>
      <c r="GJ50" s="464">
        <v>0</v>
      </c>
      <c r="GK50" s="462">
        <f>SUM(GK9:GK49)</f>
        <v>1328.2100000000003</v>
      </c>
      <c r="GL50" s="463">
        <f>SUM(GL9:GL49)</f>
        <v>452.50999999999993</v>
      </c>
      <c r="GM50" s="464">
        <f>SUM(GM9:GM49)</f>
        <v>381.16999999999996</v>
      </c>
      <c r="GN50" s="464">
        <f>SUM(GN9:GN49)</f>
        <v>18.36</v>
      </c>
      <c r="GO50" s="464">
        <v>0</v>
      </c>
      <c r="GP50" s="462">
        <f>SUM(GP9:GP49)</f>
        <v>852.04</v>
      </c>
      <c r="GQ50" s="463">
        <f>SUM(GQ9:GQ49)</f>
        <v>351.46</v>
      </c>
      <c r="GR50" s="464">
        <f>SUM(GR9:GR49)</f>
        <v>256.66000000000003</v>
      </c>
      <c r="GS50" s="464">
        <f>SUM(GS9:GS49)</f>
        <v>47.850000000000009</v>
      </c>
      <c r="GT50" s="464">
        <v>0</v>
      </c>
      <c r="GU50" s="462">
        <f>SUM(GU9:GU49)</f>
        <v>655.97</v>
      </c>
      <c r="GV50" s="463">
        <f>SUM(GV9:GV49)</f>
        <v>620.55300000000011</v>
      </c>
      <c r="GW50" s="464">
        <f>SUM(GW9:GW49)</f>
        <v>443.53999999999996</v>
      </c>
      <c r="GX50" s="464">
        <f>SUM(GX9:GX49)</f>
        <v>0</v>
      </c>
      <c r="GY50" s="464">
        <v>0</v>
      </c>
      <c r="GZ50" s="462">
        <f>SUM(GZ9:GZ49)</f>
        <v>1064.0929999999998</v>
      </c>
      <c r="HA50" s="463">
        <f>SUM(HA9:HA49)</f>
        <v>731.4699999999998</v>
      </c>
      <c r="HB50" s="464">
        <f>SUM(HB9:HB49)</f>
        <v>522.7399999999999</v>
      </c>
      <c r="HC50" s="464">
        <f>SUM(HC9:HC49)</f>
        <v>98.420000000000016</v>
      </c>
      <c r="HD50" s="464">
        <v>0</v>
      </c>
      <c r="HE50" s="462">
        <f>SUM(HE9:HE49)</f>
        <v>1352.6299999999999</v>
      </c>
      <c r="HF50" s="463">
        <f>SUM(HF9:HF49)</f>
        <v>611.5</v>
      </c>
      <c r="HG50" s="464">
        <f>SUM(HG9:HG49)</f>
        <v>575.41000000000008</v>
      </c>
      <c r="HH50" s="464">
        <f>SUM(HH9:HH49)</f>
        <v>99.050000000000011</v>
      </c>
      <c r="HI50" s="464">
        <v>0</v>
      </c>
      <c r="HJ50" s="462">
        <f>SUM(HJ9:HJ49)</f>
        <v>1285.9600000000003</v>
      </c>
      <c r="HK50" s="463">
        <f>SUM(HK9:HK49)</f>
        <v>796.53000000000009</v>
      </c>
      <c r="HL50" s="464">
        <f>SUM(HL9:HL49)</f>
        <v>619.87000000000023</v>
      </c>
      <c r="HM50" s="464">
        <f>SUM(HM9:HM49)</f>
        <v>121.15</v>
      </c>
      <c r="HN50" s="464">
        <v>0</v>
      </c>
      <c r="HO50" s="462">
        <f>SUM(HO9:HO49)</f>
        <v>1537.55</v>
      </c>
      <c r="HP50" s="463">
        <f>SUM(HP9:HP49)</f>
        <v>975.57000000000016</v>
      </c>
      <c r="HQ50" s="464">
        <f>SUM(HQ9:HQ49)</f>
        <v>1089.8399999999995</v>
      </c>
      <c r="HR50" s="464">
        <f>SUM(HR9:HR49)</f>
        <v>71.41</v>
      </c>
      <c r="HS50" s="464">
        <v>0</v>
      </c>
      <c r="HT50" s="462">
        <f>SUM(HT9:HT49)</f>
        <v>2136.8200000000002</v>
      </c>
      <c r="HU50" s="463">
        <f>SUM(HU9:HU49)</f>
        <v>1613.68</v>
      </c>
      <c r="HV50" s="464">
        <f>SUM(HV9:HV49)</f>
        <v>693.88000000000011</v>
      </c>
      <c r="HW50" s="464">
        <f>SUM(HW9:HW49)</f>
        <v>34.22</v>
      </c>
      <c r="HX50" s="464">
        <v>0</v>
      </c>
      <c r="HY50" s="462">
        <f>SUM(HY9:HY49)</f>
        <v>2341.7800000000002</v>
      </c>
      <c r="HZ50" s="463">
        <f>SUM(HZ9:HZ49)</f>
        <v>1801.9199999999998</v>
      </c>
      <c r="IA50" s="464">
        <f>SUM(IA9:IA49)</f>
        <v>830.00000000000034</v>
      </c>
      <c r="IB50" s="464">
        <f>SUM(IB9:IB49)</f>
        <v>8.81</v>
      </c>
      <c r="IC50" s="464">
        <v>0</v>
      </c>
      <c r="ID50" s="462">
        <f>SUM(ID9:ID49)</f>
        <v>2640.7299999999991</v>
      </c>
      <c r="IE50" s="465">
        <f>SUM(IE9:IE49)</f>
        <v>1197.78</v>
      </c>
      <c r="IF50" s="466">
        <f>SUM(IF9:IF49)</f>
        <v>945.81000000000006</v>
      </c>
      <c r="IG50" s="466">
        <f>SUM(IG9:IG49)</f>
        <v>161.35</v>
      </c>
      <c r="IH50" s="466">
        <v>0</v>
      </c>
      <c r="II50" s="462">
        <f>SUM(II9:II49)</f>
        <v>2304.94</v>
      </c>
      <c r="IJ50" s="465">
        <f>SUM(IJ9:IJ49)</f>
        <v>1065.6100000000001</v>
      </c>
      <c r="IK50" s="466">
        <f>SUM(IK9:IK49)</f>
        <v>795.41000000000008</v>
      </c>
      <c r="IL50" s="487">
        <f>SUM(IL9:IL49)</f>
        <v>128.41</v>
      </c>
      <c r="IM50" s="468">
        <v>0</v>
      </c>
      <c r="IN50" s="494">
        <f>SUM(IN9:IN49)</f>
        <v>1989.4299999999998</v>
      </c>
      <c r="IO50" s="494"/>
      <c r="IP50" s="507">
        <f>SUM(IP7:IP49)</f>
        <v>19490.153000000002</v>
      </c>
      <c r="IQ50" s="503">
        <f>SUM(IQ9:IQ49)</f>
        <v>935.78</v>
      </c>
      <c r="IR50" s="468">
        <f>SUM(IR9:IR49)</f>
        <v>417.46000000000004</v>
      </c>
      <c r="IS50" s="468">
        <f>SUM(IS9:IS49)</f>
        <v>14.31</v>
      </c>
      <c r="IT50" s="468">
        <v>0</v>
      </c>
      <c r="IU50" s="469">
        <f>SUM(IU9:IU49)</f>
        <v>1367.55</v>
      </c>
      <c r="IV50" s="467">
        <f>SUM(IV9:IV49)</f>
        <v>1100.2199999999998</v>
      </c>
      <c r="IW50" s="468">
        <f>SUM(IW9:IW49)</f>
        <v>422.92000000000013</v>
      </c>
      <c r="IX50" s="468">
        <f>SUM(IX9:IX49)</f>
        <v>4.78</v>
      </c>
      <c r="IY50" s="468">
        <v>0</v>
      </c>
      <c r="IZ50" s="469">
        <f>SUM(IZ9:IZ49)</f>
        <v>1527.92</v>
      </c>
      <c r="JA50" s="467">
        <f>SUM(JA9:JA49)</f>
        <v>732.11999999999989</v>
      </c>
      <c r="JB50" s="468">
        <f>SUM(JB9:JB49)</f>
        <v>579.50000000000023</v>
      </c>
      <c r="JC50" s="468">
        <f>SUM(JC9:JC49)</f>
        <v>93.18</v>
      </c>
      <c r="JD50" s="468">
        <v>0</v>
      </c>
      <c r="JE50" s="469">
        <f>SUM(JE9:JE49)</f>
        <v>1404.8000000000004</v>
      </c>
      <c r="JF50" s="467">
        <f>SUM(JF9:JF49)</f>
        <v>1366.4300000000003</v>
      </c>
      <c r="JG50" s="468">
        <f>SUM(JG9:JG49)</f>
        <v>562.80000000000007</v>
      </c>
      <c r="JH50" s="468">
        <f>SUM(JH9:JH49)</f>
        <v>0</v>
      </c>
      <c r="JI50" s="468">
        <v>0</v>
      </c>
      <c r="JJ50" s="469">
        <f>SUM(JJ9:JJ49)</f>
        <v>1929.2300000000002</v>
      </c>
      <c r="JK50" s="467">
        <f>SUM(JK9:JK49)</f>
        <v>842.90000000000032</v>
      </c>
      <c r="JL50" s="468">
        <f>SUM(JL9:JL49)</f>
        <v>575.22000000000014</v>
      </c>
      <c r="JM50" s="468">
        <f>SUM(JM9:JM49)</f>
        <v>320.94</v>
      </c>
      <c r="JN50" s="468">
        <v>0</v>
      </c>
      <c r="JO50" s="469">
        <f>SUM(JO9:JO49)</f>
        <v>1739.06</v>
      </c>
      <c r="JP50" s="467">
        <f>SUM(JP9:JP49)</f>
        <v>852.04999999999984</v>
      </c>
      <c r="JQ50" s="468">
        <f>SUM(JQ9:JQ49)</f>
        <v>554.30999999999995</v>
      </c>
      <c r="JR50" s="468">
        <f>SUM(JR9:JR49)</f>
        <v>147.91999999999999</v>
      </c>
      <c r="JS50" s="468">
        <v>0</v>
      </c>
      <c r="JT50" s="469">
        <f>SUM(JT9:JT49)</f>
        <v>1554.2800000000004</v>
      </c>
      <c r="JU50" s="467">
        <f>SUM(JU9:JU49)</f>
        <v>781.5500000000003</v>
      </c>
      <c r="JV50" s="468">
        <f>SUM(JV9:JV49)</f>
        <v>658.49</v>
      </c>
      <c r="JW50" s="468">
        <f>SUM(JW9:JW49)</f>
        <v>131.84</v>
      </c>
      <c r="JX50" s="468">
        <v>0</v>
      </c>
      <c r="JY50" s="469">
        <f>SUM(JY9:JY49)</f>
        <v>1571.88</v>
      </c>
      <c r="JZ50" s="467">
        <f t="shared" ref="JZ50:KX50" si="71">SUM(JZ9:JZ49)</f>
        <v>910.21</v>
      </c>
      <c r="KA50" s="468">
        <f t="shared" si="71"/>
        <v>693.61999999999989</v>
      </c>
      <c r="KB50" s="468">
        <f t="shared" si="71"/>
        <v>147.98999999999998</v>
      </c>
      <c r="KC50" s="468">
        <f t="shared" si="71"/>
        <v>0</v>
      </c>
      <c r="KD50" s="469">
        <f t="shared" si="71"/>
        <v>1751.82</v>
      </c>
      <c r="KE50" s="467">
        <f t="shared" si="71"/>
        <v>925.25000000000034</v>
      </c>
      <c r="KF50" s="468">
        <f t="shared" si="71"/>
        <v>872.35000000000025</v>
      </c>
      <c r="KG50" s="468">
        <f t="shared" si="71"/>
        <v>143.48000000000002</v>
      </c>
      <c r="KH50" s="468">
        <f t="shared" si="71"/>
        <v>0</v>
      </c>
      <c r="KI50" s="469">
        <f t="shared" si="71"/>
        <v>1941.08</v>
      </c>
      <c r="KJ50" s="467">
        <f t="shared" si="71"/>
        <v>1297.8999999999994</v>
      </c>
      <c r="KK50" s="468">
        <f t="shared" si="71"/>
        <v>1181.2299999999998</v>
      </c>
      <c r="KL50" s="468">
        <f t="shared" si="71"/>
        <v>0</v>
      </c>
      <c r="KM50" s="468">
        <f t="shared" si="71"/>
        <v>0</v>
      </c>
      <c r="KN50" s="469">
        <f t="shared" si="71"/>
        <v>2479.1299999999992</v>
      </c>
      <c r="KO50" s="467">
        <f t="shared" si="71"/>
        <v>1354.1899999999998</v>
      </c>
      <c r="KP50" s="468">
        <f t="shared" si="71"/>
        <v>1065.27</v>
      </c>
      <c r="KQ50" s="468">
        <f t="shared" si="71"/>
        <v>3.22</v>
      </c>
      <c r="KR50" s="468">
        <f t="shared" si="71"/>
        <v>0</v>
      </c>
      <c r="KS50" s="469">
        <f t="shared" si="71"/>
        <v>2422.6799999999998</v>
      </c>
      <c r="KT50" s="467">
        <f t="shared" si="71"/>
        <v>1311.06</v>
      </c>
      <c r="KU50" s="468">
        <f t="shared" si="71"/>
        <v>659.64999999999986</v>
      </c>
      <c r="KV50" s="468">
        <f t="shared" si="71"/>
        <v>0</v>
      </c>
      <c r="KW50" s="468">
        <f t="shared" si="71"/>
        <v>0</v>
      </c>
      <c r="KX50" s="469">
        <f t="shared" si="71"/>
        <v>1970.7100000000003</v>
      </c>
      <c r="KZ50" s="507">
        <f>IU50+IZ50+JE50+JJ50+JO50+JT50+JY50+KD50+KI50+KN50+KS50+KX50</f>
        <v>21660.14</v>
      </c>
    </row>
    <row r="51" spans="1:312" ht="15.75" x14ac:dyDescent="0.25">
      <c r="A51" s="44"/>
      <c r="B51" s="50"/>
      <c r="C51" s="50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L51" s="470"/>
    </row>
    <row r="52" spans="1:312" x14ac:dyDescent="0.25">
      <c r="A52" s="471" t="s">
        <v>166</v>
      </c>
      <c r="B52" s="19"/>
      <c r="C52" s="19"/>
      <c r="D52" s="19"/>
      <c r="E52" s="19"/>
      <c r="F52" s="19"/>
      <c r="G52" s="19"/>
      <c r="H52" s="19"/>
      <c r="CA52" s="52"/>
      <c r="CB52" s="52"/>
      <c r="CC52" s="52"/>
      <c r="CD52" s="52"/>
      <c r="II52" s="803">
        <f>SUM(II9:II20)</f>
        <v>1102.0349999999999</v>
      </c>
      <c r="KX52" s="19" t="s">
        <v>197</v>
      </c>
    </row>
    <row r="53" spans="1:312" x14ac:dyDescent="0.25">
      <c r="A53" s="51"/>
      <c r="II53" s="803">
        <f>SUM(II21:II27)</f>
        <v>531.46499999999992</v>
      </c>
    </row>
    <row r="54" spans="1:312" x14ac:dyDescent="0.25">
      <c r="A54" s="51" t="s">
        <v>167</v>
      </c>
      <c r="II54" s="803">
        <f>SUM(II28:II32)</f>
        <v>505.90999999999997</v>
      </c>
    </row>
    <row r="55" spans="1:312" x14ac:dyDescent="0.25">
      <c r="A55" s="51" t="s">
        <v>168</v>
      </c>
      <c r="II55" s="803">
        <f>SUM(II39:II46)</f>
        <v>117.14999999999999</v>
      </c>
    </row>
    <row r="56" spans="1:312" x14ac:dyDescent="0.25">
      <c r="II56" s="803">
        <f>SUM(II48:II49)</f>
        <v>48.38</v>
      </c>
    </row>
  </sheetData>
  <autoFilter ref="A1:KZ56" xr:uid="{31C8E244-A213-40DC-8CFC-BB710B7781DB}">
    <filterColumn colId="249">
      <colorFilter dxfId="175"/>
    </filterColumn>
  </autoFilter>
  <mergeCells count="26">
    <mergeCell ref="BQ6:DX6"/>
    <mergeCell ref="DY6:GF6"/>
    <mergeCell ref="GG6:IN6"/>
    <mergeCell ref="JZ7:KC7"/>
    <mergeCell ref="KD7:KD8"/>
    <mergeCell ref="GQ7:GT7"/>
    <mergeCell ref="GL7:GO7"/>
    <mergeCell ref="GG7:GJ7"/>
    <mergeCell ref="HK7:HN7"/>
    <mergeCell ref="HF7:HI7"/>
    <mergeCell ref="HA7:HD7"/>
    <mergeCell ref="GV7:GY7"/>
    <mergeCell ref="HP7:HS7"/>
    <mergeCell ref="HU7:HX7"/>
    <mergeCell ref="HZ7:IC7"/>
    <mergeCell ref="IE7:IH7"/>
    <mergeCell ref="IJ7:IM7"/>
    <mergeCell ref="KT7:KW7"/>
    <mergeCell ref="KX7:KX8"/>
    <mergeCell ref="IQ6:KX6"/>
    <mergeCell ref="KE7:KH7"/>
    <mergeCell ref="KI7:KI8"/>
    <mergeCell ref="KJ7:KM7"/>
    <mergeCell ref="KN7:KN8"/>
    <mergeCell ref="KO7:KR7"/>
    <mergeCell ref="KS7:KS8"/>
  </mergeCells>
  <pageMargins left="0.15748031496062992" right="0.15748031496062992" top="0.55118110236220474" bottom="0.47244094488188981" header="0.31496062992125984" footer="0.15748031496062992"/>
  <pageSetup paperSize="9" scale="15" firstPageNumber="26" fitToHeight="0" orientation="landscape" useFirstPageNumber="1" r:id="rId1"/>
  <headerFooter>
    <oddFooter>&amp;C&amp;18Page 30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A1E6-8EDC-4F11-ABBD-76DC652ACA39}">
  <sheetPr>
    <tabColor theme="1"/>
    <pageSetUpPr fitToPage="1"/>
  </sheetPr>
  <dimension ref="A1:O61"/>
  <sheetViews>
    <sheetView view="pageBreakPreview" zoomScaleNormal="100" zoomScaleSheetLayoutView="100" workbookViewId="0">
      <selection activeCell="T15" sqref="T15"/>
    </sheetView>
  </sheetViews>
  <sheetFormatPr defaultRowHeight="15" x14ac:dyDescent="0.25"/>
  <cols>
    <col min="1" max="1" width="14.85546875" customWidth="1"/>
    <col min="6" max="7" width="10.7109375" customWidth="1"/>
    <col min="8" max="8" width="1" customWidth="1"/>
    <col min="9" max="11" width="9.5703125" customWidth="1"/>
    <col min="12" max="12" width="9.140625" style="8"/>
    <col min="15" max="15" width="10.7109375" customWidth="1"/>
  </cols>
  <sheetData>
    <row r="1" spans="1:15" s="5" customFormat="1" x14ac:dyDescent="0.25">
      <c r="A1" s="5" t="s">
        <v>116</v>
      </c>
      <c r="L1" s="195"/>
    </row>
    <row r="2" spans="1:15" s="7" customFormat="1" ht="15.75" thickBot="1" x14ac:dyDescent="0.3">
      <c r="A2" s="7" t="s">
        <v>138</v>
      </c>
      <c r="L2" s="6"/>
    </row>
    <row r="3" spans="1:15" ht="45" x14ac:dyDescent="0.25">
      <c r="A3" s="2" t="s">
        <v>79</v>
      </c>
      <c r="B3" s="2" t="s">
        <v>80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08"/>
      <c r="I3" s="200" t="s">
        <v>109</v>
      </c>
      <c r="J3" s="201" t="s">
        <v>110</v>
      </c>
      <c r="K3" s="201" t="s">
        <v>103</v>
      </c>
      <c r="L3" s="202" t="s">
        <v>106</v>
      </c>
      <c r="M3" s="202" t="s">
        <v>107</v>
      </c>
      <c r="N3" s="202" t="s">
        <v>108</v>
      </c>
      <c r="O3" s="203" t="s">
        <v>111</v>
      </c>
    </row>
    <row r="4" spans="1:15" ht="51.75" x14ac:dyDescent="0.25">
      <c r="A4" s="212" t="s">
        <v>112</v>
      </c>
      <c r="B4" s="98">
        <f>'YUVENTUS UN GANG'!B10</f>
        <v>164</v>
      </c>
      <c r="C4" s="98">
        <f>'YUVENTUS UN GANG'!C10</f>
        <v>331</v>
      </c>
      <c r="D4" s="98">
        <f>'YUVENTUS UN GANG'!D10</f>
        <v>106.52</v>
      </c>
      <c r="E4" s="98">
        <f>'YUVENTUS UN GANG'!E10</f>
        <v>125.98</v>
      </c>
      <c r="F4" s="98">
        <f>'YUVENTUS UN GANG'!F10</f>
        <v>0</v>
      </c>
      <c r="G4" s="1">
        <f t="shared" ref="G4:G9" si="0">SUM(D4:F4)</f>
        <v>232.5</v>
      </c>
      <c r="H4" s="209"/>
      <c r="I4" s="204">
        <f>'YUVENTUS UN GANG'!$D$3</f>
        <v>9</v>
      </c>
      <c r="J4" s="199">
        <f>'YUVENTUS UN GANG'!$D$4</f>
        <v>0</v>
      </c>
      <c r="K4" s="12">
        <f>'YUVENTUS UN GANG'!I10</f>
        <v>210</v>
      </c>
      <c r="L4" s="12">
        <f t="shared" ref="L4:L10" si="1">G4/K4</f>
        <v>1.1071428571428572</v>
      </c>
      <c r="M4" s="12">
        <f>'YUVENTUS UN GANG'!$J$17</f>
        <v>18.222222222222221</v>
      </c>
      <c r="N4" s="12">
        <f>'YUVENTUS UN GANG'!$J$13</f>
        <v>25.833333333333332</v>
      </c>
      <c r="O4" s="205" t="str">
        <f>'YUVENTUS UN GANG'!J21</f>
        <v>1:1.42</v>
      </c>
    </row>
    <row r="5" spans="1:15" x14ac:dyDescent="0.25">
      <c r="A5" s="100" t="s">
        <v>64</v>
      </c>
      <c r="B5" s="98">
        <f>'DARSO GANG'!B14</f>
        <v>385.4</v>
      </c>
      <c r="C5" s="98">
        <f>'DARSO GANG'!C14</f>
        <v>818</v>
      </c>
      <c r="D5" s="98">
        <f>'DARSO GANG'!D14</f>
        <v>473.61</v>
      </c>
      <c r="E5" s="98">
        <f>'DARSO GANG'!E14</f>
        <v>218.56</v>
      </c>
      <c r="F5" s="98">
        <f>'DARSO GANG'!F14</f>
        <v>0</v>
      </c>
      <c r="G5" s="1">
        <f t="shared" si="0"/>
        <v>692.17000000000007</v>
      </c>
      <c r="H5" s="209"/>
      <c r="I5" s="204">
        <f>'DARSO GANG'!D3</f>
        <v>17</v>
      </c>
      <c r="J5" s="199">
        <f>'DARSO GANG'!D4</f>
        <v>3</v>
      </c>
      <c r="K5" s="12">
        <f>'DARSO GANG'!I14</f>
        <v>364</v>
      </c>
      <c r="L5" s="12">
        <f t="shared" si="1"/>
        <v>1.9015659340659343</v>
      </c>
      <c r="M5" s="12">
        <f>'DARSO GANG'!J21</f>
        <v>27.528571428571428</v>
      </c>
      <c r="N5" s="12">
        <f>'DARSO GANG'!J17</f>
        <v>49.440714285714293</v>
      </c>
      <c r="O5" s="205" t="str">
        <f>'DARSO GANG'!J25</f>
        <v>1:1.8</v>
      </c>
    </row>
    <row r="6" spans="1:15" x14ac:dyDescent="0.25">
      <c r="A6" s="100" t="s">
        <v>65</v>
      </c>
      <c r="B6" s="98">
        <f>'YUDI GANG'!B10</f>
        <v>116.28</v>
      </c>
      <c r="C6" s="98">
        <f>'YUDI GANG'!C10</f>
        <v>213</v>
      </c>
      <c r="D6" s="98">
        <f>'YUDI GANG'!D10</f>
        <v>94.469999999999985</v>
      </c>
      <c r="E6" s="98">
        <f>'YUDI GANG'!E10</f>
        <v>10.379999999999999</v>
      </c>
      <c r="F6" s="98">
        <f>'YUDI GANG'!F10</f>
        <v>0</v>
      </c>
      <c r="G6" s="1">
        <f t="shared" si="0"/>
        <v>104.84999999999998</v>
      </c>
      <c r="H6" s="209"/>
      <c r="I6" s="204">
        <f>'YUDI GANG'!D3</f>
        <v>5</v>
      </c>
      <c r="J6" s="199">
        <f>'YUDI GANG'!D4</f>
        <v>0</v>
      </c>
      <c r="K6" s="12">
        <f>'YUDI GANG'!I10</f>
        <v>128</v>
      </c>
      <c r="L6" s="12">
        <f t="shared" si="1"/>
        <v>0.81914062499999984</v>
      </c>
      <c r="M6" s="12">
        <f>'YUDI GANG'!J17</f>
        <v>23.256</v>
      </c>
      <c r="N6" s="12">
        <f>'YUDI GANG'!J13</f>
        <v>20.97</v>
      </c>
      <c r="O6" s="205" t="str">
        <f>'YUDI GANG'!J21</f>
        <v>1:0.9</v>
      </c>
    </row>
    <row r="7" spans="1:15" x14ac:dyDescent="0.25">
      <c r="A7" s="100" t="s">
        <v>66</v>
      </c>
      <c r="B7" s="98">
        <f>'SOFIO GANG'!B13</f>
        <v>262.5</v>
      </c>
      <c r="C7" s="98">
        <f>'SOFIO GANG'!C13</f>
        <v>511</v>
      </c>
      <c r="D7" s="98">
        <f>'SOFIO GANG'!D13</f>
        <v>267.13</v>
      </c>
      <c r="E7" s="98">
        <f>'SOFIO GANG'!E13</f>
        <v>97</v>
      </c>
      <c r="F7" s="98">
        <f>'SOFIO GANG'!F13</f>
        <v>0</v>
      </c>
      <c r="G7" s="1">
        <f t="shared" si="0"/>
        <v>364.13</v>
      </c>
      <c r="H7" s="209"/>
      <c r="I7" s="204">
        <f>'SOFIO GANG'!D3</f>
        <v>12</v>
      </c>
      <c r="J7" s="199">
        <f>'SOFIO GANG'!D4</f>
        <v>0</v>
      </c>
      <c r="K7" s="12">
        <f>'SOFIO GANG'!I13</f>
        <v>258</v>
      </c>
      <c r="L7" s="12">
        <f t="shared" si="1"/>
        <v>1.4113565891472868</v>
      </c>
      <c r="M7" s="12">
        <f>'SOFIO GANG'!J20</f>
        <v>21.875</v>
      </c>
      <c r="N7" s="12">
        <f>'SOFIO GANG'!J16</f>
        <v>30.344166666666666</v>
      </c>
      <c r="O7" s="205" t="str">
        <f>'SOFIO GANG'!J24</f>
        <v>1:1.39</v>
      </c>
    </row>
    <row r="8" spans="1:15" x14ac:dyDescent="0.25">
      <c r="A8" s="100" t="s">
        <v>67</v>
      </c>
      <c r="B8" s="98">
        <f>'NU AZANI GANG'!B13</f>
        <v>291.60000000000002</v>
      </c>
      <c r="C8" s="98">
        <f>'NU AZANI GANG'!C13</f>
        <v>594</v>
      </c>
      <c r="D8" s="98">
        <f>'NU AZANI GANG'!D13</f>
        <v>259.99</v>
      </c>
      <c r="E8" s="98">
        <f>'NU AZANI GANG'!E13</f>
        <v>145.63</v>
      </c>
      <c r="F8" s="98">
        <f>'NU AZANI GANG'!F13</f>
        <v>0</v>
      </c>
      <c r="G8" s="1">
        <f t="shared" si="0"/>
        <v>405.62</v>
      </c>
      <c r="H8" s="209"/>
      <c r="I8" s="204">
        <f>'NU AZANI GANG'!D3</f>
        <v>9</v>
      </c>
      <c r="J8" s="199">
        <f>'NU AZANI GANG'!D4</f>
        <v>0</v>
      </c>
      <c r="K8" s="12">
        <f>'NU AZANI GANG'!I13</f>
        <v>221</v>
      </c>
      <c r="L8" s="12">
        <f t="shared" si="1"/>
        <v>1.8353846153846154</v>
      </c>
      <c r="M8" s="12">
        <f>'NU AZANI GANG'!J20</f>
        <v>32.400000000000006</v>
      </c>
      <c r="N8" s="12">
        <f>'NU AZANI GANG'!J16</f>
        <v>45.068888888888893</v>
      </c>
      <c r="O8" s="205" t="str">
        <f>'NU AZANI GANG'!J24</f>
        <v>1:1.39</v>
      </c>
    </row>
    <row r="9" spans="1:15" ht="26.25" x14ac:dyDescent="0.25">
      <c r="A9" s="100" t="s">
        <v>68</v>
      </c>
      <c r="B9" s="98">
        <f>'WENDERLINUS GANG '!B15</f>
        <v>196.73</v>
      </c>
      <c r="C9" s="98">
        <f>'WENDERLINUS GANG '!C15</f>
        <v>124</v>
      </c>
      <c r="D9" s="98">
        <f>'WENDERLINUS GANG '!D15</f>
        <v>109.33999999999999</v>
      </c>
      <c r="E9" s="98">
        <f>'WENDERLINUS GANG '!E15</f>
        <v>62.099999999999994</v>
      </c>
      <c r="F9" s="98">
        <f>'WENDERLINUS GANG '!F15</f>
        <v>0</v>
      </c>
      <c r="G9" s="1">
        <f t="shared" si="0"/>
        <v>171.44</v>
      </c>
      <c r="H9" s="209"/>
      <c r="I9" s="204">
        <f>'WENDERLINUS GANG '!D3</f>
        <v>7</v>
      </c>
      <c r="J9" s="199">
        <f>'WENDERLINUS GANG '!D4</f>
        <v>0</v>
      </c>
      <c r="K9" s="12">
        <f>'WENDERLINUS GANG '!I15</f>
        <v>154</v>
      </c>
      <c r="L9" s="12">
        <f t="shared" si="1"/>
        <v>1.1132467532467532</v>
      </c>
      <c r="M9" s="12">
        <f>'WENDERLINUS GANG '!J22</f>
        <v>28.104285714285712</v>
      </c>
      <c r="N9" s="12">
        <f>'WENDERLINUS GANG '!J18</f>
        <v>24.491428571428568</v>
      </c>
      <c r="O9" s="205" t="str">
        <f>'WENDERLINUS GANG '!J26</f>
        <v>1:0.87</v>
      </c>
    </row>
    <row r="10" spans="1:15" s="7" customFormat="1" ht="15.75" thickBot="1" x14ac:dyDescent="0.3">
      <c r="A10" s="99" t="s">
        <v>8</v>
      </c>
      <c r="B10" s="97">
        <f t="shared" ref="B10:K10" si="2">SUM(B4:B9)</f>
        <v>1416.51</v>
      </c>
      <c r="C10" s="97">
        <f t="shared" si="2"/>
        <v>2591</v>
      </c>
      <c r="D10" s="97">
        <f t="shared" si="2"/>
        <v>1311.06</v>
      </c>
      <c r="E10" s="97">
        <f t="shared" si="2"/>
        <v>659.65</v>
      </c>
      <c r="F10" s="97">
        <f t="shared" si="2"/>
        <v>0</v>
      </c>
      <c r="G10" s="97">
        <f>SUM(G4:G9)</f>
        <v>1970.71</v>
      </c>
      <c r="H10" s="210"/>
      <c r="I10" s="206">
        <f t="shared" si="2"/>
        <v>59</v>
      </c>
      <c r="J10" s="207">
        <f t="shared" si="2"/>
        <v>3</v>
      </c>
      <c r="K10" s="207">
        <f t="shared" si="2"/>
        <v>1335</v>
      </c>
      <c r="L10" s="207">
        <f t="shared" si="1"/>
        <v>1.476187265917603</v>
      </c>
      <c r="M10" s="207">
        <f>B10/(I10-J10)</f>
        <v>25.294821428571428</v>
      </c>
      <c r="N10" s="207">
        <f>G10/(I10-J10)</f>
        <v>35.191250000000004</v>
      </c>
      <c r="O10" s="211" t="str">
        <f>B10/B10&amp;":"&amp;ROUND(G10/B10,2)</f>
        <v>1:1.39</v>
      </c>
    </row>
    <row r="12" spans="1:15" x14ac:dyDescent="0.25">
      <c r="L12"/>
    </row>
    <row r="13" spans="1:15" s="7" customFormat="1" ht="15.75" thickBot="1" x14ac:dyDescent="0.3">
      <c r="A13" s="7" t="s">
        <v>117</v>
      </c>
      <c r="L13" s="6"/>
    </row>
    <row r="14" spans="1:15" ht="45" x14ac:dyDescent="0.25">
      <c r="A14" s="2" t="s">
        <v>79</v>
      </c>
      <c r="B14" s="2" t="s">
        <v>80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08"/>
      <c r="I14" s="200" t="s">
        <v>109</v>
      </c>
      <c r="J14" s="201" t="s">
        <v>110</v>
      </c>
      <c r="K14" s="201" t="s">
        <v>103</v>
      </c>
      <c r="L14" s="202" t="s">
        <v>106</v>
      </c>
      <c r="M14" s="202" t="s">
        <v>107</v>
      </c>
      <c r="N14" s="202" t="s">
        <v>108</v>
      </c>
      <c r="O14" s="203" t="s">
        <v>111</v>
      </c>
    </row>
    <row r="15" spans="1:15" ht="51.75" x14ac:dyDescent="0.25">
      <c r="A15" s="100" t="s">
        <v>112</v>
      </c>
      <c r="B15" s="98">
        <v>164</v>
      </c>
      <c r="C15" s="98">
        <v>266</v>
      </c>
      <c r="D15" s="98">
        <v>107.03</v>
      </c>
      <c r="E15" s="98">
        <v>0</v>
      </c>
      <c r="F15" s="98">
        <v>0</v>
      </c>
      <c r="G15" s="1">
        <v>107.03</v>
      </c>
      <c r="H15" s="209"/>
      <c r="I15" s="204">
        <v>9</v>
      </c>
      <c r="J15" s="199">
        <v>1</v>
      </c>
      <c r="K15" s="12">
        <v>94</v>
      </c>
      <c r="L15" s="12">
        <v>1.1399999999999999</v>
      </c>
      <c r="M15" s="12">
        <v>20.5</v>
      </c>
      <c r="N15" s="12">
        <v>13.38</v>
      </c>
      <c r="O15" s="205" t="s">
        <v>139</v>
      </c>
    </row>
    <row r="16" spans="1:15" x14ac:dyDescent="0.25">
      <c r="A16" s="100" t="s">
        <v>64</v>
      </c>
      <c r="B16" s="98">
        <v>385.4</v>
      </c>
      <c r="C16" s="98">
        <v>654</v>
      </c>
      <c r="D16" s="98">
        <v>256.12</v>
      </c>
      <c r="E16" s="98">
        <v>0</v>
      </c>
      <c r="F16" s="98">
        <v>0</v>
      </c>
      <c r="G16" s="1">
        <v>256.12</v>
      </c>
      <c r="H16" s="209"/>
      <c r="I16" s="204">
        <v>16</v>
      </c>
      <c r="J16" s="199">
        <v>0</v>
      </c>
      <c r="K16" s="12">
        <v>193</v>
      </c>
      <c r="L16" s="12">
        <v>1.33</v>
      </c>
      <c r="M16" s="12">
        <v>24.09</v>
      </c>
      <c r="N16" s="12">
        <v>16.010000000000002</v>
      </c>
      <c r="O16" s="205" t="s">
        <v>140</v>
      </c>
    </row>
    <row r="17" spans="1:15" x14ac:dyDescent="0.25">
      <c r="A17" s="100" t="s">
        <v>65</v>
      </c>
      <c r="B17" s="98">
        <v>104.9</v>
      </c>
      <c r="C17" s="98">
        <v>165</v>
      </c>
      <c r="D17" s="98">
        <v>43.88</v>
      </c>
      <c r="E17" s="98">
        <v>0</v>
      </c>
      <c r="F17" s="98">
        <v>0</v>
      </c>
      <c r="G17" s="1">
        <v>43.88</v>
      </c>
      <c r="H17" s="209"/>
      <c r="I17" s="204">
        <v>5</v>
      </c>
      <c r="J17" s="199">
        <v>0</v>
      </c>
      <c r="K17" s="12">
        <v>49</v>
      </c>
      <c r="L17" s="12">
        <v>0.9</v>
      </c>
      <c r="M17" s="12">
        <v>20.98</v>
      </c>
      <c r="N17" s="12">
        <v>8.7799999999999994</v>
      </c>
      <c r="O17" s="205" t="s">
        <v>141</v>
      </c>
    </row>
    <row r="18" spans="1:15" x14ac:dyDescent="0.25">
      <c r="A18" s="100" t="s">
        <v>66</v>
      </c>
      <c r="B18" s="98">
        <v>262.5</v>
      </c>
      <c r="C18" s="98">
        <v>409</v>
      </c>
      <c r="D18" s="98">
        <v>177.35</v>
      </c>
      <c r="E18" s="98">
        <v>0</v>
      </c>
      <c r="F18" s="98">
        <v>0</v>
      </c>
      <c r="G18" s="1">
        <v>177.35</v>
      </c>
      <c r="H18" s="209"/>
      <c r="I18" s="204">
        <v>13</v>
      </c>
      <c r="J18" s="199">
        <v>0</v>
      </c>
      <c r="K18" s="12">
        <v>174</v>
      </c>
      <c r="L18" s="12">
        <v>1.02</v>
      </c>
      <c r="M18" s="12">
        <v>20.190000000000001</v>
      </c>
      <c r="N18" s="12">
        <v>13.64</v>
      </c>
      <c r="O18" s="205" t="s">
        <v>142</v>
      </c>
    </row>
    <row r="19" spans="1:15" x14ac:dyDescent="0.25">
      <c r="A19" s="100" t="s">
        <v>67</v>
      </c>
      <c r="B19" s="98">
        <v>291.60000000000002</v>
      </c>
      <c r="C19" s="98">
        <v>476</v>
      </c>
      <c r="D19" s="98">
        <v>115.65</v>
      </c>
      <c r="E19" s="98">
        <v>35.380000000000003</v>
      </c>
      <c r="F19" s="98">
        <v>0</v>
      </c>
      <c r="G19" s="1">
        <v>151.03</v>
      </c>
      <c r="H19" s="209"/>
      <c r="I19" s="204">
        <v>9</v>
      </c>
      <c r="J19" s="199">
        <v>0</v>
      </c>
      <c r="K19" s="12">
        <v>134</v>
      </c>
      <c r="L19" s="12">
        <v>1.1299999999999999</v>
      </c>
      <c r="M19" s="12">
        <v>32.4</v>
      </c>
      <c r="N19" s="12">
        <v>16.78</v>
      </c>
      <c r="O19" s="205" t="s">
        <v>143</v>
      </c>
    </row>
    <row r="20" spans="1:15" ht="26.25" x14ac:dyDescent="0.25">
      <c r="A20" s="100" t="s">
        <v>68</v>
      </c>
      <c r="B20" s="98">
        <v>208.11</v>
      </c>
      <c r="C20" s="98">
        <v>105</v>
      </c>
      <c r="D20" s="98">
        <v>81.67</v>
      </c>
      <c r="E20" s="98">
        <v>0</v>
      </c>
      <c r="F20" s="98">
        <v>0</v>
      </c>
      <c r="G20" s="1">
        <v>81.67</v>
      </c>
      <c r="H20" s="209"/>
      <c r="I20" s="204">
        <v>9</v>
      </c>
      <c r="J20" s="199">
        <v>1</v>
      </c>
      <c r="K20" s="12">
        <v>102</v>
      </c>
      <c r="L20" s="12">
        <v>0.8</v>
      </c>
      <c r="M20" s="12">
        <v>26.01</v>
      </c>
      <c r="N20" s="12">
        <v>10.210000000000001</v>
      </c>
      <c r="O20" s="205" t="s">
        <v>144</v>
      </c>
    </row>
    <row r="21" spans="1:15" s="7" customFormat="1" ht="15.75" thickBot="1" x14ac:dyDescent="0.3">
      <c r="A21" s="99" t="s">
        <v>8</v>
      </c>
      <c r="B21" s="97">
        <v>1416.51</v>
      </c>
      <c r="C21" s="97">
        <v>2075</v>
      </c>
      <c r="D21" s="97">
        <v>781.7</v>
      </c>
      <c r="E21" s="97">
        <v>35.380000000000003</v>
      </c>
      <c r="F21" s="97">
        <v>0</v>
      </c>
      <c r="G21" s="97">
        <v>817.08</v>
      </c>
      <c r="H21" s="210"/>
      <c r="I21" s="206">
        <v>61</v>
      </c>
      <c r="J21" s="207">
        <v>2</v>
      </c>
      <c r="K21" s="207">
        <v>746</v>
      </c>
      <c r="L21" s="207">
        <v>1.1000000000000001</v>
      </c>
      <c r="M21" s="207">
        <v>24.01</v>
      </c>
      <c r="N21" s="207">
        <v>13.85</v>
      </c>
      <c r="O21" s="211" t="s">
        <v>145</v>
      </c>
    </row>
    <row r="24" spans="1:15" x14ac:dyDescent="0.25">
      <c r="A24" s="7" t="s">
        <v>146</v>
      </c>
    </row>
    <row r="25" spans="1:15" ht="60" customHeight="1" x14ac:dyDescent="0.25">
      <c r="A25" s="2" t="s">
        <v>79</v>
      </c>
      <c r="B25" s="2" t="s">
        <v>3</v>
      </c>
      <c r="C25" s="2" t="s">
        <v>4</v>
      </c>
      <c r="D25" s="2" t="s">
        <v>5</v>
      </c>
      <c r="E25" s="2" t="s">
        <v>6</v>
      </c>
      <c r="F25" s="2" t="s">
        <v>109</v>
      </c>
      <c r="G25" s="2" t="s">
        <v>110</v>
      </c>
      <c r="H25" s="986" t="s">
        <v>103</v>
      </c>
      <c r="I25" s="986"/>
      <c r="J25" s="196" t="s">
        <v>106</v>
      </c>
      <c r="K25" s="196" t="s">
        <v>108</v>
      </c>
      <c r="L25"/>
    </row>
    <row r="26" spans="1:15" x14ac:dyDescent="0.25">
      <c r="A26" s="100" t="s">
        <v>63</v>
      </c>
      <c r="B26" s="98">
        <f t="shared" ref="B26:C31" si="3">D4-D15</f>
        <v>-0.51000000000000512</v>
      </c>
      <c r="C26" s="98">
        <f t="shared" si="3"/>
        <v>125.98</v>
      </c>
      <c r="D26" s="98">
        <v>0</v>
      </c>
      <c r="E26" s="1">
        <f t="shared" ref="E26:E31" si="4">SUM(B26:D26)</f>
        <v>125.47</v>
      </c>
      <c r="F26" s="199">
        <f t="shared" ref="F26:H31" si="5">I4-I15</f>
        <v>0</v>
      </c>
      <c r="G26" s="199">
        <f t="shared" si="5"/>
        <v>-1</v>
      </c>
      <c r="H26" s="1061">
        <f t="shared" si="5"/>
        <v>116</v>
      </c>
      <c r="I26" s="1061"/>
      <c r="J26" s="12">
        <f t="shared" ref="J26:J31" si="6">L4-L15</f>
        <v>-3.2857142857142696E-2</v>
      </c>
      <c r="K26" s="12">
        <f t="shared" ref="K26:K31" si="7">N4-N15</f>
        <v>12.453333333333331</v>
      </c>
      <c r="L26"/>
    </row>
    <row r="27" spans="1:15" x14ac:dyDescent="0.25">
      <c r="A27" s="100" t="s">
        <v>64</v>
      </c>
      <c r="B27" s="98">
        <f t="shared" si="3"/>
        <v>217.49</v>
      </c>
      <c r="C27" s="98">
        <f t="shared" si="3"/>
        <v>218.56</v>
      </c>
      <c r="D27" s="98">
        <v>0</v>
      </c>
      <c r="E27" s="1">
        <f t="shared" si="4"/>
        <v>436.05</v>
      </c>
      <c r="F27" s="199">
        <f t="shared" si="5"/>
        <v>1</v>
      </c>
      <c r="G27" s="199">
        <f t="shared" si="5"/>
        <v>3</v>
      </c>
      <c r="H27" s="1061">
        <f t="shared" si="5"/>
        <v>171</v>
      </c>
      <c r="I27" s="1061"/>
      <c r="J27" s="12">
        <f t="shared" si="6"/>
        <v>0.57156593406593426</v>
      </c>
      <c r="K27" s="12">
        <f t="shared" si="7"/>
        <v>33.430714285714288</v>
      </c>
      <c r="L27"/>
    </row>
    <row r="28" spans="1:15" x14ac:dyDescent="0.25">
      <c r="A28" s="100" t="s">
        <v>65</v>
      </c>
      <c r="B28" s="98">
        <f t="shared" si="3"/>
        <v>50.589999999999982</v>
      </c>
      <c r="C28" s="98">
        <f t="shared" si="3"/>
        <v>10.379999999999999</v>
      </c>
      <c r="D28" s="98">
        <v>0</v>
      </c>
      <c r="E28" s="1">
        <f t="shared" si="4"/>
        <v>60.969999999999985</v>
      </c>
      <c r="F28" s="199">
        <f t="shared" si="5"/>
        <v>0</v>
      </c>
      <c r="G28" s="199">
        <f t="shared" si="5"/>
        <v>0</v>
      </c>
      <c r="H28" s="1061">
        <f t="shared" si="5"/>
        <v>79</v>
      </c>
      <c r="I28" s="1061"/>
      <c r="J28" s="12">
        <f t="shared" si="6"/>
        <v>-8.0859375000000178E-2</v>
      </c>
      <c r="K28" s="12">
        <f t="shared" si="7"/>
        <v>12.19</v>
      </c>
      <c r="L28"/>
    </row>
    <row r="29" spans="1:15" x14ac:dyDescent="0.25">
      <c r="A29" s="100" t="s">
        <v>66</v>
      </c>
      <c r="B29" s="98">
        <f t="shared" si="3"/>
        <v>89.78</v>
      </c>
      <c r="C29" s="98">
        <f t="shared" si="3"/>
        <v>97</v>
      </c>
      <c r="D29" s="98">
        <v>0</v>
      </c>
      <c r="E29" s="1">
        <f t="shared" si="4"/>
        <v>186.78</v>
      </c>
      <c r="F29" s="199">
        <f t="shared" si="5"/>
        <v>-1</v>
      </c>
      <c r="G29" s="199">
        <f t="shared" si="5"/>
        <v>0</v>
      </c>
      <c r="H29" s="1061">
        <f t="shared" si="5"/>
        <v>84</v>
      </c>
      <c r="I29" s="1061"/>
      <c r="J29" s="12">
        <f t="shared" si="6"/>
        <v>0.39135658914728677</v>
      </c>
      <c r="K29" s="12">
        <f t="shared" si="7"/>
        <v>16.704166666666666</v>
      </c>
      <c r="L29"/>
    </row>
    <row r="30" spans="1:15" x14ac:dyDescent="0.25">
      <c r="A30" s="100" t="s">
        <v>67</v>
      </c>
      <c r="B30" s="98">
        <f t="shared" si="3"/>
        <v>144.34</v>
      </c>
      <c r="C30" s="98">
        <f t="shared" si="3"/>
        <v>110.25</v>
      </c>
      <c r="D30" s="98">
        <v>0</v>
      </c>
      <c r="E30" s="1">
        <f t="shared" si="4"/>
        <v>254.59</v>
      </c>
      <c r="F30" s="199">
        <f t="shared" si="5"/>
        <v>0</v>
      </c>
      <c r="G30" s="199">
        <f t="shared" si="5"/>
        <v>0</v>
      </c>
      <c r="H30" s="1061">
        <f t="shared" si="5"/>
        <v>87</v>
      </c>
      <c r="I30" s="1061"/>
      <c r="J30" s="12">
        <f t="shared" si="6"/>
        <v>0.7053846153846155</v>
      </c>
      <c r="K30" s="12">
        <f t="shared" si="7"/>
        <v>28.288888888888891</v>
      </c>
      <c r="L30"/>
    </row>
    <row r="31" spans="1:15" ht="26.25" x14ac:dyDescent="0.25">
      <c r="A31" s="100" t="s">
        <v>68</v>
      </c>
      <c r="B31" s="98">
        <f t="shared" si="3"/>
        <v>27.669999999999987</v>
      </c>
      <c r="C31" s="98">
        <f t="shared" si="3"/>
        <v>62.099999999999994</v>
      </c>
      <c r="D31" s="98">
        <v>0</v>
      </c>
      <c r="E31" s="1">
        <f t="shared" si="4"/>
        <v>89.769999999999982</v>
      </c>
      <c r="F31" s="199">
        <f t="shared" si="5"/>
        <v>-2</v>
      </c>
      <c r="G31" s="199">
        <f t="shared" si="5"/>
        <v>-1</v>
      </c>
      <c r="H31" s="1061">
        <f t="shared" si="5"/>
        <v>52</v>
      </c>
      <c r="I31" s="1061"/>
      <c r="J31" s="12">
        <f t="shared" si="6"/>
        <v>0.31324675324675311</v>
      </c>
      <c r="K31" s="12">
        <f t="shared" si="7"/>
        <v>14.281428571428567</v>
      </c>
      <c r="L31"/>
    </row>
    <row r="32" spans="1:15" s="7" customFormat="1" x14ac:dyDescent="0.25">
      <c r="A32" s="99" t="s">
        <v>8</v>
      </c>
      <c r="B32" s="97">
        <f t="shared" ref="B32:G32" si="8">SUM(B26:B31)</f>
        <v>529.36</v>
      </c>
      <c r="C32" s="97">
        <f>SUM(C26:C31)</f>
        <v>624.2700000000001</v>
      </c>
      <c r="D32" s="97">
        <f t="shared" si="8"/>
        <v>0</v>
      </c>
      <c r="E32" s="97">
        <f>SUM(E26:E31)</f>
        <v>1153.6299999999999</v>
      </c>
      <c r="F32" s="97">
        <f>SUM(F26:F31)</f>
        <v>-2</v>
      </c>
      <c r="G32" s="97">
        <f t="shared" si="8"/>
        <v>1</v>
      </c>
      <c r="H32" s="1062">
        <f>SUM(H26:I31)</f>
        <v>589</v>
      </c>
      <c r="I32" s="1062"/>
      <c r="J32" s="97"/>
      <c r="K32" s="97"/>
    </row>
    <row r="34" spans="1:10" x14ac:dyDescent="0.25">
      <c r="A34" s="5" t="s">
        <v>121</v>
      </c>
    </row>
    <row r="35" spans="1:10" x14ac:dyDescent="0.25">
      <c r="A35" s="214" t="s">
        <v>122</v>
      </c>
    </row>
    <row r="36" spans="1:10" x14ac:dyDescent="0.25">
      <c r="A36" s="213" t="s">
        <v>118</v>
      </c>
    </row>
    <row r="37" spans="1:10" x14ac:dyDescent="0.25">
      <c r="A37" s="213" t="s">
        <v>119</v>
      </c>
    </row>
    <row r="38" spans="1:10" x14ac:dyDescent="0.25">
      <c r="A38" s="213" t="s">
        <v>120</v>
      </c>
    </row>
    <row r="40" spans="1:10" x14ac:dyDescent="0.25">
      <c r="A40" s="214" t="s">
        <v>123</v>
      </c>
    </row>
    <row r="41" spans="1:10" x14ac:dyDescent="0.25">
      <c r="A41" s="213" t="s">
        <v>124</v>
      </c>
    </row>
    <row r="42" spans="1:10" x14ac:dyDescent="0.25">
      <c r="A42" s="213" t="s">
        <v>125</v>
      </c>
    </row>
    <row r="43" spans="1:10" x14ac:dyDescent="0.25">
      <c r="A43" s="213" t="s">
        <v>126</v>
      </c>
    </row>
    <row r="45" spans="1:10" s="213" customFormat="1" ht="12.75" x14ac:dyDescent="0.2">
      <c r="A45" s="214" t="s">
        <v>129</v>
      </c>
      <c r="J45" s="215"/>
    </row>
    <row r="46" spans="1:10" s="213" customFormat="1" ht="25.5" x14ac:dyDescent="0.2">
      <c r="A46" s="216" t="s">
        <v>79</v>
      </c>
      <c r="B46" s="217" t="s">
        <v>106</v>
      </c>
      <c r="J46" s="215"/>
    </row>
    <row r="47" spans="1:10" s="213" customFormat="1" ht="25.5" x14ac:dyDescent="0.2">
      <c r="A47" s="100" t="s">
        <v>68</v>
      </c>
      <c r="B47" s="218">
        <v>0.17516246498599419</v>
      </c>
      <c r="D47" s="213" t="s">
        <v>132</v>
      </c>
      <c r="J47" s="215"/>
    </row>
    <row r="48" spans="1:10" s="213" customFormat="1" ht="15" customHeight="1" x14ac:dyDescent="0.2">
      <c r="A48" s="100" t="s">
        <v>63</v>
      </c>
      <c r="B48" s="218">
        <v>8.8417403777194536E-3</v>
      </c>
      <c r="D48" s="220" t="s">
        <v>127</v>
      </c>
      <c r="E48" s="219"/>
      <c r="F48" s="219"/>
      <c r="G48" s="219"/>
      <c r="J48" s="215"/>
    </row>
    <row r="49" spans="1:12" s="213" customFormat="1" ht="12.75" x14ac:dyDescent="0.2">
      <c r="A49" s="100" t="s">
        <v>66</v>
      </c>
      <c r="B49" s="218">
        <v>-4.0493961879819462E-2</v>
      </c>
      <c r="D49" s="220" t="s">
        <v>128</v>
      </c>
      <c r="E49" s="219"/>
      <c r="F49" s="219"/>
      <c r="G49" s="219"/>
      <c r="J49" s="215"/>
    </row>
    <row r="50" spans="1:12" s="213" customFormat="1" ht="12.75" x14ac:dyDescent="0.2">
      <c r="A50" s="100" t="s">
        <v>67</v>
      </c>
      <c r="B50" s="218">
        <v>-0.16092768914050426</v>
      </c>
      <c r="D50" s="219"/>
      <c r="E50" s="219"/>
      <c r="F50" s="219"/>
      <c r="G50" s="219"/>
      <c r="J50" s="215"/>
    </row>
    <row r="51" spans="1:12" s="213" customFormat="1" ht="15" customHeight="1" x14ac:dyDescent="0.2">
      <c r="A51" s="100" t="s">
        <v>64</v>
      </c>
      <c r="B51" s="218">
        <v>-0.17301586787564749</v>
      </c>
      <c r="E51" s="219"/>
      <c r="F51" s="219"/>
      <c r="G51" s="219"/>
      <c r="J51" s="215"/>
    </row>
    <row r="52" spans="1:12" s="213" customFormat="1" ht="12.75" x14ac:dyDescent="0.2">
      <c r="A52" s="100" t="s">
        <v>65</v>
      </c>
      <c r="B52" s="218">
        <v>-0.22015646258503407</v>
      </c>
      <c r="D52" s="219"/>
      <c r="E52" s="219"/>
      <c r="F52" s="219"/>
      <c r="G52" s="219"/>
      <c r="J52" s="215"/>
    </row>
    <row r="53" spans="1:12" x14ac:dyDescent="0.25">
      <c r="A53" s="213"/>
      <c r="B53" s="213"/>
      <c r="C53" s="213"/>
      <c r="D53" s="219"/>
      <c r="E53" s="219"/>
      <c r="F53" s="219"/>
      <c r="G53" s="219"/>
      <c r="H53" s="213"/>
      <c r="I53" s="213"/>
      <c r="J53" s="8"/>
      <c r="L53"/>
    </row>
    <row r="54" spans="1:12" x14ac:dyDescent="0.25">
      <c r="A54" s="214" t="s">
        <v>130</v>
      </c>
      <c r="B54" s="213"/>
      <c r="C54" s="213"/>
      <c r="D54" s="213"/>
      <c r="E54" s="213"/>
    </row>
    <row r="55" spans="1:12" ht="26.25" x14ac:dyDescent="0.25">
      <c r="A55" s="216" t="s">
        <v>79</v>
      </c>
      <c r="B55" s="217" t="s">
        <v>108</v>
      </c>
      <c r="C55" s="213"/>
      <c r="D55" s="213"/>
      <c r="E55" s="213"/>
    </row>
    <row r="56" spans="1:12" ht="26.25" x14ac:dyDescent="0.25">
      <c r="A56" s="100" t="s">
        <v>68</v>
      </c>
      <c r="B56" s="218">
        <v>1.9987499999999976</v>
      </c>
      <c r="C56" s="213"/>
      <c r="D56" s="213" t="s">
        <v>133</v>
      </c>
      <c r="E56" s="213"/>
    </row>
    <row r="57" spans="1:12" x14ac:dyDescent="0.25">
      <c r="A57" s="100" t="s">
        <v>64</v>
      </c>
      <c r="B57" s="218">
        <v>1.0068750000000026</v>
      </c>
      <c r="C57" s="213"/>
      <c r="D57" s="220" t="s">
        <v>131</v>
      </c>
      <c r="E57" s="219"/>
    </row>
    <row r="58" spans="1:12" x14ac:dyDescent="0.25">
      <c r="A58" s="100" t="s">
        <v>63</v>
      </c>
      <c r="B58" s="218">
        <v>0.8100000000000005</v>
      </c>
      <c r="C58" s="213"/>
      <c r="D58" s="220" t="s">
        <v>134</v>
      </c>
      <c r="E58" s="219"/>
    </row>
    <row r="59" spans="1:12" x14ac:dyDescent="0.25">
      <c r="A59" s="100" t="s">
        <v>66</v>
      </c>
      <c r="B59" s="218">
        <v>0.76230769230769546</v>
      </c>
      <c r="C59" s="213"/>
      <c r="D59" s="219"/>
      <c r="E59" s="219"/>
    </row>
    <row r="60" spans="1:12" x14ac:dyDescent="0.25">
      <c r="A60" s="100" t="s">
        <v>67</v>
      </c>
      <c r="B60" s="218">
        <v>0.18000000000000327</v>
      </c>
      <c r="C60" s="213"/>
      <c r="D60" s="213"/>
      <c r="E60" s="219"/>
    </row>
    <row r="61" spans="1:12" x14ac:dyDescent="0.25">
      <c r="A61" s="100" t="s">
        <v>65</v>
      </c>
      <c r="B61" s="218">
        <v>-4.6120000000000001</v>
      </c>
      <c r="C61" s="213"/>
      <c r="D61" s="219"/>
      <c r="E61" s="219"/>
    </row>
  </sheetData>
  <mergeCells count="8">
    <mergeCell ref="H26:I26"/>
    <mergeCell ref="H25:I25"/>
    <mergeCell ref="H32:I32"/>
    <mergeCell ref="H31:I31"/>
    <mergeCell ref="H30:I30"/>
    <mergeCell ref="H29:I29"/>
    <mergeCell ref="H28:I28"/>
    <mergeCell ref="H27:I27"/>
  </mergeCells>
  <conditionalFormatting sqref="G4:G10">
    <cfRule type="expression" dxfId="27" priority="9">
      <formula>G4&gt;C4</formula>
    </cfRule>
    <cfRule type="expression" dxfId="26" priority="10">
      <formula>G4&lt;C4</formula>
    </cfRule>
  </conditionalFormatting>
  <conditionalFormatting sqref="G15:G21">
    <cfRule type="expression" dxfId="25" priority="7">
      <formula>G15&gt;C15</formula>
    </cfRule>
    <cfRule type="expression" dxfId="24" priority="8">
      <formula>G15&lt;C15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4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B943-DDF1-48F2-B7F3-32E75B416814}">
  <sheetPr>
    <tabColor theme="1"/>
    <pageSetUpPr fitToPage="1"/>
  </sheetPr>
  <dimension ref="A1:AG103"/>
  <sheetViews>
    <sheetView view="pageBreakPreview" zoomScaleNormal="100" zoomScaleSheetLayoutView="100" workbookViewId="0">
      <selection activeCell="E105" sqref="E105"/>
    </sheetView>
  </sheetViews>
  <sheetFormatPr defaultRowHeight="15" outlineLevelRow="1" x14ac:dyDescent="0.25"/>
  <cols>
    <col min="1" max="1" width="14.85546875" customWidth="1"/>
    <col min="2" max="2" width="7.140625" customWidth="1"/>
    <col min="6" max="7" width="10.7109375" customWidth="1"/>
    <col min="9" max="11" width="9.5703125" customWidth="1"/>
    <col min="12" max="12" width="9.140625" style="8"/>
    <col min="15" max="15" width="0.7109375" customWidth="1"/>
    <col min="16" max="17" width="14.7109375" customWidth="1"/>
    <col min="18" max="19" width="14.7109375" style="484" customWidth="1"/>
    <col min="20" max="20" width="9.7109375" customWidth="1"/>
    <col min="21" max="33" width="9.140625" hidden="1" customWidth="1"/>
  </cols>
  <sheetData>
    <row r="1" spans="1:32" s="5" customFormat="1" x14ac:dyDescent="0.25">
      <c r="A1" s="5" t="s">
        <v>205</v>
      </c>
      <c r="L1" s="195"/>
      <c r="R1" s="522"/>
      <c r="S1" s="522"/>
    </row>
    <row r="2" spans="1:32" s="7" customFormat="1" ht="15.75" thickBot="1" x14ac:dyDescent="0.3">
      <c r="A2" s="474">
        <v>45901</v>
      </c>
      <c r="B2" s="474"/>
      <c r="L2" s="6"/>
      <c r="R2" s="472"/>
      <c r="S2" s="472"/>
    </row>
    <row r="3" spans="1:32" s="7" customFormat="1" ht="15.75" thickBot="1" x14ac:dyDescent="0.3">
      <c r="A3" s="474"/>
      <c r="B3" s="474"/>
      <c r="D3" s="921">
        <v>2025</v>
      </c>
      <c r="E3" s="922"/>
      <c r="F3" s="922"/>
      <c r="G3" s="922"/>
      <c r="H3" s="922"/>
      <c r="I3" s="922"/>
      <c r="J3" s="922"/>
      <c r="K3" s="922"/>
      <c r="L3" s="922"/>
      <c r="M3" s="922"/>
      <c r="N3" s="923"/>
      <c r="P3" s="1072">
        <v>2024</v>
      </c>
      <c r="Q3" s="1073"/>
      <c r="R3" s="1073"/>
      <c r="S3" s="1074"/>
      <c r="T3" s="485"/>
    </row>
    <row r="4" spans="1:32" s="7" customFormat="1" x14ac:dyDescent="0.25">
      <c r="A4" s="474"/>
      <c r="B4" s="474"/>
      <c r="D4" s="924" t="s">
        <v>199</v>
      </c>
      <c r="E4" s="925"/>
      <c r="F4" s="925"/>
      <c r="G4" s="925"/>
      <c r="H4" s="926" t="s">
        <v>173</v>
      </c>
      <c r="I4" s="928" t="s">
        <v>176</v>
      </c>
      <c r="J4" s="929"/>
      <c r="K4" s="924" t="s">
        <v>177</v>
      </c>
      <c r="L4" s="930"/>
      <c r="M4" s="924" t="s">
        <v>179</v>
      </c>
      <c r="N4" s="930"/>
      <c r="O4" s="485"/>
      <c r="P4" s="1066" t="s">
        <v>203</v>
      </c>
      <c r="Q4" s="1064" t="s">
        <v>204</v>
      </c>
      <c r="R4" s="1068" t="s">
        <v>200</v>
      </c>
      <c r="S4" s="1070" t="s">
        <v>201</v>
      </c>
      <c r="T4" s="485"/>
    </row>
    <row r="5" spans="1:32" s="512" customFormat="1" ht="45.75" thickBot="1" x14ac:dyDescent="0.3">
      <c r="A5" s="931" t="s">
        <v>79</v>
      </c>
      <c r="B5" s="932"/>
      <c r="C5" s="530" t="s">
        <v>80</v>
      </c>
      <c r="D5" s="531" t="s">
        <v>170</v>
      </c>
      <c r="E5" s="532" t="s">
        <v>171</v>
      </c>
      <c r="F5" s="532" t="s">
        <v>172</v>
      </c>
      <c r="G5" s="544" t="s">
        <v>174</v>
      </c>
      <c r="H5" s="927"/>
      <c r="I5" s="548" t="s">
        <v>175</v>
      </c>
      <c r="J5" s="533" t="s">
        <v>178</v>
      </c>
      <c r="K5" s="553" t="s">
        <v>175</v>
      </c>
      <c r="L5" s="534" t="s">
        <v>178</v>
      </c>
      <c r="M5" s="560" t="s">
        <v>175</v>
      </c>
      <c r="N5" s="534" t="s">
        <v>178</v>
      </c>
      <c r="O5" s="527"/>
      <c r="P5" s="1067"/>
      <c r="Q5" s="1065"/>
      <c r="R5" s="1069"/>
      <c r="S5" s="1071"/>
      <c r="U5" s="1063" t="s">
        <v>192</v>
      </c>
      <c r="V5" s="1063"/>
      <c r="W5" s="1063"/>
      <c r="X5" s="1063"/>
      <c r="Y5" s="1063"/>
      <c r="Z5" s="1063"/>
      <c r="AA5" s="1063"/>
      <c r="AB5" s="1063"/>
      <c r="AC5" s="1063"/>
      <c r="AD5" s="1063"/>
      <c r="AE5" s="1063"/>
      <c r="AF5" s="1063"/>
    </row>
    <row r="6" spans="1:32" s="7" customFormat="1" ht="43.5" customHeight="1" thickBot="1" x14ac:dyDescent="0.3">
      <c r="A6" s="937" t="s">
        <v>112</v>
      </c>
      <c r="B6" s="938"/>
      <c r="C6" s="536">
        <f>'YUVENTUS UN GANG'!B10</f>
        <v>164</v>
      </c>
      <c r="D6" s="537">
        <f>'YUVENTUS UN GANG'!D10</f>
        <v>106.52</v>
      </c>
      <c r="E6" s="538">
        <f>'YUVENTUS UN GANG'!E10</f>
        <v>125.98</v>
      </c>
      <c r="F6" s="538">
        <f>'YUVENTUS UN GANG'!F10</f>
        <v>0</v>
      </c>
      <c r="G6" s="539">
        <f>SUM(D6:F6)</f>
        <v>232.5</v>
      </c>
      <c r="H6" s="540">
        <f>'YUVENTUS UN GANG'!C10</f>
        <v>331</v>
      </c>
      <c r="I6" s="549">
        <f>G6/C6</f>
        <v>1.4176829268292683</v>
      </c>
      <c r="J6" s="541">
        <f>H6/C6</f>
        <v>2.0182926829268291</v>
      </c>
      <c r="K6" s="554">
        <f>SUM(K7:K9)</f>
        <v>2709.5699999999997</v>
      </c>
      <c r="L6" s="541">
        <f>ROUND(SUM(L7:L9),0)</f>
        <v>2157</v>
      </c>
      <c r="M6" s="561">
        <f>K6/C6</f>
        <v>16.521768292682925</v>
      </c>
      <c r="N6" s="541">
        <f>L6/C6</f>
        <v>13.152439024390244</v>
      </c>
      <c r="O6" s="542"/>
      <c r="P6" s="545">
        <f>SUM(P7:P9)</f>
        <v>229.5</v>
      </c>
      <c r="Q6" s="552">
        <f>P6/C6</f>
        <v>1.399390243902439</v>
      </c>
      <c r="R6" s="554">
        <f>SUM(R7:R9)</f>
        <v>2396.8960000000002</v>
      </c>
      <c r="S6" s="557">
        <f>R6/C6</f>
        <v>14.615219512195123</v>
      </c>
      <c r="U6" s="99" t="s">
        <v>180</v>
      </c>
      <c r="V6" s="99" t="s">
        <v>181</v>
      </c>
      <c r="W6" s="99" t="s">
        <v>182</v>
      </c>
      <c r="X6" s="99" t="s">
        <v>183</v>
      </c>
      <c r="Y6" s="99" t="s">
        <v>184</v>
      </c>
      <c r="Z6" s="99" t="s">
        <v>185</v>
      </c>
      <c r="AA6" s="99" t="s">
        <v>186</v>
      </c>
      <c r="AB6" s="99" t="s">
        <v>187</v>
      </c>
      <c r="AC6" s="99" t="s">
        <v>188</v>
      </c>
      <c r="AD6" s="99" t="s">
        <v>189</v>
      </c>
      <c r="AE6" s="99" t="s">
        <v>190</v>
      </c>
      <c r="AF6" s="99" t="s">
        <v>191</v>
      </c>
    </row>
    <row r="7" spans="1:32" hidden="1" outlineLevel="1" x14ac:dyDescent="0.25">
      <c r="A7" s="483"/>
      <c r="B7" s="535">
        <v>1</v>
      </c>
      <c r="C7" s="529">
        <f>VLOOKUP(B7,YUVENTUS,2,FALSE)</f>
        <v>53.2</v>
      </c>
      <c r="D7" s="525">
        <f>VLOOKUP(B7,YUVENTUS,4,FALSE)</f>
        <v>45.47</v>
      </c>
      <c r="E7" s="525">
        <f>VLOOKUP(B7,YUVENTUS,5,FALSE)</f>
        <v>61.180000000000007</v>
      </c>
      <c r="F7" s="525">
        <f>VLOOKUP(B7,YUVENTUS,6,FALSE)</f>
        <v>0</v>
      </c>
      <c r="G7" s="526">
        <f>SUM(D7:F7)</f>
        <v>106.65</v>
      </c>
      <c r="H7" s="525">
        <f>VLOOKUP(B7,YUVENTUS,3,FALSE)</f>
        <v>106</v>
      </c>
      <c r="I7" s="550">
        <f>G7/C7</f>
        <v>2.0046992481203008</v>
      </c>
      <c r="J7" s="526">
        <f>H7/C7</f>
        <v>1.9924812030075187</v>
      </c>
      <c r="K7" s="555">
        <f>VLOOKUP(B7,year2022to23,311,FALSE)</f>
        <v>909.79</v>
      </c>
      <c r="L7" s="526">
        <f>SUM(U7:AC7)</f>
        <v>690.68000000000006</v>
      </c>
      <c r="M7" s="558">
        <f>K7/C7</f>
        <v>17.101315789473684</v>
      </c>
      <c r="N7" s="526">
        <f>L7/C7</f>
        <v>12.982706766917294</v>
      </c>
      <c r="O7" s="484"/>
      <c r="P7" s="546">
        <f>VLOOKUP(B7,year2022to23,232,FALSE)</f>
        <v>51.120000000000005</v>
      </c>
      <c r="Q7" s="550">
        <f>P7/C7</f>
        <v>0.96090225563909781</v>
      </c>
      <c r="R7" s="555">
        <f>VLOOKUP(B7,year2022to23,249,FALSE)</f>
        <v>707.1400000000001</v>
      </c>
      <c r="S7" s="558">
        <f>R7/C7</f>
        <v>13.292105263157897</v>
      </c>
      <c r="U7" s="1">
        <f>VLOOKUP(B7,ffbbudgettwofive,7,FALSE)</f>
        <v>53.2</v>
      </c>
      <c r="V7" s="1">
        <f>VLOOKUP(B7,ffbbudgettwofive,8,FALSE)</f>
        <v>42.56</v>
      </c>
      <c r="W7" s="1">
        <f>VLOOKUP(B7,ffbbudgettwofive,9,FALSE)</f>
        <v>74.48</v>
      </c>
      <c r="X7" s="1">
        <f>VLOOKUP(B7,ffbbudgettwofive,10,FALSE)</f>
        <v>74.48</v>
      </c>
      <c r="Y7" s="1">
        <f>VLOOKUP(B7,ffbbudgettwofive,11,FALSE)</f>
        <v>74.48</v>
      </c>
      <c r="Z7" s="1">
        <f>VLOOKUP(B7,ffbbudgettwofive,12,FALSE)</f>
        <v>74.48</v>
      </c>
      <c r="AA7" s="1">
        <f>VLOOKUP(B7,ffbbudgettwofive,13,FALSE)</f>
        <v>85</v>
      </c>
      <c r="AB7" s="1">
        <f>VLOOKUP(B7,ffbbudgettwofive,14,FALSE)</f>
        <v>106</v>
      </c>
      <c r="AC7" s="1">
        <f>VLOOKUP(B7,ffbbudgettwofive,15,FALSE)</f>
        <v>106</v>
      </c>
      <c r="AD7" s="1">
        <f>VLOOKUP(B7,ffbbudgettwofive,16,FALSE)</f>
        <v>149</v>
      </c>
      <c r="AE7" s="1">
        <f>VLOOKUP(B7,ffbbudgettwofive,17,FALSE)</f>
        <v>117</v>
      </c>
      <c r="AF7" s="1">
        <f>VLOOKUP(B7,ffbbudgettwofive,18,FALSE)</f>
        <v>106</v>
      </c>
    </row>
    <row r="8" spans="1:32" hidden="1" outlineLevel="1" x14ac:dyDescent="0.25">
      <c r="A8" s="483"/>
      <c r="B8" s="100">
        <v>3</v>
      </c>
      <c r="C8" s="523">
        <f>VLOOKUP(B8,YUVENTUS,2,FALSE)</f>
        <v>69.2</v>
      </c>
      <c r="D8" s="524">
        <f>VLOOKUP(B8,YUVENTUS,4,FALSE)</f>
        <v>15.21</v>
      </c>
      <c r="E8" s="524">
        <f>VLOOKUP(B8,YUVENTUS,5,FALSE)</f>
        <v>64.8</v>
      </c>
      <c r="F8" s="524">
        <f>VLOOKUP(B8,YUVENTUS,6,FALSE)</f>
        <v>0</v>
      </c>
      <c r="G8" s="93">
        <f>SUM(D8:F8)</f>
        <v>80.009999999999991</v>
      </c>
      <c r="H8" s="524">
        <f>VLOOKUP(B8,YUVENTUS,3,FALSE)</f>
        <v>138</v>
      </c>
      <c r="I8" s="551">
        <f>G8/C8</f>
        <v>1.1562138728323699</v>
      </c>
      <c r="J8" s="93">
        <f>H8/C8</f>
        <v>1.9942196531791907</v>
      </c>
      <c r="K8" s="556">
        <f>VLOOKUP(B8,year2022to23,311,FALSE)</f>
        <v>1085.75</v>
      </c>
      <c r="L8" s="93">
        <f>SUM(U8:AC8)</f>
        <v>899.08</v>
      </c>
      <c r="M8" s="559">
        <f>K8/C8</f>
        <v>15.690028901734104</v>
      </c>
      <c r="N8" s="93">
        <f>L8/C8</f>
        <v>12.992485549132947</v>
      </c>
      <c r="O8" s="484"/>
      <c r="P8" s="547">
        <f>VLOOKUP(B8,year2022to23,232,FALSE)</f>
        <v>93.92</v>
      </c>
      <c r="Q8" s="551">
        <f>P8/C8</f>
        <v>1.3572254335260114</v>
      </c>
      <c r="R8" s="556">
        <f>VLOOKUP(B8,year2022to23,249,FALSE)</f>
        <v>927.06999999999994</v>
      </c>
      <c r="S8" s="559">
        <f>R8/C8</f>
        <v>13.396965317919074</v>
      </c>
      <c r="U8" s="1">
        <f>VLOOKUP(B8,ffbbudgettwofive,7,FALSE)</f>
        <v>69.2</v>
      </c>
      <c r="V8" s="1">
        <f>VLOOKUP(B8,ffbbudgettwofive,8,FALSE)</f>
        <v>55.36</v>
      </c>
      <c r="W8" s="1">
        <f>VLOOKUP(B8,ffbbudgettwofive,9,FALSE)</f>
        <v>96.88000000000001</v>
      </c>
      <c r="X8" s="1">
        <f>VLOOKUP(B8,ffbbudgettwofive,10,FALSE)</f>
        <v>96.88000000000001</v>
      </c>
      <c r="Y8" s="1">
        <f>VLOOKUP(B8,ffbbudgettwofive,11,FALSE)</f>
        <v>96.88000000000001</v>
      </c>
      <c r="Z8" s="1">
        <f>VLOOKUP(B8,ffbbudgettwofive,12,FALSE)</f>
        <v>96.88000000000001</v>
      </c>
      <c r="AA8" s="1">
        <f>VLOOKUP(B8,ffbbudgettwofive,13,FALSE)</f>
        <v>111</v>
      </c>
      <c r="AB8" s="1">
        <f>VLOOKUP(B8,ffbbudgettwofive,14,FALSE)</f>
        <v>138</v>
      </c>
      <c r="AC8" s="1">
        <f>VLOOKUP(B8,ffbbudgettwofive,15,FALSE)</f>
        <v>138</v>
      </c>
      <c r="AD8" s="1">
        <f>VLOOKUP(B8,ffbbudgettwofive,16,FALSE)</f>
        <v>194</v>
      </c>
      <c r="AE8" s="1">
        <f>VLOOKUP(B8,ffbbudgettwofive,17,FALSE)</f>
        <v>152</v>
      </c>
      <c r="AF8" s="1">
        <f>VLOOKUP(B8,ffbbudgettwofive,18,FALSE)</f>
        <v>138</v>
      </c>
    </row>
    <row r="9" spans="1:32" hidden="1" outlineLevel="1" x14ac:dyDescent="0.25">
      <c r="A9" s="483"/>
      <c r="B9" s="100">
        <v>14</v>
      </c>
      <c r="C9" s="523">
        <f>VLOOKUP(B9,YUVENTUS,2,FALSE)</f>
        <v>41.6</v>
      </c>
      <c r="D9" s="524">
        <f>VLOOKUP(B9,YUVENTUS,4,FALSE)</f>
        <v>45.839999999999996</v>
      </c>
      <c r="E9" s="524">
        <f>VLOOKUP(B9,YUVENTUS,5,FALSE)</f>
        <v>0</v>
      </c>
      <c r="F9" s="524">
        <f>VLOOKUP(B9,YUVENTUS,6,FALSE)</f>
        <v>0</v>
      </c>
      <c r="G9" s="93">
        <f>SUM(D9:F9)</f>
        <v>45.839999999999996</v>
      </c>
      <c r="H9" s="524">
        <f>VLOOKUP(B9,YUVENTUS,3,FALSE)</f>
        <v>87</v>
      </c>
      <c r="I9" s="551">
        <f>G9/C9</f>
        <v>1.1019230769230768</v>
      </c>
      <c r="J9" s="93">
        <f>H9/C9</f>
        <v>2.0913461538461537</v>
      </c>
      <c r="K9" s="556">
        <f>VLOOKUP(B9,year2022to23,311,FALSE)</f>
        <v>714.03</v>
      </c>
      <c r="L9" s="93">
        <f>SUM(U9:AC9)</f>
        <v>567.38000000000011</v>
      </c>
      <c r="M9" s="559">
        <f>K9/C9</f>
        <v>17.164182692307691</v>
      </c>
      <c r="N9" s="93">
        <f>L9/C9</f>
        <v>13.638942307692309</v>
      </c>
      <c r="O9" s="484"/>
      <c r="P9" s="547">
        <f>VLOOKUP(B9,year2022to23,232,FALSE)</f>
        <v>84.46</v>
      </c>
      <c r="Q9" s="551">
        <f>P9/C9</f>
        <v>2.0302884615384613</v>
      </c>
      <c r="R9" s="556">
        <f>VLOOKUP(B9,year2022to23,249,FALSE)</f>
        <v>762.68600000000004</v>
      </c>
      <c r="S9" s="559">
        <f>R9/C9</f>
        <v>18.333798076923078</v>
      </c>
      <c r="U9" s="1">
        <f>VLOOKUP(B9,ffbbudgettwofive,7,FALSE)</f>
        <v>43.7</v>
      </c>
      <c r="V9" s="1">
        <f>VLOOKUP(B9,ffbbudgettwofive,8,FALSE)</f>
        <v>34.96</v>
      </c>
      <c r="W9" s="1">
        <f>VLOOKUP(B9,ffbbudgettwofive,9,FALSE)</f>
        <v>61.180000000000007</v>
      </c>
      <c r="X9" s="1">
        <f>VLOOKUP(B9,ffbbudgettwofive,10,FALSE)</f>
        <v>61.180000000000007</v>
      </c>
      <c r="Y9" s="1">
        <f>VLOOKUP(B9,ffbbudgettwofive,11,FALSE)</f>
        <v>61.180000000000007</v>
      </c>
      <c r="Z9" s="1">
        <f>VLOOKUP(B9,ffbbudgettwofive,12,FALSE)</f>
        <v>61.180000000000007</v>
      </c>
      <c r="AA9" s="1">
        <f>VLOOKUP(B9,ffbbudgettwofive,13,FALSE)</f>
        <v>70</v>
      </c>
      <c r="AB9" s="1">
        <f>VLOOKUP(B9,ffbbudgettwofive,14,FALSE)</f>
        <v>87</v>
      </c>
      <c r="AC9" s="1">
        <f>VLOOKUP(B9,ffbbudgettwofive,15,FALSE)</f>
        <v>87</v>
      </c>
      <c r="AD9" s="1">
        <f>VLOOKUP(B9,ffbbudgettwofive,16,FALSE)</f>
        <v>122</v>
      </c>
      <c r="AE9" s="1">
        <f>VLOOKUP(B9,ffbbudgettwofive,17,FALSE)</f>
        <v>96</v>
      </c>
      <c r="AF9" s="1">
        <f>VLOOKUP(B9,ffbbudgettwofive,18,FALSE)</f>
        <v>87</v>
      </c>
    </row>
    <row r="10" spans="1:32" ht="15.75" hidden="1" outlineLevel="1" thickBot="1" x14ac:dyDescent="0.3">
      <c r="A10" s="483"/>
      <c r="B10" s="562"/>
      <c r="C10" s="563"/>
      <c r="D10" s="563"/>
      <c r="E10" s="563"/>
      <c r="F10" s="563"/>
      <c r="H10" s="563"/>
      <c r="I10" s="564"/>
      <c r="J10" s="564"/>
      <c r="K10" s="8"/>
      <c r="M10" s="8"/>
      <c r="N10" s="8"/>
      <c r="O10" s="8"/>
      <c r="P10" s="3"/>
      <c r="Q10" s="3"/>
      <c r="R10" s="3"/>
      <c r="S10" s="3"/>
    </row>
    <row r="11" spans="1:32" s="7" customFormat="1" ht="15.75" collapsed="1" thickBot="1" x14ac:dyDescent="0.3">
      <c r="A11" s="935" t="s">
        <v>64</v>
      </c>
      <c r="B11" s="936"/>
      <c r="C11" s="543">
        <f>'DARSO GANG'!B14</f>
        <v>385.4</v>
      </c>
      <c r="D11" s="537">
        <f>'DARSO GANG'!D14</f>
        <v>473.61</v>
      </c>
      <c r="E11" s="538">
        <f>'DARSO GANG'!E14</f>
        <v>218.56</v>
      </c>
      <c r="F11" s="538">
        <f>'DARSO GANG'!F14</f>
        <v>0</v>
      </c>
      <c r="G11" s="539">
        <f t="shared" ref="G11:G18" si="0">SUM(D11:F11)</f>
        <v>692.17000000000007</v>
      </c>
      <c r="H11" s="540">
        <f>'DARSO GANG'!C14</f>
        <v>818</v>
      </c>
      <c r="I11" s="549">
        <f t="shared" ref="I11:I18" si="1">G11/C11</f>
        <v>1.795978204462896</v>
      </c>
      <c r="J11" s="541">
        <f t="shared" ref="J11:J18" si="2">H11/C11</f>
        <v>2.1224701608718215</v>
      </c>
      <c r="K11" s="554">
        <f>SUM(K12:K18)</f>
        <v>6539.67</v>
      </c>
      <c r="L11" s="541">
        <f>ROUND(SUM(L12:L18),0)</f>
        <v>5317</v>
      </c>
      <c r="M11" s="561">
        <f t="shared" ref="M11:M18" si="3">K11/C11</f>
        <v>16.968526206538662</v>
      </c>
      <c r="N11" s="541">
        <f t="shared" ref="N11:N18" si="4">L11/C11</f>
        <v>13.796056045666841</v>
      </c>
      <c r="O11" s="542"/>
      <c r="P11" s="545">
        <f>SUM(P12:P18)</f>
        <v>807.20999999999992</v>
      </c>
      <c r="Q11" s="552">
        <f t="shared" ref="Q11:Q18" si="5">P11/C11</f>
        <v>2.094473274519979</v>
      </c>
      <c r="R11" s="554">
        <f>SUM(R12:R18)</f>
        <v>5924.63</v>
      </c>
      <c r="S11" s="557">
        <f t="shared" ref="S11:S18" si="6">R11/C11</f>
        <v>15.372677737415673</v>
      </c>
      <c r="U11" s="99" t="s">
        <v>180</v>
      </c>
      <c r="V11" s="99" t="s">
        <v>181</v>
      </c>
      <c r="W11" s="99" t="s">
        <v>182</v>
      </c>
      <c r="X11" s="99" t="s">
        <v>183</v>
      </c>
      <c r="Y11" s="99" t="s">
        <v>184</v>
      </c>
      <c r="Z11" s="99" t="s">
        <v>185</v>
      </c>
      <c r="AA11" s="99" t="s">
        <v>186</v>
      </c>
      <c r="AB11" s="99" t="s">
        <v>187</v>
      </c>
      <c r="AC11" s="99" t="s">
        <v>188</v>
      </c>
      <c r="AD11" s="99" t="s">
        <v>189</v>
      </c>
      <c r="AE11" s="99" t="s">
        <v>190</v>
      </c>
      <c r="AF11" s="99" t="s">
        <v>191</v>
      </c>
    </row>
    <row r="12" spans="1:32" hidden="1" outlineLevel="1" x14ac:dyDescent="0.25">
      <c r="A12" s="528"/>
      <c r="B12" s="511">
        <v>15</v>
      </c>
      <c r="C12" s="529">
        <f t="shared" ref="C12:C18" si="7">VLOOKUP(B12,DARSO,2,FALSE)</f>
        <v>49.3</v>
      </c>
      <c r="D12" s="525">
        <f t="shared" ref="D12:D18" si="8">VLOOKUP(B12,DARSO,4,FALSE)</f>
        <v>70.900000000000006</v>
      </c>
      <c r="E12" s="525">
        <f t="shared" ref="E12:E18" si="9">VLOOKUP(B12,DARSO,5,FALSE)</f>
        <v>53.16</v>
      </c>
      <c r="F12" s="525">
        <f t="shared" ref="F12:F18" si="10">VLOOKUP(B12,DARSO,6,FALSE)</f>
        <v>0</v>
      </c>
      <c r="G12" s="526">
        <f t="shared" si="0"/>
        <v>124.06</v>
      </c>
      <c r="H12" s="525">
        <f t="shared" ref="H12:H18" si="11">VLOOKUP(B12,DARSO,3,FALSE)</f>
        <v>99</v>
      </c>
      <c r="I12" s="550">
        <f t="shared" si="1"/>
        <v>2.516430020283976</v>
      </c>
      <c r="J12" s="526">
        <f t="shared" si="2"/>
        <v>2.008113590263692</v>
      </c>
      <c r="K12" s="555">
        <f t="shared" ref="K12:K18" si="12">VLOOKUP(B12,year2022to23,311,FALSE)</f>
        <v>776.8900000000001</v>
      </c>
      <c r="L12" s="526">
        <f t="shared" ref="L12:L18" si="13">SUM(U12:AC12)</f>
        <v>641.82000000000005</v>
      </c>
      <c r="M12" s="558">
        <f t="shared" si="3"/>
        <v>15.758417849898583</v>
      </c>
      <c r="N12" s="526">
        <f t="shared" si="4"/>
        <v>13.018661257606492</v>
      </c>
      <c r="O12" s="484"/>
      <c r="P12" s="546">
        <f t="shared" ref="P12:P18" si="14">VLOOKUP(B12,year2022to23,232,FALSE)</f>
        <v>79.52</v>
      </c>
      <c r="Q12" s="550">
        <f t="shared" si="5"/>
        <v>1.6129817444219068</v>
      </c>
      <c r="R12" s="555">
        <f t="shared" ref="R12:R18" si="15">VLOOKUP(B12,year2022to23,249,FALSE)</f>
        <v>619.76</v>
      </c>
      <c r="S12" s="558">
        <f t="shared" si="6"/>
        <v>12.571196754563895</v>
      </c>
      <c r="U12" s="1">
        <f t="shared" ref="U12:U18" si="16">VLOOKUP(B12,ffbbudgettwofive,7,FALSE)</f>
        <v>49.300000000000004</v>
      </c>
      <c r="V12" s="1">
        <f t="shared" ref="V12:V18" si="17">VLOOKUP(B12,ffbbudgettwofive,8,FALSE)</f>
        <v>39.44</v>
      </c>
      <c r="W12" s="1">
        <f t="shared" ref="W12:W18" si="18">VLOOKUP(B12,ffbbudgettwofive,9,FALSE)</f>
        <v>69.02000000000001</v>
      </c>
      <c r="X12" s="1">
        <f t="shared" ref="X12:X18" si="19">VLOOKUP(B12,ffbbudgettwofive,10,FALSE)</f>
        <v>69.02000000000001</v>
      </c>
      <c r="Y12" s="1">
        <f t="shared" ref="Y12:Y18" si="20">VLOOKUP(B12,ffbbudgettwofive,11,FALSE)</f>
        <v>69.02000000000001</v>
      </c>
      <c r="Z12" s="1">
        <f t="shared" ref="Z12:Z18" si="21">VLOOKUP(B12,ffbbudgettwofive,12,FALSE)</f>
        <v>69.02000000000001</v>
      </c>
      <c r="AA12" s="1">
        <f t="shared" ref="AA12:AA18" si="22">VLOOKUP(B12,ffbbudgettwofive,13,FALSE)</f>
        <v>79</v>
      </c>
      <c r="AB12" s="1">
        <f t="shared" ref="AB12:AB18" si="23">VLOOKUP(B12,ffbbudgettwofive,14,FALSE)</f>
        <v>99</v>
      </c>
      <c r="AC12" s="1">
        <f t="shared" ref="AC12:AC18" si="24">VLOOKUP(B12,ffbbudgettwofive,15,FALSE)</f>
        <v>99</v>
      </c>
      <c r="AD12" s="1">
        <f t="shared" ref="AD12:AD18" si="25">VLOOKUP(B12,ffbbudgettwofive,16,FALSE)</f>
        <v>138</v>
      </c>
      <c r="AE12" s="1">
        <f t="shared" ref="AE12:AE18" si="26">VLOOKUP(B12,ffbbudgettwofive,17,FALSE)</f>
        <v>108</v>
      </c>
      <c r="AF12" s="1">
        <f t="shared" ref="AF12:AF18" si="27">VLOOKUP(B12,ffbbudgettwofive,18,FALSE)</f>
        <v>99</v>
      </c>
    </row>
    <row r="13" spans="1:32" hidden="1" outlineLevel="1" x14ac:dyDescent="0.25">
      <c r="A13" s="528"/>
      <c r="B13" s="1">
        <v>16</v>
      </c>
      <c r="C13" s="523">
        <f t="shared" si="7"/>
        <v>53.2</v>
      </c>
      <c r="D13" s="524">
        <f t="shared" si="8"/>
        <v>53.38</v>
      </c>
      <c r="E13" s="524">
        <f t="shared" si="9"/>
        <v>58.28</v>
      </c>
      <c r="F13" s="524">
        <f t="shared" si="10"/>
        <v>0</v>
      </c>
      <c r="G13" s="93">
        <f t="shared" si="0"/>
        <v>111.66</v>
      </c>
      <c r="H13" s="524">
        <f t="shared" si="11"/>
        <v>106</v>
      </c>
      <c r="I13" s="551">
        <f t="shared" si="1"/>
        <v>2.0988721804511274</v>
      </c>
      <c r="J13" s="93">
        <f t="shared" si="2"/>
        <v>1.9924812030075187</v>
      </c>
      <c r="K13" s="556">
        <f t="shared" si="12"/>
        <v>900.68</v>
      </c>
      <c r="L13" s="93">
        <f t="shared" si="13"/>
        <v>690.68000000000006</v>
      </c>
      <c r="M13" s="559">
        <f t="shared" si="3"/>
        <v>16.930075187969923</v>
      </c>
      <c r="N13" s="93">
        <f t="shared" si="4"/>
        <v>12.982706766917294</v>
      </c>
      <c r="O13" s="484"/>
      <c r="P13" s="547">
        <f t="shared" si="14"/>
        <v>88.25</v>
      </c>
      <c r="Q13" s="551">
        <f t="shared" si="5"/>
        <v>1.6588345864661653</v>
      </c>
      <c r="R13" s="556">
        <f t="shared" si="15"/>
        <v>837.23</v>
      </c>
      <c r="S13" s="559">
        <f t="shared" si="6"/>
        <v>15.737406015037594</v>
      </c>
      <c r="U13" s="1">
        <f t="shared" si="16"/>
        <v>53.2</v>
      </c>
      <c r="V13" s="1">
        <f t="shared" si="17"/>
        <v>42.56</v>
      </c>
      <c r="W13" s="1">
        <f t="shared" si="18"/>
        <v>74.48</v>
      </c>
      <c r="X13" s="1">
        <f t="shared" si="19"/>
        <v>74.48</v>
      </c>
      <c r="Y13" s="1">
        <f t="shared" si="20"/>
        <v>74.48</v>
      </c>
      <c r="Z13" s="1">
        <f t="shared" si="21"/>
        <v>74.48</v>
      </c>
      <c r="AA13" s="1">
        <f t="shared" si="22"/>
        <v>85</v>
      </c>
      <c r="AB13" s="1">
        <f t="shared" si="23"/>
        <v>106</v>
      </c>
      <c r="AC13" s="1">
        <f t="shared" si="24"/>
        <v>106</v>
      </c>
      <c r="AD13" s="1">
        <f t="shared" si="25"/>
        <v>149</v>
      </c>
      <c r="AE13" s="1">
        <f t="shared" si="26"/>
        <v>117</v>
      </c>
      <c r="AF13" s="1">
        <f t="shared" si="27"/>
        <v>106</v>
      </c>
    </row>
    <row r="14" spans="1:32" hidden="1" outlineLevel="1" x14ac:dyDescent="0.25">
      <c r="A14" s="528"/>
      <c r="B14" s="1">
        <v>17</v>
      </c>
      <c r="C14" s="523">
        <f t="shared" si="7"/>
        <v>45.7</v>
      </c>
      <c r="D14" s="524">
        <f t="shared" si="8"/>
        <v>43.17</v>
      </c>
      <c r="E14" s="524">
        <f t="shared" si="9"/>
        <v>0</v>
      </c>
      <c r="F14" s="524">
        <f t="shared" si="10"/>
        <v>0</v>
      </c>
      <c r="G14" s="93">
        <f t="shared" si="0"/>
        <v>43.17</v>
      </c>
      <c r="H14" s="524">
        <f t="shared" si="11"/>
        <v>101</v>
      </c>
      <c r="I14" s="551">
        <f t="shared" si="1"/>
        <v>0.94463894967177242</v>
      </c>
      <c r="J14" s="93">
        <f t="shared" si="2"/>
        <v>2.2100656455142231</v>
      </c>
      <c r="K14" s="556">
        <f t="shared" si="12"/>
        <v>797.25</v>
      </c>
      <c r="L14" s="93">
        <f t="shared" si="13"/>
        <v>653.85000000000014</v>
      </c>
      <c r="M14" s="559">
        <f t="shared" si="3"/>
        <v>17.445295404814004</v>
      </c>
      <c r="N14" s="93">
        <f t="shared" si="4"/>
        <v>14.307439824945298</v>
      </c>
      <c r="O14" s="484"/>
      <c r="P14" s="547">
        <f t="shared" si="14"/>
        <v>78.14</v>
      </c>
      <c r="Q14" s="551">
        <f t="shared" si="5"/>
        <v>1.709846827133479</v>
      </c>
      <c r="R14" s="556">
        <f t="shared" si="15"/>
        <v>814.55000000000007</v>
      </c>
      <c r="S14" s="559">
        <f t="shared" si="6"/>
        <v>17.823851203501093</v>
      </c>
      <c r="U14" s="1">
        <f t="shared" si="16"/>
        <v>50.25</v>
      </c>
      <c r="V14" s="1">
        <f t="shared" si="17"/>
        <v>40.200000000000003</v>
      </c>
      <c r="W14" s="1">
        <f t="shared" si="18"/>
        <v>70.350000000000009</v>
      </c>
      <c r="X14" s="1">
        <f t="shared" si="19"/>
        <v>70.350000000000009</v>
      </c>
      <c r="Y14" s="1">
        <f t="shared" si="20"/>
        <v>70.350000000000009</v>
      </c>
      <c r="Z14" s="1">
        <f t="shared" si="21"/>
        <v>70.350000000000009</v>
      </c>
      <c r="AA14" s="1">
        <f t="shared" si="22"/>
        <v>80</v>
      </c>
      <c r="AB14" s="1">
        <f t="shared" si="23"/>
        <v>101</v>
      </c>
      <c r="AC14" s="1">
        <f t="shared" si="24"/>
        <v>101</v>
      </c>
      <c r="AD14" s="1">
        <f t="shared" si="25"/>
        <v>141</v>
      </c>
      <c r="AE14" s="1">
        <f t="shared" si="26"/>
        <v>111</v>
      </c>
      <c r="AF14" s="1">
        <f t="shared" si="27"/>
        <v>101</v>
      </c>
    </row>
    <row r="15" spans="1:32" hidden="1" outlineLevel="1" x14ac:dyDescent="0.25">
      <c r="A15" s="528"/>
      <c r="B15" s="1">
        <v>19</v>
      </c>
      <c r="C15" s="523">
        <f t="shared" si="7"/>
        <v>50.62</v>
      </c>
      <c r="D15" s="524">
        <f t="shared" si="8"/>
        <v>56.22</v>
      </c>
      <c r="E15" s="524">
        <f t="shared" si="9"/>
        <v>33.75</v>
      </c>
      <c r="F15" s="524">
        <f t="shared" si="10"/>
        <v>0</v>
      </c>
      <c r="G15" s="93">
        <f t="shared" si="0"/>
        <v>89.97</v>
      </c>
      <c r="H15" s="524">
        <f t="shared" si="11"/>
        <v>106</v>
      </c>
      <c r="I15" s="551">
        <f t="shared" si="1"/>
        <v>1.7773607269853813</v>
      </c>
      <c r="J15" s="93">
        <f t="shared" si="2"/>
        <v>2.0940339786645596</v>
      </c>
      <c r="K15" s="556">
        <f t="shared" si="12"/>
        <v>866</v>
      </c>
      <c r="L15" s="93">
        <f t="shared" si="13"/>
        <v>690.31000000000017</v>
      </c>
      <c r="M15" s="559">
        <f t="shared" si="3"/>
        <v>17.107862504938762</v>
      </c>
      <c r="N15" s="93">
        <f t="shared" si="4"/>
        <v>13.637099960489929</v>
      </c>
      <c r="O15" s="484"/>
      <c r="P15" s="547">
        <f t="shared" si="14"/>
        <v>174.93</v>
      </c>
      <c r="Q15" s="551">
        <f t="shared" si="5"/>
        <v>3.4557487159225606</v>
      </c>
      <c r="R15" s="556">
        <f t="shared" si="15"/>
        <v>745.81000000000017</v>
      </c>
      <c r="S15" s="559">
        <f t="shared" si="6"/>
        <v>14.733504543658636</v>
      </c>
      <c r="U15" s="1">
        <f t="shared" si="16"/>
        <v>53.150000000000006</v>
      </c>
      <c r="V15" s="1">
        <f t="shared" si="17"/>
        <v>42.52</v>
      </c>
      <c r="W15" s="1">
        <f t="shared" si="18"/>
        <v>74.410000000000011</v>
      </c>
      <c r="X15" s="1">
        <f t="shared" si="19"/>
        <v>74.410000000000011</v>
      </c>
      <c r="Y15" s="1">
        <f t="shared" si="20"/>
        <v>74.410000000000011</v>
      </c>
      <c r="Z15" s="1">
        <f t="shared" si="21"/>
        <v>74.410000000000011</v>
      </c>
      <c r="AA15" s="1">
        <f t="shared" si="22"/>
        <v>85</v>
      </c>
      <c r="AB15" s="1">
        <f t="shared" si="23"/>
        <v>106</v>
      </c>
      <c r="AC15" s="1">
        <f t="shared" si="24"/>
        <v>106</v>
      </c>
      <c r="AD15" s="1">
        <f t="shared" si="25"/>
        <v>149</v>
      </c>
      <c r="AE15" s="1">
        <f t="shared" si="26"/>
        <v>117</v>
      </c>
      <c r="AF15" s="1">
        <f t="shared" si="27"/>
        <v>106</v>
      </c>
    </row>
    <row r="16" spans="1:32" hidden="1" outlineLevel="1" x14ac:dyDescent="0.25">
      <c r="A16" s="528"/>
      <c r="B16" s="1">
        <v>20</v>
      </c>
      <c r="C16" s="523">
        <f t="shared" si="7"/>
        <v>62.08</v>
      </c>
      <c r="D16" s="524">
        <f t="shared" si="8"/>
        <v>84.19</v>
      </c>
      <c r="E16" s="524">
        <f t="shared" si="9"/>
        <v>52.47</v>
      </c>
      <c r="F16" s="524">
        <f t="shared" si="10"/>
        <v>0</v>
      </c>
      <c r="G16" s="93">
        <f t="shared" si="0"/>
        <v>136.66</v>
      </c>
      <c r="H16" s="524">
        <f t="shared" si="11"/>
        <v>130</v>
      </c>
      <c r="I16" s="551">
        <f t="shared" si="1"/>
        <v>2.201353092783505</v>
      </c>
      <c r="J16" s="93">
        <f t="shared" si="2"/>
        <v>2.0940721649484537</v>
      </c>
      <c r="K16" s="556">
        <f t="shared" si="12"/>
        <v>1028.6000000000001</v>
      </c>
      <c r="L16" s="93">
        <f t="shared" si="13"/>
        <v>846.48000000000013</v>
      </c>
      <c r="M16" s="559">
        <f t="shared" si="3"/>
        <v>16.568943298969074</v>
      </c>
      <c r="N16" s="93">
        <f t="shared" si="4"/>
        <v>13.635309278350517</v>
      </c>
      <c r="O16" s="484"/>
      <c r="P16" s="547">
        <f t="shared" si="14"/>
        <v>168.56</v>
      </c>
      <c r="Q16" s="551">
        <f t="shared" si="5"/>
        <v>2.7152061855670104</v>
      </c>
      <c r="R16" s="556">
        <f t="shared" si="15"/>
        <v>799.99000000000012</v>
      </c>
      <c r="S16" s="559">
        <f t="shared" si="6"/>
        <v>12.886436855670105</v>
      </c>
      <c r="U16" s="1">
        <f t="shared" si="16"/>
        <v>65.2</v>
      </c>
      <c r="V16" s="1">
        <f t="shared" si="17"/>
        <v>52.160000000000004</v>
      </c>
      <c r="W16" s="1">
        <f t="shared" si="18"/>
        <v>91.280000000000015</v>
      </c>
      <c r="X16" s="1">
        <f t="shared" si="19"/>
        <v>91.280000000000015</v>
      </c>
      <c r="Y16" s="1">
        <f t="shared" si="20"/>
        <v>91.280000000000015</v>
      </c>
      <c r="Z16" s="1">
        <f t="shared" si="21"/>
        <v>91.280000000000015</v>
      </c>
      <c r="AA16" s="1">
        <f t="shared" si="22"/>
        <v>104</v>
      </c>
      <c r="AB16" s="1">
        <f t="shared" si="23"/>
        <v>130</v>
      </c>
      <c r="AC16" s="1">
        <f t="shared" si="24"/>
        <v>130</v>
      </c>
      <c r="AD16" s="1">
        <f t="shared" si="25"/>
        <v>183</v>
      </c>
      <c r="AE16" s="1">
        <f t="shared" si="26"/>
        <v>143</v>
      </c>
      <c r="AF16" s="1">
        <f t="shared" si="27"/>
        <v>130</v>
      </c>
    </row>
    <row r="17" spans="1:32" hidden="1" outlineLevel="1" x14ac:dyDescent="0.25">
      <c r="A17" s="528"/>
      <c r="B17" s="1">
        <v>21</v>
      </c>
      <c r="C17" s="523">
        <f t="shared" si="7"/>
        <v>72.2</v>
      </c>
      <c r="D17" s="524">
        <f t="shared" si="8"/>
        <v>101.30000000000001</v>
      </c>
      <c r="E17" s="524">
        <f t="shared" si="9"/>
        <v>20.9</v>
      </c>
      <c r="F17" s="524">
        <f t="shared" si="10"/>
        <v>0</v>
      </c>
      <c r="G17" s="93">
        <f t="shared" si="0"/>
        <v>122.20000000000002</v>
      </c>
      <c r="H17" s="524">
        <f t="shared" si="11"/>
        <v>166</v>
      </c>
      <c r="I17" s="551">
        <f t="shared" si="1"/>
        <v>1.692520775623269</v>
      </c>
      <c r="J17" s="93">
        <f t="shared" si="2"/>
        <v>2.2991689750692519</v>
      </c>
      <c r="K17" s="556">
        <f t="shared" si="12"/>
        <v>1324.41</v>
      </c>
      <c r="L17" s="93">
        <f t="shared" si="13"/>
        <v>1079.57</v>
      </c>
      <c r="M17" s="559">
        <f t="shared" si="3"/>
        <v>18.343628808864267</v>
      </c>
      <c r="N17" s="93">
        <f t="shared" si="4"/>
        <v>14.952493074792242</v>
      </c>
      <c r="O17" s="484"/>
      <c r="P17" s="547">
        <f t="shared" si="14"/>
        <v>142.54999999999998</v>
      </c>
      <c r="Q17" s="551">
        <f t="shared" si="5"/>
        <v>1.9743767313019387</v>
      </c>
      <c r="R17" s="556">
        <f t="shared" si="15"/>
        <v>1304.9899999999998</v>
      </c>
      <c r="S17" s="559">
        <f t="shared" si="6"/>
        <v>18.074653739612184</v>
      </c>
      <c r="U17" s="1">
        <f t="shared" si="16"/>
        <v>83.050000000000011</v>
      </c>
      <c r="V17" s="1">
        <f t="shared" si="17"/>
        <v>66.44</v>
      </c>
      <c r="W17" s="1">
        <f t="shared" si="18"/>
        <v>116.27000000000001</v>
      </c>
      <c r="X17" s="1">
        <f t="shared" si="19"/>
        <v>116.27000000000001</v>
      </c>
      <c r="Y17" s="1">
        <f t="shared" si="20"/>
        <v>116.27000000000001</v>
      </c>
      <c r="Z17" s="1">
        <f t="shared" si="21"/>
        <v>116.27000000000001</v>
      </c>
      <c r="AA17" s="1">
        <f t="shared" si="22"/>
        <v>133</v>
      </c>
      <c r="AB17" s="1">
        <f t="shared" si="23"/>
        <v>166</v>
      </c>
      <c r="AC17" s="1">
        <f t="shared" si="24"/>
        <v>166</v>
      </c>
      <c r="AD17" s="1">
        <f t="shared" si="25"/>
        <v>232</v>
      </c>
      <c r="AE17" s="1">
        <f t="shared" si="26"/>
        <v>183</v>
      </c>
      <c r="AF17" s="1">
        <f t="shared" si="27"/>
        <v>166</v>
      </c>
    </row>
    <row r="18" spans="1:32" hidden="1" outlineLevel="1" x14ac:dyDescent="0.25">
      <c r="A18" s="528"/>
      <c r="B18" s="1">
        <v>22</v>
      </c>
      <c r="C18" s="523">
        <f t="shared" si="7"/>
        <v>52.3</v>
      </c>
      <c r="D18" s="524">
        <f t="shared" si="8"/>
        <v>64.45</v>
      </c>
      <c r="E18" s="524">
        <f t="shared" si="9"/>
        <v>0</v>
      </c>
      <c r="F18" s="524">
        <f t="shared" si="10"/>
        <v>0</v>
      </c>
      <c r="G18" s="93">
        <f t="shared" si="0"/>
        <v>64.45</v>
      </c>
      <c r="H18" s="524">
        <f t="shared" si="11"/>
        <v>110</v>
      </c>
      <c r="I18" s="551">
        <f t="shared" si="1"/>
        <v>1.2323135755258128</v>
      </c>
      <c r="J18" s="93">
        <f t="shared" si="2"/>
        <v>2.1032504780114722</v>
      </c>
      <c r="K18" s="556">
        <f t="shared" si="12"/>
        <v>845.84</v>
      </c>
      <c r="L18" s="93">
        <f t="shared" si="13"/>
        <v>714.26</v>
      </c>
      <c r="M18" s="559">
        <f t="shared" si="3"/>
        <v>16.172848948374764</v>
      </c>
      <c r="N18" s="93">
        <f t="shared" si="4"/>
        <v>13.65697896749522</v>
      </c>
      <c r="O18" s="484"/>
      <c r="P18" s="547">
        <f t="shared" si="14"/>
        <v>75.260000000000005</v>
      </c>
      <c r="Q18" s="551">
        <f t="shared" si="5"/>
        <v>1.4390057361376676</v>
      </c>
      <c r="R18" s="556">
        <f t="shared" si="15"/>
        <v>802.3</v>
      </c>
      <c r="S18" s="559">
        <f t="shared" si="6"/>
        <v>15.340344168260039</v>
      </c>
      <c r="U18" s="1">
        <f t="shared" si="16"/>
        <v>54.900000000000006</v>
      </c>
      <c r="V18" s="1">
        <f t="shared" si="17"/>
        <v>43.92</v>
      </c>
      <c r="W18" s="1">
        <f t="shared" si="18"/>
        <v>76.860000000000014</v>
      </c>
      <c r="X18" s="1">
        <f t="shared" si="19"/>
        <v>76.860000000000014</v>
      </c>
      <c r="Y18" s="1">
        <f t="shared" si="20"/>
        <v>76.860000000000014</v>
      </c>
      <c r="Z18" s="1">
        <f t="shared" si="21"/>
        <v>76.860000000000014</v>
      </c>
      <c r="AA18" s="1">
        <f t="shared" si="22"/>
        <v>88</v>
      </c>
      <c r="AB18" s="1">
        <f t="shared" si="23"/>
        <v>110</v>
      </c>
      <c r="AC18" s="1">
        <f t="shared" si="24"/>
        <v>110</v>
      </c>
      <c r="AD18" s="1">
        <f t="shared" si="25"/>
        <v>154</v>
      </c>
      <c r="AE18" s="1">
        <f t="shared" si="26"/>
        <v>121</v>
      </c>
      <c r="AF18" s="1">
        <f t="shared" si="27"/>
        <v>110</v>
      </c>
    </row>
    <row r="19" spans="1:32" ht="15.75" hidden="1" outlineLevel="1" thickBot="1" x14ac:dyDescent="0.3">
      <c r="A19" s="483"/>
      <c r="B19" s="562"/>
      <c r="C19" s="563"/>
      <c r="D19" s="563"/>
      <c r="E19" s="563"/>
      <c r="F19" s="563"/>
      <c r="H19" s="563"/>
      <c r="I19" s="564"/>
      <c r="J19" s="564"/>
      <c r="K19" s="8"/>
      <c r="M19" s="8"/>
      <c r="N19" s="8"/>
      <c r="O19" s="8"/>
      <c r="P19" s="3"/>
      <c r="Q19" s="3"/>
      <c r="R19" s="3"/>
      <c r="S19" s="3"/>
    </row>
    <row r="20" spans="1:32" s="7" customFormat="1" ht="15.75" collapsed="1" thickBot="1" x14ac:dyDescent="0.3">
      <c r="A20" s="935" t="s">
        <v>65</v>
      </c>
      <c r="B20" s="936"/>
      <c r="C20" s="543">
        <f>'YUDI GANG'!B10</f>
        <v>116.28</v>
      </c>
      <c r="D20" s="537">
        <f>'YUDI GANG'!D10</f>
        <v>94.469999999999985</v>
      </c>
      <c r="E20" s="538">
        <f>'YUDI GANG'!E10</f>
        <v>10.379999999999999</v>
      </c>
      <c r="F20" s="538">
        <f>'YUDI GANG'!F10</f>
        <v>0</v>
      </c>
      <c r="G20" s="539">
        <f>SUM(D20:F20)</f>
        <v>104.84999999999998</v>
      </c>
      <c r="H20" s="540">
        <f>'YUDI GANG'!C10</f>
        <v>213</v>
      </c>
      <c r="I20" s="549">
        <f>G20/C20</f>
        <v>0.90170278637770884</v>
      </c>
      <c r="J20" s="541">
        <f>H20/C20</f>
        <v>1.8317853457172342</v>
      </c>
      <c r="K20" s="554">
        <f>SUM(K21:K23)</f>
        <v>1517</v>
      </c>
      <c r="L20" s="541">
        <f>SUM(L21:L23)</f>
        <v>1382.51</v>
      </c>
      <c r="M20" s="561">
        <f>K20/C20</f>
        <v>13.04609563123495</v>
      </c>
      <c r="N20" s="541">
        <f>L20/C20</f>
        <v>11.889490884072927</v>
      </c>
      <c r="O20" s="542"/>
      <c r="P20" s="545">
        <f>SUM(P21:P23)</f>
        <v>174.19000000000003</v>
      </c>
      <c r="Q20" s="552">
        <f>P20/C20</f>
        <v>1.4980220158238735</v>
      </c>
      <c r="R20" s="554">
        <f>SUM(R21:R23)</f>
        <v>1384.5479999999998</v>
      </c>
      <c r="S20" s="557">
        <f>R20/C20</f>
        <v>11.907017543859647</v>
      </c>
      <c r="U20" s="7" t="s">
        <v>180</v>
      </c>
      <c r="V20" s="7" t="s">
        <v>181</v>
      </c>
      <c r="W20" s="7" t="s">
        <v>182</v>
      </c>
      <c r="X20" s="7" t="s">
        <v>183</v>
      </c>
      <c r="Y20" s="7" t="s">
        <v>184</v>
      </c>
      <c r="Z20" s="7" t="s">
        <v>185</v>
      </c>
      <c r="AA20" s="7" t="s">
        <v>186</v>
      </c>
      <c r="AB20" s="7" t="s">
        <v>187</v>
      </c>
      <c r="AC20" s="7" t="s">
        <v>188</v>
      </c>
      <c r="AD20" s="7" t="s">
        <v>189</v>
      </c>
      <c r="AE20" s="7" t="s">
        <v>190</v>
      </c>
      <c r="AF20" s="7" t="s">
        <v>191</v>
      </c>
    </row>
    <row r="21" spans="1:32" hidden="1" outlineLevel="1" x14ac:dyDescent="0.25">
      <c r="A21" s="483"/>
      <c r="B21" s="535">
        <v>2</v>
      </c>
      <c r="C21" s="529">
        <f>VLOOKUP(B21,ERDI,2,FALSE)</f>
        <v>60.4</v>
      </c>
      <c r="D21" s="525">
        <f>VLOOKUP(B21,ERDI,4,FALSE)</f>
        <v>57.309999999999995</v>
      </c>
      <c r="E21" s="525">
        <f>VLOOKUP(B21,ERDI,5,FALSE)</f>
        <v>0</v>
      </c>
      <c r="F21" s="525">
        <f>VLOOKUP(B21,ERDI,6,FALSE)</f>
        <v>0</v>
      </c>
      <c r="G21" s="526">
        <f>SUM(D21:F21)</f>
        <v>57.309999999999995</v>
      </c>
      <c r="H21" s="525">
        <f>VLOOKUP(B21,ERDI,3,FALSE)</f>
        <v>121</v>
      </c>
      <c r="I21" s="550">
        <f>G21/C21</f>
        <v>0.94884105960264897</v>
      </c>
      <c r="J21" s="526">
        <f>H21/C21</f>
        <v>2.0033112582781456</v>
      </c>
      <c r="K21" s="555">
        <f>VLOOKUP(B21,year2022to23,311,FALSE)</f>
        <v>889.56999999999994</v>
      </c>
      <c r="L21" s="526">
        <f>SUM(U21:AC21)</f>
        <v>785.96</v>
      </c>
      <c r="M21" s="558">
        <f>K21/C21</f>
        <v>14.72798013245033</v>
      </c>
      <c r="N21" s="526">
        <f>L21/C21</f>
        <v>13.012582781456954</v>
      </c>
      <c r="O21" s="484"/>
      <c r="P21" s="546">
        <f>VLOOKUP(B21,year2022to23,232,FALSE)</f>
        <v>75.03</v>
      </c>
      <c r="Q21" s="550">
        <f>P21/C21</f>
        <v>1.2422185430463577</v>
      </c>
      <c r="R21" s="555">
        <f>VLOOKUP(B21,year2022to23,249,FALSE)</f>
        <v>828.71399999999994</v>
      </c>
      <c r="S21" s="558">
        <f>R21/C21</f>
        <v>13.720430463576159</v>
      </c>
      <c r="U21" s="1">
        <f>VLOOKUP(B21,ffbbudgettwofive,7,FALSE)</f>
        <v>60.400000000000006</v>
      </c>
      <c r="V21" s="1">
        <f>VLOOKUP(B21,ffbbudgettwofive,8,FALSE)</f>
        <v>48.32</v>
      </c>
      <c r="W21" s="1">
        <f>VLOOKUP(B21,ffbbudgettwofive,9,FALSE)</f>
        <v>84.56</v>
      </c>
      <c r="X21" s="1">
        <f>VLOOKUP(B21,ffbbudgettwofive,10,FALSE)</f>
        <v>84.56</v>
      </c>
      <c r="Y21" s="1">
        <f>VLOOKUP(B21,ffbbudgettwofive,11,FALSE)</f>
        <v>84.56</v>
      </c>
      <c r="Z21" s="1">
        <f>VLOOKUP(B21,ffbbudgettwofive,12,FALSE)</f>
        <v>84.56</v>
      </c>
      <c r="AA21" s="1">
        <f>VLOOKUP(B21,ffbbudgettwofive,13,FALSE)</f>
        <v>97</v>
      </c>
      <c r="AB21" s="1">
        <f>VLOOKUP(B21,ffbbudgettwofive,14,FALSE)</f>
        <v>121</v>
      </c>
      <c r="AC21" s="1">
        <f>VLOOKUP(B21,ffbbudgettwofive,15,FALSE)</f>
        <v>121</v>
      </c>
      <c r="AD21" s="1">
        <f>VLOOKUP(B21,ffbbudgettwofive,16,FALSE)</f>
        <v>169</v>
      </c>
      <c r="AE21" s="1">
        <f>VLOOKUP(B21,ffbbudgettwofive,17,FALSE)</f>
        <v>133</v>
      </c>
      <c r="AF21" s="1">
        <f>VLOOKUP(B21,ffbbudgettwofive,18,FALSE)</f>
        <v>121</v>
      </c>
    </row>
    <row r="22" spans="1:32" hidden="1" outlineLevel="1" x14ac:dyDescent="0.25">
      <c r="A22" s="483"/>
      <c r="B22" s="100">
        <v>11</v>
      </c>
      <c r="C22" s="523">
        <f>VLOOKUP(B22,ERDI,2,FALSE)</f>
        <v>44.5</v>
      </c>
      <c r="D22" s="524">
        <f>VLOOKUP(B22,ERDI,4,FALSE)</f>
        <v>32.42</v>
      </c>
      <c r="E22" s="524">
        <f>VLOOKUP(B22,ERDI,5,FALSE)</f>
        <v>0</v>
      </c>
      <c r="F22" s="524">
        <f>VLOOKUP(B22,ERDI,6,FALSE)</f>
        <v>0</v>
      </c>
      <c r="G22" s="93">
        <f>SUM(D22:F22)</f>
        <v>32.42</v>
      </c>
      <c r="H22" s="524">
        <f>VLOOKUP(B22,ERDI,3,FALSE)</f>
        <v>85</v>
      </c>
      <c r="I22" s="551">
        <f>G22/C22</f>
        <v>0.72853932584269665</v>
      </c>
      <c r="J22" s="93">
        <f>H22/C22</f>
        <v>1.9101123595505618</v>
      </c>
      <c r="K22" s="556">
        <f>VLOOKUP(B22,year2022to23,311,FALSE)</f>
        <v>529.89</v>
      </c>
      <c r="L22" s="93">
        <f>SUM(U22:AC22)</f>
        <v>551.02</v>
      </c>
      <c r="M22" s="559">
        <f>K22/C22</f>
        <v>11.907640449438201</v>
      </c>
      <c r="N22" s="93">
        <f>L22/C22</f>
        <v>12.382471910112359</v>
      </c>
      <c r="O22" s="484"/>
      <c r="P22" s="547">
        <f>VLOOKUP(B22,year2022to23,232,FALSE)</f>
        <v>98.26</v>
      </c>
      <c r="Q22" s="551">
        <f>P22/C22</f>
        <v>2.2080898876404493</v>
      </c>
      <c r="R22" s="556">
        <f>VLOOKUP(B22,year2022to23,249,FALSE)</f>
        <v>539.21399999999994</v>
      </c>
      <c r="S22" s="559">
        <f>R22/C22</f>
        <v>12.117168539325842</v>
      </c>
      <c r="U22" s="1">
        <f>VLOOKUP(B22,ffbbudgettwofive,7,FALSE)</f>
        <v>42.300000000000004</v>
      </c>
      <c r="V22" s="1">
        <f>VLOOKUP(B22,ffbbudgettwofive,8,FALSE)</f>
        <v>33.840000000000003</v>
      </c>
      <c r="W22" s="1">
        <f>VLOOKUP(B22,ffbbudgettwofive,9,FALSE)</f>
        <v>59.220000000000006</v>
      </c>
      <c r="X22" s="1">
        <f>VLOOKUP(B22,ffbbudgettwofive,10,FALSE)</f>
        <v>59.220000000000006</v>
      </c>
      <c r="Y22" s="1">
        <f>VLOOKUP(B22,ffbbudgettwofive,11,FALSE)</f>
        <v>59.220000000000006</v>
      </c>
      <c r="Z22" s="1">
        <f>VLOOKUP(B22,ffbbudgettwofive,12,FALSE)</f>
        <v>59.220000000000006</v>
      </c>
      <c r="AA22" s="1">
        <f>VLOOKUP(B22,ffbbudgettwofive,13,FALSE)</f>
        <v>68</v>
      </c>
      <c r="AB22" s="1">
        <f>VLOOKUP(B22,ffbbudgettwofive,14,FALSE)</f>
        <v>85</v>
      </c>
      <c r="AC22" s="1">
        <f>VLOOKUP(B22,ffbbudgettwofive,15,FALSE)</f>
        <v>85</v>
      </c>
      <c r="AD22" s="1">
        <f>VLOOKUP(B22,ffbbudgettwofive,16,FALSE)</f>
        <v>118</v>
      </c>
      <c r="AE22" s="1">
        <f>VLOOKUP(B22,ffbbudgettwofive,17,FALSE)</f>
        <v>93</v>
      </c>
      <c r="AF22" s="1">
        <f>VLOOKUP(B22,ffbbudgettwofive,18,FALSE)</f>
        <v>85</v>
      </c>
    </row>
    <row r="23" spans="1:32" hidden="1" outlineLevel="1" x14ac:dyDescent="0.25">
      <c r="A23" s="483"/>
      <c r="B23" s="100">
        <v>29</v>
      </c>
      <c r="C23" s="523">
        <f>VLOOKUP(B23,ERDI,2,FALSE)</f>
        <v>11.38</v>
      </c>
      <c r="D23" s="524">
        <f>VLOOKUP(B23,ERDI,4,FALSE)</f>
        <v>4.74</v>
      </c>
      <c r="E23" s="524">
        <f>VLOOKUP(B23,ERDI,5,FALSE)</f>
        <v>10.379999999999999</v>
      </c>
      <c r="F23" s="524">
        <f>VLOOKUP(B23,ERDI,6,FALSE)</f>
        <v>0</v>
      </c>
      <c r="G23" s="93">
        <f>SUM(D23:F23)</f>
        <v>15.12</v>
      </c>
      <c r="H23" s="524">
        <f>VLOOKUP(B23,ERDI,3,FALSE)</f>
        <v>7</v>
      </c>
      <c r="I23" s="551">
        <f>G23/C23</f>
        <v>1.3286467486818978</v>
      </c>
      <c r="J23" s="93">
        <f>H23/C23</f>
        <v>0.61511423550087874</v>
      </c>
      <c r="K23" s="556">
        <f>VLOOKUP(B23,year2022to23,311,FALSE)</f>
        <v>97.54</v>
      </c>
      <c r="L23" s="93">
        <f>SUM(U23:AC23)</f>
        <v>45.53</v>
      </c>
      <c r="M23" s="559">
        <f>K23/C23</f>
        <v>8.5711775043936722</v>
      </c>
      <c r="N23" s="93">
        <f>L23/C23</f>
        <v>4.0008787346221437</v>
      </c>
      <c r="O23" s="484"/>
      <c r="P23" s="547">
        <f>VLOOKUP(B23,year2022to23,232,FALSE)</f>
        <v>0.9</v>
      </c>
      <c r="Q23" s="551">
        <f>P23/C23</f>
        <v>7.9086115992970121E-2</v>
      </c>
      <c r="R23" s="556">
        <f>VLOOKUP(B23,year2022to23,249,FALSE)</f>
        <v>16.62</v>
      </c>
      <c r="S23" s="559">
        <f>R23/C23</f>
        <v>1.4604569420035149</v>
      </c>
      <c r="U23" s="1">
        <f>VLOOKUP(B23,ffbbudgettwofive,7,FALSE)</f>
        <v>3.45</v>
      </c>
      <c r="V23" s="1">
        <f>VLOOKUP(B23,ffbbudgettwofive,8,FALSE)</f>
        <v>2.7600000000000002</v>
      </c>
      <c r="W23" s="1">
        <f>VLOOKUP(B23,ffbbudgettwofive,9,FALSE)</f>
        <v>4.83</v>
      </c>
      <c r="X23" s="1">
        <f>VLOOKUP(B23,ffbbudgettwofive,10,FALSE)</f>
        <v>4.83</v>
      </c>
      <c r="Y23" s="1">
        <f>VLOOKUP(B23,ffbbudgettwofive,11,FALSE)</f>
        <v>4.83</v>
      </c>
      <c r="Z23" s="1">
        <f>VLOOKUP(B23,ffbbudgettwofive,12,FALSE)</f>
        <v>4.83</v>
      </c>
      <c r="AA23" s="1">
        <f>VLOOKUP(B23,ffbbudgettwofive,13,FALSE)</f>
        <v>6</v>
      </c>
      <c r="AB23" s="1">
        <f>VLOOKUP(B23,ffbbudgettwofive,14,FALSE)</f>
        <v>7</v>
      </c>
      <c r="AC23" s="1">
        <f>VLOOKUP(B23,ffbbudgettwofive,15,FALSE)</f>
        <v>7</v>
      </c>
      <c r="AD23" s="1">
        <f>VLOOKUP(B23,ffbbudgettwofive,16,FALSE)</f>
        <v>10</v>
      </c>
      <c r="AE23" s="1">
        <f>VLOOKUP(B23,ffbbudgettwofive,17,FALSE)</f>
        <v>8</v>
      </c>
      <c r="AF23" s="1">
        <f>VLOOKUP(B23,ffbbudgettwofive,18,FALSE)</f>
        <v>7</v>
      </c>
    </row>
    <row r="24" spans="1:32" ht="15.75" hidden="1" outlineLevel="1" thickBot="1" x14ac:dyDescent="0.3">
      <c r="A24" s="483"/>
      <c r="B24" s="562"/>
      <c r="C24" s="563"/>
      <c r="D24" s="563"/>
      <c r="E24" s="563"/>
      <c r="F24" s="563"/>
      <c r="H24" s="563"/>
      <c r="I24" s="564"/>
      <c r="J24" s="564"/>
      <c r="K24" s="8"/>
      <c r="M24" s="8"/>
      <c r="N24" s="8"/>
      <c r="O24" s="8"/>
      <c r="P24" s="3"/>
      <c r="Q24" s="3"/>
      <c r="R24" s="3"/>
      <c r="S24" s="3"/>
    </row>
    <row r="25" spans="1:32" s="7" customFormat="1" ht="15.75" collapsed="1" thickBot="1" x14ac:dyDescent="0.3">
      <c r="A25" s="935" t="s">
        <v>66</v>
      </c>
      <c r="B25" s="936"/>
      <c r="C25" s="543">
        <f>'SOFIO GANG'!B13</f>
        <v>262.5</v>
      </c>
      <c r="D25" s="537">
        <f>'SOFIO GANG'!D13</f>
        <v>267.13</v>
      </c>
      <c r="E25" s="538">
        <f>'SOFIO GANG'!E13</f>
        <v>97</v>
      </c>
      <c r="F25" s="538">
        <f>'SOFIO GANG'!F13</f>
        <v>0</v>
      </c>
      <c r="G25" s="539">
        <f>SUM(D25:F25)</f>
        <v>364.13</v>
      </c>
      <c r="H25" s="540">
        <f>'SOFIO GANG'!C13</f>
        <v>511</v>
      </c>
      <c r="I25" s="549">
        <f t="shared" ref="I25:I31" si="28">G25/C25</f>
        <v>1.3871619047619048</v>
      </c>
      <c r="J25" s="541">
        <f t="shared" ref="J25:J31" si="29">H25/C25</f>
        <v>1.9466666666666668</v>
      </c>
      <c r="K25" s="554">
        <f>SUM(K26:K31)</f>
        <v>4293.8</v>
      </c>
      <c r="L25" s="541">
        <f>ROUND(SUM(L26:L31),0)</f>
        <v>3320</v>
      </c>
      <c r="M25" s="561">
        <f t="shared" ref="M25:M31" si="30">K25/C25</f>
        <v>16.357333333333333</v>
      </c>
      <c r="N25" s="541">
        <f t="shared" ref="N25:N31" si="31">L25/C25</f>
        <v>12.647619047619047</v>
      </c>
      <c r="O25" s="542"/>
      <c r="P25" s="545">
        <f>SUM(P26:P31)</f>
        <v>516.13</v>
      </c>
      <c r="Q25" s="552">
        <f t="shared" ref="Q25:Q31" si="32">P25/C25</f>
        <v>1.9662095238095239</v>
      </c>
      <c r="R25" s="554">
        <f>SUM(R26:R31)</f>
        <v>4258.027</v>
      </c>
      <c r="S25" s="557">
        <f>R25/C25</f>
        <v>16.221055238095239</v>
      </c>
      <c r="U25" s="7" t="s">
        <v>180</v>
      </c>
      <c r="V25" s="7" t="s">
        <v>181</v>
      </c>
      <c r="W25" s="7" t="s">
        <v>182</v>
      </c>
      <c r="X25" s="7" t="s">
        <v>183</v>
      </c>
      <c r="Y25" s="7" t="s">
        <v>184</v>
      </c>
      <c r="Z25" s="7" t="s">
        <v>185</v>
      </c>
      <c r="AA25" s="7" t="s">
        <v>186</v>
      </c>
      <c r="AB25" s="7" t="s">
        <v>187</v>
      </c>
      <c r="AC25" s="7" t="s">
        <v>188</v>
      </c>
      <c r="AD25" s="7" t="s">
        <v>189</v>
      </c>
      <c r="AE25" s="7" t="s">
        <v>190</v>
      </c>
      <c r="AF25" s="7" t="s">
        <v>191</v>
      </c>
    </row>
    <row r="26" spans="1:32" hidden="1" outlineLevel="1" x14ac:dyDescent="0.25">
      <c r="A26" s="528"/>
      <c r="B26" s="511">
        <v>4</v>
      </c>
      <c r="C26" s="529">
        <f t="shared" ref="C26:C31" si="33">VLOOKUP(B26,SERAN,2,FALSE)</f>
        <v>70.599999999999994</v>
      </c>
      <c r="D26" s="525">
        <f t="shared" ref="D26:D31" si="34">VLOOKUP(B26,SERAN,4,FALSE)</f>
        <v>65.040000000000006</v>
      </c>
      <c r="E26" s="525">
        <f t="shared" ref="E26:E31" si="35">VLOOKUP(B26,SERAN,5,FALSE)</f>
        <v>0</v>
      </c>
      <c r="F26" s="525">
        <f t="shared" ref="F26:F31" si="36">VLOOKUP(B26,SERAN,6,FALSE)</f>
        <v>0</v>
      </c>
      <c r="G26" s="526">
        <f t="shared" ref="G26:G31" si="37">SUM(D26:F26)</f>
        <v>65.040000000000006</v>
      </c>
      <c r="H26" s="525">
        <f t="shared" ref="H26:H31" si="38">VLOOKUP(B26,SERAN,3,FALSE)</f>
        <v>141</v>
      </c>
      <c r="I26" s="550">
        <f t="shared" si="28"/>
        <v>0.92124645892351287</v>
      </c>
      <c r="J26" s="526">
        <f t="shared" si="29"/>
        <v>1.9971671388101984</v>
      </c>
      <c r="K26" s="555">
        <f t="shared" ref="K26:K31" si="39">VLOOKUP(B26,year2022to23,311,FALSE)</f>
        <v>1063.57</v>
      </c>
      <c r="L26" s="526">
        <f t="shared" ref="L26:L31" si="40">SUM(U26:AC26)</f>
        <v>917.44</v>
      </c>
      <c r="M26" s="558">
        <f t="shared" si="30"/>
        <v>15.064730878186969</v>
      </c>
      <c r="N26" s="526">
        <f t="shared" si="31"/>
        <v>12.994900849858359</v>
      </c>
      <c r="O26" s="484"/>
      <c r="P26" s="546">
        <f t="shared" ref="P26:P31" si="41">VLOOKUP(B26,year2022to23,232,FALSE)</f>
        <v>127.55000000000001</v>
      </c>
      <c r="Q26" s="550">
        <f t="shared" si="32"/>
        <v>1.8066572237960343</v>
      </c>
      <c r="R26" s="555">
        <f t="shared" ref="R26:R31" si="42">VLOOKUP(B26,year2022to23,249,FALSE)</f>
        <v>1027.433</v>
      </c>
      <c r="S26" s="558">
        <f t="shared" ref="S26:S31" si="43">R26/C26</f>
        <v>14.55287535410765</v>
      </c>
      <c r="U26" s="1">
        <f t="shared" ref="U26:U31" si="44">VLOOKUP(B26,ffbbudgettwofive,7,FALSE)</f>
        <v>70.600000000000009</v>
      </c>
      <c r="V26" s="1">
        <f t="shared" ref="V26:V31" si="45">VLOOKUP(B26,ffbbudgettwofive,8,FALSE)</f>
        <v>56.480000000000004</v>
      </c>
      <c r="W26" s="1">
        <f t="shared" ref="W26:W31" si="46">VLOOKUP(B26,ffbbudgettwofive,9,FALSE)</f>
        <v>98.84</v>
      </c>
      <c r="X26" s="1">
        <f t="shared" ref="X26:X31" si="47">VLOOKUP(B26,ffbbudgettwofive,10,FALSE)</f>
        <v>98.84</v>
      </c>
      <c r="Y26" s="1">
        <f t="shared" ref="Y26:Y31" si="48">VLOOKUP(B26,ffbbudgettwofive,11,FALSE)</f>
        <v>98.84</v>
      </c>
      <c r="Z26" s="1">
        <f t="shared" ref="Z26:Z31" si="49">VLOOKUP(B26,ffbbudgettwofive,12,FALSE)</f>
        <v>98.84</v>
      </c>
      <c r="AA26" s="1">
        <f t="shared" ref="AA26:AA31" si="50">VLOOKUP(B26,ffbbudgettwofive,13,FALSE)</f>
        <v>113</v>
      </c>
      <c r="AB26" s="1">
        <f t="shared" ref="AB26:AB31" si="51">VLOOKUP(B26,ffbbudgettwofive,14,FALSE)</f>
        <v>141</v>
      </c>
      <c r="AC26" s="1">
        <f t="shared" ref="AC26:AC31" si="52">VLOOKUP(B26,ffbbudgettwofive,15,FALSE)</f>
        <v>141</v>
      </c>
      <c r="AD26" s="1">
        <f t="shared" ref="AD26:AD31" si="53">VLOOKUP(B26,ffbbudgettwofive,16,FALSE)</f>
        <v>198</v>
      </c>
      <c r="AE26" s="1">
        <f t="shared" ref="AE26:AE31" si="54">VLOOKUP(B26,ffbbudgettwofive,17,FALSE)</f>
        <v>155</v>
      </c>
      <c r="AF26" s="1">
        <f t="shared" ref="AF26:AF31" si="55">VLOOKUP(B26,ffbbudgettwofive,18,FALSE)</f>
        <v>141</v>
      </c>
    </row>
    <row r="27" spans="1:32" hidden="1" outlineLevel="1" x14ac:dyDescent="0.25">
      <c r="A27" s="528"/>
      <c r="B27" s="1">
        <v>5</v>
      </c>
      <c r="C27" s="523">
        <f t="shared" si="33"/>
        <v>50.4</v>
      </c>
      <c r="D27" s="524">
        <f t="shared" si="34"/>
        <v>47.44</v>
      </c>
      <c r="E27" s="524">
        <f t="shared" si="35"/>
        <v>32.090000000000003</v>
      </c>
      <c r="F27" s="524">
        <f t="shared" si="36"/>
        <v>0</v>
      </c>
      <c r="G27" s="93">
        <f t="shared" si="37"/>
        <v>79.53</v>
      </c>
      <c r="H27" s="524">
        <f t="shared" si="38"/>
        <v>101</v>
      </c>
      <c r="I27" s="551">
        <f t="shared" si="28"/>
        <v>1.5779761904761906</v>
      </c>
      <c r="J27" s="93">
        <f t="shared" si="29"/>
        <v>2.003968253968254</v>
      </c>
      <c r="K27" s="556">
        <f t="shared" si="39"/>
        <v>835.29</v>
      </c>
      <c r="L27" s="93">
        <f t="shared" si="40"/>
        <v>655.96</v>
      </c>
      <c r="M27" s="559">
        <f t="shared" si="30"/>
        <v>16.573214285714286</v>
      </c>
      <c r="N27" s="93">
        <f t="shared" si="31"/>
        <v>13.015079365079366</v>
      </c>
      <c r="O27" s="484"/>
      <c r="P27" s="547">
        <f t="shared" si="41"/>
        <v>114.38</v>
      </c>
      <c r="Q27" s="551">
        <f t="shared" si="32"/>
        <v>2.2694444444444444</v>
      </c>
      <c r="R27" s="556">
        <f t="shared" si="42"/>
        <v>781.76</v>
      </c>
      <c r="S27" s="559">
        <f t="shared" si="43"/>
        <v>15.511111111111111</v>
      </c>
      <c r="U27" s="1">
        <f t="shared" si="44"/>
        <v>50.400000000000006</v>
      </c>
      <c r="V27" s="1">
        <f t="shared" si="45"/>
        <v>40.32</v>
      </c>
      <c r="W27" s="1">
        <f t="shared" si="46"/>
        <v>70.56</v>
      </c>
      <c r="X27" s="1">
        <f t="shared" si="47"/>
        <v>70.56</v>
      </c>
      <c r="Y27" s="1">
        <f t="shared" si="48"/>
        <v>70.56</v>
      </c>
      <c r="Z27" s="1">
        <f t="shared" si="49"/>
        <v>70.56</v>
      </c>
      <c r="AA27" s="1">
        <f t="shared" si="50"/>
        <v>81</v>
      </c>
      <c r="AB27" s="1">
        <f t="shared" si="51"/>
        <v>101</v>
      </c>
      <c r="AC27" s="1">
        <f t="shared" si="52"/>
        <v>101</v>
      </c>
      <c r="AD27" s="1">
        <f t="shared" si="53"/>
        <v>141</v>
      </c>
      <c r="AE27" s="1">
        <f t="shared" si="54"/>
        <v>111</v>
      </c>
      <c r="AF27" s="1">
        <f t="shared" si="55"/>
        <v>101</v>
      </c>
    </row>
    <row r="28" spans="1:32" hidden="1" outlineLevel="1" x14ac:dyDescent="0.25">
      <c r="A28" s="528"/>
      <c r="B28" s="1">
        <v>6</v>
      </c>
      <c r="C28" s="523">
        <f t="shared" si="33"/>
        <v>58.6</v>
      </c>
      <c r="D28" s="524">
        <f t="shared" si="34"/>
        <v>60.33</v>
      </c>
      <c r="E28" s="524">
        <f t="shared" si="35"/>
        <v>64.91</v>
      </c>
      <c r="F28" s="524">
        <f t="shared" si="36"/>
        <v>0</v>
      </c>
      <c r="G28" s="93">
        <f t="shared" si="37"/>
        <v>125.24</v>
      </c>
      <c r="H28" s="524">
        <f t="shared" si="38"/>
        <v>117</v>
      </c>
      <c r="I28" s="551">
        <f t="shared" si="28"/>
        <v>2.1372013651877131</v>
      </c>
      <c r="J28" s="93">
        <f t="shared" si="29"/>
        <v>1.9965870307167235</v>
      </c>
      <c r="K28" s="556">
        <f t="shared" si="39"/>
        <v>961.24000000000012</v>
      </c>
      <c r="L28" s="93">
        <f t="shared" si="40"/>
        <v>761.6400000000001</v>
      </c>
      <c r="M28" s="559">
        <f t="shared" si="30"/>
        <v>16.403412969283277</v>
      </c>
      <c r="N28" s="93">
        <f t="shared" si="31"/>
        <v>12.997269624573381</v>
      </c>
      <c r="O28" s="484"/>
      <c r="P28" s="547">
        <f t="shared" si="41"/>
        <v>99.91</v>
      </c>
      <c r="Q28" s="551">
        <f t="shared" si="32"/>
        <v>1.7049488054607507</v>
      </c>
      <c r="R28" s="556">
        <f t="shared" si="42"/>
        <v>1014.3199999999999</v>
      </c>
      <c r="S28" s="559">
        <f t="shared" si="43"/>
        <v>17.309215017064844</v>
      </c>
      <c r="U28" s="1">
        <f t="shared" si="44"/>
        <v>58.6</v>
      </c>
      <c r="V28" s="1">
        <f t="shared" si="45"/>
        <v>46.88</v>
      </c>
      <c r="W28" s="1">
        <f t="shared" si="46"/>
        <v>82.04</v>
      </c>
      <c r="X28" s="1">
        <f t="shared" si="47"/>
        <v>82.04</v>
      </c>
      <c r="Y28" s="1">
        <f t="shared" si="48"/>
        <v>82.04</v>
      </c>
      <c r="Z28" s="1">
        <f t="shared" si="49"/>
        <v>82.04</v>
      </c>
      <c r="AA28" s="1">
        <f t="shared" si="50"/>
        <v>94</v>
      </c>
      <c r="AB28" s="1">
        <f t="shared" si="51"/>
        <v>117</v>
      </c>
      <c r="AC28" s="1">
        <f t="shared" si="52"/>
        <v>117</v>
      </c>
      <c r="AD28" s="1">
        <f t="shared" si="53"/>
        <v>164</v>
      </c>
      <c r="AE28" s="1">
        <f t="shared" si="54"/>
        <v>129</v>
      </c>
      <c r="AF28" s="1">
        <f t="shared" si="55"/>
        <v>117</v>
      </c>
    </row>
    <row r="29" spans="1:32" hidden="1" outlineLevel="1" x14ac:dyDescent="0.25">
      <c r="A29" s="528"/>
      <c r="B29" s="1">
        <v>7</v>
      </c>
      <c r="C29" s="523">
        <f t="shared" si="33"/>
        <v>23.6</v>
      </c>
      <c r="D29" s="524">
        <f t="shared" si="34"/>
        <v>19.149999999999999</v>
      </c>
      <c r="E29" s="524">
        <f t="shared" si="35"/>
        <v>0</v>
      </c>
      <c r="F29" s="524">
        <f t="shared" si="36"/>
        <v>0</v>
      </c>
      <c r="G29" s="93">
        <f t="shared" si="37"/>
        <v>19.149999999999999</v>
      </c>
      <c r="H29" s="524">
        <f t="shared" si="38"/>
        <v>40</v>
      </c>
      <c r="I29" s="551">
        <f t="shared" si="28"/>
        <v>0.81144067796610153</v>
      </c>
      <c r="J29" s="93">
        <f t="shared" si="29"/>
        <v>1.6949152542372881</v>
      </c>
      <c r="K29" s="556">
        <f t="shared" si="39"/>
        <v>334.61</v>
      </c>
      <c r="L29" s="93">
        <f t="shared" si="40"/>
        <v>260.37</v>
      </c>
      <c r="M29" s="559">
        <f t="shared" si="30"/>
        <v>14.178389830508474</v>
      </c>
      <c r="N29" s="93">
        <f t="shared" si="31"/>
        <v>11.032627118644067</v>
      </c>
      <c r="O29" s="484"/>
      <c r="P29" s="547">
        <f t="shared" si="41"/>
        <v>60.980000000000004</v>
      </c>
      <c r="Q29" s="551">
        <f t="shared" si="32"/>
        <v>2.5838983050847459</v>
      </c>
      <c r="R29" s="556">
        <f t="shared" si="42"/>
        <v>351.98399999999998</v>
      </c>
      <c r="S29" s="559">
        <f t="shared" si="43"/>
        <v>14.914576271186439</v>
      </c>
      <c r="U29" s="1">
        <f t="shared" si="44"/>
        <v>20.05</v>
      </c>
      <c r="V29" s="1">
        <f t="shared" si="45"/>
        <v>16.04</v>
      </c>
      <c r="W29" s="1">
        <f t="shared" si="46"/>
        <v>28.070000000000004</v>
      </c>
      <c r="X29" s="1">
        <f t="shared" si="47"/>
        <v>28.070000000000004</v>
      </c>
      <c r="Y29" s="1">
        <f t="shared" si="48"/>
        <v>28.070000000000004</v>
      </c>
      <c r="Z29" s="1">
        <f t="shared" si="49"/>
        <v>28.070000000000004</v>
      </c>
      <c r="AA29" s="1">
        <f t="shared" si="50"/>
        <v>32</v>
      </c>
      <c r="AB29" s="1">
        <f t="shared" si="51"/>
        <v>40</v>
      </c>
      <c r="AC29" s="1">
        <f t="shared" si="52"/>
        <v>40</v>
      </c>
      <c r="AD29" s="1">
        <f t="shared" si="53"/>
        <v>56</v>
      </c>
      <c r="AE29" s="1">
        <f t="shared" si="54"/>
        <v>44</v>
      </c>
      <c r="AF29" s="1">
        <f t="shared" si="55"/>
        <v>40</v>
      </c>
    </row>
    <row r="30" spans="1:32" hidden="1" outlineLevel="1" x14ac:dyDescent="0.25">
      <c r="A30" s="528"/>
      <c r="B30" s="1">
        <v>23</v>
      </c>
      <c r="C30" s="523">
        <f t="shared" si="33"/>
        <v>14.6</v>
      </c>
      <c r="D30" s="524">
        <f t="shared" si="34"/>
        <v>25.259999999999998</v>
      </c>
      <c r="E30" s="524">
        <f t="shared" si="35"/>
        <v>0</v>
      </c>
      <c r="F30" s="524">
        <f t="shared" si="36"/>
        <v>0</v>
      </c>
      <c r="G30" s="93">
        <f t="shared" si="37"/>
        <v>25.259999999999998</v>
      </c>
      <c r="H30" s="524">
        <f t="shared" si="38"/>
        <v>31</v>
      </c>
      <c r="I30" s="551">
        <f t="shared" si="28"/>
        <v>1.7301369863013698</v>
      </c>
      <c r="J30" s="93">
        <f t="shared" si="29"/>
        <v>2.1232876712328768</v>
      </c>
      <c r="K30" s="556">
        <f t="shared" si="39"/>
        <v>291.61</v>
      </c>
      <c r="L30" s="93">
        <f t="shared" si="40"/>
        <v>200.59000000000003</v>
      </c>
      <c r="M30" s="559">
        <f t="shared" si="30"/>
        <v>19.973287671232878</v>
      </c>
      <c r="N30" s="93">
        <f t="shared" si="31"/>
        <v>13.739041095890414</v>
      </c>
      <c r="O30" s="484"/>
      <c r="P30" s="547">
        <f t="shared" si="41"/>
        <v>25.52</v>
      </c>
      <c r="Q30" s="551">
        <f t="shared" si="32"/>
        <v>1.747945205479452</v>
      </c>
      <c r="R30" s="556">
        <f t="shared" si="42"/>
        <v>287.59000000000003</v>
      </c>
      <c r="S30" s="559">
        <f t="shared" si="43"/>
        <v>19.697945205479456</v>
      </c>
      <c r="U30" s="1">
        <f t="shared" si="44"/>
        <v>15.350000000000001</v>
      </c>
      <c r="V30" s="1">
        <f t="shared" si="45"/>
        <v>12.280000000000001</v>
      </c>
      <c r="W30" s="1">
        <f t="shared" si="46"/>
        <v>21.490000000000002</v>
      </c>
      <c r="X30" s="1">
        <f t="shared" si="47"/>
        <v>21.490000000000002</v>
      </c>
      <c r="Y30" s="1">
        <f t="shared" si="48"/>
        <v>21.490000000000002</v>
      </c>
      <c r="Z30" s="1">
        <f t="shared" si="49"/>
        <v>21.490000000000002</v>
      </c>
      <c r="AA30" s="1">
        <f t="shared" si="50"/>
        <v>25</v>
      </c>
      <c r="AB30" s="1">
        <f t="shared" si="51"/>
        <v>31</v>
      </c>
      <c r="AC30" s="1">
        <f t="shared" si="52"/>
        <v>31</v>
      </c>
      <c r="AD30" s="1">
        <f t="shared" si="53"/>
        <v>43</v>
      </c>
      <c r="AE30" s="1">
        <f t="shared" si="54"/>
        <v>34</v>
      </c>
      <c r="AF30" s="1">
        <f t="shared" si="55"/>
        <v>31</v>
      </c>
    </row>
    <row r="31" spans="1:32" hidden="1" outlineLevel="1" x14ac:dyDescent="0.25">
      <c r="A31" s="528"/>
      <c r="B31" s="1">
        <v>24</v>
      </c>
      <c r="C31" s="523">
        <f t="shared" si="33"/>
        <v>44.7</v>
      </c>
      <c r="D31" s="524">
        <f t="shared" si="34"/>
        <v>49.910000000000004</v>
      </c>
      <c r="E31" s="524">
        <f t="shared" si="35"/>
        <v>0</v>
      </c>
      <c r="F31" s="524">
        <f t="shared" si="36"/>
        <v>0</v>
      </c>
      <c r="G31" s="93">
        <f t="shared" si="37"/>
        <v>49.910000000000004</v>
      </c>
      <c r="H31" s="524">
        <f t="shared" si="38"/>
        <v>81</v>
      </c>
      <c r="I31" s="551">
        <f t="shared" si="28"/>
        <v>1.1165548098434004</v>
      </c>
      <c r="J31" s="93">
        <f t="shared" si="29"/>
        <v>1.8120805369127515</v>
      </c>
      <c r="K31" s="556">
        <f t="shared" si="39"/>
        <v>807.48</v>
      </c>
      <c r="L31" s="93">
        <f t="shared" si="40"/>
        <v>523.85000000000014</v>
      </c>
      <c r="M31" s="559">
        <f t="shared" si="30"/>
        <v>18.064429530201341</v>
      </c>
      <c r="N31" s="93">
        <f t="shared" si="31"/>
        <v>11.719239373601791</v>
      </c>
      <c r="O31" s="484"/>
      <c r="P31" s="547">
        <f t="shared" si="41"/>
        <v>87.79</v>
      </c>
      <c r="Q31" s="551">
        <f t="shared" si="32"/>
        <v>1.9639821029082773</v>
      </c>
      <c r="R31" s="556">
        <f t="shared" si="42"/>
        <v>794.94</v>
      </c>
      <c r="S31" s="559">
        <f t="shared" si="43"/>
        <v>17.783892617449663</v>
      </c>
      <c r="U31" s="1">
        <f t="shared" si="44"/>
        <v>40.25</v>
      </c>
      <c r="V31" s="1">
        <f t="shared" si="45"/>
        <v>32.200000000000003</v>
      </c>
      <c r="W31" s="1">
        <f t="shared" si="46"/>
        <v>56.350000000000009</v>
      </c>
      <c r="X31" s="1">
        <f t="shared" si="47"/>
        <v>56.350000000000009</v>
      </c>
      <c r="Y31" s="1">
        <f t="shared" si="48"/>
        <v>56.350000000000009</v>
      </c>
      <c r="Z31" s="1">
        <f t="shared" si="49"/>
        <v>56.350000000000009</v>
      </c>
      <c r="AA31" s="1">
        <f t="shared" si="50"/>
        <v>64</v>
      </c>
      <c r="AB31" s="1">
        <f t="shared" si="51"/>
        <v>81</v>
      </c>
      <c r="AC31" s="1">
        <f t="shared" si="52"/>
        <v>81</v>
      </c>
      <c r="AD31" s="1">
        <f t="shared" si="53"/>
        <v>113</v>
      </c>
      <c r="AE31" s="1">
        <f t="shared" si="54"/>
        <v>89</v>
      </c>
      <c r="AF31" s="1">
        <f t="shared" si="55"/>
        <v>81</v>
      </c>
    </row>
    <row r="32" spans="1:32" ht="15.75" hidden="1" outlineLevel="1" thickBot="1" x14ac:dyDescent="0.3">
      <c r="A32" s="483"/>
      <c r="B32" s="562"/>
      <c r="C32" s="563"/>
      <c r="D32" s="563"/>
      <c r="E32" s="563"/>
      <c r="F32" s="563"/>
      <c r="H32" s="563"/>
      <c r="I32" s="564"/>
      <c r="J32" s="564"/>
      <c r="K32" s="8"/>
      <c r="M32" s="8"/>
      <c r="N32" s="8"/>
      <c r="O32" s="8"/>
      <c r="P32" s="3"/>
      <c r="Q32" s="3"/>
      <c r="R32" s="3"/>
      <c r="S32" s="3"/>
    </row>
    <row r="33" spans="1:32" s="7" customFormat="1" ht="15.75" collapsed="1" thickBot="1" x14ac:dyDescent="0.3">
      <c r="A33" s="935" t="s">
        <v>67</v>
      </c>
      <c r="B33" s="936"/>
      <c r="C33" s="543">
        <f>'NU AZANI GANG'!B13</f>
        <v>291.60000000000002</v>
      </c>
      <c r="D33" s="537">
        <f>'NU AZANI GANG'!D13</f>
        <v>259.99</v>
      </c>
      <c r="E33" s="538">
        <f>'NU AZANI GANG'!E13</f>
        <v>145.63</v>
      </c>
      <c r="F33" s="538">
        <f>'NU AZANI GANG'!F13</f>
        <v>0</v>
      </c>
      <c r="G33" s="539">
        <f>SUM(D33:F33)</f>
        <v>405.62</v>
      </c>
      <c r="H33" s="540">
        <f>'NU AZANI GANG'!C13</f>
        <v>594</v>
      </c>
      <c r="I33" s="549">
        <f t="shared" ref="I33:I39" si="56">G33/C33</f>
        <v>1.3910150891632371</v>
      </c>
      <c r="J33" s="541">
        <f t="shared" ref="J33:J39" si="57">H33/C33</f>
        <v>2.0370370370370368</v>
      </c>
      <c r="K33" s="554">
        <f>SUM(K34:K39)</f>
        <v>4491.63</v>
      </c>
      <c r="L33" s="541">
        <f>ROUND(SUM(L34:L39),0)</f>
        <v>3862</v>
      </c>
      <c r="M33" s="561">
        <f t="shared" ref="M33:M39" si="58">K33/C33</f>
        <v>15.403395061728395</v>
      </c>
      <c r="N33" s="541">
        <f t="shared" ref="N33:N39" si="59">L33/C33</f>
        <v>13.244170096021946</v>
      </c>
      <c r="O33" s="542"/>
      <c r="P33" s="545">
        <f>SUM(P34:P39)</f>
        <v>486.15999999999997</v>
      </c>
      <c r="Q33" s="552">
        <f t="shared" ref="Q33:Q39" si="60">P33/C33</f>
        <v>1.6672153635116596</v>
      </c>
      <c r="R33" s="554">
        <f>SUM(R34:R39)</f>
        <v>4407.7690000000002</v>
      </c>
      <c r="S33" s="557">
        <f>R33/C33</f>
        <v>15.115805898491084</v>
      </c>
      <c r="U33" s="7" t="s">
        <v>180</v>
      </c>
      <c r="V33" s="7" t="s">
        <v>181</v>
      </c>
      <c r="W33" s="7" t="s">
        <v>182</v>
      </c>
      <c r="X33" s="7" t="s">
        <v>183</v>
      </c>
      <c r="Y33" s="7" t="s">
        <v>184</v>
      </c>
      <c r="Z33" s="7" t="s">
        <v>185</v>
      </c>
      <c r="AA33" s="7" t="s">
        <v>186</v>
      </c>
      <c r="AB33" s="7" t="s">
        <v>187</v>
      </c>
      <c r="AC33" s="7" t="s">
        <v>188</v>
      </c>
      <c r="AD33" s="7" t="s">
        <v>189</v>
      </c>
      <c r="AE33" s="7" t="s">
        <v>190</v>
      </c>
      <c r="AF33" s="7" t="s">
        <v>191</v>
      </c>
    </row>
    <row r="34" spans="1:32" hidden="1" outlineLevel="1" x14ac:dyDescent="0.25">
      <c r="A34" s="528"/>
      <c r="B34" s="511">
        <v>8</v>
      </c>
      <c r="C34" s="529">
        <f t="shared" ref="C34:C39" si="61">VLOOKUP(B34,NURAZANI,2,FALSE)</f>
        <v>61.6</v>
      </c>
      <c r="D34" s="525">
        <f t="shared" ref="D34:D39" si="62">VLOOKUP(B34,NURAZANI,4,FALSE)</f>
        <v>59.31</v>
      </c>
      <c r="E34" s="525">
        <f t="shared" ref="E34:E39" si="63">VLOOKUP(B34,NURAZANI,5,FALSE)</f>
        <v>7.63</v>
      </c>
      <c r="F34" s="525">
        <f t="shared" ref="F34:F39" si="64">VLOOKUP(B34,NURAZANI,6,FALSE)</f>
        <v>0</v>
      </c>
      <c r="G34" s="526">
        <f t="shared" ref="G34:G39" si="65">SUM(D34:F34)</f>
        <v>66.94</v>
      </c>
      <c r="H34" s="525">
        <f t="shared" ref="H34:H39" si="66">VLOOKUP(B34,NURAZANI,3,FALSE)</f>
        <v>123</v>
      </c>
      <c r="I34" s="550">
        <f t="shared" si="56"/>
        <v>1.0866883116883117</v>
      </c>
      <c r="J34" s="526">
        <f t="shared" si="57"/>
        <v>1.9967532467532467</v>
      </c>
      <c r="K34" s="555">
        <f t="shared" ref="K34:K39" si="67">VLOOKUP(B34,year2022to23,311,FALSE)</f>
        <v>906.12000000000012</v>
      </c>
      <c r="L34" s="526">
        <f t="shared" ref="L34:L39" si="68">SUM(U34:AC34)</f>
        <v>800.84</v>
      </c>
      <c r="M34" s="558">
        <f t="shared" si="58"/>
        <v>14.709740259740261</v>
      </c>
      <c r="N34" s="526">
        <f t="shared" si="59"/>
        <v>13.000649350649351</v>
      </c>
      <c r="O34" s="484"/>
      <c r="P34" s="546">
        <f t="shared" ref="P34:P39" si="69">VLOOKUP(B34,year2022to23,232,FALSE)</f>
        <v>78.790000000000006</v>
      </c>
      <c r="Q34" s="550">
        <f t="shared" si="60"/>
        <v>1.2790584415584416</v>
      </c>
      <c r="R34" s="555">
        <f t="shared" ref="R34:R39" si="70">VLOOKUP(B34,year2022to23,249,FALSE)</f>
        <v>924.42</v>
      </c>
      <c r="S34" s="558">
        <f t="shared" ref="S34:S39" si="71">R34/C34</f>
        <v>15.006818181818181</v>
      </c>
      <c r="U34" s="1">
        <f t="shared" ref="U34:U39" si="72">VLOOKUP(B34,ffbbudgettwofive,7,FALSE)</f>
        <v>61.6</v>
      </c>
      <c r="V34" s="1">
        <f t="shared" ref="V34:V39" si="73">VLOOKUP(B34,ffbbudgettwofive,8,FALSE)</f>
        <v>49.28</v>
      </c>
      <c r="W34" s="1">
        <f t="shared" ref="W34:W39" si="74">VLOOKUP(B34,ffbbudgettwofive,9,FALSE)</f>
        <v>86.240000000000009</v>
      </c>
      <c r="X34" s="1">
        <f t="shared" ref="X34:X39" si="75">VLOOKUP(B34,ffbbudgettwofive,10,FALSE)</f>
        <v>86.240000000000009</v>
      </c>
      <c r="Y34" s="1">
        <f t="shared" ref="Y34:Y39" si="76">VLOOKUP(B34,ffbbudgettwofive,11,FALSE)</f>
        <v>86.240000000000009</v>
      </c>
      <c r="Z34" s="1">
        <f t="shared" ref="Z34:Z39" si="77">VLOOKUP(B34,ffbbudgettwofive,12,FALSE)</f>
        <v>86.240000000000009</v>
      </c>
      <c r="AA34" s="1">
        <f t="shared" ref="AA34:AA39" si="78">VLOOKUP(B34,ffbbudgettwofive,13,FALSE)</f>
        <v>99</v>
      </c>
      <c r="AB34" s="1">
        <f t="shared" ref="AB34:AB39" si="79">VLOOKUP(B34,ffbbudgettwofive,14,FALSE)</f>
        <v>123</v>
      </c>
      <c r="AC34" s="1">
        <f t="shared" ref="AC34:AC39" si="80">VLOOKUP(B34,ffbbudgettwofive,15,FALSE)</f>
        <v>123</v>
      </c>
      <c r="AD34" s="1">
        <f t="shared" ref="AD34:AD39" si="81">VLOOKUP(B34,ffbbudgettwofive,16,FALSE)</f>
        <v>172</v>
      </c>
      <c r="AE34" s="1">
        <f t="shared" ref="AE34:AE39" si="82">VLOOKUP(B34,ffbbudgettwofive,17,FALSE)</f>
        <v>136</v>
      </c>
      <c r="AF34" s="1">
        <f t="shared" ref="AF34:AF39" si="83">VLOOKUP(B34,ffbbudgettwofive,18,FALSE)</f>
        <v>123</v>
      </c>
    </row>
    <row r="35" spans="1:32" hidden="1" outlineLevel="1" x14ac:dyDescent="0.25">
      <c r="A35" s="528"/>
      <c r="B35" s="1">
        <v>9</v>
      </c>
      <c r="C35" s="523">
        <f t="shared" si="61"/>
        <v>38.299999999999997</v>
      </c>
      <c r="D35" s="524">
        <f t="shared" si="62"/>
        <v>33.010000000000005</v>
      </c>
      <c r="E35" s="524">
        <f t="shared" si="63"/>
        <v>0</v>
      </c>
      <c r="F35" s="524">
        <f t="shared" si="64"/>
        <v>0</v>
      </c>
      <c r="G35" s="93">
        <f t="shared" si="65"/>
        <v>33.010000000000005</v>
      </c>
      <c r="H35" s="524">
        <f t="shared" si="66"/>
        <v>69</v>
      </c>
      <c r="I35" s="551">
        <f t="shared" si="56"/>
        <v>0.86187989556135791</v>
      </c>
      <c r="J35" s="93">
        <f t="shared" si="57"/>
        <v>1.8015665796344649</v>
      </c>
      <c r="K35" s="556">
        <f t="shared" si="67"/>
        <v>486.12</v>
      </c>
      <c r="L35" s="93">
        <f t="shared" si="68"/>
        <v>447.93000000000006</v>
      </c>
      <c r="M35" s="559">
        <f t="shared" si="58"/>
        <v>12.692428198433422</v>
      </c>
      <c r="N35" s="93">
        <f t="shared" si="59"/>
        <v>11.695300261096609</v>
      </c>
      <c r="O35" s="484"/>
      <c r="P35" s="547">
        <f t="shared" si="69"/>
        <v>59.56</v>
      </c>
      <c r="Q35" s="551">
        <f t="shared" si="60"/>
        <v>1.5550913838120106</v>
      </c>
      <c r="R35" s="556">
        <f t="shared" si="70"/>
        <v>489.69</v>
      </c>
      <c r="S35" s="559">
        <f t="shared" si="71"/>
        <v>12.785639686684075</v>
      </c>
      <c r="U35" s="1">
        <f t="shared" si="72"/>
        <v>34.450000000000003</v>
      </c>
      <c r="V35" s="1">
        <f t="shared" si="73"/>
        <v>27.560000000000002</v>
      </c>
      <c r="W35" s="1">
        <f t="shared" si="74"/>
        <v>48.230000000000004</v>
      </c>
      <c r="X35" s="1">
        <f t="shared" si="75"/>
        <v>48.230000000000004</v>
      </c>
      <c r="Y35" s="1">
        <f t="shared" si="76"/>
        <v>48.230000000000004</v>
      </c>
      <c r="Z35" s="1">
        <f t="shared" si="77"/>
        <v>48.230000000000004</v>
      </c>
      <c r="AA35" s="1">
        <f t="shared" si="78"/>
        <v>55</v>
      </c>
      <c r="AB35" s="1">
        <f t="shared" si="79"/>
        <v>69</v>
      </c>
      <c r="AC35" s="1">
        <f t="shared" si="80"/>
        <v>69</v>
      </c>
      <c r="AD35" s="1">
        <f t="shared" si="81"/>
        <v>97</v>
      </c>
      <c r="AE35" s="1">
        <f t="shared" si="82"/>
        <v>76</v>
      </c>
      <c r="AF35" s="1">
        <f t="shared" si="83"/>
        <v>69</v>
      </c>
    </row>
    <row r="36" spans="1:32" hidden="1" outlineLevel="1" x14ac:dyDescent="0.25">
      <c r="A36" s="528"/>
      <c r="B36" s="1">
        <v>12</v>
      </c>
      <c r="C36" s="523">
        <f t="shared" si="61"/>
        <v>71</v>
      </c>
      <c r="D36" s="524">
        <f t="shared" si="62"/>
        <v>49.47</v>
      </c>
      <c r="E36" s="524">
        <f t="shared" si="63"/>
        <v>43.91</v>
      </c>
      <c r="F36" s="524">
        <f t="shared" si="64"/>
        <v>0</v>
      </c>
      <c r="G36" s="93">
        <f t="shared" si="65"/>
        <v>93.38</v>
      </c>
      <c r="H36" s="524">
        <f t="shared" si="66"/>
        <v>142</v>
      </c>
      <c r="I36" s="551">
        <f t="shared" si="56"/>
        <v>1.3152112676056338</v>
      </c>
      <c r="J36" s="93">
        <f t="shared" si="57"/>
        <v>2</v>
      </c>
      <c r="K36" s="556">
        <f t="shared" si="67"/>
        <v>1000.7399999999999</v>
      </c>
      <c r="L36" s="93">
        <f t="shared" si="68"/>
        <v>923.4</v>
      </c>
      <c r="M36" s="559">
        <f t="shared" si="58"/>
        <v>14.094929577464788</v>
      </c>
      <c r="N36" s="93">
        <f t="shared" si="59"/>
        <v>13.005633802816901</v>
      </c>
      <c r="O36" s="484"/>
      <c r="P36" s="547">
        <f t="shared" si="69"/>
        <v>147.54000000000002</v>
      </c>
      <c r="Q36" s="551">
        <f t="shared" si="60"/>
        <v>2.0780281690140847</v>
      </c>
      <c r="R36" s="556">
        <f t="shared" si="70"/>
        <v>996.92000000000007</v>
      </c>
      <c r="S36" s="559">
        <f t="shared" si="71"/>
        <v>14.041126760563381</v>
      </c>
      <c r="U36" s="1">
        <f t="shared" si="72"/>
        <v>71</v>
      </c>
      <c r="V36" s="1">
        <f t="shared" si="73"/>
        <v>56.800000000000004</v>
      </c>
      <c r="W36" s="1">
        <f t="shared" si="74"/>
        <v>99.4</v>
      </c>
      <c r="X36" s="1">
        <f t="shared" si="75"/>
        <v>99.4</v>
      </c>
      <c r="Y36" s="1">
        <f t="shared" si="76"/>
        <v>99.4</v>
      </c>
      <c r="Z36" s="1">
        <f t="shared" si="77"/>
        <v>99.4</v>
      </c>
      <c r="AA36" s="1">
        <f t="shared" si="78"/>
        <v>114</v>
      </c>
      <c r="AB36" s="1">
        <f t="shared" si="79"/>
        <v>142</v>
      </c>
      <c r="AC36" s="1">
        <f t="shared" si="80"/>
        <v>142</v>
      </c>
      <c r="AD36" s="1">
        <f t="shared" si="81"/>
        <v>199</v>
      </c>
      <c r="AE36" s="1">
        <f t="shared" si="82"/>
        <v>156</v>
      </c>
      <c r="AF36" s="1">
        <f t="shared" si="83"/>
        <v>142</v>
      </c>
    </row>
    <row r="37" spans="1:32" hidden="1" outlineLevel="1" x14ac:dyDescent="0.25">
      <c r="A37" s="528"/>
      <c r="B37" s="1">
        <v>10</v>
      </c>
      <c r="C37" s="523">
        <f t="shared" si="61"/>
        <v>19.100000000000001</v>
      </c>
      <c r="D37" s="524">
        <f t="shared" si="62"/>
        <v>13.41</v>
      </c>
      <c r="E37" s="524">
        <f t="shared" si="63"/>
        <v>0</v>
      </c>
      <c r="F37" s="524">
        <f t="shared" si="64"/>
        <v>0</v>
      </c>
      <c r="G37" s="93">
        <f t="shared" si="65"/>
        <v>13.41</v>
      </c>
      <c r="H37" s="524">
        <f t="shared" si="66"/>
        <v>36</v>
      </c>
      <c r="I37" s="551">
        <f t="shared" si="56"/>
        <v>0.70209424083769634</v>
      </c>
      <c r="J37" s="93">
        <f t="shared" si="57"/>
        <v>1.8848167539267013</v>
      </c>
      <c r="K37" s="556">
        <f t="shared" si="67"/>
        <v>259.04000000000002</v>
      </c>
      <c r="L37" s="93">
        <f t="shared" si="68"/>
        <v>235.31</v>
      </c>
      <c r="M37" s="559">
        <f t="shared" si="58"/>
        <v>13.562303664921465</v>
      </c>
      <c r="N37" s="93">
        <f t="shared" si="59"/>
        <v>12.319895287958115</v>
      </c>
      <c r="O37" s="484"/>
      <c r="P37" s="547">
        <f t="shared" si="69"/>
        <v>40.57</v>
      </c>
      <c r="Q37" s="551">
        <f t="shared" si="60"/>
        <v>2.1240837696335078</v>
      </c>
      <c r="R37" s="556">
        <f t="shared" si="70"/>
        <v>260.8</v>
      </c>
      <c r="S37" s="559">
        <f t="shared" si="71"/>
        <v>13.654450261780104</v>
      </c>
      <c r="U37" s="1">
        <f t="shared" si="72"/>
        <v>18.150000000000002</v>
      </c>
      <c r="V37" s="1">
        <f t="shared" si="73"/>
        <v>14.52</v>
      </c>
      <c r="W37" s="1">
        <f t="shared" si="74"/>
        <v>25.410000000000004</v>
      </c>
      <c r="X37" s="1">
        <f t="shared" si="75"/>
        <v>25.410000000000004</v>
      </c>
      <c r="Y37" s="1">
        <f t="shared" si="76"/>
        <v>25.410000000000004</v>
      </c>
      <c r="Z37" s="1">
        <f t="shared" si="77"/>
        <v>25.410000000000004</v>
      </c>
      <c r="AA37" s="1">
        <f t="shared" si="78"/>
        <v>29</v>
      </c>
      <c r="AB37" s="1">
        <f t="shared" si="79"/>
        <v>36</v>
      </c>
      <c r="AC37" s="1">
        <f t="shared" si="80"/>
        <v>36</v>
      </c>
      <c r="AD37" s="1">
        <f t="shared" si="81"/>
        <v>51</v>
      </c>
      <c r="AE37" s="1">
        <f t="shared" si="82"/>
        <v>40</v>
      </c>
      <c r="AF37" s="1">
        <f t="shared" si="83"/>
        <v>36</v>
      </c>
    </row>
    <row r="38" spans="1:32" hidden="1" outlineLevel="1" x14ac:dyDescent="0.25">
      <c r="A38" s="528"/>
      <c r="B38" s="1">
        <v>13</v>
      </c>
      <c r="C38" s="523">
        <f t="shared" si="61"/>
        <v>60.8</v>
      </c>
      <c r="D38" s="524">
        <f t="shared" si="62"/>
        <v>59.580000000000005</v>
      </c>
      <c r="E38" s="524">
        <f t="shared" si="63"/>
        <v>53.370000000000005</v>
      </c>
      <c r="F38" s="524">
        <f t="shared" si="64"/>
        <v>0</v>
      </c>
      <c r="G38" s="93">
        <f t="shared" si="65"/>
        <v>112.95000000000002</v>
      </c>
      <c r="H38" s="524">
        <f t="shared" si="66"/>
        <v>134</v>
      </c>
      <c r="I38" s="551">
        <f t="shared" si="56"/>
        <v>1.8577302631578951</v>
      </c>
      <c r="J38" s="93">
        <f t="shared" si="57"/>
        <v>2.2039473684210527</v>
      </c>
      <c r="K38" s="556">
        <f t="shared" si="67"/>
        <v>1038.9000000000001</v>
      </c>
      <c r="L38" s="93">
        <f t="shared" si="68"/>
        <v>870.06000000000017</v>
      </c>
      <c r="M38" s="559">
        <f t="shared" si="58"/>
        <v>17.087171052631582</v>
      </c>
      <c r="N38" s="93">
        <f t="shared" si="59"/>
        <v>14.310197368421056</v>
      </c>
      <c r="O38" s="484"/>
      <c r="P38" s="547">
        <f t="shared" si="69"/>
        <v>80.66</v>
      </c>
      <c r="Q38" s="551">
        <f t="shared" si="60"/>
        <v>1.3266447368421053</v>
      </c>
      <c r="R38" s="556">
        <f t="shared" si="70"/>
        <v>998.85899999999992</v>
      </c>
      <c r="S38" s="559">
        <f t="shared" si="71"/>
        <v>16.428601973684209</v>
      </c>
      <c r="U38" s="1">
        <f t="shared" si="72"/>
        <v>66.900000000000006</v>
      </c>
      <c r="V38" s="1">
        <f t="shared" si="73"/>
        <v>53.52</v>
      </c>
      <c r="W38" s="1">
        <f t="shared" si="74"/>
        <v>93.660000000000011</v>
      </c>
      <c r="X38" s="1">
        <f t="shared" si="75"/>
        <v>93.660000000000011</v>
      </c>
      <c r="Y38" s="1">
        <f t="shared" si="76"/>
        <v>93.660000000000011</v>
      </c>
      <c r="Z38" s="1">
        <f t="shared" si="77"/>
        <v>93.660000000000011</v>
      </c>
      <c r="AA38" s="1">
        <f t="shared" si="78"/>
        <v>107</v>
      </c>
      <c r="AB38" s="1">
        <f t="shared" si="79"/>
        <v>134</v>
      </c>
      <c r="AC38" s="1">
        <f t="shared" si="80"/>
        <v>134</v>
      </c>
      <c r="AD38" s="1">
        <f t="shared" si="81"/>
        <v>187</v>
      </c>
      <c r="AE38" s="1">
        <f t="shared" si="82"/>
        <v>147</v>
      </c>
      <c r="AF38" s="1">
        <f t="shared" si="83"/>
        <v>134</v>
      </c>
    </row>
    <row r="39" spans="1:32" hidden="1" outlineLevel="1" x14ac:dyDescent="0.25">
      <c r="A39" s="528"/>
      <c r="B39" s="1">
        <v>18</v>
      </c>
      <c r="C39" s="523">
        <f t="shared" si="61"/>
        <v>40.799999999999997</v>
      </c>
      <c r="D39" s="524">
        <f t="shared" si="62"/>
        <v>45.21</v>
      </c>
      <c r="E39" s="524">
        <f t="shared" si="63"/>
        <v>40.72</v>
      </c>
      <c r="F39" s="524">
        <f t="shared" si="64"/>
        <v>0</v>
      </c>
      <c r="G39" s="93">
        <f t="shared" si="65"/>
        <v>85.93</v>
      </c>
      <c r="H39" s="524">
        <f t="shared" si="66"/>
        <v>90</v>
      </c>
      <c r="I39" s="551">
        <f t="shared" si="56"/>
        <v>2.1061274509803924</v>
      </c>
      <c r="J39" s="93">
        <f t="shared" si="57"/>
        <v>2.2058823529411766</v>
      </c>
      <c r="K39" s="556">
        <f t="shared" si="67"/>
        <v>800.71</v>
      </c>
      <c r="L39" s="93">
        <f t="shared" si="68"/>
        <v>584.26</v>
      </c>
      <c r="M39" s="559">
        <f t="shared" si="58"/>
        <v>19.625245098039219</v>
      </c>
      <c r="N39" s="93">
        <f t="shared" si="59"/>
        <v>14.320098039215686</v>
      </c>
      <c r="O39" s="484"/>
      <c r="P39" s="547">
        <f t="shared" si="69"/>
        <v>79.039999999999992</v>
      </c>
      <c r="Q39" s="551">
        <f t="shared" si="60"/>
        <v>1.9372549019607843</v>
      </c>
      <c r="R39" s="556">
        <f t="shared" si="70"/>
        <v>737.08</v>
      </c>
      <c r="S39" s="559">
        <f t="shared" si="71"/>
        <v>18.065686274509805</v>
      </c>
      <c r="U39" s="1">
        <f t="shared" si="72"/>
        <v>44.900000000000006</v>
      </c>
      <c r="V39" s="1">
        <f t="shared" si="73"/>
        <v>35.92</v>
      </c>
      <c r="W39" s="1">
        <f t="shared" si="74"/>
        <v>62.860000000000007</v>
      </c>
      <c r="X39" s="1">
        <f t="shared" si="75"/>
        <v>62.860000000000007</v>
      </c>
      <c r="Y39" s="1">
        <f t="shared" si="76"/>
        <v>62.860000000000007</v>
      </c>
      <c r="Z39" s="1">
        <f t="shared" si="77"/>
        <v>62.860000000000007</v>
      </c>
      <c r="AA39" s="1">
        <f t="shared" si="78"/>
        <v>72</v>
      </c>
      <c r="AB39" s="1">
        <f t="shared" si="79"/>
        <v>90</v>
      </c>
      <c r="AC39" s="1">
        <f t="shared" si="80"/>
        <v>90</v>
      </c>
      <c r="AD39" s="1">
        <f t="shared" si="81"/>
        <v>126</v>
      </c>
      <c r="AE39" s="1">
        <f t="shared" si="82"/>
        <v>99</v>
      </c>
      <c r="AF39" s="1">
        <f t="shared" si="83"/>
        <v>90</v>
      </c>
    </row>
    <row r="40" spans="1:32" ht="15.75" hidden="1" outlineLevel="1" thickBot="1" x14ac:dyDescent="0.3">
      <c r="A40" s="483"/>
      <c r="B40" s="562"/>
      <c r="C40" s="563"/>
      <c r="D40" s="563"/>
      <c r="E40" s="563"/>
      <c r="F40" s="563"/>
      <c r="H40" s="563"/>
      <c r="I40" s="564"/>
      <c r="J40" s="564"/>
      <c r="K40" s="8"/>
      <c r="M40" s="8"/>
      <c r="N40" s="8"/>
      <c r="O40" s="8"/>
      <c r="P40" s="3"/>
      <c r="Q40" s="3"/>
      <c r="R40" s="3"/>
      <c r="S40" s="3"/>
    </row>
    <row r="41" spans="1:32" s="7" customFormat="1" ht="15.75" collapsed="1" thickBot="1" x14ac:dyDescent="0.3">
      <c r="A41" s="935" t="s">
        <v>68</v>
      </c>
      <c r="B41" s="936"/>
      <c r="C41" s="543">
        <f>'WENDERLINUS GANG '!B15</f>
        <v>196.73</v>
      </c>
      <c r="D41" s="537">
        <f>'WENDERLINUS GANG '!D15</f>
        <v>109.33999999999999</v>
      </c>
      <c r="E41" s="538">
        <f>'WENDERLINUS GANG '!E15</f>
        <v>62.099999999999994</v>
      </c>
      <c r="F41" s="538">
        <f>'WENDERLINUS GANG '!F15</f>
        <v>0</v>
      </c>
      <c r="G41" s="539">
        <f>SUM(D41:F41)</f>
        <v>171.44</v>
      </c>
      <c r="H41" s="540">
        <f>'WENDERLINUS GANG '!C15</f>
        <v>124</v>
      </c>
      <c r="I41" s="549">
        <f t="shared" ref="I41:I49" si="84">G41/C41</f>
        <v>0.87144817770548466</v>
      </c>
      <c r="J41" s="541">
        <f t="shared" ref="J41:J49" si="85">H41/C41</f>
        <v>0.63030549484064458</v>
      </c>
      <c r="K41" s="554">
        <f>SUM(K42:K49)</f>
        <v>2108.4700000000003</v>
      </c>
      <c r="L41" s="541">
        <f>ROUND(SUM(L42:L49),0)</f>
        <v>801</v>
      </c>
      <c r="M41" s="561">
        <f t="shared" ref="M41:M49" si="86">K41/C41</f>
        <v>10.717582473440759</v>
      </c>
      <c r="N41" s="541">
        <f t="shared" ref="N41:N49" si="87">L41/C41</f>
        <v>4.0715701723173892</v>
      </c>
      <c r="O41" s="542"/>
      <c r="P41" s="545">
        <f>SUM(P42:P49)</f>
        <v>128.59</v>
      </c>
      <c r="Q41" s="552">
        <f t="shared" ref="Q41:Q49" si="88">P41/C41</f>
        <v>0.65363696436740715</v>
      </c>
      <c r="R41" s="554">
        <f>SUM(R42:R49)</f>
        <v>1117.9829999999999</v>
      </c>
      <c r="S41" s="557">
        <f>R41/C41</f>
        <v>5.6828292583744222</v>
      </c>
      <c r="U41" s="7" t="s">
        <v>180</v>
      </c>
      <c r="V41" s="7" t="s">
        <v>181</v>
      </c>
      <c r="W41" s="7" t="s">
        <v>182</v>
      </c>
      <c r="X41" s="7" t="s">
        <v>183</v>
      </c>
      <c r="Y41" s="7" t="s">
        <v>184</v>
      </c>
      <c r="Z41" s="7" t="s">
        <v>185</v>
      </c>
      <c r="AA41" s="7" t="s">
        <v>186</v>
      </c>
      <c r="AB41" s="7" t="s">
        <v>187</v>
      </c>
      <c r="AC41" s="7" t="s">
        <v>188</v>
      </c>
      <c r="AD41" s="7" t="s">
        <v>189</v>
      </c>
      <c r="AE41" s="7" t="s">
        <v>190</v>
      </c>
      <c r="AF41" s="7" t="s">
        <v>191</v>
      </c>
    </row>
    <row r="42" spans="1:32" hidden="1" outlineLevel="1" x14ac:dyDescent="0.25">
      <c r="A42" s="528"/>
      <c r="B42" s="511">
        <v>25</v>
      </c>
      <c r="C42" s="529">
        <f t="shared" ref="C42:C49" si="89">VLOOKUP(B42,WENDERLINUS,2,FALSE)</f>
        <v>38.22</v>
      </c>
      <c r="D42" s="525">
        <f t="shared" ref="D42:D49" si="90">VLOOKUP(B42,WENDERLINUS,4,FALSE)</f>
        <v>12.27</v>
      </c>
      <c r="E42" s="525">
        <f t="shared" ref="E42:E49" si="91">VLOOKUP(B42,WENDERLINUS,5,FALSE)</f>
        <v>9.43</v>
      </c>
      <c r="F42" s="525">
        <f t="shared" ref="F42:F49" si="92">VLOOKUP(B42,WENDERLINUS,6,FALSE)</f>
        <v>0</v>
      </c>
      <c r="G42" s="526">
        <f t="shared" ref="G42:G48" si="93">SUM(D42:F42)</f>
        <v>21.7</v>
      </c>
      <c r="H42" s="525">
        <f t="shared" ref="H42:H49" si="94">VLOOKUP(B42,WENDERLINUS,3,FALSE)</f>
        <v>13</v>
      </c>
      <c r="I42" s="550">
        <f t="shared" si="84"/>
        <v>0.56776556776556775</v>
      </c>
      <c r="J42" s="526">
        <f t="shared" si="85"/>
        <v>0.3401360544217687</v>
      </c>
      <c r="K42" s="555">
        <f t="shared" ref="K42:K49" si="95">VLOOKUP(B42,year2022to23,311,FALSE)</f>
        <v>330.30999999999995</v>
      </c>
      <c r="L42" s="526">
        <f t="shared" ref="L42:L49" si="96">SUM(U42:AC42)</f>
        <v>86.580000000000013</v>
      </c>
      <c r="M42" s="558">
        <f t="shared" si="86"/>
        <v>8.6423338566195689</v>
      </c>
      <c r="N42" s="526">
        <f t="shared" si="87"/>
        <v>2.2653061224489801</v>
      </c>
      <c r="O42" s="484"/>
      <c r="P42" s="546">
        <f t="shared" ref="P42:P49" si="97">VLOOKUP(B42,year2022to23,232,FALSE)</f>
        <v>14.830000000000002</v>
      </c>
      <c r="Q42" s="550">
        <f t="shared" si="88"/>
        <v>0.38801674515960238</v>
      </c>
      <c r="R42" s="555">
        <f t="shared" ref="R42:R49" si="98">VLOOKUP(B42,year2022to23,249,FALSE)</f>
        <v>109.91000000000001</v>
      </c>
      <c r="S42" s="558">
        <f t="shared" ref="S42:S48" si="99">R42/C42</f>
        <v>2.8757195185766617</v>
      </c>
      <c r="U42" s="1">
        <f t="shared" ref="U42:U49" si="100">VLOOKUP(B42,ffbbudgettwofive,7,FALSE)</f>
        <v>6.7</v>
      </c>
      <c r="V42" s="1">
        <f t="shared" ref="V42:V49" si="101">VLOOKUP(B42,ffbbudgettwofive,8,FALSE)</f>
        <v>5.36</v>
      </c>
      <c r="W42" s="1">
        <f t="shared" ref="W42:W49" si="102">VLOOKUP(B42,ffbbudgettwofive,9,FALSE)</f>
        <v>9.3800000000000008</v>
      </c>
      <c r="X42" s="1">
        <f t="shared" ref="X42:X49" si="103">VLOOKUP(B42,ffbbudgettwofive,10,FALSE)</f>
        <v>9.3800000000000008</v>
      </c>
      <c r="Y42" s="1">
        <f t="shared" ref="Y42:Y49" si="104">VLOOKUP(B42,ffbbudgettwofive,11,FALSE)</f>
        <v>9.3800000000000008</v>
      </c>
      <c r="Z42" s="1">
        <f t="shared" ref="Z42:Z49" si="105">VLOOKUP(B42,ffbbudgettwofive,12,FALSE)</f>
        <v>9.3800000000000008</v>
      </c>
      <c r="AA42" s="1">
        <f t="shared" ref="AA42:AA49" si="106">VLOOKUP(B42,ffbbudgettwofive,13,FALSE)</f>
        <v>11</v>
      </c>
      <c r="AB42" s="1">
        <f t="shared" ref="AB42:AB49" si="107">VLOOKUP(B42,ffbbudgettwofive,14,FALSE)</f>
        <v>13</v>
      </c>
      <c r="AC42" s="1">
        <f t="shared" ref="AC42:AC49" si="108">VLOOKUP(B42,ffbbudgettwofive,15,FALSE)</f>
        <v>13</v>
      </c>
      <c r="AD42" s="1">
        <f t="shared" ref="AD42:AD49" si="109">VLOOKUP(B42,ffbbudgettwofive,16,FALSE)</f>
        <v>19</v>
      </c>
      <c r="AE42" s="1">
        <f t="shared" ref="AE42:AE49" si="110">VLOOKUP(B42,ffbbudgettwofive,17,FALSE)</f>
        <v>15</v>
      </c>
      <c r="AF42" s="1">
        <f t="shared" ref="AF42:AF49" si="111">VLOOKUP(B42,ffbbudgettwofive,18,FALSE)</f>
        <v>13</v>
      </c>
    </row>
    <row r="43" spans="1:32" hidden="1" outlineLevel="1" x14ac:dyDescent="0.25">
      <c r="A43" s="528"/>
      <c r="B43" s="1" t="s">
        <v>7</v>
      </c>
      <c r="C43" s="523">
        <f t="shared" si="89"/>
        <v>22.72</v>
      </c>
      <c r="D43" s="524">
        <f t="shared" si="90"/>
        <v>10.02</v>
      </c>
      <c r="E43" s="524">
        <f t="shared" si="91"/>
        <v>18.229999999999997</v>
      </c>
      <c r="F43" s="524">
        <f t="shared" si="92"/>
        <v>0</v>
      </c>
      <c r="G43" s="93">
        <f t="shared" si="93"/>
        <v>28.249999999999996</v>
      </c>
      <c r="H43" s="524">
        <f t="shared" si="94"/>
        <v>11</v>
      </c>
      <c r="I43" s="551">
        <f t="shared" si="84"/>
        <v>1.2433978873239435</v>
      </c>
      <c r="J43" s="93">
        <f t="shared" si="85"/>
        <v>0.48415492957746481</v>
      </c>
      <c r="K43" s="556">
        <f t="shared" si="95"/>
        <v>281.24</v>
      </c>
      <c r="L43" s="93">
        <f t="shared" si="96"/>
        <v>70.960000000000008</v>
      </c>
      <c r="M43" s="559">
        <f t="shared" si="86"/>
        <v>12.378521126760564</v>
      </c>
      <c r="N43" s="93">
        <f t="shared" si="87"/>
        <v>3.1232394366197189</v>
      </c>
      <c r="O43" s="484"/>
      <c r="P43" s="547">
        <f t="shared" si="97"/>
        <v>20.100000000000001</v>
      </c>
      <c r="Q43" s="551">
        <f t="shared" si="88"/>
        <v>0.88468309859154937</v>
      </c>
      <c r="R43" s="556">
        <f t="shared" si="98"/>
        <v>164.86</v>
      </c>
      <c r="S43" s="559">
        <f t="shared" si="99"/>
        <v>7.2561619718309869</v>
      </c>
      <c r="U43" s="1">
        <f t="shared" si="100"/>
        <v>5.4</v>
      </c>
      <c r="V43" s="1">
        <f t="shared" si="101"/>
        <v>4.32</v>
      </c>
      <c r="W43" s="1">
        <f t="shared" si="102"/>
        <v>7.5600000000000005</v>
      </c>
      <c r="X43" s="1">
        <f t="shared" si="103"/>
        <v>7.5600000000000005</v>
      </c>
      <c r="Y43" s="1">
        <f t="shared" si="104"/>
        <v>7.5600000000000005</v>
      </c>
      <c r="Z43" s="1">
        <f t="shared" si="105"/>
        <v>7.5600000000000005</v>
      </c>
      <c r="AA43" s="1">
        <f t="shared" si="106"/>
        <v>9</v>
      </c>
      <c r="AB43" s="1">
        <f t="shared" si="107"/>
        <v>11</v>
      </c>
      <c r="AC43" s="1">
        <f t="shared" si="108"/>
        <v>11</v>
      </c>
      <c r="AD43" s="1">
        <f t="shared" si="109"/>
        <v>15</v>
      </c>
      <c r="AE43" s="1">
        <f t="shared" si="110"/>
        <v>12</v>
      </c>
      <c r="AF43" s="1">
        <f t="shared" si="111"/>
        <v>11</v>
      </c>
    </row>
    <row r="44" spans="1:32" hidden="1" outlineLevel="1" x14ac:dyDescent="0.25">
      <c r="A44" s="528"/>
      <c r="B44" s="1">
        <v>27</v>
      </c>
      <c r="C44" s="523">
        <f t="shared" si="89"/>
        <v>18.64</v>
      </c>
      <c r="D44" s="524">
        <f t="shared" si="90"/>
        <v>10</v>
      </c>
      <c r="E44" s="524">
        <f t="shared" si="91"/>
        <v>9</v>
      </c>
      <c r="F44" s="524">
        <f t="shared" si="92"/>
        <v>0</v>
      </c>
      <c r="G44" s="93">
        <f t="shared" si="93"/>
        <v>19</v>
      </c>
      <c r="H44" s="524">
        <f t="shared" si="94"/>
        <v>9</v>
      </c>
      <c r="I44" s="551">
        <f t="shared" si="84"/>
        <v>1.0193133047210301</v>
      </c>
      <c r="J44" s="93">
        <f t="shared" si="85"/>
        <v>0.48283261802575106</v>
      </c>
      <c r="K44" s="556">
        <f t="shared" si="95"/>
        <v>191.64000000000001</v>
      </c>
      <c r="L44" s="93">
        <f t="shared" si="96"/>
        <v>56.82</v>
      </c>
      <c r="M44" s="559">
        <f t="shared" si="86"/>
        <v>10.281115879828327</v>
      </c>
      <c r="N44" s="93">
        <f t="shared" si="87"/>
        <v>3.0482832618025753</v>
      </c>
      <c r="O44" s="484"/>
      <c r="P44" s="547">
        <f t="shared" si="97"/>
        <v>9.49</v>
      </c>
      <c r="Q44" s="551">
        <f t="shared" si="88"/>
        <v>0.50912017167381973</v>
      </c>
      <c r="R44" s="556">
        <f t="shared" si="98"/>
        <v>109.13</v>
      </c>
      <c r="S44" s="559">
        <f t="shared" si="99"/>
        <v>5.8546137339055786</v>
      </c>
      <c r="U44" s="1">
        <f t="shared" si="100"/>
        <v>4.3</v>
      </c>
      <c r="V44" s="1">
        <f t="shared" si="101"/>
        <v>3.44</v>
      </c>
      <c r="W44" s="1">
        <f t="shared" si="102"/>
        <v>6.0200000000000005</v>
      </c>
      <c r="X44" s="1">
        <f t="shared" si="103"/>
        <v>6.0200000000000005</v>
      </c>
      <c r="Y44" s="1">
        <f t="shared" si="104"/>
        <v>6.0200000000000005</v>
      </c>
      <c r="Z44" s="1">
        <f t="shared" si="105"/>
        <v>6.0200000000000005</v>
      </c>
      <c r="AA44" s="1">
        <f t="shared" si="106"/>
        <v>7</v>
      </c>
      <c r="AB44" s="1">
        <f t="shared" si="107"/>
        <v>9</v>
      </c>
      <c r="AC44" s="1">
        <f t="shared" si="108"/>
        <v>9</v>
      </c>
      <c r="AD44" s="1">
        <f t="shared" si="109"/>
        <v>12</v>
      </c>
      <c r="AE44" s="1">
        <f t="shared" si="110"/>
        <v>9</v>
      </c>
      <c r="AF44" s="1">
        <f t="shared" si="111"/>
        <v>9</v>
      </c>
    </row>
    <row r="45" spans="1:32" hidden="1" outlineLevel="1" x14ac:dyDescent="0.25">
      <c r="A45" s="528"/>
      <c r="B45" s="1">
        <v>28</v>
      </c>
      <c r="C45" s="523">
        <f t="shared" si="89"/>
        <v>25.5</v>
      </c>
      <c r="D45" s="524">
        <f t="shared" si="90"/>
        <v>23.75</v>
      </c>
      <c r="E45" s="524">
        <f t="shared" si="91"/>
        <v>0</v>
      </c>
      <c r="F45" s="524">
        <f t="shared" si="92"/>
        <v>0</v>
      </c>
      <c r="G45" s="93">
        <f t="shared" si="93"/>
        <v>23.75</v>
      </c>
      <c r="H45" s="524">
        <f t="shared" si="94"/>
        <v>26</v>
      </c>
      <c r="I45" s="551">
        <f t="shared" si="84"/>
        <v>0.93137254901960786</v>
      </c>
      <c r="J45" s="93">
        <f t="shared" si="85"/>
        <v>1.0196078431372548</v>
      </c>
      <c r="K45" s="556">
        <f t="shared" si="95"/>
        <v>331.57000000000005</v>
      </c>
      <c r="L45" s="93">
        <f t="shared" si="96"/>
        <v>167.72000000000003</v>
      </c>
      <c r="M45" s="559">
        <f t="shared" si="86"/>
        <v>13.002745098039219</v>
      </c>
      <c r="N45" s="93">
        <f t="shared" si="87"/>
        <v>6.5772549019607851</v>
      </c>
      <c r="O45" s="484"/>
      <c r="P45" s="547">
        <f t="shared" si="97"/>
        <v>23.700000000000003</v>
      </c>
      <c r="Q45" s="551">
        <f t="shared" si="88"/>
        <v>0.92941176470588249</v>
      </c>
      <c r="R45" s="556">
        <f t="shared" si="98"/>
        <v>249.42999999999995</v>
      </c>
      <c r="S45" s="559">
        <f t="shared" si="99"/>
        <v>9.7815686274509783</v>
      </c>
      <c r="U45" s="1">
        <f t="shared" si="100"/>
        <v>12.8</v>
      </c>
      <c r="V45" s="1">
        <f t="shared" si="101"/>
        <v>10.24</v>
      </c>
      <c r="W45" s="1">
        <f t="shared" si="102"/>
        <v>17.920000000000002</v>
      </c>
      <c r="X45" s="1">
        <f t="shared" si="103"/>
        <v>17.920000000000002</v>
      </c>
      <c r="Y45" s="1">
        <f t="shared" si="104"/>
        <v>17.920000000000002</v>
      </c>
      <c r="Z45" s="1">
        <f t="shared" si="105"/>
        <v>17.920000000000002</v>
      </c>
      <c r="AA45" s="1">
        <f t="shared" si="106"/>
        <v>21</v>
      </c>
      <c r="AB45" s="1">
        <f t="shared" si="107"/>
        <v>26</v>
      </c>
      <c r="AC45" s="1">
        <f t="shared" si="108"/>
        <v>26</v>
      </c>
      <c r="AD45" s="1">
        <f t="shared" si="109"/>
        <v>36</v>
      </c>
      <c r="AE45" s="1">
        <f t="shared" si="110"/>
        <v>28</v>
      </c>
      <c r="AF45" s="1">
        <f t="shared" si="111"/>
        <v>26</v>
      </c>
    </row>
    <row r="46" spans="1:32" hidden="1" outlineLevel="1" x14ac:dyDescent="0.25">
      <c r="A46" s="528"/>
      <c r="B46" s="1">
        <v>30</v>
      </c>
      <c r="C46" s="523">
        <f t="shared" si="89"/>
        <v>24.35</v>
      </c>
      <c r="D46" s="524">
        <f t="shared" si="90"/>
        <v>12.309999999999999</v>
      </c>
      <c r="E46" s="524">
        <f t="shared" si="91"/>
        <v>0</v>
      </c>
      <c r="F46" s="524">
        <f t="shared" si="92"/>
        <v>0</v>
      </c>
      <c r="G46" s="93">
        <f t="shared" si="93"/>
        <v>12.309999999999999</v>
      </c>
      <c r="H46" s="524">
        <f t="shared" si="94"/>
        <v>7</v>
      </c>
      <c r="I46" s="551">
        <f t="shared" si="84"/>
        <v>0.50554414784394242</v>
      </c>
      <c r="J46" s="93">
        <f t="shared" si="85"/>
        <v>0.28747433264887062</v>
      </c>
      <c r="K46" s="556">
        <f t="shared" si="95"/>
        <v>222.79</v>
      </c>
      <c r="L46" s="93">
        <f t="shared" si="96"/>
        <v>47.379999999999995</v>
      </c>
      <c r="M46" s="559">
        <f t="shared" si="86"/>
        <v>9.1494866529774121</v>
      </c>
      <c r="N46" s="93">
        <f t="shared" si="87"/>
        <v>1.945790554414784</v>
      </c>
      <c r="O46" s="484"/>
      <c r="P46" s="547">
        <f t="shared" si="97"/>
        <v>4.17</v>
      </c>
      <c r="Q46" s="551">
        <f t="shared" si="88"/>
        <v>0.17125256673511291</v>
      </c>
      <c r="R46" s="556">
        <f t="shared" si="98"/>
        <v>43.88</v>
      </c>
      <c r="S46" s="559">
        <f t="shared" si="99"/>
        <v>1.8020533880903491</v>
      </c>
      <c r="U46" s="1">
        <f t="shared" si="100"/>
        <v>3.7</v>
      </c>
      <c r="V46" s="1">
        <f t="shared" si="101"/>
        <v>2.96</v>
      </c>
      <c r="W46" s="1">
        <f t="shared" si="102"/>
        <v>5.1800000000000006</v>
      </c>
      <c r="X46" s="1">
        <f t="shared" si="103"/>
        <v>5.1800000000000006</v>
      </c>
      <c r="Y46" s="1">
        <f t="shared" si="104"/>
        <v>5.1800000000000006</v>
      </c>
      <c r="Z46" s="1">
        <f t="shared" si="105"/>
        <v>5.1800000000000006</v>
      </c>
      <c r="AA46" s="1">
        <f t="shared" si="106"/>
        <v>6</v>
      </c>
      <c r="AB46" s="1">
        <f t="shared" si="107"/>
        <v>7</v>
      </c>
      <c r="AC46" s="1">
        <f t="shared" si="108"/>
        <v>7</v>
      </c>
      <c r="AD46" s="1">
        <f t="shared" si="109"/>
        <v>10</v>
      </c>
      <c r="AE46" s="1">
        <f t="shared" si="110"/>
        <v>8</v>
      </c>
      <c r="AF46" s="1">
        <f t="shared" si="111"/>
        <v>7</v>
      </c>
    </row>
    <row r="47" spans="1:32" hidden="1" outlineLevel="1" x14ac:dyDescent="0.25">
      <c r="A47" s="528"/>
      <c r="B47" s="1">
        <v>31</v>
      </c>
      <c r="C47" s="523">
        <f t="shared" si="89"/>
        <v>34.08</v>
      </c>
      <c r="D47" s="524">
        <f t="shared" si="90"/>
        <v>14.02</v>
      </c>
      <c r="E47" s="524">
        <f t="shared" si="91"/>
        <v>0</v>
      </c>
      <c r="F47" s="524">
        <f t="shared" si="92"/>
        <v>0</v>
      </c>
      <c r="G47" s="93">
        <f t="shared" si="93"/>
        <v>14.02</v>
      </c>
      <c r="H47" s="524">
        <f t="shared" si="94"/>
        <v>12</v>
      </c>
      <c r="I47" s="551">
        <f t="shared" si="84"/>
        <v>0.41138497652582162</v>
      </c>
      <c r="J47" s="93">
        <f t="shared" si="85"/>
        <v>0.35211267605633806</v>
      </c>
      <c r="K47" s="556">
        <f t="shared" si="95"/>
        <v>233.18999999999997</v>
      </c>
      <c r="L47" s="93">
        <f t="shared" si="96"/>
        <v>75.92</v>
      </c>
      <c r="M47" s="559">
        <f t="shared" si="86"/>
        <v>6.8424295774647881</v>
      </c>
      <c r="N47" s="93">
        <f t="shared" si="87"/>
        <v>2.227699530516432</v>
      </c>
      <c r="O47" s="484"/>
      <c r="P47" s="547">
        <f t="shared" si="97"/>
        <v>5.76</v>
      </c>
      <c r="Q47" s="551">
        <f t="shared" si="88"/>
        <v>0.16901408450704225</v>
      </c>
      <c r="R47" s="556">
        <f t="shared" si="98"/>
        <v>51.332999999999998</v>
      </c>
      <c r="S47" s="559">
        <f t="shared" si="99"/>
        <v>1.5062500000000001</v>
      </c>
      <c r="U47" s="1">
        <f t="shared" si="100"/>
        <v>5.8000000000000007</v>
      </c>
      <c r="V47" s="1">
        <f t="shared" si="101"/>
        <v>4.6399999999999997</v>
      </c>
      <c r="W47" s="1">
        <f t="shared" si="102"/>
        <v>8.120000000000001</v>
      </c>
      <c r="X47" s="1">
        <f t="shared" si="103"/>
        <v>8.120000000000001</v>
      </c>
      <c r="Y47" s="1">
        <f t="shared" si="104"/>
        <v>8.120000000000001</v>
      </c>
      <c r="Z47" s="1">
        <f t="shared" si="105"/>
        <v>8.120000000000001</v>
      </c>
      <c r="AA47" s="1">
        <f t="shared" si="106"/>
        <v>9</v>
      </c>
      <c r="AB47" s="1">
        <f t="shared" si="107"/>
        <v>12</v>
      </c>
      <c r="AC47" s="1">
        <f t="shared" si="108"/>
        <v>12</v>
      </c>
      <c r="AD47" s="1">
        <f t="shared" si="109"/>
        <v>16</v>
      </c>
      <c r="AE47" s="1">
        <f t="shared" si="110"/>
        <v>13</v>
      </c>
      <c r="AF47" s="1">
        <f t="shared" si="111"/>
        <v>12</v>
      </c>
    </row>
    <row r="48" spans="1:32" hidden="1" outlineLevel="1" x14ac:dyDescent="0.25">
      <c r="A48" s="528"/>
      <c r="B48" s="1">
        <v>33</v>
      </c>
      <c r="C48" s="523">
        <f t="shared" si="89"/>
        <v>28.72</v>
      </c>
      <c r="D48" s="524">
        <f t="shared" si="90"/>
        <v>24.580000000000002</v>
      </c>
      <c r="E48" s="524">
        <f t="shared" si="91"/>
        <v>25.439999999999998</v>
      </c>
      <c r="F48" s="524">
        <f t="shared" si="92"/>
        <v>0</v>
      </c>
      <c r="G48" s="93">
        <f t="shared" si="93"/>
        <v>50.019999999999996</v>
      </c>
      <c r="H48" s="524">
        <f t="shared" si="94"/>
        <v>43</v>
      </c>
      <c r="I48" s="551">
        <f t="shared" si="84"/>
        <v>1.7416434540389971</v>
      </c>
      <c r="J48" s="93">
        <f t="shared" si="85"/>
        <v>1.4972144846796658</v>
      </c>
      <c r="K48" s="556">
        <f t="shared" si="95"/>
        <v>478.1</v>
      </c>
      <c r="L48" s="93">
        <f t="shared" si="96"/>
        <v>279.47000000000003</v>
      </c>
      <c r="M48" s="559">
        <f t="shared" si="86"/>
        <v>16.646935933147635</v>
      </c>
      <c r="N48" s="93">
        <f t="shared" si="87"/>
        <v>9.7308495821727039</v>
      </c>
      <c r="O48" s="484"/>
      <c r="P48" s="547">
        <f t="shared" si="97"/>
        <v>45.85</v>
      </c>
      <c r="Q48" s="551">
        <f t="shared" si="88"/>
        <v>1.596448467966574</v>
      </c>
      <c r="R48" s="556">
        <f t="shared" si="98"/>
        <v>359.20000000000005</v>
      </c>
      <c r="S48" s="559">
        <f t="shared" si="99"/>
        <v>12.506963788300837</v>
      </c>
      <c r="U48" s="1">
        <f t="shared" si="100"/>
        <v>21.55</v>
      </c>
      <c r="V48" s="1">
        <f t="shared" si="101"/>
        <v>17.240000000000002</v>
      </c>
      <c r="W48" s="1">
        <f t="shared" si="102"/>
        <v>30.17</v>
      </c>
      <c r="X48" s="1">
        <f t="shared" si="103"/>
        <v>30.17</v>
      </c>
      <c r="Y48" s="1">
        <f t="shared" si="104"/>
        <v>30.17</v>
      </c>
      <c r="Z48" s="1">
        <f t="shared" si="105"/>
        <v>30.17</v>
      </c>
      <c r="AA48" s="1">
        <f t="shared" si="106"/>
        <v>34</v>
      </c>
      <c r="AB48" s="1">
        <f t="shared" si="107"/>
        <v>43</v>
      </c>
      <c r="AC48" s="1">
        <f t="shared" si="108"/>
        <v>43</v>
      </c>
      <c r="AD48" s="1">
        <f t="shared" si="109"/>
        <v>60</v>
      </c>
      <c r="AE48" s="1">
        <f t="shared" si="110"/>
        <v>47</v>
      </c>
      <c r="AF48" s="1">
        <f t="shared" si="111"/>
        <v>43</v>
      </c>
    </row>
    <row r="49" spans="1:32" hidden="1" outlineLevel="1" x14ac:dyDescent="0.25">
      <c r="A49" s="528"/>
      <c r="B49" s="1">
        <v>39</v>
      </c>
      <c r="C49" s="523">
        <f t="shared" si="89"/>
        <v>4.5</v>
      </c>
      <c r="D49" s="524">
        <f t="shared" si="90"/>
        <v>2.39</v>
      </c>
      <c r="E49" s="524">
        <f t="shared" si="91"/>
        <v>0</v>
      </c>
      <c r="F49" s="524">
        <f t="shared" si="92"/>
        <v>0</v>
      </c>
      <c r="G49" s="93">
        <f>SUM(D49:F49)</f>
        <v>2.39</v>
      </c>
      <c r="H49" s="524">
        <f t="shared" si="94"/>
        <v>3</v>
      </c>
      <c r="I49" s="551">
        <f t="shared" si="84"/>
        <v>0.53111111111111109</v>
      </c>
      <c r="J49" s="93">
        <f t="shared" si="85"/>
        <v>0.66666666666666663</v>
      </c>
      <c r="K49" s="556">
        <f t="shared" si="95"/>
        <v>39.630000000000003</v>
      </c>
      <c r="L49" s="93">
        <f t="shared" si="96"/>
        <v>15.990000000000002</v>
      </c>
      <c r="M49" s="559">
        <f t="shared" si="86"/>
        <v>8.8066666666666666</v>
      </c>
      <c r="N49" s="93">
        <f t="shared" si="87"/>
        <v>3.5533333333333337</v>
      </c>
      <c r="O49" s="484"/>
      <c r="P49" s="547">
        <f t="shared" si="97"/>
        <v>4.6899999999999995</v>
      </c>
      <c r="Q49" s="551">
        <f t="shared" si="88"/>
        <v>1.0422222222222222</v>
      </c>
      <c r="R49" s="556">
        <f t="shared" si="98"/>
        <v>30.240000000000002</v>
      </c>
      <c r="S49" s="559">
        <f>R49/C49</f>
        <v>6.7200000000000006</v>
      </c>
      <c r="U49" s="1">
        <f t="shared" si="100"/>
        <v>0.35000000000000009</v>
      </c>
      <c r="V49" s="1">
        <f t="shared" si="101"/>
        <v>8.0000000000000071E-2</v>
      </c>
      <c r="W49" s="1">
        <f t="shared" si="102"/>
        <v>1.8900000000000001</v>
      </c>
      <c r="X49" s="1">
        <f t="shared" si="103"/>
        <v>1.8900000000000001</v>
      </c>
      <c r="Y49" s="1">
        <f t="shared" si="104"/>
        <v>1.8900000000000001</v>
      </c>
      <c r="Z49" s="1">
        <f t="shared" si="105"/>
        <v>1.8900000000000001</v>
      </c>
      <c r="AA49" s="1">
        <f t="shared" si="106"/>
        <v>2</v>
      </c>
      <c r="AB49" s="1">
        <f t="shared" si="107"/>
        <v>3</v>
      </c>
      <c r="AC49" s="1">
        <f t="shared" si="108"/>
        <v>3</v>
      </c>
      <c r="AD49" s="1">
        <f t="shared" si="109"/>
        <v>4</v>
      </c>
      <c r="AE49" s="1">
        <f t="shared" si="110"/>
        <v>3</v>
      </c>
      <c r="AF49" s="1">
        <f t="shared" si="111"/>
        <v>3</v>
      </c>
    </row>
    <row r="50" spans="1:32" ht="15.75" hidden="1" outlineLevel="1" thickBot="1" x14ac:dyDescent="0.3">
      <c r="A50" s="483"/>
      <c r="B50" s="562"/>
      <c r="C50" s="563"/>
      <c r="D50" s="563"/>
      <c r="E50" s="563"/>
      <c r="F50" s="563"/>
      <c r="H50" s="563"/>
      <c r="I50" s="564"/>
      <c r="J50" s="564"/>
      <c r="K50" s="8"/>
      <c r="M50" s="8"/>
      <c r="N50" s="8"/>
      <c r="O50" s="8"/>
      <c r="P50" s="3"/>
      <c r="Q50" s="3"/>
      <c r="R50" s="3"/>
      <c r="S50" s="3"/>
    </row>
    <row r="51" spans="1:32" s="7" customFormat="1" ht="15.75" collapsed="1" thickBot="1" x14ac:dyDescent="0.3">
      <c r="A51" s="935" t="s">
        <v>8</v>
      </c>
      <c r="B51" s="936"/>
      <c r="C51" s="543">
        <f t="shared" ref="C51:H51" si="112">C6+C11+C20+C25+C33+C41</f>
        <v>1416.51</v>
      </c>
      <c r="D51" s="537">
        <f t="shared" si="112"/>
        <v>1311.06</v>
      </c>
      <c r="E51" s="538">
        <f t="shared" si="112"/>
        <v>659.65</v>
      </c>
      <c r="F51" s="538">
        <f t="shared" si="112"/>
        <v>0</v>
      </c>
      <c r="G51" s="539">
        <f t="shared" si="112"/>
        <v>1970.71</v>
      </c>
      <c r="H51" s="540">
        <f t="shared" si="112"/>
        <v>2591</v>
      </c>
      <c r="I51" s="549">
        <f>G51/C51</f>
        <v>1.3912432669024575</v>
      </c>
      <c r="J51" s="541">
        <f>H51/C51</f>
        <v>1.8291434582177324</v>
      </c>
      <c r="K51" s="554">
        <f>K6+K11+K20+K25+K33+K41</f>
        <v>21660.140000000003</v>
      </c>
      <c r="L51" s="541">
        <f>ROUND((L6+L11+L20+L25+L33+L41),0)-1</f>
        <v>16839</v>
      </c>
      <c r="M51" s="561">
        <f>K51/C51</f>
        <v>15.291201615237451</v>
      </c>
      <c r="N51" s="541">
        <f>L51/C51</f>
        <v>11.887667577355613</v>
      </c>
      <c r="O51" s="542"/>
      <c r="P51" s="545">
        <f>P6+P11+P20+P25+P33+P41</f>
        <v>2341.7800000000002</v>
      </c>
      <c r="Q51" s="552">
        <f>P51/C51</f>
        <v>1.6532040013836826</v>
      </c>
      <c r="R51" s="554">
        <f>R6+R11+R20+R25+R33+R41</f>
        <v>19489.853000000003</v>
      </c>
      <c r="S51" s="557">
        <f>R51/C51</f>
        <v>13.759064884822559</v>
      </c>
    </row>
    <row r="55" spans="1:32" ht="15.75" thickBot="1" x14ac:dyDescent="0.3">
      <c r="A55" s="474">
        <v>45870</v>
      </c>
      <c r="L55"/>
    </row>
    <row r="56" spans="1:32" s="7" customFormat="1" x14ac:dyDescent="0.25">
      <c r="B56" s="474"/>
      <c r="D56" s="924" t="s">
        <v>199</v>
      </c>
      <c r="E56" s="925"/>
      <c r="F56" s="925"/>
      <c r="G56" s="925"/>
      <c r="H56" s="926" t="s">
        <v>173</v>
      </c>
      <c r="I56" s="928" t="s">
        <v>176</v>
      </c>
      <c r="J56" s="929"/>
      <c r="K56" s="924" t="s">
        <v>177</v>
      </c>
      <c r="L56" s="930"/>
      <c r="M56" s="924" t="s">
        <v>179</v>
      </c>
      <c r="N56" s="930"/>
      <c r="R56" s="472"/>
      <c r="S56" s="472"/>
    </row>
    <row r="57" spans="1:32" ht="45.75" thickBot="1" x14ac:dyDescent="0.3">
      <c r="A57" s="931" t="s">
        <v>79</v>
      </c>
      <c r="B57" s="932"/>
      <c r="C57" s="530" t="s">
        <v>80</v>
      </c>
      <c r="D57" s="531" t="s">
        <v>170</v>
      </c>
      <c r="E57" s="532" t="s">
        <v>171</v>
      </c>
      <c r="F57" s="532" t="s">
        <v>172</v>
      </c>
      <c r="G57" s="544" t="s">
        <v>174</v>
      </c>
      <c r="H57" s="927"/>
      <c r="I57" s="548" t="s">
        <v>175</v>
      </c>
      <c r="J57" s="533" t="s">
        <v>178</v>
      </c>
      <c r="K57" s="553" t="s">
        <v>175</v>
      </c>
      <c r="L57" s="534" t="s">
        <v>178</v>
      </c>
      <c r="M57" s="560" t="s">
        <v>175</v>
      </c>
      <c r="N57" s="534" t="s">
        <v>178</v>
      </c>
      <c r="O57" s="519"/>
      <c r="P57" s="3"/>
      <c r="Q57" s="3"/>
    </row>
    <row r="58" spans="1:32" ht="48" customHeight="1" thickBot="1" x14ac:dyDescent="0.3">
      <c r="A58" s="937" t="s">
        <v>112</v>
      </c>
      <c r="B58" s="938"/>
      <c r="C58" s="536">
        <v>164</v>
      </c>
      <c r="D58" s="537">
        <v>139.84</v>
      </c>
      <c r="E58" s="538">
        <v>75.92</v>
      </c>
      <c r="F58" s="538">
        <v>0</v>
      </c>
      <c r="G58" s="539">
        <f>SUM(D58:F58)</f>
        <v>215.76</v>
      </c>
      <c r="H58" s="540">
        <v>266</v>
      </c>
      <c r="I58" s="549">
        <f>G58/C58</f>
        <v>1.3156097560975608</v>
      </c>
      <c r="J58" s="541">
        <f>H58/C58</f>
        <v>1.6219512195121952</v>
      </c>
      <c r="K58" s="554">
        <f>SUM(K59:K61)</f>
        <v>2493.81</v>
      </c>
      <c r="L58" s="541">
        <f>ROUND(SUM(L59:L61),0)</f>
        <v>1826</v>
      </c>
      <c r="M58" s="561">
        <f>K58/C58</f>
        <v>15.206158536585365</v>
      </c>
      <c r="N58" s="541">
        <f>L58/C58</f>
        <v>11.134146341463415</v>
      </c>
      <c r="O58" s="8"/>
      <c r="P58" s="3"/>
      <c r="Q58" s="3"/>
      <c r="R58" s="3"/>
      <c r="S58" s="3"/>
      <c r="U58" s="99" t="s">
        <v>180</v>
      </c>
      <c r="V58" s="99" t="s">
        <v>181</v>
      </c>
      <c r="W58" s="99" t="s">
        <v>182</v>
      </c>
      <c r="X58" s="99" t="s">
        <v>183</v>
      </c>
      <c r="Y58" s="99" t="s">
        <v>184</v>
      </c>
      <c r="Z58" s="99" t="s">
        <v>185</v>
      </c>
      <c r="AA58" s="99" t="s">
        <v>186</v>
      </c>
      <c r="AB58" s="99" t="s">
        <v>187</v>
      </c>
      <c r="AC58" s="99" t="s">
        <v>188</v>
      </c>
      <c r="AD58" s="99" t="s">
        <v>189</v>
      </c>
      <c r="AE58" s="99" t="s">
        <v>190</v>
      </c>
      <c r="AF58" s="99" t="s">
        <v>191</v>
      </c>
    </row>
    <row r="59" spans="1:32" hidden="1" outlineLevel="1" x14ac:dyDescent="0.25">
      <c r="A59" s="483"/>
      <c r="B59" s="535">
        <v>1</v>
      </c>
      <c r="C59" s="529">
        <f>VLOOKUP(B59,YUVENTUS,2,FALSE)</f>
        <v>53.2</v>
      </c>
      <c r="D59" s="525">
        <v>35.979999999999997</v>
      </c>
      <c r="E59" s="525">
        <v>29</v>
      </c>
      <c r="F59" s="525">
        <v>0</v>
      </c>
      <c r="G59" s="526">
        <f>SUM(D59:F59)</f>
        <v>64.97999999999999</v>
      </c>
      <c r="H59" s="525">
        <f>VLOOKUP(B59,YUVENTUS,3,FALSE)</f>
        <v>106</v>
      </c>
      <c r="I59" s="550">
        <f>G59/C59</f>
        <v>1.2214285714285711</v>
      </c>
      <c r="J59" s="526">
        <f>H59/C59</f>
        <v>1.9924812030075187</v>
      </c>
      <c r="K59" s="555">
        <f>VLOOKUP(B59,year2022to23,311,FALSE)-VLOOKUP(B59,year2022to23,289,FALSE)</f>
        <v>844.81</v>
      </c>
      <c r="L59" s="526">
        <f>SUM(U59:AB59)</f>
        <v>584.68000000000006</v>
      </c>
      <c r="M59" s="558">
        <f>K59/C59</f>
        <v>15.879887218045111</v>
      </c>
      <c r="N59" s="526">
        <f>L59/C59</f>
        <v>10.990225563909775</v>
      </c>
      <c r="O59" s="484"/>
      <c r="P59" s="3"/>
      <c r="Q59" s="3"/>
      <c r="R59" s="3"/>
      <c r="S59" s="3"/>
      <c r="U59" s="1">
        <f>VLOOKUP(B59,ffbbudgettwofive,7,FALSE)</f>
        <v>53.2</v>
      </c>
      <c r="V59" s="1">
        <f>VLOOKUP(B59,ffbbudgettwofive,8,FALSE)</f>
        <v>42.56</v>
      </c>
      <c r="W59" s="1">
        <f>VLOOKUP(B59,ffbbudgettwofive,9,FALSE)</f>
        <v>74.48</v>
      </c>
      <c r="X59" s="1">
        <f>VLOOKUP(B59,ffbbudgettwofive,10,FALSE)</f>
        <v>74.48</v>
      </c>
      <c r="Y59" s="1">
        <f>VLOOKUP(B59,ffbbudgettwofive,11,FALSE)</f>
        <v>74.48</v>
      </c>
      <c r="Z59" s="1">
        <f>VLOOKUP(B59,ffbbudgettwofive,12,FALSE)</f>
        <v>74.48</v>
      </c>
      <c r="AA59" s="1">
        <f>VLOOKUP(B59,ffbbudgettwofive,13,FALSE)</f>
        <v>85</v>
      </c>
      <c r="AB59" s="1">
        <f>VLOOKUP(B59,ffbbudgettwofive,14,FALSE)</f>
        <v>106</v>
      </c>
      <c r="AC59" s="1">
        <f>VLOOKUP(B59,ffbbudgettwofive,15,FALSE)</f>
        <v>106</v>
      </c>
      <c r="AD59" s="1">
        <f>VLOOKUP(B59,ffbbudgettwofive,16,FALSE)</f>
        <v>149</v>
      </c>
      <c r="AE59" s="1">
        <f>VLOOKUP(B59,ffbbudgettwofive,17,FALSE)</f>
        <v>117</v>
      </c>
      <c r="AF59" s="1">
        <f>VLOOKUP(B59,ffbbudgettwofive,18,FALSE)</f>
        <v>106</v>
      </c>
    </row>
    <row r="60" spans="1:32" hidden="1" outlineLevel="1" x14ac:dyDescent="0.25">
      <c r="A60" s="483"/>
      <c r="B60" s="100">
        <v>3</v>
      </c>
      <c r="C60" s="523">
        <f>VLOOKUP(B60,YUVENTUS,2,FALSE)</f>
        <v>69.2</v>
      </c>
      <c r="D60" s="524">
        <v>66.540000000000006</v>
      </c>
      <c r="E60" s="524">
        <v>25.79</v>
      </c>
      <c r="F60" s="524">
        <v>0</v>
      </c>
      <c r="G60" s="93">
        <f>SUM(D60:F60)</f>
        <v>92.330000000000013</v>
      </c>
      <c r="H60" s="524">
        <f>VLOOKUP(B60,YUVENTUS,3,FALSE)</f>
        <v>138</v>
      </c>
      <c r="I60" s="551">
        <f>G60/C60</f>
        <v>1.334248554913295</v>
      </c>
      <c r="J60" s="93">
        <f>H60/C60</f>
        <v>1.9942196531791907</v>
      </c>
      <c r="K60" s="556">
        <f>VLOOKUP(B60,year2022to23,311,FALSE)-VLOOKUP(B60,year2022to23,289,FALSE)</f>
        <v>993.42</v>
      </c>
      <c r="L60" s="93">
        <f>SUM(U60:AB60)</f>
        <v>761.08</v>
      </c>
      <c r="M60" s="559">
        <f>K60/C60</f>
        <v>14.355780346820808</v>
      </c>
      <c r="N60" s="93">
        <f>L60/C60</f>
        <v>10.998265895953757</v>
      </c>
      <c r="O60" s="484"/>
      <c r="P60" s="3"/>
      <c r="Q60" s="3"/>
      <c r="R60" s="3"/>
      <c r="S60" s="3"/>
      <c r="U60" s="1">
        <f>VLOOKUP(B60,ffbbudgettwofive,7,FALSE)</f>
        <v>69.2</v>
      </c>
      <c r="V60" s="1">
        <f>VLOOKUP(B60,ffbbudgettwofive,8,FALSE)</f>
        <v>55.36</v>
      </c>
      <c r="W60" s="1">
        <f>VLOOKUP(B60,ffbbudgettwofive,9,FALSE)</f>
        <v>96.88000000000001</v>
      </c>
      <c r="X60" s="1">
        <f>VLOOKUP(B60,ffbbudgettwofive,10,FALSE)</f>
        <v>96.88000000000001</v>
      </c>
      <c r="Y60" s="1">
        <f>VLOOKUP(B60,ffbbudgettwofive,11,FALSE)</f>
        <v>96.88000000000001</v>
      </c>
      <c r="Z60" s="1">
        <f>VLOOKUP(B60,ffbbudgettwofive,12,FALSE)</f>
        <v>96.88000000000001</v>
      </c>
      <c r="AA60" s="1">
        <f>VLOOKUP(B60,ffbbudgettwofive,13,FALSE)</f>
        <v>111</v>
      </c>
      <c r="AB60" s="1">
        <f>VLOOKUP(B60,ffbbudgettwofive,14,FALSE)</f>
        <v>138</v>
      </c>
      <c r="AC60" s="1">
        <f>VLOOKUP(B60,ffbbudgettwofive,15,FALSE)</f>
        <v>138</v>
      </c>
      <c r="AD60" s="1">
        <f>VLOOKUP(B60,ffbbudgettwofive,16,FALSE)</f>
        <v>194</v>
      </c>
      <c r="AE60" s="1">
        <f>VLOOKUP(B60,ffbbudgettwofive,17,FALSE)</f>
        <v>152</v>
      </c>
      <c r="AF60" s="1">
        <f>VLOOKUP(B60,ffbbudgettwofive,18,FALSE)</f>
        <v>138</v>
      </c>
    </row>
    <row r="61" spans="1:32" hidden="1" outlineLevel="1" x14ac:dyDescent="0.25">
      <c r="A61" s="483"/>
      <c r="B61" s="100">
        <v>14</v>
      </c>
      <c r="C61" s="523">
        <f>VLOOKUP(B61,YUVENTUS,2,FALSE)</f>
        <v>41.6</v>
      </c>
      <c r="D61" s="524">
        <v>37.32</v>
      </c>
      <c r="E61" s="524">
        <v>21.13</v>
      </c>
      <c r="F61" s="524">
        <v>0</v>
      </c>
      <c r="G61" s="93">
        <f>SUM(D61:F61)</f>
        <v>58.45</v>
      </c>
      <c r="H61" s="524">
        <f>VLOOKUP(B61,YUVENTUS,3,FALSE)</f>
        <v>87</v>
      </c>
      <c r="I61" s="551">
        <f>G61/C61</f>
        <v>1.4050480769230769</v>
      </c>
      <c r="J61" s="93">
        <f>H61/C61</f>
        <v>2.0913461538461537</v>
      </c>
      <c r="K61" s="556">
        <f>VLOOKUP(B61,year2022to23,311,FALSE)-VLOOKUP(B61,year2022to23,289,FALSE)</f>
        <v>655.57999999999993</v>
      </c>
      <c r="L61" s="93">
        <f>SUM(U61:AB61)</f>
        <v>480.38000000000005</v>
      </c>
      <c r="M61" s="559">
        <f>K61/C61</f>
        <v>15.759134615384614</v>
      </c>
      <c r="N61" s="93">
        <f>L61/C61</f>
        <v>11.547596153846154</v>
      </c>
      <c r="O61" s="484"/>
      <c r="P61" s="3"/>
      <c r="Q61" s="3"/>
      <c r="R61" s="3"/>
      <c r="S61" s="3"/>
      <c r="U61" s="1">
        <f>VLOOKUP(B61,ffbbudgettwofive,7,FALSE)</f>
        <v>43.7</v>
      </c>
      <c r="V61" s="1">
        <f>VLOOKUP(B61,ffbbudgettwofive,8,FALSE)</f>
        <v>34.96</v>
      </c>
      <c r="W61" s="1">
        <f>VLOOKUP(B61,ffbbudgettwofive,9,FALSE)</f>
        <v>61.180000000000007</v>
      </c>
      <c r="X61" s="1">
        <f>VLOOKUP(B61,ffbbudgettwofive,10,FALSE)</f>
        <v>61.180000000000007</v>
      </c>
      <c r="Y61" s="1">
        <f>VLOOKUP(B61,ffbbudgettwofive,11,FALSE)</f>
        <v>61.180000000000007</v>
      </c>
      <c r="Z61" s="1">
        <f>VLOOKUP(B61,ffbbudgettwofive,12,FALSE)</f>
        <v>61.180000000000007</v>
      </c>
      <c r="AA61" s="1">
        <f>VLOOKUP(B61,ffbbudgettwofive,13,FALSE)</f>
        <v>70</v>
      </c>
      <c r="AB61" s="1">
        <f>VLOOKUP(B61,ffbbudgettwofive,14,FALSE)</f>
        <v>87</v>
      </c>
      <c r="AC61" s="1">
        <f>VLOOKUP(B61,ffbbudgettwofive,15,FALSE)</f>
        <v>87</v>
      </c>
      <c r="AD61" s="1">
        <f>VLOOKUP(B61,ffbbudgettwofive,16,FALSE)</f>
        <v>122</v>
      </c>
      <c r="AE61" s="1">
        <f>VLOOKUP(B61,ffbbudgettwofive,17,FALSE)</f>
        <v>96</v>
      </c>
      <c r="AF61" s="1">
        <f>VLOOKUP(B61,ffbbudgettwofive,18,FALSE)</f>
        <v>87</v>
      </c>
    </row>
    <row r="62" spans="1:32" ht="15.75" hidden="1" outlineLevel="1" thickBot="1" x14ac:dyDescent="0.3">
      <c r="A62" s="483"/>
      <c r="B62" s="562"/>
      <c r="C62" s="563"/>
      <c r="D62" s="563"/>
      <c r="E62" s="563"/>
      <c r="F62" s="563"/>
      <c r="H62" s="563"/>
      <c r="I62" s="564"/>
      <c r="J62" s="564"/>
      <c r="K62" s="8"/>
      <c r="M62" s="8"/>
      <c r="N62" s="8"/>
      <c r="O62" s="8"/>
      <c r="P62" s="3"/>
      <c r="Q62" s="3"/>
      <c r="R62" s="3"/>
      <c r="S62" s="3"/>
    </row>
    <row r="63" spans="1:32" ht="15.75" collapsed="1" thickBot="1" x14ac:dyDescent="0.3">
      <c r="A63" s="935" t="s">
        <v>64</v>
      </c>
      <c r="B63" s="936"/>
      <c r="C63" s="543">
        <v>385.4</v>
      </c>
      <c r="D63" s="537">
        <v>260.93</v>
      </c>
      <c r="E63" s="538">
        <v>240.66</v>
      </c>
      <c r="F63" s="538">
        <v>57.88</v>
      </c>
      <c r="G63" s="539">
        <f>SUM(D63:F63)</f>
        <v>559.47</v>
      </c>
      <c r="H63" s="540">
        <v>654</v>
      </c>
      <c r="I63" s="549">
        <f t="shared" ref="I63:I70" si="113">G63/C63</f>
        <v>1.4516606123508045</v>
      </c>
      <c r="J63" s="541">
        <f t="shared" ref="J63:J70" si="114">H63/C63</f>
        <v>1.6969382459782045</v>
      </c>
      <c r="K63" s="554">
        <f>SUM(K64:K66)</f>
        <v>2276.41</v>
      </c>
      <c r="L63" s="541">
        <f>ROUND(SUM(L64:L66),0)</f>
        <v>1680</v>
      </c>
      <c r="M63" s="561">
        <f t="shared" ref="M63:M70" si="115">K63/C63</f>
        <v>5.9066165023352362</v>
      </c>
      <c r="N63" s="541">
        <f t="shared" ref="N63:N70" si="116">L63/C63</f>
        <v>4.3591074208614433</v>
      </c>
      <c r="O63" s="8"/>
      <c r="P63" s="3"/>
      <c r="Q63" s="3"/>
      <c r="R63" s="3"/>
      <c r="S63" s="3"/>
      <c r="U63" s="99" t="s">
        <v>180</v>
      </c>
      <c r="V63" s="99" t="s">
        <v>181</v>
      </c>
      <c r="W63" s="99" t="s">
        <v>182</v>
      </c>
      <c r="X63" s="99" t="s">
        <v>183</v>
      </c>
      <c r="Y63" s="99" t="s">
        <v>184</v>
      </c>
      <c r="Z63" s="99" t="s">
        <v>185</v>
      </c>
      <c r="AA63" s="99" t="s">
        <v>186</v>
      </c>
      <c r="AB63" s="99" t="s">
        <v>187</v>
      </c>
      <c r="AC63" s="99" t="s">
        <v>188</v>
      </c>
      <c r="AD63" s="99" t="s">
        <v>189</v>
      </c>
      <c r="AE63" s="99" t="s">
        <v>190</v>
      </c>
      <c r="AF63" s="99" t="s">
        <v>191</v>
      </c>
    </row>
    <row r="64" spans="1:32" hidden="1" outlineLevel="1" x14ac:dyDescent="0.25">
      <c r="A64" s="528"/>
      <c r="B64" s="511">
        <v>15</v>
      </c>
      <c r="C64" s="529">
        <f t="shared" ref="C64:C70" si="117">VLOOKUP(B64,DARSO,2,FALSE)</f>
        <v>49.3</v>
      </c>
      <c r="D64" s="525">
        <v>34.950000000000003</v>
      </c>
      <c r="E64" s="525">
        <v>16.77</v>
      </c>
      <c r="F64" s="525">
        <v>0</v>
      </c>
      <c r="G64" s="526">
        <f t="shared" ref="G64:G70" si="118">SUM(D64:F64)</f>
        <v>51.72</v>
      </c>
      <c r="H64" s="525">
        <f t="shared" ref="H64:H70" si="119">VLOOKUP(B64,DARSO,3,FALSE)</f>
        <v>99</v>
      </c>
      <c r="I64" s="550">
        <f t="shared" si="113"/>
        <v>1.0490872210953348</v>
      </c>
      <c r="J64" s="526">
        <f t="shared" si="114"/>
        <v>2.008113590263692</v>
      </c>
      <c r="K64" s="555">
        <f t="shared" ref="K64:K70" si="120">VLOOKUP(B64,year2022to23,311,FALSE)-VLOOKUP(B64,year2022to23,289,FALSE)</f>
        <v>725.17000000000007</v>
      </c>
      <c r="L64" s="526">
        <f t="shared" ref="L64:L70" si="121">SUM(U64:AB64)</f>
        <v>542.82000000000005</v>
      </c>
      <c r="M64" s="558">
        <f t="shared" si="115"/>
        <v>14.709330628803247</v>
      </c>
      <c r="N64" s="526">
        <f t="shared" si="116"/>
        <v>11.0105476673428</v>
      </c>
      <c r="O64" s="484"/>
      <c r="P64" s="3"/>
      <c r="Q64" s="3"/>
      <c r="R64" s="3"/>
      <c r="S64" s="3"/>
      <c r="U64" s="1">
        <f t="shared" ref="U64:U70" si="122">VLOOKUP(B64,ffbbudgettwofive,7,FALSE)</f>
        <v>49.300000000000004</v>
      </c>
      <c r="V64" s="1">
        <f t="shared" ref="V64:V70" si="123">VLOOKUP(B64,ffbbudgettwofive,8,FALSE)</f>
        <v>39.44</v>
      </c>
      <c r="W64" s="1">
        <f t="shared" ref="W64:W70" si="124">VLOOKUP(B64,ffbbudgettwofive,9,FALSE)</f>
        <v>69.02000000000001</v>
      </c>
      <c r="X64" s="1">
        <f t="shared" ref="X64:X70" si="125">VLOOKUP(B64,ffbbudgettwofive,10,FALSE)</f>
        <v>69.02000000000001</v>
      </c>
      <c r="Y64" s="1">
        <f t="shared" ref="Y64:Y70" si="126">VLOOKUP(B64,ffbbudgettwofive,11,FALSE)</f>
        <v>69.02000000000001</v>
      </c>
      <c r="Z64" s="1">
        <f t="shared" ref="Z64:Z70" si="127">VLOOKUP(B64,ffbbudgettwofive,12,FALSE)</f>
        <v>69.02000000000001</v>
      </c>
      <c r="AA64" s="1">
        <f t="shared" ref="AA64:AA70" si="128">VLOOKUP(B64,ffbbudgettwofive,13,FALSE)</f>
        <v>79</v>
      </c>
      <c r="AB64" s="1">
        <f t="shared" ref="AB64:AB70" si="129">VLOOKUP(B64,ffbbudgettwofive,14,FALSE)</f>
        <v>99</v>
      </c>
      <c r="AC64" s="1">
        <f t="shared" ref="AC64:AC70" si="130">VLOOKUP(B64,ffbbudgettwofive,15,FALSE)</f>
        <v>99</v>
      </c>
      <c r="AD64" s="1">
        <f t="shared" ref="AD64:AD70" si="131">VLOOKUP(B64,ffbbudgettwofive,16,FALSE)</f>
        <v>138</v>
      </c>
      <c r="AE64" s="1">
        <f t="shared" ref="AE64:AE70" si="132">VLOOKUP(B64,ffbbudgettwofive,17,FALSE)</f>
        <v>108</v>
      </c>
      <c r="AF64" s="1">
        <f t="shared" ref="AF64:AF70" si="133">VLOOKUP(B64,ffbbudgettwofive,18,FALSE)</f>
        <v>99</v>
      </c>
    </row>
    <row r="65" spans="1:32" hidden="1" outlineLevel="1" x14ac:dyDescent="0.25">
      <c r="A65" s="528"/>
      <c r="B65" s="1">
        <v>16</v>
      </c>
      <c r="C65" s="523">
        <f t="shared" si="117"/>
        <v>53.2</v>
      </c>
      <c r="D65" s="524">
        <v>41.16</v>
      </c>
      <c r="E65" s="524">
        <v>37.65</v>
      </c>
      <c r="F65" s="524">
        <v>0</v>
      </c>
      <c r="G65" s="93">
        <f t="shared" si="118"/>
        <v>78.81</v>
      </c>
      <c r="H65" s="524">
        <f t="shared" si="119"/>
        <v>106</v>
      </c>
      <c r="I65" s="551">
        <f t="shared" si="113"/>
        <v>1.4813909774436089</v>
      </c>
      <c r="J65" s="93">
        <f t="shared" si="114"/>
        <v>1.9924812030075187</v>
      </c>
      <c r="K65" s="556">
        <f t="shared" si="120"/>
        <v>821.86999999999989</v>
      </c>
      <c r="L65" s="93">
        <f t="shared" si="121"/>
        <v>584.68000000000006</v>
      </c>
      <c r="M65" s="559">
        <f t="shared" si="115"/>
        <v>15.448684210526313</v>
      </c>
      <c r="N65" s="93">
        <f t="shared" si="116"/>
        <v>10.990225563909775</v>
      </c>
      <c r="O65" s="484"/>
      <c r="P65" s="3"/>
      <c r="Q65" s="3"/>
      <c r="R65" s="3"/>
      <c r="S65" s="3"/>
      <c r="U65" s="1">
        <f t="shared" si="122"/>
        <v>53.2</v>
      </c>
      <c r="V65" s="1">
        <f t="shared" si="123"/>
        <v>42.56</v>
      </c>
      <c r="W65" s="1">
        <f t="shared" si="124"/>
        <v>74.48</v>
      </c>
      <c r="X65" s="1">
        <f t="shared" si="125"/>
        <v>74.48</v>
      </c>
      <c r="Y65" s="1">
        <f t="shared" si="126"/>
        <v>74.48</v>
      </c>
      <c r="Z65" s="1">
        <f t="shared" si="127"/>
        <v>74.48</v>
      </c>
      <c r="AA65" s="1">
        <f t="shared" si="128"/>
        <v>85</v>
      </c>
      <c r="AB65" s="1">
        <f t="shared" si="129"/>
        <v>106</v>
      </c>
      <c r="AC65" s="1">
        <f t="shared" si="130"/>
        <v>106</v>
      </c>
      <c r="AD65" s="1">
        <f t="shared" si="131"/>
        <v>149</v>
      </c>
      <c r="AE65" s="1">
        <f t="shared" si="132"/>
        <v>117</v>
      </c>
      <c r="AF65" s="1">
        <f t="shared" si="133"/>
        <v>106</v>
      </c>
    </row>
    <row r="66" spans="1:32" hidden="1" outlineLevel="1" x14ac:dyDescent="0.25">
      <c r="A66" s="528"/>
      <c r="B66" s="1">
        <v>17</v>
      </c>
      <c r="C66" s="523">
        <f t="shared" si="117"/>
        <v>45.7</v>
      </c>
      <c r="D66" s="524">
        <v>33.549999999999997</v>
      </c>
      <c r="E66" s="524">
        <v>34.33</v>
      </c>
      <c r="F66" s="524">
        <v>0</v>
      </c>
      <c r="G66" s="93">
        <f t="shared" si="118"/>
        <v>67.88</v>
      </c>
      <c r="H66" s="524">
        <f t="shared" si="119"/>
        <v>101</v>
      </c>
      <c r="I66" s="551">
        <f t="shared" si="113"/>
        <v>1.4853391684901529</v>
      </c>
      <c r="J66" s="93">
        <f t="shared" si="114"/>
        <v>2.2100656455142231</v>
      </c>
      <c r="K66" s="556">
        <f t="shared" si="120"/>
        <v>729.37</v>
      </c>
      <c r="L66" s="93">
        <f t="shared" si="121"/>
        <v>552.85000000000014</v>
      </c>
      <c r="M66" s="559">
        <f t="shared" si="115"/>
        <v>15.959956236323851</v>
      </c>
      <c r="N66" s="93">
        <f t="shared" si="116"/>
        <v>12.097374179431075</v>
      </c>
      <c r="O66" s="484"/>
      <c r="P66" s="3"/>
      <c r="Q66" s="3"/>
      <c r="R66" s="3"/>
      <c r="S66" s="3"/>
      <c r="U66" s="1">
        <f t="shared" si="122"/>
        <v>50.25</v>
      </c>
      <c r="V66" s="1">
        <f t="shared" si="123"/>
        <v>40.200000000000003</v>
      </c>
      <c r="W66" s="1">
        <f t="shared" si="124"/>
        <v>70.350000000000009</v>
      </c>
      <c r="X66" s="1">
        <f t="shared" si="125"/>
        <v>70.350000000000009</v>
      </c>
      <c r="Y66" s="1">
        <f t="shared" si="126"/>
        <v>70.350000000000009</v>
      </c>
      <c r="Z66" s="1">
        <f t="shared" si="127"/>
        <v>70.350000000000009</v>
      </c>
      <c r="AA66" s="1">
        <f t="shared" si="128"/>
        <v>80</v>
      </c>
      <c r="AB66" s="1">
        <f t="shared" si="129"/>
        <v>101</v>
      </c>
      <c r="AC66" s="1">
        <f t="shared" si="130"/>
        <v>101</v>
      </c>
      <c r="AD66" s="1">
        <f t="shared" si="131"/>
        <v>141</v>
      </c>
      <c r="AE66" s="1">
        <f t="shared" si="132"/>
        <v>111</v>
      </c>
      <c r="AF66" s="1">
        <f t="shared" si="133"/>
        <v>101</v>
      </c>
    </row>
    <row r="67" spans="1:32" hidden="1" outlineLevel="1" x14ac:dyDescent="0.25">
      <c r="A67" s="528"/>
      <c r="B67" s="1">
        <v>19</v>
      </c>
      <c r="C67" s="523">
        <f t="shared" si="117"/>
        <v>50.62</v>
      </c>
      <c r="D67" s="524">
        <v>21.68</v>
      </c>
      <c r="E67" s="524">
        <v>38.17</v>
      </c>
      <c r="F67" s="524">
        <v>22.24</v>
      </c>
      <c r="G67" s="93">
        <f t="shared" si="118"/>
        <v>82.09</v>
      </c>
      <c r="H67" s="524">
        <f t="shared" si="119"/>
        <v>106</v>
      </c>
      <c r="I67" s="551">
        <f t="shared" si="113"/>
        <v>1.6216910312129595</v>
      </c>
      <c r="J67" s="93">
        <f t="shared" si="114"/>
        <v>2.0940339786645596</v>
      </c>
      <c r="K67" s="556">
        <f t="shared" si="120"/>
        <v>783.91</v>
      </c>
      <c r="L67" s="93">
        <f t="shared" si="121"/>
        <v>584.31000000000017</v>
      </c>
      <c r="M67" s="559">
        <f t="shared" si="115"/>
        <v>15.4861714737258</v>
      </c>
      <c r="N67" s="93">
        <f t="shared" si="116"/>
        <v>11.54306598182537</v>
      </c>
      <c r="O67" s="484"/>
      <c r="P67" s="3"/>
      <c r="R67" s="3"/>
      <c r="S67" s="3"/>
      <c r="U67" s="1">
        <f t="shared" si="122"/>
        <v>53.150000000000006</v>
      </c>
      <c r="V67" s="1">
        <f t="shared" si="123"/>
        <v>42.52</v>
      </c>
      <c r="W67" s="1">
        <f t="shared" si="124"/>
        <v>74.410000000000011</v>
      </c>
      <c r="X67" s="1">
        <f t="shared" si="125"/>
        <v>74.410000000000011</v>
      </c>
      <c r="Y67" s="1">
        <f t="shared" si="126"/>
        <v>74.410000000000011</v>
      </c>
      <c r="Z67" s="1">
        <f t="shared" si="127"/>
        <v>74.410000000000011</v>
      </c>
      <c r="AA67" s="1">
        <f t="shared" si="128"/>
        <v>85</v>
      </c>
      <c r="AB67" s="1">
        <f t="shared" si="129"/>
        <v>106</v>
      </c>
      <c r="AC67" s="1">
        <f t="shared" si="130"/>
        <v>106</v>
      </c>
      <c r="AD67" s="1">
        <f t="shared" si="131"/>
        <v>149</v>
      </c>
      <c r="AE67" s="1">
        <f t="shared" si="132"/>
        <v>117</v>
      </c>
      <c r="AF67" s="1">
        <f t="shared" si="133"/>
        <v>106</v>
      </c>
    </row>
    <row r="68" spans="1:32" hidden="1" outlineLevel="1" x14ac:dyDescent="0.25">
      <c r="A68" s="528"/>
      <c r="B68" s="1">
        <v>20</v>
      </c>
      <c r="C68" s="523">
        <f t="shared" si="117"/>
        <v>62.08</v>
      </c>
      <c r="D68" s="524">
        <v>40.53</v>
      </c>
      <c r="E68" s="524">
        <v>36.32</v>
      </c>
      <c r="F68" s="524">
        <v>24.35</v>
      </c>
      <c r="G68" s="93">
        <f t="shared" si="118"/>
        <v>101.19999999999999</v>
      </c>
      <c r="H68" s="524">
        <f t="shared" si="119"/>
        <v>130</v>
      </c>
      <c r="I68" s="551">
        <f t="shared" si="113"/>
        <v>1.6301546391752575</v>
      </c>
      <c r="J68" s="93">
        <f t="shared" si="114"/>
        <v>2.0940721649484537</v>
      </c>
      <c r="K68" s="556">
        <f t="shared" si="120"/>
        <v>927.40000000000009</v>
      </c>
      <c r="L68" s="93">
        <f t="shared" si="121"/>
        <v>716.48000000000013</v>
      </c>
      <c r="M68" s="559">
        <f t="shared" si="115"/>
        <v>14.938788659793817</v>
      </c>
      <c r="N68" s="93">
        <f t="shared" si="116"/>
        <v>11.541237113402063</v>
      </c>
      <c r="O68" s="484"/>
      <c r="P68" s="3"/>
      <c r="Q68" s="3"/>
      <c r="R68" s="3"/>
      <c r="S68" s="3"/>
      <c r="U68" s="1">
        <f t="shared" si="122"/>
        <v>65.2</v>
      </c>
      <c r="V68" s="1">
        <f t="shared" si="123"/>
        <v>52.160000000000004</v>
      </c>
      <c r="W68" s="1">
        <f t="shared" si="124"/>
        <v>91.280000000000015</v>
      </c>
      <c r="X68" s="1">
        <f t="shared" si="125"/>
        <v>91.280000000000015</v>
      </c>
      <c r="Y68" s="1">
        <f t="shared" si="126"/>
        <v>91.280000000000015</v>
      </c>
      <c r="Z68" s="1">
        <f t="shared" si="127"/>
        <v>91.280000000000015</v>
      </c>
      <c r="AA68" s="1">
        <f t="shared" si="128"/>
        <v>104</v>
      </c>
      <c r="AB68" s="1">
        <f t="shared" si="129"/>
        <v>130</v>
      </c>
      <c r="AC68" s="1">
        <f t="shared" si="130"/>
        <v>130</v>
      </c>
      <c r="AD68" s="1">
        <f t="shared" si="131"/>
        <v>183</v>
      </c>
      <c r="AE68" s="1">
        <f t="shared" si="132"/>
        <v>143</v>
      </c>
      <c r="AF68" s="1">
        <f t="shared" si="133"/>
        <v>130</v>
      </c>
    </row>
    <row r="69" spans="1:32" hidden="1" outlineLevel="1" x14ac:dyDescent="0.25">
      <c r="A69" s="528"/>
      <c r="B69" s="1">
        <v>21</v>
      </c>
      <c r="C69" s="523">
        <f t="shared" si="117"/>
        <v>72.2</v>
      </c>
      <c r="D69" s="524">
        <v>52.89</v>
      </c>
      <c r="E69" s="524">
        <v>46.99</v>
      </c>
      <c r="F69" s="524">
        <v>11.29</v>
      </c>
      <c r="G69" s="93">
        <f t="shared" si="118"/>
        <v>111.16999999999999</v>
      </c>
      <c r="H69" s="524">
        <f t="shared" si="119"/>
        <v>166</v>
      </c>
      <c r="I69" s="551">
        <f t="shared" si="113"/>
        <v>1.5397506925207753</v>
      </c>
      <c r="J69" s="93">
        <f t="shared" si="114"/>
        <v>2.2991689750692519</v>
      </c>
      <c r="K69" s="556">
        <f t="shared" si="120"/>
        <v>1213.24</v>
      </c>
      <c r="L69" s="93">
        <f t="shared" si="121"/>
        <v>913.56999999999994</v>
      </c>
      <c r="M69" s="559">
        <f t="shared" si="115"/>
        <v>16.80387811634349</v>
      </c>
      <c r="N69" s="93">
        <f t="shared" si="116"/>
        <v>12.65332409972299</v>
      </c>
      <c r="O69" s="484"/>
      <c r="P69" s="3"/>
      <c r="Q69" s="3"/>
      <c r="R69" s="3"/>
      <c r="S69" s="3"/>
      <c r="U69" s="1">
        <f t="shared" si="122"/>
        <v>83.050000000000011</v>
      </c>
      <c r="V69" s="1">
        <f t="shared" si="123"/>
        <v>66.44</v>
      </c>
      <c r="W69" s="1">
        <f t="shared" si="124"/>
        <v>116.27000000000001</v>
      </c>
      <c r="X69" s="1">
        <f t="shared" si="125"/>
        <v>116.27000000000001</v>
      </c>
      <c r="Y69" s="1">
        <f t="shared" si="126"/>
        <v>116.27000000000001</v>
      </c>
      <c r="Z69" s="1">
        <f t="shared" si="127"/>
        <v>116.27000000000001</v>
      </c>
      <c r="AA69" s="1">
        <f t="shared" si="128"/>
        <v>133</v>
      </c>
      <c r="AB69" s="1">
        <f t="shared" si="129"/>
        <v>166</v>
      </c>
      <c r="AC69" s="1">
        <f t="shared" si="130"/>
        <v>166</v>
      </c>
      <c r="AD69" s="1">
        <f t="shared" si="131"/>
        <v>232</v>
      </c>
      <c r="AE69" s="1">
        <f t="shared" si="132"/>
        <v>183</v>
      </c>
      <c r="AF69" s="1">
        <f t="shared" si="133"/>
        <v>166</v>
      </c>
    </row>
    <row r="70" spans="1:32" hidden="1" outlineLevel="1" x14ac:dyDescent="0.25">
      <c r="A70" s="528"/>
      <c r="B70" s="1">
        <v>22</v>
      </c>
      <c r="C70" s="523">
        <f t="shared" si="117"/>
        <v>52.3</v>
      </c>
      <c r="D70" s="524">
        <v>36.17</v>
      </c>
      <c r="E70" s="524">
        <v>30.43</v>
      </c>
      <c r="F70" s="524">
        <v>0</v>
      </c>
      <c r="G70" s="93">
        <f t="shared" si="118"/>
        <v>66.599999999999994</v>
      </c>
      <c r="H70" s="524">
        <f t="shared" si="119"/>
        <v>110</v>
      </c>
      <c r="I70" s="551">
        <f t="shared" si="113"/>
        <v>1.2734225621414914</v>
      </c>
      <c r="J70" s="93">
        <f t="shared" si="114"/>
        <v>2.1032504780114722</v>
      </c>
      <c r="K70" s="556">
        <f t="shared" si="120"/>
        <v>779.24</v>
      </c>
      <c r="L70" s="93">
        <f t="shared" si="121"/>
        <v>604.26</v>
      </c>
      <c r="M70" s="559">
        <f t="shared" si="115"/>
        <v>14.899426386233271</v>
      </c>
      <c r="N70" s="93">
        <f t="shared" si="116"/>
        <v>11.553728489483747</v>
      </c>
      <c r="O70" s="484"/>
      <c r="P70" s="3"/>
      <c r="Q70" s="3"/>
      <c r="R70" s="3"/>
      <c r="S70" s="3"/>
      <c r="U70" s="1">
        <f t="shared" si="122"/>
        <v>54.900000000000006</v>
      </c>
      <c r="V70" s="1">
        <f t="shared" si="123"/>
        <v>43.92</v>
      </c>
      <c r="W70" s="1">
        <f t="shared" si="124"/>
        <v>76.860000000000014</v>
      </c>
      <c r="X70" s="1">
        <f t="shared" si="125"/>
        <v>76.860000000000014</v>
      </c>
      <c r="Y70" s="1">
        <f t="shared" si="126"/>
        <v>76.860000000000014</v>
      </c>
      <c r="Z70" s="1">
        <f t="shared" si="127"/>
        <v>76.860000000000014</v>
      </c>
      <c r="AA70" s="1">
        <f t="shared" si="128"/>
        <v>88</v>
      </c>
      <c r="AB70" s="1">
        <f t="shared" si="129"/>
        <v>110</v>
      </c>
      <c r="AC70" s="1">
        <f t="shared" si="130"/>
        <v>110</v>
      </c>
      <c r="AD70" s="1">
        <f t="shared" si="131"/>
        <v>154</v>
      </c>
      <c r="AE70" s="1">
        <f t="shared" si="132"/>
        <v>121</v>
      </c>
      <c r="AF70" s="1">
        <f t="shared" si="133"/>
        <v>110</v>
      </c>
    </row>
    <row r="71" spans="1:32" ht="15.75" hidden="1" outlineLevel="1" thickBot="1" x14ac:dyDescent="0.3">
      <c r="A71" s="483"/>
      <c r="B71" s="562"/>
      <c r="C71" s="563"/>
      <c r="D71" s="563"/>
      <c r="E71" s="563"/>
      <c r="F71" s="563"/>
      <c r="H71" s="563"/>
      <c r="I71" s="564"/>
      <c r="J71" s="564"/>
      <c r="K71" s="8"/>
      <c r="M71" s="8"/>
      <c r="N71" s="8"/>
      <c r="O71" s="8"/>
      <c r="P71" s="3"/>
      <c r="Q71" s="3"/>
      <c r="R71" s="3"/>
      <c r="S71" s="3"/>
    </row>
    <row r="72" spans="1:32" ht="15.75" collapsed="1" thickBot="1" x14ac:dyDescent="0.3">
      <c r="A72" s="935" t="s">
        <v>65</v>
      </c>
      <c r="B72" s="936"/>
      <c r="C72" s="543">
        <f>SUM(C73:C75)</f>
        <v>116.28</v>
      </c>
      <c r="D72" s="537">
        <f>SUM(D73:D75)</f>
        <v>52.349999999999994</v>
      </c>
      <c r="E72" s="538">
        <f>SUM(E73:E75)</f>
        <v>55.129999999999995</v>
      </c>
      <c r="F72" s="538">
        <f>SUM(F73:F75)</f>
        <v>7.44</v>
      </c>
      <c r="G72" s="539">
        <f>SUM(D72:F72)</f>
        <v>114.91999999999999</v>
      </c>
      <c r="H72" s="540">
        <v>165</v>
      </c>
      <c r="I72" s="549">
        <f>G72/C72</f>
        <v>0.98830409356725135</v>
      </c>
      <c r="J72" s="541">
        <f>H72/C72</f>
        <v>1.4189886480908152</v>
      </c>
      <c r="K72" s="554">
        <f>SUM(K73:K75)</f>
        <v>1402.08</v>
      </c>
      <c r="L72" s="541">
        <f>ROUND(SUM(L73:L75),0)</f>
        <v>1170</v>
      </c>
      <c r="M72" s="561">
        <f>K72/C72</f>
        <v>12.057791537667699</v>
      </c>
      <c r="N72" s="541">
        <f>L72/C72</f>
        <v>10.061919504643964</v>
      </c>
      <c r="O72" s="8"/>
      <c r="P72" s="3"/>
      <c r="Q72" s="3"/>
      <c r="R72" s="3"/>
      <c r="S72" s="3"/>
      <c r="U72" s="99" t="s">
        <v>180</v>
      </c>
      <c r="V72" s="99" t="s">
        <v>181</v>
      </c>
      <c r="W72" s="99" t="s">
        <v>182</v>
      </c>
      <c r="X72" s="99" t="s">
        <v>183</v>
      </c>
      <c r="Y72" s="99" t="s">
        <v>184</v>
      </c>
      <c r="Z72" s="99" t="s">
        <v>185</v>
      </c>
      <c r="AA72" s="99" t="s">
        <v>186</v>
      </c>
      <c r="AB72" s="99" t="s">
        <v>187</v>
      </c>
      <c r="AC72" s="99" t="s">
        <v>188</v>
      </c>
      <c r="AD72" s="99" t="s">
        <v>189</v>
      </c>
      <c r="AE72" s="99" t="s">
        <v>190</v>
      </c>
      <c r="AF72" s="99" t="s">
        <v>191</v>
      </c>
    </row>
    <row r="73" spans="1:32" hidden="1" outlineLevel="1" x14ac:dyDescent="0.25">
      <c r="A73" s="483"/>
      <c r="B73" s="535">
        <v>2</v>
      </c>
      <c r="C73" s="529">
        <f>VLOOKUP(B73,ERDI,2,FALSE)</f>
        <v>60.4</v>
      </c>
      <c r="D73" s="525">
        <v>25.4</v>
      </c>
      <c r="E73" s="525">
        <v>25.76</v>
      </c>
      <c r="F73" s="525">
        <v>0</v>
      </c>
      <c r="G73" s="526">
        <f>SUM(D73:F73)</f>
        <v>51.16</v>
      </c>
      <c r="H73" s="525">
        <f>VLOOKUP(B73,ERDI,3,FALSE)</f>
        <v>121</v>
      </c>
      <c r="I73" s="550">
        <f>G73/C73</f>
        <v>0.84701986754966885</v>
      </c>
      <c r="J73" s="526">
        <f>H73/C73</f>
        <v>2.0033112582781456</v>
      </c>
      <c r="K73" s="555">
        <f>VLOOKUP(B73,year2022to23,311,FALSE)-VLOOKUP(B73,year2022to23,289,FALSE)</f>
        <v>838.41</v>
      </c>
      <c r="L73" s="526">
        <f>SUM(U73:AB73)</f>
        <v>664.96</v>
      </c>
      <c r="M73" s="558">
        <f>K73/C73</f>
        <v>13.880960264900661</v>
      </c>
      <c r="N73" s="526">
        <f>L73/C73</f>
        <v>11.009271523178809</v>
      </c>
      <c r="O73" s="484"/>
      <c r="P73" s="3"/>
      <c r="Q73" s="3"/>
      <c r="R73" s="3"/>
      <c r="S73" s="3"/>
      <c r="U73" s="1">
        <f>VLOOKUP(B73,ffbbudgettwofive,7,FALSE)</f>
        <v>60.400000000000006</v>
      </c>
      <c r="V73" s="1">
        <f>VLOOKUP(B73,ffbbudgettwofive,8,FALSE)</f>
        <v>48.32</v>
      </c>
      <c r="W73" s="1">
        <f>VLOOKUP(B73,ffbbudgettwofive,9,FALSE)</f>
        <v>84.56</v>
      </c>
      <c r="X73" s="1">
        <f>VLOOKUP(B73,ffbbudgettwofive,10,FALSE)</f>
        <v>84.56</v>
      </c>
      <c r="Y73" s="1">
        <f>VLOOKUP(B73,ffbbudgettwofive,11,FALSE)</f>
        <v>84.56</v>
      </c>
      <c r="Z73" s="1">
        <f>VLOOKUP(B73,ffbbudgettwofive,12,FALSE)</f>
        <v>84.56</v>
      </c>
      <c r="AA73" s="1">
        <f>VLOOKUP(B73,ffbbudgettwofive,13,FALSE)</f>
        <v>97</v>
      </c>
      <c r="AB73" s="1">
        <f>VLOOKUP(B73,ffbbudgettwofive,14,FALSE)</f>
        <v>121</v>
      </c>
      <c r="AC73" s="1">
        <f>VLOOKUP(B73,ffbbudgettwofive,15,FALSE)</f>
        <v>121</v>
      </c>
      <c r="AD73" s="1">
        <f>VLOOKUP(B73,ffbbudgettwofive,16,FALSE)</f>
        <v>169</v>
      </c>
      <c r="AE73" s="1">
        <f>VLOOKUP(B73,ffbbudgettwofive,17,FALSE)</f>
        <v>133</v>
      </c>
      <c r="AF73" s="1">
        <f>VLOOKUP(B73,ffbbudgettwofive,18,FALSE)</f>
        <v>121</v>
      </c>
    </row>
    <row r="74" spans="1:32" hidden="1" outlineLevel="1" x14ac:dyDescent="0.25">
      <c r="A74" s="483"/>
      <c r="B74" s="100">
        <v>11</v>
      </c>
      <c r="C74" s="523">
        <f>VLOOKUP(B74,ERDI,2,FALSE)</f>
        <v>44.5</v>
      </c>
      <c r="D74" s="524">
        <v>18.48</v>
      </c>
      <c r="E74" s="524">
        <v>25.18</v>
      </c>
      <c r="F74" s="524">
        <v>7.44</v>
      </c>
      <c r="G74" s="93">
        <f>SUM(D74:F74)</f>
        <v>51.099999999999994</v>
      </c>
      <c r="H74" s="524">
        <f>VLOOKUP(B74,ERDI,3,FALSE)</f>
        <v>85</v>
      </c>
      <c r="I74" s="551">
        <f>G74/C74</f>
        <v>1.1483146067415728</v>
      </c>
      <c r="J74" s="93">
        <f>H74/C74</f>
        <v>1.9101123595505618</v>
      </c>
      <c r="K74" s="556">
        <f>VLOOKUP(B74,year2022to23,311,FALSE)-VLOOKUP(B74,year2022to23,289,FALSE)</f>
        <v>478.78999999999996</v>
      </c>
      <c r="L74" s="93">
        <f>SUM(U74:AB74)</f>
        <v>466.02000000000004</v>
      </c>
      <c r="M74" s="559">
        <f>K74/C74</f>
        <v>10.759325842696628</v>
      </c>
      <c r="N74" s="93">
        <f>L74/C74</f>
        <v>10.472359550561798</v>
      </c>
      <c r="O74" s="484"/>
      <c r="P74" s="3"/>
      <c r="Q74" s="3"/>
      <c r="R74" s="3"/>
      <c r="S74" s="3"/>
      <c r="U74" s="1">
        <f>VLOOKUP(B74,ffbbudgettwofive,7,FALSE)</f>
        <v>42.300000000000004</v>
      </c>
      <c r="V74" s="1">
        <f>VLOOKUP(B74,ffbbudgettwofive,8,FALSE)</f>
        <v>33.840000000000003</v>
      </c>
      <c r="W74" s="1">
        <f>VLOOKUP(B74,ffbbudgettwofive,9,FALSE)</f>
        <v>59.220000000000006</v>
      </c>
      <c r="X74" s="1">
        <f>VLOOKUP(B74,ffbbudgettwofive,10,FALSE)</f>
        <v>59.220000000000006</v>
      </c>
      <c r="Y74" s="1">
        <f>VLOOKUP(B74,ffbbudgettwofive,11,FALSE)</f>
        <v>59.220000000000006</v>
      </c>
      <c r="Z74" s="1">
        <f>VLOOKUP(B74,ffbbudgettwofive,12,FALSE)</f>
        <v>59.220000000000006</v>
      </c>
      <c r="AA74" s="1">
        <f>VLOOKUP(B74,ffbbudgettwofive,13,FALSE)</f>
        <v>68</v>
      </c>
      <c r="AB74" s="1">
        <f>VLOOKUP(B74,ffbbudgettwofive,14,FALSE)</f>
        <v>85</v>
      </c>
      <c r="AC74" s="1">
        <f>VLOOKUP(B74,ffbbudgettwofive,15,FALSE)</f>
        <v>85</v>
      </c>
      <c r="AD74" s="1">
        <f>VLOOKUP(B74,ffbbudgettwofive,16,FALSE)</f>
        <v>118</v>
      </c>
      <c r="AE74" s="1">
        <f>VLOOKUP(B74,ffbbudgettwofive,17,FALSE)</f>
        <v>93</v>
      </c>
      <c r="AF74" s="1">
        <f>VLOOKUP(B74,ffbbudgettwofive,18,FALSE)</f>
        <v>85</v>
      </c>
    </row>
    <row r="75" spans="1:32" hidden="1" outlineLevel="1" x14ac:dyDescent="0.25">
      <c r="A75" s="483"/>
      <c r="B75" s="100">
        <v>29</v>
      </c>
      <c r="C75" s="523">
        <f>VLOOKUP(B75,ERDI,2,FALSE)</f>
        <v>11.38</v>
      </c>
      <c r="D75" s="524">
        <v>8.4700000000000006</v>
      </c>
      <c r="E75" s="524">
        <v>4.1900000000000004</v>
      </c>
      <c r="F75" s="524">
        <v>0</v>
      </c>
      <c r="G75" s="93">
        <f>SUM(D75:F75)</f>
        <v>12.66</v>
      </c>
      <c r="H75" s="524">
        <f>VLOOKUP(B75,ERDI,3,FALSE)</f>
        <v>7</v>
      </c>
      <c r="I75" s="551">
        <f>G75/C75</f>
        <v>1.1124780316344463</v>
      </c>
      <c r="J75" s="93">
        <f>H75/C75</f>
        <v>0.61511423550087874</v>
      </c>
      <c r="K75" s="556">
        <f>VLOOKUP(B75,year2022to23,311,FALSE)-VLOOKUP(B75,year2022to23,289,FALSE)</f>
        <v>84.88000000000001</v>
      </c>
      <c r="L75" s="93">
        <f>SUM(U75:AB75)</f>
        <v>38.53</v>
      </c>
      <c r="M75" s="559">
        <f>K75/C75</f>
        <v>7.4586994727592266</v>
      </c>
      <c r="N75" s="93">
        <f>L75/C75</f>
        <v>3.3857644991212652</v>
      </c>
      <c r="O75" s="484"/>
      <c r="P75" s="3"/>
      <c r="Q75" s="3"/>
      <c r="R75" s="3"/>
      <c r="S75" s="3"/>
      <c r="U75" s="1">
        <f>VLOOKUP(B75,ffbbudgettwofive,7,FALSE)</f>
        <v>3.45</v>
      </c>
      <c r="V75" s="1">
        <f>VLOOKUP(B75,ffbbudgettwofive,8,FALSE)</f>
        <v>2.7600000000000002</v>
      </c>
      <c r="W75" s="1">
        <f>VLOOKUP(B75,ffbbudgettwofive,9,FALSE)</f>
        <v>4.83</v>
      </c>
      <c r="X75" s="1">
        <f>VLOOKUP(B75,ffbbudgettwofive,10,FALSE)</f>
        <v>4.83</v>
      </c>
      <c r="Y75" s="1">
        <f>VLOOKUP(B75,ffbbudgettwofive,11,FALSE)</f>
        <v>4.83</v>
      </c>
      <c r="Z75" s="1">
        <f>VLOOKUP(B75,ffbbudgettwofive,12,FALSE)</f>
        <v>4.83</v>
      </c>
      <c r="AA75" s="1">
        <f>VLOOKUP(B75,ffbbudgettwofive,13,FALSE)</f>
        <v>6</v>
      </c>
      <c r="AB75" s="1">
        <f>VLOOKUP(B75,ffbbudgettwofive,14,FALSE)</f>
        <v>7</v>
      </c>
      <c r="AC75" s="1">
        <f>VLOOKUP(B75,ffbbudgettwofive,15,FALSE)</f>
        <v>7</v>
      </c>
      <c r="AD75" s="1">
        <f>VLOOKUP(B75,ffbbudgettwofive,16,FALSE)</f>
        <v>10</v>
      </c>
      <c r="AE75" s="1">
        <f>VLOOKUP(B75,ffbbudgettwofive,17,FALSE)</f>
        <v>8</v>
      </c>
      <c r="AF75" s="1">
        <f>VLOOKUP(B75,ffbbudgettwofive,18,FALSE)</f>
        <v>7</v>
      </c>
    </row>
    <row r="76" spans="1:32" ht="15.75" hidden="1" outlineLevel="1" thickBot="1" x14ac:dyDescent="0.3">
      <c r="A76" s="483"/>
      <c r="B76" s="562"/>
      <c r="C76" s="563"/>
      <c r="D76" s="563"/>
      <c r="E76" s="563"/>
      <c r="F76" s="563"/>
      <c r="H76" s="563"/>
      <c r="I76" s="564"/>
      <c r="J76" s="564"/>
      <c r="K76" s="8"/>
      <c r="M76" s="8"/>
      <c r="N76" s="8"/>
      <c r="O76" s="8"/>
      <c r="P76" s="3"/>
      <c r="Q76" s="3"/>
      <c r="R76" s="3"/>
      <c r="S76" s="3"/>
    </row>
    <row r="77" spans="1:32" ht="15.75" collapsed="1" thickBot="1" x14ac:dyDescent="0.3">
      <c r="A77" s="935" t="s">
        <v>66</v>
      </c>
      <c r="B77" s="936"/>
      <c r="C77" s="543">
        <v>262.5</v>
      </c>
      <c r="D77" s="537">
        <v>222.41</v>
      </c>
      <c r="E77" s="538">
        <v>117.41</v>
      </c>
      <c r="F77" s="538">
        <v>3.01</v>
      </c>
      <c r="G77" s="539">
        <f t="shared" ref="G77:G83" si="134">SUM(D77:F77)</f>
        <v>342.83</v>
      </c>
      <c r="H77" s="540">
        <v>409</v>
      </c>
      <c r="I77" s="549">
        <f t="shared" ref="I77:I83" si="135">G77/C77</f>
        <v>1.3060190476190476</v>
      </c>
      <c r="J77" s="541">
        <f t="shared" ref="J77:J83" si="136">H77/C77</f>
        <v>1.5580952380952382</v>
      </c>
      <c r="K77" s="554">
        <f>SUM(K78:K83)</f>
        <v>3950.9700000000003</v>
      </c>
      <c r="L77" s="541">
        <f>ROUND(SUM(L78:L83),0)</f>
        <v>2809</v>
      </c>
      <c r="M77" s="561">
        <f t="shared" ref="M77:M83" si="137">K77/C77</f>
        <v>15.051314285714287</v>
      </c>
      <c r="N77" s="541">
        <f t="shared" ref="N77:N83" si="138">L77/C77</f>
        <v>10.700952380952382</v>
      </c>
      <c r="O77" s="8"/>
      <c r="P77" s="3"/>
      <c r="Q77" s="3"/>
      <c r="R77" s="3"/>
      <c r="S77" s="3"/>
      <c r="U77" s="99" t="s">
        <v>180</v>
      </c>
      <c r="V77" s="99" t="s">
        <v>181</v>
      </c>
      <c r="W77" s="99" t="s">
        <v>182</v>
      </c>
      <c r="X77" s="99" t="s">
        <v>183</v>
      </c>
      <c r="Y77" s="99" t="s">
        <v>184</v>
      </c>
      <c r="Z77" s="99" t="s">
        <v>185</v>
      </c>
      <c r="AA77" s="99" t="s">
        <v>186</v>
      </c>
      <c r="AB77" s="99" t="s">
        <v>187</v>
      </c>
      <c r="AC77" s="99" t="s">
        <v>188</v>
      </c>
      <c r="AD77" s="99" t="s">
        <v>189</v>
      </c>
      <c r="AE77" s="99" t="s">
        <v>190</v>
      </c>
      <c r="AF77" s="99" t="s">
        <v>191</v>
      </c>
    </row>
    <row r="78" spans="1:32" hidden="1" outlineLevel="1" x14ac:dyDescent="0.25">
      <c r="A78" s="528"/>
      <c r="B78" s="511">
        <v>4</v>
      </c>
      <c r="C78" s="529">
        <f t="shared" ref="C78:C83" si="139">VLOOKUP(B78,SERAN,2,FALSE)</f>
        <v>70.599999999999994</v>
      </c>
      <c r="D78" s="525">
        <v>54.33</v>
      </c>
      <c r="E78" s="525">
        <v>7.52</v>
      </c>
      <c r="F78" s="525">
        <v>0</v>
      </c>
      <c r="G78" s="526">
        <f t="shared" si="134"/>
        <v>61.849999999999994</v>
      </c>
      <c r="H78" s="525">
        <f t="shared" ref="H78:H83" si="140">VLOOKUP(B78,SERAN,3,FALSE)</f>
        <v>141</v>
      </c>
      <c r="I78" s="550">
        <f t="shared" si="135"/>
        <v>0.87606232294617559</v>
      </c>
      <c r="J78" s="526">
        <f t="shared" si="136"/>
        <v>1.9971671388101984</v>
      </c>
      <c r="K78" s="555">
        <f t="shared" ref="K78:K83" si="141">VLOOKUP(B78,year2022to23,311,FALSE)-VLOOKUP(B78,year2022to23,289,FALSE)</f>
        <v>1001.7199999999999</v>
      </c>
      <c r="L78" s="526">
        <f t="shared" ref="L78:L83" si="142">SUM(U78:AB78)</f>
        <v>776.44</v>
      </c>
      <c r="M78" s="558">
        <f t="shared" si="137"/>
        <v>14.188668555240794</v>
      </c>
      <c r="N78" s="526">
        <f t="shared" si="138"/>
        <v>10.997733711048161</v>
      </c>
      <c r="O78" s="484"/>
      <c r="P78" s="3"/>
      <c r="Q78" s="3"/>
      <c r="R78" s="3"/>
      <c r="S78" s="3"/>
      <c r="U78" s="1">
        <f t="shared" ref="U78:U83" si="143">VLOOKUP(B78,ffbbudgettwofive,7,FALSE)</f>
        <v>70.600000000000009</v>
      </c>
      <c r="V78" s="1">
        <f t="shared" ref="V78:V83" si="144">VLOOKUP(B78,ffbbudgettwofive,8,FALSE)</f>
        <v>56.480000000000004</v>
      </c>
      <c r="W78" s="1">
        <f t="shared" ref="W78:W83" si="145">VLOOKUP(B78,ffbbudgettwofive,9,FALSE)</f>
        <v>98.84</v>
      </c>
      <c r="X78" s="1">
        <f t="shared" ref="X78:X83" si="146">VLOOKUP(B78,ffbbudgettwofive,10,FALSE)</f>
        <v>98.84</v>
      </c>
      <c r="Y78" s="1">
        <f t="shared" ref="Y78:Y83" si="147">VLOOKUP(B78,ffbbudgettwofive,11,FALSE)</f>
        <v>98.84</v>
      </c>
      <c r="Z78" s="1">
        <f t="shared" ref="Z78:Z83" si="148">VLOOKUP(B78,ffbbudgettwofive,12,FALSE)</f>
        <v>98.84</v>
      </c>
      <c r="AA78" s="1">
        <f t="shared" ref="AA78:AA83" si="149">VLOOKUP(B78,ffbbudgettwofive,13,FALSE)</f>
        <v>113</v>
      </c>
      <c r="AB78" s="1">
        <f t="shared" ref="AB78:AB83" si="150">VLOOKUP(B78,ffbbudgettwofive,14,FALSE)</f>
        <v>141</v>
      </c>
      <c r="AC78" s="1">
        <f t="shared" ref="AC78:AC83" si="151">VLOOKUP(B78,ffbbudgettwofive,15,FALSE)</f>
        <v>141</v>
      </c>
      <c r="AD78" s="1">
        <f t="shared" ref="AD78:AD83" si="152">VLOOKUP(B78,ffbbudgettwofive,16,FALSE)</f>
        <v>198</v>
      </c>
      <c r="AE78" s="1">
        <f t="shared" ref="AE78:AE83" si="153">VLOOKUP(B78,ffbbudgettwofive,17,FALSE)</f>
        <v>155</v>
      </c>
      <c r="AF78" s="1">
        <f t="shared" ref="AF78:AF83" si="154">VLOOKUP(B78,ffbbudgettwofive,18,FALSE)</f>
        <v>141</v>
      </c>
    </row>
    <row r="79" spans="1:32" hidden="1" outlineLevel="1" x14ac:dyDescent="0.25">
      <c r="A79" s="528"/>
      <c r="B79" s="1">
        <v>5</v>
      </c>
      <c r="C79" s="523">
        <f t="shared" si="139"/>
        <v>50.4</v>
      </c>
      <c r="D79" s="524">
        <v>41.18</v>
      </c>
      <c r="E79" s="524">
        <v>25.46</v>
      </c>
      <c r="F79" s="524">
        <v>0</v>
      </c>
      <c r="G79" s="93">
        <f t="shared" si="134"/>
        <v>66.64</v>
      </c>
      <c r="H79" s="524">
        <f t="shared" si="140"/>
        <v>101</v>
      </c>
      <c r="I79" s="551">
        <f t="shared" si="135"/>
        <v>1.3222222222222222</v>
      </c>
      <c r="J79" s="93">
        <f t="shared" si="136"/>
        <v>2.003968253968254</v>
      </c>
      <c r="K79" s="556">
        <f t="shared" si="141"/>
        <v>768.65</v>
      </c>
      <c r="L79" s="93">
        <f t="shared" si="142"/>
        <v>554.96</v>
      </c>
      <c r="M79" s="559">
        <f t="shared" si="137"/>
        <v>15.250992063492063</v>
      </c>
      <c r="N79" s="93">
        <f t="shared" si="138"/>
        <v>11.011111111111113</v>
      </c>
      <c r="O79" s="484"/>
      <c r="P79" s="3"/>
      <c r="Q79" s="3"/>
      <c r="R79" s="3"/>
      <c r="S79" s="3"/>
      <c r="U79" s="1">
        <f t="shared" si="143"/>
        <v>50.400000000000006</v>
      </c>
      <c r="V79" s="1">
        <f t="shared" si="144"/>
        <v>40.32</v>
      </c>
      <c r="W79" s="1">
        <f t="shared" si="145"/>
        <v>70.56</v>
      </c>
      <c r="X79" s="1">
        <f t="shared" si="146"/>
        <v>70.56</v>
      </c>
      <c r="Y79" s="1">
        <f t="shared" si="147"/>
        <v>70.56</v>
      </c>
      <c r="Z79" s="1">
        <f t="shared" si="148"/>
        <v>70.56</v>
      </c>
      <c r="AA79" s="1">
        <f t="shared" si="149"/>
        <v>81</v>
      </c>
      <c r="AB79" s="1">
        <f t="shared" si="150"/>
        <v>101</v>
      </c>
      <c r="AC79" s="1">
        <f t="shared" si="151"/>
        <v>101</v>
      </c>
      <c r="AD79" s="1">
        <f t="shared" si="152"/>
        <v>141</v>
      </c>
      <c r="AE79" s="1">
        <f t="shared" si="153"/>
        <v>111</v>
      </c>
      <c r="AF79" s="1">
        <f t="shared" si="154"/>
        <v>101</v>
      </c>
    </row>
    <row r="80" spans="1:32" hidden="1" outlineLevel="1" x14ac:dyDescent="0.25">
      <c r="A80" s="528"/>
      <c r="B80" s="1">
        <v>6</v>
      </c>
      <c r="C80" s="523">
        <f t="shared" si="139"/>
        <v>58.6</v>
      </c>
      <c r="D80" s="524">
        <v>55.79</v>
      </c>
      <c r="E80" s="524">
        <v>24.67</v>
      </c>
      <c r="F80" s="524">
        <v>0</v>
      </c>
      <c r="G80" s="93">
        <f t="shared" si="134"/>
        <v>80.460000000000008</v>
      </c>
      <c r="H80" s="524">
        <f t="shared" si="140"/>
        <v>117</v>
      </c>
      <c r="I80" s="551">
        <f t="shared" si="135"/>
        <v>1.3730375426621162</v>
      </c>
      <c r="J80" s="93">
        <f t="shared" si="136"/>
        <v>1.9965870307167235</v>
      </c>
      <c r="K80" s="556">
        <f t="shared" si="141"/>
        <v>880.78000000000009</v>
      </c>
      <c r="L80" s="93">
        <f t="shared" si="142"/>
        <v>644.6400000000001</v>
      </c>
      <c r="M80" s="559">
        <f t="shared" si="137"/>
        <v>15.030375426621161</v>
      </c>
      <c r="N80" s="93">
        <f t="shared" si="138"/>
        <v>11.000682593856657</v>
      </c>
      <c r="O80" s="484"/>
      <c r="P80" s="3"/>
      <c r="Q80" s="3"/>
      <c r="R80" s="3"/>
      <c r="S80" s="3"/>
      <c r="U80" s="1">
        <f t="shared" si="143"/>
        <v>58.6</v>
      </c>
      <c r="V80" s="1">
        <f t="shared" si="144"/>
        <v>46.88</v>
      </c>
      <c r="W80" s="1">
        <f t="shared" si="145"/>
        <v>82.04</v>
      </c>
      <c r="X80" s="1">
        <f t="shared" si="146"/>
        <v>82.04</v>
      </c>
      <c r="Y80" s="1">
        <f t="shared" si="147"/>
        <v>82.04</v>
      </c>
      <c r="Z80" s="1">
        <f t="shared" si="148"/>
        <v>82.04</v>
      </c>
      <c r="AA80" s="1">
        <f t="shared" si="149"/>
        <v>94</v>
      </c>
      <c r="AB80" s="1">
        <f t="shared" si="150"/>
        <v>117</v>
      </c>
      <c r="AC80" s="1">
        <f t="shared" si="151"/>
        <v>117</v>
      </c>
      <c r="AD80" s="1">
        <f t="shared" si="152"/>
        <v>164</v>
      </c>
      <c r="AE80" s="1">
        <f t="shared" si="153"/>
        <v>129</v>
      </c>
      <c r="AF80" s="1">
        <f t="shared" si="154"/>
        <v>117</v>
      </c>
    </row>
    <row r="81" spans="1:32" hidden="1" outlineLevel="1" x14ac:dyDescent="0.25">
      <c r="A81" s="528"/>
      <c r="B81" s="1">
        <v>7</v>
      </c>
      <c r="C81" s="523">
        <f t="shared" si="139"/>
        <v>23.6</v>
      </c>
      <c r="D81" s="524">
        <v>18.420000000000002</v>
      </c>
      <c r="E81" s="524">
        <v>7.91</v>
      </c>
      <c r="F81" s="524">
        <v>0</v>
      </c>
      <c r="G81" s="93">
        <f t="shared" si="134"/>
        <v>26.330000000000002</v>
      </c>
      <c r="H81" s="524">
        <f t="shared" si="140"/>
        <v>40</v>
      </c>
      <c r="I81" s="551">
        <f t="shared" si="135"/>
        <v>1.1156779661016949</v>
      </c>
      <c r="J81" s="93">
        <f t="shared" si="136"/>
        <v>1.6949152542372881</v>
      </c>
      <c r="K81" s="556">
        <f t="shared" si="141"/>
        <v>308.28000000000003</v>
      </c>
      <c r="L81" s="93">
        <f t="shared" si="142"/>
        <v>220.37000000000003</v>
      </c>
      <c r="M81" s="559">
        <f t="shared" si="137"/>
        <v>13.062711864406781</v>
      </c>
      <c r="N81" s="93">
        <f t="shared" si="138"/>
        <v>9.3377118644067814</v>
      </c>
      <c r="O81" s="484"/>
      <c r="P81" s="3"/>
      <c r="Q81" s="3"/>
      <c r="R81" s="3"/>
      <c r="S81" s="3"/>
      <c r="U81" s="1">
        <f t="shared" si="143"/>
        <v>20.05</v>
      </c>
      <c r="V81" s="1">
        <f t="shared" si="144"/>
        <v>16.04</v>
      </c>
      <c r="W81" s="1">
        <f t="shared" si="145"/>
        <v>28.070000000000004</v>
      </c>
      <c r="X81" s="1">
        <f t="shared" si="146"/>
        <v>28.070000000000004</v>
      </c>
      <c r="Y81" s="1">
        <f t="shared" si="147"/>
        <v>28.070000000000004</v>
      </c>
      <c r="Z81" s="1">
        <f t="shared" si="148"/>
        <v>28.070000000000004</v>
      </c>
      <c r="AA81" s="1">
        <f t="shared" si="149"/>
        <v>32</v>
      </c>
      <c r="AB81" s="1">
        <f t="shared" si="150"/>
        <v>40</v>
      </c>
      <c r="AC81" s="1">
        <f t="shared" si="151"/>
        <v>40</v>
      </c>
      <c r="AD81" s="1">
        <f t="shared" si="152"/>
        <v>56</v>
      </c>
      <c r="AE81" s="1">
        <f t="shared" si="153"/>
        <v>44</v>
      </c>
      <c r="AF81" s="1">
        <f t="shared" si="154"/>
        <v>40</v>
      </c>
    </row>
    <row r="82" spans="1:32" hidden="1" outlineLevel="1" x14ac:dyDescent="0.25">
      <c r="A82" s="528"/>
      <c r="B82" s="1">
        <v>23</v>
      </c>
      <c r="C82" s="523">
        <f t="shared" si="139"/>
        <v>14.6</v>
      </c>
      <c r="D82" s="524">
        <v>16.600000000000001</v>
      </c>
      <c r="E82" s="524">
        <v>13.16</v>
      </c>
      <c r="F82" s="524">
        <v>0</v>
      </c>
      <c r="G82" s="93">
        <f t="shared" si="134"/>
        <v>29.76</v>
      </c>
      <c r="H82" s="524">
        <f t="shared" si="140"/>
        <v>31</v>
      </c>
      <c r="I82" s="551">
        <f t="shared" si="135"/>
        <v>2.0383561643835617</v>
      </c>
      <c r="J82" s="93">
        <f t="shared" si="136"/>
        <v>2.1232876712328768</v>
      </c>
      <c r="K82" s="556">
        <f t="shared" si="141"/>
        <v>261.85000000000002</v>
      </c>
      <c r="L82" s="93">
        <f t="shared" si="142"/>
        <v>169.59000000000003</v>
      </c>
      <c r="M82" s="559">
        <f t="shared" si="137"/>
        <v>17.934931506849317</v>
      </c>
      <c r="N82" s="93">
        <f t="shared" si="138"/>
        <v>11.615753424657537</v>
      </c>
      <c r="O82" s="484"/>
      <c r="P82" s="3"/>
      <c r="Q82" s="3"/>
      <c r="R82" s="3"/>
      <c r="S82" s="3"/>
      <c r="U82" s="1">
        <f t="shared" si="143"/>
        <v>15.350000000000001</v>
      </c>
      <c r="V82" s="1">
        <f t="shared" si="144"/>
        <v>12.280000000000001</v>
      </c>
      <c r="W82" s="1">
        <f t="shared" si="145"/>
        <v>21.490000000000002</v>
      </c>
      <c r="X82" s="1">
        <f t="shared" si="146"/>
        <v>21.490000000000002</v>
      </c>
      <c r="Y82" s="1">
        <f t="shared" si="147"/>
        <v>21.490000000000002</v>
      </c>
      <c r="Z82" s="1">
        <f t="shared" si="148"/>
        <v>21.490000000000002</v>
      </c>
      <c r="AA82" s="1">
        <f t="shared" si="149"/>
        <v>25</v>
      </c>
      <c r="AB82" s="1">
        <f t="shared" si="150"/>
        <v>31</v>
      </c>
      <c r="AC82" s="1">
        <f t="shared" si="151"/>
        <v>31</v>
      </c>
      <c r="AD82" s="1">
        <f t="shared" si="152"/>
        <v>43</v>
      </c>
      <c r="AE82" s="1">
        <f t="shared" si="153"/>
        <v>34</v>
      </c>
      <c r="AF82" s="1">
        <f t="shared" si="154"/>
        <v>31</v>
      </c>
    </row>
    <row r="83" spans="1:32" hidden="1" outlineLevel="1" x14ac:dyDescent="0.25">
      <c r="A83" s="528"/>
      <c r="B83" s="1">
        <v>24</v>
      </c>
      <c r="C83" s="523">
        <f t="shared" si="139"/>
        <v>44.7</v>
      </c>
      <c r="D83" s="524">
        <v>36.090000000000003</v>
      </c>
      <c r="E83" s="524">
        <v>38.69</v>
      </c>
      <c r="F83" s="524">
        <v>3.01</v>
      </c>
      <c r="G83" s="93">
        <f t="shared" si="134"/>
        <v>77.790000000000006</v>
      </c>
      <c r="H83" s="524">
        <f t="shared" si="140"/>
        <v>81</v>
      </c>
      <c r="I83" s="551">
        <f t="shared" si="135"/>
        <v>1.740268456375839</v>
      </c>
      <c r="J83" s="93">
        <f t="shared" si="136"/>
        <v>1.8120805369127515</v>
      </c>
      <c r="K83" s="556">
        <f t="shared" si="141"/>
        <v>729.69</v>
      </c>
      <c r="L83" s="93">
        <f t="shared" si="142"/>
        <v>442.85000000000008</v>
      </c>
      <c r="M83" s="559">
        <f t="shared" si="137"/>
        <v>16.324161073825504</v>
      </c>
      <c r="N83" s="93">
        <f t="shared" si="138"/>
        <v>9.9071588366890388</v>
      </c>
      <c r="O83" s="484"/>
      <c r="P83" s="3"/>
      <c r="Q83" s="3"/>
      <c r="R83" s="3"/>
      <c r="S83" s="3"/>
      <c r="U83" s="1">
        <f t="shared" si="143"/>
        <v>40.25</v>
      </c>
      <c r="V83" s="1">
        <f t="shared" si="144"/>
        <v>32.200000000000003</v>
      </c>
      <c r="W83" s="1">
        <f t="shared" si="145"/>
        <v>56.350000000000009</v>
      </c>
      <c r="X83" s="1">
        <f t="shared" si="146"/>
        <v>56.350000000000009</v>
      </c>
      <c r="Y83" s="1">
        <f t="shared" si="147"/>
        <v>56.350000000000009</v>
      </c>
      <c r="Z83" s="1">
        <f t="shared" si="148"/>
        <v>56.350000000000009</v>
      </c>
      <c r="AA83" s="1">
        <f t="shared" si="149"/>
        <v>64</v>
      </c>
      <c r="AB83" s="1">
        <f t="shared" si="150"/>
        <v>81</v>
      </c>
      <c r="AC83" s="1">
        <f t="shared" si="151"/>
        <v>81</v>
      </c>
      <c r="AD83" s="1">
        <f t="shared" si="152"/>
        <v>113</v>
      </c>
      <c r="AE83" s="1">
        <f t="shared" si="153"/>
        <v>89</v>
      </c>
      <c r="AF83" s="1">
        <f t="shared" si="154"/>
        <v>81</v>
      </c>
    </row>
    <row r="84" spans="1:32" ht="15.75" hidden="1" outlineLevel="1" thickBot="1" x14ac:dyDescent="0.3">
      <c r="A84" s="483"/>
      <c r="B84" s="562"/>
      <c r="C84" s="563"/>
      <c r="D84" s="563"/>
      <c r="E84" s="563"/>
      <c r="F84" s="563"/>
      <c r="H84" s="563"/>
      <c r="I84" s="564"/>
      <c r="J84" s="564"/>
      <c r="K84" s="8"/>
      <c r="M84" s="8"/>
      <c r="N84" s="8"/>
      <c r="O84" s="8"/>
      <c r="P84" s="3"/>
      <c r="Q84" s="3"/>
      <c r="R84" s="3"/>
      <c r="S84" s="3"/>
    </row>
    <row r="85" spans="1:32" ht="15.75" collapsed="1" thickBot="1" x14ac:dyDescent="0.3">
      <c r="A85" s="935" t="s">
        <v>67</v>
      </c>
      <c r="B85" s="936"/>
      <c r="C85" s="543">
        <v>291.60000000000002</v>
      </c>
      <c r="D85" s="537">
        <v>115.65</v>
      </c>
      <c r="E85" s="538">
        <v>161.08000000000001</v>
      </c>
      <c r="F85" s="538">
        <v>69.7</v>
      </c>
      <c r="G85" s="539">
        <f>SUM(D85:F85)</f>
        <v>346.43</v>
      </c>
      <c r="H85" s="540">
        <v>476</v>
      </c>
      <c r="I85" s="549">
        <f t="shared" ref="I85:I91" si="155">G85/C85</f>
        <v>1.188031550068587</v>
      </c>
      <c r="J85" s="541">
        <f t="shared" ref="J85:J91" si="156">H85/C85</f>
        <v>1.6323731138545952</v>
      </c>
      <c r="K85" s="554">
        <f>SUM(K86:K91)</f>
        <v>4145.2000000000007</v>
      </c>
      <c r="L85" s="541">
        <f>ROUND(SUM(L86:L91),0)</f>
        <v>3268</v>
      </c>
      <c r="M85" s="561">
        <f t="shared" ref="M85:M91" si="157">K85/C85</f>
        <v>14.21536351165981</v>
      </c>
      <c r="N85" s="541">
        <f t="shared" ref="N85:N91" si="158">L85/C85</f>
        <v>11.20713305898491</v>
      </c>
      <c r="O85" s="8"/>
      <c r="R85"/>
      <c r="S85"/>
      <c r="U85" s="99" t="s">
        <v>180</v>
      </c>
      <c r="V85" s="99" t="s">
        <v>181</v>
      </c>
      <c r="W85" s="99" t="s">
        <v>182</v>
      </c>
      <c r="X85" s="99" t="s">
        <v>183</v>
      </c>
      <c r="Y85" s="99" t="s">
        <v>184</v>
      </c>
      <c r="Z85" s="99" t="s">
        <v>185</v>
      </c>
      <c r="AA85" s="99" t="s">
        <v>186</v>
      </c>
      <c r="AB85" s="99" t="s">
        <v>187</v>
      </c>
      <c r="AC85" s="99" t="s">
        <v>188</v>
      </c>
      <c r="AD85" s="99" t="s">
        <v>189</v>
      </c>
      <c r="AE85" s="99" t="s">
        <v>190</v>
      </c>
      <c r="AF85" s="99" t="s">
        <v>191</v>
      </c>
    </row>
    <row r="86" spans="1:32" hidden="1" outlineLevel="1" x14ac:dyDescent="0.25">
      <c r="A86" s="528"/>
      <c r="B86" s="511">
        <v>8</v>
      </c>
      <c r="C86" s="529">
        <f t="shared" ref="C86:C91" si="159">VLOOKUP(B86,NURAZANI,2,FALSE)</f>
        <v>61.6</v>
      </c>
      <c r="D86" s="525">
        <v>7.76</v>
      </c>
      <c r="E86" s="525">
        <v>31.86</v>
      </c>
      <c r="F86" s="525">
        <v>29.19</v>
      </c>
      <c r="G86" s="526">
        <f t="shared" ref="G86:G91" si="160">SUM(D86:F86)</f>
        <v>68.81</v>
      </c>
      <c r="H86" s="525">
        <f t="shared" ref="H86:H91" si="161">VLOOKUP(B86,NURAZANI,3,FALSE)</f>
        <v>123</v>
      </c>
      <c r="I86" s="550">
        <f t="shared" si="155"/>
        <v>1.1170454545454545</v>
      </c>
      <c r="J86" s="526">
        <f t="shared" si="156"/>
        <v>1.9967532467532467</v>
      </c>
      <c r="K86" s="555">
        <f t="shared" ref="K86:K91" si="162">VLOOKUP(B86,year2022to23,311,FALSE)-VLOOKUP(B86,year2022to23,289,FALSE)</f>
        <v>837.31000000000017</v>
      </c>
      <c r="L86" s="526">
        <f t="shared" ref="L86:L91" si="163">SUM(U86:AB86)</f>
        <v>677.84</v>
      </c>
      <c r="M86" s="558">
        <f t="shared" si="157"/>
        <v>13.592694805194808</v>
      </c>
      <c r="N86" s="526">
        <f t="shared" si="158"/>
        <v>11.003896103896103</v>
      </c>
      <c r="O86" s="484"/>
      <c r="R86"/>
      <c r="S86"/>
      <c r="U86" s="1">
        <f t="shared" ref="U86:U91" si="164">VLOOKUP(B86,ffbbudgettwofive,7,FALSE)</f>
        <v>61.6</v>
      </c>
      <c r="V86" s="1">
        <f t="shared" ref="V86:V91" si="165">VLOOKUP(B86,ffbbudgettwofive,8,FALSE)</f>
        <v>49.28</v>
      </c>
      <c r="W86" s="1">
        <f t="shared" ref="W86:W91" si="166">VLOOKUP(B86,ffbbudgettwofive,9,FALSE)</f>
        <v>86.240000000000009</v>
      </c>
      <c r="X86" s="1">
        <f t="shared" ref="X86:X91" si="167">VLOOKUP(B86,ffbbudgettwofive,10,FALSE)</f>
        <v>86.240000000000009</v>
      </c>
      <c r="Y86" s="1">
        <f t="shared" ref="Y86:Y91" si="168">VLOOKUP(B86,ffbbudgettwofive,11,FALSE)</f>
        <v>86.240000000000009</v>
      </c>
      <c r="Z86" s="1">
        <f t="shared" ref="Z86:Z91" si="169">VLOOKUP(B86,ffbbudgettwofive,12,FALSE)</f>
        <v>86.240000000000009</v>
      </c>
      <c r="AA86" s="1">
        <f t="shared" ref="AA86:AA91" si="170">VLOOKUP(B86,ffbbudgettwofive,13,FALSE)</f>
        <v>99</v>
      </c>
      <c r="AB86" s="1">
        <f t="shared" ref="AB86:AB91" si="171">VLOOKUP(B86,ffbbudgettwofive,14,FALSE)</f>
        <v>123</v>
      </c>
      <c r="AC86" s="1">
        <f t="shared" ref="AC86:AC91" si="172">VLOOKUP(B86,ffbbudgettwofive,15,FALSE)</f>
        <v>123</v>
      </c>
      <c r="AD86" s="1">
        <f t="shared" ref="AD86:AD91" si="173">VLOOKUP(B86,ffbbudgettwofive,16,FALSE)</f>
        <v>172</v>
      </c>
      <c r="AE86" s="1">
        <f t="shared" ref="AE86:AE91" si="174">VLOOKUP(B86,ffbbudgettwofive,17,FALSE)</f>
        <v>136</v>
      </c>
      <c r="AF86" s="1">
        <f t="shared" ref="AF86:AF91" si="175">VLOOKUP(B86,ffbbudgettwofive,18,FALSE)</f>
        <v>123</v>
      </c>
    </row>
    <row r="87" spans="1:32" hidden="1" outlineLevel="1" x14ac:dyDescent="0.25">
      <c r="A87" s="528"/>
      <c r="B87" s="1">
        <v>9</v>
      </c>
      <c r="C87" s="523">
        <f t="shared" si="159"/>
        <v>38.299999999999997</v>
      </c>
      <c r="D87" s="524">
        <v>14.03</v>
      </c>
      <c r="E87" s="524">
        <v>15.11</v>
      </c>
      <c r="F87" s="524">
        <v>14.22</v>
      </c>
      <c r="G87" s="93">
        <f t="shared" si="160"/>
        <v>43.36</v>
      </c>
      <c r="H87" s="524">
        <f t="shared" si="161"/>
        <v>69</v>
      </c>
      <c r="I87" s="551">
        <f t="shared" si="155"/>
        <v>1.1321148825065275</v>
      </c>
      <c r="J87" s="93">
        <f t="shared" si="156"/>
        <v>1.8015665796344649</v>
      </c>
      <c r="K87" s="556">
        <f t="shared" si="162"/>
        <v>442.76</v>
      </c>
      <c r="L87" s="93">
        <f t="shared" si="163"/>
        <v>378.93000000000006</v>
      </c>
      <c r="M87" s="559">
        <f t="shared" si="157"/>
        <v>11.560313315926894</v>
      </c>
      <c r="N87" s="93">
        <f t="shared" si="158"/>
        <v>9.8937336814621428</v>
      </c>
      <c r="O87" s="484"/>
      <c r="R87"/>
      <c r="S87"/>
      <c r="U87" s="1">
        <f t="shared" si="164"/>
        <v>34.450000000000003</v>
      </c>
      <c r="V87" s="1">
        <f t="shared" si="165"/>
        <v>27.560000000000002</v>
      </c>
      <c r="W87" s="1">
        <f t="shared" si="166"/>
        <v>48.230000000000004</v>
      </c>
      <c r="X87" s="1">
        <f t="shared" si="167"/>
        <v>48.230000000000004</v>
      </c>
      <c r="Y87" s="1">
        <f t="shared" si="168"/>
        <v>48.230000000000004</v>
      </c>
      <c r="Z87" s="1">
        <f t="shared" si="169"/>
        <v>48.230000000000004</v>
      </c>
      <c r="AA87" s="1">
        <f t="shared" si="170"/>
        <v>55</v>
      </c>
      <c r="AB87" s="1">
        <f t="shared" si="171"/>
        <v>69</v>
      </c>
      <c r="AC87" s="1">
        <f t="shared" si="172"/>
        <v>69</v>
      </c>
      <c r="AD87" s="1">
        <f t="shared" si="173"/>
        <v>97</v>
      </c>
      <c r="AE87" s="1">
        <f t="shared" si="174"/>
        <v>76</v>
      </c>
      <c r="AF87" s="1">
        <f t="shared" si="175"/>
        <v>69</v>
      </c>
    </row>
    <row r="88" spans="1:32" hidden="1" outlineLevel="1" x14ac:dyDescent="0.25">
      <c r="A88" s="528"/>
      <c r="B88" s="1">
        <v>12</v>
      </c>
      <c r="C88" s="523">
        <f t="shared" si="159"/>
        <v>71</v>
      </c>
      <c r="D88" s="524">
        <v>26.92</v>
      </c>
      <c r="E88" s="524">
        <v>33.67</v>
      </c>
      <c r="F88" s="524">
        <v>19.77</v>
      </c>
      <c r="G88" s="93">
        <f t="shared" si="160"/>
        <v>80.36</v>
      </c>
      <c r="H88" s="524">
        <f t="shared" si="161"/>
        <v>142</v>
      </c>
      <c r="I88" s="551">
        <f t="shared" si="155"/>
        <v>1.1318309859154929</v>
      </c>
      <c r="J88" s="93">
        <f t="shared" si="156"/>
        <v>2</v>
      </c>
      <c r="K88" s="556">
        <f t="shared" si="162"/>
        <v>920.37999999999988</v>
      </c>
      <c r="L88" s="93">
        <f t="shared" si="163"/>
        <v>781.4</v>
      </c>
      <c r="M88" s="559">
        <f t="shared" si="157"/>
        <v>12.963098591549294</v>
      </c>
      <c r="N88" s="93">
        <f t="shared" si="158"/>
        <v>11.005633802816901</v>
      </c>
      <c r="O88" s="484"/>
      <c r="R88"/>
      <c r="S88"/>
      <c r="U88" s="1">
        <f t="shared" si="164"/>
        <v>71</v>
      </c>
      <c r="V88" s="1">
        <f t="shared" si="165"/>
        <v>56.800000000000004</v>
      </c>
      <c r="W88" s="1">
        <f t="shared" si="166"/>
        <v>99.4</v>
      </c>
      <c r="X88" s="1">
        <f t="shared" si="167"/>
        <v>99.4</v>
      </c>
      <c r="Y88" s="1">
        <f t="shared" si="168"/>
        <v>99.4</v>
      </c>
      <c r="Z88" s="1">
        <f t="shared" si="169"/>
        <v>99.4</v>
      </c>
      <c r="AA88" s="1">
        <f t="shared" si="170"/>
        <v>114</v>
      </c>
      <c r="AB88" s="1">
        <f t="shared" si="171"/>
        <v>142</v>
      </c>
      <c r="AC88" s="1">
        <f t="shared" si="172"/>
        <v>142</v>
      </c>
      <c r="AD88" s="1">
        <f t="shared" si="173"/>
        <v>199</v>
      </c>
      <c r="AE88" s="1">
        <f t="shared" si="174"/>
        <v>156</v>
      </c>
      <c r="AF88" s="1">
        <f t="shared" si="175"/>
        <v>142</v>
      </c>
    </row>
    <row r="89" spans="1:32" hidden="1" outlineLevel="1" x14ac:dyDescent="0.25">
      <c r="A89" s="528"/>
      <c r="B89" s="1">
        <v>10</v>
      </c>
      <c r="C89" s="523">
        <f t="shared" si="159"/>
        <v>19.100000000000001</v>
      </c>
      <c r="D89" s="524">
        <v>8.49</v>
      </c>
      <c r="E89" s="524">
        <v>8.61</v>
      </c>
      <c r="F89" s="524">
        <v>6.52</v>
      </c>
      <c r="G89" s="93">
        <f t="shared" si="160"/>
        <v>23.62</v>
      </c>
      <c r="H89" s="524">
        <f t="shared" si="161"/>
        <v>36</v>
      </c>
      <c r="I89" s="551">
        <f t="shared" si="155"/>
        <v>1.2366492146596859</v>
      </c>
      <c r="J89" s="93">
        <f t="shared" si="156"/>
        <v>1.8848167539267013</v>
      </c>
      <c r="K89" s="556">
        <f t="shared" si="162"/>
        <v>235.42000000000002</v>
      </c>
      <c r="L89" s="93">
        <f t="shared" si="163"/>
        <v>199.31</v>
      </c>
      <c r="M89" s="559">
        <f t="shared" si="157"/>
        <v>12.32565445026178</v>
      </c>
      <c r="N89" s="93">
        <f t="shared" si="158"/>
        <v>10.435078534031414</v>
      </c>
      <c r="O89" s="484"/>
      <c r="R89"/>
      <c r="S89"/>
      <c r="U89" s="1">
        <f t="shared" si="164"/>
        <v>18.150000000000002</v>
      </c>
      <c r="V89" s="1">
        <f t="shared" si="165"/>
        <v>14.52</v>
      </c>
      <c r="W89" s="1">
        <f t="shared" si="166"/>
        <v>25.410000000000004</v>
      </c>
      <c r="X89" s="1">
        <f t="shared" si="167"/>
        <v>25.410000000000004</v>
      </c>
      <c r="Y89" s="1">
        <f t="shared" si="168"/>
        <v>25.410000000000004</v>
      </c>
      <c r="Z89" s="1">
        <f t="shared" si="169"/>
        <v>25.410000000000004</v>
      </c>
      <c r="AA89" s="1">
        <f t="shared" si="170"/>
        <v>29</v>
      </c>
      <c r="AB89" s="1">
        <f t="shared" si="171"/>
        <v>36</v>
      </c>
      <c r="AC89" s="1">
        <f t="shared" si="172"/>
        <v>36</v>
      </c>
      <c r="AD89" s="1">
        <f t="shared" si="173"/>
        <v>51</v>
      </c>
      <c r="AE89" s="1">
        <f t="shared" si="174"/>
        <v>40</v>
      </c>
      <c r="AF89" s="1">
        <f t="shared" si="175"/>
        <v>36</v>
      </c>
    </row>
    <row r="90" spans="1:32" hidden="1" outlineLevel="1" x14ac:dyDescent="0.25">
      <c r="A90" s="528"/>
      <c r="B90" s="1">
        <v>13</v>
      </c>
      <c r="C90" s="523">
        <f t="shared" si="159"/>
        <v>60.8</v>
      </c>
      <c r="D90" s="524">
        <v>29.87</v>
      </c>
      <c r="E90" s="524">
        <v>36.6</v>
      </c>
      <c r="F90" s="524">
        <v>0</v>
      </c>
      <c r="G90" s="93">
        <f t="shared" si="160"/>
        <v>66.47</v>
      </c>
      <c r="H90" s="524">
        <f t="shared" si="161"/>
        <v>134</v>
      </c>
      <c r="I90" s="551">
        <f t="shared" si="155"/>
        <v>1.0932565789473685</v>
      </c>
      <c r="J90" s="93">
        <f t="shared" si="156"/>
        <v>2.2039473684210527</v>
      </c>
      <c r="K90" s="556">
        <f t="shared" si="162"/>
        <v>972.43000000000006</v>
      </c>
      <c r="L90" s="93">
        <f t="shared" si="163"/>
        <v>736.06000000000017</v>
      </c>
      <c r="M90" s="559">
        <f t="shared" si="157"/>
        <v>15.993914473684212</v>
      </c>
      <c r="N90" s="93">
        <f t="shared" si="158"/>
        <v>12.106250000000003</v>
      </c>
      <c r="O90" s="484"/>
      <c r="R90"/>
      <c r="S90"/>
      <c r="U90" s="1">
        <f t="shared" si="164"/>
        <v>66.900000000000006</v>
      </c>
      <c r="V90" s="1">
        <f t="shared" si="165"/>
        <v>53.52</v>
      </c>
      <c r="W90" s="1">
        <f t="shared" si="166"/>
        <v>93.660000000000011</v>
      </c>
      <c r="X90" s="1">
        <f t="shared" si="167"/>
        <v>93.660000000000011</v>
      </c>
      <c r="Y90" s="1">
        <f t="shared" si="168"/>
        <v>93.660000000000011</v>
      </c>
      <c r="Z90" s="1">
        <f t="shared" si="169"/>
        <v>93.660000000000011</v>
      </c>
      <c r="AA90" s="1">
        <f t="shared" si="170"/>
        <v>107</v>
      </c>
      <c r="AB90" s="1">
        <f t="shared" si="171"/>
        <v>134</v>
      </c>
      <c r="AC90" s="1">
        <f t="shared" si="172"/>
        <v>134</v>
      </c>
      <c r="AD90" s="1">
        <f t="shared" si="173"/>
        <v>187</v>
      </c>
      <c r="AE90" s="1">
        <f t="shared" si="174"/>
        <v>147</v>
      </c>
      <c r="AF90" s="1">
        <f t="shared" si="175"/>
        <v>134</v>
      </c>
    </row>
    <row r="91" spans="1:32" hidden="1" outlineLevel="1" x14ac:dyDescent="0.25">
      <c r="A91" s="528"/>
      <c r="B91" s="1">
        <v>18</v>
      </c>
      <c r="C91" s="523">
        <f t="shared" si="159"/>
        <v>40.799999999999997</v>
      </c>
      <c r="D91" s="524">
        <v>28.58</v>
      </c>
      <c r="E91" s="524">
        <v>35.229999999999997</v>
      </c>
      <c r="F91" s="524">
        <v>0</v>
      </c>
      <c r="G91" s="93">
        <f t="shared" si="160"/>
        <v>63.809999999999995</v>
      </c>
      <c r="H91" s="524">
        <f t="shared" si="161"/>
        <v>90</v>
      </c>
      <c r="I91" s="551">
        <f t="shared" si="155"/>
        <v>1.5639705882352941</v>
      </c>
      <c r="J91" s="93">
        <f t="shared" si="156"/>
        <v>2.2058823529411766</v>
      </c>
      <c r="K91" s="556">
        <f t="shared" si="162"/>
        <v>736.90000000000009</v>
      </c>
      <c r="L91" s="93">
        <f t="shared" si="163"/>
        <v>494.26000000000005</v>
      </c>
      <c r="M91" s="559">
        <f t="shared" si="157"/>
        <v>18.061274509803926</v>
      </c>
      <c r="N91" s="93">
        <f t="shared" si="158"/>
        <v>12.114215686274513</v>
      </c>
      <c r="O91" s="484"/>
      <c r="R91"/>
      <c r="S91"/>
      <c r="U91" s="1">
        <f t="shared" si="164"/>
        <v>44.900000000000006</v>
      </c>
      <c r="V91" s="1">
        <f t="shared" si="165"/>
        <v>35.92</v>
      </c>
      <c r="W91" s="1">
        <f t="shared" si="166"/>
        <v>62.860000000000007</v>
      </c>
      <c r="X91" s="1">
        <f t="shared" si="167"/>
        <v>62.860000000000007</v>
      </c>
      <c r="Y91" s="1">
        <f t="shared" si="168"/>
        <v>62.860000000000007</v>
      </c>
      <c r="Z91" s="1">
        <f t="shared" si="169"/>
        <v>62.860000000000007</v>
      </c>
      <c r="AA91" s="1">
        <f t="shared" si="170"/>
        <v>72</v>
      </c>
      <c r="AB91" s="1">
        <f t="shared" si="171"/>
        <v>90</v>
      </c>
      <c r="AC91" s="1">
        <f t="shared" si="172"/>
        <v>90</v>
      </c>
      <c r="AD91" s="1">
        <f t="shared" si="173"/>
        <v>126</v>
      </c>
      <c r="AE91" s="1">
        <f t="shared" si="174"/>
        <v>99</v>
      </c>
      <c r="AF91" s="1">
        <f t="shared" si="175"/>
        <v>90</v>
      </c>
    </row>
    <row r="92" spans="1:32" ht="15.75" hidden="1" outlineLevel="1" thickBot="1" x14ac:dyDescent="0.3">
      <c r="A92" s="483"/>
      <c r="B92" s="562"/>
      <c r="C92" s="563"/>
      <c r="D92" s="563"/>
      <c r="E92" s="563"/>
      <c r="F92" s="563"/>
      <c r="H92" s="563"/>
      <c r="I92" s="564"/>
      <c r="J92" s="564"/>
      <c r="K92" s="8"/>
      <c r="M92" s="8"/>
      <c r="N92" s="8"/>
      <c r="O92" s="8"/>
      <c r="P92" s="3"/>
      <c r="Q92" s="3"/>
      <c r="R92" s="3"/>
      <c r="S92" s="3"/>
    </row>
    <row r="93" spans="1:32" ht="15.75" customHeight="1" collapsed="1" thickBot="1" x14ac:dyDescent="0.3">
      <c r="A93" s="935" t="s">
        <v>68</v>
      </c>
      <c r="B93" s="936"/>
      <c r="C93" s="543">
        <v>208.11</v>
      </c>
      <c r="D93" s="537">
        <f>SUM(D94:D101)</f>
        <v>119.02999999999999</v>
      </c>
      <c r="E93" s="537">
        <f>SUM(E94:E101)</f>
        <v>43.42</v>
      </c>
      <c r="F93" s="537">
        <f>SUM(F94:F101)</f>
        <v>9.9600000000000009</v>
      </c>
      <c r="G93" s="539">
        <f>SUM(D93:F93)</f>
        <v>172.41</v>
      </c>
      <c r="H93" s="540">
        <v>105</v>
      </c>
      <c r="I93" s="549">
        <f t="shared" ref="I93:I101" si="176">G93/C93</f>
        <v>0.82845610494450039</v>
      </c>
      <c r="J93" s="541">
        <f t="shared" ref="J93:J101" si="177">H93/C93</f>
        <v>0.50454086781029261</v>
      </c>
      <c r="K93" s="554">
        <f>SUM(K94:K101)</f>
        <v>1936.0600000000002</v>
      </c>
      <c r="L93" s="541">
        <f>ROUND(SUM(L94:L101),0)</f>
        <v>677</v>
      </c>
      <c r="M93" s="561">
        <f t="shared" ref="M93:M101" si="178">K93/C93</f>
        <v>9.3030608812647166</v>
      </c>
      <c r="N93" s="541">
        <f t="shared" ref="N93:N101" si="179">L93/C93</f>
        <v>3.2530873095958865</v>
      </c>
      <c r="O93" s="8"/>
      <c r="R93"/>
      <c r="S93"/>
      <c r="U93" s="99" t="s">
        <v>180</v>
      </c>
      <c r="V93" s="99" t="s">
        <v>181</v>
      </c>
      <c r="W93" s="99" t="s">
        <v>182</v>
      </c>
      <c r="X93" s="99" t="s">
        <v>183</v>
      </c>
      <c r="Y93" s="99" t="s">
        <v>184</v>
      </c>
      <c r="Z93" s="99" t="s">
        <v>185</v>
      </c>
      <c r="AA93" s="99" t="s">
        <v>186</v>
      </c>
      <c r="AB93" s="99" t="s">
        <v>187</v>
      </c>
      <c r="AC93" s="99" t="s">
        <v>188</v>
      </c>
      <c r="AD93" s="99" t="s">
        <v>189</v>
      </c>
      <c r="AE93" s="99" t="s">
        <v>190</v>
      </c>
      <c r="AF93" s="99" t="s">
        <v>191</v>
      </c>
    </row>
    <row r="94" spans="1:32" hidden="1" outlineLevel="1" x14ac:dyDescent="0.25">
      <c r="A94" s="528"/>
      <c r="B94" s="511">
        <v>25</v>
      </c>
      <c r="C94" s="529">
        <f t="shared" ref="C94:C101" si="180">VLOOKUP(B94,WENDERLINUS,2,FALSE)</f>
        <v>38.22</v>
      </c>
      <c r="D94" s="525">
        <v>23.57</v>
      </c>
      <c r="E94" s="525">
        <v>6.51</v>
      </c>
      <c r="F94" s="525">
        <v>0</v>
      </c>
      <c r="G94" s="526">
        <f t="shared" ref="G94:G101" si="181">SUM(D94:F94)</f>
        <v>30.08</v>
      </c>
      <c r="H94" s="525">
        <f t="shared" ref="H94:H101" si="182">VLOOKUP(B94,WENDERLINUS,3,FALSE)</f>
        <v>13</v>
      </c>
      <c r="I94" s="550">
        <f t="shared" si="176"/>
        <v>0.78702250130821561</v>
      </c>
      <c r="J94" s="526">
        <f t="shared" si="177"/>
        <v>0.3401360544217687</v>
      </c>
      <c r="K94" s="555">
        <f t="shared" ref="K94:K101" si="183">VLOOKUP(B94,year2022to23,311,FALSE)-VLOOKUP(B94,year2022to23,289,FALSE)</f>
        <v>300.22999999999996</v>
      </c>
      <c r="L94" s="526">
        <f>SUM(U94:AB94)</f>
        <v>73.580000000000013</v>
      </c>
      <c r="M94" s="558">
        <f t="shared" si="178"/>
        <v>7.8553113553113549</v>
      </c>
      <c r="N94" s="526">
        <f t="shared" si="179"/>
        <v>1.9251700680272112</v>
      </c>
      <c r="O94" s="484"/>
      <c r="R94"/>
      <c r="S94"/>
      <c r="U94" s="1">
        <f t="shared" ref="U94:U101" si="184">VLOOKUP(B94,ffbbudgettwofive,7,FALSE)</f>
        <v>6.7</v>
      </c>
      <c r="V94" s="1">
        <f t="shared" ref="V94:V101" si="185">VLOOKUP(B94,ffbbudgettwofive,8,FALSE)</f>
        <v>5.36</v>
      </c>
      <c r="W94" s="1">
        <f t="shared" ref="W94:W101" si="186">VLOOKUP(B94,ffbbudgettwofive,9,FALSE)</f>
        <v>9.3800000000000008</v>
      </c>
      <c r="X94" s="1">
        <f t="shared" ref="X94:X101" si="187">VLOOKUP(B94,ffbbudgettwofive,10,FALSE)</f>
        <v>9.3800000000000008</v>
      </c>
      <c r="Y94" s="1">
        <f t="shared" ref="Y94:Y101" si="188">VLOOKUP(B94,ffbbudgettwofive,11,FALSE)</f>
        <v>9.3800000000000008</v>
      </c>
      <c r="Z94" s="1">
        <f t="shared" ref="Z94:Z101" si="189">VLOOKUP(B94,ffbbudgettwofive,12,FALSE)</f>
        <v>9.3800000000000008</v>
      </c>
      <c r="AA94" s="1">
        <f t="shared" ref="AA94:AA101" si="190">VLOOKUP(B94,ffbbudgettwofive,13,FALSE)</f>
        <v>11</v>
      </c>
      <c r="AB94" s="1">
        <f t="shared" ref="AB94:AB101" si="191">VLOOKUP(B94,ffbbudgettwofive,14,FALSE)</f>
        <v>13</v>
      </c>
      <c r="AC94" s="1">
        <f t="shared" ref="AC94:AC101" si="192">VLOOKUP(B94,ffbbudgettwofive,15,FALSE)</f>
        <v>13</v>
      </c>
      <c r="AD94" s="1">
        <f t="shared" ref="AD94:AD101" si="193">VLOOKUP(B94,ffbbudgettwofive,16,FALSE)</f>
        <v>19</v>
      </c>
      <c r="AE94" s="1">
        <f t="shared" ref="AE94:AE101" si="194">VLOOKUP(B94,ffbbudgettwofive,17,FALSE)</f>
        <v>15</v>
      </c>
      <c r="AF94" s="1">
        <f t="shared" ref="AF94:AF101" si="195">VLOOKUP(B94,ffbbudgettwofive,18,FALSE)</f>
        <v>13</v>
      </c>
    </row>
    <row r="95" spans="1:32" hidden="1" outlineLevel="1" x14ac:dyDescent="0.25">
      <c r="A95" s="528"/>
      <c r="B95" s="1" t="s">
        <v>7</v>
      </c>
      <c r="C95" s="523">
        <f t="shared" si="180"/>
        <v>22.72</v>
      </c>
      <c r="D95" s="524">
        <v>18.23</v>
      </c>
      <c r="E95" s="524">
        <v>6.13</v>
      </c>
      <c r="F95" s="524">
        <v>0</v>
      </c>
      <c r="G95" s="93">
        <f t="shared" si="181"/>
        <v>24.36</v>
      </c>
      <c r="H95" s="524">
        <f t="shared" si="182"/>
        <v>11</v>
      </c>
      <c r="I95" s="551">
        <f t="shared" si="176"/>
        <v>1.0721830985915493</v>
      </c>
      <c r="J95" s="93">
        <f t="shared" si="177"/>
        <v>0.48415492957746481</v>
      </c>
      <c r="K95" s="556">
        <f t="shared" si="183"/>
        <v>256.88</v>
      </c>
      <c r="L95" s="93">
        <f t="shared" ref="L95:L101" si="196">SUM(U95:AB95)</f>
        <v>59.960000000000008</v>
      </c>
      <c r="M95" s="559">
        <f t="shared" si="178"/>
        <v>11.306338028169014</v>
      </c>
      <c r="N95" s="93">
        <f t="shared" si="179"/>
        <v>2.6390845070422539</v>
      </c>
      <c r="O95" s="484"/>
      <c r="R95"/>
      <c r="S95"/>
      <c r="U95" s="1">
        <f t="shared" si="184"/>
        <v>5.4</v>
      </c>
      <c r="V95" s="1">
        <f t="shared" si="185"/>
        <v>4.32</v>
      </c>
      <c r="W95" s="1">
        <f t="shared" si="186"/>
        <v>7.5600000000000005</v>
      </c>
      <c r="X95" s="1">
        <f t="shared" si="187"/>
        <v>7.5600000000000005</v>
      </c>
      <c r="Y95" s="1">
        <f t="shared" si="188"/>
        <v>7.5600000000000005</v>
      </c>
      <c r="Z95" s="1">
        <f t="shared" si="189"/>
        <v>7.5600000000000005</v>
      </c>
      <c r="AA95" s="1">
        <f t="shared" si="190"/>
        <v>9</v>
      </c>
      <c r="AB95" s="1">
        <f t="shared" si="191"/>
        <v>11</v>
      </c>
      <c r="AC95" s="1">
        <f t="shared" si="192"/>
        <v>11</v>
      </c>
      <c r="AD95" s="1">
        <f t="shared" si="193"/>
        <v>15</v>
      </c>
      <c r="AE95" s="1">
        <f t="shared" si="194"/>
        <v>12</v>
      </c>
      <c r="AF95" s="1">
        <f t="shared" si="195"/>
        <v>11</v>
      </c>
    </row>
    <row r="96" spans="1:32" hidden="1" outlineLevel="1" x14ac:dyDescent="0.25">
      <c r="A96" s="528"/>
      <c r="B96" s="1">
        <v>27</v>
      </c>
      <c r="C96" s="523">
        <f t="shared" si="180"/>
        <v>18.64</v>
      </c>
      <c r="D96" s="524">
        <v>7.79</v>
      </c>
      <c r="E96" s="524">
        <v>7.52</v>
      </c>
      <c r="F96" s="524">
        <v>9.9600000000000009</v>
      </c>
      <c r="G96" s="93">
        <f t="shared" si="181"/>
        <v>25.27</v>
      </c>
      <c r="H96" s="524">
        <f t="shared" si="182"/>
        <v>9</v>
      </c>
      <c r="I96" s="551">
        <f t="shared" si="176"/>
        <v>1.3556866952789699</v>
      </c>
      <c r="J96" s="93">
        <f t="shared" si="177"/>
        <v>0.48283261802575106</v>
      </c>
      <c r="K96" s="556">
        <f t="shared" si="183"/>
        <v>166.37</v>
      </c>
      <c r="L96" s="93">
        <f t="shared" si="196"/>
        <v>47.82</v>
      </c>
      <c r="M96" s="559">
        <f t="shared" si="178"/>
        <v>8.9254291845493565</v>
      </c>
      <c r="N96" s="93">
        <f t="shared" si="179"/>
        <v>2.5654506437768241</v>
      </c>
      <c r="O96" s="484"/>
      <c r="R96"/>
      <c r="S96"/>
      <c r="U96" s="1">
        <f t="shared" si="184"/>
        <v>4.3</v>
      </c>
      <c r="V96" s="1">
        <f t="shared" si="185"/>
        <v>3.44</v>
      </c>
      <c r="W96" s="1">
        <f t="shared" si="186"/>
        <v>6.0200000000000005</v>
      </c>
      <c r="X96" s="1">
        <f t="shared" si="187"/>
        <v>6.0200000000000005</v>
      </c>
      <c r="Y96" s="1">
        <f t="shared" si="188"/>
        <v>6.0200000000000005</v>
      </c>
      <c r="Z96" s="1">
        <f t="shared" si="189"/>
        <v>6.0200000000000005</v>
      </c>
      <c r="AA96" s="1">
        <f t="shared" si="190"/>
        <v>7</v>
      </c>
      <c r="AB96" s="1">
        <f t="shared" si="191"/>
        <v>9</v>
      </c>
      <c r="AC96" s="1">
        <f t="shared" si="192"/>
        <v>9</v>
      </c>
      <c r="AD96" s="1">
        <f t="shared" si="193"/>
        <v>12</v>
      </c>
      <c r="AE96" s="1">
        <f t="shared" si="194"/>
        <v>9</v>
      </c>
      <c r="AF96" s="1">
        <f t="shared" si="195"/>
        <v>9</v>
      </c>
    </row>
    <row r="97" spans="1:32" hidden="1" outlineLevel="1" x14ac:dyDescent="0.25">
      <c r="A97" s="528"/>
      <c r="B97" s="1">
        <v>28</v>
      </c>
      <c r="C97" s="523">
        <f t="shared" si="180"/>
        <v>25.5</v>
      </c>
      <c r="D97" s="524">
        <v>17.920000000000002</v>
      </c>
      <c r="E97" s="524">
        <v>4.12</v>
      </c>
      <c r="F97" s="524">
        <v>0</v>
      </c>
      <c r="G97" s="93">
        <f t="shared" si="181"/>
        <v>22.040000000000003</v>
      </c>
      <c r="H97" s="524">
        <f t="shared" si="182"/>
        <v>26</v>
      </c>
      <c r="I97" s="551">
        <f t="shared" si="176"/>
        <v>0.86431372549019614</v>
      </c>
      <c r="J97" s="93">
        <f t="shared" si="177"/>
        <v>1.0196078431372548</v>
      </c>
      <c r="K97" s="556">
        <f t="shared" si="183"/>
        <v>309.53000000000003</v>
      </c>
      <c r="L97" s="93">
        <f t="shared" si="196"/>
        <v>141.72000000000003</v>
      </c>
      <c r="M97" s="559">
        <f t="shared" si="178"/>
        <v>12.138431372549022</v>
      </c>
      <c r="N97" s="93">
        <f t="shared" si="179"/>
        <v>5.5576470588235303</v>
      </c>
      <c r="O97" s="484"/>
      <c r="R97"/>
      <c r="S97"/>
      <c r="U97" s="1">
        <f t="shared" si="184"/>
        <v>12.8</v>
      </c>
      <c r="V97" s="1">
        <f t="shared" si="185"/>
        <v>10.24</v>
      </c>
      <c r="W97" s="1">
        <f t="shared" si="186"/>
        <v>17.920000000000002</v>
      </c>
      <c r="X97" s="1">
        <f t="shared" si="187"/>
        <v>17.920000000000002</v>
      </c>
      <c r="Y97" s="1">
        <f t="shared" si="188"/>
        <v>17.920000000000002</v>
      </c>
      <c r="Z97" s="1">
        <f t="shared" si="189"/>
        <v>17.920000000000002</v>
      </c>
      <c r="AA97" s="1">
        <f t="shared" si="190"/>
        <v>21</v>
      </c>
      <c r="AB97" s="1">
        <f t="shared" si="191"/>
        <v>26</v>
      </c>
      <c r="AC97" s="1">
        <f t="shared" si="192"/>
        <v>26</v>
      </c>
      <c r="AD97" s="1">
        <f t="shared" si="193"/>
        <v>36</v>
      </c>
      <c r="AE97" s="1">
        <f t="shared" si="194"/>
        <v>28</v>
      </c>
      <c r="AF97" s="1">
        <f t="shared" si="195"/>
        <v>26</v>
      </c>
    </row>
    <row r="98" spans="1:32" hidden="1" outlineLevel="1" x14ac:dyDescent="0.25">
      <c r="A98" s="528"/>
      <c r="B98" s="1">
        <v>30</v>
      </c>
      <c r="C98" s="523">
        <f t="shared" si="180"/>
        <v>24.35</v>
      </c>
      <c r="D98" s="524">
        <v>13.22</v>
      </c>
      <c r="E98" s="524">
        <v>2.65</v>
      </c>
      <c r="F98" s="524">
        <v>0</v>
      </c>
      <c r="G98" s="93">
        <f t="shared" si="181"/>
        <v>15.870000000000001</v>
      </c>
      <c r="H98" s="524">
        <f t="shared" si="182"/>
        <v>7</v>
      </c>
      <c r="I98" s="551">
        <f t="shared" si="176"/>
        <v>0.6517453798767967</v>
      </c>
      <c r="J98" s="93">
        <f t="shared" si="177"/>
        <v>0.28747433264887062</v>
      </c>
      <c r="K98" s="556">
        <f t="shared" si="183"/>
        <v>206.92</v>
      </c>
      <c r="L98" s="93">
        <f t="shared" si="196"/>
        <v>40.379999999999995</v>
      </c>
      <c r="M98" s="559">
        <f t="shared" si="178"/>
        <v>8.4977412731006154</v>
      </c>
      <c r="N98" s="93">
        <f t="shared" si="179"/>
        <v>1.6583162217659135</v>
      </c>
      <c r="O98" s="484"/>
      <c r="R98"/>
      <c r="S98"/>
      <c r="U98" s="1">
        <f t="shared" si="184"/>
        <v>3.7</v>
      </c>
      <c r="V98" s="1">
        <f t="shared" si="185"/>
        <v>2.96</v>
      </c>
      <c r="W98" s="1">
        <f t="shared" si="186"/>
        <v>5.1800000000000006</v>
      </c>
      <c r="X98" s="1">
        <f t="shared" si="187"/>
        <v>5.1800000000000006</v>
      </c>
      <c r="Y98" s="1">
        <f t="shared" si="188"/>
        <v>5.1800000000000006</v>
      </c>
      <c r="Z98" s="1">
        <f t="shared" si="189"/>
        <v>5.1800000000000006</v>
      </c>
      <c r="AA98" s="1">
        <f t="shared" si="190"/>
        <v>6</v>
      </c>
      <c r="AB98" s="1">
        <f t="shared" si="191"/>
        <v>7</v>
      </c>
      <c r="AC98" s="1">
        <f t="shared" si="192"/>
        <v>7</v>
      </c>
      <c r="AD98" s="1">
        <f t="shared" si="193"/>
        <v>10</v>
      </c>
      <c r="AE98" s="1">
        <f t="shared" si="194"/>
        <v>8</v>
      </c>
      <c r="AF98" s="1">
        <f t="shared" si="195"/>
        <v>7</v>
      </c>
    </row>
    <row r="99" spans="1:32" hidden="1" outlineLevel="1" x14ac:dyDescent="0.25">
      <c r="A99" s="528"/>
      <c r="B99" s="1">
        <v>31</v>
      </c>
      <c r="C99" s="523">
        <f t="shared" si="180"/>
        <v>34.08</v>
      </c>
      <c r="D99" s="524">
        <v>13.52</v>
      </c>
      <c r="E99" s="524">
        <v>3.68</v>
      </c>
      <c r="F99" s="524">
        <v>0</v>
      </c>
      <c r="G99" s="93">
        <f t="shared" si="181"/>
        <v>17.2</v>
      </c>
      <c r="H99" s="524">
        <f t="shared" si="182"/>
        <v>12</v>
      </c>
      <c r="I99" s="551">
        <f t="shared" si="176"/>
        <v>0.50469483568075113</v>
      </c>
      <c r="J99" s="93">
        <f t="shared" si="177"/>
        <v>0.35211267605633806</v>
      </c>
      <c r="K99" s="556">
        <f t="shared" si="183"/>
        <v>215.98999999999998</v>
      </c>
      <c r="L99" s="93">
        <f t="shared" si="196"/>
        <v>63.92</v>
      </c>
      <c r="M99" s="559">
        <f t="shared" si="178"/>
        <v>6.3377347417840371</v>
      </c>
      <c r="N99" s="93">
        <f t="shared" si="179"/>
        <v>1.875586854460094</v>
      </c>
      <c r="O99" s="484"/>
      <c r="R99"/>
      <c r="S99"/>
      <c r="U99" s="1">
        <f t="shared" si="184"/>
        <v>5.8000000000000007</v>
      </c>
      <c r="V99" s="1">
        <f t="shared" si="185"/>
        <v>4.6399999999999997</v>
      </c>
      <c r="W99" s="1">
        <f t="shared" si="186"/>
        <v>8.120000000000001</v>
      </c>
      <c r="X99" s="1">
        <f t="shared" si="187"/>
        <v>8.120000000000001</v>
      </c>
      <c r="Y99" s="1">
        <f t="shared" si="188"/>
        <v>8.120000000000001</v>
      </c>
      <c r="Z99" s="1">
        <f t="shared" si="189"/>
        <v>8.120000000000001</v>
      </c>
      <c r="AA99" s="1">
        <f t="shared" si="190"/>
        <v>9</v>
      </c>
      <c r="AB99" s="1">
        <f t="shared" si="191"/>
        <v>12</v>
      </c>
      <c r="AC99" s="1">
        <f t="shared" si="192"/>
        <v>12</v>
      </c>
      <c r="AD99" s="1">
        <f t="shared" si="193"/>
        <v>16</v>
      </c>
      <c r="AE99" s="1">
        <f t="shared" si="194"/>
        <v>13</v>
      </c>
      <c r="AF99" s="1">
        <f t="shared" si="195"/>
        <v>12</v>
      </c>
    </row>
    <row r="100" spans="1:32" hidden="1" outlineLevel="1" x14ac:dyDescent="0.25">
      <c r="A100" s="528"/>
      <c r="B100" s="1">
        <v>33</v>
      </c>
      <c r="C100" s="523">
        <f t="shared" si="180"/>
        <v>28.72</v>
      </c>
      <c r="D100" s="524">
        <v>23.57</v>
      </c>
      <c r="E100" s="524">
        <v>9.56</v>
      </c>
      <c r="F100" s="524">
        <v>0</v>
      </c>
      <c r="G100" s="93">
        <f t="shared" si="181"/>
        <v>33.130000000000003</v>
      </c>
      <c r="H100" s="524">
        <f t="shared" si="182"/>
        <v>43</v>
      </c>
      <c r="I100" s="551">
        <f t="shared" si="176"/>
        <v>1.1535515320334264</v>
      </c>
      <c r="J100" s="93">
        <f t="shared" si="177"/>
        <v>1.4972144846796658</v>
      </c>
      <c r="K100" s="556">
        <f t="shared" si="183"/>
        <v>444.97</v>
      </c>
      <c r="L100" s="93">
        <f t="shared" si="196"/>
        <v>236.47000000000003</v>
      </c>
      <c r="M100" s="559">
        <f t="shared" si="178"/>
        <v>15.493384401114207</v>
      </c>
      <c r="N100" s="93">
        <f t="shared" si="179"/>
        <v>8.2336350974930372</v>
      </c>
      <c r="O100" s="484"/>
      <c r="R100"/>
      <c r="S100"/>
      <c r="U100" s="1">
        <f t="shared" si="184"/>
        <v>21.55</v>
      </c>
      <c r="V100" s="1">
        <f t="shared" si="185"/>
        <v>17.240000000000002</v>
      </c>
      <c r="W100" s="1">
        <f t="shared" si="186"/>
        <v>30.17</v>
      </c>
      <c r="X100" s="1">
        <f t="shared" si="187"/>
        <v>30.17</v>
      </c>
      <c r="Y100" s="1">
        <f t="shared" si="188"/>
        <v>30.17</v>
      </c>
      <c r="Z100" s="1">
        <f t="shared" si="189"/>
        <v>30.17</v>
      </c>
      <c r="AA100" s="1">
        <f t="shared" si="190"/>
        <v>34</v>
      </c>
      <c r="AB100" s="1">
        <f t="shared" si="191"/>
        <v>43</v>
      </c>
      <c r="AC100" s="1">
        <f t="shared" si="192"/>
        <v>43</v>
      </c>
      <c r="AD100" s="1">
        <f t="shared" si="193"/>
        <v>60</v>
      </c>
      <c r="AE100" s="1">
        <f t="shared" si="194"/>
        <v>47</v>
      </c>
      <c r="AF100" s="1">
        <f t="shared" si="195"/>
        <v>43</v>
      </c>
    </row>
    <row r="101" spans="1:32" hidden="1" outlineLevel="1" x14ac:dyDescent="0.25">
      <c r="A101" s="528"/>
      <c r="B101" s="1">
        <v>39</v>
      </c>
      <c r="C101" s="523">
        <f t="shared" si="180"/>
        <v>4.5</v>
      </c>
      <c r="D101" s="524">
        <v>1.21</v>
      </c>
      <c r="E101" s="524">
        <v>3.25</v>
      </c>
      <c r="F101" s="524">
        <v>0</v>
      </c>
      <c r="G101" s="93">
        <f t="shared" si="181"/>
        <v>4.46</v>
      </c>
      <c r="H101" s="524">
        <f t="shared" si="182"/>
        <v>3</v>
      </c>
      <c r="I101" s="551">
        <f t="shared" si="176"/>
        <v>0.99111111111111105</v>
      </c>
      <c r="J101" s="93">
        <f t="shared" si="177"/>
        <v>0.66666666666666663</v>
      </c>
      <c r="K101" s="556">
        <f t="shared" si="183"/>
        <v>35.17</v>
      </c>
      <c r="L101" s="93">
        <f t="shared" si="196"/>
        <v>12.990000000000002</v>
      </c>
      <c r="M101" s="559">
        <f t="shared" si="178"/>
        <v>7.815555555555556</v>
      </c>
      <c r="N101" s="93">
        <f t="shared" si="179"/>
        <v>2.8866666666666672</v>
      </c>
      <c r="O101" s="484"/>
      <c r="R101"/>
      <c r="S101"/>
      <c r="U101" s="1">
        <f t="shared" si="184"/>
        <v>0.35000000000000009</v>
      </c>
      <c r="V101" s="1">
        <f t="shared" si="185"/>
        <v>8.0000000000000071E-2</v>
      </c>
      <c r="W101" s="1">
        <f t="shared" si="186"/>
        <v>1.8900000000000001</v>
      </c>
      <c r="X101" s="1">
        <f t="shared" si="187"/>
        <v>1.8900000000000001</v>
      </c>
      <c r="Y101" s="1">
        <f t="shared" si="188"/>
        <v>1.8900000000000001</v>
      </c>
      <c r="Z101" s="1">
        <f t="shared" si="189"/>
        <v>1.8900000000000001</v>
      </c>
      <c r="AA101" s="1">
        <f t="shared" si="190"/>
        <v>2</v>
      </c>
      <c r="AB101" s="1">
        <f t="shared" si="191"/>
        <v>3</v>
      </c>
      <c r="AC101" s="1">
        <f t="shared" si="192"/>
        <v>3</v>
      </c>
      <c r="AD101" s="1">
        <f t="shared" si="193"/>
        <v>4</v>
      </c>
      <c r="AE101" s="1">
        <f t="shared" si="194"/>
        <v>3</v>
      </c>
      <c r="AF101" s="1">
        <f t="shared" si="195"/>
        <v>3</v>
      </c>
    </row>
    <row r="102" spans="1:32" ht="15.75" hidden="1" outlineLevel="1" thickBot="1" x14ac:dyDescent="0.3">
      <c r="A102" s="483"/>
      <c r="B102" s="562"/>
      <c r="C102" s="563"/>
      <c r="D102" s="563"/>
      <c r="E102" s="563"/>
      <c r="F102" s="563"/>
      <c r="H102" s="563"/>
      <c r="I102" s="564"/>
      <c r="J102" s="564"/>
      <c r="K102" s="8"/>
      <c r="M102" s="8"/>
      <c r="N102" s="8"/>
      <c r="O102" s="8"/>
      <c r="P102" s="3"/>
      <c r="Q102" s="3"/>
      <c r="R102" s="3"/>
      <c r="S102" s="3"/>
    </row>
    <row r="103" spans="1:32" s="7" customFormat="1" ht="15.75" collapsed="1" thickBot="1" x14ac:dyDescent="0.3">
      <c r="A103" s="935" t="s">
        <v>8</v>
      </c>
      <c r="B103" s="936"/>
      <c r="C103" s="543">
        <f t="shared" ref="C103:H103" si="197">C58+C63+C72+C77+C85+C93</f>
        <v>1427.8899999999999</v>
      </c>
      <c r="D103" s="537">
        <f t="shared" si="197"/>
        <v>910.20999999999992</v>
      </c>
      <c r="E103" s="538">
        <f t="shared" si="197"/>
        <v>693.62</v>
      </c>
      <c r="F103" s="538">
        <f t="shared" si="197"/>
        <v>147.99000000000004</v>
      </c>
      <c r="G103" s="539">
        <f t="shared" si="197"/>
        <v>1751.8200000000002</v>
      </c>
      <c r="H103" s="540">
        <f t="shared" si="197"/>
        <v>2075</v>
      </c>
      <c r="I103" s="549">
        <f>G103/C103</f>
        <v>1.2268592118440498</v>
      </c>
      <c r="J103" s="541">
        <f>H103/C103</f>
        <v>1.4531931731435896</v>
      </c>
      <c r="K103" s="554">
        <f>K58+K63+K72+K77+K85+K93</f>
        <v>16204.53</v>
      </c>
      <c r="L103" s="541">
        <f>ROUND((L58+L63+L72+L77+L85+L93),0)-1</f>
        <v>11429</v>
      </c>
      <c r="M103" s="561">
        <f>K103/C103</f>
        <v>11.348584274699032</v>
      </c>
      <c r="N103" s="541">
        <f>L103/C103</f>
        <v>8.0041179642689571</v>
      </c>
      <c r="P103" s="6"/>
      <c r="Q103" s="6"/>
      <c r="R103" s="472"/>
      <c r="S103" s="472"/>
    </row>
  </sheetData>
  <mergeCells count="33">
    <mergeCell ref="U5:AF5"/>
    <mergeCell ref="D3:N3"/>
    <mergeCell ref="Q4:Q5"/>
    <mergeCell ref="P4:P5"/>
    <mergeCell ref="R4:R5"/>
    <mergeCell ref="D4:G4"/>
    <mergeCell ref="H4:H5"/>
    <mergeCell ref="I4:J4"/>
    <mergeCell ref="K4:L4"/>
    <mergeCell ref="M4:N4"/>
    <mergeCell ref="S4:S5"/>
    <mergeCell ref="P3:S3"/>
    <mergeCell ref="A58:B58"/>
    <mergeCell ref="A57:B57"/>
    <mergeCell ref="I56:J56"/>
    <mergeCell ref="K56:L56"/>
    <mergeCell ref="A11:B11"/>
    <mergeCell ref="M56:N56"/>
    <mergeCell ref="D56:G56"/>
    <mergeCell ref="H56:H57"/>
    <mergeCell ref="A5:B5"/>
    <mergeCell ref="A6:B6"/>
    <mergeCell ref="A41:B41"/>
    <mergeCell ref="A33:B33"/>
    <mergeCell ref="A25:B25"/>
    <mergeCell ref="A20:B20"/>
    <mergeCell ref="A51:B51"/>
    <mergeCell ref="A63:B63"/>
    <mergeCell ref="A72:B72"/>
    <mergeCell ref="A77:B77"/>
    <mergeCell ref="A85:B85"/>
    <mergeCell ref="A103:B103"/>
    <mergeCell ref="A93:B93"/>
  </mergeCells>
  <phoneticPr fontId="42" type="noConversion"/>
  <conditionalFormatting sqref="G6:G51">
    <cfRule type="expression" dxfId="23" priority="5">
      <formula>G6&gt;H6</formula>
    </cfRule>
    <cfRule type="expression" dxfId="22" priority="6">
      <formula>G6&lt;H6</formula>
    </cfRule>
  </conditionalFormatting>
  <conditionalFormatting sqref="G58:G103">
    <cfRule type="expression" dxfId="21" priority="1">
      <formula>G58&gt;H58</formula>
    </cfRule>
    <cfRule type="expression" dxfId="20" priority="2">
      <formula>G58&lt;H58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7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7AAC-6503-4376-9BB4-8D460D25AC79}">
  <sheetPr>
    <tabColor theme="1"/>
    <pageSetUpPr fitToPage="1"/>
  </sheetPr>
  <dimension ref="A1:U59"/>
  <sheetViews>
    <sheetView topLeftCell="B1" zoomScaleNormal="100" workbookViewId="0">
      <selection activeCell="C5" sqref="C5:U5"/>
    </sheetView>
  </sheetViews>
  <sheetFormatPr defaultRowHeight="15" x14ac:dyDescent="0.25"/>
  <cols>
    <col min="1" max="1" width="0" hidden="1" customWidth="1"/>
    <col min="7" max="8" width="9.140625" style="8"/>
    <col min="14" max="14" width="9.140625" style="78"/>
    <col min="18" max="20" width="9.140625" style="78"/>
  </cols>
  <sheetData>
    <row r="1" spans="1:21" x14ac:dyDescent="0.25">
      <c r="A1">
        <v>1</v>
      </c>
      <c r="B1" s="7" t="s">
        <v>12</v>
      </c>
    </row>
    <row r="2" spans="1:21" x14ac:dyDescent="0.25">
      <c r="A2">
        <v>2</v>
      </c>
      <c r="B2" s="7" t="s">
        <v>275</v>
      </c>
    </row>
    <row r="3" spans="1:21" x14ac:dyDescent="0.25">
      <c r="A3">
        <v>3</v>
      </c>
      <c r="C3" s="7"/>
    </row>
    <row r="4" spans="1:21" s="11" customFormat="1" ht="30.75" customHeight="1" x14ac:dyDescent="0.25">
      <c r="A4">
        <v>4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10" t="s">
        <v>19</v>
      </c>
      <c r="H4" s="10" t="s">
        <v>20</v>
      </c>
      <c r="I4" s="9" t="s">
        <v>21</v>
      </c>
      <c r="J4" s="9" t="s">
        <v>22</v>
      </c>
      <c r="K4" s="9" t="s">
        <v>23</v>
      </c>
      <c r="L4" s="9" t="s">
        <v>24</v>
      </c>
      <c r="M4" s="9" t="s">
        <v>25</v>
      </c>
      <c r="N4" s="79" t="s">
        <v>26</v>
      </c>
      <c r="O4" s="9" t="s">
        <v>27</v>
      </c>
      <c r="P4" s="9" t="s">
        <v>28</v>
      </c>
      <c r="Q4" s="9" t="s">
        <v>29</v>
      </c>
      <c r="R4" s="79" t="s">
        <v>30</v>
      </c>
      <c r="S4" s="79" t="s">
        <v>31</v>
      </c>
      <c r="T4" s="79" t="s">
        <v>32</v>
      </c>
      <c r="U4" s="9" t="s">
        <v>33</v>
      </c>
    </row>
    <row r="5" spans="1:21" x14ac:dyDescent="0.25">
      <c r="A5">
        <v>5</v>
      </c>
      <c r="B5" s="1076" t="s">
        <v>34</v>
      </c>
      <c r="C5" s="1">
        <v>1</v>
      </c>
      <c r="D5" s="1" t="s">
        <v>41</v>
      </c>
      <c r="E5" s="1">
        <v>13</v>
      </c>
      <c r="F5" s="1">
        <v>20</v>
      </c>
      <c r="G5" s="12">
        <v>1.67</v>
      </c>
      <c r="H5" s="12">
        <v>53.2</v>
      </c>
      <c r="I5" s="13">
        <f>U5*5%</f>
        <v>53.2</v>
      </c>
      <c r="J5" s="13">
        <f>U5*4%</f>
        <v>42.56</v>
      </c>
      <c r="K5" s="13">
        <f>U5*7%</f>
        <v>74.48</v>
      </c>
      <c r="L5" s="13">
        <f>U5*7%</f>
        <v>74.48</v>
      </c>
      <c r="M5" s="13">
        <f>U5*7%</f>
        <v>74.48</v>
      </c>
      <c r="N5" s="80">
        <f>U5*7%</f>
        <v>74.48</v>
      </c>
      <c r="O5" s="13">
        <f>ROUND(U5*0.08,0)</f>
        <v>85</v>
      </c>
      <c r="P5" s="13">
        <f>ROUND(U5*0.1,0)</f>
        <v>106</v>
      </c>
      <c r="Q5" s="13">
        <f>ROUND(U5*0.1,0)</f>
        <v>106</v>
      </c>
      <c r="R5" s="80">
        <f>ROUND(U5*0.14,0)</f>
        <v>149</v>
      </c>
      <c r="S5" s="80">
        <f>ROUND(U5*0.11,0)</f>
        <v>117</v>
      </c>
      <c r="T5" s="80">
        <f>ROUND(U5*0.1,0)</f>
        <v>106</v>
      </c>
      <c r="U5" s="13">
        <f>ROUND(F5*H5,0)</f>
        <v>1064</v>
      </c>
    </row>
    <row r="6" spans="1:21" x14ac:dyDescent="0.25">
      <c r="A6">
        <v>6</v>
      </c>
      <c r="B6" s="1078"/>
      <c r="C6" s="1">
        <v>2</v>
      </c>
      <c r="D6" s="1" t="s">
        <v>41</v>
      </c>
      <c r="E6" s="1">
        <v>13</v>
      </c>
      <c r="F6" s="1">
        <v>20</v>
      </c>
      <c r="G6" s="12">
        <v>1.67</v>
      </c>
      <c r="H6" s="12">
        <v>60.4</v>
      </c>
      <c r="I6" s="13">
        <f t="shared" ref="I6:I16" si="0">U6*5%</f>
        <v>60.400000000000006</v>
      </c>
      <c r="J6" s="13">
        <f t="shared" ref="J6:J16" si="1">U6*4%</f>
        <v>48.32</v>
      </c>
      <c r="K6" s="13">
        <f t="shared" ref="K6:K16" si="2">U6*7%</f>
        <v>84.56</v>
      </c>
      <c r="L6" s="13">
        <f t="shared" ref="L6:L16" si="3">U6*7%</f>
        <v>84.56</v>
      </c>
      <c r="M6" s="13">
        <f t="shared" ref="M6:M16" si="4">U6*7%</f>
        <v>84.56</v>
      </c>
      <c r="N6" s="80">
        <f t="shared" ref="N6:N16" si="5">U6*7%</f>
        <v>84.56</v>
      </c>
      <c r="O6" s="13">
        <f t="shared" ref="O6:O16" si="6">ROUND(U6*0.08,0)</f>
        <v>97</v>
      </c>
      <c r="P6" s="13">
        <f t="shared" ref="P6:P16" si="7">ROUND(U6*0.1,0)</f>
        <v>121</v>
      </c>
      <c r="Q6" s="13">
        <f t="shared" ref="Q6:Q16" si="8">ROUND(U6*0.1,0)</f>
        <v>121</v>
      </c>
      <c r="R6" s="80">
        <f t="shared" ref="R6:R16" si="9">ROUND(U6*0.14,0)</f>
        <v>169</v>
      </c>
      <c r="S6" s="80">
        <f t="shared" ref="S6:S16" si="10">ROUND(U6*0.11,0)</f>
        <v>133</v>
      </c>
      <c r="T6" s="80">
        <f t="shared" ref="T6:T16" si="11">ROUND(U6*0.1,0)</f>
        <v>121</v>
      </c>
      <c r="U6" s="13">
        <f t="shared" ref="U6:U16" si="12">ROUND(F6*H6,0)</f>
        <v>1208</v>
      </c>
    </row>
    <row r="7" spans="1:21" x14ac:dyDescent="0.25">
      <c r="A7">
        <v>7</v>
      </c>
      <c r="B7" s="1078"/>
      <c r="C7" s="1">
        <v>3</v>
      </c>
      <c r="D7" s="1" t="s">
        <v>41</v>
      </c>
      <c r="E7" s="1">
        <v>13</v>
      </c>
      <c r="F7" s="1">
        <v>20</v>
      </c>
      <c r="G7" s="12">
        <v>1.67</v>
      </c>
      <c r="H7" s="12">
        <v>69.2</v>
      </c>
      <c r="I7" s="13">
        <f t="shared" si="0"/>
        <v>69.2</v>
      </c>
      <c r="J7" s="13">
        <f t="shared" si="1"/>
        <v>55.36</v>
      </c>
      <c r="K7" s="13">
        <f t="shared" si="2"/>
        <v>96.88000000000001</v>
      </c>
      <c r="L7" s="13">
        <f t="shared" si="3"/>
        <v>96.88000000000001</v>
      </c>
      <c r="M7" s="13">
        <f t="shared" si="4"/>
        <v>96.88000000000001</v>
      </c>
      <c r="N7" s="80">
        <f t="shared" si="5"/>
        <v>96.88000000000001</v>
      </c>
      <c r="O7" s="13">
        <f t="shared" si="6"/>
        <v>111</v>
      </c>
      <c r="P7" s="13">
        <f t="shared" si="7"/>
        <v>138</v>
      </c>
      <c r="Q7" s="13">
        <f t="shared" si="8"/>
        <v>138</v>
      </c>
      <c r="R7" s="80">
        <f t="shared" si="9"/>
        <v>194</v>
      </c>
      <c r="S7" s="80">
        <f t="shared" si="10"/>
        <v>152</v>
      </c>
      <c r="T7" s="80">
        <f t="shared" si="11"/>
        <v>138</v>
      </c>
      <c r="U7" s="13">
        <f t="shared" si="12"/>
        <v>1384</v>
      </c>
    </row>
    <row r="8" spans="1:21" x14ac:dyDescent="0.25">
      <c r="A8">
        <v>8</v>
      </c>
      <c r="B8" s="1078"/>
      <c r="C8" s="1">
        <v>4</v>
      </c>
      <c r="D8" s="1" t="s">
        <v>41</v>
      </c>
      <c r="E8" s="1">
        <v>13</v>
      </c>
      <c r="F8" s="1">
        <v>20</v>
      </c>
      <c r="G8" s="12">
        <v>1.67</v>
      </c>
      <c r="H8" s="12">
        <v>70.599999999999994</v>
      </c>
      <c r="I8" s="13">
        <f t="shared" si="0"/>
        <v>70.600000000000009</v>
      </c>
      <c r="J8" s="13">
        <f t="shared" si="1"/>
        <v>56.480000000000004</v>
      </c>
      <c r="K8" s="13">
        <f t="shared" si="2"/>
        <v>98.84</v>
      </c>
      <c r="L8" s="13">
        <f t="shared" si="3"/>
        <v>98.84</v>
      </c>
      <c r="M8" s="13">
        <f t="shared" si="4"/>
        <v>98.84</v>
      </c>
      <c r="N8" s="80">
        <f t="shared" si="5"/>
        <v>98.84</v>
      </c>
      <c r="O8" s="13">
        <f t="shared" si="6"/>
        <v>113</v>
      </c>
      <c r="P8" s="13">
        <f t="shared" si="7"/>
        <v>141</v>
      </c>
      <c r="Q8" s="13">
        <f t="shared" si="8"/>
        <v>141</v>
      </c>
      <c r="R8" s="80">
        <f t="shared" si="9"/>
        <v>198</v>
      </c>
      <c r="S8" s="80">
        <f t="shared" si="10"/>
        <v>155</v>
      </c>
      <c r="T8" s="80">
        <f t="shared" si="11"/>
        <v>141</v>
      </c>
      <c r="U8" s="13">
        <f t="shared" si="12"/>
        <v>1412</v>
      </c>
    </row>
    <row r="9" spans="1:21" x14ac:dyDescent="0.25">
      <c r="A9">
        <v>9</v>
      </c>
      <c r="B9" s="1078"/>
      <c r="C9" s="1">
        <v>5</v>
      </c>
      <c r="D9" s="1" t="s">
        <v>41</v>
      </c>
      <c r="E9" s="1">
        <v>13</v>
      </c>
      <c r="F9" s="1">
        <v>20</v>
      </c>
      <c r="G9" s="12">
        <v>1.67</v>
      </c>
      <c r="H9" s="12">
        <v>50.4</v>
      </c>
      <c r="I9" s="13">
        <f t="shared" si="0"/>
        <v>50.400000000000006</v>
      </c>
      <c r="J9" s="13">
        <f t="shared" si="1"/>
        <v>40.32</v>
      </c>
      <c r="K9" s="13">
        <f t="shared" si="2"/>
        <v>70.56</v>
      </c>
      <c r="L9" s="13">
        <f t="shared" si="3"/>
        <v>70.56</v>
      </c>
      <c r="M9" s="13">
        <f t="shared" si="4"/>
        <v>70.56</v>
      </c>
      <c r="N9" s="80">
        <f t="shared" si="5"/>
        <v>70.56</v>
      </c>
      <c r="O9" s="13">
        <f t="shared" si="6"/>
        <v>81</v>
      </c>
      <c r="P9" s="13">
        <f t="shared" si="7"/>
        <v>101</v>
      </c>
      <c r="Q9" s="13">
        <f t="shared" si="8"/>
        <v>101</v>
      </c>
      <c r="R9" s="80">
        <f t="shared" si="9"/>
        <v>141</v>
      </c>
      <c r="S9" s="80">
        <f t="shared" si="10"/>
        <v>111</v>
      </c>
      <c r="T9" s="80">
        <f t="shared" si="11"/>
        <v>101</v>
      </c>
      <c r="U9" s="13">
        <f t="shared" si="12"/>
        <v>1008</v>
      </c>
    </row>
    <row r="10" spans="1:21" x14ac:dyDescent="0.25">
      <c r="A10">
        <v>10</v>
      </c>
      <c r="B10" s="1078"/>
      <c r="C10" s="1">
        <v>6</v>
      </c>
      <c r="D10" s="1" t="s">
        <v>41</v>
      </c>
      <c r="E10" s="1">
        <v>13</v>
      </c>
      <c r="F10" s="1">
        <v>20</v>
      </c>
      <c r="G10" s="12">
        <v>1.67</v>
      </c>
      <c r="H10" s="12">
        <v>58.6</v>
      </c>
      <c r="I10" s="13">
        <f t="shared" si="0"/>
        <v>58.6</v>
      </c>
      <c r="J10" s="13">
        <f t="shared" si="1"/>
        <v>46.88</v>
      </c>
      <c r="K10" s="13">
        <f t="shared" si="2"/>
        <v>82.04</v>
      </c>
      <c r="L10" s="13">
        <f t="shared" si="3"/>
        <v>82.04</v>
      </c>
      <c r="M10" s="13">
        <f t="shared" si="4"/>
        <v>82.04</v>
      </c>
      <c r="N10" s="80">
        <f t="shared" si="5"/>
        <v>82.04</v>
      </c>
      <c r="O10" s="13">
        <f t="shared" si="6"/>
        <v>94</v>
      </c>
      <c r="P10" s="13">
        <f t="shared" si="7"/>
        <v>117</v>
      </c>
      <c r="Q10" s="13">
        <f t="shared" si="8"/>
        <v>117</v>
      </c>
      <c r="R10" s="80">
        <f t="shared" si="9"/>
        <v>164</v>
      </c>
      <c r="S10" s="80">
        <f t="shared" si="10"/>
        <v>129</v>
      </c>
      <c r="T10" s="80">
        <f t="shared" si="11"/>
        <v>117</v>
      </c>
      <c r="U10" s="13">
        <f t="shared" si="12"/>
        <v>1172</v>
      </c>
    </row>
    <row r="11" spans="1:21" x14ac:dyDescent="0.25">
      <c r="A11">
        <v>11</v>
      </c>
      <c r="B11" s="1078"/>
      <c r="C11" s="1">
        <v>7</v>
      </c>
      <c r="D11" s="1" t="s">
        <v>41</v>
      </c>
      <c r="E11" s="1">
        <v>13</v>
      </c>
      <c r="F11" s="1">
        <v>17</v>
      </c>
      <c r="G11" s="12">
        <v>1.42</v>
      </c>
      <c r="H11" s="12">
        <v>23.6</v>
      </c>
      <c r="I11" s="13">
        <f t="shared" si="0"/>
        <v>20.05</v>
      </c>
      <c r="J11" s="13">
        <f t="shared" si="1"/>
        <v>16.04</v>
      </c>
      <c r="K11" s="13">
        <f t="shared" si="2"/>
        <v>28.070000000000004</v>
      </c>
      <c r="L11" s="13">
        <f t="shared" si="3"/>
        <v>28.070000000000004</v>
      </c>
      <c r="M11" s="13">
        <f t="shared" si="4"/>
        <v>28.070000000000004</v>
      </c>
      <c r="N11" s="80">
        <f t="shared" si="5"/>
        <v>28.070000000000004</v>
      </c>
      <c r="O11" s="13">
        <f t="shared" si="6"/>
        <v>32</v>
      </c>
      <c r="P11" s="13">
        <f t="shared" si="7"/>
        <v>40</v>
      </c>
      <c r="Q11" s="13">
        <f t="shared" si="8"/>
        <v>40</v>
      </c>
      <c r="R11" s="80">
        <f t="shared" si="9"/>
        <v>56</v>
      </c>
      <c r="S11" s="80">
        <f t="shared" si="10"/>
        <v>44</v>
      </c>
      <c r="T11" s="80">
        <f t="shared" si="11"/>
        <v>40</v>
      </c>
      <c r="U11" s="13">
        <f t="shared" si="12"/>
        <v>401</v>
      </c>
    </row>
    <row r="12" spans="1:21" x14ac:dyDescent="0.25">
      <c r="A12">
        <v>12</v>
      </c>
      <c r="B12" s="1078"/>
      <c r="C12" s="1">
        <v>8</v>
      </c>
      <c r="D12" s="1" t="s">
        <v>41</v>
      </c>
      <c r="E12" s="1">
        <v>13</v>
      </c>
      <c r="F12" s="1">
        <v>20</v>
      </c>
      <c r="G12" s="12">
        <v>1.67</v>
      </c>
      <c r="H12" s="12">
        <v>61.6</v>
      </c>
      <c r="I12" s="13">
        <f t="shared" si="0"/>
        <v>61.6</v>
      </c>
      <c r="J12" s="13">
        <f t="shared" si="1"/>
        <v>49.28</v>
      </c>
      <c r="K12" s="13">
        <f t="shared" si="2"/>
        <v>86.240000000000009</v>
      </c>
      <c r="L12" s="13">
        <f t="shared" si="3"/>
        <v>86.240000000000009</v>
      </c>
      <c r="M12" s="13">
        <f t="shared" si="4"/>
        <v>86.240000000000009</v>
      </c>
      <c r="N12" s="80">
        <f t="shared" si="5"/>
        <v>86.240000000000009</v>
      </c>
      <c r="O12" s="13">
        <f t="shared" si="6"/>
        <v>99</v>
      </c>
      <c r="P12" s="13">
        <f t="shared" si="7"/>
        <v>123</v>
      </c>
      <c r="Q12" s="13">
        <f t="shared" si="8"/>
        <v>123</v>
      </c>
      <c r="R12" s="80">
        <f t="shared" si="9"/>
        <v>172</v>
      </c>
      <c r="S12" s="80">
        <f t="shared" si="10"/>
        <v>136</v>
      </c>
      <c r="T12" s="80">
        <f t="shared" si="11"/>
        <v>123</v>
      </c>
      <c r="U12" s="13">
        <f t="shared" si="12"/>
        <v>1232</v>
      </c>
    </row>
    <row r="13" spans="1:21" x14ac:dyDescent="0.25">
      <c r="A13">
        <v>13</v>
      </c>
      <c r="B13" s="1078"/>
      <c r="C13" s="1">
        <v>9</v>
      </c>
      <c r="D13" s="1" t="s">
        <v>41</v>
      </c>
      <c r="E13" s="1">
        <v>13</v>
      </c>
      <c r="F13" s="1">
        <v>18</v>
      </c>
      <c r="G13" s="12">
        <v>1.5</v>
      </c>
      <c r="H13" s="12">
        <v>38.299999999999997</v>
      </c>
      <c r="I13" s="13">
        <f t="shared" si="0"/>
        <v>34.450000000000003</v>
      </c>
      <c r="J13" s="13">
        <f t="shared" si="1"/>
        <v>27.560000000000002</v>
      </c>
      <c r="K13" s="13">
        <f t="shared" si="2"/>
        <v>48.230000000000004</v>
      </c>
      <c r="L13" s="13">
        <f t="shared" si="3"/>
        <v>48.230000000000004</v>
      </c>
      <c r="M13" s="13">
        <f t="shared" si="4"/>
        <v>48.230000000000004</v>
      </c>
      <c r="N13" s="80">
        <f t="shared" si="5"/>
        <v>48.230000000000004</v>
      </c>
      <c r="O13" s="13">
        <f t="shared" si="6"/>
        <v>55</v>
      </c>
      <c r="P13" s="13">
        <f t="shared" si="7"/>
        <v>69</v>
      </c>
      <c r="Q13" s="13">
        <f t="shared" si="8"/>
        <v>69</v>
      </c>
      <c r="R13" s="80">
        <f>ROUND(U13*0.14,0)+1</f>
        <v>97</v>
      </c>
      <c r="S13" s="80">
        <f t="shared" si="10"/>
        <v>76</v>
      </c>
      <c r="T13" s="80">
        <f t="shared" si="11"/>
        <v>69</v>
      </c>
      <c r="U13" s="13">
        <f t="shared" si="12"/>
        <v>689</v>
      </c>
    </row>
    <row r="14" spans="1:21" x14ac:dyDescent="0.25">
      <c r="A14">
        <v>14</v>
      </c>
      <c r="B14" s="1078"/>
      <c r="C14" s="1">
        <v>11</v>
      </c>
      <c r="D14" s="1" t="s">
        <v>276</v>
      </c>
      <c r="E14" s="1">
        <v>12.5</v>
      </c>
      <c r="F14" s="1">
        <v>19</v>
      </c>
      <c r="G14" s="12">
        <v>1.58</v>
      </c>
      <c r="H14" s="12">
        <v>44.5</v>
      </c>
      <c r="I14" s="13">
        <f t="shared" si="0"/>
        <v>42.300000000000004</v>
      </c>
      <c r="J14" s="13">
        <f t="shared" si="1"/>
        <v>33.840000000000003</v>
      </c>
      <c r="K14" s="13">
        <f t="shared" si="2"/>
        <v>59.220000000000006</v>
      </c>
      <c r="L14" s="13">
        <f t="shared" si="3"/>
        <v>59.220000000000006</v>
      </c>
      <c r="M14" s="13">
        <f t="shared" si="4"/>
        <v>59.220000000000006</v>
      </c>
      <c r="N14" s="80">
        <f t="shared" si="5"/>
        <v>59.220000000000006</v>
      </c>
      <c r="O14" s="13">
        <f t="shared" si="6"/>
        <v>68</v>
      </c>
      <c r="P14" s="13">
        <f t="shared" si="7"/>
        <v>85</v>
      </c>
      <c r="Q14" s="13">
        <f t="shared" si="8"/>
        <v>85</v>
      </c>
      <c r="R14" s="80">
        <f t="shared" si="9"/>
        <v>118</v>
      </c>
      <c r="S14" s="80">
        <f t="shared" si="10"/>
        <v>93</v>
      </c>
      <c r="T14" s="80">
        <f t="shared" si="11"/>
        <v>85</v>
      </c>
      <c r="U14" s="13">
        <f t="shared" si="12"/>
        <v>846</v>
      </c>
    </row>
    <row r="15" spans="1:21" x14ac:dyDescent="0.25">
      <c r="A15">
        <v>15</v>
      </c>
      <c r="B15" s="1078"/>
      <c r="C15" s="1">
        <v>12</v>
      </c>
      <c r="D15" s="1" t="s">
        <v>41</v>
      </c>
      <c r="E15" s="1">
        <v>13</v>
      </c>
      <c r="F15" s="1">
        <v>20</v>
      </c>
      <c r="G15" s="12">
        <v>1.67</v>
      </c>
      <c r="H15" s="12">
        <v>76.2</v>
      </c>
      <c r="I15" s="13">
        <f t="shared" si="0"/>
        <v>76.2</v>
      </c>
      <c r="J15" s="13">
        <f t="shared" si="1"/>
        <v>60.96</v>
      </c>
      <c r="K15" s="13">
        <f t="shared" si="2"/>
        <v>106.68</v>
      </c>
      <c r="L15" s="13">
        <f t="shared" si="3"/>
        <v>106.68</v>
      </c>
      <c r="M15" s="13">
        <f t="shared" si="4"/>
        <v>106.68</v>
      </c>
      <c r="N15" s="80">
        <f t="shared" si="5"/>
        <v>106.68</v>
      </c>
      <c r="O15" s="13">
        <f t="shared" si="6"/>
        <v>122</v>
      </c>
      <c r="P15" s="13">
        <f t="shared" si="7"/>
        <v>152</v>
      </c>
      <c r="Q15" s="13">
        <f t="shared" si="8"/>
        <v>152</v>
      </c>
      <c r="R15" s="80">
        <f t="shared" si="9"/>
        <v>213</v>
      </c>
      <c r="S15" s="80">
        <f t="shared" si="10"/>
        <v>168</v>
      </c>
      <c r="T15" s="80">
        <f t="shared" si="11"/>
        <v>152</v>
      </c>
      <c r="U15" s="13">
        <f t="shared" si="12"/>
        <v>1524</v>
      </c>
    </row>
    <row r="16" spans="1:21" x14ac:dyDescent="0.25">
      <c r="A16">
        <v>16</v>
      </c>
      <c r="B16" s="1077"/>
      <c r="C16" s="1">
        <v>23</v>
      </c>
      <c r="D16" s="1" t="s">
        <v>41</v>
      </c>
      <c r="E16" s="1">
        <v>13</v>
      </c>
      <c r="F16" s="1">
        <v>21</v>
      </c>
      <c r="G16" s="12">
        <v>1.75</v>
      </c>
      <c r="H16" s="12">
        <v>14.6</v>
      </c>
      <c r="I16" s="13">
        <f t="shared" si="0"/>
        <v>15.350000000000001</v>
      </c>
      <c r="J16" s="13">
        <f t="shared" si="1"/>
        <v>12.280000000000001</v>
      </c>
      <c r="K16" s="13">
        <f t="shared" si="2"/>
        <v>21.490000000000002</v>
      </c>
      <c r="L16" s="13">
        <f t="shared" si="3"/>
        <v>21.490000000000002</v>
      </c>
      <c r="M16" s="13">
        <f t="shared" si="4"/>
        <v>21.490000000000002</v>
      </c>
      <c r="N16" s="80">
        <f t="shared" si="5"/>
        <v>21.490000000000002</v>
      </c>
      <c r="O16" s="13">
        <f t="shared" si="6"/>
        <v>25</v>
      </c>
      <c r="P16" s="13">
        <f t="shared" si="7"/>
        <v>31</v>
      </c>
      <c r="Q16" s="13">
        <f t="shared" si="8"/>
        <v>31</v>
      </c>
      <c r="R16" s="80">
        <f t="shared" si="9"/>
        <v>43</v>
      </c>
      <c r="S16" s="80">
        <f t="shared" si="10"/>
        <v>34</v>
      </c>
      <c r="T16" s="80">
        <f t="shared" si="11"/>
        <v>31</v>
      </c>
      <c r="U16" s="13">
        <f t="shared" si="12"/>
        <v>307</v>
      </c>
    </row>
    <row r="17" spans="1:21" s="7" customFormat="1" x14ac:dyDescent="0.25">
      <c r="A17">
        <v>17</v>
      </c>
      <c r="G17" s="6"/>
      <c r="H17" s="6">
        <f>SUBTOTAL(9,H5:H16)</f>
        <v>621.20000000000016</v>
      </c>
      <c r="I17" s="14">
        <f>SUBTOTAL(9,I5:I16)</f>
        <v>612.35000000000014</v>
      </c>
      <c r="J17" s="14">
        <f t="shared" ref="J17:T17" si="13">SUBTOTAL(9,J5:J16)</f>
        <v>489.88</v>
      </c>
      <c r="K17" s="14">
        <f t="shared" si="13"/>
        <v>857.29000000000019</v>
      </c>
      <c r="L17" s="14">
        <f t="shared" si="13"/>
        <v>857.29000000000019</v>
      </c>
      <c r="M17" s="14">
        <f t="shared" si="13"/>
        <v>857.29000000000019</v>
      </c>
      <c r="N17" s="81">
        <f t="shared" si="13"/>
        <v>857.29000000000019</v>
      </c>
      <c r="O17" s="14">
        <f>SUBTOTAL(9,O5:O16)</f>
        <v>982</v>
      </c>
      <c r="P17" s="14">
        <f t="shared" si="13"/>
        <v>1224</v>
      </c>
      <c r="Q17" s="14">
        <f t="shared" si="13"/>
        <v>1224</v>
      </c>
      <c r="R17" s="81">
        <f t="shared" si="13"/>
        <v>1714</v>
      </c>
      <c r="S17" s="81">
        <f t="shared" si="13"/>
        <v>1348</v>
      </c>
      <c r="T17" s="81">
        <f t="shared" si="13"/>
        <v>1224</v>
      </c>
      <c r="U17" s="14">
        <f>SUBTOTAL(9,U5:U16)</f>
        <v>12247</v>
      </c>
    </row>
    <row r="18" spans="1:21" x14ac:dyDescent="0.25">
      <c r="A18">
        <v>18</v>
      </c>
    </row>
    <row r="19" spans="1:21" s="11" customFormat="1" ht="30.75" customHeight="1" x14ac:dyDescent="0.25">
      <c r="A19">
        <v>19</v>
      </c>
      <c r="B19" s="9" t="s">
        <v>14</v>
      </c>
      <c r="C19" s="9" t="s">
        <v>15</v>
      </c>
      <c r="D19" s="9" t="s">
        <v>16</v>
      </c>
      <c r="E19" s="9" t="s">
        <v>17</v>
      </c>
      <c r="F19" s="9" t="s">
        <v>18</v>
      </c>
      <c r="G19" s="10" t="s">
        <v>19</v>
      </c>
      <c r="H19" s="10" t="s">
        <v>20</v>
      </c>
      <c r="I19" s="9" t="s">
        <v>21</v>
      </c>
      <c r="J19" s="9" t="s">
        <v>22</v>
      </c>
      <c r="K19" s="9" t="s">
        <v>23</v>
      </c>
      <c r="L19" s="9" t="s">
        <v>24</v>
      </c>
      <c r="M19" s="9" t="s">
        <v>25</v>
      </c>
      <c r="N19" s="79" t="s">
        <v>26</v>
      </c>
      <c r="O19" s="9" t="s">
        <v>27</v>
      </c>
      <c r="P19" s="9" t="s">
        <v>28</v>
      </c>
      <c r="Q19" s="9" t="s">
        <v>29</v>
      </c>
      <c r="R19" s="79" t="s">
        <v>30</v>
      </c>
      <c r="S19" s="79" t="s">
        <v>31</v>
      </c>
      <c r="T19" s="79" t="s">
        <v>32</v>
      </c>
      <c r="U19" s="9" t="s">
        <v>33</v>
      </c>
    </row>
    <row r="20" spans="1:21" x14ac:dyDescent="0.25">
      <c r="A20">
        <v>20</v>
      </c>
      <c r="B20" s="1076" t="s">
        <v>38</v>
      </c>
      <c r="C20" s="1">
        <v>10</v>
      </c>
      <c r="D20" s="1" t="s">
        <v>277</v>
      </c>
      <c r="E20" s="1">
        <v>11.5</v>
      </c>
      <c r="F20" s="1">
        <v>19</v>
      </c>
      <c r="G20" s="12">
        <v>1.58</v>
      </c>
      <c r="H20" s="12">
        <v>19.100000000000001</v>
      </c>
      <c r="I20" s="13">
        <f t="shared" ref="I20:I26" si="14">U20*5%</f>
        <v>18.150000000000002</v>
      </c>
      <c r="J20" s="13">
        <f t="shared" ref="J20:J26" si="15">U20*4%</f>
        <v>14.52</v>
      </c>
      <c r="K20" s="13">
        <f t="shared" ref="K20:K26" si="16">U20*7%</f>
        <v>25.410000000000004</v>
      </c>
      <c r="L20" s="13">
        <f t="shared" ref="L20:L26" si="17">U20*7%</f>
        <v>25.410000000000004</v>
      </c>
      <c r="M20" s="13">
        <f t="shared" ref="M20:M26" si="18">U20*7%</f>
        <v>25.410000000000004</v>
      </c>
      <c r="N20" s="80">
        <f t="shared" ref="N20:N26" si="19">U20*7%</f>
        <v>25.410000000000004</v>
      </c>
      <c r="O20" s="13">
        <f t="shared" ref="O20:O26" si="20">ROUND(U20*0.08,0)</f>
        <v>29</v>
      </c>
      <c r="P20" s="13">
        <f t="shared" ref="P20:P26" si="21">ROUND(U20*0.1,0)</f>
        <v>36</v>
      </c>
      <c r="Q20" s="13">
        <f t="shared" ref="Q20:Q26" si="22">ROUND(U20*0.1,0)</f>
        <v>36</v>
      </c>
      <c r="R20" s="80">
        <f t="shared" ref="R20:R26" si="23">ROUND(U20*0.14,0)</f>
        <v>51</v>
      </c>
      <c r="S20" s="80">
        <f t="shared" ref="S20:S26" si="24">ROUND(U20*0.11,0)</f>
        <v>40</v>
      </c>
      <c r="T20" s="80">
        <f t="shared" ref="T20:T26" si="25">ROUND(U20*0.1,0)</f>
        <v>36</v>
      </c>
      <c r="U20" s="13">
        <f>ROUND(F20*H20,0)</f>
        <v>363</v>
      </c>
    </row>
    <row r="21" spans="1:21" x14ac:dyDescent="0.25">
      <c r="A21">
        <v>21</v>
      </c>
      <c r="B21" s="1078"/>
      <c r="C21" s="1">
        <v>13</v>
      </c>
      <c r="D21" s="1" t="s">
        <v>278</v>
      </c>
      <c r="E21" s="1">
        <v>12</v>
      </c>
      <c r="F21" s="1">
        <v>22</v>
      </c>
      <c r="G21" s="12">
        <v>1.83</v>
      </c>
      <c r="H21" s="12">
        <v>60.8</v>
      </c>
      <c r="I21" s="13">
        <f t="shared" si="14"/>
        <v>66.900000000000006</v>
      </c>
      <c r="J21" s="13">
        <f t="shared" si="15"/>
        <v>53.52</v>
      </c>
      <c r="K21" s="13">
        <f t="shared" si="16"/>
        <v>93.660000000000011</v>
      </c>
      <c r="L21" s="13">
        <f t="shared" si="17"/>
        <v>93.660000000000011</v>
      </c>
      <c r="M21" s="13">
        <f t="shared" si="18"/>
        <v>93.660000000000011</v>
      </c>
      <c r="N21" s="80">
        <f t="shared" si="19"/>
        <v>93.660000000000011</v>
      </c>
      <c r="O21" s="13">
        <f t="shared" si="20"/>
        <v>107</v>
      </c>
      <c r="P21" s="13">
        <f t="shared" si="21"/>
        <v>134</v>
      </c>
      <c r="Q21" s="13">
        <f t="shared" si="22"/>
        <v>134</v>
      </c>
      <c r="R21" s="80">
        <f t="shared" si="23"/>
        <v>187</v>
      </c>
      <c r="S21" s="80">
        <f t="shared" si="24"/>
        <v>147</v>
      </c>
      <c r="T21" s="80">
        <f t="shared" si="25"/>
        <v>134</v>
      </c>
      <c r="U21" s="13">
        <f t="shared" ref="U21:U26" si="26">ROUND(F21*H21,0)</f>
        <v>1338</v>
      </c>
    </row>
    <row r="22" spans="1:21" x14ac:dyDescent="0.25">
      <c r="A22">
        <v>22</v>
      </c>
      <c r="B22" s="1078"/>
      <c r="C22" s="1">
        <v>14</v>
      </c>
      <c r="D22" s="1" t="s">
        <v>278</v>
      </c>
      <c r="E22" s="1">
        <v>12</v>
      </c>
      <c r="F22" s="1">
        <v>21</v>
      </c>
      <c r="G22" s="12">
        <v>1.75</v>
      </c>
      <c r="H22" s="12">
        <v>41.6</v>
      </c>
      <c r="I22" s="13">
        <f t="shared" si="14"/>
        <v>43.7</v>
      </c>
      <c r="J22" s="13">
        <f t="shared" si="15"/>
        <v>34.96</v>
      </c>
      <c r="K22" s="13">
        <f t="shared" si="16"/>
        <v>61.180000000000007</v>
      </c>
      <c r="L22" s="13">
        <f t="shared" si="17"/>
        <v>61.180000000000007</v>
      </c>
      <c r="M22" s="13">
        <f t="shared" si="18"/>
        <v>61.180000000000007</v>
      </c>
      <c r="N22" s="80">
        <f t="shared" si="19"/>
        <v>61.180000000000007</v>
      </c>
      <c r="O22" s="13">
        <f t="shared" si="20"/>
        <v>70</v>
      </c>
      <c r="P22" s="13">
        <f t="shared" si="21"/>
        <v>87</v>
      </c>
      <c r="Q22" s="13">
        <f t="shared" si="22"/>
        <v>87</v>
      </c>
      <c r="R22" s="80">
        <f t="shared" si="23"/>
        <v>122</v>
      </c>
      <c r="S22" s="80">
        <f t="shared" si="24"/>
        <v>96</v>
      </c>
      <c r="T22" s="80">
        <f t="shared" si="25"/>
        <v>87</v>
      </c>
      <c r="U22" s="13">
        <f t="shared" si="26"/>
        <v>874</v>
      </c>
    </row>
    <row r="23" spans="1:21" x14ac:dyDescent="0.25">
      <c r="A23">
        <v>23</v>
      </c>
      <c r="B23" s="1078"/>
      <c r="C23" s="1">
        <v>15</v>
      </c>
      <c r="D23" s="1" t="s">
        <v>278</v>
      </c>
      <c r="E23" s="1">
        <v>12</v>
      </c>
      <c r="F23" s="1">
        <v>20</v>
      </c>
      <c r="G23" s="12">
        <v>1.67</v>
      </c>
      <c r="H23" s="12">
        <v>49.3</v>
      </c>
      <c r="I23" s="13">
        <f t="shared" si="14"/>
        <v>49.300000000000004</v>
      </c>
      <c r="J23" s="13">
        <f t="shared" si="15"/>
        <v>39.44</v>
      </c>
      <c r="K23" s="13">
        <f t="shared" si="16"/>
        <v>69.02000000000001</v>
      </c>
      <c r="L23" s="13">
        <f t="shared" si="17"/>
        <v>69.02000000000001</v>
      </c>
      <c r="M23" s="13">
        <f t="shared" si="18"/>
        <v>69.02000000000001</v>
      </c>
      <c r="N23" s="80">
        <f t="shared" si="19"/>
        <v>69.02000000000001</v>
      </c>
      <c r="O23" s="13">
        <f t="shared" si="20"/>
        <v>79</v>
      </c>
      <c r="P23" s="13">
        <f t="shared" si="21"/>
        <v>99</v>
      </c>
      <c r="Q23" s="13">
        <f t="shared" si="22"/>
        <v>99</v>
      </c>
      <c r="R23" s="80">
        <f t="shared" si="23"/>
        <v>138</v>
      </c>
      <c r="S23" s="80">
        <f t="shared" si="24"/>
        <v>108</v>
      </c>
      <c r="T23" s="80">
        <f t="shared" si="25"/>
        <v>99</v>
      </c>
      <c r="U23" s="13">
        <f t="shared" si="26"/>
        <v>986</v>
      </c>
    </row>
    <row r="24" spans="1:21" x14ac:dyDescent="0.25">
      <c r="A24">
        <v>24</v>
      </c>
      <c r="B24" s="1078"/>
      <c r="C24" s="1">
        <v>16</v>
      </c>
      <c r="D24" s="1" t="s">
        <v>277</v>
      </c>
      <c r="E24" s="1">
        <v>11.5</v>
      </c>
      <c r="F24" s="1">
        <v>20</v>
      </c>
      <c r="G24" s="12">
        <v>1.67</v>
      </c>
      <c r="H24" s="12">
        <v>53.2</v>
      </c>
      <c r="I24" s="13">
        <f t="shared" si="14"/>
        <v>53.2</v>
      </c>
      <c r="J24" s="13">
        <f t="shared" si="15"/>
        <v>42.56</v>
      </c>
      <c r="K24" s="13">
        <f t="shared" si="16"/>
        <v>74.48</v>
      </c>
      <c r="L24" s="13">
        <f t="shared" si="17"/>
        <v>74.48</v>
      </c>
      <c r="M24" s="13">
        <f t="shared" si="18"/>
        <v>74.48</v>
      </c>
      <c r="N24" s="80">
        <f t="shared" si="19"/>
        <v>74.48</v>
      </c>
      <c r="O24" s="13">
        <f t="shared" si="20"/>
        <v>85</v>
      </c>
      <c r="P24" s="13">
        <f t="shared" si="21"/>
        <v>106</v>
      </c>
      <c r="Q24" s="13">
        <f t="shared" si="22"/>
        <v>106</v>
      </c>
      <c r="R24" s="80">
        <f t="shared" si="23"/>
        <v>149</v>
      </c>
      <c r="S24" s="80">
        <f t="shared" si="24"/>
        <v>117</v>
      </c>
      <c r="T24" s="80">
        <f t="shared" si="25"/>
        <v>106</v>
      </c>
      <c r="U24" s="13">
        <f t="shared" si="26"/>
        <v>1064</v>
      </c>
    </row>
    <row r="25" spans="1:21" x14ac:dyDescent="0.25">
      <c r="A25">
        <v>25</v>
      </c>
      <c r="B25" s="1078"/>
      <c r="C25" s="1">
        <v>17</v>
      </c>
      <c r="D25" s="1" t="s">
        <v>277</v>
      </c>
      <c r="E25" s="1">
        <v>11.5</v>
      </c>
      <c r="F25" s="1">
        <v>22</v>
      </c>
      <c r="G25" s="12">
        <v>1.83</v>
      </c>
      <c r="H25" s="12">
        <v>45.7</v>
      </c>
      <c r="I25" s="13">
        <f t="shared" si="14"/>
        <v>50.25</v>
      </c>
      <c r="J25" s="13">
        <f t="shared" si="15"/>
        <v>40.200000000000003</v>
      </c>
      <c r="K25" s="13">
        <f t="shared" si="16"/>
        <v>70.350000000000009</v>
      </c>
      <c r="L25" s="13">
        <f t="shared" si="17"/>
        <v>70.350000000000009</v>
      </c>
      <c r="M25" s="13">
        <f t="shared" si="18"/>
        <v>70.350000000000009</v>
      </c>
      <c r="N25" s="80">
        <f t="shared" si="19"/>
        <v>70.350000000000009</v>
      </c>
      <c r="O25" s="13">
        <f t="shared" si="20"/>
        <v>80</v>
      </c>
      <c r="P25" s="13">
        <f t="shared" si="21"/>
        <v>101</v>
      </c>
      <c r="Q25" s="13">
        <f t="shared" si="22"/>
        <v>101</v>
      </c>
      <c r="R25" s="80">
        <f t="shared" si="23"/>
        <v>141</v>
      </c>
      <c r="S25" s="80">
        <f t="shared" si="24"/>
        <v>111</v>
      </c>
      <c r="T25" s="80">
        <f t="shared" si="25"/>
        <v>101</v>
      </c>
      <c r="U25" s="13">
        <f t="shared" si="26"/>
        <v>1005</v>
      </c>
    </row>
    <row r="26" spans="1:21" x14ac:dyDescent="0.25">
      <c r="A26">
        <v>26</v>
      </c>
      <c r="B26" s="1077"/>
      <c r="C26" s="1">
        <v>18</v>
      </c>
      <c r="D26" s="1" t="s">
        <v>277</v>
      </c>
      <c r="E26" s="1">
        <v>11.5</v>
      </c>
      <c r="F26" s="1">
        <v>22</v>
      </c>
      <c r="G26" s="12">
        <v>1.83</v>
      </c>
      <c r="H26" s="12">
        <v>40.799999999999997</v>
      </c>
      <c r="I26" s="13">
        <f t="shared" si="14"/>
        <v>44.900000000000006</v>
      </c>
      <c r="J26" s="13">
        <f t="shared" si="15"/>
        <v>35.92</v>
      </c>
      <c r="K26" s="13">
        <f t="shared" si="16"/>
        <v>62.860000000000007</v>
      </c>
      <c r="L26" s="13">
        <f t="shared" si="17"/>
        <v>62.860000000000007</v>
      </c>
      <c r="M26" s="13">
        <f t="shared" si="18"/>
        <v>62.860000000000007</v>
      </c>
      <c r="N26" s="80">
        <f t="shared" si="19"/>
        <v>62.860000000000007</v>
      </c>
      <c r="O26" s="13">
        <f t="shared" si="20"/>
        <v>72</v>
      </c>
      <c r="P26" s="13">
        <f t="shared" si="21"/>
        <v>90</v>
      </c>
      <c r="Q26" s="13">
        <f t="shared" si="22"/>
        <v>90</v>
      </c>
      <c r="R26" s="80">
        <f t="shared" si="23"/>
        <v>126</v>
      </c>
      <c r="S26" s="80">
        <f t="shared" si="24"/>
        <v>99</v>
      </c>
      <c r="T26" s="80">
        <f t="shared" si="25"/>
        <v>90</v>
      </c>
      <c r="U26" s="13">
        <f t="shared" si="26"/>
        <v>898</v>
      </c>
    </row>
    <row r="27" spans="1:21" s="7" customFormat="1" x14ac:dyDescent="0.25">
      <c r="A27">
        <v>27</v>
      </c>
      <c r="G27" s="6"/>
      <c r="H27" s="6">
        <f>SUBTOTAL(9,H20:H26)</f>
        <v>310.5</v>
      </c>
      <c r="I27" s="14">
        <f t="shared" ref="I27:T27" si="27">SUBTOTAL(9,I20:I26)</f>
        <v>326.39999999999998</v>
      </c>
      <c r="J27" s="14">
        <f t="shared" si="27"/>
        <v>261.12</v>
      </c>
      <c r="K27" s="14">
        <f t="shared" si="27"/>
        <v>456.96000000000009</v>
      </c>
      <c r="L27" s="14">
        <f t="shared" si="27"/>
        <v>456.96000000000009</v>
      </c>
      <c r="M27" s="14">
        <f t="shared" si="27"/>
        <v>456.96000000000009</v>
      </c>
      <c r="N27" s="81">
        <f t="shared" si="27"/>
        <v>456.96000000000009</v>
      </c>
      <c r="O27" s="14">
        <f t="shared" si="27"/>
        <v>522</v>
      </c>
      <c r="P27" s="14">
        <f t="shared" si="27"/>
        <v>653</v>
      </c>
      <c r="Q27" s="14">
        <f t="shared" si="27"/>
        <v>653</v>
      </c>
      <c r="R27" s="81">
        <f t="shared" si="27"/>
        <v>914</v>
      </c>
      <c r="S27" s="81">
        <f t="shared" si="27"/>
        <v>718</v>
      </c>
      <c r="T27" s="81">
        <f t="shared" si="27"/>
        <v>653</v>
      </c>
      <c r="U27" s="15">
        <f>SUBTOTAL(9,U20:U26)-1</f>
        <v>6527</v>
      </c>
    </row>
    <row r="28" spans="1:21" x14ac:dyDescent="0.25">
      <c r="A28">
        <v>28</v>
      </c>
    </row>
    <row r="29" spans="1:21" s="11" customFormat="1" ht="30.75" customHeight="1" x14ac:dyDescent="0.25">
      <c r="A29">
        <v>29</v>
      </c>
      <c r="B29" s="9" t="s">
        <v>14</v>
      </c>
      <c r="C29" s="9" t="s">
        <v>15</v>
      </c>
      <c r="D29" s="9" t="s">
        <v>16</v>
      </c>
      <c r="E29" s="9" t="s">
        <v>17</v>
      </c>
      <c r="F29" s="9" t="s">
        <v>18</v>
      </c>
      <c r="G29" s="10" t="s">
        <v>19</v>
      </c>
      <c r="H29" s="10" t="s">
        <v>20</v>
      </c>
      <c r="I29" s="9" t="s">
        <v>21</v>
      </c>
      <c r="J29" s="9" t="s">
        <v>22</v>
      </c>
      <c r="K29" s="9" t="s">
        <v>23</v>
      </c>
      <c r="L29" s="9" t="s">
        <v>24</v>
      </c>
      <c r="M29" s="9" t="s">
        <v>25</v>
      </c>
      <c r="N29" s="79" t="s">
        <v>26</v>
      </c>
      <c r="O29" s="9" t="s">
        <v>27</v>
      </c>
      <c r="P29" s="9" t="s">
        <v>28</v>
      </c>
      <c r="Q29" s="9" t="s">
        <v>29</v>
      </c>
      <c r="R29" s="79" t="s">
        <v>30</v>
      </c>
      <c r="S29" s="79" t="s">
        <v>31</v>
      </c>
      <c r="T29" s="79" t="s">
        <v>32</v>
      </c>
      <c r="U29" s="9" t="s">
        <v>33</v>
      </c>
    </row>
    <row r="30" spans="1:21" x14ac:dyDescent="0.25">
      <c r="A30">
        <v>30</v>
      </c>
      <c r="B30" s="1076" t="s">
        <v>40</v>
      </c>
      <c r="C30" s="1">
        <v>19</v>
      </c>
      <c r="D30" s="1" t="s">
        <v>277</v>
      </c>
      <c r="E30" s="1">
        <v>11.5</v>
      </c>
      <c r="F30" s="1">
        <v>21</v>
      </c>
      <c r="G30" s="12">
        <v>1.75</v>
      </c>
      <c r="H30" s="12">
        <v>50.6</v>
      </c>
      <c r="I30" s="13">
        <f>U30*5%</f>
        <v>53.150000000000006</v>
      </c>
      <c r="J30" s="13">
        <f>U30*4%</f>
        <v>42.52</v>
      </c>
      <c r="K30" s="13">
        <f>U30*7%</f>
        <v>74.410000000000011</v>
      </c>
      <c r="L30" s="13">
        <f>U30*7%</f>
        <v>74.410000000000011</v>
      </c>
      <c r="M30" s="13">
        <f>U30*7%</f>
        <v>74.410000000000011</v>
      </c>
      <c r="N30" s="80">
        <f>U30*7%</f>
        <v>74.410000000000011</v>
      </c>
      <c r="O30" s="13">
        <f>ROUND(U30*0.08,0)</f>
        <v>85</v>
      </c>
      <c r="P30" s="13">
        <f>ROUND(U30*0.1,0)</f>
        <v>106</v>
      </c>
      <c r="Q30" s="13">
        <f>ROUND(U30*0.1,0)</f>
        <v>106</v>
      </c>
      <c r="R30" s="80">
        <f>ROUND(U30*0.14,0)</f>
        <v>149</v>
      </c>
      <c r="S30" s="80">
        <f>ROUND(U30*0.11,0)</f>
        <v>117</v>
      </c>
      <c r="T30" s="80">
        <f>ROUND(U30*0.1,0)</f>
        <v>106</v>
      </c>
      <c r="U30" s="13">
        <f>ROUND(F30*H30,0)</f>
        <v>1063</v>
      </c>
    </row>
    <row r="31" spans="1:21" x14ac:dyDescent="0.25">
      <c r="A31">
        <v>31</v>
      </c>
      <c r="B31" s="1078"/>
      <c r="C31" s="1">
        <v>20</v>
      </c>
      <c r="D31" s="1" t="s">
        <v>279</v>
      </c>
      <c r="E31" s="1">
        <v>11</v>
      </c>
      <c r="F31" s="1">
        <v>21</v>
      </c>
      <c r="G31" s="12">
        <v>1.75</v>
      </c>
      <c r="H31" s="12">
        <v>62.1</v>
      </c>
      <c r="I31" s="13">
        <f>U31*5%</f>
        <v>65.2</v>
      </c>
      <c r="J31" s="13">
        <f>U31*4%</f>
        <v>52.160000000000004</v>
      </c>
      <c r="K31" s="13">
        <f>U31*7%</f>
        <v>91.280000000000015</v>
      </c>
      <c r="L31" s="13">
        <f>U31*7%</f>
        <v>91.280000000000015</v>
      </c>
      <c r="M31" s="13">
        <f>U31*7%</f>
        <v>91.280000000000015</v>
      </c>
      <c r="N31" s="80">
        <f>U31*7%</f>
        <v>91.280000000000015</v>
      </c>
      <c r="O31" s="13">
        <f>ROUND(U31*0.08,0)</f>
        <v>104</v>
      </c>
      <c r="P31" s="13">
        <f>ROUND(U31*0.1,0)</f>
        <v>130</v>
      </c>
      <c r="Q31" s="13">
        <f>ROUND(U31*0.1,0)</f>
        <v>130</v>
      </c>
      <c r="R31" s="80">
        <f>ROUND(U31*0.14,0)</f>
        <v>183</v>
      </c>
      <c r="S31" s="80">
        <f>ROUND(U31*0.11,0)</f>
        <v>143</v>
      </c>
      <c r="T31" s="80">
        <f>ROUND(U31*0.1,0)</f>
        <v>130</v>
      </c>
      <c r="U31" s="13">
        <f>ROUND(F31*H31,0)</f>
        <v>1304</v>
      </c>
    </row>
    <row r="32" spans="1:21" x14ac:dyDescent="0.25">
      <c r="A32">
        <v>32</v>
      </c>
      <c r="B32" s="1078"/>
      <c r="C32" s="1">
        <v>21</v>
      </c>
      <c r="D32" s="1" t="s">
        <v>279</v>
      </c>
      <c r="E32" s="1">
        <v>11</v>
      </c>
      <c r="F32" s="1">
        <v>23</v>
      </c>
      <c r="G32" s="12">
        <v>1.92</v>
      </c>
      <c r="H32" s="12">
        <v>72.2</v>
      </c>
      <c r="I32" s="13">
        <f>U32*5%</f>
        <v>83.050000000000011</v>
      </c>
      <c r="J32" s="13">
        <f>U32*4%</f>
        <v>66.44</v>
      </c>
      <c r="K32" s="13">
        <f>U32*7%</f>
        <v>116.27000000000001</v>
      </c>
      <c r="L32" s="13">
        <f>U32*7%</f>
        <v>116.27000000000001</v>
      </c>
      <c r="M32" s="13">
        <f>U32*7%</f>
        <v>116.27000000000001</v>
      </c>
      <c r="N32" s="80">
        <f>U32*7%</f>
        <v>116.27000000000001</v>
      </c>
      <c r="O32" s="13">
        <f>ROUND(U32*0.08,0)</f>
        <v>133</v>
      </c>
      <c r="P32" s="13">
        <f>ROUND(U32*0.1,0)</f>
        <v>166</v>
      </c>
      <c r="Q32" s="13">
        <f>ROUND(U32*0.1,0)</f>
        <v>166</v>
      </c>
      <c r="R32" s="80">
        <f>ROUND(U32*0.14,0)-1</f>
        <v>232</v>
      </c>
      <c r="S32" s="80">
        <f>ROUND(U32*0.11,0)</f>
        <v>183</v>
      </c>
      <c r="T32" s="80">
        <f>ROUND(U32*0.1,0)</f>
        <v>166</v>
      </c>
      <c r="U32" s="13">
        <f>ROUND(F32*H32,0)</f>
        <v>1661</v>
      </c>
    </row>
    <row r="33" spans="1:21" x14ac:dyDescent="0.25">
      <c r="A33">
        <v>33</v>
      </c>
      <c r="B33" s="1078"/>
      <c r="C33" s="1">
        <v>22</v>
      </c>
      <c r="D33" s="1" t="s">
        <v>279</v>
      </c>
      <c r="E33" s="1">
        <v>11</v>
      </c>
      <c r="F33" s="1">
        <v>21</v>
      </c>
      <c r="G33" s="12">
        <v>1.75</v>
      </c>
      <c r="H33" s="12">
        <v>52.3</v>
      </c>
      <c r="I33" s="13">
        <f>U33*5%</f>
        <v>54.900000000000006</v>
      </c>
      <c r="J33" s="13">
        <f>U33*4%</f>
        <v>43.92</v>
      </c>
      <c r="K33" s="13">
        <f>U33*7%</f>
        <v>76.860000000000014</v>
      </c>
      <c r="L33" s="13">
        <f>U33*7%</f>
        <v>76.860000000000014</v>
      </c>
      <c r="M33" s="13">
        <f>U33*7%</f>
        <v>76.860000000000014</v>
      </c>
      <c r="N33" s="80">
        <f>U33*7%</f>
        <v>76.860000000000014</v>
      </c>
      <c r="O33" s="13">
        <f>ROUND(U33*0.08,0)</f>
        <v>88</v>
      </c>
      <c r="P33" s="13">
        <f>ROUND(U33*0.1,0)</f>
        <v>110</v>
      </c>
      <c r="Q33" s="13">
        <f>ROUND(U33*0.1,0)</f>
        <v>110</v>
      </c>
      <c r="R33" s="80">
        <f>ROUND(U33*0.14,0)</f>
        <v>154</v>
      </c>
      <c r="S33" s="80">
        <f>ROUND(U33*0.11,0)</f>
        <v>121</v>
      </c>
      <c r="T33" s="80">
        <f>ROUND(U33*0.1,0)</f>
        <v>110</v>
      </c>
      <c r="U33" s="13">
        <f>ROUND(F33*H33,0)</f>
        <v>1098</v>
      </c>
    </row>
    <row r="34" spans="1:21" x14ac:dyDescent="0.25">
      <c r="A34">
        <v>34</v>
      </c>
      <c r="B34" s="1077"/>
      <c r="C34" s="1">
        <v>24</v>
      </c>
      <c r="D34" s="1" t="s">
        <v>279</v>
      </c>
      <c r="E34" s="1">
        <v>11</v>
      </c>
      <c r="F34" s="1">
        <v>18</v>
      </c>
      <c r="G34" s="12">
        <v>1.5</v>
      </c>
      <c r="H34" s="12">
        <v>44.7</v>
      </c>
      <c r="I34" s="13">
        <f>U34*5%</f>
        <v>40.25</v>
      </c>
      <c r="J34" s="13">
        <f>U34*4%</f>
        <v>32.200000000000003</v>
      </c>
      <c r="K34" s="13">
        <f>U34*7%</f>
        <v>56.350000000000009</v>
      </c>
      <c r="L34" s="13">
        <f>U34*7%</f>
        <v>56.350000000000009</v>
      </c>
      <c r="M34" s="13">
        <f>U34*7%</f>
        <v>56.350000000000009</v>
      </c>
      <c r="N34" s="80">
        <f>U34*7%</f>
        <v>56.350000000000009</v>
      </c>
      <c r="O34" s="13">
        <f>ROUND(U34*0.08,0)</f>
        <v>64</v>
      </c>
      <c r="P34" s="13">
        <f>ROUND(U34*0.1,0)</f>
        <v>81</v>
      </c>
      <c r="Q34" s="13">
        <f>ROUND(U34*0.1,0)</f>
        <v>81</v>
      </c>
      <c r="R34" s="80">
        <f>ROUND(U34*0.14,0)</f>
        <v>113</v>
      </c>
      <c r="S34" s="80">
        <f>ROUND(U34*0.11,0)</f>
        <v>89</v>
      </c>
      <c r="T34" s="80">
        <f>ROUND(U34*0.1,0)</f>
        <v>81</v>
      </c>
      <c r="U34" s="13">
        <f>ROUND(F34*H34,0)</f>
        <v>805</v>
      </c>
    </row>
    <row r="35" spans="1:21" s="7" customFormat="1" x14ac:dyDescent="0.25">
      <c r="A35">
        <v>35</v>
      </c>
      <c r="G35" s="6"/>
      <c r="H35" s="6">
        <f>SUBTOTAL(9,H30:H34)</f>
        <v>281.89999999999998</v>
      </c>
      <c r="I35" s="14">
        <f>SUBTOTAL(9,I30:I34)</f>
        <v>296.55000000000007</v>
      </c>
      <c r="J35" s="14">
        <f t="shared" ref="J35:T35" si="28">SUBTOTAL(9,J30:J34)</f>
        <v>237.24</v>
      </c>
      <c r="K35" s="14">
        <f t="shared" si="28"/>
        <v>415.17000000000007</v>
      </c>
      <c r="L35" s="14">
        <f t="shared" si="28"/>
        <v>415.17000000000007</v>
      </c>
      <c r="M35" s="14">
        <f t="shared" si="28"/>
        <v>415.17000000000007</v>
      </c>
      <c r="N35" s="81">
        <f t="shared" si="28"/>
        <v>415.17000000000007</v>
      </c>
      <c r="O35" s="14">
        <f t="shared" si="28"/>
        <v>474</v>
      </c>
      <c r="P35" s="14">
        <f t="shared" si="28"/>
        <v>593</v>
      </c>
      <c r="Q35" s="14">
        <f t="shared" si="28"/>
        <v>593</v>
      </c>
      <c r="R35" s="804">
        <f t="shared" si="28"/>
        <v>831</v>
      </c>
      <c r="S35" s="804">
        <f t="shared" si="28"/>
        <v>653</v>
      </c>
      <c r="T35" s="81">
        <f t="shared" si="28"/>
        <v>593</v>
      </c>
      <c r="U35" s="15">
        <f>SUBTOTAL(9,U27:U34)-1</f>
        <v>5930</v>
      </c>
    </row>
    <row r="36" spans="1:21" x14ac:dyDescent="0.25">
      <c r="A36">
        <v>36</v>
      </c>
    </row>
    <row r="37" spans="1:21" x14ac:dyDescent="0.25">
      <c r="A37">
        <v>37</v>
      </c>
    </row>
    <row r="38" spans="1:21" x14ac:dyDescent="0.25">
      <c r="A38">
        <v>38</v>
      </c>
    </row>
    <row r="39" spans="1:21" x14ac:dyDescent="0.25">
      <c r="A39">
        <v>39</v>
      </c>
    </row>
    <row r="40" spans="1:21" s="11" customFormat="1" ht="30.75" customHeight="1" x14ac:dyDescent="0.25">
      <c r="A40">
        <v>40</v>
      </c>
      <c r="B40" s="9" t="s">
        <v>14</v>
      </c>
      <c r="C40" s="9" t="s">
        <v>15</v>
      </c>
      <c r="D40" s="9" t="s">
        <v>16</v>
      </c>
      <c r="E40" s="9" t="s">
        <v>17</v>
      </c>
      <c r="F40" s="9" t="s">
        <v>18</v>
      </c>
      <c r="G40" s="10" t="s">
        <v>19</v>
      </c>
      <c r="H40" s="10" t="s">
        <v>20</v>
      </c>
      <c r="I40" s="9" t="s">
        <v>21</v>
      </c>
      <c r="J40" s="9" t="s">
        <v>22</v>
      </c>
      <c r="K40" s="9" t="s">
        <v>23</v>
      </c>
      <c r="L40" s="9" t="s">
        <v>24</v>
      </c>
      <c r="M40" s="9" t="s">
        <v>25</v>
      </c>
      <c r="N40" s="79" t="s">
        <v>26</v>
      </c>
      <c r="O40" s="9" t="s">
        <v>27</v>
      </c>
      <c r="P40" s="9" t="s">
        <v>28</v>
      </c>
      <c r="Q40" s="9" t="s">
        <v>29</v>
      </c>
      <c r="R40" s="79" t="s">
        <v>30</v>
      </c>
      <c r="S40" s="79" t="s">
        <v>31</v>
      </c>
      <c r="T40" s="79" t="s">
        <v>32</v>
      </c>
      <c r="U40" s="9" t="s">
        <v>33</v>
      </c>
    </row>
    <row r="41" spans="1:21" x14ac:dyDescent="0.25">
      <c r="A41">
        <v>41</v>
      </c>
      <c r="B41" s="1076" t="s">
        <v>42</v>
      </c>
      <c r="C41" s="4">
        <v>25</v>
      </c>
      <c r="D41" s="1" t="s">
        <v>48</v>
      </c>
      <c r="E41" s="1">
        <v>1</v>
      </c>
      <c r="F41" s="1">
        <v>2</v>
      </c>
      <c r="G41" s="12"/>
      <c r="H41" s="12">
        <v>38.22</v>
      </c>
      <c r="I41" s="13">
        <f>U41*5%</f>
        <v>3.8000000000000003</v>
      </c>
      <c r="J41" s="13">
        <f>U41*4%</f>
        <v>3.04</v>
      </c>
      <c r="K41" s="13">
        <f>U41*7%</f>
        <v>5.32</v>
      </c>
      <c r="L41" s="13">
        <f>U41*7%</f>
        <v>5.32</v>
      </c>
      <c r="M41" s="13">
        <f>U41*7%</f>
        <v>5.32</v>
      </c>
      <c r="N41" s="80">
        <f>U41*7%</f>
        <v>5.32</v>
      </c>
      <c r="O41" s="13">
        <f>ROUND(U41*0.08,0)</f>
        <v>6</v>
      </c>
      <c r="P41" s="13">
        <f>ROUND(U41*0.1,0)</f>
        <v>8</v>
      </c>
      <c r="Q41" s="13">
        <f>ROUND(U41*0.1,0)</f>
        <v>8</v>
      </c>
      <c r="R41" s="80">
        <f>ROUND(U41*0.14,0)</f>
        <v>11</v>
      </c>
      <c r="S41" s="80">
        <f>ROUND(U41*0.11,0)</f>
        <v>8</v>
      </c>
      <c r="T41" s="80">
        <f>ROUND(U41*0.1,0)</f>
        <v>8</v>
      </c>
      <c r="U41" s="13">
        <f>ROUND(F41*H41,0)</f>
        <v>76</v>
      </c>
    </row>
    <row r="42" spans="1:21" x14ac:dyDescent="0.25">
      <c r="A42">
        <v>42</v>
      </c>
      <c r="B42" s="1078"/>
      <c r="C42" s="4" t="s">
        <v>7</v>
      </c>
      <c r="D42" s="1" t="s">
        <v>48</v>
      </c>
      <c r="E42" s="1">
        <v>1</v>
      </c>
      <c r="F42" s="1">
        <v>4</v>
      </c>
      <c r="G42" s="12"/>
      <c r="H42" s="12">
        <v>22.72</v>
      </c>
      <c r="I42" s="13">
        <f>U42*5%</f>
        <v>4.55</v>
      </c>
      <c r="J42" s="13">
        <f>U42*4%</f>
        <v>3.64</v>
      </c>
      <c r="K42" s="13">
        <f>U42*7%</f>
        <v>6.370000000000001</v>
      </c>
      <c r="L42" s="13">
        <f>U42*7%</f>
        <v>6.370000000000001</v>
      </c>
      <c r="M42" s="13">
        <f>U42*7%</f>
        <v>6.370000000000001</v>
      </c>
      <c r="N42" s="80">
        <f>U42*7%</f>
        <v>6.370000000000001</v>
      </c>
      <c r="O42" s="13">
        <f>ROUND(U42*0.08,0)</f>
        <v>7</v>
      </c>
      <c r="P42" s="13">
        <f>ROUND(U42*0.1,0)</f>
        <v>9</v>
      </c>
      <c r="Q42" s="13">
        <f>ROUND(U42*0.1,0)</f>
        <v>9</v>
      </c>
      <c r="R42" s="80">
        <f>ROUND(U42*0.14,0)</f>
        <v>13</v>
      </c>
      <c r="S42" s="80">
        <f>ROUND(U42*0.11,0)</f>
        <v>10</v>
      </c>
      <c r="T42" s="80">
        <f>ROUND(U42*0.1,0)</f>
        <v>9</v>
      </c>
      <c r="U42" s="13">
        <f t="shared" ref="U42:U48" si="29">ROUND(F42*H42,0)</f>
        <v>91</v>
      </c>
    </row>
    <row r="43" spans="1:21" x14ac:dyDescent="0.25">
      <c r="A43">
        <v>43</v>
      </c>
      <c r="B43" s="1078"/>
      <c r="C43" s="17" t="s">
        <v>45</v>
      </c>
      <c r="D43" s="1075" t="s">
        <v>46</v>
      </c>
      <c r="E43" s="1075"/>
      <c r="F43" s="1075"/>
      <c r="G43" s="1075"/>
      <c r="H43" s="1075"/>
      <c r="I43" s="1075"/>
      <c r="J43" s="1075"/>
      <c r="K43" s="1075"/>
      <c r="L43" s="1075"/>
      <c r="M43" s="1075"/>
      <c r="N43" s="1075"/>
      <c r="O43" s="1075"/>
      <c r="P43" s="1075"/>
      <c r="Q43" s="1075"/>
      <c r="R43" s="1075"/>
      <c r="S43" s="1075"/>
      <c r="T43" s="1075"/>
      <c r="U43" s="1075"/>
    </row>
    <row r="44" spans="1:21" x14ac:dyDescent="0.25">
      <c r="A44">
        <v>44</v>
      </c>
      <c r="B44" s="1078"/>
      <c r="C44" s="4">
        <v>27</v>
      </c>
      <c r="D44" s="1" t="s">
        <v>48</v>
      </c>
      <c r="E44" s="1">
        <v>1</v>
      </c>
      <c r="F44" s="1">
        <v>4</v>
      </c>
      <c r="G44" s="12"/>
      <c r="H44" s="12">
        <v>18.64</v>
      </c>
      <c r="I44" s="13">
        <f>U44*5%</f>
        <v>3.75</v>
      </c>
      <c r="J44" s="13">
        <f>U44*4%</f>
        <v>3</v>
      </c>
      <c r="K44" s="13">
        <f>U44*7%</f>
        <v>5.2500000000000009</v>
      </c>
      <c r="L44" s="13">
        <f>U44*7%</f>
        <v>5.2500000000000009</v>
      </c>
      <c r="M44" s="13">
        <f>U44*7%</f>
        <v>5.2500000000000009</v>
      </c>
      <c r="N44" s="80">
        <f>U44*7%</f>
        <v>5.2500000000000009</v>
      </c>
      <c r="O44" s="13">
        <f>ROUND(U44*0.08,0)</f>
        <v>6</v>
      </c>
      <c r="P44" s="13">
        <f>ROUND(U44*0.1,0)</f>
        <v>8</v>
      </c>
      <c r="Q44" s="13">
        <f>ROUND(U44*0.1,0)</f>
        <v>8</v>
      </c>
      <c r="R44" s="80">
        <f>ROUND(U44*0.14,0)</f>
        <v>11</v>
      </c>
      <c r="S44" s="80">
        <f>ROUND(U44*0.11,0)</f>
        <v>8</v>
      </c>
      <c r="T44" s="80">
        <f>ROUND(U44*0.1,0)</f>
        <v>8</v>
      </c>
      <c r="U44" s="13">
        <f t="shared" si="29"/>
        <v>75</v>
      </c>
    </row>
    <row r="45" spans="1:21" x14ac:dyDescent="0.25">
      <c r="A45">
        <v>45</v>
      </c>
      <c r="B45" s="1078"/>
      <c r="C45" s="4">
        <v>28</v>
      </c>
      <c r="D45" s="1" t="s">
        <v>43</v>
      </c>
      <c r="E45" s="1">
        <v>2</v>
      </c>
      <c r="F45" s="1">
        <v>5</v>
      </c>
      <c r="G45" s="12"/>
      <c r="H45" s="12">
        <v>25.5</v>
      </c>
      <c r="I45" s="13">
        <f>U45*5%</f>
        <v>6.4</v>
      </c>
      <c r="J45" s="13">
        <f>U45*4%</f>
        <v>5.12</v>
      </c>
      <c r="K45" s="13">
        <f>U45*7%</f>
        <v>8.9600000000000009</v>
      </c>
      <c r="L45" s="13">
        <f>U45*7%</f>
        <v>8.9600000000000009</v>
      </c>
      <c r="M45" s="13">
        <f>U45*7%</f>
        <v>8.9600000000000009</v>
      </c>
      <c r="N45" s="80">
        <f>U45*7%</f>
        <v>8.9600000000000009</v>
      </c>
      <c r="O45" s="13">
        <f>ROUND(U45*0.08,0)+1</f>
        <v>11</v>
      </c>
      <c r="P45" s="13">
        <f>ROUND(U45*0.1,0)</f>
        <v>13</v>
      </c>
      <c r="Q45" s="13">
        <f>ROUND(U45*0.1,0)</f>
        <v>13</v>
      </c>
      <c r="R45" s="80">
        <f>ROUND(U45*0.14,0)</f>
        <v>18</v>
      </c>
      <c r="S45" s="80">
        <f>ROUND(U45*0.11,0)</f>
        <v>14</v>
      </c>
      <c r="T45" s="80">
        <f>ROUND(U45*0.1,0)</f>
        <v>13</v>
      </c>
      <c r="U45" s="13">
        <f t="shared" si="29"/>
        <v>128</v>
      </c>
    </row>
    <row r="46" spans="1:21" x14ac:dyDescent="0.25">
      <c r="A46">
        <v>46</v>
      </c>
      <c r="B46" s="1078"/>
      <c r="C46" s="4">
        <v>29</v>
      </c>
      <c r="D46" s="1" t="s">
        <v>48</v>
      </c>
      <c r="E46" s="1">
        <v>1</v>
      </c>
      <c r="F46" s="1">
        <v>3</v>
      </c>
      <c r="G46" s="12"/>
      <c r="H46" s="12">
        <v>11.38</v>
      </c>
      <c r="I46" s="13">
        <f>U46*5%</f>
        <v>1.7000000000000002</v>
      </c>
      <c r="J46" s="13">
        <f>U46*4%</f>
        <v>1.36</v>
      </c>
      <c r="K46" s="13">
        <f>U46*7%</f>
        <v>2.3800000000000003</v>
      </c>
      <c r="L46" s="13">
        <f>U46*7%</f>
        <v>2.3800000000000003</v>
      </c>
      <c r="M46" s="13">
        <f>U46*7%</f>
        <v>2.3800000000000003</v>
      </c>
      <c r="N46" s="80">
        <f>U46*7%</f>
        <v>2.3800000000000003</v>
      </c>
      <c r="O46" s="13">
        <f>ROUND(U46*0.08,0)</f>
        <v>3</v>
      </c>
      <c r="P46" s="13">
        <f>ROUND(U46*0.1,0)</f>
        <v>3</v>
      </c>
      <c r="Q46" s="13">
        <f>ROUND(U46*0.1,0)</f>
        <v>3</v>
      </c>
      <c r="R46" s="80">
        <f>ROUND(U46*0.14,0)</f>
        <v>5</v>
      </c>
      <c r="S46" s="80">
        <f>ROUND(U46*0.11,0)</f>
        <v>4</v>
      </c>
      <c r="T46" s="80">
        <f>ROUND(U46*0.1,0)</f>
        <v>3</v>
      </c>
      <c r="U46" s="13">
        <f t="shared" si="29"/>
        <v>34</v>
      </c>
    </row>
    <row r="47" spans="1:21" x14ac:dyDescent="0.25">
      <c r="A47">
        <v>47</v>
      </c>
      <c r="B47" s="1078"/>
      <c r="C47" s="4">
        <v>30</v>
      </c>
      <c r="D47" s="1" t="s">
        <v>48</v>
      </c>
      <c r="E47" s="1" t="s">
        <v>49</v>
      </c>
      <c r="F47" s="1">
        <v>2</v>
      </c>
      <c r="G47" s="12"/>
      <c r="H47" s="12">
        <v>24.3</v>
      </c>
      <c r="I47" s="13">
        <f>U47*5%</f>
        <v>2.4500000000000002</v>
      </c>
      <c r="J47" s="13">
        <f>U47*4%</f>
        <v>1.96</v>
      </c>
      <c r="K47" s="13">
        <f>U47*7%</f>
        <v>3.43</v>
      </c>
      <c r="L47" s="13">
        <f>U47*7%</f>
        <v>3.43</v>
      </c>
      <c r="M47" s="13">
        <f>U47*7%</f>
        <v>3.43</v>
      </c>
      <c r="N47" s="80">
        <f>U47*7%</f>
        <v>3.43</v>
      </c>
      <c r="O47" s="13">
        <f>ROUND(U47*0.08,0)</f>
        <v>4</v>
      </c>
      <c r="P47" s="13">
        <f>ROUND(U47*0.1,0)</f>
        <v>5</v>
      </c>
      <c r="Q47" s="13">
        <f>ROUND(U47*0.1,0)</f>
        <v>5</v>
      </c>
      <c r="R47" s="80">
        <f>ROUND(U47*0.14,0)</f>
        <v>7</v>
      </c>
      <c r="S47" s="80">
        <f>ROUND(U47*0.11,0)</f>
        <v>5</v>
      </c>
      <c r="T47" s="80">
        <f>ROUND(U47*0.1,0)</f>
        <v>5</v>
      </c>
      <c r="U47" s="13">
        <f t="shared" si="29"/>
        <v>49</v>
      </c>
    </row>
    <row r="48" spans="1:21" x14ac:dyDescent="0.25">
      <c r="A48">
        <v>48</v>
      </c>
      <c r="B48" s="1078"/>
      <c r="C48" s="4">
        <v>31</v>
      </c>
      <c r="D48" s="1" t="s">
        <v>48</v>
      </c>
      <c r="E48" s="1" t="s">
        <v>49</v>
      </c>
      <c r="F48" s="1">
        <v>2</v>
      </c>
      <c r="G48" s="12"/>
      <c r="H48" s="12">
        <v>34.08</v>
      </c>
      <c r="I48" s="13">
        <f>U48*5%</f>
        <v>3.4000000000000004</v>
      </c>
      <c r="J48" s="13">
        <f>U48*4%</f>
        <v>2.72</v>
      </c>
      <c r="K48" s="13">
        <f>U48*7%</f>
        <v>4.7600000000000007</v>
      </c>
      <c r="L48" s="13">
        <f>U48*7%</f>
        <v>4.7600000000000007</v>
      </c>
      <c r="M48" s="13">
        <f>U48*7%</f>
        <v>4.7600000000000007</v>
      </c>
      <c r="N48" s="80">
        <f>U48*7%</f>
        <v>4.7600000000000007</v>
      </c>
      <c r="O48" s="13">
        <f>ROUND(U48*0.08,0)</f>
        <v>5</v>
      </c>
      <c r="P48" s="13">
        <f>ROUND(U48*0.1,0)</f>
        <v>7</v>
      </c>
      <c r="Q48" s="13">
        <f>ROUND(U48*0.1,0)</f>
        <v>7</v>
      </c>
      <c r="R48" s="80">
        <f>ROUND(U48*0.14,0)</f>
        <v>10</v>
      </c>
      <c r="S48" s="80">
        <f>ROUND(U48*0.11,0)</f>
        <v>7</v>
      </c>
      <c r="T48" s="80">
        <f>ROUND(U48*0.1,0)</f>
        <v>7</v>
      </c>
      <c r="U48" s="13">
        <f t="shared" si="29"/>
        <v>68</v>
      </c>
    </row>
    <row r="49" spans="1:21" x14ac:dyDescent="0.25">
      <c r="A49">
        <v>49</v>
      </c>
      <c r="B49" s="1077"/>
      <c r="C49" s="17">
        <v>32</v>
      </c>
      <c r="D49" s="1075" t="s">
        <v>50</v>
      </c>
      <c r="E49" s="1075"/>
      <c r="F49" s="1075"/>
      <c r="G49" s="1075"/>
      <c r="H49" s="1075"/>
      <c r="I49" s="1075"/>
      <c r="J49" s="1075"/>
      <c r="K49" s="1075"/>
      <c r="L49" s="1075"/>
      <c r="M49" s="1075"/>
      <c r="N49" s="1075"/>
      <c r="O49" s="1075"/>
      <c r="P49" s="1075"/>
      <c r="Q49" s="1075"/>
      <c r="R49" s="1075"/>
      <c r="S49" s="1075"/>
      <c r="T49" s="1075"/>
      <c r="U49" s="1075"/>
    </row>
    <row r="50" spans="1:21" s="7" customFormat="1" x14ac:dyDescent="0.25">
      <c r="A50">
        <v>50</v>
      </c>
      <c r="G50" s="6"/>
      <c r="H50" s="6">
        <f>SUBTOTAL(9,H41:H49)</f>
        <v>174.83999999999997</v>
      </c>
      <c r="I50" s="14">
        <f>SUBTOTAL(9,I41:I49)</f>
        <v>26.049999999999997</v>
      </c>
      <c r="J50" s="14">
        <f t="shared" ref="J50:T50" si="30">SUBTOTAL(9,J41:J49)</f>
        <v>20.84</v>
      </c>
      <c r="K50" s="14">
        <f t="shared" si="30"/>
        <v>36.47</v>
      </c>
      <c r="L50" s="14">
        <f t="shared" si="30"/>
        <v>36.47</v>
      </c>
      <c r="M50" s="14">
        <f t="shared" si="30"/>
        <v>36.47</v>
      </c>
      <c r="N50" s="81">
        <f t="shared" si="30"/>
        <v>36.47</v>
      </c>
      <c r="O50" s="15">
        <f t="shared" si="30"/>
        <v>42</v>
      </c>
      <c r="P50" s="15">
        <f t="shared" si="30"/>
        <v>53</v>
      </c>
      <c r="Q50" s="15">
        <f t="shared" si="30"/>
        <v>53</v>
      </c>
      <c r="R50" s="81">
        <f t="shared" si="30"/>
        <v>75</v>
      </c>
      <c r="S50" s="81">
        <f t="shared" si="30"/>
        <v>56</v>
      </c>
      <c r="T50" s="804">
        <f t="shared" si="30"/>
        <v>53</v>
      </c>
      <c r="U50" s="14">
        <f>SUBTOTAL(9,U41:U49)-1</f>
        <v>520</v>
      </c>
    </row>
    <row r="51" spans="1:21" x14ac:dyDescent="0.25">
      <c r="A51">
        <v>51</v>
      </c>
    </row>
    <row r="52" spans="1:21" x14ac:dyDescent="0.25">
      <c r="A52">
        <v>52</v>
      </c>
    </row>
    <row r="53" spans="1:21" s="11" customFormat="1" ht="30.75" customHeight="1" x14ac:dyDescent="0.25">
      <c r="A53">
        <v>53</v>
      </c>
      <c r="B53" s="9" t="s">
        <v>14</v>
      </c>
      <c r="C53" s="9" t="s">
        <v>15</v>
      </c>
      <c r="D53" s="9" t="s">
        <v>16</v>
      </c>
      <c r="E53" s="9" t="s">
        <v>17</v>
      </c>
      <c r="F53" s="9" t="s">
        <v>18</v>
      </c>
      <c r="G53" s="10" t="s">
        <v>19</v>
      </c>
      <c r="H53" s="10" t="s">
        <v>20</v>
      </c>
      <c r="I53" s="9" t="s">
        <v>21</v>
      </c>
      <c r="J53" s="9" t="s">
        <v>22</v>
      </c>
      <c r="K53" s="9" t="s">
        <v>23</v>
      </c>
      <c r="L53" s="9" t="s">
        <v>24</v>
      </c>
      <c r="M53" s="9" t="s">
        <v>25</v>
      </c>
      <c r="N53" s="79" t="s">
        <v>26</v>
      </c>
      <c r="O53" s="9" t="s">
        <v>27</v>
      </c>
      <c r="P53" s="9" t="s">
        <v>28</v>
      </c>
      <c r="Q53" s="9" t="s">
        <v>29</v>
      </c>
      <c r="R53" s="79" t="s">
        <v>30</v>
      </c>
      <c r="S53" s="79" t="s">
        <v>31</v>
      </c>
      <c r="T53" s="79" t="s">
        <v>32</v>
      </c>
      <c r="U53" s="9" t="s">
        <v>33</v>
      </c>
    </row>
    <row r="54" spans="1:21" x14ac:dyDescent="0.25">
      <c r="A54">
        <v>54</v>
      </c>
      <c r="B54" s="1076" t="s">
        <v>51</v>
      </c>
      <c r="C54" s="1">
        <v>33</v>
      </c>
      <c r="D54" s="1" t="s">
        <v>48</v>
      </c>
      <c r="E54" s="1">
        <v>1</v>
      </c>
      <c r="F54" s="1">
        <v>9</v>
      </c>
      <c r="G54" s="12">
        <v>0.75</v>
      </c>
      <c r="H54" s="12">
        <v>28.72</v>
      </c>
      <c r="I54" s="13">
        <f>U54*5%</f>
        <v>12.9</v>
      </c>
      <c r="J54" s="13">
        <f>U54*4%</f>
        <v>10.32</v>
      </c>
      <c r="K54" s="13">
        <f>U54*7%</f>
        <v>18.060000000000002</v>
      </c>
      <c r="L54" s="13">
        <f>U54*7%</f>
        <v>18.060000000000002</v>
      </c>
      <c r="M54" s="13">
        <f>U54*7%</f>
        <v>18.060000000000002</v>
      </c>
      <c r="N54" s="80">
        <f>U54*7%</f>
        <v>18.060000000000002</v>
      </c>
      <c r="O54" s="13">
        <f>ROUND(U54*0.08,0)</f>
        <v>21</v>
      </c>
      <c r="P54" s="13">
        <f>ROUND(U54*0.1,0)</f>
        <v>26</v>
      </c>
      <c r="Q54" s="13">
        <f>ROUND(U54*0.1,0)</f>
        <v>26</v>
      </c>
      <c r="R54" s="80">
        <f>ROUND(U54*0.14,0)</f>
        <v>36</v>
      </c>
      <c r="S54" s="80">
        <f>ROUND(U54*0.11,0)</f>
        <v>28</v>
      </c>
      <c r="T54" s="80">
        <f>ROUND(U54*0.1,0)</f>
        <v>26</v>
      </c>
      <c r="U54" s="13">
        <f>ROUND(F54*H54,0)</f>
        <v>258</v>
      </c>
    </row>
    <row r="55" spans="1:21" x14ac:dyDescent="0.25">
      <c r="A55">
        <v>55</v>
      </c>
      <c r="B55" s="1077"/>
      <c r="C55" s="1">
        <v>39</v>
      </c>
      <c r="D55" s="1" t="s">
        <v>52</v>
      </c>
      <c r="E55" s="1">
        <v>8</v>
      </c>
      <c r="F55" s="1">
        <v>6</v>
      </c>
      <c r="G55" s="12">
        <v>0.25</v>
      </c>
      <c r="H55" s="12">
        <v>4.5999999999999996</v>
      </c>
      <c r="I55" s="16">
        <f>U55*5%-1</f>
        <v>-0.44999999999999996</v>
      </c>
      <c r="J55" s="16">
        <f>U55*4%-1</f>
        <v>-0.56000000000000005</v>
      </c>
      <c r="K55" s="13">
        <f>U55*7%</f>
        <v>0.77</v>
      </c>
      <c r="L55" s="13">
        <f>U55*7%</f>
        <v>0.77</v>
      </c>
      <c r="M55" s="13">
        <f>U55*7%</f>
        <v>0.77</v>
      </c>
      <c r="N55" s="80">
        <f>U55*7%</f>
        <v>0.77</v>
      </c>
      <c r="O55" s="13">
        <f>ROUND(U55*0.08,0)</f>
        <v>1</v>
      </c>
      <c r="P55" s="13">
        <f>ROUND(U55*0.1,0)</f>
        <v>1</v>
      </c>
      <c r="Q55" s="13">
        <f>ROUND(U55*0.1,0)</f>
        <v>1</v>
      </c>
      <c r="R55" s="80">
        <f>ROUND(U55*0.14,0)</f>
        <v>2</v>
      </c>
      <c r="S55" s="80">
        <f>ROUND(U55*0.11,0)</f>
        <v>1</v>
      </c>
      <c r="T55" s="80">
        <f>ROUND(U55*0.1,0)</f>
        <v>1</v>
      </c>
      <c r="U55" s="16">
        <v>11</v>
      </c>
    </row>
    <row r="56" spans="1:21" s="7" customFormat="1" x14ac:dyDescent="0.25">
      <c r="G56" s="6"/>
      <c r="H56" s="6">
        <f>SUBTOTAL(9,H50:H55)</f>
        <v>33.32</v>
      </c>
      <c r="I56" s="14">
        <f>SUBTOTAL(9,I54:I55)</f>
        <v>12.450000000000001</v>
      </c>
      <c r="J56" s="14">
        <f t="shared" ref="J56:U56" si="31">SUBTOTAL(9,J54:J55)</f>
        <v>9.76</v>
      </c>
      <c r="K56" s="14">
        <f t="shared" si="31"/>
        <v>18.830000000000002</v>
      </c>
      <c r="L56" s="14">
        <f t="shared" si="31"/>
        <v>18.830000000000002</v>
      </c>
      <c r="M56" s="14">
        <f t="shared" si="31"/>
        <v>18.830000000000002</v>
      </c>
      <c r="N56" s="81">
        <f t="shared" si="31"/>
        <v>18.830000000000002</v>
      </c>
      <c r="O56" s="15">
        <f t="shared" si="31"/>
        <v>22</v>
      </c>
      <c r="P56" s="14">
        <f t="shared" si="31"/>
        <v>27</v>
      </c>
      <c r="Q56" s="14">
        <f t="shared" si="31"/>
        <v>27</v>
      </c>
      <c r="R56" s="81">
        <f t="shared" si="31"/>
        <v>38</v>
      </c>
      <c r="S56" s="81">
        <f t="shared" si="31"/>
        <v>29</v>
      </c>
      <c r="T56" s="81">
        <f t="shared" si="31"/>
        <v>27</v>
      </c>
      <c r="U56" s="14">
        <f t="shared" si="31"/>
        <v>269</v>
      </c>
    </row>
    <row r="59" spans="1:21" s="78" customFormat="1" x14ac:dyDescent="0.25">
      <c r="G59" s="95"/>
      <c r="H59" s="96">
        <f>H17+H27+H35+H50+H56</f>
        <v>1421.76</v>
      </c>
      <c r="I59" s="96">
        <f t="shared" ref="I59:U59" si="32">I17+I27+I35+I50+I56</f>
        <v>1273.8000000000002</v>
      </c>
      <c r="J59" s="96">
        <f t="shared" si="32"/>
        <v>1018.84</v>
      </c>
      <c r="K59" s="96">
        <f t="shared" si="32"/>
        <v>1784.7200000000003</v>
      </c>
      <c r="L59" s="96">
        <f t="shared" si="32"/>
        <v>1784.7200000000003</v>
      </c>
      <c r="M59" s="96">
        <f t="shared" si="32"/>
        <v>1784.7200000000003</v>
      </c>
      <c r="N59" s="96">
        <f t="shared" si="32"/>
        <v>1784.7200000000003</v>
      </c>
      <c r="O59" s="593">
        <f t="shared" si="32"/>
        <v>2042</v>
      </c>
      <c r="P59" s="96">
        <f t="shared" si="32"/>
        <v>2550</v>
      </c>
      <c r="Q59" s="96">
        <f t="shared" si="32"/>
        <v>2550</v>
      </c>
      <c r="R59" s="96">
        <f>R17+R27+R35+R50+R56</f>
        <v>3572</v>
      </c>
      <c r="S59" s="96">
        <f t="shared" si="32"/>
        <v>2804</v>
      </c>
      <c r="T59" s="96">
        <f t="shared" si="32"/>
        <v>2550</v>
      </c>
      <c r="U59" s="96">
        <f t="shared" si="32"/>
        <v>25493</v>
      </c>
    </row>
  </sheetData>
  <mergeCells count="7">
    <mergeCell ref="D43:U43"/>
    <mergeCell ref="D49:U49"/>
    <mergeCell ref="B54:B55"/>
    <mergeCell ref="B5:B16"/>
    <mergeCell ref="B20:B26"/>
    <mergeCell ref="B30:B34"/>
    <mergeCell ref="B41:B49"/>
  </mergeCells>
  <phoneticPr fontId="42" type="noConversion"/>
  <pageMargins left="0.23622047244094491" right="0.23622047244094491" top="0.74803149606299213" bottom="0.74803149606299213" header="0.31496062992125984" footer="0.31496062992125984"/>
  <pageSetup paperSize="9" scale="78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FC3E-FC02-4D2C-A42F-C35801773CA1}">
  <sheetPr>
    <tabColor theme="1"/>
    <pageSetUpPr fitToPage="1"/>
  </sheetPr>
  <dimension ref="A1:Z59"/>
  <sheetViews>
    <sheetView topLeftCell="B27" zoomScaleNormal="100" workbookViewId="0">
      <selection activeCell="T59" sqref="T59"/>
    </sheetView>
  </sheetViews>
  <sheetFormatPr defaultRowHeight="15" x14ac:dyDescent="0.25"/>
  <cols>
    <col min="1" max="1" width="0" hidden="1" customWidth="1"/>
    <col min="7" max="8" width="9.140625" style="8"/>
    <col min="14" max="14" width="9.140625" style="78"/>
    <col min="18" max="19" width="9.140625" style="78"/>
    <col min="20" max="20" width="9.140625" style="82"/>
  </cols>
  <sheetData>
    <row r="1" spans="1:26" x14ac:dyDescent="0.25">
      <c r="A1">
        <v>1</v>
      </c>
      <c r="B1" s="7" t="s">
        <v>12</v>
      </c>
    </row>
    <row r="2" spans="1:26" x14ac:dyDescent="0.25">
      <c r="A2">
        <v>2</v>
      </c>
      <c r="B2" s="7" t="s">
        <v>13</v>
      </c>
    </row>
    <row r="3" spans="1:26" x14ac:dyDescent="0.25">
      <c r="A3">
        <v>3</v>
      </c>
      <c r="C3" s="7"/>
    </row>
    <row r="4" spans="1:26" s="11" customFormat="1" ht="30.75" customHeight="1" x14ac:dyDescent="0.25">
      <c r="A4">
        <v>4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10" t="s">
        <v>19</v>
      </c>
      <c r="H4" s="10" t="s">
        <v>20</v>
      </c>
      <c r="I4" s="9" t="s">
        <v>21</v>
      </c>
      <c r="J4" s="9" t="s">
        <v>22</v>
      </c>
      <c r="K4" s="9" t="s">
        <v>23</v>
      </c>
      <c r="L4" s="9" t="s">
        <v>24</v>
      </c>
      <c r="M4" s="9" t="s">
        <v>25</v>
      </c>
      <c r="N4" s="79" t="s">
        <v>26</v>
      </c>
      <c r="O4" s="9" t="s">
        <v>27</v>
      </c>
      <c r="P4" s="9" t="s">
        <v>28</v>
      </c>
      <c r="Q4" s="9" t="s">
        <v>29</v>
      </c>
      <c r="R4" s="79" t="s">
        <v>30</v>
      </c>
      <c r="S4" s="79" t="s">
        <v>31</v>
      </c>
      <c r="T4" s="83" t="s">
        <v>32</v>
      </c>
      <c r="U4" s="9" t="s">
        <v>33</v>
      </c>
    </row>
    <row r="5" spans="1:26" x14ac:dyDescent="0.25">
      <c r="A5">
        <v>5</v>
      </c>
      <c r="B5" s="1076" t="s">
        <v>34</v>
      </c>
      <c r="C5" s="1">
        <v>1</v>
      </c>
      <c r="D5" s="1" t="s">
        <v>35</v>
      </c>
      <c r="E5" s="1">
        <v>11</v>
      </c>
      <c r="F5" s="1">
        <v>20</v>
      </c>
      <c r="G5" s="12">
        <v>1.67</v>
      </c>
      <c r="H5" s="12">
        <v>53.2</v>
      </c>
      <c r="I5" s="13">
        <f>U5*5%</f>
        <v>53.2</v>
      </c>
      <c r="J5" s="13">
        <f>U5*4%</f>
        <v>42.56</v>
      </c>
      <c r="K5" s="13">
        <f>U5*7%</f>
        <v>74.48</v>
      </c>
      <c r="L5" s="13">
        <f>U5*7%</f>
        <v>74.48</v>
      </c>
      <c r="M5" s="13">
        <f>U5*7%</f>
        <v>74.48</v>
      </c>
      <c r="N5" s="80">
        <f>U5*7%</f>
        <v>74.48</v>
      </c>
      <c r="O5" s="13">
        <f>ROUND(U5*0.08,0)</f>
        <v>85</v>
      </c>
      <c r="P5" s="13">
        <f>ROUND(U5*0.1,0)</f>
        <v>106</v>
      </c>
      <c r="Q5" s="13">
        <f>ROUND(U5*0.1,0)</f>
        <v>106</v>
      </c>
      <c r="R5" s="80">
        <f>ROUND(U5*0.14,0)</f>
        <v>149</v>
      </c>
      <c r="S5" s="80">
        <f>ROUND(U5*0.11,0)</f>
        <v>117</v>
      </c>
      <c r="T5" s="16">
        <f>ROUND(U5*0.1,0)</f>
        <v>106</v>
      </c>
      <c r="U5" s="13">
        <f>ROUND(F5*H5,0)</f>
        <v>1064</v>
      </c>
      <c r="W5">
        <f t="shared" ref="W5:W16" si="0">VLOOKUP(C5,harvestinground,1,FALSE)</f>
        <v>1</v>
      </c>
      <c r="Y5">
        <v>2010</v>
      </c>
      <c r="Z5">
        <v>1064</v>
      </c>
    </row>
    <row r="6" spans="1:26" x14ac:dyDescent="0.25">
      <c r="A6">
        <v>6</v>
      </c>
      <c r="B6" s="1078"/>
      <c r="C6" s="1">
        <v>2</v>
      </c>
      <c r="D6" s="1" t="s">
        <v>35</v>
      </c>
      <c r="E6" s="1">
        <v>11</v>
      </c>
      <c r="F6" s="1">
        <v>20</v>
      </c>
      <c r="G6" s="12">
        <v>1.67</v>
      </c>
      <c r="H6" s="12">
        <v>60.4</v>
      </c>
      <c r="I6" s="13">
        <f t="shared" ref="I6:I16" si="1">U6*5%</f>
        <v>60.400000000000006</v>
      </c>
      <c r="J6" s="13">
        <f t="shared" ref="J6:J16" si="2">U6*4%</f>
        <v>48.32</v>
      </c>
      <c r="K6" s="13">
        <f t="shared" ref="K6:K16" si="3">U6*7%</f>
        <v>84.56</v>
      </c>
      <c r="L6" s="13">
        <f t="shared" ref="L6:L16" si="4">U6*7%</f>
        <v>84.56</v>
      </c>
      <c r="M6" s="13">
        <f t="shared" ref="M6:M16" si="5">U6*7%</f>
        <v>84.56</v>
      </c>
      <c r="N6" s="80">
        <f t="shared" ref="N6:N16" si="6">U6*7%</f>
        <v>84.56</v>
      </c>
      <c r="O6" s="13">
        <f t="shared" ref="O6:O16" si="7">ROUND(U6*0.08,0)</f>
        <v>97</v>
      </c>
      <c r="P6" s="13">
        <f t="shared" ref="P6:P16" si="8">ROUND(U6*0.1,0)</f>
        <v>121</v>
      </c>
      <c r="Q6" s="13">
        <f t="shared" ref="Q6:Q16" si="9">ROUND(U6*0.1,0)</f>
        <v>121</v>
      </c>
      <c r="R6" s="80">
        <f t="shared" ref="R6:R16" si="10">ROUND(U6*0.14,0)</f>
        <v>169</v>
      </c>
      <c r="S6" s="80">
        <f t="shared" ref="S6:S16" si="11">ROUND(U6*0.11,0)</f>
        <v>133</v>
      </c>
      <c r="T6" s="16">
        <f t="shared" ref="T6:T16" si="12">ROUND(U6*0.1,0)</f>
        <v>121</v>
      </c>
      <c r="U6" s="13">
        <f t="shared" ref="U6:U16" si="13">ROUND(F6*H6,0)</f>
        <v>1208</v>
      </c>
      <c r="W6">
        <f t="shared" si="0"/>
        <v>2</v>
      </c>
      <c r="Y6">
        <v>2010</v>
      </c>
      <c r="Z6">
        <v>1208</v>
      </c>
    </row>
    <row r="7" spans="1:26" x14ac:dyDescent="0.25">
      <c r="A7">
        <v>7</v>
      </c>
      <c r="B7" s="1078"/>
      <c r="C7" s="1">
        <v>3</v>
      </c>
      <c r="D7" s="1" t="s">
        <v>35</v>
      </c>
      <c r="E7" s="1">
        <v>11</v>
      </c>
      <c r="F7" s="1">
        <v>20</v>
      </c>
      <c r="G7" s="12">
        <v>1.67</v>
      </c>
      <c r="H7" s="12">
        <v>69.2</v>
      </c>
      <c r="I7" s="13">
        <f t="shared" si="1"/>
        <v>69.2</v>
      </c>
      <c r="J7" s="13">
        <f t="shared" si="2"/>
        <v>55.36</v>
      </c>
      <c r="K7" s="13">
        <f t="shared" si="3"/>
        <v>96.88000000000001</v>
      </c>
      <c r="L7" s="13">
        <f t="shared" si="4"/>
        <v>96.88000000000001</v>
      </c>
      <c r="M7" s="13">
        <f t="shared" si="5"/>
        <v>96.88000000000001</v>
      </c>
      <c r="N7" s="80">
        <f t="shared" si="6"/>
        <v>96.88000000000001</v>
      </c>
      <c r="O7" s="13">
        <f t="shared" si="7"/>
        <v>111</v>
      </c>
      <c r="P7" s="13">
        <f t="shared" si="8"/>
        <v>138</v>
      </c>
      <c r="Q7" s="13">
        <f t="shared" si="9"/>
        <v>138</v>
      </c>
      <c r="R7" s="80">
        <f t="shared" si="10"/>
        <v>194</v>
      </c>
      <c r="S7" s="80">
        <f t="shared" si="11"/>
        <v>152</v>
      </c>
      <c r="T7" s="16">
        <f t="shared" si="12"/>
        <v>138</v>
      </c>
      <c r="U7" s="13">
        <f t="shared" si="13"/>
        <v>1384</v>
      </c>
      <c r="W7">
        <f t="shared" si="0"/>
        <v>3</v>
      </c>
      <c r="Y7">
        <v>2010</v>
      </c>
      <c r="Z7">
        <v>1384</v>
      </c>
    </row>
    <row r="8" spans="1:26" x14ac:dyDescent="0.25">
      <c r="A8">
        <v>8</v>
      </c>
      <c r="B8" s="1078"/>
      <c r="C8" s="1">
        <v>4</v>
      </c>
      <c r="D8" s="1" t="s">
        <v>35</v>
      </c>
      <c r="E8" s="1">
        <v>11</v>
      </c>
      <c r="F8" s="1">
        <v>20</v>
      </c>
      <c r="G8" s="12">
        <v>1.67</v>
      </c>
      <c r="H8" s="12">
        <v>70.599999999999994</v>
      </c>
      <c r="I8" s="13">
        <f t="shared" si="1"/>
        <v>70.600000000000009</v>
      </c>
      <c r="J8" s="13">
        <f t="shared" si="2"/>
        <v>56.480000000000004</v>
      </c>
      <c r="K8" s="13">
        <f t="shared" si="3"/>
        <v>98.84</v>
      </c>
      <c r="L8" s="13">
        <f t="shared" si="4"/>
        <v>98.84</v>
      </c>
      <c r="M8" s="13">
        <f t="shared" si="5"/>
        <v>98.84</v>
      </c>
      <c r="N8" s="80">
        <f t="shared" si="6"/>
        <v>98.84</v>
      </c>
      <c r="O8" s="13">
        <f t="shared" si="7"/>
        <v>113</v>
      </c>
      <c r="P8" s="13">
        <f t="shared" si="8"/>
        <v>141</v>
      </c>
      <c r="Q8" s="13">
        <f t="shared" si="9"/>
        <v>141</v>
      </c>
      <c r="R8" s="80">
        <f t="shared" si="10"/>
        <v>198</v>
      </c>
      <c r="S8" s="80">
        <f t="shared" si="11"/>
        <v>155</v>
      </c>
      <c r="T8" s="16">
        <f t="shared" si="12"/>
        <v>141</v>
      </c>
      <c r="U8" s="13">
        <f t="shared" si="13"/>
        <v>1412</v>
      </c>
      <c r="W8">
        <f t="shared" si="0"/>
        <v>4</v>
      </c>
      <c r="Y8">
        <v>2010</v>
      </c>
      <c r="Z8">
        <v>1412</v>
      </c>
    </row>
    <row r="9" spans="1:26" x14ac:dyDescent="0.25">
      <c r="A9">
        <v>9</v>
      </c>
      <c r="B9" s="1078"/>
      <c r="C9" s="1">
        <v>5</v>
      </c>
      <c r="D9" s="1" t="s">
        <v>35</v>
      </c>
      <c r="E9" s="1">
        <v>11</v>
      </c>
      <c r="F9" s="1">
        <v>20</v>
      </c>
      <c r="G9" s="12">
        <v>1.67</v>
      </c>
      <c r="H9" s="12">
        <v>50.4</v>
      </c>
      <c r="I9" s="13">
        <f t="shared" si="1"/>
        <v>50.400000000000006</v>
      </c>
      <c r="J9" s="13">
        <f t="shared" si="2"/>
        <v>40.32</v>
      </c>
      <c r="K9" s="13">
        <f t="shared" si="3"/>
        <v>70.56</v>
      </c>
      <c r="L9" s="13">
        <f t="shared" si="4"/>
        <v>70.56</v>
      </c>
      <c r="M9" s="13">
        <f t="shared" si="5"/>
        <v>70.56</v>
      </c>
      <c r="N9" s="80">
        <f t="shared" si="6"/>
        <v>70.56</v>
      </c>
      <c r="O9" s="13">
        <f t="shared" si="7"/>
        <v>81</v>
      </c>
      <c r="P9" s="13">
        <f t="shared" si="8"/>
        <v>101</v>
      </c>
      <c r="Q9" s="13">
        <f t="shared" si="9"/>
        <v>101</v>
      </c>
      <c r="R9" s="80">
        <f t="shared" si="10"/>
        <v>141</v>
      </c>
      <c r="S9" s="80">
        <f t="shared" si="11"/>
        <v>111</v>
      </c>
      <c r="T9" s="16">
        <f t="shared" si="12"/>
        <v>101</v>
      </c>
      <c r="U9" s="13">
        <f t="shared" si="13"/>
        <v>1008</v>
      </c>
      <c r="W9">
        <f t="shared" si="0"/>
        <v>5</v>
      </c>
      <c r="Y9">
        <v>2010</v>
      </c>
      <c r="Z9">
        <v>1008</v>
      </c>
    </row>
    <row r="10" spans="1:26" x14ac:dyDescent="0.25">
      <c r="A10">
        <v>10</v>
      </c>
      <c r="B10" s="1078"/>
      <c r="C10" s="1">
        <v>6</v>
      </c>
      <c r="D10" s="1" t="s">
        <v>35</v>
      </c>
      <c r="E10" s="1">
        <v>11</v>
      </c>
      <c r="F10" s="1">
        <v>20</v>
      </c>
      <c r="G10" s="12">
        <v>1.67</v>
      </c>
      <c r="H10" s="12">
        <v>58.6</v>
      </c>
      <c r="I10" s="13">
        <f t="shared" si="1"/>
        <v>58.6</v>
      </c>
      <c r="J10" s="13">
        <f t="shared" si="2"/>
        <v>46.88</v>
      </c>
      <c r="K10" s="13">
        <f t="shared" si="3"/>
        <v>82.04</v>
      </c>
      <c r="L10" s="13">
        <f t="shared" si="4"/>
        <v>82.04</v>
      </c>
      <c r="M10" s="13">
        <f t="shared" si="5"/>
        <v>82.04</v>
      </c>
      <c r="N10" s="80">
        <f t="shared" si="6"/>
        <v>82.04</v>
      </c>
      <c r="O10" s="13">
        <f t="shared" si="7"/>
        <v>94</v>
      </c>
      <c r="P10" s="13">
        <f t="shared" si="8"/>
        <v>117</v>
      </c>
      <c r="Q10" s="13">
        <f t="shared" si="9"/>
        <v>117</v>
      </c>
      <c r="R10" s="80">
        <f t="shared" si="10"/>
        <v>164</v>
      </c>
      <c r="S10" s="80">
        <f t="shared" si="11"/>
        <v>129</v>
      </c>
      <c r="T10" s="16">
        <f t="shared" si="12"/>
        <v>117</v>
      </c>
      <c r="U10" s="13">
        <f t="shared" si="13"/>
        <v>1172</v>
      </c>
      <c r="W10">
        <f t="shared" si="0"/>
        <v>6</v>
      </c>
      <c r="X10" s="7"/>
      <c r="Y10">
        <v>2010</v>
      </c>
      <c r="Z10">
        <v>1172</v>
      </c>
    </row>
    <row r="11" spans="1:26" x14ac:dyDescent="0.25">
      <c r="A11">
        <v>11</v>
      </c>
      <c r="B11" s="1078"/>
      <c r="C11" s="1">
        <v>7</v>
      </c>
      <c r="D11" s="1" t="s">
        <v>35</v>
      </c>
      <c r="E11" s="1">
        <v>11</v>
      </c>
      <c r="F11" s="1">
        <v>17</v>
      </c>
      <c r="G11" s="12">
        <v>1.42</v>
      </c>
      <c r="H11" s="12">
        <v>23.6</v>
      </c>
      <c r="I11" s="13">
        <f t="shared" si="1"/>
        <v>20.05</v>
      </c>
      <c r="J11" s="13">
        <f t="shared" si="2"/>
        <v>16.04</v>
      </c>
      <c r="K11" s="13">
        <f t="shared" si="3"/>
        <v>28.070000000000004</v>
      </c>
      <c r="L11" s="13">
        <f t="shared" si="4"/>
        <v>28.070000000000004</v>
      </c>
      <c r="M11" s="13">
        <f t="shared" si="5"/>
        <v>28.070000000000004</v>
      </c>
      <c r="N11" s="80">
        <f t="shared" si="6"/>
        <v>28.070000000000004</v>
      </c>
      <c r="O11" s="13">
        <f t="shared" si="7"/>
        <v>32</v>
      </c>
      <c r="P11" s="13">
        <f t="shared" si="8"/>
        <v>40</v>
      </c>
      <c r="Q11" s="13">
        <f t="shared" si="9"/>
        <v>40</v>
      </c>
      <c r="R11" s="80">
        <f t="shared" si="10"/>
        <v>56</v>
      </c>
      <c r="S11" s="80">
        <f t="shared" si="11"/>
        <v>44</v>
      </c>
      <c r="T11" s="16">
        <f t="shared" si="12"/>
        <v>40</v>
      </c>
      <c r="U11" s="13">
        <f t="shared" si="13"/>
        <v>401</v>
      </c>
      <c r="W11">
        <f t="shared" si="0"/>
        <v>7</v>
      </c>
      <c r="X11" s="7"/>
      <c r="Y11">
        <v>2010</v>
      </c>
      <c r="Z11">
        <v>401</v>
      </c>
    </row>
    <row r="12" spans="1:26" x14ac:dyDescent="0.25">
      <c r="A12">
        <v>12</v>
      </c>
      <c r="B12" s="1078"/>
      <c r="C12" s="1">
        <v>8</v>
      </c>
      <c r="D12" s="1" t="s">
        <v>35</v>
      </c>
      <c r="E12" s="1">
        <v>11</v>
      </c>
      <c r="F12" s="1">
        <v>20</v>
      </c>
      <c r="G12" s="12">
        <v>1.67</v>
      </c>
      <c r="H12" s="12">
        <v>61.6</v>
      </c>
      <c r="I12" s="13">
        <f t="shared" si="1"/>
        <v>61.6</v>
      </c>
      <c r="J12" s="13">
        <f t="shared" si="2"/>
        <v>49.28</v>
      </c>
      <c r="K12" s="13">
        <f t="shared" si="3"/>
        <v>86.240000000000009</v>
      </c>
      <c r="L12" s="13">
        <f t="shared" si="4"/>
        <v>86.240000000000009</v>
      </c>
      <c r="M12" s="13">
        <f t="shared" si="5"/>
        <v>86.240000000000009</v>
      </c>
      <c r="N12" s="80">
        <f t="shared" si="6"/>
        <v>86.240000000000009</v>
      </c>
      <c r="O12" s="13">
        <f t="shared" si="7"/>
        <v>99</v>
      </c>
      <c r="P12" s="13">
        <f t="shared" si="8"/>
        <v>123</v>
      </c>
      <c r="Q12" s="13">
        <f t="shared" si="9"/>
        <v>123</v>
      </c>
      <c r="R12" s="80">
        <f t="shared" si="10"/>
        <v>172</v>
      </c>
      <c r="S12" s="80">
        <f t="shared" si="11"/>
        <v>136</v>
      </c>
      <c r="T12" s="16">
        <f t="shared" si="12"/>
        <v>123</v>
      </c>
      <c r="U12" s="13">
        <f t="shared" si="13"/>
        <v>1232</v>
      </c>
      <c r="W12">
        <f t="shared" si="0"/>
        <v>8</v>
      </c>
      <c r="Y12">
        <v>2010</v>
      </c>
      <c r="Z12">
        <v>1232</v>
      </c>
    </row>
    <row r="13" spans="1:26" x14ac:dyDescent="0.25">
      <c r="A13">
        <v>13</v>
      </c>
      <c r="B13" s="1078"/>
      <c r="C13" s="1">
        <v>9</v>
      </c>
      <c r="D13" s="1" t="s">
        <v>35</v>
      </c>
      <c r="E13" s="1">
        <v>11</v>
      </c>
      <c r="F13" s="1">
        <v>18</v>
      </c>
      <c r="G13" s="12">
        <v>1.5</v>
      </c>
      <c r="H13" s="12">
        <v>38.299999999999997</v>
      </c>
      <c r="I13" s="13">
        <f t="shared" si="1"/>
        <v>34.450000000000003</v>
      </c>
      <c r="J13" s="13">
        <f t="shared" si="2"/>
        <v>27.560000000000002</v>
      </c>
      <c r="K13" s="13">
        <f t="shared" si="3"/>
        <v>48.230000000000004</v>
      </c>
      <c r="L13" s="13">
        <f t="shared" si="4"/>
        <v>48.230000000000004</v>
      </c>
      <c r="M13" s="13">
        <f t="shared" si="5"/>
        <v>48.230000000000004</v>
      </c>
      <c r="N13" s="80">
        <f t="shared" si="6"/>
        <v>48.230000000000004</v>
      </c>
      <c r="O13" s="13">
        <f t="shared" si="7"/>
        <v>55</v>
      </c>
      <c r="P13" s="13">
        <f t="shared" si="8"/>
        <v>69</v>
      </c>
      <c r="Q13" s="13">
        <f t="shared" si="9"/>
        <v>69</v>
      </c>
      <c r="R13" s="80">
        <f>ROUND(U13*0.14,0)+1</f>
        <v>97</v>
      </c>
      <c r="S13" s="80">
        <f t="shared" si="11"/>
        <v>76</v>
      </c>
      <c r="T13" s="16">
        <f t="shared" si="12"/>
        <v>69</v>
      </c>
      <c r="U13" s="13">
        <f t="shared" si="13"/>
        <v>689</v>
      </c>
      <c r="W13">
        <f t="shared" si="0"/>
        <v>9</v>
      </c>
      <c r="Y13">
        <v>2010</v>
      </c>
      <c r="Z13">
        <v>689</v>
      </c>
    </row>
    <row r="14" spans="1:26" x14ac:dyDescent="0.25">
      <c r="A14">
        <v>14</v>
      </c>
      <c r="B14" s="1078"/>
      <c r="C14" s="1">
        <v>11</v>
      </c>
      <c r="D14" s="1" t="s">
        <v>36</v>
      </c>
      <c r="E14" s="1">
        <v>10.5</v>
      </c>
      <c r="F14" s="1">
        <v>19</v>
      </c>
      <c r="G14" s="12">
        <v>1.58</v>
      </c>
      <c r="H14" s="12">
        <v>44.5</v>
      </c>
      <c r="I14" s="13">
        <f t="shared" si="1"/>
        <v>42.300000000000004</v>
      </c>
      <c r="J14" s="13">
        <f t="shared" si="2"/>
        <v>33.840000000000003</v>
      </c>
      <c r="K14" s="13">
        <f t="shared" si="3"/>
        <v>59.220000000000006</v>
      </c>
      <c r="L14" s="13">
        <f t="shared" si="4"/>
        <v>59.220000000000006</v>
      </c>
      <c r="M14" s="13">
        <f t="shared" si="5"/>
        <v>59.220000000000006</v>
      </c>
      <c r="N14" s="80">
        <f t="shared" si="6"/>
        <v>59.220000000000006</v>
      </c>
      <c r="O14" s="13">
        <f t="shared" si="7"/>
        <v>68</v>
      </c>
      <c r="P14" s="13">
        <f t="shared" si="8"/>
        <v>85</v>
      </c>
      <c r="Q14" s="13">
        <f t="shared" si="9"/>
        <v>85</v>
      </c>
      <c r="R14" s="80">
        <f t="shared" si="10"/>
        <v>118</v>
      </c>
      <c r="S14" s="80">
        <f t="shared" si="11"/>
        <v>93</v>
      </c>
      <c r="T14" s="16">
        <f t="shared" si="12"/>
        <v>85</v>
      </c>
      <c r="U14" s="13">
        <f t="shared" si="13"/>
        <v>846</v>
      </c>
      <c r="W14">
        <f t="shared" si="0"/>
        <v>11</v>
      </c>
      <c r="Y14">
        <v>2010</v>
      </c>
      <c r="Z14">
        <v>846</v>
      </c>
    </row>
    <row r="15" spans="1:26" x14ac:dyDescent="0.25">
      <c r="A15">
        <v>15</v>
      </c>
      <c r="B15" s="1078"/>
      <c r="C15" s="1">
        <v>12</v>
      </c>
      <c r="D15" s="1" t="s">
        <v>37</v>
      </c>
      <c r="E15" s="1">
        <v>10</v>
      </c>
      <c r="F15" s="1">
        <v>20</v>
      </c>
      <c r="G15" s="12">
        <v>1.67</v>
      </c>
      <c r="H15" s="12">
        <v>71</v>
      </c>
      <c r="I15" s="13">
        <f t="shared" si="1"/>
        <v>71</v>
      </c>
      <c r="J15" s="13">
        <f t="shared" si="2"/>
        <v>56.800000000000004</v>
      </c>
      <c r="K15" s="13">
        <f t="shared" si="3"/>
        <v>99.4</v>
      </c>
      <c r="L15" s="13">
        <f t="shared" si="4"/>
        <v>99.4</v>
      </c>
      <c r="M15" s="13">
        <f t="shared" si="5"/>
        <v>99.4</v>
      </c>
      <c r="N15" s="80">
        <f t="shared" si="6"/>
        <v>99.4</v>
      </c>
      <c r="O15" s="13">
        <f t="shared" si="7"/>
        <v>114</v>
      </c>
      <c r="P15" s="13">
        <f t="shared" si="8"/>
        <v>142</v>
      </c>
      <c r="Q15" s="13">
        <f t="shared" si="9"/>
        <v>142</v>
      </c>
      <c r="R15" s="80">
        <f t="shared" si="10"/>
        <v>199</v>
      </c>
      <c r="S15" s="80">
        <f t="shared" si="11"/>
        <v>156</v>
      </c>
      <c r="T15" s="16">
        <f t="shared" si="12"/>
        <v>142</v>
      </c>
      <c r="U15" s="13">
        <f t="shared" si="13"/>
        <v>1420</v>
      </c>
      <c r="W15">
        <f t="shared" si="0"/>
        <v>12</v>
      </c>
      <c r="Y15">
        <v>2010</v>
      </c>
      <c r="Z15">
        <v>1420</v>
      </c>
    </row>
    <row r="16" spans="1:26" x14ac:dyDescent="0.25">
      <c r="A16">
        <v>16</v>
      </c>
      <c r="B16" s="1077"/>
      <c r="C16" s="1">
        <v>23</v>
      </c>
      <c r="D16" s="1" t="s">
        <v>37</v>
      </c>
      <c r="E16" s="1">
        <v>10</v>
      </c>
      <c r="F16" s="1">
        <v>21</v>
      </c>
      <c r="G16" s="12">
        <v>1.75</v>
      </c>
      <c r="H16" s="12">
        <v>14.6</v>
      </c>
      <c r="I16" s="13">
        <f t="shared" si="1"/>
        <v>15.350000000000001</v>
      </c>
      <c r="J16" s="13">
        <f t="shared" si="2"/>
        <v>12.280000000000001</v>
      </c>
      <c r="K16" s="13">
        <f t="shared" si="3"/>
        <v>21.490000000000002</v>
      </c>
      <c r="L16" s="13">
        <f t="shared" si="4"/>
        <v>21.490000000000002</v>
      </c>
      <c r="M16" s="13">
        <f t="shared" si="5"/>
        <v>21.490000000000002</v>
      </c>
      <c r="N16" s="80">
        <f t="shared" si="6"/>
        <v>21.490000000000002</v>
      </c>
      <c r="O16" s="13">
        <f t="shared" si="7"/>
        <v>25</v>
      </c>
      <c r="P16" s="13">
        <f t="shared" si="8"/>
        <v>31</v>
      </c>
      <c r="Q16" s="13">
        <f t="shared" si="9"/>
        <v>31</v>
      </c>
      <c r="R16" s="80">
        <f t="shared" si="10"/>
        <v>43</v>
      </c>
      <c r="S16" s="80">
        <f t="shared" si="11"/>
        <v>34</v>
      </c>
      <c r="T16" s="16">
        <f t="shared" si="12"/>
        <v>31</v>
      </c>
      <c r="U16" s="13">
        <f t="shared" si="13"/>
        <v>307</v>
      </c>
      <c r="W16">
        <f t="shared" si="0"/>
        <v>23</v>
      </c>
      <c r="Y16">
        <v>2010</v>
      </c>
      <c r="Z16">
        <v>307</v>
      </c>
    </row>
    <row r="17" spans="1:26" s="7" customFormat="1" x14ac:dyDescent="0.25">
      <c r="A17">
        <v>17</v>
      </c>
      <c r="G17" s="6"/>
      <c r="H17" s="6">
        <f>SUBTOTAL(9,H5:H16)</f>
        <v>616.00000000000011</v>
      </c>
      <c r="I17" s="14">
        <f>SUBTOTAL(9,I5:I16)</f>
        <v>607.15000000000009</v>
      </c>
      <c r="J17" s="14">
        <f t="shared" ref="J17:T17" si="14">SUBTOTAL(9,J5:J16)</f>
        <v>485.72</v>
      </c>
      <c r="K17" s="14">
        <f t="shared" si="14"/>
        <v>850.0100000000001</v>
      </c>
      <c r="L17" s="14">
        <f t="shared" si="14"/>
        <v>850.0100000000001</v>
      </c>
      <c r="M17" s="14">
        <f t="shared" si="14"/>
        <v>850.0100000000001</v>
      </c>
      <c r="N17" s="81">
        <f t="shared" si="14"/>
        <v>850.0100000000001</v>
      </c>
      <c r="O17" s="14">
        <f>SUBTOTAL(9,O5:O16)</f>
        <v>974</v>
      </c>
      <c r="P17" s="14">
        <f t="shared" si="14"/>
        <v>1214</v>
      </c>
      <c r="Q17" s="14">
        <f t="shared" si="14"/>
        <v>1214</v>
      </c>
      <c r="R17" s="81">
        <f t="shared" si="14"/>
        <v>1700</v>
      </c>
      <c r="S17" s="81">
        <f t="shared" si="14"/>
        <v>1336</v>
      </c>
      <c r="T17" s="84">
        <f t="shared" si="14"/>
        <v>1214</v>
      </c>
      <c r="U17" s="14">
        <f>SUBTOTAL(9,U5:U16)</f>
        <v>12143</v>
      </c>
    </row>
    <row r="18" spans="1:26" x14ac:dyDescent="0.25">
      <c r="A18">
        <v>18</v>
      </c>
    </row>
    <row r="19" spans="1:26" s="11" customFormat="1" ht="30.75" customHeight="1" x14ac:dyDescent="0.25">
      <c r="A19">
        <v>19</v>
      </c>
      <c r="B19" s="9" t="s">
        <v>14</v>
      </c>
      <c r="C19" s="9" t="s">
        <v>15</v>
      </c>
      <c r="D19" s="9" t="s">
        <v>16</v>
      </c>
      <c r="E19" s="9" t="s">
        <v>17</v>
      </c>
      <c r="F19" s="9" t="s">
        <v>18</v>
      </c>
      <c r="G19" s="10" t="s">
        <v>19</v>
      </c>
      <c r="H19" s="10" t="s">
        <v>20</v>
      </c>
      <c r="I19" s="9" t="s">
        <v>21</v>
      </c>
      <c r="J19" s="9" t="s">
        <v>22</v>
      </c>
      <c r="K19" s="9" t="s">
        <v>23</v>
      </c>
      <c r="L19" s="9" t="s">
        <v>24</v>
      </c>
      <c r="M19" s="9" t="s">
        <v>25</v>
      </c>
      <c r="N19" s="79" t="s">
        <v>26</v>
      </c>
      <c r="O19" s="9" t="s">
        <v>27</v>
      </c>
      <c r="P19" s="9" t="s">
        <v>28</v>
      </c>
      <c r="Q19" s="9" t="s">
        <v>29</v>
      </c>
      <c r="R19" s="79" t="s">
        <v>30</v>
      </c>
      <c r="S19" s="79" t="s">
        <v>31</v>
      </c>
      <c r="T19" s="83" t="s">
        <v>32</v>
      </c>
      <c r="U19" s="9" t="s">
        <v>33</v>
      </c>
    </row>
    <row r="20" spans="1:26" x14ac:dyDescent="0.25">
      <c r="A20">
        <v>20</v>
      </c>
      <c r="B20" s="1076" t="s">
        <v>38</v>
      </c>
      <c r="C20" s="1">
        <v>10</v>
      </c>
      <c r="D20" s="1" t="s">
        <v>39</v>
      </c>
      <c r="E20" s="1">
        <v>9.5</v>
      </c>
      <c r="F20" s="1">
        <v>19</v>
      </c>
      <c r="G20" s="12">
        <v>1.58</v>
      </c>
      <c r="H20" s="12">
        <v>19.100000000000001</v>
      </c>
      <c r="I20" s="13">
        <f t="shared" ref="I20:I26" si="15">U20*5%</f>
        <v>18.150000000000002</v>
      </c>
      <c r="J20" s="13">
        <f t="shared" ref="J20:J26" si="16">U20*4%</f>
        <v>14.52</v>
      </c>
      <c r="K20" s="13">
        <f t="shared" ref="K20:K26" si="17">U20*7%</f>
        <v>25.410000000000004</v>
      </c>
      <c r="L20" s="13">
        <f t="shared" ref="L20:L26" si="18">U20*7%</f>
        <v>25.410000000000004</v>
      </c>
      <c r="M20" s="13">
        <f t="shared" ref="M20:M26" si="19">U20*7%</f>
        <v>25.410000000000004</v>
      </c>
      <c r="N20" s="80">
        <f t="shared" ref="N20:N26" si="20">U20*7%</f>
        <v>25.410000000000004</v>
      </c>
      <c r="O20" s="13">
        <f t="shared" ref="O20:O26" si="21">ROUND(U20*0.08,0)</f>
        <v>29</v>
      </c>
      <c r="P20" s="13">
        <f t="shared" ref="P20:P26" si="22">ROUND(U20*0.1,0)</f>
        <v>36</v>
      </c>
      <c r="Q20" s="13">
        <f t="shared" ref="Q20:Q26" si="23">ROUND(U20*0.1,0)</f>
        <v>36</v>
      </c>
      <c r="R20" s="80">
        <f t="shared" ref="R20:R26" si="24">ROUND(U20*0.14,0)</f>
        <v>51</v>
      </c>
      <c r="S20" s="80">
        <f t="shared" ref="S20:S26" si="25">ROUND(U20*0.11,0)</f>
        <v>40</v>
      </c>
      <c r="T20" s="16">
        <f t="shared" ref="T20:T26" si="26">ROUND(U20*0.1,0)</f>
        <v>36</v>
      </c>
      <c r="U20" s="13">
        <f>ROUND(F20*H20,0)</f>
        <v>363</v>
      </c>
      <c r="W20">
        <f t="shared" ref="W20:W26" si="27">VLOOKUP(C20,harvestinground,1,FALSE)</f>
        <v>10</v>
      </c>
      <c r="Y20">
        <v>2011</v>
      </c>
      <c r="Z20">
        <v>363</v>
      </c>
    </row>
    <row r="21" spans="1:26" x14ac:dyDescent="0.25">
      <c r="A21">
        <v>21</v>
      </c>
      <c r="B21" s="1078"/>
      <c r="C21" s="1">
        <v>13</v>
      </c>
      <c r="D21" s="1" t="s">
        <v>37</v>
      </c>
      <c r="E21" s="1">
        <v>10</v>
      </c>
      <c r="F21" s="1">
        <v>22</v>
      </c>
      <c r="G21" s="12">
        <v>1.83</v>
      </c>
      <c r="H21" s="12">
        <v>60.8</v>
      </c>
      <c r="I21" s="13">
        <f t="shared" si="15"/>
        <v>66.900000000000006</v>
      </c>
      <c r="J21" s="13">
        <f t="shared" si="16"/>
        <v>53.52</v>
      </c>
      <c r="K21" s="13">
        <f t="shared" si="17"/>
        <v>93.660000000000011</v>
      </c>
      <c r="L21" s="13">
        <f t="shared" si="18"/>
        <v>93.660000000000011</v>
      </c>
      <c r="M21" s="13">
        <f t="shared" si="19"/>
        <v>93.660000000000011</v>
      </c>
      <c r="N21" s="80">
        <f t="shared" si="20"/>
        <v>93.660000000000011</v>
      </c>
      <c r="O21" s="13">
        <f t="shared" si="21"/>
        <v>107</v>
      </c>
      <c r="P21" s="13">
        <f t="shared" si="22"/>
        <v>134</v>
      </c>
      <c r="Q21" s="13">
        <f t="shared" si="23"/>
        <v>134</v>
      </c>
      <c r="R21" s="80">
        <f t="shared" si="24"/>
        <v>187</v>
      </c>
      <c r="S21" s="80">
        <f t="shared" si="25"/>
        <v>147</v>
      </c>
      <c r="T21" s="16">
        <f t="shared" si="26"/>
        <v>134</v>
      </c>
      <c r="U21" s="13">
        <f t="shared" ref="U21:U26" si="28">ROUND(F21*H21,0)</f>
        <v>1338</v>
      </c>
      <c r="W21">
        <f t="shared" si="27"/>
        <v>13</v>
      </c>
      <c r="Y21">
        <v>2011</v>
      </c>
      <c r="Z21">
        <v>1338</v>
      </c>
    </row>
    <row r="22" spans="1:26" x14ac:dyDescent="0.25">
      <c r="A22">
        <v>22</v>
      </c>
      <c r="B22" s="1078"/>
      <c r="C22" s="1">
        <v>14</v>
      </c>
      <c r="D22" s="1" t="s">
        <v>37</v>
      </c>
      <c r="E22" s="1">
        <v>10</v>
      </c>
      <c r="F22" s="1">
        <v>21</v>
      </c>
      <c r="G22" s="12">
        <v>1.75</v>
      </c>
      <c r="H22" s="12">
        <v>41.6</v>
      </c>
      <c r="I22" s="13">
        <f t="shared" si="15"/>
        <v>43.7</v>
      </c>
      <c r="J22" s="13">
        <f t="shared" si="16"/>
        <v>34.96</v>
      </c>
      <c r="K22" s="13">
        <f t="shared" si="17"/>
        <v>61.180000000000007</v>
      </c>
      <c r="L22" s="13">
        <f t="shared" si="18"/>
        <v>61.180000000000007</v>
      </c>
      <c r="M22" s="13">
        <f t="shared" si="19"/>
        <v>61.180000000000007</v>
      </c>
      <c r="N22" s="80">
        <f t="shared" si="20"/>
        <v>61.180000000000007</v>
      </c>
      <c r="O22" s="13">
        <f t="shared" si="21"/>
        <v>70</v>
      </c>
      <c r="P22" s="13">
        <f t="shared" si="22"/>
        <v>87</v>
      </c>
      <c r="Q22" s="13">
        <f t="shared" si="23"/>
        <v>87</v>
      </c>
      <c r="R22" s="80">
        <f t="shared" si="24"/>
        <v>122</v>
      </c>
      <c r="S22" s="80">
        <f t="shared" si="25"/>
        <v>96</v>
      </c>
      <c r="T22" s="16">
        <f t="shared" si="26"/>
        <v>87</v>
      </c>
      <c r="U22" s="13">
        <f t="shared" si="28"/>
        <v>874</v>
      </c>
      <c r="W22">
        <f t="shared" si="27"/>
        <v>14</v>
      </c>
      <c r="Y22">
        <v>2011</v>
      </c>
      <c r="Z22">
        <v>874</v>
      </c>
    </row>
    <row r="23" spans="1:26" x14ac:dyDescent="0.25">
      <c r="A23">
        <v>23</v>
      </c>
      <c r="B23" s="1078"/>
      <c r="C23" s="1">
        <v>15</v>
      </c>
      <c r="D23" s="1" t="s">
        <v>37</v>
      </c>
      <c r="E23" s="1">
        <v>10</v>
      </c>
      <c r="F23" s="1">
        <v>20</v>
      </c>
      <c r="G23" s="12">
        <v>1.67</v>
      </c>
      <c r="H23" s="12">
        <v>49.3</v>
      </c>
      <c r="I23" s="13">
        <f t="shared" si="15"/>
        <v>49.300000000000004</v>
      </c>
      <c r="J23" s="13">
        <f t="shared" si="16"/>
        <v>39.44</v>
      </c>
      <c r="K23" s="13">
        <f t="shared" si="17"/>
        <v>69.02000000000001</v>
      </c>
      <c r="L23" s="13">
        <f t="shared" si="18"/>
        <v>69.02000000000001</v>
      </c>
      <c r="M23" s="13">
        <f t="shared" si="19"/>
        <v>69.02000000000001</v>
      </c>
      <c r="N23" s="80">
        <f t="shared" si="20"/>
        <v>69.02000000000001</v>
      </c>
      <c r="O23" s="13">
        <f t="shared" si="21"/>
        <v>79</v>
      </c>
      <c r="P23" s="13">
        <f t="shared" si="22"/>
        <v>99</v>
      </c>
      <c r="Q23" s="13">
        <f t="shared" si="23"/>
        <v>99</v>
      </c>
      <c r="R23" s="80">
        <f t="shared" si="24"/>
        <v>138</v>
      </c>
      <c r="S23" s="80">
        <f t="shared" si="25"/>
        <v>108</v>
      </c>
      <c r="T23" s="16">
        <f t="shared" si="26"/>
        <v>99</v>
      </c>
      <c r="U23" s="13">
        <f t="shared" si="28"/>
        <v>986</v>
      </c>
      <c r="W23">
        <f t="shared" si="27"/>
        <v>15</v>
      </c>
      <c r="Y23">
        <v>2011</v>
      </c>
      <c r="Z23">
        <v>986</v>
      </c>
    </row>
    <row r="24" spans="1:26" x14ac:dyDescent="0.25">
      <c r="A24">
        <v>24</v>
      </c>
      <c r="B24" s="1078"/>
      <c r="C24" s="1">
        <v>16</v>
      </c>
      <c r="D24" s="1" t="s">
        <v>39</v>
      </c>
      <c r="E24" s="1">
        <v>9.5</v>
      </c>
      <c r="F24" s="1">
        <v>20</v>
      </c>
      <c r="G24" s="12">
        <v>1.67</v>
      </c>
      <c r="H24" s="12">
        <v>53.2</v>
      </c>
      <c r="I24" s="13">
        <f t="shared" si="15"/>
        <v>53.2</v>
      </c>
      <c r="J24" s="13">
        <f t="shared" si="16"/>
        <v>42.56</v>
      </c>
      <c r="K24" s="13">
        <f t="shared" si="17"/>
        <v>74.48</v>
      </c>
      <c r="L24" s="13">
        <f t="shared" si="18"/>
        <v>74.48</v>
      </c>
      <c r="M24" s="13">
        <f t="shared" si="19"/>
        <v>74.48</v>
      </c>
      <c r="N24" s="80">
        <f t="shared" si="20"/>
        <v>74.48</v>
      </c>
      <c r="O24" s="13">
        <f t="shared" si="21"/>
        <v>85</v>
      </c>
      <c r="P24" s="13">
        <f t="shared" si="22"/>
        <v>106</v>
      </c>
      <c r="Q24" s="13">
        <f t="shared" si="23"/>
        <v>106</v>
      </c>
      <c r="R24" s="80">
        <f t="shared" si="24"/>
        <v>149</v>
      </c>
      <c r="S24" s="80">
        <f t="shared" si="25"/>
        <v>117</v>
      </c>
      <c r="T24" s="16">
        <f t="shared" si="26"/>
        <v>106</v>
      </c>
      <c r="U24" s="13">
        <f t="shared" si="28"/>
        <v>1064</v>
      </c>
      <c r="W24">
        <f t="shared" si="27"/>
        <v>16</v>
      </c>
      <c r="Y24">
        <v>2011</v>
      </c>
      <c r="Z24">
        <v>1064</v>
      </c>
    </row>
    <row r="25" spans="1:26" x14ac:dyDescent="0.25">
      <c r="A25">
        <v>25</v>
      </c>
      <c r="B25" s="1078"/>
      <c r="C25" s="1">
        <v>17</v>
      </c>
      <c r="D25" s="1" t="s">
        <v>39</v>
      </c>
      <c r="E25" s="1">
        <v>9.5</v>
      </c>
      <c r="F25" s="1">
        <v>22</v>
      </c>
      <c r="G25" s="12">
        <v>1.83</v>
      </c>
      <c r="H25" s="12">
        <v>45.7</v>
      </c>
      <c r="I25" s="13">
        <f t="shared" si="15"/>
        <v>50.25</v>
      </c>
      <c r="J25" s="13">
        <f t="shared" si="16"/>
        <v>40.200000000000003</v>
      </c>
      <c r="K25" s="13">
        <f t="shared" si="17"/>
        <v>70.350000000000009</v>
      </c>
      <c r="L25" s="13">
        <f t="shared" si="18"/>
        <v>70.350000000000009</v>
      </c>
      <c r="M25" s="13">
        <f t="shared" si="19"/>
        <v>70.350000000000009</v>
      </c>
      <c r="N25" s="80">
        <f t="shared" si="20"/>
        <v>70.350000000000009</v>
      </c>
      <c r="O25" s="13">
        <f t="shared" si="21"/>
        <v>80</v>
      </c>
      <c r="P25" s="13">
        <f t="shared" si="22"/>
        <v>101</v>
      </c>
      <c r="Q25" s="13">
        <f t="shared" si="23"/>
        <v>101</v>
      </c>
      <c r="R25" s="80">
        <f t="shared" si="24"/>
        <v>141</v>
      </c>
      <c r="S25" s="80">
        <f t="shared" si="25"/>
        <v>111</v>
      </c>
      <c r="T25" s="16">
        <f t="shared" si="26"/>
        <v>101</v>
      </c>
      <c r="U25" s="13">
        <f t="shared" si="28"/>
        <v>1005</v>
      </c>
      <c r="W25">
        <f t="shared" si="27"/>
        <v>17</v>
      </c>
      <c r="Y25">
        <v>2011</v>
      </c>
      <c r="Z25">
        <v>1005</v>
      </c>
    </row>
    <row r="26" spans="1:26" x14ac:dyDescent="0.25">
      <c r="A26">
        <v>26</v>
      </c>
      <c r="B26" s="1077"/>
      <c r="C26" s="1">
        <v>18</v>
      </c>
      <c r="D26" s="1" t="s">
        <v>39</v>
      </c>
      <c r="E26" s="1">
        <v>9.5</v>
      </c>
      <c r="F26" s="1">
        <v>22</v>
      </c>
      <c r="G26" s="12">
        <v>1.83</v>
      </c>
      <c r="H26" s="12">
        <v>40.799999999999997</v>
      </c>
      <c r="I26" s="13">
        <f t="shared" si="15"/>
        <v>44.900000000000006</v>
      </c>
      <c r="J26" s="13">
        <f t="shared" si="16"/>
        <v>35.92</v>
      </c>
      <c r="K26" s="13">
        <f t="shared" si="17"/>
        <v>62.860000000000007</v>
      </c>
      <c r="L26" s="13">
        <f t="shared" si="18"/>
        <v>62.860000000000007</v>
      </c>
      <c r="M26" s="13">
        <f t="shared" si="19"/>
        <v>62.860000000000007</v>
      </c>
      <c r="N26" s="80">
        <f t="shared" si="20"/>
        <v>62.860000000000007</v>
      </c>
      <c r="O26" s="13">
        <f t="shared" si="21"/>
        <v>72</v>
      </c>
      <c r="P26" s="13">
        <f t="shared" si="22"/>
        <v>90</v>
      </c>
      <c r="Q26" s="13">
        <f t="shared" si="23"/>
        <v>90</v>
      </c>
      <c r="R26" s="80">
        <f t="shared" si="24"/>
        <v>126</v>
      </c>
      <c r="S26" s="80">
        <f t="shared" si="25"/>
        <v>99</v>
      </c>
      <c r="T26" s="16">
        <f t="shared" si="26"/>
        <v>90</v>
      </c>
      <c r="U26" s="13">
        <f t="shared" si="28"/>
        <v>898</v>
      </c>
      <c r="W26">
        <f t="shared" si="27"/>
        <v>18</v>
      </c>
      <c r="Y26">
        <v>2011</v>
      </c>
      <c r="Z26">
        <v>898</v>
      </c>
    </row>
    <row r="27" spans="1:26" s="7" customFormat="1" x14ac:dyDescent="0.25">
      <c r="A27">
        <v>27</v>
      </c>
      <c r="G27" s="6"/>
      <c r="H27" s="6">
        <f>SUBTOTAL(9,H20:H26)</f>
        <v>310.5</v>
      </c>
      <c r="I27" s="14">
        <f t="shared" ref="I27:T27" si="29">SUBTOTAL(9,I20:I26)</f>
        <v>326.39999999999998</v>
      </c>
      <c r="J27" s="14">
        <f t="shared" si="29"/>
        <v>261.12</v>
      </c>
      <c r="K27" s="14">
        <f t="shared" si="29"/>
        <v>456.96000000000009</v>
      </c>
      <c r="L27" s="14">
        <f t="shared" si="29"/>
        <v>456.96000000000009</v>
      </c>
      <c r="M27" s="14">
        <f t="shared" si="29"/>
        <v>456.96000000000009</v>
      </c>
      <c r="N27" s="81">
        <f t="shared" si="29"/>
        <v>456.96000000000009</v>
      </c>
      <c r="O27" s="14">
        <f t="shared" si="29"/>
        <v>522</v>
      </c>
      <c r="P27" s="14">
        <f t="shared" si="29"/>
        <v>653</v>
      </c>
      <c r="Q27" s="14">
        <f t="shared" si="29"/>
        <v>653</v>
      </c>
      <c r="R27" s="81">
        <f t="shared" si="29"/>
        <v>914</v>
      </c>
      <c r="S27" s="81">
        <f t="shared" si="29"/>
        <v>718</v>
      </c>
      <c r="T27" s="84">
        <f t="shared" si="29"/>
        <v>653</v>
      </c>
      <c r="U27" s="15">
        <f>SUBTOTAL(9,U20:U26)</f>
        <v>6528</v>
      </c>
    </row>
    <row r="28" spans="1:26" x14ac:dyDescent="0.25">
      <c r="A28">
        <v>28</v>
      </c>
    </row>
    <row r="29" spans="1:26" s="11" customFormat="1" ht="30.75" customHeight="1" x14ac:dyDescent="0.25">
      <c r="A29">
        <v>29</v>
      </c>
      <c r="B29" s="9" t="s">
        <v>14</v>
      </c>
      <c r="C29" s="9" t="s">
        <v>15</v>
      </c>
      <c r="D29" s="9" t="s">
        <v>16</v>
      </c>
      <c r="E29" s="9" t="s">
        <v>17</v>
      </c>
      <c r="F29" s="9" t="s">
        <v>18</v>
      </c>
      <c r="G29" s="10" t="s">
        <v>19</v>
      </c>
      <c r="H29" s="10" t="s">
        <v>20</v>
      </c>
      <c r="I29" s="9" t="s">
        <v>21</v>
      </c>
      <c r="J29" s="9" t="s">
        <v>22</v>
      </c>
      <c r="K29" s="9" t="s">
        <v>23</v>
      </c>
      <c r="L29" s="9" t="s">
        <v>24</v>
      </c>
      <c r="M29" s="9" t="s">
        <v>25</v>
      </c>
      <c r="N29" s="79" t="s">
        <v>26</v>
      </c>
      <c r="O29" s="9" t="s">
        <v>27</v>
      </c>
      <c r="P29" s="9" t="s">
        <v>28</v>
      </c>
      <c r="Q29" s="9" t="s">
        <v>29</v>
      </c>
      <c r="R29" s="79" t="s">
        <v>30</v>
      </c>
      <c r="S29" s="79" t="s">
        <v>31</v>
      </c>
      <c r="T29" s="83" t="s">
        <v>32</v>
      </c>
      <c r="U29" s="9" t="s">
        <v>33</v>
      </c>
    </row>
    <row r="30" spans="1:26" x14ac:dyDescent="0.25">
      <c r="A30">
        <v>30</v>
      </c>
      <c r="B30" s="1076" t="s">
        <v>40</v>
      </c>
      <c r="C30" s="1">
        <v>19</v>
      </c>
      <c r="D30" s="1" t="s">
        <v>39</v>
      </c>
      <c r="E30" s="1">
        <v>9.5</v>
      </c>
      <c r="F30" s="1">
        <v>21</v>
      </c>
      <c r="G30" s="12">
        <v>1.75</v>
      </c>
      <c r="H30" s="12">
        <v>50.6</v>
      </c>
      <c r="I30" s="13">
        <f>U30*5%</f>
        <v>53.150000000000006</v>
      </c>
      <c r="J30" s="13">
        <f>U30*4%</f>
        <v>42.52</v>
      </c>
      <c r="K30" s="13">
        <f>U30*7%</f>
        <v>74.410000000000011</v>
      </c>
      <c r="L30" s="13">
        <f>U30*7%</f>
        <v>74.410000000000011</v>
      </c>
      <c r="M30" s="13">
        <f>U30*7%</f>
        <v>74.410000000000011</v>
      </c>
      <c r="N30" s="80">
        <f>U30*7%</f>
        <v>74.410000000000011</v>
      </c>
      <c r="O30" s="13">
        <f>ROUND(U30*0.08,0)</f>
        <v>85</v>
      </c>
      <c r="P30" s="13">
        <f>ROUND(U30*0.1,0)</f>
        <v>106</v>
      </c>
      <c r="Q30" s="13">
        <f>ROUND(U30*0.1,0)</f>
        <v>106</v>
      </c>
      <c r="R30" s="80">
        <f>ROUND(U30*0.14,0)</f>
        <v>149</v>
      </c>
      <c r="S30" s="80">
        <f>ROUND(U30*0.11,0)</f>
        <v>117</v>
      </c>
      <c r="T30" s="16">
        <f>ROUND(U30*0.1,0)</f>
        <v>106</v>
      </c>
      <c r="U30" s="13">
        <f>ROUND(F30*H30,0)</f>
        <v>1063</v>
      </c>
      <c r="W30">
        <f>VLOOKUP(C30,harvestinground,1,FALSE)</f>
        <v>19</v>
      </c>
      <c r="Y30">
        <v>2012</v>
      </c>
      <c r="Z30">
        <v>1063</v>
      </c>
    </row>
    <row r="31" spans="1:26" x14ac:dyDescent="0.25">
      <c r="A31">
        <v>31</v>
      </c>
      <c r="B31" s="1078"/>
      <c r="C31" s="1">
        <v>20</v>
      </c>
      <c r="D31" s="1" t="s">
        <v>41</v>
      </c>
      <c r="E31" s="1">
        <v>9</v>
      </c>
      <c r="F31" s="1">
        <v>21</v>
      </c>
      <c r="G31" s="12">
        <v>1.75</v>
      </c>
      <c r="H31" s="12">
        <v>62.1</v>
      </c>
      <c r="I31" s="13">
        <f>U31*5%</f>
        <v>65.2</v>
      </c>
      <c r="J31" s="13">
        <f>U31*4%</f>
        <v>52.160000000000004</v>
      </c>
      <c r="K31" s="13">
        <f>U31*7%</f>
        <v>91.280000000000015</v>
      </c>
      <c r="L31" s="13">
        <f>U31*7%</f>
        <v>91.280000000000015</v>
      </c>
      <c r="M31" s="13">
        <f>U31*7%</f>
        <v>91.280000000000015</v>
      </c>
      <c r="N31" s="80">
        <f>U31*7%</f>
        <v>91.280000000000015</v>
      </c>
      <c r="O31" s="13">
        <f>ROUND(U31*0.08,0)</f>
        <v>104</v>
      </c>
      <c r="P31" s="13">
        <f>ROUND(U31*0.1,0)</f>
        <v>130</v>
      </c>
      <c r="Q31" s="13">
        <f>ROUND(U31*0.1,0)</f>
        <v>130</v>
      </c>
      <c r="R31" s="80">
        <f>ROUND(U31*0.14,0)</f>
        <v>183</v>
      </c>
      <c r="S31" s="80">
        <f>ROUND(U31*0.11,0)</f>
        <v>143</v>
      </c>
      <c r="T31" s="16">
        <f>ROUND(U31*0.1,0)</f>
        <v>130</v>
      </c>
      <c r="U31" s="13">
        <f>ROUND(F31*H31,0)</f>
        <v>1304</v>
      </c>
      <c r="W31">
        <f>VLOOKUP(C31,harvestinground,1,FALSE)</f>
        <v>20</v>
      </c>
      <c r="Y31">
        <v>2012</v>
      </c>
      <c r="Z31">
        <v>1304</v>
      </c>
    </row>
    <row r="32" spans="1:26" x14ac:dyDescent="0.25">
      <c r="A32">
        <v>32</v>
      </c>
      <c r="B32" s="1078"/>
      <c r="C32" s="1">
        <v>21</v>
      </c>
      <c r="D32" s="1" t="s">
        <v>41</v>
      </c>
      <c r="E32" s="1">
        <v>9</v>
      </c>
      <c r="F32" s="1">
        <v>23</v>
      </c>
      <c r="G32" s="12">
        <v>1.92</v>
      </c>
      <c r="H32" s="12">
        <v>72.2</v>
      </c>
      <c r="I32" s="13">
        <f>U32*5%</f>
        <v>83.050000000000011</v>
      </c>
      <c r="J32" s="13">
        <f>U32*4%</f>
        <v>66.44</v>
      </c>
      <c r="K32" s="13">
        <f>U32*7%</f>
        <v>116.27000000000001</v>
      </c>
      <c r="L32" s="13">
        <f>U32*7%</f>
        <v>116.27000000000001</v>
      </c>
      <c r="M32" s="13">
        <f>U32*7%</f>
        <v>116.27000000000001</v>
      </c>
      <c r="N32" s="80">
        <f>U32*7%</f>
        <v>116.27000000000001</v>
      </c>
      <c r="O32" s="13">
        <f>ROUND(U32*0.08,0)</f>
        <v>133</v>
      </c>
      <c r="P32" s="13">
        <f>ROUND(U32*0.1,0)</f>
        <v>166</v>
      </c>
      <c r="Q32" s="13">
        <f>ROUND(U32*0.1,0)</f>
        <v>166</v>
      </c>
      <c r="R32" s="80">
        <f>ROUND(U32*0.14,0)-1</f>
        <v>232</v>
      </c>
      <c r="S32" s="80">
        <f>ROUND(U32*0.11,0)</f>
        <v>183</v>
      </c>
      <c r="T32" s="16">
        <f>ROUND(U32*0.1,0)</f>
        <v>166</v>
      </c>
      <c r="U32" s="13">
        <f>ROUND(F32*H32,0)</f>
        <v>1661</v>
      </c>
      <c r="W32">
        <f>VLOOKUP(C32,harvestinground,1,FALSE)</f>
        <v>21</v>
      </c>
      <c r="Y32">
        <v>2012</v>
      </c>
      <c r="Z32">
        <v>1661</v>
      </c>
    </row>
    <row r="33" spans="1:26" x14ac:dyDescent="0.25">
      <c r="A33">
        <v>33</v>
      </c>
      <c r="B33" s="1078"/>
      <c r="C33" s="1">
        <v>22</v>
      </c>
      <c r="D33" s="1" t="s">
        <v>41</v>
      </c>
      <c r="E33" s="1">
        <v>9</v>
      </c>
      <c r="F33" s="1">
        <v>21</v>
      </c>
      <c r="G33" s="12">
        <v>1.75</v>
      </c>
      <c r="H33" s="12">
        <v>52.3</v>
      </c>
      <c r="I33" s="13">
        <f>U33*5%</f>
        <v>54.900000000000006</v>
      </c>
      <c r="J33" s="13">
        <f>U33*4%</f>
        <v>43.92</v>
      </c>
      <c r="K33" s="13">
        <f>U33*7%</f>
        <v>76.860000000000014</v>
      </c>
      <c r="L33" s="13">
        <f>U33*7%</f>
        <v>76.860000000000014</v>
      </c>
      <c r="M33" s="13">
        <f>U33*7%</f>
        <v>76.860000000000014</v>
      </c>
      <c r="N33" s="80">
        <f>U33*7%</f>
        <v>76.860000000000014</v>
      </c>
      <c r="O33" s="13">
        <f>ROUND(U33*0.08,0)</f>
        <v>88</v>
      </c>
      <c r="P33" s="13">
        <f>ROUND(U33*0.1,0)</f>
        <v>110</v>
      </c>
      <c r="Q33" s="13">
        <f>ROUND(U33*0.1,0)</f>
        <v>110</v>
      </c>
      <c r="R33" s="80">
        <f>ROUND(U33*0.14,0)</f>
        <v>154</v>
      </c>
      <c r="S33" s="80">
        <f>ROUND(U33*0.11,0)</f>
        <v>121</v>
      </c>
      <c r="T33" s="16">
        <f>ROUND(U33*0.1,0)</f>
        <v>110</v>
      </c>
      <c r="U33" s="13">
        <f>ROUND(F33*H33,0)</f>
        <v>1098</v>
      </c>
      <c r="W33">
        <f>VLOOKUP(C33,harvestinground,1,FALSE)</f>
        <v>22</v>
      </c>
      <c r="Y33">
        <v>2012</v>
      </c>
      <c r="Z33">
        <v>1098</v>
      </c>
    </row>
    <row r="34" spans="1:26" x14ac:dyDescent="0.25">
      <c r="A34">
        <v>34</v>
      </c>
      <c r="B34" s="1077"/>
      <c r="C34" s="1">
        <v>24</v>
      </c>
      <c r="D34" s="1" t="s">
        <v>41</v>
      </c>
      <c r="E34" s="1">
        <v>9</v>
      </c>
      <c r="F34" s="1">
        <v>18</v>
      </c>
      <c r="G34" s="12">
        <v>1.5</v>
      </c>
      <c r="H34" s="12">
        <v>44.7</v>
      </c>
      <c r="I34" s="13">
        <f>U34*5%</f>
        <v>40.25</v>
      </c>
      <c r="J34" s="13">
        <f>U34*4%</f>
        <v>32.200000000000003</v>
      </c>
      <c r="K34" s="13">
        <f>U34*7%</f>
        <v>56.350000000000009</v>
      </c>
      <c r="L34" s="13">
        <f>U34*7%</f>
        <v>56.350000000000009</v>
      </c>
      <c r="M34" s="13">
        <f>U34*7%</f>
        <v>56.350000000000009</v>
      </c>
      <c r="N34" s="80">
        <f>U34*7%</f>
        <v>56.350000000000009</v>
      </c>
      <c r="O34" s="13">
        <f>ROUND(U34*0.08,0)</f>
        <v>64</v>
      </c>
      <c r="P34" s="13">
        <f>ROUND(U34*0.1,0)</f>
        <v>81</v>
      </c>
      <c r="Q34" s="13">
        <f>ROUND(U34*0.1,0)</f>
        <v>81</v>
      </c>
      <c r="R34" s="80">
        <f>ROUND(U34*0.14,0)</f>
        <v>113</v>
      </c>
      <c r="S34" s="80">
        <f>ROUND(U34*0.11,0)</f>
        <v>89</v>
      </c>
      <c r="T34" s="16">
        <f>ROUND(U34*0.1,0)</f>
        <v>81</v>
      </c>
      <c r="U34" s="13">
        <f>ROUND(F34*H34,0)</f>
        <v>805</v>
      </c>
      <c r="W34">
        <f>VLOOKUP(C34,harvestinground,1,FALSE)</f>
        <v>24</v>
      </c>
      <c r="Y34">
        <v>2012</v>
      </c>
      <c r="Z34">
        <v>805</v>
      </c>
    </row>
    <row r="35" spans="1:26" s="7" customFormat="1" x14ac:dyDescent="0.25">
      <c r="A35">
        <v>35</v>
      </c>
      <c r="G35" s="6"/>
      <c r="H35" s="6">
        <f>SUBTOTAL(9,H30:H34)</f>
        <v>281.89999999999998</v>
      </c>
      <c r="I35" s="14">
        <f>SUBTOTAL(9,I30:I34)</f>
        <v>296.55000000000007</v>
      </c>
      <c r="J35" s="14">
        <f t="shared" ref="J35:T35" si="30">SUBTOTAL(9,J30:J34)</f>
        <v>237.24</v>
      </c>
      <c r="K35" s="14">
        <f t="shared" si="30"/>
        <v>415.17000000000007</v>
      </c>
      <c r="L35" s="14">
        <f t="shared" si="30"/>
        <v>415.17000000000007</v>
      </c>
      <c r="M35" s="14">
        <f t="shared" si="30"/>
        <v>415.17000000000007</v>
      </c>
      <c r="N35" s="81">
        <f t="shared" si="30"/>
        <v>415.17000000000007</v>
      </c>
      <c r="O35" s="14">
        <f t="shared" si="30"/>
        <v>474</v>
      </c>
      <c r="P35" s="14">
        <f t="shared" si="30"/>
        <v>593</v>
      </c>
      <c r="Q35" s="14">
        <f t="shared" si="30"/>
        <v>593</v>
      </c>
      <c r="R35" s="804">
        <f t="shared" si="30"/>
        <v>831</v>
      </c>
      <c r="S35" s="804">
        <f t="shared" si="30"/>
        <v>653</v>
      </c>
      <c r="T35" s="84">
        <f t="shared" si="30"/>
        <v>593</v>
      </c>
      <c r="U35" s="15">
        <f>SUBTOTAL(9,U27:U34)</f>
        <v>5931</v>
      </c>
    </row>
    <row r="36" spans="1:26" x14ac:dyDescent="0.25">
      <c r="A36">
        <v>36</v>
      </c>
    </row>
    <row r="37" spans="1:26" x14ac:dyDescent="0.25">
      <c r="A37">
        <v>37</v>
      </c>
    </row>
    <row r="38" spans="1:26" x14ac:dyDescent="0.25">
      <c r="A38">
        <v>38</v>
      </c>
    </row>
    <row r="39" spans="1:26" x14ac:dyDescent="0.25">
      <c r="A39">
        <v>39</v>
      </c>
    </row>
    <row r="40" spans="1:26" s="11" customFormat="1" ht="30.75" customHeight="1" x14ac:dyDescent="0.25">
      <c r="A40">
        <v>40</v>
      </c>
      <c r="B40" s="9" t="s">
        <v>14</v>
      </c>
      <c r="C40" s="9" t="s">
        <v>15</v>
      </c>
      <c r="D40" s="9" t="s">
        <v>16</v>
      </c>
      <c r="E40" s="9" t="s">
        <v>17</v>
      </c>
      <c r="F40" s="9" t="s">
        <v>18</v>
      </c>
      <c r="G40" s="10" t="s">
        <v>19</v>
      </c>
      <c r="H40" s="10" t="s">
        <v>20</v>
      </c>
      <c r="I40" s="9" t="s">
        <v>21</v>
      </c>
      <c r="J40" s="9" t="s">
        <v>22</v>
      </c>
      <c r="K40" s="9" t="s">
        <v>23</v>
      </c>
      <c r="L40" s="9" t="s">
        <v>24</v>
      </c>
      <c r="M40" s="9" t="s">
        <v>25</v>
      </c>
      <c r="N40" s="79" t="s">
        <v>26</v>
      </c>
      <c r="O40" s="9" t="s">
        <v>27</v>
      </c>
      <c r="P40" s="9" t="s">
        <v>28</v>
      </c>
      <c r="Q40" s="9" t="s">
        <v>29</v>
      </c>
      <c r="R40" s="79" t="s">
        <v>30</v>
      </c>
      <c r="S40" s="79" t="s">
        <v>31</v>
      </c>
      <c r="T40" s="83" t="s">
        <v>32</v>
      </c>
      <c r="U40" s="9" t="s">
        <v>33</v>
      </c>
    </row>
    <row r="41" spans="1:26" x14ac:dyDescent="0.25">
      <c r="A41">
        <v>41</v>
      </c>
      <c r="B41" s="1076" t="s">
        <v>42</v>
      </c>
      <c r="C41" s="4">
        <v>25</v>
      </c>
      <c r="D41" s="1" t="s">
        <v>43</v>
      </c>
      <c r="E41" s="1">
        <v>2</v>
      </c>
      <c r="F41" s="1">
        <v>4</v>
      </c>
      <c r="G41" s="12"/>
      <c r="H41" s="12">
        <v>33.51</v>
      </c>
      <c r="I41" s="13">
        <f>U41*5%</f>
        <v>6.7</v>
      </c>
      <c r="J41" s="13">
        <f>U41*4%</f>
        <v>5.36</v>
      </c>
      <c r="K41" s="13">
        <f>U41*7%</f>
        <v>9.3800000000000008</v>
      </c>
      <c r="L41" s="13">
        <f>U41*7%</f>
        <v>9.3800000000000008</v>
      </c>
      <c r="M41" s="13">
        <f>U41*7%</f>
        <v>9.3800000000000008</v>
      </c>
      <c r="N41" s="80">
        <f>U41*7%</f>
        <v>9.3800000000000008</v>
      </c>
      <c r="O41" s="13">
        <f>ROUND(U41*0.08,0)</f>
        <v>11</v>
      </c>
      <c r="P41" s="13">
        <f>ROUND(U41*0.1,0)</f>
        <v>13</v>
      </c>
      <c r="Q41" s="13">
        <f>ROUND(U41*0.1,0)</f>
        <v>13</v>
      </c>
      <c r="R41" s="80">
        <f>ROUND(U41*0.14,0)</f>
        <v>19</v>
      </c>
      <c r="S41" s="80">
        <f>ROUND(U41*0.11,0)</f>
        <v>15</v>
      </c>
      <c r="T41" s="16">
        <f>ROUND(U41*0.1,0)</f>
        <v>13</v>
      </c>
      <c r="U41" s="13">
        <f>ROUND(F41*H41,0)</f>
        <v>134</v>
      </c>
      <c r="W41">
        <f t="shared" ref="W41:W50" si="31">VLOOKUP(C41,harvestinground,1,FALSE)</f>
        <v>25</v>
      </c>
      <c r="Y41">
        <v>2015</v>
      </c>
      <c r="Z41">
        <v>134</v>
      </c>
    </row>
    <row r="42" spans="1:26" x14ac:dyDescent="0.25">
      <c r="A42">
        <v>42</v>
      </c>
      <c r="B42" s="1078"/>
      <c r="C42" s="4" t="s">
        <v>7</v>
      </c>
      <c r="D42" s="1" t="s">
        <v>43</v>
      </c>
      <c r="E42" s="1">
        <v>2</v>
      </c>
      <c r="F42" s="1">
        <v>6</v>
      </c>
      <c r="G42" s="12"/>
      <c r="H42" s="12">
        <v>18.059999999999999</v>
      </c>
      <c r="I42" s="13">
        <f>U42*5%</f>
        <v>5.4</v>
      </c>
      <c r="J42" s="13">
        <f>U42*4%</f>
        <v>4.32</v>
      </c>
      <c r="K42" s="13">
        <f>U42*7%</f>
        <v>7.5600000000000005</v>
      </c>
      <c r="L42" s="13">
        <f>U42*7%</f>
        <v>7.5600000000000005</v>
      </c>
      <c r="M42" s="13">
        <f>U42*7%</f>
        <v>7.5600000000000005</v>
      </c>
      <c r="N42" s="80">
        <f>U42*7%</f>
        <v>7.5600000000000005</v>
      </c>
      <c r="O42" s="13">
        <f>ROUND(U42*0.08,0)</f>
        <v>9</v>
      </c>
      <c r="P42" s="13">
        <f>ROUND(U42*0.1,0)</f>
        <v>11</v>
      </c>
      <c r="Q42" s="13">
        <f>ROUND(U42*0.1,0)</f>
        <v>11</v>
      </c>
      <c r="R42" s="80">
        <f>ROUND(U42*0.14,0)</f>
        <v>15</v>
      </c>
      <c r="S42" s="80">
        <f>ROUND(U42*0.11,0)</f>
        <v>12</v>
      </c>
      <c r="T42" s="16">
        <f>ROUND(U42*0.1,0)</f>
        <v>11</v>
      </c>
      <c r="U42" s="13">
        <f t="shared" ref="U42:U48" si="32">ROUND(F42*H42,0)</f>
        <v>108</v>
      </c>
      <c r="W42" t="str">
        <f t="shared" si="31"/>
        <v>26A</v>
      </c>
      <c r="Y42">
        <v>2015</v>
      </c>
      <c r="Z42">
        <v>108</v>
      </c>
    </row>
    <row r="43" spans="1:26" x14ac:dyDescent="0.25">
      <c r="A43">
        <v>43</v>
      </c>
      <c r="B43" s="1078"/>
      <c r="C43" s="17" t="s">
        <v>45</v>
      </c>
      <c r="D43" s="1075" t="s">
        <v>46</v>
      </c>
      <c r="E43" s="1075"/>
      <c r="F43" s="1075"/>
      <c r="G43" s="1075"/>
      <c r="H43" s="1075"/>
      <c r="I43" s="1075"/>
      <c r="J43" s="1075"/>
      <c r="K43" s="1075"/>
      <c r="L43" s="1075"/>
      <c r="M43" s="1075"/>
      <c r="N43" s="1075"/>
      <c r="O43" s="1075"/>
      <c r="P43" s="1075"/>
      <c r="Q43" s="1075"/>
      <c r="R43" s="1075"/>
      <c r="S43" s="1075"/>
      <c r="T43" s="1075"/>
      <c r="U43" s="1075"/>
      <c r="W43" t="e">
        <f t="shared" si="31"/>
        <v>#N/A</v>
      </c>
      <c r="Y43">
        <v>2015</v>
      </c>
    </row>
    <row r="44" spans="1:26" x14ac:dyDescent="0.25">
      <c r="A44">
        <v>44</v>
      </c>
      <c r="B44" s="1078"/>
      <c r="C44" s="4">
        <v>27</v>
      </c>
      <c r="D44" s="1" t="s">
        <v>43</v>
      </c>
      <c r="E44" s="1">
        <v>2</v>
      </c>
      <c r="F44" s="1">
        <v>6</v>
      </c>
      <c r="G44" s="12"/>
      <c r="H44" s="12">
        <v>14.3</v>
      </c>
      <c r="I44" s="13">
        <f>U44*5%</f>
        <v>4.3</v>
      </c>
      <c r="J44" s="13">
        <f>U44*4%</f>
        <v>3.44</v>
      </c>
      <c r="K44" s="13">
        <f>U44*7%</f>
        <v>6.0200000000000005</v>
      </c>
      <c r="L44" s="13">
        <f>U44*7%</f>
        <v>6.0200000000000005</v>
      </c>
      <c r="M44" s="13">
        <f>U44*7%</f>
        <v>6.0200000000000005</v>
      </c>
      <c r="N44" s="80">
        <f>U44*7%</f>
        <v>6.0200000000000005</v>
      </c>
      <c r="O44" s="13">
        <f>ROUND(U44*0.08,0)</f>
        <v>7</v>
      </c>
      <c r="P44" s="13">
        <f>ROUND(U44*0.1,0)</f>
        <v>9</v>
      </c>
      <c r="Q44" s="13">
        <f>ROUND(U44*0.1,0)</f>
        <v>9</v>
      </c>
      <c r="R44" s="80">
        <f>ROUND(U44*0.14,0)</f>
        <v>12</v>
      </c>
      <c r="S44" s="80">
        <f>ROUND(U44*0.11,0)</f>
        <v>9</v>
      </c>
      <c r="T44" s="16">
        <f>ROUND(U44*0.1,0)</f>
        <v>9</v>
      </c>
      <c r="U44" s="13">
        <f t="shared" si="32"/>
        <v>86</v>
      </c>
      <c r="W44">
        <f t="shared" si="31"/>
        <v>27</v>
      </c>
      <c r="Y44">
        <v>2015</v>
      </c>
      <c r="Z44">
        <v>86</v>
      </c>
    </row>
    <row r="45" spans="1:26" x14ac:dyDescent="0.25">
      <c r="A45">
        <v>45</v>
      </c>
      <c r="B45" s="1078"/>
      <c r="C45" s="4">
        <v>28</v>
      </c>
      <c r="D45" s="1" t="s">
        <v>47</v>
      </c>
      <c r="E45" s="1">
        <v>3</v>
      </c>
      <c r="F45" s="1">
        <v>12</v>
      </c>
      <c r="G45" s="12"/>
      <c r="H45" s="12">
        <v>21.36</v>
      </c>
      <c r="I45" s="13">
        <f>U45*5%</f>
        <v>12.8</v>
      </c>
      <c r="J45" s="13">
        <f>U45*4%</f>
        <v>10.24</v>
      </c>
      <c r="K45" s="13">
        <f>U45*7%</f>
        <v>17.920000000000002</v>
      </c>
      <c r="L45" s="13">
        <f>U45*7%</f>
        <v>17.920000000000002</v>
      </c>
      <c r="M45" s="13">
        <f>U45*7%</f>
        <v>17.920000000000002</v>
      </c>
      <c r="N45" s="80">
        <f>U45*7%</f>
        <v>17.920000000000002</v>
      </c>
      <c r="O45" s="13">
        <f>ROUND(U45*0.08,0)+1</f>
        <v>21</v>
      </c>
      <c r="P45" s="13">
        <f>ROUND(U45*0.1,0)</f>
        <v>26</v>
      </c>
      <c r="Q45" s="13">
        <f>ROUND(U45*0.1,0)</f>
        <v>26</v>
      </c>
      <c r="R45" s="80">
        <f>ROUND(U45*0.14,0)</f>
        <v>36</v>
      </c>
      <c r="S45" s="80">
        <f>ROUND(U45*0.11,0)</f>
        <v>28</v>
      </c>
      <c r="T45" s="16">
        <f>ROUND(U45*0.1,0)</f>
        <v>26</v>
      </c>
      <c r="U45" s="13">
        <f t="shared" si="32"/>
        <v>256</v>
      </c>
      <c r="W45">
        <f t="shared" si="31"/>
        <v>28</v>
      </c>
      <c r="Y45">
        <v>2015</v>
      </c>
      <c r="Z45">
        <v>256</v>
      </c>
    </row>
    <row r="46" spans="1:26" x14ac:dyDescent="0.25">
      <c r="A46">
        <v>46</v>
      </c>
      <c r="B46" s="1078"/>
      <c r="C46" s="4">
        <v>29</v>
      </c>
      <c r="D46" s="1" t="s">
        <v>48</v>
      </c>
      <c r="E46" s="1" t="s">
        <v>49</v>
      </c>
      <c r="F46" s="1">
        <v>4</v>
      </c>
      <c r="G46" s="12"/>
      <c r="H46" s="12">
        <v>17.21</v>
      </c>
      <c r="I46" s="13">
        <f>U46*5%</f>
        <v>3.45</v>
      </c>
      <c r="J46" s="13">
        <f>U46*4%</f>
        <v>2.7600000000000002</v>
      </c>
      <c r="K46" s="13">
        <f>U46*7%</f>
        <v>4.83</v>
      </c>
      <c r="L46" s="13">
        <f>U46*7%</f>
        <v>4.83</v>
      </c>
      <c r="M46" s="13">
        <f>U46*7%</f>
        <v>4.83</v>
      </c>
      <c r="N46" s="80">
        <f>U46*7%</f>
        <v>4.83</v>
      </c>
      <c r="O46" s="13">
        <f>ROUND(U46*0.08,0)</f>
        <v>6</v>
      </c>
      <c r="P46" s="13">
        <f>ROUND(U46*0.1,0)</f>
        <v>7</v>
      </c>
      <c r="Q46" s="13">
        <f>ROUND(U46*0.1,0)</f>
        <v>7</v>
      </c>
      <c r="R46" s="80">
        <f>ROUND(U46*0.14,0)</f>
        <v>10</v>
      </c>
      <c r="S46" s="80">
        <f>ROUND(U46*0.11,0)</f>
        <v>8</v>
      </c>
      <c r="T46" s="16">
        <f>ROUND(U46*0.1,0)</f>
        <v>7</v>
      </c>
      <c r="U46" s="13">
        <f t="shared" si="32"/>
        <v>69</v>
      </c>
      <c r="W46">
        <f t="shared" si="31"/>
        <v>29</v>
      </c>
      <c r="Y46">
        <v>2015</v>
      </c>
      <c r="Z46">
        <v>69</v>
      </c>
    </row>
    <row r="47" spans="1:26" x14ac:dyDescent="0.25">
      <c r="A47">
        <v>47</v>
      </c>
      <c r="B47" s="1078"/>
      <c r="C47" s="4">
        <v>30</v>
      </c>
      <c r="D47" s="1" t="s">
        <v>48</v>
      </c>
      <c r="E47" s="1" t="s">
        <v>49</v>
      </c>
      <c r="F47" s="1">
        <v>4</v>
      </c>
      <c r="G47" s="12"/>
      <c r="H47" s="12">
        <v>18.38</v>
      </c>
      <c r="I47" s="13">
        <f>U47*5%</f>
        <v>3.7</v>
      </c>
      <c r="J47" s="13">
        <f>U47*4%</f>
        <v>2.96</v>
      </c>
      <c r="K47" s="13">
        <f>U47*7%</f>
        <v>5.1800000000000006</v>
      </c>
      <c r="L47" s="13">
        <f>U47*7%</f>
        <v>5.1800000000000006</v>
      </c>
      <c r="M47" s="13">
        <f>U47*7%</f>
        <v>5.1800000000000006</v>
      </c>
      <c r="N47" s="80">
        <f>U47*7%</f>
        <v>5.1800000000000006</v>
      </c>
      <c r="O47" s="13">
        <f>ROUND(U47*0.08,0)</f>
        <v>6</v>
      </c>
      <c r="P47" s="13">
        <f>ROUND(U47*0.1,0)</f>
        <v>7</v>
      </c>
      <c r="Q47" s="13">
        <f>ROUND(U47*0.1,0)</f>
        <v>7</v>
      </c>
      <c r="R47" s="80">
        <f>ROUND(U47*0.14,0)</f>
        <v>10</v>
      </c>
      <c r="S47" s="80">
        <f>ROUND(U47*0.11,0)</f>
        <v>8</v>
      </c>
      <c r="T47" s="16">
        <f>ROUND(U47*0.1,0)</f>
        <v>7</v>
      </c>
      <c r="U47" s="13">
        <f t="shared" si="32"/>
        <v>74</v>
      </c>
      <c r="W47">
        <f t="shared" si="31"/>
        <v>30</v>
      </c>
      <c r="Y47">
        <v>2015</v>
      </c>
      <c r="Z47">
        <v>74</v>
      </c>
    </row>
    <row r="48" spans="1:26" x14ac:dyDescent="0.25">
      <c r="A48">
        <v>48</v>
      </c>
      <c r="B48" s="1078"/>
      <c r="C48" s="4">
        <v>31</v>
      </c>
      <c r="D48" s="1" t="s">
        <v>48</v>
      </c>
      <c r="E48" s="1" t="s">
        <v>49</v>
      </c>
      <c r="F48" s="1">
        <v>4</v>
      </c>
      <c r="G48" s="12"/>
      <c r="H48" s="12">
        <v>29.08</v>
      </c>
      <c r="I48" s="13">
        <f>U48*5%</f>
        <v>5.8000000000000007</v>
      </c>
      <c r="J48" s="13">
        <f>U48*4%</f>
        <v>4.6399999999999997</v>
      </c>
      <c r="K48" s="13">
        <f>U48*7%</f>
        <v>8.120000000000001</v>
      </c>
      <c r="L48" s="13">
        <f>U48*7%</f>
        <v>8.120000000000001</v>
      </c>
      <c r="M48" s="13">
        <f>U48*7%</f>
        <v>8.120000000000001</v>
      </c>
      <c r="N48" s="80">
        <f>U48*7%</f>
        <v>8.120000000000001</v>
      </c>
      <c r="O48" s="13">
        <f>ROUND(U48*0.08,0)</f>
        <v>9</v>
      </c>
      <c r="P48" s="13">
        <f>ROUND(U48*0.1,0)</f>
        <v>12</v>
      </c>
      <c r="Q48" s="13">
        <f>ROUND(U48*0.1,0)</f>
        <v>12</v>
      </c>
      <c r="R48" s="80">
        <f>ROUND(U48*0.14,0)</f>
        <v>16</v>
      </c>
      <c r="S48" s="80">
        <f>ROUND(U48*0.11,0)</f>
        <v>13</v>
      </c>
      <c r="T48" s="16">
        <f>ROUND(U48*0.1,0)</f>
        <v>12</v>
      </c>
      <c r="U48" s="13">
        <f t="shared" si="32"/>
        <v>116</v>
      </c>
      <c r="W48">
        <f t="shared" si="31"/>
        <v>31</v>
      </c>
      <c r="Y48">
        <v>2015</v>
      </c>
      <c r="Z48">
        <v>116</v>
      </c>
    </row>
    <row r="49" spans="1:26" x14ac:dyDescent="0.25">
      <c r="A49">
        <v>49</v>
      </c>
      <c r="B49" s="1077"/>
      <c r="C49" s="17">
        <v>32</v>
      </c>
      <c r="D49" s="1075" t="s">
        <v>50</v>
      </c>
      <c r="E49" s="1075"/>
      <c r="F49" s="1075"/>
      <c r="G49" s="1075"/>
      <c r="H49" s="1075"/>
      <c r="I49" s="1075"/>
      <c r="J49" s="1075"/>
      <c r="K49" s="1075"/>
      <c r="L49" s="1075"/>
      <c r="M49" s="1075"/>
      <c r="N49" s="1075"/>
      <c r="O49" s="1075"/>
      <c r="P49" s="1075"/>
      <c r="Q49" s="1075"/>
      <c r="R49" s="1075"/>
      <c r="S49" s="1075"/>
      <c r="T49" s="1075"/>
      <c r="U49" s="1075"/>
      <c r="W49" t="e">
        <f t="shared" si="31"/>
        <v>#N/A</v>
      </c>
      <c r="Y49">
        <v>2015</v>
      </c>
    </row>
    <row r="50" spans="1:26" s="7" customFormat="1" x14ac:dyDescent="0.25">
      <c r="A50">
        <v>50</v>
      </c>
      <c r="G50" s="6"/>
      <c r="H50" s="6">
        <f>SUBTOTAL(9,H41:H49)</f>
        <v>151.89999999999998</v>
      </c>
      <c r="I50" s="14">
        <f>SUBTOTAL(9,I41:I49)</f>
        <v>42.150000000000006</v>
      </c>
      <c r="J50" s="14">
        <f t="shared" ref="J50:U50" si="33">SUBTOTAL(9,J41:J49)</f>
        <v>33.72</v>
      </c>
      <c r="K50" s="14">
        <f t="shared" si="33"/>
        <v>59.010000000000005</v>
      </c>
      <c r="L50" s="14">
        <f t="shared" si="33"/>
        <v>59.010000000000005</v>
      </c>
      <c r="M50" s="14">
        <f t="shared" si="33"/>
        <v>59.010000000000005</v>
      </c>
      <c r="N50" s="81">
        <f t="shared" si="33"/>
        <v>59.010000000000005</v>
      </c>
      <c r="O50" s="15">
        <f t="shared" si="33"/>
        <v>69</v>
      </c>
      <c r="P50" s="15">
        <f t="shared" si="33"/>
        <v>85</v>
      </c>
      <c r="Q50" s="15">
        <f t="shared" si="33"/>
        <v>85</v>
      </c>
      <c r="R50" s="81">
        <f t="shared" si="33"/>
        <v>118</v>
      </c>
      <c r="S50" s="81">
        <f t="shared" si="33"/>
        <v>93</v>
      </c>
      <c r="T50" s="85">
        <f t="shared" si="33"/>
        <v>85</v>
      </c>
      <c r="U50" s="14">
        <f t="shared" si="33"/>
        <v>843</v>
      </c>
      <c r="W50" t="e">
        <f t="shared" si="31"/>
        <v>#N/A</v>
      </c>
    </row>
    <row r="51" spans="1:26" x14ac:dyDescent="0.25">
      <c r="A51">
        <v>51</v>
      </c>
    </row>
    <row r="52" spans="1:26" x14ac:dyDescent="0.25">
      <c r="A52">
        <v>52</v>
      </c>
    </row>
    <row r="53" spans="1:26" s="11" customFormat="1" ht="30.75" customHeight="1" x14ac:dyDescent="0.25">
      <c r="A53">
        <v>53</v>
      </c>
      <c r="B53" s="9" t="s">
        <v>14</v>
      </c>
      <c r="C53" s="9" t="s">
        <v>15</v>
      </c>
      <c r="D53" s="9" t="s">
        <v>16</v>
      </c>
      <c r="E53" s="9" t="s">
        <v>17</v>
      </c>
      <c r="F53" s="9" t="s">
        <v>18</v>
      </c>
      <c r="G53" s="10" t="s">
        <v>19</v>
      </c>
      <c r="H53" s="10" t="s">
        <v>20</v>
      </c>
      <c r="I53" s="9" t="s">
        <v>21</v>
      </c>
      <c r="J53" s="9" t="s">
        <v>22</v>
      </c>
      <c r="K53" s="9" t="s">
        <v>23</v>
      </c>
      <c r="L53" s="9" t="s">
        <v>24</v>
      </c>
      <c r="M53" s="9" t="s">
        <v>25</v>
      </c>
      <c r="N53" s="79" t="s">
        <v>26</v>
      </c>
      <c r="O53" s="9" t="s">
        <v>27</v>
      </c>
      <c r="P53" s="9" t="s">
        <v>28</v>
      </c>
      <c r="Q53" s="9" t="s">
        <v>29</v>
      </c>
      <c r="R53" s="79" t="s">
        <v>30</v>
      </c>
      <c r="S53" s="79" t="s">
        <v>31</v>
      </c>
      <c r="T53" s="83" t="s">
        <v>32</v>
      </c>
      <c r="U53" s="9" t="s">
        <v>33</v>
      </c>
    </row>
    <row r="54" spans="1:26" x14ac:dyDescent="0.25">
      <c r="A54">
        <v>54</v>
      </c>
      <c r="B54" s="1076" t="s">
        <v>51</v>
      </c>
      <c r="C54" s="1">
        <v>33</v>
      </c>
      <c r="D54" s="1" t="s">
        <v>47</v>
      </c>
      <c r="E54" s="1">
        <v>3</v>
      </c>
      <c r="F54" s="1">
        <v>15</v>
      </c>
      <c r="G54" s="12">
        <v>1.25</v>
      </c>
      <c r="H54" s="12">
        <v>28.72</v>
      </c>
      <c r="I54" s="13">
        <f>U54*5%</f>
        <v>21.55</v>
      </c>
      <c r="J54" s="13">
        <f>U54*4%</f>
        <v>17.240000000000002</v>
      </c>
      <c r="K54" s="13">
        <f>U54*7%</f>
        <v>30.17</v>
      </c>
      <c r="L54" s="13">
        <f>U54*7%</f>
        <v>30.17</v>
      </c>
      <c r="M54" s="13">
        <f>U54*7%</f>
        <v>30.17</v>
      </c>
      <c r="N54" s="80">
        <f>U54*7%</f>
        <v>30.17</v>
      </c>
      <c r="O54" s="13">
        <f>ROUND(U54*0.08,0)</f>
        <v>34</v>
      </c>
      <c r="P54" s="13">
        <f>ROUND(U54*0.1,0)</f>
        <v>43</v>
      </c>
      <c r="Q54" s="13">
        <f>ROUND(U54*0.1,0)</f>
        <v>43</v>
      </c>
      <c r="R54" s="80">
        <f>ROUND(U54*0.14,0)</f>
        <v>60</v>
      </c>
      <c r="S54" s="80">
        <f>ROUND(U54*0.11,0)</f>
        <v>47</v>
      </c>
      <c r="T54" s="16">
        <f>ROUND(U54*0.1,0)</f>
        <v>43</v>
      </c>
      <c r="U54" s="13">
        <f>ROUND(F54*H54,0)</f>
        <v>431</v>
      </c>
      <c r="W54">
        <f>VLOOKUP(C54,harvestinground,1,FALSE)</f>
        <v>33</v>
      </c>
      <c r="Y54">
        <v>2016</v>
      </c>
      <c r="Z54">
        <v>431</v>
      </c>
    </row>
    <row r="55" spans="1:26" x14ac:dyDescent="0.25">
      <c r="A55">
        <v>55</v>
      </c>
      <c r="B55" s="1077"/>
      <c r="C55" s="1">
        <v>39</v>
      </c>
      <c r="D55" s="1" t="s">
        <v>52</v>
      </c>
      <c r="E55" s="1">
        <v>8</v>
      </c>
      <c r="F55" s="1">
        <v>6</v>
      </c>
      <c r="G55" s="12">
        <v>0.5</v>
      </c>
      <c r="H55" s="12">
        <v>4.5999999999999996</v>
      </c>
      <c r="I55" s="16">
        <f>U55*5%-1</f>
        <v>0.35000000000000009</v>
      </c>
      <c r="J55" s="16">
        <f>U55*4%-1</f>
        <v>8.0000000000000071E-2</v>
      </c>
      <c r="K55" s="13">
        <f>U55*7%</f>
        <v>1.8900000000000001</v>
      </c>
      <c r="L55" s="13">
        <f>U55*7%</f>
        <v>1.8900000000000001</v>
      </c>
      <c r="M55" s="13">
        <f>U55*7%</f>
        <v>1.8900000000000001</v>
      </c>
      <c r="N55" s="80">
        <f>U55*7%</f>
        <v>1.8900000000000001</v>
      </c>
      <c r="O55" s="13">
        <f>ROUND(U55*0.08,0)</f>
        <v>2</v>
      </c>
      <c r="P55" s="13">
        <f>ROUND(U55*0.1,0)</f>
        <v>3</v>
      </c>
      <c r="Q55" s="13">
        <f>ROUND(U55*0.1,0)</f>
        <v>3</v>
      </c>
      <c r="R55" s="80">
        <f>ROUND(U55*0.14,0)</f>
        <v>4</v>
      </c>
      <c r="S55" s="80">
        <f>ROUND(U55*0.11,0)</f>
        <v>3</v>
      </c>
      <c r="T55" s="16">
        <f>ROUND(U55*0.1,0)</f>
        <v>3</v>
      </c>
      <c r="U55" s="16">
        <f>ROUND(F55*H55,0)-1</f>
        <v>27</v>
      </c>
      <c r="W55">
        <f>VLOOKUP(C55,harvestinground,1,FALSE)</f>
        <v>39</v>
      </c>
      <c r="Y55">
        <v>2016</v>
      </c>
      <c r="Z55">
        <v>27</v>
      </c>
    </row>
    <row r="56" spans="1:26" s="7" customFormat="1" x14ac:dyDescent="0.25">
      <c r="G56" s="6"/>
      <c r="H56" s="6">
        <f>SUBTOTAL(9,H50:H55)</f>
        <v>33.32</v>
      </c>
      <c r="I56" s="14">
        <f>SUBTOTAL(9,I54:I55)</f>
        <v>21.900000000000002</v>
      </c>
      <c r="J56" s="14">
        <f t="shared" ref="J56:U56" si="34">SUBTOTAL(9,J54:J55)</f>
        <v>17.32</v>
      </c>
      <c r="K56" s="14">
        <f t="shared" si="34"/>
        <v>32.06</v>
      </c>
      <c r="L56" s="14">
        <f t="shared" si="34"/>
        <v>32.06</v>
      </c>
      <c r="M56" s="14">
        <f t="shared" si="34"/>
        <v>32.06</v>
      </c>
      <c r="N56" s="81">
        <f t="shared" si="34"/>
        <v>32.06</v>
      </c>
      <c r="O56" s="15">
        <f t="shared" si="34"/>
        <v>36</v>
      </c>
      <c r="P56" s="14">
        <f t="shared" si="34"/>
        <v>46</v>
      </c>
      <c r="Q56" s="14">
        <f t="shared" si="34"/>
        <v>46</v>
      </c>
      <c r="R56" s="81">
        <f t="shared" si="34"/>
        <v>64</v>
      </c>
      <c r="S56" s="81">
        <f t="shared" si="34"/>
        <v>50</v>
      </c>
      <c r="T56" s="84">
        <f t="shared" si="34"/>
        <v>46</v>
      </c>
      <c r="U56" s="14">
        <f t="shared" si="34"/>
        <v>458</v>
      </c>
    </row>
    <row r="59" spans="1:26" s="78" customFormat="1" x14ac:dyDescent="0.25">
      <c r="G59" s="95"/>
      <c r="H59" s="96">
        <f t="shared" ref="H59:O59" si="35">H17+H27+H35+H50+H56</f>
        <v>1393.6200000000001</v>
      </c>
      <c r="I59" s="96">
        <f t="shared" si="35"/>
        <v>1294.1500000000003</v>
      </c>
      <c r="J59" s="96">
        <f t="shared" si="35"/>
        <v>1035.1200000000001</v>
      </c>
      <c r="K59" s="96">
        <f t="shared" si="35"/>
        <v>1813.2100000000003</v>
      </c>
      <c r="L59" s="96">
        <f t="shared" si="35"/>
        <v>1813.2100000000003</v>
      </c>
      <c r="M59" s="96">
        <f t="shared" si="35"/>
        <v>1813.2100000000003</v>
      </c>
      <c r="N59" s="96">
        <f t="shared" si="35"/>
        <v>1813.2100000000003</v>
      </c>
      <c r="O59" s="593">
        <f t="shared" si="35"/>
        <v>2075</v>
      </c>
      <c r="P59" s="96">
        <f t="shared" ref="P59:U59" si="36">P17+P27+P35+P50+P56</f>
        <v>2591</v>
      </c>
      <c r="Q59" s="96">
        <f t="shared" si="36"/>
        <v>2591</v>
      </c>
      <c r="R59" s="96">
        <f>R17+R27+R35+R50+R56</f>
        <v>3627</v>
      </c>
      <c r="S59" s="96">
        <f t="shared" si="36"/>
        <v>2850</v>
      </c>
      <c r="T59" s="94">
        <f t="shared" si="36"/>
        <v>2591</v>
      </c>
      <c r="U59" s="96">
        <f t="shared" si="36"/>
        <v>25903</v>
      </c>
    </row>
  </sheetData>
  <mergeCells count="7">
    <mergeCell ref="D43:U43"/>
    <mergeCell ref="D49:U49"/>
    <mergeCell ref="B54:B55"/>
    <mergeCell ref="B5:B16"/>
    <mergeCell ref="B20:B26"/>
    <mergeCell ref="B30:B34"/>
    <mergeCell ref="B41:B49"/>
  </mergeCells>
  <pageMargins left="0.23622047244094491" right="0.23622047244094491" top="0.74803149606299213" bottom="0.74803149606299213" header="0.31496062992125984" footer="0.31496062992125984"/>
  <pageSetup paperSize="9" scale="78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287B-AC73-417A-BF08-0DC365303376}">
  <sheetPr>
    <tabColor theme="1"/>
    <pageSetUpPr fitToPage="1"/>
  </sheetPr>
  <dimension ref="A1:F64"/>
  <sheetViews>
    <sheetView showRuler="0" topLeftCell="B1" zoomScale="83" zoomScaleNormal="83" zoomScaleSheetLayoutView="85" zoomScalePageLayoutView="70" workbookViewId="0">
      <selection activeCell="E39" sqref="E39"/>
    </sheetView>
  </sheetViews>
  <sheetFormatPr defaultRowHeight="15" x14ac:dyDescent="0.25"/>
  <cols>
    <col min="1" max="1" width="9.140625" style="19" hidden="1" customWidth="1"/>
    <col min="2" max="2" width="9.5703125" style="19" customWidth="1"/>
    <col min="3" max="3" width="16.140625" style="18" customWidth="1"/>
    <col min="4" max="5" width="12.42578125" style="63" customWidth="1"/>
    <col min="6" max="6" width="10.28515625" style="20" customWidth="1"/>
    <col min="7" max="7" width="10.28515625" style="19" customWidth="1"/>
    <col min="8" max="16384" width="9.140625" style="19"/>
  </cols>
  <sheetData>
    <row r="1" spans="1:6" s="53" customFormat="1" x14ac:dyDescent="0.25">
      <c r="B1" s="53" t="s">
        <v>69</v>
      </c>
      <c r="C1" s="54"/>
      <c r="D1" s="55"/>
      <c r="E1" s="55"/>
    </row>
    <row r="3" spans="1:6" ht="60" x14ac:dyDescent="0.25">
      <c r="A3" s="19">
        <v>1</v>
      </c>
      <c r="B3" s="56" t="s">
        <v>70</v>
      </c>
      <c r="C3" s="21" t="s">
        <v>54</v>
      </c>
      <c r="D3" s="56" t="s">
        <v>71</v>
      </c>
      <c r="E3" s="56" t="s">
        <v>72</v>
      </c>
    </row>
    <row r="4" spans="1:6" x14ac:dyDescent="0.25">
      <c r="A4" s="19">
        <v>4</v>
      </c>
      <c r="B4" s="1079" t="s">
        <v>34</v>
      </c>
      <c r="C4" s="30">
        <v>1</v>
      </c>
      <c r="D4" s="57">
        <v>53.2</v>
      </c>
      <c r="E4" s="58">
        <v>53.2</v>
      </c>
    </row>
    <row r="5" spans="1:6" x14ac:dyDescent="0.25">
      <c r="A5" s="19">
        <v>5</v>
      </c>
      <c r="B5" s="1080"/>
      <c r="C5" s="38">
        <v>2</v>
      </c>
      <c r="D5" s="57">
        <v>60.4</v>
      </c>
      <c r="E5" s="58">
        <v>60.4</v>
      </c>
    </row>
    <row r="6" spans="1:6" x14ac:dyDescent="0.25">
      <c r="A6" s="19">
        <v>6</v>
      </c>
      <c r="B6" s="1080"/>
      <c r="C6" s="30">
        <v>3</v>
      </c>
      <c r="D6" s="57">
        <v>69.2</v>
      </c>
      <c r="E6" s="58">
        <v>69.2</v>
      </c>
    </row>
    <row r="7" spans="1:6" x14ac:dyDescent="0.25">
      <c r="A7" s="19">
        <v>7</v>
      </c>
      <c r="B7" s="1080"/>
      <c r="C7" s="39">
        <v>4</v>
      </c>
      <c r="D7" s="57">
        <v>70.599999999999994</v>
      </c>
      <c r="E7" s="58">
        <v>70.599999999999994</v>
      </c>
    </row>
    <row r="8" spans="1:6" x14ac:dyDescent="0.25">
      <c r="A8" s="19">
        <v>8</v>
      </c>
      <c r="B8" s="1080"/>
      <c r="C8" s="39">
        <v>5</v>
      </c>
      <c r="D8" s="57">
        <v>50.4</v>
      </c>
      <c r="E8" s="58">
        <v>50.4</v>
      </c>
    </row>
    <row r="9" spans="1:6" x14ac:dyDescent="0.25">
      <c r="A9" s="19">
        <v>9</v>
      </c>
      <c r="B9" s="1080"/>
      <c r="C9" s="39">
        <v>6</v>
      </c>
      <c r="D9" s="57">
        <v>58.6</v>
      </c>
      <c r="E9" s="58">
        <v>58.6</v>
      </c>
    </row>
    <row r="10" spans="1:6" x14ac:dyDescent="0.25">
      <c r="A10" s="19">
        <v>10</v>
      </c>
      <c r="B10" s="1080"/>
      <c r="C10" s="39">
        <v>7</v>
      </c>
      <c r="D10" s="57">
        <v>23.6</v>
      </c>
      <c r="E10" s="58">
        <v>23.6</v>
      </c>
    </row>
    <row r="11" spans="1:6" x14ac:dyDescent="0.25">
      <c r="A11" s="19">
        <v>11</v>
      </c>
      <c r="B11" s="1080"/>
      <c r="C11" s="41">
        <v>8</v>
      </c>
      <c r="D11" s="57">
        <v>61.6</v>
      </c>
      <c r="E11" s="58">
        <v>61.6</v>
      </c>
    </row>
    <row r="12" spans="1:6" x14ac:dyDescent="0.25">
      <c r="A12" s="19">
        <v>12</v>
      </c>
      <c r="B12" s="1080"/>
      <c r="C12" s="41">
        <v>9</v>
      </c>
      <c r="D12" s="57">
        <v>38.299999999999997</v>
      </c>
      <c r="E12" s="58">
        <v>38.299999999999997</v>
      </c>
    </row>
    <row r="13" spans="1:6" x14ac:dyDescent="0.25">
      <c r="A13" s="19">
        <v>13</v>
      </c>
      <c r="B13" s="1080"/>
      <c r="C13" s="38">
        <v>11</v>
      </c>
      <c r="D13" s="57">
        <v>44.5</v>
      </c>
      <c r="E13" s="58">
        <v>44.5</v>
      </c>
    </row>
    <row r="14" spans="1:6" x14ac:dyDescent="0.25">
      <c r="A14" s="19">
        <v>14</v>
      </c>
      <c r="B14" s="1080"/>
      <c r="C14" s="41">
        <v>12</v>
      </c>
      <c r="D14" s="57">
        <v>71</v>
      </c>
      <c r="E14" s="58">
        <v>71</v>
      </c>
    </row>
    <row r="15" spans="1:6" x14ac:dyDescent="0.25">
      <c r="A15" s="19">
        <v>15</v>
      </c>
      <c r="B15" s="1081"/>
      <c r="C15" s="39">
        <v>23</v>
      </c>
      <c r="D15" s="57">
        <v>14.6</v>
      </c>
      <c r="E15" s="58">
        <v>14.6</v>
      </c>
    </row>
    <row r="16" spans="1:6" x14ac:dyDescent="0.25">
      <c r="A16" s="19">
        <v>16</v>
      </c>
      <c r="B16" s="59"/>
      <c r="C16" s="60">
        <f>COUNT(C4:C15)</f>
        <v>12</v>
      </c>
      <c r="D16" s="61">
        <f>SUBTOTAL(9,D4:D15)</f>
        <v>616.00000000000011</v>
      </c>
      <c r="E16" s="61">
        <f>SUBTOTAL(9,E4:E15)</f>
        <v>616.00000000000011</v>
      </c>
      <c r="F16" s="62">
        <f>E16-D16</f>
        <v>0</v>
      </c>
    </row>
    <row r="17" spans="1:6" x14ac:dyDescent="0.25">
      <c r="A17" s="19">
        <v>17</v>
      </c>
      <c r="B17" s="59"/>
      <c r="D17" s="61"/>
    </row>
    <row r="18" spans="1:6" ht="60" x14ac:dyDescent="0.25">
      <c r="A18" s="19">
        <v>1</v>
      </c>
      <c r="B18" s="56" t="s">
        <v>70</v>
      </c>
      <c r="C18" s="21" t="s">
        <v>54</v>
      </c>
      <c r="D18" s="56" t="s">
        <v>71</v>
      </c>
      <c r="E18" s="56" t="s">
        <v>72</v>
      </c>
    </row>
    <row r="19" spans="1:6" ht="15.75" customHeight="1" x14ac:dyDescent="0.25">
      <c r="A19" s="19">
        <v>18</v>
      </c>
      <c r="B19" s="1079" t="s">
        <v>38</v>
      </c>
      <c r="C19" s="41">
        <v>10</v>
      </c>
      <c r="D19" s="57">
        <v>19.100000000000001</v>
      </c>
      <c r="E19" s="64">
        <v>19.100000000000001</v>
      </c>
    </row>
    <row r="20" spans="1:6" x14ac:dyDescent="0.25">
      <c r="A20" s="19">
        <v>19</v>
      </c>
      <c r="B20" s="1080"/>
      <c r="C20" s="41">
        <v>13</v>
      </c>
      <c r="D20" s="57">
        <v>60.8</v>
      </c>
      <c r="E20" s="64">
        <v>60.8</v>
      </c>
    </row>
    <row r="21" spans="1:6" x14ac:dyDescent="0.25">
      <c r="A21" s="19">
        <v>20</v>
      </c>
      <c r="B21" s="1080"/>
      <c r="C21" s="30">
        <v>14</v>
      </c>
      <c r="D21" s="57">
        <v>41.6</v>
      </c>
      <c r="E21" s="64">
        <v>41.6</v>
      </c>
    </row>
    <row r="22" spans="1:6" x14ac:dyDescent="0.25">
      <c r="A22" s="19">
        <v>21</v>
      </c>
      <c r="B22" s="1080"/>
      <c r="C22" s="37">
        <v>15</v>
      </c>
      <c r="D22" s="57">
        <v>49.3</v>
      </c>
      <c r="E22" s="64">
        <v>49.3</v>
      </c>
    </row>
    <row r="23" spans="1:6" x14ac:dyDescent="0.25">
      <c r="A23" s="19">
        <v>22</v>
      </c>
      <c r="B23" s="1080"/>
      <c r="C23" s="37">
        <v>16</v>
      </c>
      <c r="D23" s="57">
        <v>53.2</v>
      </c>
      <c r="E23" s="64">
        <v>53.2</v>
      </c>
    </row>
    <row r="24" spans="1:6" x14ac:dyDescent="0.25">
      <c r="A24" s="19">
        <v>23</v>
      </c>
      <c r="B24" s="1080"/>
      <c r="C24" s="37">
        <v>17</v>
      </c>
      <c r="D24" s="57">
        <v>45.7</v>
      </c>
      <c r="E24" s="64">
        <v>45.7</v>
      </c>
    </row>
    <row r="25" spans="1:6" x14ac:dyDescent="0.25">
      <c r="A25" s="19">
        <v>24</v>
      </c>
      <c r="B25" s="1081"/>
      <c r="C25" s="41">
        <v>18</v>
      </c>
      <c r="D25" s="57">
        <v>40.799999999999997</v>
      </c>
      <c r="E25" s="64">
        <v>40.799999999999997</v>
      </c>
    </row>
    <row r="26" spans="1:6" x14ac:dyDescent="0.25">
      <c r="A26" s="19">
        <v>25</v>
      </c>
      <c r="B26" s="59"/>
      <c r="C26" s="60">
        <f>COUNT(C19:C25)</f>
        <v>7</v>
      </c>
      <c r="D26" s="61">
        <f>SUBTOTAL(9,D19:D25)</f>
        <v>310.5</v>
      </c>
      <c r="E26" s="61">
        <f>SUBTOTAL(9,E19:E25)</f>
        <v>310.5</v>
      </c>
      <c r="F26" s="62">
        <f>E26-D26</f>
        <v>0</v>
      </c>
    </row>
    <row r="27" spans="1:6" x14ac:dyDescent="0.25">
      <c r="A27" s="19">
        <v>26</v>
      </c>
      <c r="B27" s="59"/>
      <c r="D27" s="61"/>
    </row>
    <row r="28" spans="1:6" ht="60" x14ac:dyDescent="0.25">
      <c r="A28" s="19">
        <v>1</v>
      </c>
      <c r="B28" s="56" t="s">
        <v>70</v>
      </c>
      <c r="C28" s="21" t="s">
        <v>54</v>
      </c>
      <c r="D28" s="56" t="s">
        <v>71</v>
      </c>
      <c r="E28" s="56" t="s">
        <v>72</v>
      </c>
    </row>
    <row r="29" spans="1:6" x14ac:dyDescent="0.25">
      <c r="A29" s="19">
        <v>29</v>
      </c>
      <c r="B29" s="1079" t="s">
        <v>40</v>
      </c>
      <c r="C29" s="37">
        <v>19</v>
      </c>
      <c r="D29" s="57">
        <v>50.62</v>
      </c>
      <c r="E29" s="64">
        <v>50.62</v>
      </c>
    </row>
    <row r="30" spans="1:6" x14ac:dyDescent="0.25">
      <c r="A30" s="19">
        <v>30</v>
      </c>
      <c r="B30" s="1080"/>
      <c r="C30" s="37">
        <v>20</v>
      </c>
      <c r="D30" s="57">
        <v>62.08</v>
      </c>
      <c r="E30" s="64">
        <v>62.08</v>
      </c>
    </row>
    <row r="31" spans="1:6" x14ac:dyDescent="0.25">
      <c r="A31" s="19">
        <v>31</v>
      </c>
      <c r="B31" s="1080"/>
      <c r="C31" s="37">
        <v>21</v>
      </c>
      <c r="D31" s="57">
        <v>72.2</v>
      </c>
      <c r="E31" s="64">
        <v>72.2</v>
      </c>
    </row>
    <row r="32" spans="1:6" x14ac:dyDescent="0.25">
      <c r="A32" s="19">
        <v>32</v>
      </c>
      <c r="B32" s="1080"/>
      <c r="C32" s="37">
        <v>22</v>
      </c>
      <c r="D32" s="57">
        <v>52.3</v>
      </c>
      <c r="E32" s="64">
        <v>52.3</v>
      </c>
    </row>
    <row r="33" spans="1:6" x14ac:dyDescent="0.25">
      <c r="A33" s="19">
        <v>33</v>
      </c>
      <c r="B33" s="1081"/>
      <c r="C33" s="39">
        <v>24</v>
      </c>
      <c r="D33" s="57">
        <v>44.7</v>
      </c>
      <c r="E33" s="64">
        <v>44.7</v>
      </c>
    </row>
    <row r="34" spans="1:6" x14ac:dyDescent="0.25">
      <c r="A34" s="19">
        <v>40</v>
      </c>
      <c r="B34" s="59"/>
      <c r="C34" s="60">
        <f>COUNT(C29:C33)</f>
        <v>5</v>
      </c>
      <c r="D34" s="61">
        <f>SUBTOTAL(9,D29:D33)</f>
        <v>281.89999999999998</v>
      </c>
      <c r="E34" s="61">
        <f>SUBTOTAL(9,E29:E33)</f>
        <v>281.89999999999998</v>
      </c>
      <c r="F34" s="62">
        <f>E34-D34</f>
        <v>0</v>
      </c>
    </row>
    <row r="35" spans="1:6" x14ac:dyDescent="0.25">
      <c r="A35" s="19">
        <v>41</v>
      </c>
      <c r="B35" s="59"/>
      <c r="D35" s="61"/>
    </row>
    <row r="36" spans="1:6" x14ac:dyDescent="0.25">
      <c r="B36" s="59"/>
      <c r="D36" s="61"/>
    </row>
    <row r="37" spans="1:6" x14ac:dyDescent="0.25">
      <c r="B37" s="59"/>
      <c r="D37" s="61"/>
    </row>
    <row r="38" spans="1:6" x14ac:dyDescent="0.25">
      <c r="B38" s="59"/>
      <c r="D38" s="61"/>
    </row>
    <row r="39" spans="1:6" ht="60" x14ac:dyDescent="0.25">
      <c r="A39" s="19">
        <v>1</v>
      </c>
      <c r="B39" s="56" t="s">
        <v>70</v>
      </c>
      <c r="C39" s="21" t="s">
        <v>54</v>
      </c>
      <c r="D39" s="56" t="s">
        <v>71</v>
      </c>
      <c r="E39" s="56" t="s">
        <v>72</v>
      </c>
    </row>
    <row r="40" spans="1:6" x14ac:dyDescent="0.25">
      <c r="A40" s="19">
        <v>42</v>
      </c>
      <c r="B40" s="1079" t="s">
        <v>73</v>
      </c>
      <c r="C40" s="42">
        <v>25</v>
      </c>
      <c r="D40" s="57">
        <v>38.22</v>
      </c>
      <c r="E40" s="64">
        <v>33.51</v>
      </c>
    </row>
    <row r="41" spans="1:6" x14ac:dyDescent="0.25">
      <c r="A41" s="19">
        <v>43</v>
      </c>
      <c r="B41" s="1080"/>
      <c r="C41" s="42" t="s">
        <v>7</v>
      </c>
      <c r="D41" s="57">
        <v>22.72</v>
      </c>
      <c r="E41" s="64">
        <v>18.059999999999999</v>
      </c>
    </row>
    <row r="42" spans="1:6" x14ac:dyDescent="0.25">
      <c r="A42" s="19">
        <v>44</v>
      </c>
      <c r="B42" s="1080"/>
      <c r="C42" s="42">
        <v>27</v>
      </c>
      <c r="D42" s="57">
        <v>18.64</v>
      </c>
      <c r="E42" s="64">
        <v>14.3</v>
      </c>
    </row>
    <row r="43" spans="1:6" x14ac:dyDescent="0.25">
      <c r="A43" s="19">
        <v>45</v>
      </c>
      <c r="B43" s="1080"/>
      <c r="C43" s="42">
        <v>28</v>
      </c>
      <c r="D43" s="57">
        <v>25.5</v>
      </c>
      <c r="E43" s="64">
        <v>21.36</v>
      </c>
    </row>
    <row r="44" spans="1:6" x14ac:dyDescent="0.25">
      <c r="A44" s="19">
        <v>46</v>
      </c>
      <c r="B44" s="1080"/>
      <c r="C44" s="42">
        <v>29</v>
      </c>
      <c r="D44" s="57">
        <v>11.38</v>
      </c>
      <c r="E44" s="64">
        <v>17.21</v>
      </c>
    </row>
    <row r="45" spans="1:6" x14ac:dyDescent="0.25">
      <c r="A45" s="19">
        <v>47</v>
      </c>
      <c r="B45" s="1080"/>
      <c r="C45" s="42">
        <v>30</v>
      </c>
      <c r="D45" s="57">
        <v>24.35</v>
      </c>
      <c r="E45" s="64">
        <v>18.38</v>
      </c>
    </row>
    <row r="46" spans="1:6" x14ac:dyDescent="0.25">
      <c r="A46" s="19">
        <v>48</v>
      </c>
      <c r="B46" s="1080"/>
      <c r="C46" s="42">
        <v>31</v>
      </c>
      <c r="D46" s="57">
        <v>34.08</v>
      </c>
      <c r="E46" s="64">
        <v>29.08</v>
      </c>
    </row>
    <row r="47" spans="1:6" ht="16.5" customHeight="1" x14ac:dyDescent="0.25">
      <c r="A47" s="19">
        <v>49</v>
      </c>
      <c r="B47" s="1081"/>
      <c r="C47" s="65">
        <v>32</v>
      </c>
      <c r="D47" s="57">
        <v>0</v>
      </c>
      <c r="E47" s="64">
        <v>0</v>
      </c>
    </row>
    <row r="48" spans="1:6" x14ac:dyDescent="0.25">
      <c r="A48" s="19">
        <v>50</v>
      </c>
      <c r="B48" s="59"/>
      <c r="C48" s="60">
        <f>COUNTA(C40:C46)</f>
        <v>7</v>
      </c>
      <c r="D48" s="61">
        <f>SUBTOTAL(9,D40:D47)</f>
        <v>174.89</v>
      </c>
      <c r="E48" s="61">
        <f>SUBTOTAL(9,E40:E47)</f>
        <v>151.89999999999998</v>
      </c>
      <c r="F48" s="62">
        <f>E48-D48</f>
        <v>-22.990000000000009</v>
      </c>
    </row>
    <row r="49" spans="1:6" ht="16.5" customHeight="1" x14ac:dyDescent="0.25">
      <c r="A49" s="19">
        <v>51</v>
      </c>
      <c r="B49" s="59"/>
      <c r="D49" s="61"/>
    </row>
    <row r="50" spans="1:6" ht="60" x14ac:dyDescent="0.25">
      <c r="A50" s="19">
        <v>1</v>
      </c>
      <c r="B50" s="56" t="s">
        <v>70</v>
      </c>
      <c r="C50" s="21" t="s">
        <v>54</v>
      </c>
      <c r="D50" s="56" t="s">
        <v>71</v>
      </c>
      <c r="E50" s="56" t="s">
        <v>72</v>
      </c>
    </row>
    <row r="51" spans="1:6" x14ac:dyDescent="0.25">
      <c r="A51" s="19">
        <v>52</v>
      </c>
      <c r="B51" s="1079" t="s">
        <v>51</v>
      </c>
      <c r="C51" s="42" t="s">
        <v>74</v>
      </c>
      <c r="D51" s="57">
        <v>28.72</v>
      </c>
      <c r="E51" s="64">
        <v>28.72</v>
      </c>
    </row>
    <row r="52" spans="1:6" x14ac:dyDescent="0.25">
      <c r="A52" s="19">
        <v>53</v>
      </c>
      <c r="B52" s="1081"/>
      <c r="C52" s="42">
        <v>39</v>
      </c>
      <c r="D52" s="57">
        <v>4.5</v>
      </c>
      <c r="E52" s="64">
        <v>4.5</v>
      </c>
    </row>
    <row r="53" spans="1:6" x14ac:dyDescent="0.25">
      <c r="A53" s="19">
        <v>54</v>
      </c>
      <c r="B53" s="59"/>
      <c r="C53" s="60">
        <f>COUNTA(C51:C52)</f>
        <v>2</v>
      </c>
      <c r="D53" s="61">
        <f>SUBTOTAL(9,D51:D52)</f>
        <v>33.22</v>
      </c>
      <c r="E53" s="61">
        <f>SUBTOTAL(9,E51:E52)</f>
        <v>33.22</v>
      </c>
      <c r="F53" s="62">
        <f>E53-D53</f>
        <v>0</v>
      </c>
    </row>
    <row r="54" spans="1:6" ht="15.75" x14ac:dyDescent="0.25">
      <c r="A54" s="19">
        <v>56</v>
      </c>
      <c r="B54" s="44"/>
      <c r="C54" s="50"/>
      <c r="D54" s="66"/>
      <c r="E54" s="66"/>
    </row>
    <row r="55" spans="1:6" x14ac:dyDescent="0.25">
      <c r="A55" s="19">
        <v>57</v>
      </c>
      <c r="B55" s="51"/>
    </row>
    <row r="56" spans="1:6" x14ac:dyDescent="0.25">
      <c r="B56" s="51"/>
    </row>
    <row r="57" spans="1:6" s="20" customFormat="1" ht="60" customHeight="1" x14ac:dyDescent="0.25">
      <c r="B57" s="67"/>
      <c r="C57" s="68" t="s">
        <v>75</v>
      </c>
      <c r="D57" s="69" t="s">
        <v>71</v>
      </c>
      <c r="E57" s="69" t="s">
        <v>72</v>
      </c>
    </row>
    <row r="58" spans="1:6" x14ac:dyDescent="0.25">
      <c r="A58" s="19">
        <v>58</v>
      </c>
      <c r="B58" s="70"/>
      <c r="C58" s="71" t="s">
        <v>64</v>
      </c>
      <c r="D58" s="72">
        <v>385.4</v>
      </c>
      <c r="E58" s="72">
        <v>385.4</v>
      </c>
      <c r="F58" s="19"/>
    </row>
    <row r="59" spans="1:6" x14ac:dyDescent="0.25">
      <c r="A59" s="19">
        <v>59</v>
      </c>
      <c r="B59" s="73"/>
      <c r="C59" s="71" t="s">
        <v>65</v>
      </c>
      <c r="D59" s="72">
        <v>104.9</v>
      </c>
      <c r="E59" s="72">
        <v>104.9</v>
      </c>
      <c r="F59" s="19"/>
    </row>
    <row r="60" spans="1:6" x14ac:dyDescent="0.25">
      <c r="A60" s="19">
        <v>60</v>
      </c>
      <c r="B60" s="74"/>
      <c r="C60" s="71" t="s">
        <v>63</v>
      </c>
      <c r="D60" s="72">
        <v>164</v>
      </c>
      <c r="E60" s="72">
        <v>164</v>
      </c>
      <c r="F60" s="19"/>
    </row>
    <row r="61" spans="1:6" ht="30" x14ac:dyDescent="0.25">
      <c r="A61" s="19">
        <v>61</v>
      </c>
      <c r="B61" s="75"/>
      <c r="C61" s="71" t="s">
        <v>67</v>
      </c>
      <c r="D61" s="72">
        <v>291.60000000000002</v>
      </c>
      <c r="E61" s="72">
        <v>291.60000000000002</v>
      </c>
      <c r="F61" s="19"/>
    </row>
    <row r="62" spans="1:6" x14ac:dyDescent="0.25">
      <c r="A62" s="19">
        <v>62</v>
      </c>
      <c r="B62" s="76"/>
      <c r="C62" s="71" t="s">
        <v>66</v>
      </c>
      <c r="D62" s="72">
        <v>262.5</v>
      </c>
      <c r="E62" s="72">
        <v>262.5</v>
      </c>
      <c r="F62" s="19"/>
    </row>
    <row r="63" spans="1:6" ht="30" x14ac:dyDescent="0.25">
      <c r="A63" s="19">
        <v>63</v>
      </c>
      <c r="B63" s="77"/>
      <c r="C63" s="71" t="s">
        <v>68</v>
      </c>
      <c r="D63" s="72">
        <v>208.11</v>
      </c>
      <c r="E63" s="72">
        <v>185.12</v>
      </c>
      <c r="F63" s="19"/>
    </row>
    <row r="64" spans="1:6" x14ac:dyDescent="0.25">
      <c r="A64" s="19">
        <v>64</v>
      </c>
      <c r="D64" s="20">
        <f>SUM(D58:D63)</f>
        <v>1416.5100000000002</v>
      </c>
      <c r="E64" s="20">
        <f>SUM(E58:E63)</f>
        <v>1393.52</v>
      </c>
      <c r="F64" s="19"/>
    </row>
  </sheetData>
  <mergeCells count="5">
    <mergeCell ref="B4:B15"/>
    <mergeCell ref="B19:B25"/>
    <mergeCell ref="B29:B33"/>
    <mergeCell ref="B40:B47"/>
    <mergeCell ref="B51:B52"/>
  </mergeCells>
  <pageMargins left="0.23622047244094491" right="0.23622047244094491" top="0.74803149606299213" bottom="0.74803149606299213" header="0.31496062992125984" footer="0.31496062992125984"/>
  <pageSetup paperSize="9" firstPageNumber="26" fitToHeight="0" orientation="portrait" useFirstPageNumber="1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6032-73B9-443E-BA0E-DC34FEAE6221}">
  <sheetPr>
    <tabColor theme="1"/>
    <pageSetUpPr fitToPage="1"/>
  </sheetPr>
  <dimension ref="A1:AL55"/>
  <sheetViews>
    <sheetView zoomScaleNormal="100" zoomScaleSheetLayoutView="100" workbookViewId="0">
      <selection sqref="A1:XFD1048576"/>
    </sheetView>
  </sheetViews>
  <sheetFormatPr defaultRowHeight="15" outlineLevelRow="1" x14ac:dyDescent="0.25"/>
  <cols>
    <col min="1" max="1" width="14.85546875" customWidth="1"/>
    <col min="2" max="2" width="7.140625" customWidth="1"/>
    <col min="3" max="5" width="10.85546875" customWidth="1"/>
    <col min="6" max="6" width="9.5703125" customWidth="1"/>
    <col min="7" max="7" width="9.140625" style="8"/>
    <col min="10" max="10" width="0.7109375" customWidth="1"/>
    <col min="11" max="12" width="14.7109375" hidden="1" customWidth="1"/>
    <col min="13" max="14" width="14.7109375" style="484" hidden="1" customWidth="1"/>
    <col min="15" max="15" width="9.7109375" hidden="1" customWidth="1"/>
    <col min="16" max="19" width="9.140625" hidden="1" customWidth="1"/>
    <col min="20" max="24" width="9.140625" style="7" hidden="1" customWidth="1"/>
    <col min="25" max="38" width="9.140625" hidden="1" customWidth="1"/>
    <col min="39" max="39" width="0" hidden="1" customWidth="1"/>
  </cols>
  <sheetData>
    <row r="1" spans="1:36" s="5" customFormat="1" x14ac:dyDescent="0.25">
      <c r="A1" s="5" t="s">
        <v>205</v>
      </c>
      <c r="G1" s="195"/>
      <c r="M1" s="522"/>
      <c r="N1" s="522"/>
      <c r="T1" s="7"/>
      <c r="U1" s="7"/>
      <c r="V1" s="7"/>
      <c r="W1" s="7"/>
      <c r="X1" s="7"/>
    </row>
    <row r="2" spans="1:36" s="7" customFormat="1" x14ac:dyDescent="0.25">
      <c r="A2" s="474" t="s">
        <v>156</v>
      </c>
      <c r="B2" s="474"/>
      <c r="G2" s="6"/>
      <c r="M2" s="472"/>
      <c r="N2" s="472"/>
    </row>
    <row r="3" spans="1:36" s="7" customFormat="1" ht="15.75" thickBot="1" x14ac:dyDescent="0.3">
      <c r="A3" s="474"/>
      <c r="B3" s="474"/>
      <c r="O3" s="485"/>
    </row>
    <row r="4" spans="1:36" s="7" customFormat="1" ht="15" customHeight="1" x14ac:dyDescent="0.25">
      <c r="A4" s="474"/>
      <c r="B4" s="474"/>
      <c r="D4" s="951" t="s">
        <v>265</v>
      </c>
      <c r="E4" s="952"/>
      <c r="F4" s="953" t="s">
        <v>249</v>
      </c>
      <c r="G4" s="954"/>
      <c r="H4" s="955" t="s">
        <v>179</v>
      </c>
      <c r="I4" s="956"/>
      <c r="J4" s="485"/>
      <c r="O4" s="485"/>
    </row>
    <row r="5" spans="1:36" s="512" customFormat="1" ht="15.75" thickBot="1" x14ac:dyDescent="0.3">
      <c r="A5" s="931" t="s">
        <v>79</v>
      </c>
      <c r="B5" s="932"/>
      <c r="C5" s="530" t="s">
        <v>80</v>
      </c>
      <c r="D5" s="531">
        <v>2025</v>
      </c>
      <c r="E5" s="821">
        <v>2024</v>
      </c>
      <c r="F5" s="531">
        <v>2025</v>
      </c>
      <c r="G5" s="821">
        <v>2024</v>
      </c>
      <c r="H5" s="531">
        <v>2025</v>
      </c>
      <c r="I5" s="821">
        <v>2024</v>
      </c>
      <c r="T5" s="7"/>
      <c r="U5" s="7"/>
      <c r="V5" s="7"/>
      <c r="W5" s="7"/>
      <c r="X5" s="7"/>
      <c r="Y5" s="948" t="s">
        <v>192</v>
      </c>
      <c r="Z5" s="949"/>
      <c r="AA5" s="949"/>
      <c r="AB5" s="949"/>
      <c r="AC5" s="949"/>
      <c r="AD5" s="949"/>
      <c r="AE5" s="949"/>
      <c r="AF5" s="949"/>
      <c r="AG5" s="949"/>
      <c r="AH5" s="949"/>
      <c r="AI5" s="949"/>
      <c r="AJ5" s="950"/>
    </row>
    <row r="6" spans="1:36" s="7" customFormat="1" ht="15.75" thickBot="1" x14ac:dyDescent="0.3">
      <c r="A6" s="933" t="s">
        <v>239</v>
      </c>
      <c r="B6" s="934"/>
      <c r="C6" s="536">
        <f>'YUVENTUS UN GANG'!B10</f>
        <v>164</v>
      </c>
      <c r="D6" s="819">
        <f>SUM(D7:D9)</f>
        <v>232.5</v>
      </c>
      <c r="E6" s="541">
        <f>SUM(E7:E9)</f>
        <v>327.65999999999997</v>
      </c>
      <c r="F6" s="819">
        <f>SUM(F7:F9)</f>
        <v>2709.5699999999997</v>
      </c>
      <c r="G6" s="819">
        <f>SUM(G7:G9)</f>
        <v>2396.8960000000002</v>
      </c>
      <c r="H6" s="819">
        <f>F6/C6</f>
        <v>16.521768292682925</v>
      </c>
      <c r="I6" s="541">
        <f>G6/C6</f>
        <v>14.615219512195123</v>
      </c>
      <c r="J6" s="512"/>
      <c r="Y6" s="99" t="s">
        <v>180</v>
      </c>
      <c r="Z6" s="99" t="s">
        <v>181</v>
      </c>
      <c r="AA6" s="99" t="s">
        <v>182</v>
      </c>
      <c r="AB6" s="99" t="s">
        <v>183</v>
      </c>
      <c r="AC6" s="99" t="s">
        <v>184</v>
      </c>
      <c r="AD6" s="99" t="s">
        <v>185</v>
      </c>
      <c r="AE6" s="99" t="s">
        <v>186</v>
      </c>
      <c r="AF6" s="99" t="s">
        <v>187</v>
      </c>
      <c r="AG6" s="99" t="s">
        <v>188</v>
      </c>
      <c r="AH6" s="99" t="s">
        <v>189</v>
      </c>
      <c r="AI6" s="99" t="s">
        <v>190</v>
      </c>
      <c r="AJ6" s="99" t="s">
        <v>191</v>
      </c>
    </row>
    <row r="7" spans="1:36" outlineLevel="1" x14ac:dyDescent="0.25">
      <c r="A7" s="483"/>
      <c r="B7" s="535">
        <v>1</v>
      </c>
      <c r="C7" s="529">
        <f>VLOOKUP(B7,YUVENTUS,2,FALSE)</f>
        <v>53.2</v>
      </c>
      <c r="D7" s="822">
        <f>VLOOKUP(B7,YUVENTUS,7,FALSE)</f>
        <v>106.65</v>
      </c>
      <c r="E7" s="823">
        <f>VLOOKUP(B7,year2022to23,247,FALSE)</f>
        <v>82.070000000000007</v>
      </c>
      <c r="F7" s="822">
        <f>VLOOKUP(B7,year2022to23,311,FALSE)</f>
        <v>909.79</v>
      </c>
      <c r="G7" s="823">
        <f>VLOOKUP(B7,year2022to23,249,FALSE)</f>
        <v>707.1400000000001</v>
      </c>
      <c r="H7" s="822">
        <f>F7/C7</f>
        <v>17.101315789473684</v>
      </c>
      <c r="I7" s="823">
        <f>G7/C7</f>
        <v>13.292105263157897</v>
      </c>
      <c r="J7" s="512"/>
      <c r="Y7" s="1">
        <f>VLOOKUP(B7,ffbbudgettwofive,7,FALSE)</f>
        <v>53.2</v>
      </c>
      <c r="Z7" s="1">
        <f>VLOOKUP(B7,ffbbudgettwofive,8,FALSE)</f>
        <v>42.56</v>
      </c>
      <c r="AA7" s="1">
        <f>VLOOKUP(B7,ffbbudgettwofive,9,FALSE)</f>
        <v>74.48</v>
      </c>
      <c r="AB7" s="1">
        <f>VLOOKUP(B7,ffbbudgettwofive,10,FALSE)</f>
        <v>74.48</v>
      </c>
      <c r="AC7" s="1">
        <f>VLOOKUP(B7,ffbbudgettwofive,11,FALSE)</f>
        <v>74.48</v>
      </c>
      <c r="AD7" s="1">
        <f>VLOOKUP(B7,ffbbudgettwofive,12,FALSE)</f>
        <v>74.48</v>
      </c>
      <c r="AE7" s="1">
        <f>VLOOKUP(B7,ffbbudgettwofive,13,FALSE)</f>
        <v>85</v>
      </c>
      <c r="AF7" s="1">
        <f>VLOOKUP(B7,ffbbudgettwofive,14,FALSE)</f>
        <v>106</v>
      </c>
      <c r="AG7" s="1">
        <f>VLOOKUP(B7,ffbbudgettwofive,15,FALSE)</f>
        <v>106</v>
      </c>
      <c r="AH7" s="1">
        <f>VLOOKUP(B7,ffbbudgettwofive,16,FALSE)</f>
        <v>149</v>
      </c>
      <c r="AI7" s="1">
        <f>VLOOKUP(B7,ffbbudgettwofive,17,FALSE)</f>
        <v>117</v>
      </c>
      <c r="AJ7" s="1">
        <f>VLOOKUP(B7,ffbbudgettwofive,18,FALSE)</f>
        <v>106</v>
      </c>
    </row>
    <row r="8" spans="1:36" outlineLevel="1" x14ac:dyDescent="0.25">
      <c r="A8" s="483"/>
      <c r="B8" s="100">
        <v>3</v>
      </c>
      <c r="C8" s="523">
        <f>VLOOKUP(B8,YUVENTUS,2,FALSE)</f>
        <v>69.2</v>
      </c>
      <c r="D8" s="822">
        <f>VLOOKUP(B8,YUVENTUS,7,FALSE)</f>
        <v>80.009999999999991</v>
      </c>
      <c r="E8" s="823">
        <f>VLOOKUP(B8,year2022to23,247,FALSE)</f>
        <v>151.68</v>
      </c>
      <c r="F8" s="694">
        <f>VLOOKUP(B8,year2022to23,311,FALSE)</f>
        <v>1085.75</v>
      </c>
      <c r="G8" s="695">
        <f>VLOOKUP(B8,year2022to23,249,FALSE)</f>
        <v>927.06999999999994</v>
      </c>
      <c r="H8" s="694">
        <f>F8/C8</f>
        <v>15.690028901734104</v>
      </c>
      <c r="I8" s="695">
        <f>G8/C8</f>
        <v>13.396965317919074</v>
      </c>
      <c r="J8" s="512"/>
      <c r="Y8" s="1">
        <f>VLOOKUP(B8,ffbbudgettwofive,7,FALSE)</f>
        <v>69.2</v>
      </c>
      <c r="Z8" s="1">
        <f>VLOOKUP(B8,ffbbudgettwofive,8,FALSE)</f>
        <v>55.36</v>
      </c>
      <c r="AA8" s="1">
        <f>VLOOKUP(B8,ffbbudgettwofive,9,FALSE)</f>
        <v>96.88000000000001</v>
      </c>
      <c r="AB8" s="1">
        <f>VLOOKUP(B8,ffbbudgettwofive,10,FALSE)</f>
        <v>96.88000000000001</v>
      </c>
      <c r="AC8" s="1">
        <f>VLOOKUP(B8,ffbbudgettwofive,11,FALSE)</f>
        <v>96.88000000000001</v>
      </c>
      <c r="AD8" s="1">
        <f>VLOOKUP(B8,ffbbudgettwofive,12,FALSE)</f>
        <v>96.88000000000001</v>
      </c>
      <c r="AE8" s="1">
        <f>VLOOKUP(B8,ffbbudgettwofive,13,FALSE)</f>
        <v>111</v>
      </c>
      <c r="AF8" s="1">
        <f>VLOOKUP(B8,ffbbudgettwofive,14,FALSE)</f>
        <v>138</v>
      </c>
      <c r="AG8" s="1">
        <f>VLOOKUP(B8,ffbbudgettwofive,15,FALSE)</f>
        <v>138</v>
      </c>
      <c r="AH8" s="1">
        <f>VLOOKUP(B8,ffbbudgettwofive,16,FALSE)</f>
        <v>194</v>
      </c>
      <c r="AI8" s="1">
        <f>VLOOKUP(B8,ffbbudgettwofive,17,FALSE)</f>
        <v>152</v>
      </c>
      <c r="AJ8" s="1">
        <f>VLOOKUP(B8,ffbbudgettwofive,18,FALSE)</f>
        <v>138</v>
      </c>
    </row>
    <row r="9" spans="1:36" outlineLevel="1" x14ac:dyDescent="0.25">
      <c r="A9" s="483"/>
      <c r="B9" s="100">
        <v>14</v>
      </c>
      <c r="C9" s="523">
        <f>VLOOKUP(B9,YUVENTUS,2,FALSE)</f>
        <v>41.6</v>
      </c>
      <c r="D9" s="822">
        <f>VLOOKUP(B9,YUVENTUS,7,FALSE)</f>
        <v>45.839999999999996</v>
      </c>
      <c r="E9" s="823">
        <f>VLOOKUP(B9,year2022to23,247,FALSE)</f>
        <v>93.91</v>
      </c>
      <c r="F9" s="694">
        <f>VLOOKUP(B9,year2022to23,311,FALSE)</f>
        <v>714.03</v>
      </c>
      <c r="G9" s="695">
        <f>VLOOKUP(B9,year2022to23,249,FALSE)</f>
        <v>762.68600000000004</v>
      </c>
      <c r="H9" s="694">
        <f>F9/C9</f>
        <v>17.164182692307691</v>
      </c>
      <c r="I9" s="695">
        <f>G9/C9</f>
        <v>18.333798076923078</v>
      </c>
      <c r="J9" s="512"/>
      <c r="Y9" s="1">
        <f>VLOOKUP(B9,ffbbudgettwofive,7,FALSE)</f>
        <v>43.7</v>
      </c>
      <c r="Z9" s="1">
        <f>VLOOKUP(B9,ffbbudgettwofive,8,FALSE)</f>
        <v>34.96</v>
      </c>
      <c r="AA9" s="1">
        <f>VLOOKUP(B9,ffbbudgettwofive,9,FALSE)</f>
        <v>61.180000000000007</v>
      </c>
      <c r="AB9" s="1">
        <f>VLOOKUP(B9,ffbbudgettwofive,10,FALSE)</f>
        <v>61.180000000000007</v>
      </c>
      <c r="AC9" s="1">
        <f>VLOOKUP(B9,ffbbudgettwofive,11,FALSE)</f>
        <v>61.180000000000007</v>
      </c>
      <c r="AD9" s="1">
        <f>VLOOKUP(B9,ffbbudgettwofive,12,FALSE)</f>
        <v>61.180000000000007</v>
      </c>
      <c r="AE9" s="1">
        <f>VLOOKUP(B9,ffbbudgettwofive,13,FALSE)</f>
        <v>70</v>
      </c>
      <c r="AF9" s="1">
        <f>VLOOKUP(B9,ffbbudgettwofive,14,FALSE)</f>
        <v>87</v>
      </c>
      <c r="AG9" s="1">
        <f>VLOOKUP(B9,ffbbudgettwofive,15,FALSE)</f>
        <v>87</v>
      </c>
      <c r="AH9" s="1">
        <f>VLOOKUP(B9,ffbbudgettwofive,16,FALSE)</f>
        <v>122</v>
      </c>
      <c r="AI9" s="1">
        <f>VLOOKUP(B9,ffbbudgettwofive,17,FALSE)</f>
        <v>96</v>
      </c>
      <c r="AJ9" s="1">
        <f>VLOOKUP(B9,ffbbudgettwofive,18,FALSE)</f>
        <v>87</v>
      </c>
    </row>
    <row r="10" spans="1:36" ht="15.75" outlineLevel="1" thickBot="1" x14ac:dyDescent="0.3">
      <c r="A10" s="483"/>
      <c r="B10" s="562"/>
      <c r="C10" s="563"/>
      <c r="D10" s="824"/>
      <c r="E10" s="825"/>
      <c r="F10" s="826"/>
      <c r="G10" s="827"/>
      <c r="H10" s="826"/>
      <c r="I10" s="827"/>
      <c r="J10" s="512"/>
    </row>
    <row r="11" spans="1:36" s="7" customFormat="1" ht="15.75" thickBot="1" x14ac:dyDescent="0.3">
      <c r="A11" s="935" t="s">
        <v>64</v>
      </c>
      <c r="B11" s="936"/>
      <c r="C11" s="820">
        <f>'DARSO GANG'!B14</f>
        <v>385.4</v>
      </c>
      <c r="D11" s="819">
        <f>SUM(D12:D18)</f>
        <v>692.17000000000007</v>
      </c>
      <c r="E11" s="541">
        <f>SUM(E12:E18)</f>
        <v>526.98</v>
      </c>
      <c r="F11" s="819">
        <f>SUM(F12:F18)</f>
        <v>6539.67</v>
      </c>
      <c r="G11" s="819">
        <f>SUM(G12:G18)</f>
        <v>5924.63</v>
      </c>
      <c r="H11" s="819">
        <f t="shared" ref="H11:H18" si="0">F11/C11</f>
        <v>16.968526206538662</v>
      </c>
      <c r="I11" s="541">
        <f t="shared" ref="I11:I18" si="1">G11/C11</f>
        <v>15.372677737415673</v>
      </c>
      <c r="J11" s="512"/>
      <c r="Y11" s="99" t="s">
        <v>180</v>
      </c>
      <c r="Z11" s="99" t="s">
        <v>181</v>
      </c>
      <c r="AA11" s="99" t="s">
        <v>182</v>
      </c>
      <c r="AB11" s="99" t="s">
        <v>183</v>
      </c>
      <c r="AC11" s="99" t="s">
        <v>184</v>
      </c>
      <c r="AD11" s="99" t="s">
        <v>185</v>
      </c>
      <c r="AE11" s="99" t="s">
        <v>186</v>
      </c>
      <c r="AF11" s="99" t="s">
        <v>187</v>
      </c>
      <c r="AG11" s="99" t="s">
        <v>188</v>
      </c>
      <c r="AH11" s="99" t="s">
        <v>189</v>
      </c>
      <c r="AI11" s="99" t="s">
        <v>190</v>
      </c>
      <c r="AJ11" s="99" t="s">
        <v>191</v>
      </c>
    </row>
    <row r="12" spans="1:36" outlineLevel="1" x14ac:dyDescent="0.25">
      <c r="A12" s="528"/>
      <c r="B12" s="511">
        <v>15</v>
      </c>
      <c r="C12" s="529">
        <f t="shared" ref="C12:C18" si="2">VLOOKUP(B12,DARSO,2,FALSE)</f>
        <v>49.3</v>
      </c>
      <c r="D12" s="822">
        <f t="shared" ref="D12:D18" si="3">VLOOKUP(B12,DARSO,7,FALSE)</f>
        <v>124.06</v>
      </c>
      <c r="E12" s="823">
        <f t="shared" ref="E12:E18" si="4">VLOOKUP(B12,year2022to23,247,FALSE)</f>
        <v>60.49</v>
      </c>
      <c r="F12" s="822">
        <f t="shared" ref="F12:F18" si="5">VLOOKUP(B12,year2022to23,311,FALSE)</f>
        <v>776.8900000000001</v>
      </c>
      <c r="G12" s="823">
        <f t="shared" ref="G12:G18" si="6">VLOOKUP(B12,year2022to23,249,FALSE)</f>
        <v>619.76</v>
      </c>
      <c r="H12" s="822">
        <f t="shared" si="0"/>
        <v>15.758417849898583</v>
      </c>
      <c r="I12" s="823">
        <f t="shared" si="1"/>
        <v>12.571196754563895</v>
      </c>
      <c r="J12" s="512"/>
      <c r="Y12" s="1">
        <f t="shared" ref="Y12:Y18" si="7">VLOOKUP(B12,ffbbudgettwofive,7,FALSE)</f>
        <v>49.300000000000004</v>
      </c>
      <c r="Z12" s="1">
        <f t="shared" ref="Z12:Z18" si="8">VLOOKUP(B12,ffbbudgettwofive,8,FALSE)</f>
        <v>39.44</v>
      </c>
      <c r="AA12" s="1">
        <f t="shared" ref="AA12:AA18" si="9">VLOOKUP(B12,ffbbudgettwofive,9,FALSE)</f>
        <v>69.02000000000001</v>
      </c>
      <c r="AB12" s="1">
        <f t="shared" ref="AB12:AB18" si="10">VLOOKUP(B12,ffbbudgettwofive,10,FALSE)</f>
        <v>69.02000000000001</v>
      </c>
      <c r="AC12" s="1">
        <f t="shared" ref="AC12:AC18" si="11">VLOOKUP(B12,ffbbudgettwofive,11,FALSE)</f>
        <v>69.02000000000001</v>
      </c>
      <c r="AD12" s="1">
        <f t="shared" ref="AD12:AD18" si="12">VLOOKUP(B12,ffbbudgettwofive,12,FALSE)</f>
        <v>69.02000000000001</v>
      </c>
      <c r="AE12" s="1">
        <f t="shared" ref="AE12:AE18" si="13">VLOOKUP(B12,ffbbudgettwofive,13,FALSE)</f>
        <v>79</v>
      </c>
      <c r="AF12" s="1">
        <f t="shared" ref="AF12:AF18" si="14">VLOOKUP(B12,ffbbudgettwofive,14,FALSE)</f>
        <v>99</v>
      </c>
      <c r="AG12" s="1">
        <f t="shared" ref="AG12:AG18" si="15">VLOOKUP(B12,ffbbudgettwofive,15,FALSE)</f>
        <v>99</v>
      </c>
      <c r="AH12" s="1">
        <f t="shared" ref="AH12:AH18" si="16">VLOOKUP(B12,ffbbudgettwofive,16,FALSE)</f>
        <v>138</v>
      </c>
      <c r="AI12" s="1">
        <f t="shared" ref="AI12:AI18" si="17">VLOOKUP(B12,ffbbudgettwofive,17,FALSE)</f>
        <v>108</v>
      </c>
      <c r="AJ12" s="1">
        <f t="shared" ref="AJ12:AJ18" si="18">VLOOKUP(B12,ffbbudgettwofive,18,FALSE)</f>
        <v>99</v>
      </c>
    </row>
    <row r="13" spans="1:36" outlineLevel="1" x14ac:dyDescent="0.25">
      <c r="A13" s="528"/>
      <c r="B13" s="1">
        <v>16</v>
      </c>
      <c r="C13" s="523">
        <f t="shared" si="2"/>
        <v>53.2</v>
      </c>
      <c r="D13" s="822">
        <f t="shared" si="3"/>
        <v>111.66</v>
      </c>
      <c r="E13" s="695">
        <f t="shared" si="4"/>
        <v>87.66</v>
      </c>
      <c r="F13" s="694">
        <f t="shared" si="5"/>
        <v>900.68</v>
      </c>
      <c r="G13" s="695">
        <f t="shared" si="6"/>
        <v>837.23</v>
      </c>
      <c r="H13" s="694">
        <f t="shared" si="0"/>
        <v>16.930075187969923</v>
      </c>
      <c r="I13" s="695">
        <f t="shared" si="1"/>
        <v>15.737406015037594</v>
      </c>
      <c r="J13" s="512"/>
      <c r="Y13" s="1">
        <f t="shared" si="7"/>
        <v>53.2</v>
      </c>
      <c r="Z13" s="1">
        <f t="shared" si="8"/>
        <v>42.56</v>
      </c>
      <c r="AA13" s="1">
        <f t="shared" si="9"/>
        <v>74.48</v>
      </c>
      <c r="AB13" s="1">
        <f t="shared" si="10"/>
        <v>74.48</v>
      </c>
      <c r="AC13" s="1">
        <f t="shared" si="11"/>
        <v>74.48</v>
      </c>
      <c r="AD13" s="1">
        <f t="shared" si="12"/>
        <v>74.48</v>
      </c>
      <c r="AE13" s="1">
        <f t="shared" si="13"/>
        <v>85</v>
      </c>
      <c r="AF13" s="1">
        <f t="shared" si="14"/>
        <v>106</v>
      </c>
      <c r="AG13" s="1">
        <f t="shared" si="15"/>
        <v>106</v>
      </c>
      <c r="AH13" s="1">
        <f t="shared" si="16"/>
        <v>149</v>
      </c>
      <c r="AI13" s="1">
        <f t="shared" si="17"/>
        <v>117</v>
      </c>
      <c r="AJ13" s="1">
        <f t="shared" si="18"/>
        <v>106</v>
      </c>
    </row>
    <row r="14" spans="1:36" outlineLevel="1" x14ac:dyDescent="0.25">
      <c r="A14" s="528"/>
      <c r="B14" s="1">
        <v>17</v>
      </c>
      <c r="C14" s="523">
        <f t="shared" si="2"/>
        <v>45.7</v>
      </c>
      <c r="D14" s="822">
        <f t="shared" si="3"/>
        <v>43.17</v>
      </c>
      <c r="E14" s="695">
        <f t="shared" si="4"/>
        <v>96.89</v>
      </c>
      <c r="F14" s="694">
        <f t="shared" si="5"/>
        <v>797.25</v>
      </c>
      <c r="G14" s="695">
        <f t="shared" si="6"/>
        <v>814.55000000000007</v>
      </c>
      <c r="H14" s="694">
        <f t="shared" si="0"/>
        <v>17.445295404814004</v>
      </c>
      <c r="I14" s="695">
        <f t="shared" si="1"/>
        <v>17.823851203501093</v>
      </c>
      <c r="J14" s="512"/>
      <c r="Y14" s="1">
        <f t="shared" si="7"/>
        <v>50.25</v>
      </c>
      <c r="Z14" s="1">
        <f t="shared" si="8"/>
        <v>40.200000000000003</v>
      </c>
      <c r="AA14" s="1">
        <f t="shared" si="9"/>
        <v>70.350000000000009</v>
      </c>
      <c r="AB14" s="1">
        <f t="shared" si="10"/>
        <v>70.350000000000009</v>
      </c>
      <c r="AC14" s="1">
        <f t="shared" si="11"/>
        <v>70.350000000000009</v>
      </c>
      <c r="AD14" s="1">
        <f t="shared" si="12"/>
        <v>70.350000000000009</v>
      </c>
      <c r="AE14" s="1">
        <f t="shared" si="13"/>
        <v>80</v>
      </c>
      <c r="AF14" s="1">
        <f t="shared" si="14"/>
        <v>101</v>
      </c>
      <c r="AG14" s="1">
        <f t="shared" si="15"/>
        <v>101</v>
      </c>
      <c r="AH14" s="1">
        <f t="shared" si="16"/>
        <v>141</v>
      </c>
      <c r="AI14" s="1">
        <f t="shared" si="17"/>
        <v>111</v>
      </c>
      <c r="AJ14" s="1">
        <f t="shared" si="18"/>
        <v>101</v>
      </c>
    </row>
    <row r="15" spans="1:36" outlineLevel="1" x14ac:dyDescent="0.25">
      <c r="A15" s="528"/>
      <c r="B15" s="1">
        <v>19</v>
      </c>
      <c r="C15" s="523">
        <f t="shared" si="2"/>
        <v>50.62</v>
      </c>
      <c r="D15" s="822">
        <f t="shared" si="3"/>
        <v>89.97</v>
      </c>
      <c r="E15" s="695">
        <f t="shared" si="4"/>
        <v>49.21</v>
      </c>
      <c r="F15" s="694">
        <f t="shared" si="5"/>
        <v>866</v>
      </c>
      <c r="G15" s="695">
        <f t="shared" si="6"/>
        <v>745.81000000000017</v>
      </c>
      <c r="H15" s="694">
        <f t="shared" si="0"/>
        <v>17.107862504938762</v>
      </c>
      <c r="I15" s="695">
        <f t="shared" si="1"/>
        <v>14.733504543658636</v>
      </c>
      <c r="J15" s="512"/>
      <c r="Y15" s="1">
        <f t="shared" si="7"/>
        <v>53.150000000000006</v>
      </c>
      <c r="Z15" s="1">
        <f t="shared" si="8"/>
        <v>42.52</v>
      </c>
      <c r="AA15" s="1">
        <f t="shared" si="9"/>
        <v>74.410000000000011</v>
      </c>
      <c r="AB15" s="1">
        <f t="shared" si="10"/>
        <v>74.410000000000011</v>
      </c>
      <c r="AC15" s="1">
        <f t="shared" si="11"/>
        <v>74.410000000000011</v>
      </c>
      <c r="AD15" s="1">
        <f t="shared" si="12"/>
        <v>74.410000000000011</v>
      </c>
      <c r="AE15" s="1">
        <f t="shared" si="13"/>
        <v>85</v>
      </c>
      <c r="AF15" s="1">
        <f t="shared" si="14"/>
        <v>106</v>
      </c>
      <c r="AG15" s="1">
        <f t="shared" si="15"/>
        <v>106</v>
      </c>
      <c r="AH15" s="1">
        <f t="shared" si="16"/>
        <v>149</v>
      </c>
      <c r="AI15" s="1">
        <f t="shared" si="17"/>
        <v>117</v>
      </c>
      <c r="AJ15" s="1">
        <f t="shared" si="18"/>
        <v>106</v>
      </c>
    </row>
    <row r="16" spans="1:36" outlineLevel="1" x14ac:dyDescent="0.25">
      <c r="A16" s="528"/>
      <c r="B16" s="1">
        <v>20</v>
      </c>
      <c r="C16" s="523">
        <f t="shared" si="2"/>
        <v>62.08</v>
      </c>
      <c r="D16" s="822">
        <f t="shared" si="3"/>
        <v>136.66</v>
      </c>
      <c r="E16" s="695">
        <f t="shared" si="4"/>
        <v>69</v>
      </c>
      <c r="F16" s="694">
        <f t="shared" si="5"/>
        <v>1028.6000000000001</v>
      </c>
      <c r="G16" s="695">
        <f t="shared" si="6"/>
        <v>799.99000000000012</v>
      </c>
      <c r="H16" s="694">
        <f t="shared" si="0"/>
        <v>16.568943298969074</v>
      </c>
      <c r="I16" s="695">
        <f t="shared" si="1"/>
        <v>12.886436855670105</v>
      </c>
      <c r="J16" s="512"/>
      <c r="Y16" s="1">
        <f t="shared" si="7"/>
        <v>65.2</v>
      </c>
      <c r="Z16" s="1">
        <f t="shared" si="8"/>
        <v>52.160000000000004</v>
      </c>
      <c r="AA16" s="1">
        <f t="shared" si="9"/>
        <v>91.280000000000015</v>
      </c>
      <c r="AB16" s="1">
        <f t="shared" si="10"/>
        <v>91.280000000000015</v>
      </c>
      <c r="AC16" s="1">
        <f t="shared" si="11"/>
        <v>91.280000000000015</v>
      </c>
      <c r="AD16" s="1">
        <f t="shared" si="12"/>
        <v>91.280000000000015</v>
      </c>
      <c r="AE16" s="1">
        <f t="shared" si="13"/>
        <v>104</v>
      </c>
      <c r="AF16" s="1">
        <f t="shared" si="14"/>
        <v>130</v>
      </c>
      <c r="AG16" s="1">
        <f t="shared" si="15"/>
        <v>130</v>
      </c>
      <c r="AH16" s="1">
        <f t="shared" si="16"/>
        <v>183</v>
      </c>
      <c r="AI16" s="1">
        <f t="shared" si="17"/>
        <v>143</v>
      </c>
      <c r="AJ16" s="1">
        <f t="shared" si="18"/>
        <v>130</v>
      </c>
    </row>
    <row r="17" spans="1:36" outlineLevel="1" x14ac:dyDescent="0.25">
      <c r="A17" s="528"/>
      <c r="B17" s="1">
        <v>21</v>
      </c>
      <c r="C17" s="523">
        <f t="shared" si="2"/>
        <v>72.2</v>
      </c>
      <c r="D17" s="822">
        <f t="shared" si="3"/>
        <v>122.20000000000002</v>
      </c>
      <c r="E17" s="695">
        <f t="shared" si="4"/>
        <v>96.05</v>
      </c>
      <c r="F17" s="694">
        <f t="shared" si="5"/>
        <v>1324.41</v>
      </c>
      <c r="G17" s="695">
        <f t="shared" si="6"/>
        <v>1304.9899999999998</v>
      </c>
      <c r="H17" s="694">
        <f t="shared" si="0"/>
        <v>18.343628808864267</v>
      </c>
      <c r="I17" s="695">
        <f t="shared" si="1"/>
        <v>18.074653739612184</v>
      </c>
      <c r="J17" s="512"/>
      <c r="Y17" s="1">
        <f t="shared" si="7"/>
        <v>83.050000000000011</v>
      </c>
      <c r="Z17" s="1">
        <f t="shared" si="8"/>
        <v>66.44</v>
      </c>
      <c r="AA17" s="1">
        <f t="shared" si="9"/>
        <v>116.27000000000001</v>
      </c>
      <c r="AB17" s="1">
        <f t="shared" si="10"/>
        <v>116.27000000000001</v>
      </c>
      <c r="AC17" s="1">
        <f t="shared" si="11"/>
        <v>116.27000000000001</v>
      </c>
      <c r="AD17" s="1">
        <f t="shared" si="12"/>
        <v>116.27000000000001</v>
      </c>
      <c r="AE17" s="1">
        <f t="shared" si="13"/>
        <v>133</v>
      </c>
      <c r="AF17" s="1">
        <f t="shared" si="14"/>
        <v>166</v>
      </c>
      <c r="AG17" s="1">
        <f t="shared" si="15"/>
        <v>166</v>
      </c>
      <c r="AH17" s="1">
        <f t="shared" si="16"/>
        <v>232</v>
      </c>
      <c r="AI17" s="1">
        <f t="shared" si="17"/>
        <v>183</v>
      </c>
      <c r="AJ17" s="1">
        <f t="shared" si="18"/>
        <v>166</v>
      </c>
    </row>
    <row r="18" spans="1:36" outlineLevel="1" x14ac:dyDescent="0.25">
      <c r="A18" s="528"/>
      <c r="B18" s="1">
        <v>22</v>
      </c>
      <c r="C18" s="523">
        <f t="shared" si="2"/>
        <v>52.3</v>
      </c>
      <c r="D18" s="822">
        <f t="shared" si="3"/>
        <v>64.45</v>
      </c>
      <c r="E18" s="695">
        <f t="shared" si="4"/>
        <v>67.679999999999993</v>
      </c>
      <c r="F18" s="694">
        <f t="shared" si="5"/>
        <v>845.84</v>
      </c>
      <c r="G18" s="695">
        <f t="shared" si="6"/>
        <v>802.3</v>
      </c>
      <c r="H18" s="694">
        <f t="shared" si="0"/>
        <v>16.172848948374764</v>
      </c>
      <c r="I18" s="695">
        <f t="shared" si="1"/>
        <v>15.340344168260039</v>
      </c>
      <c r="J18" s="512"/>
      <c r="Y18" s="1">
        <f t="shared" si="7"/>
        <v>54.900000000000006</v>
      </c>
      <c r="Z18" s="1">
        <f t="shared" si="8"/>
        <v>43.92</v>
      </c>
      <c r="AA18" s="1">
        <f t="shared" si="9"/>
        <v>76.860000000000014</v>
      </c>
      <c r="AB18" s="1">
        <f t="shared" si="10"/>
        <v>76.860000000000014</v>
      </c>
      <c r="AC18" s="1">
        <f t="shared" si="11"/>
        <v>76.860000000000014</v>
      </c>
      <c r="AD18" s="1">
        <f t="shared" si="12"/>
        <v>76.860000000000014</v>
      </c>
      <c r="AE18" s="1">
        <f t="shared" si="13"/>
        <v>88</v>
      </c>
      <c r="AF18" s="1">
        <f t="shared" si="14"/>
        <v>110</v>
      </c>
      <c r="AG18" s="1">
        <f t="shared" si="15"/>
        <v>110</v>
      </c>
      <c r="AH18" s="1">
        <f t="shared" si="16"/>
        <v>154</v>
      </c>
      <c r="AI18" s="1">
        <f t="shared" si="17"/>
        <v>121</v>
      </c>
      <c r="AJ18" s="1">
        <f t="shared" si="18"/>
        <v>110</v>
      </c>
    </row>
    <row r="19" spans="1:36" ht="15.75" outlineLevel="1" thickBot="1" x14ac:dyDescent="0.3">
      <c r="A19" s="483"/>
      <c r="B19" s="562"/>
      <c r="C19" s="563"/>
      <c r="D19" s="824"/>
      <c r="E19" s="825"/>
      <c r="F19" s="826"/>
      <c r="G19" s="827"/>
      <c r="H19" s="826"/>
      <c r="I19" s="827"/>
      <c r="J19" s="512"/>
    </row>
    <row r="20" spans="1:36" s="7" customFormat="1" ht="30.75" customHeight="1" thickBot="1" x14ac:dyDescent="0.3">
      <c r="A20" s="937" t="s">
        <v>241</v>
      </c>
      <c r="B20" s="938"/>
      <c r="C20" s="820">
        <f>'YUDI GANG'!B10</f>
        <v>116.28</v>
      </c>
      <c r="D20" s="819">
        <f>SUM(D21:D23)</f>
        <v>104.85</v>
      </c>
      <c r="E20" s="541">
        <f>SUM(E21:E23)</f>
        <v>125.69</v>
      </c>
      <c r="F20" s="819">
        <f>SUM(F21:F23)</f>
        <v>1517</v>
      </c>
      <c r="G20" s="819">
        <f>SUM(G21:G23)</f>
        <v>1384.5479999999998</v>
      </c>
      <c r="H20" s="819">
        <f>F20/C20</f>
        <v>13.04609563123495</v>
      </c>
      <c r="I20" s="541">
        <f>G20/C20</f>
        <v>11.907017543859647</v>
      </c>
      <c r="J20" s="512"/>
      <c r="Y20" s="7" t="s">
        <v>180</v>
      </c>
      <c r="Z20" s="7" t="s">
        <v>181</v>
      </c>
      <c r="AA20" s="7" t="s">
        <v>182</v>
      </c>
      <c r="AB20" s="7" t="s">
        <v>183</v>
      </c>
      <c r="AC20" s="7" t="s">
        <v>184</v>
      </c>
      <c r="AD20" s="7" t="s">
        <v>185</v>
      </c>
      <c r="AE20" s="7" t="s">
        <v>186</v>
      </c>
      <c r="AF20" s="7" t="s">
        <v>187</v>
      </c>
      <c r="AG20" s="7" t="s">
        <v>188</v>
      </c>
      <c r="AH20" s="7" t="s">
        <v>189</v>
      </c>
      <c r="AI20" s="7" t="s">
        <v>190</v>
      </c>
      <c r="AJ20" s="7" t="s">
        <v>191</v>
      </c>
    </row>
    <row r="21" spans="1:36" outlineLevel="1" x14ac:dyDescent="0.25">
      <c r="A21" s="483"/>
      <c r="B21" s="535">
        <v>2</v>
      </c>
      <c r="C21" s="529">
        <f>VLOOKUP(B21,ERDI,2,FALSE)</f>
        <v>60.4</v>
      </c>
      <c r="D21" s="822">
        <f>VLOOKUP(B21,ERDI,7,FALSE)</f>
        <v>57.309999999999995</v>
      </c>
      <c r="E21" s="823">
        <f>VLOOKUP(B21,year2022to23,247,FALSE)</f>
        <v>70.989999999999995</v>
      </c>
      <c r="F21" s="822">
        <f>VLOOKUP(B21,year2022to23,311,FALSE)</f>
        <v>889.56999999999994</v>
      </c>
      <c r="G21" s="823">
        <f>VLOOKUP(B21,year2022to23,249,FALSE)</f>
        <v>828.71399999999994</v>
      </c>
      <c r="H21" s="822">
        <f>F21/C21</f>
        <v>14.72798013245033</v>
      </c>
      <c r="I21" s="823">
        <f>G21/C21</f>
        <v>13.720430463576159</v>
      </c>
      <c r="J21" s="512"/>
      <c r="Y21" s="1">
        <f>VLOOKUP(B21,ffbbudgettwofive,7,FALSE)</f>
        <v>60.400000000000006</v>
      </c>
      <c r="Z21" s="1">
        <f>VLOOKUP(B21,ffbbudgettwofive,8,FALSE)</f>
        <v>48.32</v>
      </c>
      <c r="AA21" s="1">
        <f>VLOOKUP(B21,ffbbudgettwofive,9,FALSE)</f>
        <v>84.56</v>
      </c>
      <c r="AB21" s="1">
        <f>VLOOKUP(B21,ffbbudgettwofive,10,FALSE)</f>
        <v>84.56</v>
      </c>
      <c r="AC21" s="1">
        <f>VLOOKUP(B21,ffbbudgettwofive,11,FALSE)</f>
        <v>84.56</v>
      </c>
      <c r="AD21" s="1">
        <f>VLOOKUP(B21,ffbbudgettwofive,12,FALSE)</f>
        <v>84.56</v>
      </c>
      <c r="AE21" s="1">
        <f>VLOOKUP(B21,ffbbudgettwofive,13,FALSE)</f>
        <v>97</v>
      </c>
      <c r="AF21" s="1">
        <f>VLOOKUP(B21,ffbbudgettwofive,14,FALSE)</f>
        <v>121</v>
      </c>
      <c r="AG21" s="1">
        <f>VLOOKUP(B21,ffbbudgettwofive,15,FALSE)</f>
        <v>121</v>
      </c>
      <c r="AH21" s="1">
        <f>VLOOKUP(B21,ffbbudgettwofive,16,FALSE)</f>
        <v>169</v>
      </c>
      <c r="AI21" s="1">
        <f>VLOOKUP(B21,ffbbudgettwofive,17,FALSE)</f>
        <v>133</v>
      </c>
      <c r="AJ21" s="1">
        <f>VLOOKUP(B21,ffbbudgettwofive,18,FALSE)</f>
        <v>121</v>
      </c>
    </row>
    <row r="22" spans="1:36" outlineLevel="1" x14ac:dyDescent="0.25">
      <c r="A22" s="483"/>
      <c r="B22" s="100">
        <v>11</v>
      </c>
      <c r="C22" s="523">
        <f>VLOOKUP(B22,ERDI,2,FALSE)</f>
        <v>44.5</v>
      </c>
      <c r="D22" s="822">
        <f>VLOOKUP(B22,ERDI,7,FALSE)</f>
        <v>32.42</v>
      </c>
      <c r="E22" s="823">
        <f>VLOOKUP(B22,year2022to23,247,FALSE)</f>
        <v>52</v>
      </c>
      <c r="F22" s="694">
        <f>VLOOKUP(B22,year2022to23,311,FALSE)</f>
        <v>529.89</v>
      </c>
      <c r="G22" s="695">
        <f>VLOOKUP(B22,year2022to23,249,FALSE)</f>
        <v>539.21399999999994</v>
      </c>
      <c r="H22" s="694">
        <f>F22/C22</f>
        <v>11.907640449438201</v>
      </c>
      <c r="I22" s="695">
        <f>G22/C22</f>
        <v>12.117168539325842</v>
      </c>
      <c r="J22" s="512"/>
      <c r="Y22" s="1">
        <f>VLOOKUP(B22,ffbbudgettwofive,7,FALSE)</f>
        <v>42.300000000000004</v>
      </c>
      <c r="Z22" s="1">
        <f>VLOOKUP(B22,ffbbudgettwofive,8,FALSE)</f>
        <v>33.840000000000003</v>
      </c>
      <c r="AA22" s="1">
        <f>VLOOKUP(B22,ffbbudgettwofive,9,FALSE)</f>
        <v>59.220000000000006</v>
      </c>
      <c r="AB22" s="1">
        <f>VLOOKUP(B22,ffbbudgettwofive,10,FALSE)</f>
        <v>59.220000000000006</v>
      </c>
      <c r="AC22" s="1">
        <f>VLOOKUP(B22,ffbbudgettwofive,11,FALSE)</f>
        <v>59.220000000000006</v>
      </c>
      <c r="AD22" s="1">
        <f>VLOOKUP(B22,ffbbudgettwofive,12,FALSE)</f>
        <v>59.220000000000006</v>
      </c>
      <c r="AE22" s="1">
        <f>VLOOKUP(B22,ffbbudgettwofive,13,FALSE)</f>
        <v>68</v>
      </c>
      <c r="AF22" s="1">
        <f>VLOOKUP(B22,ffbbudgettwofive,14,FALSE)</f>
        <v>85</v>
      </c>
      <c r="AG22" s="1">
        <f>VLOOKUP(B22,ffbbudgettwofive,15,FALSE)</f>
        <v>85</v>
      </c>
      <c r="AH22" s="1">
        <f>VLOOKUP(B22,ffbbudgettwofive,16,FALSE)</f>
        <v>118</v>
      </c>
      <c r="AI22" s="1">
        <f>VLOOKUP(B22,ffbbudgettwofive,17,FALSE)</f>
        <v>93</v>
      </c>
      <c r="AJ22" s="1">
        <f>VLOOKUP(B22,ffbbudgettwofive,18,FALSE)</f>
        <v>85</v>
      </c>
    </row>
    <row r="23" spans="1:36" outlineLevel="1" x14ac:dyDescent="0.25">
      <c r="A23" s="483"/>
      <c r="B23" s="100">
        <v>29</v>
      </c>
      <c r="C23" s="523">
        <f>VLOOKUP(B23,ERDI,2,FALSE)</f>
        <v>11.38</v>
      </c>
      <c r="D23" s="822">
        <f>VLOOKUP(B23,ERDI,7,FALSE)</f>
        <v>15.12</v>
      </c>
      <c r="E23" s="823">
        <f>VLOOKUP(B23,year2022to23,247,FALSE)</f>
        <v>2.7</v>
      </c>
      <c r="F23" s="694">
        <f>VLOOKUP(B23,year2022to23,311,FALSE)</f>
        <v>97.54</v>
      </c>
      <c r="G23" s="695">
        <f>VLOOKUP(B23,year2022to23,249,FALSE)</f>
        <v>16.62</v>
      </c>
      <c r="H23" s="694">
        <f>F23/C23</f>
        <v>8.5711775043936722</v>
      </c>
      <c r="I23" s="695">
        <f>G23/C23</f>
        <v>1.4604569420035149</v>
      </c>
      <c r="J23" s="512"/>
      <c r="Y23" s="1">
        <f>VLOOKUP(B23,ffbbudgettwofive,7,FALSE)</f>
        <v>3.45</v>
      </c>
      <c r="Z23" s="1">
        <f>VLOOKUP(B23,ffbbudgettwofive,8,FALSE)</f>
        <v>2.7600000000000002</v>
      </c>
      <c r="AA23" s="1">
        <f>VLOOKUP(B23,ffbbudgettwofive,9,FALSE)</f>
        <v>4.83</v>
      </c>
      <c r="AB23" s="1">
        <f>VLOOKUP(B23,ffbbudgettwofive,10,FALSE)</f>
        <v>4.83</v>
      </c>
      <c r="AC23" s="1">
        <f>VLOOKUP(B23,ffbbudgettwofive,11,FALSE)</f>
        <v>4.83</v>
      </c>
      <c r="AD23" s="1">
        <f>VLOOKUP(B23,ffbbudgettwofive,12,FALSE)</f>
        <v>4.83</v>
      </c>
      <c r="AE23" s="1">
        <f>VLOOKUP(B23,ffbbudgettwofive,13,FALSE)</f>
        <v>6</v>
      </c>
      <c r="AF23" s="1">
        <f>VLOOKUP(B23,ffbbudgettwofive,14,FALSE)</f>
        <v>7</v>
      </c>
      <c r="AG23" s="1">
        <f>VLOOKUP(B23,ffbbudgettwofive,15,FALSE)</f>
        <v>7</v>
      </c>
      <c r="AH23" s="1">
        <f>VLOOKUP(B23,ffbbudgettwofive,16,FALSE)</f>
        <v>10</v>
      </c>
      <c r="AI23" s="1">
        <f>VLOOKUP(B23,ffbbudgettwofive,17,FALSE)</f>
        <v>8</v>
      </c>
      <c r="AJ23" s="1">
        <f>VLOOKUP(B23,ffbbudgettwofive,18,FALSE)</f>
        <v>7</v>
      </c>
    </row>
    <row r="24" spans="1:36" ht="15.75" outlineLevel="1" thickBot="1" x14ac:dyDescent="0.3">
      <c r="A24" s="483"/>
      <c r="B24" s="562"/>
      <c r="C24" s="563"/>
      <c r="D24" s="824"/>
      <c r="E24" s="825"/>
      <c r="F24" s="826"/>
      <c r="G24" s="827"/>
      <c r="H24" s="826"/>
      <c r="I24" s="827"/>
      <c r="J24" s="512"/>
    </row>
    <row r="25" spans="1:36" s="7" customFormat="1" ht="30.75" customHeight="1" thickBot="1" x14ac:dyDescent="0.3">
      <c r="A25" s="939" t="s">
        <v>240</v>
      </c>
      <c r="B25" s="940"/>
      <c r="C25" s="820">
        <f>'SOFIO GANG'!B13</f>
        <v>262.5</v>
      </c>
      <c r="D25" s="819">
        <f>SUM(D26:D31)</f>
        <v>364.13</v>
      </c>
      <c r="E25" s="541">
        <f>SUM(E26:E31)</f>
        <v>408.98</v>
      </c>
      <c r="F25" s="819">
        <f>SUM(F26:F31)</f>
        <v>4293.8</v>
      </c>
      <c r="G25" s="819">
        <f>SUM(G26:G31)</f>
        <v>4258.027</v>
      </c>
      <c r="H25" s="819">
        <f t="shared" ref="H25:H31" si="19">F25/C25</f>
        <v>16.357333333333333</v>
      </c>
      <c r="I25" s="541">
        <f t="shared" ref="I25:I31" si="20">G25/C25</f>
        <v>16.221055238095239</v>
      </c>
      <c r="J25" s="512"/>
      <c r="Y25" s="7" t="s">
        <v>180</v>
      </c>
      <c r="Z25" s="7" t="s">
        <v>181</v>
      </c>
      <c r="AA25" s="7" t="s">
        <v>182</v>
      </c>
      <c r="AB25" s="7" t="s">
        <v>183</v>
      </c>
      <c r="AC25" s="7" t="s">
        <v>184</v>
      </c>
      <c r="AD25" s="7" t="s">
        <v>185</v>
      </c>
      <c r="AE25" s="7" t="s">
        <v>186</v>
      </c>
      <c r="AF25" s="7" t="s">
        <v>187</v>
      </c>
      <c r="AG25" s="7" t="s">
        <v>188</v>
      </c>
      <c r="AH25" s="7" t="s">
        <v>189</v>
      </c>
      <c r="AI25" s="7" t="s">
        <v>190</v>
      </c>
      <c r="AJ25" s="7" t="s">
        <v>191</v>
      </c>
    </row>
    <row r="26" spans="1:36" outlineLevel="1" x14ac:dyDescent="0.25">
      <c r="A26" s="528"/>
      <c r="B26" s="511">
        <v>4</v>
      </c>
      <c r="C26" s="529">
        <f t="shared" ref="C26:C31" si="21">VLOOKUP(B26,SERAN,2,FALSE)</f>
        <v>70.599999999999994</v>
      </c>
      <c r="D26" s="822">
        <f t="shared" ref="D26:D31" si="22">VLOOKUP(B26,SERAN,7,FALSE)</f>
        <v>65.040000000000006</v>
      </c>
      <c r="E26" s="823">
        <f t="shared" ref="E26:E31" si="23">VLOOKUP(B26,year2022to23,247,FALSE)</f>
        <v>70.53</v>
      </c>
      <c r="F26" s="822">
        <f t="shared" ref="F26:F31" si="24">VLOOKUP(B26,year2022to23,311,FALSE)</f>
        <v>1063.57</v>
      </c>
      <c r="G26" s="823">
        <f t="shared" ref="G26:G31" si="25">VLOOKUP(B26,year2022to23,249,FALSE)</f>
        <v>1027.433</v>
      </c>
      <c r="H26" s="822">
        <f t="shared" si="19"/>
        <v>15.064730878186969</v>
      </c>
      <c r="I26" s="823">
        <f t="shared" si="20"/>
        <v>14.55287535410765</v>
      </c>
      <c r="J26" s="512"/>
      <c r="Y26" s="1">
        <f t="shared" ref="Y26:Y31" si="26">VLOOKUP(B26,ffbbudgettwofive,7,FALSE)</f>
        <v>70.600000000000009</v>
      </c>
      <c r="Z26" s="1">
        <f t="shared" ref="Z26:Z31" si="27">VLOOKUP(B26,ffbbudgettwofive,8,FALSE)</f>
        <v>56.480000000000004</v>
      </c>
      <c r="AA26" s="1">
        <f t="shared" ref="AA26:AA31" si="28">VLOOKUP(B26,ffbbudgettwofive,9,FALSE)</f>
        <v>98.84</v>
      </c>
      <c r="AB26" s="1">
        <f t="shared" ref="AB26:AB31" si="29">VLOOKUP(B26,ffbbudgettwofive,10,FALSE)</f>
        <v>98.84</v>
      </c>
      <c r="AC26" s="1">
        <f t="shared" ref="AC26:AC31" si="30">VLOOKUP(B26,ffbbudgettwofive,11,FALSE)</f>
        <v>98.84</v>
      </c>
      <c r="AD26" s="1">
        <f t="shared" ref="AD26:AD31" si="31">VLOOKUP(B26,ffbbudgettwofive,12,FALSE)</f>
        <v>98.84</v>
      </c>
      <c r="AE26" s="1">
        <f t="shared" ref="AE26:AE31" si="32">VLOOKUP(B26,ffbbudgettwofive,13,FALSE)</f>
        <v>113</v>
      </c>
      <c r="AF26" s="1">
        <f t="shared" ref="AF26:AF31" si="33">VLOOKUP(B26,ffbbudgettwofive,14,FALSE)</f>
        <v>141</v>
      </c>
      <c r="AG26" s="1">
        <f t="shared" ref="AG26:AG31" si="34">VLOOKUP(B26,ffbbudgettwofive,15,FALSE)</f>
        <v>141</v>
      </c>
      <c r="AH26" s="1">
        <f t="shared" ref="AH26:AH31" si="35">VLOOKUP(B26,ffbbudgettwofive,16,FALSE)</f>
        <v>198</v>
      </c>
      <c r="AI26" s="1">
        <f t="shared" ref="AI26:AI31" si="36">VLOOKUP(B26,ffbbudgettwofive,17,FALSE)</f>
        <v>155</v>
      </c>
      <c r="AJ26" s="1">
        <f t="shared" ref="AJ26:AJ31" si="37">VLOOKUP(B26,ffbbudgettwofive,18,FALSE)</f>
        <v>141</v>
      </c>
    </row>
    <row r="27" spans="1:36" outlineLevel="1" x14ac:dyDescent="0.25">
      <c r="A27" s="528"/>
      <c r="B27" s="1">
        <v>5</v>
      </c>
      <c r="C27" s="523">
        <f t="shared" si="21"/>
        <v>50.4</v>
      </c>
      <c r="D27" s="822">
        <f t="shared" si="22"/>
        <v>79.53</v>
      </c>
      <c r="E27" s="823">
        <f t="shared" si="23"/>
        <v>76.289999999999992</v>
      </c>
      <c r="F27" s="694">
        <f t="shared" si="24"/>
        <v>835.29</v>
      </c>
      <c r="G27" s="695">
        <f t="shared" si="25"/>
        <v>781.76</v>
      </c>
      <c r="H27" s="694">
        <f t="shared" si="19"/>
        <v>16.573214285714286</v>
      </c>
      <c r="I27" s="695">
        <f t="shared" si="20"/>
        <v>15.511111111111111</v>
      </c>
      <c r="J27" s="512"/>
      <c r="Y27" s="1">
        <f t="shared" si="26"/>
        <v>50.400000000000006</v>
      </c>
      <c r="Z27" s="1">
        <f t="shared" si="27"/>
        <v>40.32</v>
      </c>
      <c r="AA27" s="1">
        <f t="shared" si="28"/>
        <v>70.56</v>
      </c>
      <c r="AB27" s="1">
        <f t="shared" si="29"/>
        <v>70.56</v>
      </c>
      <c r="AC27" s="1">
        <f t="shared" si="30"/>
        <v>70.56</v>
      </c>
      <c r="AD27" s="1">
        <f t="shared" si="31"/>
        <v>70.56</v>
      </c>
      <c r="AE27" s="1">
        <f t="shared" si="32"/>
        <v>81</v>
      </c>
      <c r="AF27" s="1">
        <f t="shared" si="33"/>
        <v>101</v>
      </c>
      <c r="AG27" s="1">
        <f t="shared" si="34"/>
        <v>101</v>
      </c>
      <c r="AH27" s="1">
        <f t="shared" si="35"/>
        <v>141</v>
      </c>
      <c r="AI27" s="1">
        <f t="shared" si="36"/>
        <v>111</v>
      </c>
      <c r="AJ27" s="1">
        <f t="shared" si="37"/>
        <v>101</v>
      </c>
    </row>
    <row r="28" spans="1:36" outlineLevel="1" x14ac:dyDescent="0.25">
      <c r="A28" s="528"/>
      <c r="B28" s="1">
        <v>6</v>
      </c>
      <c r="C28" s="523">
        <f t="shared" si="21"/>
        <v>58.6</v>
      </c>
      <c r="D28" s="822">
        <f t="shared" si="22"/>
        <v>125.24</v>
      </c>
      <c r="E28" s="823">
        <f t="shared" si="23"/>
        <v>107.57</v>
      </c>
      <c r="F28" s="694">
        <f t="shared" si="24"/>
        <v>961.24000000000012</v>
      </c>
      <c r="G28" s="695">
        <f t="shared" si="25"/>
        <v>1014.3199999999999</v>
      </c>
      <c r="H28" s="694">
        <f t="shared" si="19"/>
        <v>16.403412969283277</v>
      </c>
      <c r="I28" s="695">
        <f t="shared" si="20"/>
        <v>17.309215017064844</v>
      </c>
      <c r="J28" s="512"/>
      <c r="Y28" s="1">
        <f t="shared" si="26"/>
        <v>58.6</v>
      </c>
      <c r="Z28" s="1">
        <f t="shared" si="27"/>
        <v>46.88</v>
      </c>
      <c r="AA28" s="1">
        <f t="shared" si="28"/>
        <v>82.04</v>
      </c>
      <c r="AB28" s="1">
        <f t="shared" si="29"/>
        <v>82.04</v>
      </c>
      <c r="AC28" s="1">
        <f t="shared" si="30"/>
        <v>82.04</v>
      </c>
      <c r="AD28" s="1">
        <f t="shared" si="31"/>
        <v>82.04</v>
      </c>
      <c r="AE28" s="1">
        <f t="shared" si="32"/>
        <v>94</v>
      </c>
      <c r="AF28" s="1">
        <f t="shared" si="33"/>
        <v>117</v>
      </c>
      <c r="AG28" s="1">
        <f t="shared" si="34"/>
        <v>117</v>
      </c>
      <c r="AH28" s="1">
        <f t="shared" si="35"/>
        <v>164</v>
      </c>
      <c r="AI28" s="1">
        <f t="shared" si="36"/>
        <v>129</v>
      </c>
      <c r="AJ28" s="1">
        <f t="shared" si="37"/>
        <v>117</v>
      </c>
    </row>
    <row r="29" spans="1:36" outlineLevel="1" x14ac:dyDescent="0.25">
      <c r="A29" s="528"/>
      <c r="B29" s="1">
        <v>7</v>
      </c>
      <c r="C29" s="523">
        <f t="shared" si="21"/>
        <v>23.6</v>
      </c>
      <c r="D29" s="822">
        <f t="shared" si="22"/>
        <v>19.149999999999999</v>
      </c>
      <c r="E29" s="823">
        <f t="shared" si="23"/>
        <v>45.37</v>
      </c>
      <c r="F29" s="694">
        <f t="shared" si="24"/>
        <v>334.61</v>
      </c>
      <c r="G29" s="695">
        <f t="shared" si="25"/>
        <v>351.98399999999998</v>
      </c>
      <c r="H29" s="694">
        <f t="shared" si="19"/>
        <v>14.178389830508474</v>
      </c>
      <c r="I29" s="695">
        <f t="shared" si="20"/>
        <v>14.914576271186439</v>
      </c>
      <c r="J29" s="512"/>
      <c r="Y29" s="1">
        <f t="shared" si="26"/>
        <v>20.05</v>
      </c>
      <c r="Z29" s="1">
        <f t="shared" si="27"/>
        <v>16.04</v>
      </c>
      <c r="AA29" s="1">
        <f t="shared" si="28"/>
        <v>28.070000000000004</v>
      </c>
      <c r="AB29" s="1">
        <f t="shared" si="29"/>
        <v>28.070000000000004</v>
      </c>
      <c r="AC29" s="1">
        <f t="shared" si="30"/>
        <v>28.070000000000004</v>
      </c>
      <c r="AD29" s="1">
        <f t="shared" si="31"/>
        <v>28.070000000000004</v>
      </c>
      <c r="AE29" s="1">
        <f t="shared" si="32"/>
        <v>32</v>
      </c>
      <c r="AF29" s="1">
        <f t="shared" si="33"/>
        <v>40</v>
      </c>
      <c r="AG29" s="1">
        <f t="shared" si="34"/>
        <v>40</v>
      </c>
      <c r="AH29" s="1">
        <f t="shared" si="35"/>
        <v>56</v>
      </c>
      <c r="AI29" s="1">
        <f t="shared" si="36"/>
        <v>44</v>
      </c>
      <c r="AJ29" s="1">
        <f t="shared" si="37"/>
        <v>40</v>
      </c>
    </row>
    <row r="30" spans="1:36" outlineLevel="1" x14ac:dyDescent="0.25">
      <c r="A30" s="528"/>
      <c r="B30" s="1">
        <v>23</v>
      </c>
      <c r="C30" s="523">
        <f t="shared" si="21"/>
        <v>14.6</v>
      </c>
      <c r="D30" s="822">
        <f t="shared" si="22"/>
        <v>25.259999999999998</v>
      </c>
      <c r="E30" s="823">
        <f t="shared" si="23"/>
        <v>21.66</v>
      </c>
      <c r="F30" s="694">
        <f t="shared" si="24"/>
        <v>291.61</v>
      </c>
      <c r="G30" s="695">
        <f t="shared" si="25"/>
        <v>287.59000000000003</v>
      </c>
      <c r="H30" s="694">
        <f t="shared" si="19"/>
        <v>19.973287671232878</v>
      </c>
      <c r="I30" s="695">
        <f t="shared" si="20"/>
        <v>19.697945205479456</v>
      </c>
      <c r="J30" s="512"/>
      <c r="Y30" s="1">
        <f t="shared" si="26"/>
        <v>15.350000000000001</v>
      </c>
      <c r="Z30" s="1">
        <f t="shared" si="27"/>
        <v>12.280000000000001</v>
      </c>
      <c r="AA30" s="1">
        <f t="shared" si="28"/>
        <v>21.490000000000002</v>
      </c>
      <c r="AB30" s="1">
        <f t="shared" si="29"/>
        <v>21.490000000000002</v>
      </c>
      <c r="AC30" s="1">
        <f t="shared" si="30"/>
        <v>21.490000000000002</v>
      </c>
      <c r="AD30" s="1">
        <f t="shared" si="31"/>
        <v>21.490000000000002</v>
      </c>
      <c r="AE30" s="1">
        <f t="shared" si="32"/>
        <v>25</v>
      </c>
      <c r="AF30" s="1">
        <f t="shared" si="33"/>
        <v>31</v>
      </c>
      <c r="AG30" s="1">
        <f t="shared" si="34"/>
        <v>31</v>
      </c>
      <c r="AH30" s="1">
        <f t="shared" si="35"/>
        <v>43</v>
      </c>
      <c r="AI30" s="1">
        <f t="shared" si="36"/>
        <v>34</v>
      </c>
      <c r="AJ30" s="1">
        <f t="shared" si="37"/>
        <v>31</v>
      </c>
    </row>
    <row r="31" spans="1:36" outlineLevel="1" x14ac:dyDescent="0.25">
      <c r="A31" s="528"/>
      <c r="B31" s="1">
        <v>24</v>
      </c>
      <c r="C31" s="523">
        <f t="shared" si="21"/>
        <v>44.7</v>
      </c>
      <c r="D31" s="822">
        <f t="shared" si="22"/>
        <v>49.910000000000004</v>
      </c>
      <c r="E31" s="823">
        <f t="shared" si="23"/>
        <v>87.56</v>
      </c>
      <c r="F31" s="694">
        <f t="shared" si="24"/>
        <v>807.48</v>
      </c>
      <c r="G31" s="695">
        <f t="shared" si="25"/>
        <v>794.94</v>
      </c>
      <c r="H31" s="694">
        <f t="shared" si="19"/>
        <v>18.064429530201341</v>
      </c>
      <c r="I31" s="695">
        <f t="shared" si="20"/>
        <v>17.783892617449663</v>
      </c>
      <c r="J31" s="512"/>
      <c r="Y31" s="1">
        <f t="shared" si="26"/>
        <v>40.25</v>
      </c>
      <c r="Z31" s="1">
        <f t="shared" si="27"/>
        <v>32.200000000000003</v>
      </c>
      <c r="AA31" s="1">
        <f t="shared" si="28"/>
        <v>56.350000000000009</v>
      </c>
      <c r="AB31" s="1">
        <f t="shared" si="29"/>
        <v>56.350000000000009</v>
      </c>
      <c r="AC31" s="1">
        <f t="shared" si="30"/>
        <v>56.350000000000009</v>
      </c>
      <c r="AD31" s="1">
        <f t="shared" si="31"/>
        <v>56.350000000000009</v>
      </c>
      <c r="AE31" s="1">
        <f t="shared" si="32"/>
        <v>64</v>
      </c>
      <c r="AF31" s="1">
        <f t="shared" si="33"/>
        <v>81</v>
      </c>
      <c r="AG31" s="1">
        <f t="shared" si="34"/>
        <v>81</v>
      </c>
      <c r="AH31" s="1">
        <f t="shared" si="35"/>
        <v>113</v>
      </c>
      <c r="AI31" s="1">
        <f t="shared" si="36"/>
        <v>89</v>
      </c>
      <c r="AJ31" s="1">
        <f t="shared" si="37"/>
        <v>81</v>
      </c>
    </row>
    <row r="32" spans="1:36" ht="15.75" outlineLevel="1" thickBot="1" x14ac:dyDescent="0.3">
      <c r="A32" s="483"/>
      <c r="B32" s="562"/>
      <c r="C32" s="563"/>
      <c r="D32" s="824"/>
      <c r="E32" s="825"/>
      <c r="F32" s="826"/>
      <c r="G32" s="827"/>
      <c r="H32" s="826"/>
      <c r="I32" s="827"/>
      <c r="J32" s="512"/>
    </row>
    <row r="33" spans="1:36" s="7" customFormat="1" ht="15.75" thickBot="1" x14ac:dyDescent="0.3">
      <c r="A33" s="935" t="s">
        <v>67</v>
      </c>
      <c r="B33" s="936"/>
      <c r="C33" s="820">
        <f>'NU AZANI GANG'!B13</f>
        <v>291.60000000000002</v>
      </c>
      <c r="D33" s="819">
        <f>SUM(D34:D39)</f>
        <v>405.62</v>
      </c>
      <c r="E33" s="541">
        <f>SUM(E34:E39)</f>
        <v>496.03000000000003</v>
      </c>
      <c r="F33" s="819">
        <f>SUM(F34:F39)</f>
        <v>4491.63</v>
      </c>
      <c r="G33" s="819">
        <f>SUM(G34:G39)</f>
        <v>4407.7690000000002</v>
      </c>
      <c r="H33" s="819">
        <f t="shared" ref="H33:H39" si="38">F33/C33</f>
        <v>15.403395061728395</v>
      </c>
      <c r="I33" s="541">
        <f t="shared" ref="I33:I39" si="39">G33/C33</f>
        <v>15.115805898491084</v>
      </c>
      <c r="J33" s="512"/>
      <c r="Y33" s="7" t="s">
        <v>180</v>
      </c>
      <c r="Z33" s="7" t="s">
        <v>181</v>
      </c>
      <c r="AA33" s="7" t="s">
        <v>182</v>
      </c>
      <c r="AB33" s="7" t="s">
        <v>183</v>
      </c>
      <c r="AC33" s="7" t="s">
        <v>184</v>
      </c>
      <c r="AD33" s="7" t="s">
        <v>185</v>
      </c>
      <c r="AE33" s="7" t="s">
        <v>186</v>
      </c>
      <c r="AF33" s="7" t="s">
        <v>187</v>
      </c>
      <c r="AG33" s="7" t="s">
        <v>188</v>
      </c>
      <c r="AH33" s="7" t="s">
        <v>189</v>
      </c>
      <c r="AI33" s="7" t="s">
        <v>190</v>
      </c>
      <c r="AJ33" s="7" t="s">
        <v>191</v>
      </c>
    </row>
    <row r="34" spans="1:36" outlineLevel="1" x14ac:dyDescent="0.25">
      <c r="A34" s="528"/>
      <c r="B34" s="511">
        <v>8</v>
      </c>
      <c r="C34" s="529">
        <f t="shared" ref="C34:C39" si="40">VLOOKUP(B34,NURAZANI,2,FALSE)</f>
        <v>61.6</v>
      </c>
      <c r="D34" s="822">
        <f t="shared" ref="D34:D39" si="41">VLOOKUP(B34,NURAZANI,7,FALSE)</f>
        <v>66.94</v>
      </c>
      <c r="E34" s="823">
        <f t="shared" ref="E34:E39" si="42">VLOOKUP(B34,year2022to23,247,FALSE)</f>
        <v>123.15</v>
      </c>
      <c r="F34" s="822">
        <f t="shared" ref="F34:F39" si="43">VLOOKUP(B34,year2022to23,311,FALSE)</f>
        <v>906.12000000000012</v>
      </c>
      <c r="G34" s="823">
        <f t="shared" ref="G34:G39" si="44">VLOOKUP(B34,year2022to23,249,FALSE)</f>
        <v>924.42</v>
      </c>
      <c r="H34" s="822">
        <f t="shared" si="38"/>
        <v>14.709740259740261</v>
      </c>
      <c r="I34" s="823">
        <f t="shared" si="39"/>
        <v>15.006818181818181</v>
      </c>
      <c r="J34" s="512"/>
      <c r="Y34" s="1">
        <f t="shared" ref="Y34:Y39" si="45">VLOOKUP(B34,ffbbudgettwofive,7,FALSE)</f>
        <v>61.6</v>
      </c>
      <c r="Z34" s="1">
        <f t="shared" ref="Z34:Z39" si="46">VLOOKUP(B34,ffbbudgettwofive,8,FALSE)</f>
        <v>49.28</v>
      </c>
      <c r="AA34" s="1">
        <f t="shared" ref="AA34:AA39" si="47">VLOOKUP(B34,ffbbudgettwofive,9,FALSE)</f>
        <v>86.240000000000009</v>
      </c>
      <c r="AB34" s="1">
        <f t="shared" ref="AB34:AB39" si="48">VLOOKUP(B34,ffbbudgettwofive,10,FALSE)</f>
        <v>86.240000000000009</v>
      </c>
      <c r="AC34" s="1">
        <f t="shared" ref="AC34:AC39" si="49">VLOOKUP(B34,ffbbudgettwofive,11,FALSE)</f>
        <v>86.240000000000009</v>
      </c>
      <c r="AD34" s="1">
        <f t="shared" ref="AD34:AD39" si="50">VLOOKUP(B34,ffbbudgettwofive,12,FALSE)</f>
        <v>86.240000000000009</v>
      </c>
      <c r="AE34" s="1">
        <f t="shared" ref="AE34:AE39" si="51">VLOOKUP(B34,ffbbudgettwofive,13,FALSE)</f>
        <v>99</v>
      </c>
      <c r="AF34" s="1">
        <f t="shared" ref="AF34:AF39" si="52">VLOOKUP(B34,ffbbudgettwofive,14,FALSE)</f>
        <v>123</v>
      </c>
      <c r="AG34" s="1">
        <f t="shared" ref="AG34:AG39" si="53">VLOOKUP(B34,ffbbudgettwofive,15,FALSE)</f>
        <v>123</v>
      </c>
      <c r="AH34" s="1">
        <f t="shared" ref="AH34:AH39" si="54">VLOOKUP(B34,ffbbudgettwofive,16,FALSE)</f>
        <v>172</v>
      </c>
      <c r="AI34" s="1">
        <f t="shared" ref="AI34:AI39" si="55">VLOOKUP(B34,ffbbudgettwofive,17,FALSE)</f>
        <v>136</v>
      </c>
      <c r="AJ34" s="1">
        <f t="shared" ref="AJ34:AJ39" si="56">VLOOKUP(B34,ffbbudgettwofive,18,FALSE)</f>
        <v>123</v>
      </c>
    </row>
    <row r="35" spans="1:36" outlineLevel="1" x14ac:dyDescent="0.25">
      <c r="A35" s="528"/>
      <c r="B35" s="1">
        <v>9</v>
      </c>
      <c r="C35" s="523">
        <f t="shared" si="40"/>
        <v>38.299999999999997</v>
      </c>
      <c r="D35" s="822">
        <f t="shared" si="41"/>
        <v>33.010000000000005</v>
      </c>
      <c r="E35" s="823">
        <f t="shared" si="42"/>
        <v>62.45</v>
      </c>
      <c r="F35" s="694">
        <f t="shared" si="43"/>
        <v>486.12</v>
      </c>
      <c r="G35" s="695">
        <f t="shared" si="44"/>
        <v>489.69</v>
      </c>
      <c r="H35" s="694">
        <f t="shared" si="38"/>
        <v>12.692428198433422</v>
      </c>
      <c r="I35" s="695">
        <f t="shared" si="39"/>
        <v>12.785639686684075</v>
      </c>
      <c r="J35" s="512"/>
      <c r="Y35" s="1">
        <f t="shared" si="45"/>
        <v>34.450000000000003</v>
      </c>
      <c r="Z35" s="1">
        <f t="shared" si="46"/>
        <v>27.560000000000002</v>
      </c>
      <c r="AA35" s="1">
        <f t="shared" si="47"/>
        <v>48.230000000000004</v>
      </c>
      <c r="AB35" s="1">
        <f t="shared" si="48"/>
        <v>48.230000000000004</v>
      </c>
      <c r="AC35" s="1">
        <f t="shared" si="49"/>
        <v>48.230000000000004</v>
      </c>
      <c r="AD35" s="1">
        <f t="shared" si="50"/>
        <v>48.230000000000004</v>
      </c>
      <c r="AE35" s="1">
        <f t="shared" si="51"/>
        <v>55</v>
      </c>
      <c r="AF35" s="1">
        <f t="shared" si="52"/>
        <v>69</v>
      </c>
      <c r="AG35" s="1">
        <f t="shared" si="53"/>
        <v>69</v>
      </c>
      <c r="AH35" s="1">
        <f t="shared" si="54"/>
        <v>97</v>
      </c>
      <c r="AI35" s="1">
        <f t="shared" si="55"/>
        <v>76</v>
      </c>
      <c r="AJ35" s="1">
        <f t="shared" si="56"/>
        <v>69</v>
      </c>
    </row>
    <row r="36" spans="1:36" outlineLevel="1" x14ac:dyDescent="0.25">
      <c r="A36" s="528"/>
      <c r="B36" s="1">
        <v>12</v>
      </c>
      <c r="C36" s="523">
        <f t="shared" si="40"/>
        <v>71</v>
      </c>
      <c r="D36" s="822">
        <f t="shared" si="41"/>
        <v>93.38</v>
      </c>
      <c r="E36" s="823">
        <f t="shared" si="42"/>
        <v>98.47</v>
      </c>
      <c r="F36" s="694">
        <f t="shared" si="43"/>
        <v>1000.7399999999999</v>
      </c>
      <c r="G36" s="695">
        <f t="shared" si="44"/>
        <v>996.92000000000007</v>
      </c>
      <c r="H36" s="694">
        <f t="shared" si="38"/>
        <v>14.094929577464788</v>
      </c>
      <c r="I36" s="695">
        <f t="shared" si="39"/>
        <v>14.041126760563381</v>
      </c>
      <c r="J36" s="512"/>
      <c r="Y36" s="1">
        <f t="shared" si="45"/>
        <v>71</v>
      </c>
      <c r="Z36" s="1">
        <f t="shared" si="46"/>
        <v>56.800000000000004</v>
      </c>
      <c r="AA36" s="1">
        <f t="shared" si="47"/>
        <v>99.4</v>
      </c>
      <c r="AB36" s="1">
        <f t="shared" si="48"/>
        <v>99.4</v>
      </c>
      <c r="AC36" s="1">
        <f t="shared" si="49"/>
        <v>99.4</v>
      </c>
      <c r="AD36" s="1">
        <f t="shared" si="50"/>
        <v>99.4</v>
      </c>
      <c r="AE36" s="1">
        <f t="shared" si="51"/>
        <v>114</v>
      </c>
      <c r="AF36" s="1">
        <f t="shared" si="52"/>
        <v>142</v>
      </c>
      <c r="AG36" s="1">
        <f t="shared" si="53"/>
        <v>142</v>
      </c>
      <c r="AH36" s="1">
        <f t="shared" si="54"/>
        <v>199</v>
      </c>
      <c r="AI36" s="1">
        <f t="shared" si="55"/>
        <v>156</v>
      </c>
      <c r="AJ36" s="1">
        <f t="shared" si="56"/>
        <v>142</v>
      </c>
    </row>
    <row r="37" spans="1:36" outlineLevel="1" x14ac:dyDescent="0.25">
      <c r="A37" s="528"/>
      <c r="B37" s="1">
        <v>10</v>
      </c>
      <c r="C37" s="523">
        <f t="shared" si="40"/>
        <v>19.100000000000001</v>
      </c>
      <c r="D37" s="822">
        <f t="shared" si="41"/>
        <v>13.41</v>
      </c>
      <c r="E37" s="823">
        <f t="shared" si="42"/>
        <v>29.310000000000002</v>
      </c>
      <c r="F37" s="694">
        <f t="shared" si="43"/>
        <v>259.04000000000002</v>
      </c>
      <c r="G37" s="695">
        <f t="shared" si="44"/>
        <v>260.8</v>
      </c>
      <c r="H37" s="694">
        <f t="shared" si="38"/>
        <v>13.562303664921465</v>
      </c>
      <c r="I37" s="695">
        <f t="shared" si="39"/>
        <v>13.654450261780104</v>
      </c>
      <c r="J37" s="512"/>
      <c r="Y37" s="1">
        <f t="shared" si="45"/>
        <v>18.150000000000002</v>
      </c>
      <c r="Z37" s="1">
        <f t="shared" si="46"/>
        <v>14.52</v>
      </c>
      <c r="AA37" s="1">
        <f t="shared" si="47"/>
        <v>25.410000000000004</v>
      </c>
      <c r="AB37" s="1">
        <f t="shared" si="48"/>
        <v>25.410000000000004</v>
      </c>
      <c r="AC37" s="1">
        <f t="shared" si="49"/>
        <v>25.410000000000004</v>
      </c>
      <c r="AD37" s="1">
        <f t="shared" si="50"/>
        <v>25.410000000000004</v>
      </c>
      <c r="AE37" s="1">
        <f t="shared" si="51"/>
        <v>29</v>
      </c>
      <c r="AF37" s="1">
        <f t="shared" si="52"/>
        <v>36</v>
      </c>
      <c r="AG37" s="1">
        <f t="shared" si="53"/>
        <v>36</v>
      </c>
      <c r="AH37" s="1">
        <f t="shared" si="54"/>
        <v>51</v>
      </c>
      <c r="AI37" s="1">
        <f t="shared" si="55"/>
        <v>40</v>
      </c>
      <c r="AJ37" s="1">
        <f t="shared" si="56"/>
        <v>36</v>
      </c>
    </row>
    <row r="38" spans="1:36" outlineLevel="1" x14ac:dyDescent="0.25">
      <c r="A38" s="528"/>
      <c r="B38" s="1">
        <v>13</v>
      </c>
      <c r="C38" s="523">
        <f t="shared" si="40"/>
        <v>60.8</v>
      </c>
      <c r="D38" s="822">
        <f t="shared" si="41"/>
        <v>112.95000000000002</v>
      </c>
      <c r="E38" s="823">
        <f t="shared" si="42"/>
        <v>80.319999999999993</v>
      </c>
      <c r="F38" s="694">
        <f t="shared" si="43"/>
        <v>1038.9000000000001</v>
      </c>
      <c r="G38" s="695">
        <f t="shared" si="44"/>
        <v>998.85899999999992</v>
      </c>
      <c r="H38" s="694">
        <f t="shared" si="38"/>
        <v>17.087171052631582</v>
      </c>
      <c r="I38" s="695">
        <f t="shared" si="39"/>
        <v>16.428601973684209</v>
      </c>
      <c r="J38" s="512"/>
      <c r="Y38" s="1">
        <f t="shared" si="45"/>
        <v>66.900000000000006</v>
      </c>
      <c r="Z38" s="1">
        <f t="shared" si="46"/>
        <v>53.52</v>
      </c>
      <c r="AA38" s="1">
        <f t="shared" si="47"/>
        <v>93.660000000000011</v>
      </c>
      <c r="AB38" s="1">
        <f t="shared" si="48"/>
        <v>93.660000000000011</v>
      </c>
      <c r="AC38" s="1">
        <f t="shared" si="49"/>
        <v>93.660000000000011</v>
      </c>
      <c r="AD38" s="1">
        <f t="shared" si="50"/>
        <v>93.660000000000011</v>
      </c>
      <c r="AE38" s="1">
        <f t="shared" si="51"/>
        <v>107</v>
      </c>
      <c r="AF38" s="1">
        <f t="shared" si="52"/>
        <v>134</v>
      </c>
      <c r="AG38" s="1">
        <f t="shared" si="53"/>
        <v>134</v>
      </c>
      <c r="AH38" s="1">
        <f t="shared" si="54"/>
        <v>187</v>
      </c>
      <c r="AI38" s="1">
        <f t="shared" si="55"/>
        <v>147</v>
      </c>
      <c r="AJ38" s="1">
        <f t="shared" si="56"/>
        <v>134</v>
      </c>
    </row>
    <row r="39" spans="1:36" outlineLevel="1" x14ac:dyDescent="0.25">
      <c r="A39" s="528"/>
      <c r="B39" s="1">
        <v>18</v>
      </c>
      <c r="C39" s="523">
        <f t="shared" si="40"/>
        <v>40.799999999999997</v>
      </c>
      <c r="D39" s="822">
        <f t="shared" si="41"/>
        <v>85.93</v>
      </c>
      <c r="E39" s="823">
        <f t="shared" si="42"/>
        <v>102.33</v>
      </c>
      <c r="F39" s="694">
        <f t="shared" si="43"/>
        <v>800.71</v>
      </c>
      <c r="G39" s="695">
        <f t="shared" si="44"/>
        <v>737.08</v>
      </c>
      <c r="H39" s="694">
        <f t="shared" si="38"/>
        <v>19.625245098039219</v>
      </c>
      <c r="I39" s="695">
        <f t="shared" si="39"/>
        <v>18.065686274509805</v>
      </c>
      <c r="J39" s="512"/>
      <c r="Y39" s="1">
        <f t="shared" si="45"/>
        <v>44.900000000000006</v>
      </c>
      <c r="Z39" s="1">
        <f t="shared" si="46"/>
        <v>35.92</v>
      </c>
      <c r="AA39" s="1">
        <f t="shared" si="47"/>
        <v>62.860000000000007</v>
      </c>
      <c r="AB39" s="1">
        <f t="shared" si="48"/>
        <v>62.860000000000007</v>
      </c>
      <c r="AC39" s="1">
        <f t="shared" si="49"/>
        <v>62.860000000000007</v>
      </c>
      <c r="AD39" s="1">
        <f t="shared" si="50"/>
        <v>62.860000000000007</v>
      </c>
      <c r="AE39" s="1">
        <f t="shared" si="51"/>
        <v>72</v>
      </c>
      <c r="AF39" s="1">
        <f t="shared" si="52"/>
        <v>90</v>
      </c>
      <c r="AG39" s="1">
        <f t="shared" si="53"/>
        <v>90</v>
      </c>
      <c r="AH39" s="1">
        <f t="shared" si="54"/>
        <v>126</v>
      </c>
      <c r="AI39" s="1">
        <f t="shared" si="55"/>
        <v>99</v>
      </c>
      <c r="AJ39" s="1">
        <f t="shared" si="56"/>
        <v>90</v>
      </c>
    </row>
    <row r="40" spans="1:36" ht="15.75" outlineLevel="1" thickBot="1" x14ac:dyDescent="0.3">
      <c r="A40" s="483"/>
      <c r="B40" s="562"/>
      <c r="C40" s="563"/>
      <c r="D40" s="824"/>
      <c r="E40" s="825"/>
      <c r="F40" s="826"/>
      <c r="G40" s="827"/>
      <c r="H40" s="826"/>
      <c r="I40" s="827"/>
      <c r="J40" s="512"/>
    </row>
    <row r="41" spans="1:36" s="7" customFormat="1" ht="15.75" thickBot="1" x14ac:dyDescent="0.3">
      <c r="A41" s="935" t="s">
        <v>68</v>
      </c>
      <c r="B41" s="936"/>
      <c r="C41" s="820">
        <f>'WENDERLINUS GANG '!B15</f>
        <v>196.73</v>
      </c>
      <c r="D41" s="819">
        <f>SUM(D42:D49)</f>
        <v>171.43999999999997</v>
      </c>
      <c r="E41" s="541">
        <f>SUM(E42:E49)</f>
        <v>104.08999999999999</v>
      </c>
      <c r="F41" s="819">
        <f>SUM(F42:F49)</f>
        <v>2108.4700000000003</v>
      </c>
      <c r="G41" s="819">
        <f>SUM(G42:G49)</f>
        <v>1117.9829999999999</v>
      </c>
      <c r="H41" s="819">
        <f t="shared" ref="H41:H49" si="57">F41/C41</f>
        <v>10.717582473440759</v>
      </c>
      <c r="I41" s="541">
        <f t="shared" ref="I41:I49" si="58">G41/C41</f>
        <v>5.6828292583744222</v>
      </c>
      <c r="J41" s="512"/>
      <c r="Y41" s="7" t="s">
        <v>180</v>
      </c>
      <c r="Z41" s="7" t="s">
        <v>181</v>
      </c>
      <c r="AA41" s="7" t="s">
        <v>182</v>
      </c>
      <c r="AB41" s="7" t="s">
        <v>183</v>
      </c>
      <c r="AC41" s="7" t="s">
        <v>184</v>
      </c>
      <c r="AD41" s="7" t="s">
        <v>185</v>
      </c>
      <c r="AE41" s="7" t="s">
        <v>186</v>
      </c>
      <c r="AF41" s="7" t="s">
        <v>187</v>
      </c>
      <c r="AG41" s="7" t="s">
        <v>188</v>
      </c>
      <c r="AH41" s="7" t="s">
        <v>189</v>
      </c>
      <c r="AI41" s="7" t="s">
        <v>190</v>
      </c>
      <c r="AJ41" s="7" t="s">
        <v>191</v>
      </c>
    </row>
    <row r="42" spans="1:36" outlineLevel="1" x14ac:dyDescent="0.25">
      <c r="A42" s="528"/>
      <c r="B42" s="511">
        <v>25</v>
      </c>
      <c r="C42" s="529">
        <f t="shared" ref="C42:C49" si="59">VLOOKUP(B42,WENDERLINUS,2,FALSE)</f>
        <v>38.22</v>
      </c>
      <c r="D42" s="822">
        <f t="shared" ref="D42:D49" si="60">VLOOKUP(B42,WENDERLINUS,7,FALSE)</f>
        <v>21.7</v>
      </c>
      <c r="E42" s="823">
        <f t="shared" ref="E42:E49" si="61">VLOOKUP(B42,year2022to23,247,FALSE)</f>
        <v>9.11</v>
      </c>
      <c r="F42" s="822">
        <f t="shared" ref="F42:F49" si="62">VLOOKUP(B42,year2022to23,311,FALSE)</f>
        <v>330.30999999999995</v>
      </c>
      <c r="G42" s="823">
        <f t="shared" ref="G42:G49" si="63">VLOOKUP(B42,year2022to23,249,FALSE)</f>
        <v>109.91000000000001</v>
      </c>
      <c r="H42" s="822">
        <f t="shared" si="57"/>
        <v>8.6423338566195689</v>
      </c>
      <c r="I42" s="823">
        <f t="shared" si="58"/>
        <v>2.8757195185766617</v>
      </c>
      <c r="J42" s="512"/>
      <c r="Y42" s="1">
        <f t="shared" ref="Y42:Y49" si="64">VLOOKUP(B42,ffbbudgettwofive,7,FALSE)</f>
        <v>6.7</v>
      </c>
      <c r="Z42" s="1">
        <f t="shared" ref="Z42:Z49" si="65">VLOOKUP(B42,ffbbudgettwofive,8,FALSE)</f>
        <v>5.36</v>
      </c>
      <c r="AA42" s="1">
        <f t="shared" ref="AA42:AA49" si="66">VLOOKUP(B42,ffbbudgettwofive,9,FALSE)</f>
        <v>9.3800000000000008</v>
      </c>
      <c r="AB42" s="1">
        <f t="shared" ref="AB42:AB49" si="67">VLOOKUP(B42,ffbbudgettwofive,10,FALSE)</f>
        <v>9.3800000000000008</v>
      </c>
      <c r="AC42" s="1">
        <f t="shared" ref="AC42:AC49" si="68">VLOOKUP(B42,ffbbudgettwofive,11,FALSE)</f>
        <v>9.3800000000000008</v>
      </c>
      <c r="AD42" s="1">
        <f t="shared" ref="AD42:AD49" si="69">VLOOKUP(B42,ffbbudgettwofive,12,FALSE)</f>
        <v>9.3800000000000008</v>
      </c>
      <c r="AE42" s="1">
        <f t="shared" ref="AE42:AE49" si="70">VLOOKUP(B42,ffbbudgettwofive,13,FALSE)</f>
        <v>11</v>
      </c>
      <c r="AF42" s="1">
        <f t="shared" ref="AF42:AF49" si="71">VLOOKUP(B42,ffbbudgettwofive,14,FALSE)</f>
        <v>13</v>
      </c>
      <c r="AG42" s="1">
        <f t="shared" ref="AG42:AG49" si="72">VLOOKUP(B42,ffbbudgettwofive,15,FALSE)</f>
        <v>13</v>
      </c>
      <c r="AH42" s="1">
        <f t="shared" ref="AH42:AH49" si="73">VLOOKUP(B42,ffbbudgettwofive,16,FALSE)</f>
        <v>19</v>
      </c>
      <c r="AI42" s="1">
        <f t="shared" ref="AI42:AI49" si="74">VLOOKUP(B42,ffbbudgettwofive,17,FALSE)</f>
        <v>15</v>
      </c>
      <c r="AJ42" s="1">
        <f t="shared" ref="AJ42:AJ49" si="75">VLOOKUP(B42,ffbbudgettwofive,18,FALSE)</f>
        <v>13</v>
      </c>
    </row>
    <row r="43" spans="1:36" outlineLevel="1" x14ac:dyDescent="0.25">
      <c r="A43" s="528"/>
      <c r="B43" s="1" t="s">
        <v>7</v>
      </c>
      <c r="C43" s="523">
        <f t="shared" si="59"/>
        <v>22.72</v>
      </c>
      <c r="D43" s="822">
        <f t="shared" si="60"/>
        <v>28.249999999999996</v>
      </c>
      <c r="E43" s="823">
        <f t="shared" si="61"/>
        <v>22.05</v>
      </c>
      <c r="F43" s="694">
        <f t="shared" si="62"/>
        <v>281.24</v>
      </c>
      <c r="G43" s="695">
        <f t="shared" si="63"/>
        <v>164.86</v>
      </c>
      <c r="H43" s="694">
        <f t="shared" si="57"/>
        <v>12.378521126760564</v>
      </c>
      <c r="I43" s="695">
        <f t="shared" si="58"/>
        <v>7.2561619718309869</v>
      </c>
      <c r="J43" s="512"/>
      <c r="Y43" s="1">
        <f t="shared" si="64"/>
        <v>5.4</v>
      </c>
      <c r="Z43" s="1">
        <f t="shared" si="65"/>
        <v>4.32</v>
      </c>
      <c r="AA43" s="1">
        <f t="shared" si="66"/>
        <v>7.5600000000000005</v>
      </c>
      <c r="AB43" s="1">
        <f t="shared" si="67"/>
        <v>7.5600000000000005</v>
      </c>
      <c r="AC43" s="1">
        <f t="shared" si="68"/>
        <v>7.5600000000000005</v>
      </c>
      <c r="AD43" s="1">
        <f t="shared" si="69"/>
        <v>7.5600000000000005</v>
      </c>
      <c r="AE43" s="1">
        <f t="shared" si="70"/>
        <v>9</v>
      </c>
      <c r="AF43" s="1">
        <f t="shared" si="71"/>
        <v>11</v>
      </c>
      <c r="AG43" s="1">
        <f t="shared" si="72"/>
        <v>11</v>
      </c>
      <c r="AH43" s="1">
        <f t="shared" si="73"/>
        <v>15</v>
      </c>
      <c r="AI43" s="1">
        <f t="shared" si="74"/>
        <v>12</v>
      </c>
      <c r="AJ43" s="1">
        <f t="shared" si="75"/>
        <v>11</v>
      </c>
    </row>
    <row r="44" spans="1:36" outlineLevel="1" x14ac:dyDescent="0.25">
      <c r="A44" s="528"/>
      <c r="B44" s="1">
        <v>27</v>
      </c>
      <c r="C44" s="523">
        <f t="shared" si="59"/>
        <v>18.64</v>
      </c>
      <c r="D44" s="822">
        <f t="shared" si="60"/>
        <v>19</v>
      </c>
      <c r="E44" s="823">
        <f t="shared" si="61"/>
        <v>13.75</v>
      </c>
      <c r="F44" s="694">
        <f t="shared" si="62"/>
        <v>191.64000000000001</v>
      </c>
      <c r="G44" s="695">
        <f t="shared" si="63"/>
        <v>109.13</v>
      </c>
      <c r="H44" s="694">
        <f t="shared" si="57"/>
        <v>10.281115879828327</v>
      </c>
      <c r="I44" s="695">
        <f t="shared" si="58"/>
        <v>5.8546137339055786</v>
      </c>
      <c r="J44" s="512"/>
      <c r="Y44" s="1">
        <f t="shared" si="64"/>
        <v>4.3</v>
      </c>
      <c r="Z44" s="1">
        <f t="shared" si="65"/>
        <v>3.44</v>
      </c>
      <c r="AA44" s="1">
        <f t="shared" si="66"/>
        <v>6.0200000000000005</v>
      </c>
      <c r="AB44" s="1">
        <f t="shared" si="67"/>
        <v>6.0200000000000005</v>
      </c>
      <c r="AC44" s="1">
        <f t="shared" si="68"/>
        <v>6.0200000000000005</v>
      </c>
      <c r="AD44" s="1">
        <f t="shared" si="69"/>
        <v>6.0200000000000005</v>
      </c>
      <c r="AE44" s="1">
        <f t="shared" si="70"/>
        <v>7</v>
      </c>
      <c r="AF44" s="1">
        <f t="shared" si="71"/>
        <v>9</v>
      </c>
      <c r="AG44" s="1">
        <f t="shared" si="72"/>
        <v>9</v>
      </c>
      <c r="AH44" s="1">
        <f t="shared" si="73"/>
        <v>12</v>
      </c>
      <c r="AI44" s="1">
        <f t="shared" si="74"/>
        <v>9</v>
      </c>
      <c r="AJ44" s="1">
        <f t="shared" si="75"/>
        <v>9</v>
      </c>
    </row>
    <row r="45" spans="1:36" outlineLevel="1" x14ac:dyDescent="0.25">
      <c r="A45" s="528"/>
      <c r="B45" s="1">
        <v>28</v>
      </c>
      <c r="C45" s="523">
        <f t="shared" si="59"/>
        <v>25.5</v>
      </c>
      <c r="D45" s="822">
        <f t="shared" si="60"/>
        <v>23.75</v>
      </c>
      <c r="E45" s="823">
        <f t="shared" si="61"/>
        <v>19.61</v>
      </c>
      <c r="F45" s="694">
        <f t="shared" si="62"/>
        <v>331.57000000000005</v>
      </c>
      <c r="G45" s="695">
        <f t="shared" si="63"/>
        <v>249.42999999999995</v>
      </c>
      <c r="H45" s="694">
        <f t="shared" si="57"/>
        <v>13.002745098039219</v>
      </c>
      <c r="I45" s="695">
        <f t="shared" si="58"/>
        <v>9.7815686274509783</v>
      </c>
      <c r="J45" s="512"/>
      <c r="Y45" s="1">
        <f t="shared" si="64"/>
        <v>12.8</v>
      </c>
      <c r="Z45" s="1">
        <f t="shared" si="65"/>
        <v>10.24</v>
      </c>
      <c r="AA45" s="1">
        <f t="shared" si="66"/>
        <v>17.920000000000002</v>
      </c>
      <c r="AB45" s="1">
        <f t="shared" si="67"/>
        <v>17.920000000000002</v>
      </c>
      <c r="AC45" s="1">
        <f t="shared" si="68"/>
        <v>17.920000000000002</v>
      </c>
      <c r="AD45" s="1">
        <f t="shared" si="69"/>
        <v>17.920000000000002</v>
      </c>
      <c r="AE45" s="1">
        <f t="shared" si="70"/>
        <v>21</v>
      </c>
      <c r="AF45" s="1">
        <f t="shared" si="71"/>
        <v>26</v>
      </c>
      <c r="AG45" s="1">
        <f t="shared" si="72"/>
        <v>26</v>
      </c>
      <c r="AH45" s="1">
        <f t="shared" si="73"/>
        <v>36</v>
      </c>
      <c r="AI45" s="1">
        <f t="shared" si="74"/>
        <v>28</v>
      </c>
      <c r="AJ45" s="1">
        <f t="shared" si="75"/>
        <v>26</v>
      </c>
    </row>
    <row r="46" spans="1:36" outlineLevel="1" x14ac:dyDescent="0.25">
      <c r="A46" s="528"/>
      <c r="B46" s="1">
        <v>30</v>
      </c>
      <c r="C46" s="523">
        <f t="shared" si="59"/>
        <v>24.35</v>
      </c>
      <c r="D46" s="822">
        <f t="shared" si="60"/>
        <v>12.309999999999999</v>
      </c>
      <c r="E46" s="823">
        <f t="shared" si="61"/>
        <v>2.2400000000000002</v>
      </c>
      <c r="F46" s="694">
        <f t="shared" si="62"/>
        <v>222.79</v>
      </c>
      <c r="G46" s="695">
        <f t="shared" si="63"/>
        <v>43.88</v>
      </c>
      <c r="H46" s="694">
        <f t="shared" si="57"/>
        <v>9.1494866529774121</v>
      </c>
      <c r="I46" s="695">
        <f t="shared" si="58"/>
        <v>1.8020533880903491</v>
      </c>
      <c r="J46" s="512"/>
      <c r="Y46" s="1">
        <f t="shared" si="64"/>
        <v>3.7</v>
      </c>
      <c r="Z46" s="1">
        <f t="shared" si="65"/>
        <v>2.96</v>
      </c>
      <c r="AA46" s="1">
        <f t="shared" si="66"/>
        <v>5.1800000000000006</v>
      </c>
      <c r="AB46" s="1">
        <f t="shared" si="67"/>
        <v>5.1800000000000006</v>
      </c>
      <c r="AC46" s="1">
        <f t="shared" si="68"/>
        <v>5.1800000000000006</v>
      </c>
      <c r="AD46" s="1">
        <f t="shared" si="69"/>
        <v>5.1800000000000006</v>
      </c>
      <c r="AE46" s="1">
        <f t="shared" si="70"/>
        <v>6</v>
      </c>
      <c r="AF46" s="1">
        <f t="shared" si="71"/>
        <v>7</v>
      </c>
      <c r="AG46" s="1">
        <f t="shared" si="72"/>
        <v>7</v>
      </c>
      <c r="AH46" s="1">
        <f t="shared" si="73"/>
        <v>10</v>
      </c>
      <c r="AI46" s="1">
        <f t="shared" si="74"/>
        <v>8</v>
      </c>
      <c r="AJ46" s="1">
        <f t="shared" si="75"/>
        <v>7</v>
      </c>
    </row>
    <row r="47" spans="1:36" outlineLevel="1" x14ac:dyDescent="0.25">
      <c r="A47" s="528"/>
      <c r="B47" s="1">
        <v>31</v>
      </c>
      <c r="C47" s="523">
        <f t="shared" si="59"/>
        <v>34.08</v>
      </c>
      <c r="D47" s="822">
        <f t="shared" si="60"/>
        <v>14.02</v>
      </c>
      <c r="E47" s="823">
        <f t="shared" si="61"/>
        <v>3.33</v>
      </c>
      <c r="F47" s="694">
        <f t="shared" si="62"/>
        <v>233.18999999999997</v>
      </c>
      <c r="G47" s="695">
        <f t="shared" si="63"/>
        <v>51.332999999999998</v>
      </c>
      <c r="H47" s="694">
        <f t="shared" si="57"/>
        <v>6.8424295774647881</v>
      </c>
      <c r="I47" s="695">
        <f t="shared" si="58"/>
        <v>1.5062500000000001</v>
      </c>
      <c r="J47" s="512"/>
      <c r="Y47" s="1">
        <f t="shared" si="64"/>
        <v>5.8000000000000007</v>
      </c>
      <c r="Z47" s="1">
        <f t="shared" si="65"/>
        <v>4.6399999999999997</v>
      </c>
      <c r="AA47" s="1">
        <f t="shared" si="66"/>
        <v>8.120000000000001</v>
      </c>
      <c r="AB47" s="1">
        <f t="shared" si="67"/>
        <v>8.120000000000001</v>
      </c>
      <c r="AC47" s="1">
        <f t="shared" si="68"/>
        <v>8.120000000000001</v>
      </c>
      <c r="AD47" s="1">
        <f t="shared" si="69"/>
        <v>8.120000000000001</v>
      </c>
      <c r="AE47" s="1">
        <f t="shared" si="70"/>
        <v>9</v>
      </c>
      <c r="AF47" s="1">
        <f t="shared" si="71"/>
        <v>12</v>
      </c>
      <c r="AG47" s="1">
        <f t="shared" si="72"/>
        <v>12</v>
      </c>
      <c r="AH47" s="1">
        <f t="shared" si="73"/>
        <v>16</v>
      </c>
      <c r="AI47" s="1">
        <f t="shared" si="74"/>
        <v>13</v>
      </c>
      <c r="AJ47" s="1">
        <f t="shared" si="75"/>
        <v>12</v>
      </c>
    </row>
    <row r="48" spans="1:36" outlineLevel="1" x14ac:dyDescent="0.25">
      <c r="A48" s="528"/>
      <c r="B48" s="1">
        <v>33</v>
      </c>
      <c r="C48" s="523">
        <f t="shared" si="59"/>
        <v>28.72</v>
      </c>
      <c r="D48" s="822">
        <f t="shared" si="60"/>
        <v>50.019999999999996</v>
      </c>
      <c r="E48" s="823">
        <f t="shared" si="61"/>
        <v>30.79</v>
      </c>
      <c r="F48" s="694">
        <f t="shared" si="62"/>
        <v>478.1</v>
      </c>
      <c r="G48" s="695">
        <f t="shared" si="63"/>
        <v>359.20000000000005</v>
      </c>
      <c r="H48" s="694">
        <f t="shared" si="57"/>
        <v>16.646935933147635</v>
      </c>
      <c r="I48" s="695">
        <f t="shared" si="58"/>
        <v>12.506963788300837</v>
      </c>
      <c r="J48" s="512"/>
      <c r="Y48" s="1">
        <f t="shared" si="64"/>
        <v>21.55</v>
      </c>
      <c r="Z48" s="1">
        <f t="shared" si="65"/>
        <v>17.240000000000002</v>
      </c>
      <c r="AA48" s="1">
        <f t="shared" si="66"/>
        <v>30.17</v>
      </c>
      <c r="AB48" s="1">
        <f t="shared" si="67"/>
        <v>30.17</v>
      </c>
      <c r="AC48" s="1">
        <f t="shared" si="68"/>
        <v>30.17</v>
      </c>
      <c r="AD48" s="1">
        <f t="shared" si="69"/>
        <v>30.17</v>
      </c>
      <c r="AE48" s="1">
        <f t="shared" si="70"/>
        <v>34</v>
      </c>
      <c r="AF48" s="1">
        <f t="shared" si="71"/>
        <v>43</v>
      </c>
      <c r="AG48" s="1">
        <f t="shared" si="72"/>
        <v>43</v>
      </c>
      <c r="AH48" s="1">
        <f t="shared" si="73"/>
        <v>60</v>
      </c>
      <c r="AI48" s="1">
        <f t="shared" si="74"/>
        <v>47</v>
      </c>
      <c r="AJ48" s="1">
        <f t="shared" si="75"/>
        <v>43</v>
      </c>
    </row>
    <row r="49" spans="1:36" outlineLevel="1" x14ac:dyDescent="0.25">
      <c r="A49" s="528"/>
      <c r="B49" s="1">
        <v>39</v>
      </c>
      <c r="C49" s="523">
        <f t="shared" si="59"/>
        <v>4.5</v>
      </c>
      <c r="D49" s="822">
        <f t="shared" si="60"/>
        <v>2.39</v>
      </c>
      <c r="E49" s="823">
        <f t="shared" si="61"/>
        <v>3.21</v>
      </c>
      <c r="F49" s="694">
        <f t="shared" si="62"/>
        <v>39.630000000000003</v>
      </c>
      <c r="G49" s="695">
        <f t="shared" si="63"/>
        <v>30.240000000000002</v>
      </c>
      <c r="H49" s="694">
        <f t="shared" si="57"/>
        <v>8.8066666666666666</v>
      </c>
      <c r="I49" s="695">
        <f t="shared" si="58"/>
        <v>6.7200000000000006</v>
      </c>
      <c r="J49" s="512"/>
      <c r="Y49" s="1">
        <f t="shared" si="64"/>
        <v>0.35000000000000009</v>
      </c>
      <c r="Z49" s="1">
        <f t="shared" si="65"/>
        <v>8.0000000000000071E-2</v>
      </c>
      <c r="AA49" s="1">
        <f t="shared" si="66"/>
        <v>1.8900000000000001</v>
      </c>
      <c r="AB49" s="1">
        <f t="shared" si="67"/>
        <v>1.8900000000000001</v>
      </c>
      <c r="AC49" s="1">
        <f t="shared" si="68"/>
        <v>1.8900000000000001</v>
      </c>
      <c r="AD49" s="1">
        <f t="shared" si="69"/>
        <v>1.8900000000000001</v>
      </c>
      <c r="AE49" s="1">
        <f t="shared" si="70"/>
        <v>2</v>
      </c>
      <c r="AF49" s="1">
        <f t="shared" si="71"/>
        <v>3</v>
      </c>
      <c r="AG49" s="1">
        <f t="shared" si="72"/>
        <v>3</v>
      </c>
      <c r="AH49" s="1">
        <f t="shared" si="73"/>
        <v>4</v>
      </c>
      <c r="AI49" s="1">
        <f t="shared" si="74"/>
        <v>3</v>
      </c>
      <c r="AJ49" s="1">
        <f t="shared" si="75"/>
        <v>3</v>
      </c>
    </row>
    <row r="50" spans="1:36" ht="15.75" outlineLevel="1" thickBot="1" x14ac:dyDescent="0.3">
      <c r="A50" s="483"/>
      <c r="B50" s="562"/>
      <c r="C50" s="563"/>
      <c r="D50" s="824"/>
      <c r="E50" s="825"/>
      <c r="F50" s="826"/>
      <c r="G50" s="827"/>
      <c r="H50" s="826"/>
      <c r="I50" s="827"/>
      <c r="J50" s="512"/>
    </row>
    <row r="51" spans="1:36" s="7" customFormat="1" ht="15.75" thickBot="1" x14ac:dyDescent="0.3">
      <c r="A51" s="935" t="s">
        <v>8</v>
      </c>
      <c r="B51" s="936"/>
      <c r="C51" s="820">
        <f t="shared" ref="C51" si="76">C6+C11+C20+C25+C33+C41</f>
        <v>1416.51</v>
      </c>
      <c r="D51" s="819">
        <f>D6+D11+D20+D25+D33+D41</f>
        <v>1970.71</v>
      </c>
      <c r="E51" s="541">
        <f>E6+E11+E20+E25+E33+E41</f>
        <v>1989.4299999999998</v>
      </c>
      <c r="F51" s="819">
        <f>F6+F11+F20+F25+F33+F41</f>
        <v>21660.140000000003</v>
      </c>
      <c r="G51" s="819">
        <f>G6+G11+G20+G25+G33+G41</f>
        <v>19489.853000000003</v>
      </c>
      <c r="H51" s="819">
        <f>F51/C51</f>
        <v>15.291201615237451</v>
      </c>
      <c r="I51" s="541">
        <f>G51/C51</f>
        <v>13.759064884822559</v>
      </c>
      <c r="J51" s="512"/>
    </row>
    <row r="52" spans="1:36" x14ac:dyDescent="0.25">
      <c r="J52" s="512"/>
    </row>
    <row r="53" spans="1:36" x14ac:dyDescent="0.25">
      <c r="A53" t="s">
        <v>272</v>
      </c>
      <c r="J53" s="512"/>
    </row>
    <row r="54" spans="1:36" x14ac:dyDescent="0.25">
      <c r="A54" t="s">
        <v>269</v>
      </c>
    </row>
    <row r="55" spans="1:36" x14ac:dyDescent="0.25">
      <c r="A55" t="s">
        <v>270</v>
      </c>
    </row>
  </sheetData>
  <mergeCells count="12">
    <mergeCell ref="D4:E4"/>
    <mergeCell ref="Y5:AJ5"/>
    <mergeCell ref="A33:B33"/>
    <mergeCell ref="A41:B41"/>
    <mergeCell ref="A51:B51"/>
    <mergeCell ref="A5:B5"/>
    <mergeCell ref="A6:B6"/>
    <mergeCell ref="A11:B11"/>
    <mergeCell ref="A20:B20"/>
    <mergeCell ref="A25:B25"/>
    <mergeCell ref="F4:G4"/>
    <mergeCell ref="H4:I4"/>
  </mergeCells>
  <conditionalFormatting sqref="D6:E51">
    <cfRule type="expression" dxfId="19" priority="35">
      <formula>D6&gt;#REF!</formula>
    </cfRule>
    <cfRule type="expression" dxfId="18" priority="36">
      <formula>D6&lt;#REF!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34</vt:i4>
      </vt:variant>
    </vt:vector>
  </HeadingPairs>
  <TitlesOfParts>
    <vt:vector size="56" baseType="lpstr">
      <vt:lpstr>OVERALL BY GANG COMPARISON V3</vt:lpstr>
      <vt:lpstr>OVERALL BY GANG COMPARISON YTD2</vt:lpstr>
      <vt:lpstr>OVERALL BY GANG COMPARISON YTD</vt:lpstr>
      <vt:lpstr>OVERALL</vt:lpstr>
      <vt:lpstr>OVERALL BY GANG</vt:lpstr>
      <vt:lpstr>YUVENTUS UN GANG</vt:lpstr>
      <vt:lpstr>DARSO GANG</vt:lpstr>
      <vt:lpstr>YUDI GANG</vt:lpstr>
      <vt:lpstr>SOFIO GANG</vt:lpstr>
      <vt:lpstr>NU AZANI GANG</vt:lpstr>
      <vt:lpstr>WENDERLINUS GANG </vt:lpstr>
      <vt:lpstr>FFB interval 2024 vs 2025</vt:lpstr>
      <vt:lpstr>HARVESTING INTERVAL- NOV 24</vt:lpstr>
      <vt:lpstr>HARVESTING INTERVAL- Dec</vt:lpstr>
      <vt:lpstr>HARVESTING ROUND</vt:lpstr>
      <vt:lpstr>4.4 Harvesting Round Record</vt:lpstr>
      <vt:lpstr>OVERALL BY GANG COMPARISON</vt:lpstr>
      <vt:lpstr>OVERALL BY GANG COMPARISON V2.</vt:lpstr>
      <vt:lpstr>FFB Budget 2024</vt:lpstr>
      <vt:lpstr>FFB Budget 2025</vt:lpstr>
      <vt:lpstr>Harvesting Record VS FFB BUDGET</vt:lpstr>
      <vt:lpstr>OVERALL BY GANG COMPARISON summ</vt:lpstr>
      <vt:lpstr>budget2024</vt:lpstr>
      <vt:lpstr>coupe</vt:lpstr>
      <vt:lpstr>DARSO</vt:lpstr>
      <vt:lpstr>ERDI</vt:lpstr>
      <vt:lpstr>'FFB Budget 2024'!ffbbudgettwofive</vt:lpstr>
      <vt:lpstr>ffbbudgettwofive</vt:lpstr>
      <vt:lpstr>harvestinground</vt:lpstr>
      <vt:lpstr>july</vt:lpstr>
      <vt:lpstr>manday</vt:lpstr>
      <vt:lpstr>NURAZANI</vt:lpstr>
      <vt:lpstr>october2024</vt:lpstr>
      <vt:lpstr>'4.4 Harvesting Round Record'!Print_Area</vt:lpstr>
      <vt:lpstr>'DARSO GANG'!Print_Area</vt:lpstr>
      <vt:lpstr>'HARVESTING INTERVAL- Dec'!Print_Area</vt:lpstr>
      <vt:lpstr>'NU AZANI GANG'!Print_Area</vt:lpstr>
      <vt:lpstr>OVERALL!Print_Area</vt:lpstr>
      <vt:lpstr>'OVERALL BY GANG'!Print_Area</vt:lpstr>
      <vt:lpstr>'OVERALL BY GANG COMPARISON'!Print_Area</vt:lpstr>
      <vt:lpstr>'OVERALL BY GANG COMPARISON summ'!Print_Area</vt:lpstr>
      <vt:lpstr>'OVERALL BY GANG COMPARISON V2.'!Print_Area</vt:lpstr>
      <vt:lpstr>'OVERALL BY GANG COMPARISON V3'!Print_Area</vt:lpstr>
      <vt:lpstr>'OVERALL BY GANG COMPARISON YTD'!Print_Area</vt:lpstr>
      <vt:lpstr>'OVERALL BY GANG COMPARISON YTD2'!Print_Area</vt:lpstr>
      <vt:lpstr>'SOFIO GANG'!Print_Area</vt:lpstr>
      <vt:lpstr>'WENDERLINUS GANG '!Print_Area</vt:lpstr>
      <vt:lpstr>'YUDI GANG'!Print_Area</vt:lpstr>
      <vt:lpstr>'YUVENTUS UN GANG'!Print_Area</vt:lpstr>
      <vt:lpstr>'FFB Budget 2024'!Print_Titles</vt:lpstr>
      <vt:lpstr>'FFB Budget 2025'!Print_Titles</vt:lpstr>
      <vt:lpstr>'Harvesting Record VS FFB BUDGET'!Print_Titles</vt:lpstr>
      <vt:lpstr>SERAN</vt:lpstr>
      <vt:lpstr>WENDERLINUS</vt:lpstr>
      <vt:lpstr>year2022to23</vt:lpstr>
      <vt:lpstr>YUVENTUS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 Dept</cp:lastModifiedBy>
  <cp:lastPrinted>2026-01-26T03:27:14Z</cp:lastPrinted>
  <dcterms:created xsi:type="dcterms:W3CDTF">2025-07-09T08:25:59Z</dcterms:created>
  <dcterms:modified xsi:type="dcterms:W3CDTF">2026-01-26T03:27:19Z</dcterms:modified>
</cp:coreProperties>
</file>