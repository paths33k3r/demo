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KEVIN\2025\3. MONTHLY HARVESTING &amp; MANURING REPORT\12. Dec 2025\"/>
    </mc:Choice>
  </mc:AlternateContent>
  <xr:revisionPtr revIDLastSave="0" documentId="13_ncr:1_{146078EE-F479-4D5B-A5FF-000B308140B9}" xr6:coauthVersionLast="47" xr6:coauthVersionMax="47" xr10:uidLastSave="{00000000-0000-0000-0000-000000000000}"/>
  <bookViews>
    <workbookView xWindow="-120" yWindow="-120" windowWidth="29040" windowHeight="15720" firstSheet="1" activeTab="3" xr2:uid="{637F3379-4057-4184-A763-5558AE17C3D8}"/>
  </bookViews>
  <sheets>
    <sheet name="Sept Rainfall 2024 vs 2025" sheetId="1" r:id="rId1"/>
    <sheet name="Oct Rainfall 2024 vs 2025" sheetId="2" r:id="rId2"/>
    <sheet name="Nov Rainfall 2024 vs 2025" sheetId="3" r:id="rId3"/>
    <sheet name="Dec Rainfall 2024 vs 2025" sheetId="4" r:id="rId4"/>
  </sheets>
  <externalReferences>
    <externalReference r:id="rId5"/>
  </externalReferences>
  <definedNames>
    <definedName name="year">'[1]MANURING 2025'!$AC$97:$AD$134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4" l="1"/>
  <c r="S36" i="4"/>
  <c r="R36" i="4"/>
  <c r="P36" i="4"/>
  <c r="G18" i="4"/>
  <c r="F18" i="4"/>
  <c r="C18" i="4"/>
  <c r="B18" i="4"/>
  <c r="K17" i="4"/>
  <c r="J17" i="4"/>
  <c r="K16" i="4"/>
  <c r="J16" i="4"/>
  <c r="K15" i="4"/>
  <c r="J15" i="4"/>
  <c r="K14" i="4"/>
  <c r="J14" i="4"/>
  <c r="K13" i="4"/>
  <c r="J13" i="4"/>
  <c r="K12" i="4"/>
  <c r="J12" i="4"/>
  <c r="K11" i="4"/>
  <c r="J11" i="4"/>
  <c r="K10" i="4"/>
  <c r="J10" i="4"/>
  <c r="K9" i="4"/>
  <c r="J9" i="4"/>
  <c r="K8" i="4"/>
  <c r="J8" i="4"/>
  <c r="K7" i="4"/>
  <c r="J7" i="4"/>
  <c r="J18" i="4" s="1"/>
  <c r="K6" i="4"/>
  <c r="J6" i="4"/>
  <c r="H6" i="4"/>
  <c r="H7" i="4" s="1"/>
  <c r="D6" i="4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A23" i="3"/>
  <c r="S36" i="3"/>
  <c r="R36" i="3"/>
  <c r="P36" i="3"/>
  <c r="G18" i="3"/>
  <c r="F18" i="3"/>
  <c r="C18" i="3"/>
  <c r="B18" i="3"/>
  <c r="K17" i="3"/>
  <c r="K18" i="3" s="1"/>
  <c r="J17" i="3"/>
  <c r="K16" i="3"/>
  <c r="J16" i="3"/>
  <c r="J18" i="3" s="1"/>
  <c r="K15" i="3"/>
  <c r="J15" i="3"/>
  <c r="K14" i="3"/>
  <c r="J14" i="3"/>
  <c r="K13" i="3"/>
  <c r="J13" i="3"/>
  <c r="K12" i="3"/>
  <c r="J12" i="3"/>
  <c r="K11" i="3"/>
  <c r="J11" i="3"/>
  <c r="K10" i="3"/>
  <c r="J10" i="3"/>
  <c r="K9" i="3"/>
  <c r="J9" i="3"/>
  <c r="K8" i="3"/>
  <c r="J8" i="3"/>
  <c r="K7" i="3"/>
  <c r="J7" i="3"/>
  <c r="K6" i="3"/>
  <c r="J6" i="3"/>
  <c r="H6" i="3"/>
  <c r="L6" i="3" s="1"/>
  <c r="D6" i="3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L17" i="2"/>
  <c r="L16" i="2"/>
  <c r="L15" i="2"/>
  <c r="L14" i="2"/>
  <c r="L13" i="2"/>
  <c r="L12" i="2"/>
  <c r="L11" i="2"/>
  <c r="L10" i="2"/>
  <c r="L9" i="2"/>
  <c r="L8" i="2"/>
  <c r="L7" i="2"/>
  <c r="L6" i="2"/>
  <c r="K15" i="2"/>
  <c r="K18" i="4" l="1"/>
  <c r="H8" i="4"/>
  <c r="L7" i="4"/>
  <c r="L6" i="4"/>
  <c r="H7" i="3"/>
  <c r="G18" i="2"/>
  <c r="F18" i="2"/>
  <c r="C18" i="2"/>
  <c r="B18" i="2"/>
  <c r="K17" i="2"/>
  <c r="J17" i="2"/>
  <c r="K16" i="2"/>
  <c r="J16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H6" i="2"/>
  <c r="H7" i="2" s="1"/>
  <c r="H8" i="2" s="1"/>
  <c r="H9" i="2" s="1"/>
  <c r="H10" i="2" s="1"/>
  <c r="H11" i="2" s="1"/>
  <c r="H12" i="2" s="1"/>
  <c r="H13" i="2" s="1"/>
  <c r="H14" i="2" s="1"/>
  <c r="D6" i="2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A23" i="1"/>
  <c r="B24" i="1"/>
  <c r="A27" i="1" s="1"/>
  <c r="J15" i="1"/>
  <c r="K15" i="1"/>
  <c r="J16" i="1"/>
  <c r="K16" i="1"/>
  <c r="J17" i="1"/>
  <c r="K17" i="1"/>
  <c r="K14" i="1"/>
  <c r="K13" i="1"/>
  <c r="K12" i="1"/>
  <c r="K11" i="1"/>
  <c r="K10" i="1"/>
  <c r="K9" i="1"/>
  <c r="K8" i="1"/>
  <c r="K7" i="1"/>
  <c r="K6" i="1"/>
  <c r="K18" i="1" s="1"/>
  <c r="J14" i="1"/>
  <c r="J13" i="1"/>
  <c r="J12" i="1"/>
  <c r="J11" i="1"/>
  <c r="J10" i="1"/>
  <c r="J9" i="1"/>
  <c r="J8" i="1"/>
  <c r="J7" i="1"/>
  <c r="J6" i="1"/>
  <c r="F18" i="1"/>
  <c r="G18" i="1"/>
  <c r="H6" i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B18" i="1"/>
  <c r="C18" i="1"/>
  <c r="D6" i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L8" i="4" l="1"/>
  <c r="H9" i="4"/>
  <c r="H8" i="3"/>
  <c r="L7" i="3"/>
  <c r="K18" i="2"/>
  <c r="J18" i="2"/>
  <c r="H15" i="2"/>
  <c r="A23" i="2" s="1"/>
  <c r="J18" i="1"/>
  <c r="H10" i="4" l="1"/>
  <c r="L9" i="4"/>
  <c r="L8" i="3"/>
  <c r="H9" i="3"/>
  <c r="H16" i="2"/>
  <c r="H17" i="2" s="1"/>
  <c r="B24" i="2"/>
  <c r="A27" i="2" s="1"/>
  <c r="H11" i="4" l="1"/>
  <c r="L10" i="4"/>
  <c r="L9" i="3"/>
  <c r="H10" i="3"/>
  <c r="H12" i="4" l="1"/>
  <c r="L11" i="4"/>
  <c r="H11" i="3"/>
  <c r="L10" i="3"/>
  <c r="H13" i="4" l="1"/>
  <c r="L12" i="4"/>
  <c r="H12" i="3"/>
  <c r="L11" i="3"/>
  <c r="H14" i="4" l="1"/>
  <c r="L13" i="4"/>
  <c r="H13" i="3"/>
  <c r="L12" i="3"/>
  <c r="H15" i="4" l="1"/>
  <c r="L14" i="4"/>
  <c r="L13" i="3"/>
  <c r="H14" i="3"/>
  <c r="H16" i="4" l="1"/>
  <c r="L15" i="4"/>
  <c r="H15" i="3"/>
  <c r="L14" i="3"/>
  <c r="L16" i="4" l="1"/>
  <c r="B24" i="4"/>
  <c r="A27" i="4" s="1"/>
  <c r="H17" i="4"/>
  <c r="L17" i="4" s="1"/>
  <c r="L15" i="3"/>
  <c r="H16" i="3"/>
  <c r="B24" i="3"/>
  <c r="A27" i="3" s="1"/>
  <c r="L16" i="3" l="1"/>
  <c r="H17" i="3"/>
  <c r="L17" i="3" s="1"/>
</calcChain>
</file>

<file path=xl/sharedStrings.xml><?xml version="1.0" encoding="utf-8"?>
<sst xmlns="http://schemas.openxmlformats.org/spreadsheetml/2006/main" count="234" uniqueCount="59">
  <si>
    <t>MONTH</t>
  </si>
  <si>
    <t>RAINFALL RECORD</t>
  </si>
  <si>
    <t>MM</t>
  </si>
  <si>
    <t>MM TO MONTH</t>
  </si>
  <si>
    <t>DAYS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</si>
  <si>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</si>
  <si>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</si>
  <si>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</si>
  <si>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</si>
  <si>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</si>
  <si>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</si>
  <si>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</si>
  <si>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</si>
  <si>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</si>
  <si>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</si>
  <si>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</si>
  <si>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</si>
  <si>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</si>
  <si>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DIFF.</t>
  </si>
  <si>
    <t>2025 vs 2024</t>
  </si>
  <si>
    <t>SUMMARY REPORT FOR RAINFALL RECORD FOR THE YEAR 2024 VS 2025 (Updated as of Sept 2025)</t>
  </si>
  <si>
    <t>MM TO MONTH 2025 vs 2024</t>
  </si>
  <si>
    <t>*MM TO MONTH as of Sept for both years</t>
  </si>
  <si>
    <t>SUMMARY REPORT FOR RAINFALL RECORD FOR THE YEAR 2024 VS 2025 (Updated as of Oct 2025)</t>
  </si>
  <si>
    <t>*MM TO MONTH as of October for both years</t>
  </si>
  <si>
    <t>RAINFALL (MM)</t>
  </si>
  <si>
    <t xml:space="preserve">RAIN DAYS </t>
  </si>
  <si>
    <t>RAIN PERIOD / REMARKS</t>
  </si>
  <si>
    <t>DATE</t>
  </si>
  <si>
    <t>TODAY</t>
  </si>
  <si>
    <t>TODATE</t>
  </si>
  <si>
    <t>DRY</t>
  </si>
  <si>
    <t xml:space="preserve">RAINED AT NIGHT </t>
  </si>
  <si>
    <t xml:space="preserve">DRIZZLE RAINED </t>
  </si>
  <si>
    <t>4.00PM - NIGHT</t>
  </si>
  <si>
    <t>5PM - NIGHT</t>
  </si>
  <si>
    <t xml:space="preserve">12PM RAINED &amp; ON OFF </t>
  </si>
  <si>
    <t>12PM - 1PM RAINED</t>
  </si>
  <si>
    <t>2PM RAINED &amp; ON OFF</t>
  </si>
  <si>
    <t>RAINED 3PM UNTIL 3.30PM</t>
  </si>
  <si>
    <t>EVENING RAINED</t>
  </si>
  <si>
    <t>4PM RAINED AND ON OFF</t>
  </si>
  <si>
    <t>7PM RAINED TILL MIDNIGHT</t>
  </si>
  <si>
    <t>10AM RAINED &amp; ON OFF</t>
  </si>
  <si>
    <t>3pm till night</t>
  </si>
  <si>
    <t>midday rained,3.30pm till night</t>
  </si>
  <si>
    <t>2pm rained till night</t>
  </si>
  <si>
    <t>evening rained</t>
  </si>
  <si>
    <t>night rained</t>
  </si>
  <si>
    <t xml:space="preserve">4PM RAINED &amp; ON OFF </t>
  </si>
  <si>
    <t>8PM -10.30PM</t>
  </si>
  <si>
    <t>12pm-4.30pm</t>
  </si>
  <si>
    <t>1.47PM RAINED AND ON OFF</t>
  </si>
  <si>
    <t>EVENING RAINED ON OFF</t>
  </si>
  <si>
    <t>3PM ON OFF TILL NIGHT</t>
  </si>
  <si>
    <t>*MM TO MONTH as of November for both years</t>
  </si>
  <si>
    <t>SUMMARY REPORT FOR RAINFALL RECORD FOR THE YEAR 2024 VS 2025 (Updated as of Dec 2025)</t>
  </si>
  <si>
    <t>SUMMARY REPORT FOR RAINFALL RECORD FOR THE YEAR 2024 VS 2025 (Updated as of Nov 2025)</t>
  </si>
  <si>
    <t>*MM TO MONTH as of December for both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</si>
</sst>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 Display"/>
      <family val="2"/>
    </font>
    <font>
      <b/>
      <i/>
      <sz val="10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DD9C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0"/>
        <bgColor indexed="64"/>
      </patternFill>
    </fill>
    <fill>
      <patternFill patternType="darkTrellis">
        <fgColor theme="7" tint="0.39994506668294322"/>
        <bgColor theme="1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1">
    <xf numFmtId="0" fontId="0" fillId="0" borderId="0"/>
    <xf numFmtId="0" fontId="1" fillId="0" borderId="0"/>
    <xf numFmtId="0" fontId="1" fillId="0" borderId="0"/>
    <xf numFmtId="0" fontId="14" fillId="0" borderId="0"/>
    <xf numFmtId="0" fontId="1" fillId="7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6" fillId="0" borderId="1" xfId="1" applyNumberFormat="1" applyFont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4" fontId="7" fillId="0" borderId="0" xfId="0" applyNumberFormat="1" applyFont="1"/>
    <xf numFmtId="0" fontId="4" fillId="0" borderId="0" xfId="0" applyFont="1"/>
    <xf numFmtId="0" fontId="4" fillId="0" borderId="1" xfId="0" applyFont="1" applyBorder="1" applyAlignment="1">
      <alignment horizontal="center" wrapText="1"/>
    </xf>
    <xf numFmtId="4" fontId="5" fillId="2" borderId="1" xfId="0" applyNumberFormat="1" applyFont="1" applyFill="1" applyBorder="1"/>
    <xf numFmtId="4" fontId="6" fillId="2" borderId="1" xfId="1" applyNumberFormat="1" applyFont="1" applyFill="1" applyBorder="1" applyAlignment="1">
      <alignment horizontal="center" vertical="center"/>
    </xf>
    <xf numFmtId="4" fontId="7" fillId="2" borderId="0" xfId="0" applyNumberFormat="1" applyFont="1" applyFill="1"/>
    <xf numFmtId="4" fontId="7" fillId="2" borderId="1" xfId="0" applyNumberFormat="1" applyFont="1" applyFill="1" applyBorder="1"/>
    <xf numFmtId="4" fontId="4" fillId="0" borderId="0" xfId="0" applyNumberFormat="1" applyFont="1"/>
    <xf numFmtId="0" fontId="8" fillId="0" borderId="0" xfId="0" applyFont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15" fontId="11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left" vertical="center"/>
    </xf>
    <xf numFmtId="0" fontId="10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15" fontId="11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left" vertical="center"/>
    </xf>
    <xf numFmtId="1" fontId="13" fillId="6" borderId="1" xfId="2" applyNumberFormat="1" applyFont="1" applyFill="1" applyBorder="1" applyAlignment="1">
      <alignment horizontal="center"/>
    </xf>
    <xf numFmtId="164" fontId="12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4" fontId="7" fillId="0" borderId="1" xfId="0" applyNumberFormat="1" applyFont="1" applyBorder="1"/>
    <xf numFmtId="1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4" fontId="4" fillId="0" borderId="3" xfId="0" applyNumberFormat="1" applyFont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4" fontId="4" fillId="0" borderId="4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9" fillId="3" borderId="8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</cellXfs>
  <cellStyles count="21">
    <cellStyle name="Comma 2" xfId="6" xr:uid="{B29AB3D8-313E-44B4-941A-8B0E36EBAE89}"/>
    <cellStyle name="Comma 2 2" xfId="8" xr:uid="{977C3208-477B-4CCC-B3CA-6D76FCCF3C2C}"/>
    <cellStyle name="Comma 2 2 2" xfId="12" xr:uid="{45F8303C-28C7-45EB-BD07-B751594AB59D}"/>
    <cellStyle name="Comma 2 2 2 2" xfId="20" xr:uid="{16474494-E2DB-4BF2-AD35-E58A71C7237F}"/>
    <cellStyle name="Comma 2 2 3" xfId="16" xr:uid="{D57D06EF-9B7A-407C-BB3C-8790FDDAAC27}"/>
    <cellStyle name="Comma 2 3" xfId="10" xr:uid="{D627BD4E-782F-46C3-AAAE-7C2AE94CAD2E}"/>
    <cellStyle name="Comma 2 3 2" xfId="18" xr:uid="{04BC7199-204D-48ED-856E-84F68E3C6503}"/>
    <cellStyle name="Comma 2 4" xfId="14" xr:uid="{01C61A06-4304-437A-B1C7-E494F649E602}"/>
    <cellStyle name="Comma 3" xfId="7" xr:uid="{EEFF74FA-D256-466D-8EEC-981ED2C39724}"/>
    <cellStyle name="Comma 3 2" xfId="11" xr:uid="{536AC4A9-FED9-4D0F-BB21-9860E35A8509}"/>
    <cellStyle name="Comma 3 2 2" xfId="19" xr:uid="{579D4773-40FA-4BFE-A63E-27CE2D4F4867}"/>
    <cellStyle name="Comma 3 3" xfId="15" xr:uid="{BA9B2C9D-5C28-4A2A-BA68-B98A5A8687D7}"/>
    <cellStyle name="Comma 4" xfId="9" xr:uid="{B917260F-1422-459E-9F52-73FB697F1354}"/>
    <cellStyle name="Comma 4 2" xfId="17" xr:uid="{5C97EF34-E74D-4503-A1A4-374C37E95C0F}"/>
    <cellStyle name="Comma 5" xfId="13" xr:uid="{E5C620BC-AA2D-44B9-A0B7-29EDE68C1879}"/>
    <cellStyle name="Comma 6" xfId="5" xr:uid="{046B2604-1429-4DF9-B77E-CA832CE8974D}"/>
    <cellStyle name="flooded" xfId="4" xr:uid="{36F02A07-D86D-416C-B06E-D0BB322DD8DC}"/>
    <cellStyle name="Normal" xfId="0" builtinId="0"/>
    <cellStyle name="Normal 2" xfId="2" xr:uid="{74308472-E76B-4C4C-9F45-6AA9D08070CB}"/>
    <cellStyle name="Normal 3" xfId="3" xr:uid="{B7B46B21-CD82-4A65-91B2-D0BDDFD5A998}"/>
    <cellStyle name="Normal 6" xfId="1" xr:uid="{FE78B5A2-80CA-42FB-8C49-755340CE7A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KEVIN\2025\3.%20MONTHLY%20HARVESTING%20&amp;%20MANURING%20REPORT\Manuring%202024%20vs%202025%20(up%20toSept%202025).xlsm" TargetMode="External"/><Relationship Id="rId1" Type="http://schemas.openxmlformats.org/officeDocument/2006/relationships/externalLinkPath" Target="/KEVIN/2025/3.%20MONTHLY%20HARVESTING%20&amp;%20MANURING%20REPORT/Manuring%202024%20vs%202025%20(up%20toSept%202025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ACT SEPT 2025"/>
      <sheetName val="Manuring 2024 vs 2025 by block "/>
      <sheetName val="Manuring 2024 vs 2025 by bl (2)"/>
      <sheetName val="MANURING 2024"/>
      <sheetName val="MANURING 2025"/>
      <sheetName val="5.1 OP - Manuring 2024"/>
      <sheetName val="5.1 OP - Manuring 2025"/>
      <sheetName val="5.1 OP - Manuring 2024 vs 2025"/>
      <sheetName val="Sheet2"/>
      <sheetName val="Sheet9"/>
      <sheetName val="9.1 Rainfall Record 2024"/>
      <sheetName val="9.1 Rainfall Record"/>
      <sheetName val="SATO KALI JULY 2025"/>
    </sheetNames>
    <sheetDataSet>
      <sheetData sheetId="0" refreshError="1"/>
      <sheetData sheetId="1" refreshError="1"/>
      <sheetData sheetId="2" refreshError="1"/>
      <sheetData sheetId="3" refreshError="1"/>
      <sheetData sheetId="4">
        <row r="97">
          <cell r="AC97">
            <v>1</v>
          </cell>
          <cell r="AD97">
            <v>2010</v>
          </cell>
        </row>
        <row r="98">
          <cell r="AC98">
            <v>2</v>
          </cell>
          <cell r="AD98">
            <v>2010</v>
          </cell>
        </row>
        <row r="99">
          <cell r="AC99">
            <v>3</v>
          </cell>
          <cell r="AD99">
            <v>2010</v>
          </cell>
        </row>
        <row r="100">
          <cell r="AC100">
            <v>4</v>
          </cell>
          <cell r="AD100">
            <v>2010</v>
          </cell>
        </row>
        <row r="101">
          <cell r="AC101">
            <v>5</v>
          </cell>
          <cell r="AD101">
            <v>2010</v>
          </cell>
        </row>
        <row r="102">
          <cell r="AC102">
            <v>6</v>
          </cell>
          <cell r="AD102">
            <v>2010</v>
          </cell>
        </row>
        <row r="103">
          <cell r="AC103">
            <v>7</v>
          </cell>
          <cell r="AD103">
            <v>2010</v>
          </cell>
        </row>
        <row r="104">
          <cell r="AC104">
            <v>8</v>
          </cell>
          <cell r="AD104">
            <v>2010</v>
          </cell>
        </row>
        <row r="105">
          <cell r="AC105">
            <v>9</v>
          </cell>
          <cell r="AD105">
            <v>2010</v>
          </cell>
        </row>
        <row r="106">
          <cell r="AC106">
            <v>11</v>
          </cell>
          <cell r="AD106">
            <v>2010</v>
          </cell>
        </row>
        <row r="107">
          <cell r="AC107">
            <v>12</v>
          </cell>
          <cell r="AD107">
            <v>2010</v>
          </cell>
        </row>
        <row r="108">
          <cell r="AC108">
            <v>23</v>
          </cell>
          <cell r="AD108">
            <v>2010</v>
          </cell>
        </row>
        <row r="109">
          <cell r="AC109">
            <v>10</v>
          </cell>
          <cell r="AD109">
            <v>2011</v>
          </cell>
        </row>
        <row r="110">
          <cell r="AC110">
            <v>13</v>
          </cell>
          <cell r="AD110">
            <v>2011</v>
          </cell>
        </row>
        <row r="111">
          <cell r="AC111">
            <v>14</v>
          </cell>
          <cell r="AD111">
            <v>2011</v>
          </cell>
        </row>
        <row r="112">
          <cell r="AC112">
            <v>15</v>
          </cell>
          <cell r="AD112">
            <v>2011</v>
          </cell>
        </row>
        <row r="113">
          <cell r="AC113">
            <v>16</v>
          </cell>
          <cell r="AD113">
            <v>2011</v>
          </cell>
        </row>
        <row r="114">
          <cell r="AC114">
            <v>17</v>
          </cell>
          <cell r="AD114">
            <v>2011</v>
          </cell>
        </row>
        <row r="115">
          <cell r="AC115">
            <v>18</v>
          </cell>
          <cell r="AD115">
            <v>2011</v>
          </cell>
        </row>
        <row r="116">
          <cell r="AC116">
            <v>19</v>
          </cell>
          <cell r="AD116">
            <v>2012</v>
          </cell>
        </row>
        <row r="117">
          <cell r="AC117">
            <v>20</v>
          </cell>
          <cell r="AD117">
            <v>2012</v>
          </cell>
        </row>
        <row r="118">
          <cell r="AC118">
            <v>21</v>
          </cell>
          <cell r="AD118">
            <v>2012</v>
          </cell>
        </row>
        <row r="119">
          <cell r="AC119">
            <v>22</v>
          </cell>
          <cell r="AD119">
            <v>2012</v>
          </cell>
        </row>
        <row r="120">
          <cell r="AC120">
            <v>29</v>
          </cell>
          <cell r="AD120">
            <v>2015</v>
          </cell>
        </row>
        <row r="123">
          <cell r="AC123" t="str">
            <v>Block No</v>
          </cell>
          <cell r="AD123" t="str">
            <v>Year</v>
          </cell>
        </row>
        <row r="124">
          <cell r="AC124">
            <v>1</v>
          </cell>
          <cell r="AD124">
            <v>2010</v>
          </cell>
        </row>
        <row r="125">
          <cell r="AC125">
            <v>2</v>
          </cell>
          <cell r="AD125">
            <v>2010</v>
          </cell>
        </row>
        <row r="126">
          <cell r="AC126">
            <v>4</v>
          </cell>
          <cell r="AD126">
            <v>2010</v>
          </cell>
        </row>
        <row r="127">
          <cell r="AC127">
            <v>25</v>
          </cell>
          <cell r="AD127">
            <v>2015</v>
          </cell>
        </row>
        <row r="128">
          <cell r="AC128" t="str">
            <v>26A</v>
          </cell>
          <cell r="AD128">
            <v>2015</v>
          </cell>
        </row>
        <row r="129">
          <cell r="AC129">
            <v>27</v>
          </cell>
          <cell r="AD129">
            <v>2015</v>
          </cell>
        </row>
        <row r="130">
          <cell r="AC130">
            <v>28</v>
          </cell>
          <cell r="AD130">
            <v>2015</v>
          </cell>
        </row>
        <row r="131">
          <cell r="AC131">
            <v>30</v>
          </cell>
          <cell r="AD131">
            <v>2015</v>
          </cell>
        </row>
        <row r="132">
          <cell r="AC132">
            <v>31</v>
          </cell>
          <cell r="AD132">
            <v>2015</v>
          </cell>
        </row>
        <row r="133">
          <cell r="AC133">
            <v>33</v>
          </cell>
          <cell r="AD133">
            <v>2016</v>
          </cell>
        </row>
        <row r="134">
          <cell r="AC134">
            <v>39</v>
          </cell>
          <cell r="AD134">
            <v>2016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85AD8-0229-41F0-A12E-9BBF6AE2EECA}">
  <sheetPr codeName="Sheet6">
    <tabColor theme="1"/>
    <pageSetUpPr fitToPage="1"/>
  </sheetPr>
  <dimension ref="A1:M27"/>
  <sheetViews>
    <sheetView workbookViewId="0">
      <selection activeCell="J26" sqref="J26"/>
    </sheetView>
  </sheetViews>
  <sheetFormatPr defaultColWidth="9.140625" defaultRowHeight="13.5" x14ac:dyDescent="0.25"/>
  <cols>
    <col min="1" max="1" width="9.140625" style="8"/>
    <col min="2" max="2" width="7" style="8" bestFit="1" customWidth="1"/>
    <col min="3" max="3" width="8.42578125" style="8" bestFit="1" customWidth="1"/>
    <col min="4" max="4" width="12.42578125" style="8" bestFit="1" customWidth="1"/>
    <col min="5" max="5" width="1.140625" style="8" customWidth="1"/>
    <col min="6" max="6" width="7" style="8" bestFit="1" customWidth="1"/>
    <col min="7" max="7" width="8.42578125" style="8" bestFit="1" customWidth="1"/>
    <col min="8" max="8" width="12.42578125" style="8" bestFit="1" customWidth="1"/>
    <col min="9" max="9" width="1.140625" style="8" customWidth="1"/>
    <col min="10" max="10" width="8.42578125" style="8" bestFit="1" customWidth="1"/>
    <col min="11" max="11" width="9.42578125" style="8" bestFit="1" customWidth="1"/>
    <col min="12" max="12" width="1.140625" style="8" customWidth="1"/>
    <col min="13" max="16384" width="9.140625" style="8"/>
  </cols>
  <sheetData>
    <row r="1" spans="1:11" s="2" customFormat="1" ht="15.75" x14ac:dyDescent="0.25">
      <c r="A1" s="1" t="s">
        <v>20</v>
      </c>
    </row>
    <row r="2" spans="1:11" s="2" customFormat="1" ht="15.75" x14ac:dyDescent="0.25">
      <c r="A2" s="1"/>
    </row>
    <row r="3" spans="1:11" s="2" customFormat="1" ht="15.75" x14ac:dyDescent="0.25">
      <c r="A3" s="1"/>
      <c r="B3" s="38">
        <v>2024</v>
      </c>
      <c r="C3" s="38"/>
      <c r="D3" s="38"/>
      <c r="F3" s="38">
        <v>2025</v>
      </c>
      <c r="G3" s="38"/>
      <c r="H3" s="38"/>
      <c r="J3" s="38" t="s">
        <v>19</v>
      </c>
      <c r="K3" s="38"/>
    </row>
    <row r="4" spans="1:11" s="4" customFormat="1" x14ac:dyDescent="0.25">
      <c r="A4" s="38" t="s">
        <v>0</v>
      </c>
      <c r="B4" s="38" t="s">
        <v>1</v>
      </c>
      <c r="C4" s="38"/>
      <c r="D4" s="38"/>
      <c r="F4" s="38" t="s">
        <v>1</v>
      </c>
      <c r="G4" s="38"/>
      <c r="H4" s="38"/>
      <c r="J4" s="38" t="s">
        <v>18</v>
      </c>
      <c r="K4" s="38"/>
    </row>
    <row r="5" spans="1:11" s="4" customFormat="1" x14ac:dyDescent="0.25">
      <c r="A5" s="38"/>
      <c r="B5" s="3" t="s">
        <v>4</v>
      </c>
      <c r="C5" s="3" t="s">
        <v>2</v>
      </c>
      <c r="D5" s="3" t="s">
        <v>3</v>
      </c>
      <c r="F5" s="12" t="s">
        <v>4</v>
      </c>
      <c r="G5" s="12" t="s">
        <v>2</v>
      </c>
      <c r="H5" s="12" t="s">
        <v>3</v>
      </c>
      <c r="J5" s="12" t="s">
        <v>4</v>
      </c>
      <c r="K5" s="12" t="s">
        <v>2</v>
      </c>
    </row>
    <row r="6" spans="1:11" x14ac:dyDescent="0.25">
      <c r="A6" s="5" t="s">
        <v>5</v>
      </c>
      <c r="B6" s="6">
        <v>21</v>
      </c>
      <c r="C6" s="6">
        <v>432</v>
      </c>
      <c r="D6" s="7">
        <f>C6</f>
        <v>432</v>
      </c>
      <c r="F6" s="6">
        <v>25</v>
      </c>
      <c r="G6" s="6">
        <v>1059</v>
      </c>
      <c r="H6" s="7">
        <f>G6</f>
        <v>1059</v>
      </c>
      <c r="J6" s="6">
        <f>F6-B6</f>
        <v>4</v>
      </c>
      <c r="K6" s="6">
        <f>G6-C6</f>
        <v>627</v>
      </c>
    </row>
    <row r="7" spans="1:11" x14ac:dyDescent="0.25">
      <c r="A7" s="5" t="s">
        <v>6</v>
      </c>
      <c r="B7" s="6">
        <v>20</v>
      </c>
      <c r="C7" s="6">
        <v>723</v>
      </c>
      <c r="D7" s="7">
        <f>D6+C7</f>
        <v>1155</v>
      </c>
      <c r="F7" s="6">
        <v>14</v>
      </c>
      <c r="G7" s="6">
        <v>415</v>
      </c>
      <c r="H7" s="7">
        <f>H6+G7</f>
        <v>1474</v>
      </c>
      <c r="J7" s="6">
        <f t="shared" ref="J7:J17" si="0">F7-B7</f>
        <v>-6</v>
      </c>
      <c r="K7" s="6">
        <f t="shared" ref="K7:K17" si="1">G7-C7</f>
        <v>-308</v>
      </c>
    </row>
    <row r="8" spans="1:11" x14ac:dyDescent="0.25">
      <c r="A8" s="5" t="s">
        <v>7</v>
      </c>
      <c r="B8" s="6">
        <v>12</v>
      </c>
      <c r="C8" s="6">
        <v>402</v>
      </c>
      <c r="D8" s="7">
        <f t="shared" ref="D8:D17" si="2">D7+C8</f>
        <v>1557</v>
      </c>
      <c r="F8" s="6">
        <v>22</v>
      </c>
      <c r="G8" s="6">
        <v>524</v>
      </c>
      <c r="H8" s="7">
        <f t="shared" ref="H8:H17" si="3">H7+G8</f>
        <v>1998</v>
      </c>
      <c r="J8" s="6">
        <f t="shared" si="0"/>
        <v>10</v>
      </c>
      <c r="K8" s="6">
        <f t="shared" si="1"/>
        <v>122</v>
      </c>
    </row>
    <row r="9" spans="1:11" x14ac:dyDescent="0.25">
      <c r="A9" s="5" t="s">
        <v>8</v>
      </c>
      <c r="B9" s="6">
        <v>10</v>
      </c>
      <c r="C9" s="6">
        <v>119</v>
      </c>
      <c r="D9" s="7">
        <f t="shared" si="2"/>
        <v>1676</v>
      </c>
      <c r="F9" s="6">
        <v>19</v>
      </c>
      <c r="G9" s="6">
        <v>344</v>
      </c>
      <c r="H9" s="7">
        <f t="shared" si="3"/>
        <v>2342</v>
      </c>
      <c r="J9" s="6">
        <f t="shared" si="0"/>
        <v>9</v>
      </c>
      <c r="K9" s="6">
        <f t="shared" si="1"/>
        <v>225</v>
      </c>
    </row>
    <row r="10" spans="1:11" x14ac:dyDescent="0.25">
      <c r="A10" s="5" t="s">
        <v>9</v>
      </c>
      <c r="B10" s="6">
        <v>20</v>
      </c>
      <c r="C10" s="6">
        <v>392</v>
      </c>
      <c r="D10" s="7">
        <f t="shared" si="2"/>
        <v>2068</v>
      </c>
      <c r="F10" s="6">
        <v>16</v>
      </c>
      <c r="G10" s="6">
        <v>295</v>
      </c>
      <c r="H10" s="7">
        <f t="shared" si="3"/>
        <v>2637</v>
      </c>
      <c r="J10" s="6">
        <f t="shared" si="0"/>
        <v>-4</v>
      </c>
      <c r="K10" s="6">
        <f t="shared" si="1"/>
        <v>-97</v>
      </c>
    </row>
    <row r="11" spans="1:11" x14ac:dyDescent="0.25">
      <c r="A11" s="5" t="s">
        <v>10</v>
      </c>
      <c r="B11" s="6">
        <v>16</v>
      </c>
      <c r="C11" s="6">
        <v>319</v>
      </c>
      <c r="D11" s="7">
        <f t="shared" si="2"/>
        <v>2387</v>
      </c>
      <c r="F11" s="6">
        <v>15</v>
      </c>
      <c r="G11" s="6">
        <v>172</v>
      </c>
      <c r="H11" s="7">
        <f t="shared" si="3"/>
        <v>2809</v>
      </c>
      <c r="J11" s="6">
        <f t="shared" si="0"/>
        <v>-1</v>
      </c>
      <c r="K11" s="6">
        <f t="shared" si="1"/>
        <v>-147</v>
      </c>
    </row>
    <row r="12" spans="1:11" x14ac:dyDescent="0.25">
      <c r="A12" s="5" t="s">
        <v>11</v>
      </c>
      <c r="B12" s="6">
        <v>9</v>
      </c>
      <c r="C12" s="6">
        <v>151</v>
      </c>
      <c r="D12" s="7">
        <f t="shared" si="2"/>
        <v>2538</v>
      </c>
      <c r="F12" s="6">
        <v>11</v>
      </c>
      <c r="G12" s="6">
        <v>86</v>
      </c>
      <c r="H12" s="7">
        <f t="shared" si="3"/>
        <v>2895</v>
      </c>
      <c r="J12" s="6">
        <f t="shared" si="0"/>
        <v>2</v>
      </c>
      <c r="K12" s="6">
        <f t="shared" si="1"/>
        <v>-65</v>
      </c>
    </row>
    <row r="13" spans="1:11" x14ac:dyDescent="0.25">
      <c r="A13" s="5" t="s">
        <v>12</v>
      </c>
      <c r="B13" s="6">
        <v>22</v>
      </c>
      <c r="C13" s="6">
        <v>519</v>
      </c>
      <c r="D13" s="7">
        <f t="shared" si="2"/>
        <v>3057</v>
      </c>
      <c r="F13" s="6">
        <v>15</v>
      </c>
      <c r="G13" s="6">
        <v>166</v>
      </c>
      <c r="H13" s="7">
        <f t="shared" si="3"/>
        <v>3061</v>
      </c>
      <c r="J13" s="6">
        <f t="shared" si="0"/>
        <v>-7</v>
      </c>
      <c r="K13" s="6">
        <f t="shared" si="1"/>
        <v>-353</v>
      </c>
    </row>
    <row r="14" spans="1:11" x14ac:dyDescent="0.25">
      <c r="A14" s="5" t="s">
        <v>13</v>
      </c>
      <c r="B14" s="6">
        <v>14</v>
      </c>
      <c r="C14" s="6">
        <v>187</v>
      </c>
      <c r="D14" s="7">
        <f t="shared" si="2"/>
        <v>3244</v>
      </c>
      <c r="F14" s="6">
        <v>16</v>
      </c>
      <c r="G14" s="6">
        <v>298</v>
      </c>
      <c r="H14" s="7">
        <f t="shared" si="3"/>
        <v>3359</v>
      </c>
      <c r="J14" s="6">
        <f t="shared" si="0"/>
        <v>2</v>
      </c>
      <c r="K14" s="6">
        <f t="shared" si="1"/>
        <v>111</v>
      </c>
    </row>
    <row r="15" spans="1:11" x14ac:dyDescent="0.25">
      <c r="A15" s="5" t="s">
        <v>14</v>
      </c>
      <c r="B15" s="6">
        <v>14</v>
      </c>
      <c r="C15" s="6">
        <v>281</v>
      </c>
      <c r="D15" s="7">
        <f t="shared" si="2"/>
        <v>3525</v>
      </c>
      <c r="F15" s="13"/>
      <c r="G15" s="13"/>
      <c r="H15" s="14">
        <f t="shared" si="3"/>
        <v>3359</v>
      </c>
      <c r="J15" s="13">
        <f t="shared" si="0"/>
        <v>-14</v>
      </c>
      <c r="K15" s="13">
        <f t="shared" si="1"/>
        <v>-281</v>
      </c>
    </row>
    <row r="16" spans="1:11" x14ac:dyDescent="0.25">
      <c r="A16" s="5" t="s">
        <v>15</v>
      </c>
      <c r="B16" s="6">
        <v>21</v>
      </c>
      <c r="C16" s="6">
        <v>360</v>
      </c>
      <c r="D16" s="7">
        <f t="shared" si="2"/>
        <v>3885</v>
      </c>
      <c r="F16" s="13"/>
      <c r="G16" s="13"/>
      <c r="H16" s="14">
        <f t="shared" si="3"/>
        <v>3359</v>
      </c>
      <c r="J16" s="13">
        <f t="shared" si="0"/>
        <v>-21</v>
      </c>
      <c r="K16" s="13">
        <f t="shared" si="1"/>
        <v>-360</v>
      </c>
    </row>
    <row r="17" spans="1:13" x14ac:dyDescent="0.25">
      <c r="A17" s="5" t="s">
        <v>16</v>
      </c>
      <c r="B17" s="6">
        <v>18</v>
      </c>
      <c r="C17" s="6">
        <v>277</v>
      </c>
      <c r="D17" s="7">
        <f t="shared" si="2"/>
        <v>4162</v>
      </c>
      <c r="F17" s="13"/>
      <c r="G17" s="13"/>
      <c r="H17" s="14">
        <f t="shared" si="3"/>
        <v>3359</v>
      </c>
      <c r="J17" s="13">
        <f t="shared" si="0"/>
        <v>-18</v>
      </c>
      <c r="K17" s="13">
        <f t="shared" si="1"/>
        <v>-277</v>
      </c>
    </row>
    <row r="18" spans="1:13" s="9" customFormat="1" x14ac:dyDescent="0.25">
      <c r="A18" s="9" t="s">
        <v>17</v>
      </c>
      <c r="B18" s="10">
        <f>SUBTOTAL(9,B6:B17)</f>
        <v>197</v>
      </c>
      <c r="C18" s="10">
        <f>SUBTOTAL(9,C6:C17)</f>
        <v>4162</v>
      </c>
      <c r="D18" s="10"/>
      <c r="F18" s="15">
        <f t="shared" ref="F18" si="4">SUBTOTAL(9,F6:F17)</f>
        <v>153</v>
      </c>
      <c r="G18" s="15">
        <f t="shared" ref="G18" si="5">SUBTOTAL(9,G6:G17)</f>
        <v>3359</v>
      </c>
      <c r="H18" s="15"/>
      <c r="J18" s="16">
        <f t="shared" ref="J18:K18" si="6">SUBTOTAL(9,J6:J17)</f>
        <v>-44</v>
      </c>
      <c r="K18" s="16">
        <f t="shared" si="6"/>
        <v>-803</v>
      </c>
      <c r="M18" s="8"/>
    </row>
    <row r="21" spans="1:13" ht="14.25" thickBot="1" x14ac:dyDescent="0.3"/>
    <row r="22" spans="1:13" ht="15" customHeight="1" x14ac:dyDescent="0.25">
      <c r="A22" s="42" t="s">
        <v>21</v>
      </c>
      <c r="B22" s="43"/>
      <c r="C22" s="44"/>
    </row>
    <row r="23" spans="1:13" ht="15.75" customHeight="1" thickBot="1" x14ac:dyDescent="0.3">
      <c r="A23" s="39">
        <f>H14-D14</f>
        <v>115</v>
      </c>
      <c r="B23" s="40"/>
      <c r="C23" s="41"/>
    </row>
    <row r="24" spans="1:13" x14ac:dyDescent="0.25">
      <c r="A24" s="11">
        <v>2024</v>
      </c>
      <c r="B24" s="4" t="str">
        <f>IF(A23&gt;0,"&lt;",IF(A23&lt;0,"&gt;"))</f>
        <v>&lt;</v>
      </c>
      <c r="C24" s="11">
        <v>2025</v>
      </c>
    </row>
    <row r="26" spans="1:13" x14ac:dyDescent="0.25">
      <c r="A26" s="11" t="s">
        <v>22</v>
      </c>
    </row>
    <row r="27" spans="1:13" x14ac:dyDescent="0.25">
      <c r="A27" s="17" t="str">
        <f>IF(B24="&lt;","**2025 MM TO MONTH is more than 2024 by "&amp;A23,
IF(B24="&gt;","**2025 MM TO MONTH is less than 2024 by "&amp;A23))</f>
        <v>**2025 MM TO MONTH is more than 2024 by 115</v>
      </c>
    </row>
  </sheetData>
  <mergeCells count="9">
    <mergeCell ref="B3:D3"/>
    <mergeCell ref="F3:H3"/>
    <mergeCell ref="J4:K4"/>
    <mergeCell ref="J3:K3"/>
    <mergeCell ref="A23:C23"/>
    <mergeCell ref="A22:C22"/>
    <mergeCell ref="A4:A5"/>
    <mergeCell ref="B4:D4"/>
    <mergeCell ref="F4:H4"/>
  </mergeCells>
  <pageMargins left="0.25" right="0.25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5A69-9A99-4DD0-8659-ED6172FFCD52}">
  <sheetPr>
    <tabColor theme="1"/>
    <pageSetUpPr fitToPage="1"/>
  </sheetPr>
  <dimension ref="A1:T36"/>
  <sheetViews>
    <sheetView topLeftCell="A7" workbookViewId="0">
      <selection activeCell="N37" sqref="N37"/>
    </sheetView>
  </sheetViews>
  <sheetFormatPr defaultColWidth="9.140625" defaultRowHeight="13.5" x14ac:dyDescent="0.25"/>
  <cols>
    <col min="1" max="1" width="9.140625" style="8"/>
    <col min="2" max="2" width="7" style="8" bestFit="1" customWidth="1"/>
    <col min="3" max="3" width="8.42578125" style="8" bestFit="1" customWidth="1"/>
    <col min="4" max="4" width="12.42578125" style="8" bestFit="1" customWidth="1"/>
    <col min="5" max="5" width="1.140625" style="8" customWidth="1"/>
    <col min="6" max="6" width="7" style="8" bestFit="1" customWidth="1"/>
    <col min="7" max="7" width="8.42578125" style="8" bestFit="1" customWidth="1"/>
    <col min="8" max="8" width="12.42578125" style="8" bestFit="1" customWidth="1"/>
    <col min="9" max="9" width="1.140625" style="8" customWidth="1"/>
    <col min="10" max="10" width="8.42578125" style="8" bestFit="1" customWidth="1"/>
    <col min="11" max="11" width="9.42578125" style="8" bestFit="1" customWidth="1"/>
    <col min="12" max="12" width="12.42578125" style="8" bestFit="1" customWidth="1"/>
    <col min="13" max="13" width="1.140625" style="8" customWidth="1"/>
    <col min="14" max="14" width="9.140625" style="8"/>
    <col min="15" max="15" width="9.42578125" style="8" bestFit="1" customWidth="1"/>
    <col min="16" max="16" width="7" style="8" bestFit="1" customWidth="1"/>
    <col min="17" max="17" width="8" style="8" bestFit="1" customWidth="1"/>
    <col min="18" max="18" width="7" style="8" bestFit="1" customWidth="1"/>
    <col min="19" max="19" width="8" style="8" bestFit="1" customWidth="1"/>
    <col min="20" max="20" width="25.85546875" style="8" bestFit="1" customWidth="1"/>
    <col min="21" max="16384" width="9.140625" style="8"/>
  </cols>
  <sheetData>
    <row r="1" spans="1:20" s="2" customFormat="1" ht="15.75" x14ac:dyDescent="0.25">
      <c r="A1" s="1" t="s">
        <v>23</v>
      </c>
    </row>
    <row r="2" spans="1:20" s="2" customFormat="1" ht="15.75" x14ac:dyDescent="0.25">
      <c r="A2" s="1"/>
    </row>
    <row r="3" spans="1:20" s="2" customFormat="1" ht="45" customHeight="1" x14ac:dyDescent="0.25">
      <c r="A3" s="1"/>
      <c r="B3" s="38">
        <v>2024</v>
      </c>
      <c r="C3" s="38"/>
      <c r="D3" s="38"/>
      <c r="F3" s="38">
        <v>2025</v>
      </c>
      <c r="G3" s="38"/>
      <c r="H3" s="38"/>
      <c r="J3" s="38" t="s">
        <v>19</v>
      </c>
      <c r="K3" s="38"/>
      <c r="L3" s="38"/>
      <c r="O3" s="18"/>
      <c r="P3" s="45" t="s">
        <v>25</v>
      </c>
      <c r="Q3" s="46"/>
      <c r="R3" s="45" t="s">
        <v>26</v>
      </c>
      <c r="S3" s="46"/>
      <c r="T3" s="47" t="s">
        <v>27</v>
      </c>
    </row>
    <row r="4" spans="1:20" s="4" customFormat="1" ht="15" x14ac:dyDescent="0.25">
      <c r="A4" s="38" t="s">
        <v>0</v>
      </c>
      <c r="B4" s="38" t="s">
        <v>1</v>
      </c>
      <c r="C4" s="38"/>
      <c r="D4" s="38"/>
      <c r="F4" s="38" t="s">
        <v>1</v>
      </c>
      <c r="G4" s="38"/>
      <c r="H4" s="38"/>
      <c r="J4" s="38" t="s">
        <v>18</v>
      </c>
      <c r="K4" s="38"/>
      <c r="L4" s="38"/>
      <c r="O4" s="19" t="s">
        <v>28</v>
      </c>
      <c r="P4" s="20" t="s">
        <v>29</v>
      </c>
      <c r="Q4" s="20" t="s">
        <v>30</v>
      </c>
      <c r="R4" s="20" t="s">
        <v>29</v>
      </c>
      <c r="S4" s="20" t="s">
        <v>30</v>
      </c>
      <c r="T4" s="48"/>
    </row>
    <row r="5" spans="1:20" s="4" customFormat="1" ht="15" x14ac:dyDescent="0.25">
      <c r="A5" s="38"/>
      <c r="B5" s="3" t="s">
        <v>4</v>
      </c>
      <c r="C5" s="3" t="s">
        <v>2</v>
      </c>
      <c r="D5" s="3" t="s">
        <v>3</v>
      </c>
      <c r="F5" s="12" t="s">
        <v>4</v>
      </c>
      <c r="G5" s="12" t="s">
        <v>2</v>
      </c>
      <c r="H5" s="12" t="s">
        <v>3</v>
      </c>
      <c r="J5" s="12" t="s">
        <v>4</v>
      </c>
      <c r="K5" s="12" t="s">
        <v>2</v>
      </c>
      <c r="L5" s="12" t="s">
        <v>3</v>
      </c>
      <c r="O5" s="21">
        <v>45931</v>
      </c>
      <c r="P5" s="22">
        <v>0</v>
      </c>
      <c r="Q5" s="22">
        <v>0</v>
      </c>
      <c r="R5" s="22">
        <v>0</v>
      </c>
      <c r="S5" s="22">
        <v>0</v>
      </c>
      <c r="T5" s="23" t="s">
        <v>31</v>
      </c>
    </row>
    <row r="6" spans="1:20" ht="15" x14ac:dyDescent="0.25">
      <c r="A6" s="5" t="s">
        <v>5</v>
      </c>
      <c r="B6" s="6">
        <v>21</v>
      </c>
      <c r="C6" s="6">
        <v>432</v>
      </c>
      <c r="D6" s="7">
        <f>C6</f>
        <v>432</v>
      </c>
      <c r="F6" s="6">
        <v>25</v>
      </c>
      <c r="G6" s="6">
        <v>1059</v>
      </c>
      <c r="H6" s="7">
        <f>G6</f>
        <v>1059</v>
      </c>
      <c r="J6" s="6">
        <f>F6-B6</f>
        <v>4</v>
      </c>
      <c r="K6" s="6">
        <f>G6-C6</f>
        <v>627</v>
      </c>
      <c r="L6" s="7">
        <f>H6-D6</f>
        <v>627</v>
      </c>
      <c r="O6" s="21">
        <v>45932</v>
      </c>
      <c r="P6" s="22">
        <v>7</v>
      </c>
      <c r="Q6" s="22">
        <v>7</v>
      </c>
      <c r="R6" s="22">
        <v>1</v>
      </c>
      <c r="S6" s="22">
        <v>1</v>
      </c>
      <c r="T6" s="23" t="s">
        <v>32</v>
      </c>
    </row>
    <row r="7" spans="1:20" ht="15" x14ac:dyDescent="0.25">
      <c r="A7" s="5" t="s">
        <v>6</v>
      </c>
      <c r="B7" s="6">
        <v>20</v>
      </c>
      <c r="C7" s="6">
        <v>723</v>
      </c>
      <c r="D7" s="7">
        <f>D6+C7</f>
        <v>1155</v>
      </c>
      <c r="F7" s="6">
        <v>14</v>
      </c>
      <c r="G7" s="6">
        <v>415</v>
      </c>
      <c r="H7" s="7">
        <f>H6+G7</f>
        <v>1474</v>
      </c>
      <c r="J7" s="6">
        <f t="shared" ref="J7:K17" si="0">F7-B7</f>
        <v>-6</v>
      </c>
      <c r="K7" s="6">
        <f t="shared" si="0"/>
        <v>-308</v>
      </c>
      <c r="L7" s="7">
        <f t="shared" ref="L7:L17" si="1">H7-D7</f>
        <v>319</v>
      </c>
      <c r="O7" s="21">
        <v>45933</v>
      </c>
      <c r="P7" s="22">
        <v>0</v>
      </c>
      <c r="Q7" s="22">
        <v>7</v>
      </c>
      <c r="R7" s="22">
        <v>0</v>
      </c>
      <c r="S7" s="22">
        <v>1</v>
      </c>
      <c r="T7" s="23" t="s">
        <v>31</v>
      </c>
    </row>
    <row r="8" spans="1:20" ht="15" x14ac:dyDescent="0.25">
      <c r="A8" s="5" t="s">
        <v>7</v>
      </c>
      <c r="B8" s="6">
        <v>12</v>
      </c>
      <c r="C8" s="6">
        <v>402</v>
      </c>
      <c r="D8" s="7">
        <f t="shared" ref="D8:D17" si="2">D7+C8</f>
        <v>1557</v>
      </c>
      <c r="F8" s="6">
        <v>22</v>
      </c>
      <c r="G8" s="6">
        <v>524</v>
      </c>
      <c r="H8" s="7">
        <f t="shared" ref="H8:H17" si="3">H7+G8</f>
        <v>1998</v>
      </c>
      <c r="J8" s="6">
        <f t="shared" si="0"/>
        <v>10</v>
      </c>
      <c r="K8" s="6">
        <f t="shared" si="0"/>
        <v>122</v>
      </c>
      <c r="L8" s="7">
        <f t="shared" si="1"/>
        <v>441</v>
      </c>
      <c r="O8" s="21">
        <v>45934</v>
      </c>
      <c r="P8" s="22">
        <v>4</v>
      </c>
      <c r="Q8" s="22">
        <v>11</v>
      </c>
      <c r="R8" s="22">
        <v>1</v>
      </c>
      <c r="S8" s="22">
        <v>2</v>
      </c>
      <c r="T8" s="23" t="s">
        <v>32</v>
      </c>
    </row>
    <row r="9" spans="1:20" ht="15" x14ac:dyDescent="0.25">
      <c r="A9" s="5" t="s">
        <v>8</v>
      </c>
      <c r="B9" s="6">
        <v>10</v>
      </c>
      <c r="C9" s="6">
        <v>119</v>
      </c>
      <c r="D9" s="7">
        <f t="shared" si="2"/>
        <v>1676</v>
      </c>
      <c r="F9" s="6">
        <v>19</v>
      </c>
      <c r="G9" s="6">
        <v>344</v>
      </c>
      <c r="H9" s="7">
        <f t="shared" si="3"/>
        <v>2342</v>
      </c>
      <c r="J9" s="6">
        <f t="shared" si="0"/>
        <v>9</v>
      </c>
      <c r="K9" s="6">
        <f t="shared" si="0"/>
        <v>225</v>
      </c>
      <c r="L9" s="7">
        <f t="shared" si="1"/>
        <v>666</v>
      </c>
      <c r="O9" s="21">
        <v>45935</v>
      </c>
      <c r="P9" s="22">
        <v>0</v>
      </c>
      <c r="Q9" s="22">
        <v>11</v>
      </c>
      <c r="R9" s="22">
        <v>0</v>
      </c>
      <c r="S9" s="22">
        <v>2</v>
      </c>
      <c r="T9" s="23" t="s">
        <v>31</v>
      </c>
    </row>
    <row r="10" spans="1:20" ht="15" x14ac:dyDescent="0.25">
      <c r="A10" s="5" t="s">
        <v>9</v>
      </c>
      <c r="B10" s="6">
        <v>20</v>
      </c>
      <c r="C10" s="6">
        <v>392</v>
      </c>
      <c r="D10" s="7">
        <f t="shared" si="2"/>
        <v>2068</v>
      </c>
      <c r="F10" s="6">
        <v>16</v>
      </c>
      <c r="G10" s="6">
        <v>295</v>
      </c>
      <c r="H10" s="7">
        <f t="shared" si="3"/>
        <v>2637</v>
      </c>
      <c r="J10" s="6">
        <f t="shared" si="0"/>
        <v>-4</v>
      </c>
      <c r="K10" s="6">
        <f t="shared" si="0"/>
        <v>-97</v>
      </c>
      <c r="L10" s="7">
        <f t="shared" si="1"/>
        <v>569</v>
      </c>
      <c r="O10" s="21">
        <v>45936</v>
      </c>
      <c r="P10" s="22">
        <v>0</v>
      </c>
      <c r="Q10" s="22">
        <v>11</v>
      </c>
      <c r="R10" s="22">
        <v>0</v>
      </c>
      <c r="S10" s="22">
        <v>2</v>
      </c>
      <c r="T10" s="23" t="s">
        <v>31</v>
      </c>
    </row>
    <row r="11" spans="1:20" ht="15" x14ac:dyDescent="0.25">
      <c r="A11" s="5" t="s">
        <v>10</v>
      </c>
      <c r="B11" s="6">
        <v>16</v>
      </c>
      <c r="C11" s="6">
        <v>319</v>
      </c>
      <c r="D11" s="7">
        <f t="shared" si="2"/>
        <v>2387</v>
      </c>
      <c r="F11" s="6">
        <v>15</v>
      </c>
      <c r="G11" s="6">
        <v>172</v>
      </c>
      <c r="H11" s="7">
        <f t="shared" si="3"/>
        <v>2809</v>
      </c>
      <c r="J11" s="6">
        <f t="shared" si="0"/>
        <v>-1</v>
      </c>
      <c r="K11" s="6">
        <f t="shared" si="0"/>
        <v>-147</v>
      </c>
      <c r="L11" s="7">
        <f t="shared" si="1"/>
        <v>422</v>
      </c>
      <c r="O11" s="21">
        <v>45937</v>
      </c>
      <c r="P11" s="22">
        <v>0</v>
      </c>
      <c r="Q11" s="22">
        <v>11</v>
      </c>
      <c r="R11" s="22">
        <v>0</v>
      </c>
      <c r="S11" s="22">
        <v>2</v>
      </c>
      <c r="T11" s="23" t="s">
        <v>31</v>
      </c>
    </row>
    <row r="12" spans="1:20" ht="15" x14ac:dyDescent="0.25">
      <c r="A12" s="5" t="s">
        <v>11</v>
      </c>
      <c r="B12" s="6">
        <v>9</v>
      </c>
      <c r="C12" s="6">
        <v>151</v>
      </c>
      <c r="D12" s="7">
        <f t="shared" si="2"/>
        <v>2538</v>
      </c>
      <c r="F12" s="6">
        <v>11</v>
      </c>
      <c r="G12" s="6">
        <v>86</v>
      </c>
      <c r="H12" s="7">
        <f t="shared" si="3"/>
        <v>2895</v>
      </c>
      <c r="J12" s="6">
        <f t="shared" si="0"/>
        <v>2</v>
      </c>
      <c r="K12" s="6">
        <f t="shared" si="0"/>
        <v>-65</v>
      </c>
      <c r="L12" s="7">
        <f t="shared" si="1"/>
        <v>357</v>
      </c>
      <c r="O12" s="21">
        <v>45938</v>
      </c>
      <c r="P12" s="22">
        <v>3</v>
      </c>
      <c r="Q12" s="22">
        <v>14</v>
      </c>
      <c r="R12" s="22">
        <v>1</v>
      </c>
      <c r="S12" s="22">
        <v>3</v>
      </c>
      <c r="T12" s="23" t="s">
        <v>33</v>
      </c>
    </row>
    <row r="13" spans="1:20" ht="15" x14ac:dyDescent="0.25">
      <c r="A13" s="5" t="s">
        <v>12</v>
      </c>
      <c r="B13" s="6">
        <v>22</v>
      </c>
      <c r="C13" s="6">
        <v>519</v>
      </c>
      <c r="D13" s="7">
        <f t="shared" si="2"/>
        <v>3057</v>
      </c>
      <c r="F13" s="6">
        <v>15</v>
      </c>
      <c r="G13" s="6">
        <v>166</v>
      </c>
      <c r="H13" s="7">
        <f t="shared" si="3"/>
        <v>3061</v>
      </c>
      <c r="J13" s="6">
        <f t="shared" si="0"/>
        <v>-7</v>
      </c>
      <c r="K13" s="6">
        <f t="shared" si="0"/>
        <v>-353</v>
      </c>
      <c r="L13" s="7">
        <f t="shared" si="1"/>
        <v>4</v>
      </c>
      <c r="O13" s="21">
        <v>45939</v>
      </c>
      <c r="P13" s="22">
        <v>0</v>
      </c>
      <c r="Q13" s="22">
        <v>14</v>
      </c>
      <c r="R13" s="22">
        <v>0</v>
      </c>
      <c r="S13" s="22">
        <v>3</v>
      </c>
      <c r="T13" s="23" t="s">
        <v>31</v>
      </c>
    </row>
    <row r="14" spans="1:20" ht="15" x14ac:dyDescent="0.25">
      <c r="A14" s="5" t="s">
        <v>13</v>
      </c>
      <c r="B14" s="6">
        <v>14</v>
      </c>
      <c r="C14" s="6">
        <v>187</v>
      </c>
      <c r="D14" s="7">
        <f t="shared" si="2"/>
        <v>3244</v>
      </c>
      <c r="F14" s="6">
        <v>16</v>
      </c>
      <c r="G14" s="6">
        <v>298</v>
      </c>
      <c r="H14" s="7">
        <f t="shared" si="3"/>
        <v>3359</v>
      </c>
      <c r="J14" s="6">
        <f t="shared" si="0"/>
        <v>2</v>
      </c>
      <c r="K14" s="6">
        <f t="shared" si="0"/>
        <v>111</v>
      </c>
      <c r="L14" s="7">
        <f t="shared" si="1"/>
        <v>115</v>
      </c>
      <c r="O14" s="21">
        <v>45940</v>
      </c>
      <c r="P14" s="22">
        <v>22</v>
      </c>
      <c r="Q14" s="22">
        <v>36</v>
      </c>
      <c r="R14" s="22">
        <v>1</v>
      </c>
      <c r="S14" s="22">
        <v>4</v>
      </c>
      <c r="T14" s="23" t="s">
        <v>34</v>
      </c>
    </row>
    <row r="15" spans="1:20" ht="15" x14ac:dyDescent="0.25">
      <c r="A15" s="5" t="s">
        <v>14</v>
      </c>
      <c r="B15" s="6">
        <v>14</v>
      </c>
      <c r="C15" s="6">
        <v>281</v>
      </c>
      <c r="D15" s="7">
        <f t="shared" si="2"/>
        <v>3525</v>
      </c>
      <c r="F15" s="6">
        <v>14</v>
      </c>
      <c r="G15" s="6">
        <v>213</v>
      </c>
      <c r="H15" s="7">
        <f t="shared" si="3"/>
        <v>3572</v>
      </c>
      <c r="J15" s="6">
        <f t="shared" si="0"/>
        <v>0</v>
      </c>
      <c r="K15" s="6">
        <f>G15-C15</f>
        <v>-68</v>
      </c>
      <c r="L15" s="7">
        <f t="shared" si="1"/>
        <v>47</v>
      </c>
      <c r="O15" s="21">
        <v>45941</v>
      </c>
      <c r="P15" s="22">
        <v>5</v>
      </c>
      <c r="Q15" s="22">
        <v>41</v>
      </c>
      <c r="R15" s="22">
        <v>1</v>
      </c>
      <c r="S15" s="22">
        <v>5</v>
      </c>
      <c r="T15" s="23" t="s">
        <v>35</v>
      </c>
    </row>
    <row r="16" spans="1:20" ht="15" x14ac:dyDescent="0.25">
      <c r="A16" s="5" t="s">
        <v>15</v>
      </c>
      <c r="B16" s="6">
        <v>21</v>
      </c>
      <c r="C16" s="6">
        <v>360</v>
      </c>
      <c r="D16" s="7">
        <f t="shared" si="2"/>
        <v>3885</v>
      </c>
      <c r="F16" s="13"/>
      <c r="G16" s="13"/>
      <c r="H16" s="14">
        <f t="shared" si="3"/>
        <v>3572</v>
      </c>
      <c r="J16" s="13">
        <f t="shared" si="0"/>
        <v>-21</v>
      </c>
      <c r="K16" s="13">
        <f t="shared" si="0"/>
        <v>-360</v>
      </c>
      <c r="L16" s="14">
        <f t="shared" si="1"/>
        <v>-313</v>
      </c>
      <c r="O16" s="21">
        <v>45942</v>
      </c>
      <c r="P16" s="22">
        <v>18</v>
      </c>
      <c r="Q16" s="22">
        <v>59</v>
      </c>
      <c r="R16" s="22">
        <v>1</v>
      </c>
      <c r="S16" s="22">
        <v>6</v>
      </c>
      <c r="T16" s="23" t="s">
        <v>36</v>
      </c>
    </row>
    <row r="17" spans="1:20" ht="15" x14ac:dyDescent="0.25">
      <c r="A17" s="5" t="s">
        <v>16</v>
      </c>
      <c r="B17" s="6">
        <v>18</v>
      </c>
      <c r="C17" s="6">
        <v>277</v>
      </c>
      <c r="D17" s="7">
        <f t="shared" si="2"/>
        <v>4162</v>
      </c>
      <c r="F17" s="13"/>
      <c r="G17" s="13"/>
      <c r="H17" s="14">
        <f t="shared" si="3"/>
        <v>3572</v>
      </c>
      <c r="J17" s="13">
        <f t="shared" si="0"/>
        <v>-18</v>
      </c>
      <c r="K17" s="13">
        <f t="shared" si="0"/>
        <v>-277</v>
      </c>
      <c r="L17" s="14">
        <f t="shared" si="1"/>
        <v>-590</v>
      </c>
      <c r="O17" s="21">
        <v>45943</v>
      </c>
      <c r="P17" s="22">
        <v>5</v>
      </c>
      <c r="Q17" s="22">
        <v>64</v>
      </c>
      <c r="R17" s="22">
        <v>1</v>
      </c>
      <c r="S17" s="22">
        <v>7</v>
      </c>
      <c r="T17" s="23" t="s">
        <v>37</v>
      </c>
    </row>
    <row r="18" spans="1:20" s="9" customFormat="1" ht="15" x14ac:dyDescent="0.25">
      <c r="A18" s="9" t="s">
        <v>17</v>
      </c>
      <c r="B18" s="10">
        <f>SUBTOTAL(9,B6:B17)</f>
        <v>197</v>
      </c>
      <c r="C18" s="10">
        <f>SUBTOTAL(9,C6:C17)</f>
        <v>4162</v>
      </c>
      <c r="D18" s="10"/>
      <c r="F18" s="15">
        <f t="shared" ref="F18:G18" si="4">SUBTOTAL(9,F6:F17)</f>
        <v>167</v>
      </c>
      <c r="G18" s="15">
        <f t="shared" si="4"/>
        <v>3572</v>
      </c>
      <c r="H18" s="15"/>
      <c r="J18" s="16">
        <f t="shared" ref="J18:K18" si="5">SUBTOTAL(9,J6:J17)</f>
        <v>-30</v>
      </c>
      <c r="K18" s="16">
        <f t="shared" si="5"/>
        <v>-590</v>
      </c>
      <c r="L18" s="16"/>
      <c r="N18" s="8"/>
      <c r="O18" s="21">
        <v>45944</v>
      </c>
      <c r="P18" s="22">
        <v>4</v>
      </c>
      <c r="Q18" s="22">
        <v>68</v>
      </c>
      <c r="R18" s="22">
        <v>1</v>
      </c>
      <c r="S18" s="22">
        <v>8</v>
      </c>
      <c r="T18" s="23" t="s">
        <v>32</v>
      </c>
    </row>
    <row r="19" spans="1:20" ht="15" x14ac:dyDescent="0.25">
      <c r="O19" s="21">
        <v>45945</v>
      </c>
      <c r="P19" s="22">
        <v>0</v>
      </c>
      <c r="Q19" s="22">
        <v>68</v>
      </c>
      <c r="R19" s="22">
        <v>0</v>
      </c>
      <c r="S19" s="22">
        <v>8</v>
      </c>
      <c r="T19" s="23" t="s">
        <v>31</v>
      </c>
    </row>
    <row r="20" spans="1:20" ht="15" x14ac:dyDescent="0.25">
      <c r="O20" s="21">
        <v>45946</v>
      </c>
      <c r="P20" s="22">
        <v>0</v>
      </c>
      <c r="Q20" s="22">
        <v>68</v>
      </c>
      <c r="R20" s="22">
        <v>0</v>
      </c>
      <c r="S20" s="22">
        <v>8</v>
      </c>
      <c r="T20" s="23" t="s">
        <v>31</v>
      </c>
    </row>
    <row r="21" spans="1:20" ht="15.75" thickBot="1" x14ac:dyDescent="0.3">
      <c r="O21" s="21">
        <v>45947</v>
      </c>
      <c r="P21" s="22">
        <v>88</v>
      </c>
      <c r="Q21" s="22">
        <v>156</v>
      </c>
      <c r="R21" s="22">
        <v>1</v>
      </c>
      <c r="S21" s="22">
        <v>9</v>
      </c>
      <c r="T21" s="23" t="s">
        <v>38</v>
      </c>
    </row>
    <row r="22" spans="1:20" ht="15" customHeight="1" x14ac:dyDescent="0.25">
      <c r="A22" s="42" t="s">
        <v>21</v>
      </c>
      <c r="B22" s="43"/>
      <c r="C22" s="44"/>
      <c r="O22" s="21">
        <v>45948</v>
      </c>
      <c r="P22" s="22">
        <v>0</v>
      </c>
      <c r="Q22" s="22">
        <v>156</v>
      </c>
      <c r="R22" s="22">
        <v>0</v>
      </c>
      <c r="S22" s="22">
        <v>9</v>
      </c>
      <c r="T22" s="23" t="s">
        <v>31</v>
      </c>
    </row>
    <row r="23" spans="1:20" ht="15.75" customHeight="1" thickBot="1" x14ac:dyDescent="0.3">
      <c r="A23" s="39">
        <f>H15-D15</f>
        <v>47</v>
      </c>
      <c r="B23" s="40"/>
      <c r="C23" s="41"/>
      <c r="O23" s="21">
        <v>45949</v>
      </c>
      <c r="P23" s="22">
        <v>0</v>
      </c>
      <c r="Q23" s="22">
        <v>156</v>
      </c>
      <c r="R23" s="22">
        <v>0</v>
      </c>
      <c r="S23" s="22">
        <v>9</v>
      </c>
      <c r="T23" s="23" t="s">
        <v>31</v>
      </c>
    </row>
    <row r="24" spans="1:20" ht="15" x14ac:dyDescent="0.25">
      <c r="A24" s="11">
        <v>2024</v>
      </c>
      <c r="B24" s="4" t="str">
        <f>IF(A23&gt;0,"&lt;",IF(A23&lt;0,"&gt;"))</f>
        <v>&lt;</v>
      </c>
      <c r="C24" s="11">
        <v>2025</v>
      </c>
      <c r="O24" s="21">
        <v>45950</v>
      </c>
      <c r="P24" s="22">
        <v>3</v>
      </c>
      <c r="Q24" s="22">
        <v>159</v>
      </c>
      <c r="R24" s="22">
        <v>1</v>
      </c>
      <c r="S24" s="22">
        <v>10</v>
      </c>
      <c r="T24" s="23" t="s">
        <v>39</v>
      </c>
    </row>
    <row r="25" spans="1:20" ht="15" x14ac:dyDescent="0.25">
      <c r="O25" s="21">
        <v>45951</v>
      </c>
      <c r="P25" s="22">
        <v>0</v>
      </c>
      <c r="Q25" s="22">
        <v>159</v>
      </c>
      <c r="R25" s="22">
        <v>0</v>
      </c>
      <c r="S25" s="22">
        <v>10</v>
      </c>
      <c r="T25" s="23" t="s">
        <v>31</v>
      </c>
    </row>
    <row r="26" spans="1:20" ht="15" x14ac:dyDescent="0.25">
      <c r="A26" s="11" t="s">
        <v>24</v>
      </c>
      <c r="O26" s="21">
        <v>45952</v>
      </c>
      <c r="P26" s="22">
        <v>19</v>
      </c>
      <c r="Q26" s="22">
        <v>178</v>
      </c>
      <c r="R26" s="22">
        <v>1</v>
      </c>
      <c r="S26" s="22">
        <v>11</v>
      </c>
      <c r="T26" s="23" t="s">
        <v>32</v>
      </c>
    </row>
    <row r="27" spans="1:20" ht="15" x14ac:dyDescent="0.25">
      <c r="A27" s="17" t="str">
        <f>IF(B24="&lt;","**2025 MM TO MONTH is more than 2024 by "&amp;A23,
IF(B24="&gt;","**2025 MM TO MONTH is less than 2024 by "&amp;A23))</f>
        <v>**2025 MM TO MONTH is more than 2024 by 47</v>
      </c>
      <c r="O27" s="21">
        <v>45953</v>
      </c>
      <c r="P27" s="22">
        <v>8</v>
      </c>
      <c r="Q27" s="22">
        <v>186</v>
      </c>
      <c r="R27" s="22">
        <v>1</v>
      </c>
      <c r="S27" s="22">
        <v>12</v>
      </c>
      <c r="T27" s="23" t="s">
        <v>40</v>
      </c>
    </row>
    <row r="28" spans="1:20" ht="15" x14ac:dyDescent="0.25">
      <c r="O28" s="21">
        <v>45954</v>
      </c>
      <c r="P28" s="22">
        <v>6</v>
      </c>
      <c r="Q28" s="22">
        <v>192</v>
      </c>
      <c r="R28" s="22">
        <v>1</v>
      </c>
      <c r="S28" s="22">
        <v>13</v>
      </c>
      <c r="T28" s="23" t="s">
        <v>41</v>
      </c>
    </row>
    <row r="29" spans="1:20" ht="15" x14ac:dyDescent="0.25">
      <c r="O29" s="21">
        <v>45955</v>
      </c>
      <c r="P29" s="22">
        <v>0</v>
      </c>
      <c r="Q29" s="22">
        <v>192</v>
      </c>
      <c r="R29" s="22">
        <v>0</v>
      </c>
      <c r="S29" s="22">
        <v>13</v>
      </c>
      <c r="T29" s="23" t="s">
        <v>31</v>
      </c>
    </row>
    <row r="30" spans="1:20" ht="15" x14ac:dyDescent="0.25">
      <c r="O30" s="21">
        <v>45956</v>
      </c>
      <c r="P30" s="22">
        <v>0</v>
      </c>
      <c r="Q30" s="22">
        <v>192</v>
      </c>
      <c r="R30" s="22">
        <v>0</v>
      </c>
      <c r="S30" s="22">
        <v>13</v>
      </c>
      <c r="T30" s="23" t="s">
        <v>31</v>
      </c>
    </row>
    <row r="31" spans="1:20" ht="15" x14ac:dyDescent="0.25">
      <c r="O31" s="21">
        <v>45957</v>
      </c>
      <c r="P31" s="22">
        <v>0</v>
      </c>
      <c r="Q31" s="22">
        <v>192</v>
      </c>
      <c r="R31" s="22">
        <v>0</v>
      </c>
      <c r="S31" s="22">
        <v>13</v>
      </c>
      <c r="T31" s="23" t="s">
        <v>31</v>
      </c>
    </row>
    <row r="32" spans="1:20" ht="15" x14ac:dyDescent="0.25">
      <c r="O32" s="21">
        <v>45958</v>
      </c>
      <c r="P32" s="22">
        <v>0</v>
      </c>
      <c r="Q32" s="22">
        <v>192</v>
      </c>
      <c r="R32" s="22">
        <v>0</v>
      </c>
      <c r="S32" s="22">
        <v>13</v>
      </c>
      <c r="T32" s="23" t="s">
        <v>31</v>
      </c>
    </row>
    <row r="33" spans="15:20" ht="15" x14ac:dyDescent="0.25">
      <c r="O33" s="21">
        <v>45959</v>
      </c>
      <c r="P33" s="22">
        <v>0</v>
      </c>
      <c r="Q33" s="22">
        <v>192</v>
      </c>
      <c r="R33" s="22">
        <v>0</v>
      </c>
      <c r="S33" s="22">
        <v>13</v>
      </c>
      <c r="T33" s="23" t="s">
        <v>31</v>
      </c>
    </row>
    <row r="34" spans="15:20" ht="15" x14ac:dyDescent="0.25">
      <c r="O34" s="21">
        <v>45960</v>
      </c>
      <c r="P34" s="22">
        <v>21</v>
      </c>
      <c r="Q34" s="22">
        <v>213</v>
      </c>
      <c r="R34" s="22">
        <v>1</v>
      </c>
      <c r="S34" s="22">
        <v>14</v>
      </c>
      <c r="T34" s="23" t="s">
        <v>42</v>
      </c>
    </row>
    <row r="35" spans="15:20" ht="15" x14ac:dyDescent="0.25">
      <c r="O35" s="21">
        <v>45961</v>
      </c>
      <c r="P35" s="22">
        <v>0</v>
      </c>
      <c r="Q35" s="22">
        <v>213</v>
      </c>
      <c r="R35" s="22">
        <v>0</v>
      </c>
      <c r="S35" s="22">
        <v>14</v>
      </c>
      <c r="T35" s="23" t="s">
        <v>31</v>
      </c>
    </row>
    <row r="36" spans="15:20" ht="15" x14ac:dyDescent="0.25">
      <c r="O36" s="24"/>
      <c r="P36" s="25">
        <v>213</v>
      </c>
      <c r="Q36" s="26"/>
      <c r="R36" s="26">
        <v>14</v>
      </c>
      <c r="S36" s="22">
        <v>28</v>
      </c>
      <c r="T36" s="24"/>
    </row>
  </sheetData>
  <mergeCells count="12">
    <mergeCell ref="J3:L3"/>
    <mergeCell ref="J4:L4"/>
    <mergeCell ref="P3:Q3"/>
    <mergeCell ref="R3:S3"/>
    <mergeCell ref="T3:T4"/>
    <mergeCell ref="A22:C22"/>
    <mergeCell ref="A23:C23"/>
    <mergeCell ref="B3:D3"/>
    <mergeCell ref="F3:H3"/>
    <mergeCell ref="A4:A5"/>
    <mergeCell ref="B4:D4"/>
    <mergeCell ref="F4:H4"/>
  </mergeCells>
  <pageMargins left="0.25" right="0.25" top="0.75" bottom="0.75" header="0.3" footer="0.3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2AB8D-71A7-4721-B74F-FBBF8EE5A2CE}">
  <sheetPr>
    <tabColor theme="1"/>
    <pageSetUpPr fitToPage="1"/>
  </sheetPr>
  <dimension ref="A1:T36"/>
  <sheetViews>
    <sheetView workbookViewId="0">
      <selection activeCell="AB13" sqref="AB13"/>
    </sheetView>
  </sheetViews>
  <sheetFormatPr defaultColWidth="9.140625" defaultRowHeight="13.5" x14ac:dyDescent="0.25"/>
  <cols>
    <col min="1" max="1" width="9.140625" style="8"/>
    <col min="2" max="2" width="7" style="8" bestFit="1" customWidth="1"/>
    <col min="3" max="3" width="8.42578125" style="8" bestFit="1" customWidth="1"/>
    <col min="4" max="4" width="12.42578125" style="8" bestFit="1" customWidth="1"/>
    <col min="5" max="5" width="1.140625" style="8" customWidth="1"/>
    <col min="6" max="6" width="7" style="8" bestFit="1" customWidth="1"/>
    <col min="7" max="7" width="8.42578125" style="8" bestFit="1" customWidth="1"/>
    <col min="8" max="8" width="12.42578125" style="8" bestFit="1" customWidth="1"/>
    <col min="9" max="9" width="1.140625" style="8" customWidth="1"/>
    <col min="10" max="10" width="8.42578125" style="8" bestFit="1" customWidth="1"/>
    <col min="11" max="11" width="9.42578125" style="8" bestFit="1" customWidth="1"/>
    <col min="12" max="12" width="12.42578125" style="8" bestFit="1" customWidth="1"/>
    <col min="13" max="13" width="1.140625" style="8" customWidth="1"/>
    <col min="14" max="14" width="0" style="8" hidden="1" customWidth="1"/>
    <col min="15" max="15" width="10" style="8" hidden="1" customWidth="1"/>
    <col min="16" max="16" width="7" style="8" hidden="1" customWidth="1"/>
    <col min="17" max="17" width="8" style="8" hidden="1" customWidth="1"/>
    <col min="18" max="18" width="7" style="8" hidden="1" customWidth="1"/>
    <col min="19" max="19" width="8" style="8" hidden="1" customWidth="1"/>
    <col min="20" max="20" width="29.140625" style="8" hidden="1" customWidth="1"/>
    <col min="21" max="25" width="0" style="8" hidden="1" customWidth="1"/>
    <col min="26" max="16384" width="9.140625" style="8"/>
  </cols>
  <sheetData>
    <row r="1" spans="1:20" s="2" customFormat="1" ht="15.75" x14ac:dyDescent="0.25">
      <c r="A1" s="1" t="s">
        <v>57</v>
      </c>
    </row>
    <row r="2" spans="1:20" s="2" customFormat="1" ht="15.75" x14ac:dyDescent="0.25">
      <c r="A2" s="1"/>
    </row>
    <row r="3" spans="1:20" s="2" customFormat="1" ht="45" customHeight="1" x14ac:dyDescent="0.25">
      <c r="A3" s="1"/>
      <c r="B3" s="38">
        <v>2024</v>
      </c>
      <c r="C3" s="38"/>
      <c r="D3" s="38"/>
      <c r="F3" s="38">
        <v>2025</v>
      </c>
      <c r="G3" s="38"/>
      <c r="H3" s="38"/>
      <c r="J3" s="38" t="s">
        <v>19</v>
      </c>
      <c r="K3" s="38"/>
      <c r="L3" s="38"/>
      <c r="O3" s="18"/>
      <c r="P3" s="45" t="s">
        <v>25</v>
      </c>
      <c r="Q3" s="46"/>
      <c r="R3" s="45" t="s">
        <v>26</v>
      </c>
      <c r="S3" s="46"/>
      <c r="T3" s="47" t="s">
        <v>27</v>
      </c>
    </row>
    <row r="4" spans="1:20" s="4" customFormat="1" ht="15" x14ac:dyDescent="0.25">
      <c r="A4" s="38" t="s">
        <v>0</v>
      </c>
      <c r="B4" s="38" t="s">
        <v>1</v>
      </c>
      <c r="C4" s="38"/>
      <c r="D4" s="38"/>
      <c r="F4" s="38" t="s">
        <v>1</v>
      </c>
      <c r="G4" s="38"/>
      <c r="H4" s="38"/>
      <c r="J4" s="38" t="s">
        <v>18</v>
      </c>
      <c r="K4" s="38"/>
      <c r="L4" s="38"/>
      <c r="O4" s="19" t="s">
        <v>28</v>
      </c>
      <c r="P4" s="20" t="s">
        <v>29</v>
      </c>
      <c r="Q4" s="20" t="s">
        <v>30</v>
      </c>
      <c r="R4" s="20" t="s">
        <v>29</v>
      </c>
      <c r="S4" s="20" t="s">
        <v>30</v>
      </c>
      <c r="T4" s="48"/>
    </row>
    <row r="5" spans="1:20" s="4" customFormat="1" ht="15" x14ac:dyDescent="0.25">
      <c r="A5" s="38"/>
      <c r="B5" s="3" t="s">
        <v>4</v>
      </c>
      <c r="C5" s="3" t="s">
        <v>2</v>
      </c>
      <c r="D5" s="3" t="s">
        <v>3</v>
      </c>
      <c r="F5" s="12" t="s">
        <v>4</v>
      </c>
      <c r="G5" s="12" t="s">
        <v>2</v>
      </c>
      <c r="H5" s="12" t="s">
        <v>3</v>
      </c>
      <c r="J5" s="12" t="s">
        <v>4</v>
      </c>
      <c r="K5" s="12" t="s">
        <v>2</v>
      </c>
      <c r="L5" s="12" t="s">
        <v>3</v>
      </c>
      <c r="O5" s="21">
        <v>45962</v>
      </c>
      <c r="P5" s="22">
        <v>0</v>
      </c>
      <c r="Q5" s="22">
        <v>0</v>
      </c>
      <c r="R5" s="22">
        <v>0</v>
      </c>
      <c r="S5" s="22">
        <v>0</v>
      </c>
      <c r="T5" s="23" t="s">
        <v>31</v>
      </c>
    </row>
    <row r="6" spans="1:20" ht="15" x14ac:dyDescent="0.25">
      <c r="A6" s="5" t="s">
        <v>5</v>
      </c>
      <c r="B6" s="6">
        <v>21</v>
      </c>
      <c r="C6" s="6">
        <v>432</v>
      </c>
      <c r="D6" s="7">
        <f>C6</f>
        <v>432</v>
      </c>
      <c r="F6" s="6">
        <v>25</v>
      </c>
      <c r="G6" s="6">
        <v>1059</v>
      </c>
      <c r="H6" s="7">
        <f>G6</f>
        <v>1059</v>
      </c>
      <c r="J6" s="6">
        <f>F6-B6</f>
        <v>4</v>
      </c>
      <c r="K6" s="6">
        <f>G6-C6</f>
        <v>627</v>
      </c>
      <c r="L6" s="7">
        <f>H6-D6</f>
        <v>627</v>
      </c>
      <c r="O6" s="21">
        <v>45963</v>
      </c>
      <c r="P6" s="22">
        <v>0</v>
      </c>
      <c r="Q6" s="22">
        <v>0</v>
      </c>
      <c r="R6" s="22">
        <v>0</v>
      </c>
      <c r="S6" s="22">
        <v>0</v>
      </c>
      <c r="T6" s="23" t="s">
        <v>31</v>
      </c>
    </row>
    <row r="7" spans="1:20" ht="15" x14ac:dyDescent="0.25">
      <c r="A7" s="5" t="s">
        <v>6</v>
      </c>
      <c r="B7" s="6">
        <v>20</v>
      </c>
      <c r="C7" s="6">
        <v>723</v>
      </c>
      <c r="D7" s="7">
        <f>D6+C7</f>
        <v>1155</v>
      </c>
      <c r="F7" s="6">
        <v>14</v>
      </c>
      <c r="G7" s="6">
        <v>415</v>
      </c>
      <c r="H7" s="7">
        <f>H6+G7</f>
        <v>1474</v>
      </c>
      <c r="J7" s="6">
        <f t="shared" ref="J7:L17" si="0">F7-B7</f>
        <v>-6</v>
      </c>
      <c r="K7" s="6">
        <f t="shared" si="0"/>
        <v>-308</v>
      </c>
      <c r="L7" s="7">
        <f t="shared" si="0"/>
        <v>319</v>
      </c>
      <c r="O7" s="21">
        <v>45964</v>
      </c>
      <c r="P7" s="22">
        <v>20</v>
      </c>
      <c r="Q7" s="22">
        <v>20</v>
      </c>
      <c r="R7" s="22">
        <v>1</v>
      </c>
      <c r="S7" s="22">
        <v>1</v>
      </c>
      <c r="T7" s="23" t="s">
        <v>43</v>
      </c>
    </row>
    <row r="8" spans="1:20" ht="15" x14ac:dyDescent="0.25">
      <c r="A8" s="5" t="s">
        <v>7</v>
      </c>
      <c r="B8" s="6">
        <v>12</v>
      </c>
      <c r="C8" s="6">
        <v>402</v>
      </c>
      <c r="D8" s="7">
        <f t="shared" ref="D8:D17" si="1">D7+C8</f>
        <v>1557</v>
      </c>
      <c r="F8" s="6">
        <v>22</v>
      </c>
      <c r="G8" s="6">
        <v>524</v>
      </c>
      <c r="H8" s="7">
        <f t="shared" ref="H8:H17" si="2">H7+G8</f>
        <v>1998</v>
      </c>
      <c r="J8" s="6">
        <f t="shared" si="0"/>
        <v>10</v>
      </c>
      <c r="K8" s="6">
        <f t="shared" si="0"/>
        <v>122</v>
      </c>
      <c r="L8" s="7">
        <f t="shared" si="0"/>
        <v>441</v>
      </c>
      <c r="O8" s="21">
        <v>45965</v>
      </c>
      <c r="P8" s="22">
        <v>0</v>
      </c>
      <c r="Q8" s="22">
        <v>20</v>
      </c>
      <c r="R8" s="22">
        <v>0</v>
      </c>
      <c r="S8" s="22">
        <v>1</v>
      </c>
      <c r="T8" s="23" t="s">
        <v>31</v>
      </c>
    </row>
    <row r="9" spans="1:20" ht="15" x14ac:dyDescent="0.25">
      <c r="A9" s="5" t="s">
        <v>8</v>
      </c>
      <c r="B9" s="6">
        <v>10</v>
      </c>
      <c r="C9" s="6">
        <v>119</v>
      </c>
      <c r="D9" s="7">
        <f t="shared" si="1"/>
        <v>1676</v>
      </c>
      <c r="F9" s="6">
        <v>19</v>
      </c>
      <c r="G9" s="6">
        <v>344</v>
      </c>
      <c r="H9" s="7">
        <f t="shared" si="2"/>
        <v>2342</v>
      </c>
      <c r="J9" s="6">
        <f t="shared" si="0"/>
        <v>9</v>
      </c>
      <c r="K9" s="6">
        <f t="shared" si="0"/>
        <v>225</v>
      </c>
      <c r="L9" s="7">
        <f t="shared" si="0"/>
        <v>666</v>
      </c>
      <c r="O9" s="21">
        <v>45966</v>
      </c>
      <c r="P9" s="22">
        <v>39</v>
      </c>
      <c r="Q9" s="22">
        <v>59</v>
      </c>
      <c r="R9" s="22">
        <v>1</v>
      </c>
      <c r="S9" s="22">
        <v>2</v>
      </c>
      <c r="T9" s="23" t="s">
        <v>32</v>
      </c>
    </row>
    <row r="10" spans="1:20" ht="15" x14ac:dyDescent="0.25">
      <c r="A10" s="5" t="s">
        <v>9</v>
      </c>
      <c r="B10" s="6">
        <v>20</v>
      </c>
      <c r="C10" s="6">
        <v>392</v>
      </c>
      <c r="D10" s="7">
        <f t="shared" si="1"/>
        <v>2068</v>
      </c>
      <c r="F10" s="6">
        <v>16</v>
      </c>
      <c r="G10" s="6">
        <v>295</v>
      </c>
      <c r="H10" s="7">
        <f t="shared" si="2"/>
        <v>2637</v>
      </c>
      <c r="J10" s="6">
        <f t="shared" si="0"/>
        <v>-4</v>
      </c>
      <c r="K10" s="6">
        <f t="shared" si="0"/>
        <v>-97</v>
      </c>
      <c r="L10" s="7">
        <f t="shared" si="0"/>
        <v>569</v>
      </c>
      <c r="O10" s="21">
        <v>45967</v>
      </c>
      <c r="P10" s="22">
        <v>0</v>
      </c>
      <c r="Q10" s="22">
        <v>59</v>
      </c>
      <c r="R10" s="22">
        <v>0</v>
      </c>
      <c r="S10" s="22">
        <v>2</v>
      </c>
      <c r="T10" s="23" t="s">
        <v>31</v>
      </c>
    </row>
    <row r="11" spans="1:20" ht="15" x14ac:dyDescent="0.25">
      <c r="A11" s="5" t="s">
        <v>10</v>
      </c>
      <c r="B11" s="6">
        <v>16</v>
      </c>
      <c r="C11" s="6">
        <v>319</v>
      </c>
      <c r="D11" s="7">
        <f t="shared" si="1"/>
        <v>2387</v>
      </c>
      <c r="F11" s="6">
        <v>15</v>
      </c>
      <c r="G11" s="6">
        <v>172</v>
      </c>
      <c r="H11" s="7">
        <f t="shared" si="2"/>
        <v>2809</v>
      </c>
      <c r="J11" s="6">
        <f t="shared" si="0"/>
        <v>-1</v>
      </c>
      <c r="K11" s="6">
        <f t="shared" si="0"/>
        <v>-147</v>
      </c>
      <c r="L11" s="7">
        <f t="shared" si="0"/>
        <v>422</v>
      </c>
      <c r="O11" s="21">
        <v>45968</v>
      </c>
      <c r="P11" s="22">
        <v>0</v>
      </c>
      <c r="Q11" s="22">
        <v>59</v>
      </c>
      <c r="R11" s="22">
        <v>0</v>
      </c>
      <c r="S11" s="22">
        <v>2</v>
      </c>
      <c r="T11" s="23" t="s">
        <v>31</v>
      </c>
    </row>
    <row r="12" spans="1:20" ht="15" x14ac:dyDescent="0.25">
      <c r="A12" s="5" t="s">
        <v>11</v>
      </c>
      <c r="B12" s="6">
        <v>9</v>
      </c>
      <c r="C12" s="6">
        <v>151</v>
      </c>
      <c r="D12" s="7">
        <f t="shared" si="1"/>
        <v>2538</v>
      </c>
      <c r="F12" s="6">
        <v>11</v>
      </c>
      <c r="G12" s="6">
        <v>86</v>
      </c>
      <c r="H12" s="7">
        <f t="shared" si="2"/>
        <v>2895</v>
      </c>
      <c r="J12" s="6">
        <f t="shared" si="0"/>
        <v>2</v>
      </c>
      <c r="K12" s="6">
        <f t="shared" si="0"/>
        <v>-65</v>
      </c>
      <c r="L12" s="7">
        <f t="shared" si="0"/>
        <v>357</v>
      </c>
      <c r="O12" s="21">
        <v>45969</v>
      </c>
      <c r="P12" s="22">
        <v>13</v>
      </c>
      <c r="Q12" s="22">
        <v>72</v>
      </c>
      <c r="R12" s="22">
        <v>1</v>
      </c>
      <c r="S12" s="22">
        <v>3</v>
      </c>
      <c r="T12" s="23" t="s">
        <v>44</v>
      </c>
    </row>
    <row r="13" spans="1:20" ht="15" x14ac:dyDescent="0.25">
      <c r="A13" s="5" t="s">
        <v>12</v>
      </c>
      <c r="B13" s="6">
        <v>22</v>
      </c>
      <c r="C13" s="6">
        <v>519</v>
      </c>
      <c r="D13" s="7">
        <f t="shared" si="1"/>
        <v>3057</v>
      </c>
      <c r="F13" s="6">
        <v>15</v>
      </c>
      <c r="G13" s="6">
        <v>166</v>
      </c>
      <c r="H13" s="7">
        <f t="shared" si="2"/>
        <v>3061</v>
      </c>
      <c r="J13" s="6">
        <f t="shared" si="0"/>
        <v>-7</v>
      </c>
      <c r="K13" s="6">
        <f t="shared" si="0"/>
        <v>-353</v>
      </c>
      <c r="L13" s="7">
        <f t="shared" si="0"/>
        <v>4</v>
      </c>
      <c r="O13" s="21">
        <v>45970</v>
      </c>
      <c r="P13" s="22">
        <v>0</v>
      </c>
      <c r="Q13" s="22">
        <v>72</v>
      </c>
      <c r="R13" s="22">
        <v>0</v>
      </c>
      <c r="S13" s="22">
        <v>3</v>
      </c>
      <c r="T13" s="23" t="s">
        <v>31</v>
      </c>
    </row>
    <row r="14" spans="1:20" ht="15" x14ac:dyDescent="0.25">
      <c r="A14" s="5" t="s">
        <v>13</v>
      </c>
      <c r="B14" s="6">
        <v>14</v>
      </c>
      <c r="C14" s="6">
        <v>187</v>
      </c>
      <c r="D14" s="7">
        <f t="shared" si="1"/>
        <v>3244</v>
      </c>
      <c r="F14" s="6">
        <v>16</v>
      </c>
      <c r="G14" s="6">
        <v>298</v>
      </c>
      <c r="H14" s="7">
        <f t="shared" si="2"/>
        <v>3359</v>
      </c>
      <c r="J14" s="6">
        <f t="shared" si="0"/>
        <v>2</v>
      </c>
      <c r="K14" s="6">
        <f t="shared" si="0"/>
        <v>111</v>
      </c>
      <c r="L14" s="7">
        <f t="shared" si="0"/>
        <v>115</v>
      </c>
      <c r="O14" s="21">
        <v>45971</v>
      </c>
      <c r="P14" s="22">
        <v>0</v>
      </c>
      <c r="Q14" s="22">
        <v>72</v>
      </c>
      <c r="R14" s="22">
        <v>0</v>
      </c>
      <c r="S14" s="22">
        <v>3</v>
      </c>
      <c r="T14" s="23" t="s">
        <v>31</v>
      </c>
    </row>
    <row r="15" spans="1:20" ht="15" x14ac:dyDescent="0.25">
      <c r="A15" s="5" t="s">
        <v>14</v>
      </c>
      <c r="B15" s="6">
        <v>14</v>
      </c>
      <c r="C15" s="6">
        <v>281</v>
      </c>
      <c r="D15" s="7">
        <f t="shared" si="1"/>
        <v>3525</v>
      </c>
      <c r="F15" s="6">
        <v>14</v>
      </c>
      <c r="G15" s="6">
        <v>213</v>
      </c>
      <c r="H15" s="7">
        <f t="shared" si="2"/>
        <v>3572</v>
      </c>
      <c r="J15" s="6">
        <f t="shared" si="0"/>
        <v>0</v>
      </c>
      <c r="K15" s="6">
        <f>G15-C15</f>
        <v>-68</v>
      </c>
      <c r="L15" s="7">
        <f t="shared" si="0"/>
        <v>47</v>
      </c>
      <c r="O15" s="21">
        <v>45972</v>
      </c>
      <c r="P15" s="22">
        <v>25</v>
      </c>
      <c r="Q15" s="22">
        <v>97</v>
      </c>
      <c r="R15" s="22">
        <v>1</v>
      </c>
      <c r="S15" s="22">
        <v>4</v>
      </c>
      <c r="T15" s="23" t="s">
        <v>45</v>
      </c>
    </row>
    <row r="16" spans="1:20" ht="15" x14ac:dyDescent="0.25">
      <c r="A16" s="5" t="s">
        <v>15</v>
      </c>
      <c r="B16" s="6">
        <v>21</v>
      </c>
      <c r="C16" s="6">
        <v>360</v>
      </c>
      <c r="D16" s="7">
        <f t="shared" si="1"/>
        <v>3885</v>
      </c>
      <c r="F16" s="6">
        <v>20</v>
      </c>
      <c r="G16" s="6">
        <v>384</v>
      </c>
      <c r="H16" s="7">
        <f t="shared" si="2"/>
        <v>3956</v>
      </c>
      <c r="J16" s="6">
        <f t="shared" si="0"/>
        <v>-1</v>
      </c>
      <c r="K16" s="6">
        <f t="shared" si="0"/>
        <v>24</v>
      </c>
      <c r="L16" s="7">
        <f t="shared" si="0"/>
        <v>71</v>
      </c>
      <c r="O16" s="21">
        <v>45973</v>
      </c>
      <c r="P16" s="22">
        <v>68</v>
      </c>
      <c r="Q16" s="22">
        <v>165</v>
      </c>
      <c r="R16" s="22">
        <v>1</v>
      </c>
      <c r="S16" s="22">
        <v>5</v>
      </c>
      <c r="T16" s="23" t="s">
        <v>46</v>
      </c>
    </row>
    <row r="17" spans="1:20" ht="15" x14ac:dyDescent="0.25">
      <c r="A17" s="5" t="s">
        <v>16</v>
      </c>
      <c r="B17" s="6">
        <v>18</v>
      </c>
      <c r="C17" s="6">
        <v>277</v>
      </c>
      <c r="D17" s="7">
        <f t="shared" si="1"/>
        <v>4162</v>
      </c>
      <c r="F17" s="13"/>
      <c r="G17" s="13"/>
      <c r="H17" s="14">
        <f t="shared" si="2"/>
        <v>3956</v>
      </c>
      <c r="J17" s="13">
        <f t="shared" si="0"/>
        <v>-18</v>
      </c>
      <c r="K17" s="13">
        <f t="shared" si="0"/>
        <v>-277</v>
      </c>
      <c r="L17" s="14">
        <f t="shared" si="0"/>
        <v>-206</v>
      </c>
      <c r="O17" s="21">
        <v>45974</v>
      </c>
      <c r="P17" s="22">
        <v>0</v>
      </c>
      <c r="Q17" s="22">
        <v>165</v>
      </c>
      <c r="R17" s="22">
        <v>0</v>
      </c>
      <c r="S17" s="22">
        <v>5</v>
      </c>
      <c r="T17" s="23" t="s">
        <v>31</v>
      </c>
    </row>
    <row r="18" spans="1:20" s="9" customFormat="1" ht="15" x14ac:dyDescent="0.25">
      <c r="A18" s="9" t="s">
        <v>17</v>
      </c>
      <c r="B18" s="10">
        <f>SUBTOTAL(9,B6:B17)</f>
        <v>197</v>
      </c>
      <c r="C18" s="10">
        <f>SUBTOTAL(9,C6:C17)</f>
        <v>4162</v>
      </c>
      <c r="D18" s="10"/>
      <c r="F18" s="10">
        <f t="shared" ref="F18:G18" si="3">SUBTOTAL(9,F6:F17)</f>
        <v>187</v>
      </c>
      <c r="G18" s="10">
        <f t="shared" si="3"/>
        <v>3956</v>
      </c>
      <c r="H18" s="10"/>
      <c r="J18" s="34">
        <f t="shared" ref="J18:K18" si="4">SUBTOTAL(9,J6:J17)</f>
        <v>-10</v>
      </c>
      <c r="K18" s="34">
        <f t="shared" si="4"/>
        <v>-206</v>
      </c>
      <c r="L18" s="34"/>
      <c r="N18" s="8"/>
      <c r="O18" s="21">
        <v>45975</v>
      </c>
      <c r="P18" s="22">
        <v>4</v>
      </c>
      <c r="Q18" s="22">
        <v>169</v>
      </c>
      <c r="R18" s="22">
        <v>1</v>
      </c>
      <c r="S18" s="22">
        <v>6</v>
      </c>
      <c r="T18" s="23" t="s">
        <v>47</v>
      </c>
    </row>
    <row r="19" spans="1:20" ht="15" x14ac:dyDescent="0.25">
      <c r="O19" s="21">
        <v>45976</v>
      </c>
      <c r="P19" s="22">
        <v>8</v>
      </c>
      <c r="Q19" s="22">
        <v>177</v>
      </c>
      <c r="R19" s="22">
        <v>1</v>
      </c>
      <c r="S19" s="22">
        <v>7</v>
      </c>
      <c r="T19" s="23" t="s">
        <v>48</v>
      </c>
    </row>
    <row r="20" spans="1:20" ht="15" x14ac:dyDescent="0.25">
      <c r="O20" s="21">
        <v>45977</v>
      </c>
      <c r="P20" s="22">
        <v>2</v>
      </c>
      <c r="Q20" s="22">
        <v>179</v>
      </c>
      <c r="R20" s="22">
        <v>1</v>
      </c>
      <c r="S20" s="22">
        <v>8</v>
      </c>
      <c r="T20" s="23" t="s">
        <v>47</v>
      </c>
    </row>
    <row r="21" spans="1:20" ht="15.75" thickBot="1" x14ac:dyDescent="0.3">
      <c r="O21" s="21">
        <v>45978</v>
      </c>
      <c r="P21" s="22">
        <v>9</v>
      </c>
      <c r="Q21" s="22">
        <v>188</v>
      </c>
      <c r="R21" s="22">
        <v>1</v>
      </c>
      <c r="S21" s="22">
        <v>9</v>
      </c>
      <c r="T21" s="23" t="s">
        <v>49</v>
      </c>
    </row>
    <row r="22" spans="1:20" ht="15" customHeight="1" x14ac:dyDescent="0.25">
      <c r="A22" s="42" t="s">
        <v>21</v>
      </c>
      <c r="B22" s="43"/>
      <c r="C22" s="44"/>
      <c r="O22" s="21">
        <v>45979</v>
      </c>
      <c r="P22" s="22">
        <v>2</v>
      </c>
      <c r="Q22" s="22">
        <v>190</v>
      </c>
      <c r="R22" s="22">
        <v>1</v>
      </c>
      <c r="S22" s="22">
        <v>10</v>
      </c>
      <c r="T22" s="23" t="s">
        <v>47</v>
      </c>
    </row>
    <row r="23" spans="1:20" ht="15.75" customHeight="1" thickBot="1" x14ac:dyDescent="0.3">
      <c r="A23" s="39">
        <f>H16-D16</f>
        <v>71</v>
      </c>
      <c r="B23" s="40"/>
      <c r="C23" s="41"/>
      <c r="O23" s="21">
        <v>45980</v>
      </c>
      <c r="P23" s="22">
        <v>11</v>
      </c>
      <c r="Q23" s="22">
        <v>201</v>
      </c>
      <c r="R23" s="22">
        <v>1</v>
      </c>
      <c r="S23" s="22">
        <v>11</v>
      </c>
      <c r="T23" s="23" t="s">
        <v>50</v>
      </c>
    </row>
    <row r="24" spans="1:20" ht="15" x14ac:dyDescent="0.25">
      <c r="A24" s="11">
        <v>2024</v>
      </c>
      <c r="B24" s="4" t="str">
        <f>IF(A23&gt;0,"&lt;",IF(A23&lt;0,"&gt;"))</f>
        <v>&lt;</v>
      </c>
      <c r="C24" s="11">
        <v>2025</v>
      </c>
      <c r="O24" s="21">
        <v>45981</v>
      </c>
      <c r="P24" s="22">
        <v>23</v>
      </c>
      <c r="Q24" s="22">
        <v>224</v>
      </c>
      <c r="R24" s="22">
        <v>1</v>
      </c>
      <c r="S24" s="22">
        <v>12</v>
      </c>
      <c r="T24" s="23" t="s">
        <v>47</v>
      </c>
    </row>
    <row r="25" spans="1:20" ht="15" x14ac:dyDescent="0.25">
      <c r="O25" s="21">
        <v>45982</v>
      </c>
      <c r="P25" s="22">
        <v>6</v>
      </c>
      <c r="Q25" s="22">
        <v>230</v>
      </c>
      <c r="R25" s="22">
        <v>1</v>
      </c>
      <c r="S25" s="22">
        <v>13</v>
      </c>
      <c r="T25" s="23" t="s">
        <v>47</v>
      </c>
    </row>
    <row r="26" spans="1:20" ht="15" x14ac:dyDescent="0.25">
      <c r="A26" s="11" t="s">
        <v>55</v>
      </c>
      <c r="O26" s="21">
        <v>45983</v>
      </c>
      <c r="P26" s="22">
        <v>10</v>
      </c>
      <c r="Q26" s="22">
        <v>240</v>
      </c>
      <c r="R26" s="22">
        <v>1</v>
      </c>
      <c r="S26" s="22">
        <v>14</v>
      </c>
      <c r="T26" s="23" t="s">
        <v>40</v>
      </c>
    </row>
    <row r="27" spans="1:20" ht="15" x14ac:dyDescent="0.25">
      <c r="A27" s="17" t="str">
        <f>IF(B24="&lt;","**2025 MM TO MONTH is more than 2024 by "&amp;A23,
IF(B24="&gt;","**2025 MM TO MONTH is less than 2024 by "&amp;A23))</f>
        <v>**2025 MM TO MONTH is more than 2024 by 71</v>
      </c>
      <c r="O27" s="21">
        <v>45984</v>
      </c>
      <c r="P27" s="22">
        <v>33</v>
      </c>
      <c r="Q27" s="22">
        <v>273</v>
      </c>
      <c r="R27" s="22">
        <v>1</v>
      </c>
      <c r="S27" s="22">
        <v>15</v>
      </c>
      <c r="T27" s="23" t="s">
        <v>51</v>
      </c>
    </row>
    <row r="28" spans="1:20" ht="15" x14ac:dyDescent="0.25">
      <c r="O28" s="21">
        <v>45985</v>
      </c>
      <c r="P28" s="22">
        <v>8</v>
      </c>
      <c r="Q28" s="22">
        <v>281</v>
      </c>
      <c r="R28" s="22">
        <v>1</v>
      </c>
      <c r="S28" s="22">
        <v>16</v>
      </c>
      <c r="T28" s="23" t="s">
        <v>47</v>
      </c>
    </row>
    <row r="29" spans="1:20" ht="15" x14ac:dyDescent="0.25">
      <c r="O29" s="21">
        <v>45986</v>
      </c>
      <c r="P29" s="22">
        <v>38</v>
      </c>
      <c r="Q29" s="22">
        <v>319</v>
      </c>
      <c r="R29" s="22">
        <v>1</v>
      </c>
      <c r="S29" s="22">
        <v>17</v>
      </c>
      <c r="T29" s="23" t="s">
        <v>46</v>
      </c>
    </row>
    <row r="30" spans="1:20" ht="15" x14ac:dyDescent="0.25">
      <c r="O30" s="21">
        <v>45987</v>
      </c>
      <c r="P30" s="22">
        <v>0</v>
      </c>
      <c r="Q30" s="22">
        <v>319</v>
      </c>
      <c r="R30" s="22">
        <v>0</v>
      </c>
      <c r="S30" s="22">
        <v>17</v>
      </c>
      <c r="T30" s="23" t="s">
        <v>31</v>
      </c>
    </row>
    <row r="31" spans="1:20" ht="15" x14ac:dyDescent="0.25">
      <c r="O31" s="21">
        <v>45988</v>
      </c>
      <c r="P31" s="22">
        <v>46</v>
      </c>
      <c r="Q31" s="22">
        <v>365</v>
      </c>
      <c r="R31" s="22">
        <v>1</v>
      </c>
      <c r="S31" s="22">
        <v>18</v>
      </c>
      <c r="T31" s="23" t="s">
        <v>52</v>
      </c>
    </row>
    <row r="32" spans="1:20" ht="15" x14ac:dyDescent="0.25">
      <c r="O32" s="21">
        <v>45989</v>
      </c>
      <c r="P32" s="22">
        <v>5</v>
      </c>
      <c r="Q32" s="22">
        <v>370</v>
      </c>
      <c r="R32" s="22">
        <v>1</v>
      </c>
      <c r="S32" s="22">
        <v>19</v>
      </c>
      <c r="T32" s="23" t="s">
        <v>53</v>
      </c>
    </row>
    <row r="33" spans="15:20" ht="15" x14ac:dyDescent="0.25">
      <c r="O33" s="21">
        <v>45990</v>
      </c>
      <c r="P33" s="22">
        <v>0</v>
      </c>
      <c r="Q33" s="22">
        <v>370</v>
      </c>
      <c r="R33" s="22">
        <v>0</v>
      </c>
      <c r="S33" s="22">
        <v>19</v>
      </c>
      <c r="T33" s="23" t="s">
        <v>31</v>
      </c>
    </row>
    <row r="34" spans="15:20" ht="15" x14ac:dyDescent="0.25">
      <c r="O34" s="21">
        <v>45991</v>
      </c>
      <c r="P34" s="22">
        <v>14</v>
      </c>
      <c r="Q34" s="22">
        <v>384</v>
      </c>
      <c r="R34" s="22">
        <v>1</v>
      </c>
      <c r="S34" s="22">
        <v>20</v>
      </c>
      <c r="T34" s="23" t="s">
        <v>54</v>
      </c>
    </row>
    <row r="35" spans="15:20" ht="15" x14ac:dyDescent="0.25">
      <c r="O35" s="27"/>
      <c r="P35" s="28"/>
      <c r="Q35" s="28"/>
      <c r="R35" s="28"/>
      <c r="S35" s="28"/>
      <c r="T35" s="29"/>
    </row>
    <row r="36" spans="15:20" ht="15" x14ac:dyDescent="0.25">
      <c r="O36" s="24"/>
      <c r="P36" s="31">
        <f>SUM(P5:P35)</f>
        <v>384</v>
      </c>
      <c r="Q36" s="32"/>
      <c r="R36" s="33">
        <f>SUM(R5:R35)</f>
        <v>20</v>
      </c>
      <c r="S36" s="30">
        <f>R36+S35</f>
        <v>20</v>
      </c>
      <c r="T36" s="24"/>
    </row>
  </sheetData>
  <mergeCells count="12">
    <mergeCell ref="R3:S3"/>
    <mergeCell ref="T3:T4"/>
    <mergeCell ref="A23:C23"/>
    <mergeCell ref="B3:D3"/>
    <mergeCell ref="F3:H3"/>
    <mergeCell ref="J3:L3"/>
    <mergeCell ref="P3:Q3"/>
    <mergeCell ref="A4:A5"/>
    <mergeCell ref="B4:D4"/>
    <mergeCell ref="F4:H4"/>
    <mergeCell ref="J4:L4"/>
    <mergeCell ref="A22:C22"/>
  </mergeCells>
  <pageMargins left="0.25" right="0.25" top="0.75" bottom="0.75" header="0.3" footer="0.3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B03C6-C78A-411E-A098-9B9929CD5673}">
  <sheetPr>
    <pageSetUpPr fitToPage="1"/>
  </sheetPr>
  <dimension ref="A1:T36"/>
  <sheetViews>
    <sheetView tabSelected="1" workbookViewId="0">
      <selection activeCell="H26" sqref="H26"/>
    </sheetView>
  </sheetViews>
  <sheetFormatPr defaultColWidth="9.140625" defaultRowHeight="13.5" x14ac:dyDescent="0.25"/>
  <cols>
    <col min="1" max="1" width="9.140625" style="8"/>
    <col min="2" max="2" width="7" style="8" bestFit="1" customWidth="1"/>
    <col min="3" max="3" width="8.42578125" style="8" bestFit="1" customWidth="1"/>
    <col min="4" max="4" width="12.42578125" style="8" bestFit="1" customWidth="1"/>
    <col min="5" max="5" width="1.140625" style="8" customWidth="1"/>
    <col min="6" max="6" width="7" style="8" bestFit="1" customWidth="1"/>
    <col min="7" max="7" width="8.42578125" style="8" bestFit="1" customWidth="1"/>
    <col min="8" max="8" width="12.42578125" style="8" bestFit="1" customWidth="1"/>
    <col min="9" max="9" width="1.140625" style="8" customWidth="1"/>
    <col min="10" max="10" width="8.42578125" style="8" bestFit="1" customWidth="1"/>
    <col min="11" max="11" width="9.42578125" style="8" bestFit="1" customWidth="1"/>
    <col min="12" max="12" width="12.42578125" style="8" bestFit="1" customWidth="1"/>
    <col min="13" max="13" width="1.140625" style="8" customWidth="1"/>
    <col min="14" max="14" width="0" style="8" hidden="1" customWidth="1"/>
    <col min="15" max="15" width="10" style="8" hidden="1" customWidth="1"/>
    <col min="16" max="16" width="7" style="8" hidden="1" customWidth="1"/>
    <col min="17" max="17" width="8" style="8" hidden="1" customWidth="1"/>
    <col min="18" max="18" width="7" style="8" hidden="1" customWidth="1"/>
    <col min="19" max="19" width="8" style="8" hidden="1" customWidth="1"/>
    <col min="20" max="20" width="29.140625" style="8" hidden="1" customWidth="1"/>
    <col min="21" max="25" width="0" style="8" hidden="1" customWidth="1"/>
    <col min="26" max="16384" width="9.140625" style="8"/>
  </cols>
  <sheetData>
    <row r="1" spans="1:20" s="2" customFormat="1" ht="15.75" x14ac:dyDescent="0.25">
      <c r="A1" s="1" t="s">
        <v>56</v>
      </c>
    </row>
    <row r="2" spans="1:20" s="2" customFormat="1" ht="15.75" x14ac:dyDescent="0.25">
      <c r="A2" s="1"/>
    </row>
    <row r="3" spans="1:20" s="2" customFormat="1" ht="45" customHeight="1" x14ac:dyDescent="0.25">
      <c r="A3" s="1"/>
      <c r="B3" s="38">
        <v>2024</v>
      </c>
      <c r="C3" s="38"/>
      <c r="D3" s="38"/>
      <c r="F3" s="38">
        <v>2025</v>
      </c>
      <c r="G3" s="38"/>
      <c r="H3" s="38"/>
      <c r="J3" s="38" t="s">
        <v>19</v>
      </c>
      <c r="K3" s="38"/>
      <c r="L3" s="38"/>
      <c r="O3" s="18"/>
      <c r="P3" s="45" t="s">
        <v>25</v>
      </c>
      <c r="Q3" s="46"/>
      <c r="R3" s="45" t="s">
        <v>26</v>
      </c>
      <c r="S3" s="46"/>
      <c r="T3" s="47" t="s">
        <v>27</v>
      </c>
    </row>
    <row r="4" spans="1:20" s="4" customFormat="1" ht="15" x14ac:dyDescent="0.25">
      <c r="A4" s="38" t="s">
        <v>0</v>
      </c>
      <c r="B4" s="38" t="s">
        <v>1</v>
      </c>
      <c r="C4" s="38"/>
      <c r="D4" s="38"/>
      <c r="F4" s="38" t="s">
        <v>1</v>
      </c>
      <c r="G4" s="38"/>
      <c r="H4" s="38"/>
      <c r="J4" s="38" t="s">
        <v>18</v>
      </c>
      <c r="K4" s="38"/>
      <c r="L4" s="38"/>
      <c r="O4" s="19" t="s">
        <v>28</v>
      </c>
      <c r="P4" s="20" t="s">
        <v>29</v>
      </c>
      <c r="Q4" s="20" t="s">
        <v>30</v>
      </c>
      <c r="R4" s="20" t="s">
        <v>29</v>
      </c>
      <c r="S4" s="20" t="s">
        <v>30</v>
      </c>
      <c r="T4" s="48"/>
    </row>
    <row r="5" spans="1:20" s="4" customFormat="1" ht="15" x14ac:dyDescent="0.25">
      <c r="A5" s="38"/>
      <c r="B5" s="3" t="s">
        <v>4</v>
      </c>
      <c r="C5" s="3" t="s">
        <v>2</v>
      </c>
      <c r="D5" s="3" t="s">
        <v>3</v>
      </c>
      <c r="F5" s="12" t="s">
        <v>4</v>
      </c>
      <c r="G5" s="12" t="s">
        <v>2</v>
      </c>
      <c r="H5" s="12" t="s">
        <v>3</v>
      </c>
      <c r="J5" s="12" t="s">
        <v>4</v>
      </c>
      <c r="K5" s="12" t="s">
        <v>2</v>
      </c>
      <c r="L5" s="12" t="s">
        <v>3</v>
      </c>
      <c r="O5" s="21">
        <v>45962</v>
      </c>
      <c r="P5" s="22">
        <v>0</v>
      </c>
      <c r="Q5" s="22">
        <v>0</v>
      </c>
      <c r="R5" s="22">
        <v>0</v>
      </c>
      <c r="S5" s="22">
        <v>0</v>
      </c>
      <c r="T5" s="23" t="s">
        <v>31</v>
      </c>
    </row>
    <row r="6" spans="1:20" ht="15" x14ac:dyDescent="0.25">
      <c r="A6" s="5" t="s">
        <v>5</v>
      </c>
      <c r="B6" s="6">
        <v>21</v>
      </c>
      <c r="C6" s="6">
        <v>432</v>
      </c>
      <c r="D6" s="7">
        <f>C6</f>
        <v>432</v>
      </c>
      <c r="F6" s="6">
        <v>25</v>
      </c>
      <c r="G6" s="6">
        <v>1059</v>
      </c>
      <c r="H6" s="7">
        <f>G6</f>
        <v>1059</v>
      </c>
      <c r="J6" s="6">
        <f>F6-B6</f>
        <v>4</v>
      </c>
      <c r="K6" s="6">
        <f>G6-C6</f>
        <v>627</v>
      </c>
      <c r="L6" s="7">
        <f>H6-D6</f>
        <v>627</v>
      </c>
      <c r="O6" s="21">
        <v>45963</v>
      </c>
      <c r="P6" s="22">
        <v>0</v>
      </c>
      <c r="Q6" s="22">
        <v>0</v>
      </c>
      <c r="R6" s="22">
        <v>0</v>
      </c>
      <c r="S6" s="22">
        <v>0</v>
      </c>
      <c r="T6" s="23" t="s">
        <v>31</v>
      </c>
    </row>
    <row r="7" spans="1:20" ht="15" x14ac:dyDescent="0.25">
      <c r="A7" s="5" t="s">
        <v>6</v>
      </c>
      <c r="B7" s="6">
        <v>20</v>
      </c>
      <c r="C7" s="6">
        <v>723</v>
      </c>
      <c r="D7" s="7">
        <f>D6+C7</f>
        <v>1155</v>
      </c>
      <c r="F7" s="6">
        <v>14</v>
      </c>
      <c r="G7" s="6">
        <v>415</v>
      </c>
      <c r="H7" s="7">
        <f>H6+G7</f>
        <v>1474</v>
      </c>
      <c r="J7" s="6">
        <f t="shared" ref="J7:L17" si="0">F7-B7</f>
        <v>-6</v>
      </c>
      <c r="K7" s="6">
        <f t="shared" si="0"/>
        <v>-308</v>
      </c>
      <c r="L7" s="7">
        <f t="shared" si="0"/>
        <v>319</v>
      </c>
      <c r="O7" s="21">
        <v>45964</v>
      </c>
      <c r="P7" s="22">
        <v>20</v>
      </c>
      <c r="Q7" s="22">
        <v>20</v>
      </c>
      <c r="R7" s="22">
        <v>1</v>
      </c>
      <c r="S7" s="22">
        <v>1</v>
      </c>
      <c r="T7" s="23" t="s">
        <v>43</v>
      </c>
    </row>
    <row r="8" spans="1:20" ht="15" x14ac:dyDescent="0.25">
      <c r="A8" s="5" t="s">
        <v>7</v>
      </c>
      <c r="B8" s="6">
        <v>12</v>
      </c>
      <c r="C8" s="6">
        <v>402</v>
      </c>
      <c r="D8" s="7">
        <f t="shared" ref="D8:D17" si="1">D7+C8</f>
        <v>1557</v>
      </c>
      <c r="F8" s="6">
        <v>22</v>
      </c>
      <c r="G8" s="6">
        <v>524</v>
      </c>
      <c r="H8" s="7">
        <f t="shared" ref="H8:H17" si="2">H7+G8</f>
        <v>1998</v>
      </c>
      <c r="J8" s="6">
        <f t="shared" si="0"/>
        <v>10</v>
      </c>
      <c r="K8" s="6">
        <f t="shared" si="0"/>
        <v>122</v>
      </c>
      <c r="L8" s="7">
        <f t="shared" si="0"/>
        <v>441</v>
      </c>
      <c r="O8" s="21">
        <v>45965</v>
      </c>
      <c r="P8" s="22">
        <v>0</v>
      </c>
      <c r="Q8" s="22">
        <v>20</v>
      </c>
      <c r="R8" s="22">
        <v>0</v>
      </c>
      <c r="S8" s="22">
        <v>1</v>
      </c>
      <c r="T8" s="23" t="s">
        <v>31</v>
      </c>
    </row>
    <row r="9" spans="1:20" ht="15" x14ac:dyDescent="0.25">
      <c r="A9" s="5" t="s">
        <v>8</v>
      </c>
      <c r="B9" s="6">
        <v>10</v>
      </c>
      <c r="C9" s="6">
        <v>119</v>
      </c>
      <c r="D9" s="7">
        <f t="shared" si="1"/>
        <v>1676</v>
      </c>
      <c r="F9" s="6">
        <v>19</v>
      </c>
      <c r="G9" s="6">
        <v>344</v>
      </c>
      <c r="H9" s="7">
        <f t="shared" si="2"/>
        <v>2342</v>
      </c>
      <c r="J9" s="6">
        <f t="shared" si="0"/>
        <v>9</v>
      </c>
      <c r="K9" s="6">
        <f t="shared" si="0"/>
        <v>225</v>
      </c>
      <c r="L9" s="7">
        <f t="shared" si="0"/>
        <v>666</v>
      </c>
      <c r="O9" s="21">
        <v>45966</v>
      </c>
      <c r="P9" s="22">
        <v>39</v>
      </c>
      <c r="Q9" s="22">
        <v>59</v>
      </c>
      <c r="R9" s="22">
        <v>1</v>
      </c>
      <c r="S9" s="22">
        <v>2</v>
      </c>
      <c r="T9" s="23" t="s">
        <v>32</v>
      </c>
    </row>
    <row r="10" spans="1:20" ht="15" x14ac:dyDescent="0.25">
      <c r="A10" s="5" t="s">
        <v>9</v>
      </c>
      <c r="B10" s="6">
        <v>20</v>
      </c>
      <c r="C10" s="6">
        <v>392</v>
      </c>
      <c r="D10" s="7">
        <f t="shared" si="1"/>
        <v>2068</v>
      </c>
      <c r="F10" s="6">
        <v>16</v>
      </c>
      <c r="G10" s="6">
        <v>295</v>
      </c>
      <c r="H10" s="7">
        <f t="shared" si="2"/>
        <v>2637</v>
      </c>
      <c r="J10" s="6">
        <f t="shared" si="0"/>
        <v>-4</v>
      </c>
      <c r="K10" s="6">
        <f t="shared" si="0"/>
        <v>-97</v>
      </c>
      <c r="L10" s="7">
        <f t="shared" si="0"/>
        <v>569</v>
      </c>
      <c r="O10" s="21">
        <v>45967</v>
      </c>
      <c r="P10" s="22">
        <v>0</v>
      </c>
      <c r="Q10" s="22">
        <v>59</v>
      </c>
      <c r="R10" s="22">
        <v>0</v>
      </c>
      <c r="S10" s="22">
        <v>2</v>
      </c>
      <c r="T10" s="23" t="s">
        <v>31</v>
      </c>
    </row>
    <row r="11" spans="1:20" ht="15" x14ac:dyDescent="0.25">
      <c r="A11" s="5" t="s">
        <v>10</v>
      </c>
      <c r="B11" s="6">
        <v>16</v>
      </c>
      <c r="C11" s="6">
        <v>319</v>
      </c>
      <c r="D11" s="7">
        <f t="shared" si="1"/>
        <v>2387</v>
      </c>
      <c r="F11" s="6">
        <v>15</v>
      </c>
      <c r="G11" s="6">
        <v>172</v>
      </c>
      <c r="H11" s="7">
        <f t="shared" si="2"/>
        <v>2809</v>
      </c>
      <c r="J11" s="6">
        <f t="shared" si="0"/>
        <v>-1</v>
      </c>
      <c r="K11" s="6">
        <f t="shared" si="0"/>
        <v>-147</v>
      </c>
      <c r="L11" s="7">
        <f t="shared" si="0"/>
        <v>422</v>
      </c>
      <c r="O11" s="21">
        <v>45968</v>
      </c>
      <c r="P11" s="22">
        <v>0</v>
      </c>
      <c r="Q11" s="22">
        <v>59</v>
      </c>
      <c r="R11" s="22">
        <v>0</v>
      </c>
      <c r="S11" s="22">
        <v>2</v>
      </c>
      <c r="T11" s="23" t="s">
        <v>31</v>
      </c>
    </row>
    <row r="12" spans="1:20" ht="15" x14ac:dyDescent="0.25">
      <c r="A12" s="5" t="s">
        <v>11</v>
      </c>
      <c r="B12" s="6">
        <v>9</v>
      </c>
      <c r="C12" s="6">
        <v>151</v>
      </c>
      <c r="D12" s="7">
        <f t="shared" si="1"/>
        <v>2538</v>
      </c>
      <c r="F12" s="6">
        <v>11</v>
      </c>
      <c r="G12" s="6">
        <v>86</v>
      </c>
      <c r="H12" s="7">
        <f t="shared" si="2"/>
        <v>2895</v>
      </c>
      <c r="J12" s="6">
        <f t="shared" si="0"/>
        <v>2</v>
      </c>
      <c r="K12" s="6">
        <f t="shared" si="0"/>
        <v>-65</v>
      </c>
      <c r="L12" s="7">
        <f t="shared" si="0"/>
        <v>357</v>
      </c>
      <c r="O12" s="21">
        <v>45969</v>
      </c>
      <c r="P12" s="22">
        <v>13</v>
      </c>
      <c r="Q12" s="22">
        <v>72</v>
      </c>
      <c r="R12" s="22">
        <v>1</v>
      </c>
      <c r="S12" s="22">
        <v>3</v>
      </c>
      <c r="T12" s="23" t="s">
        <v>44</v>
      </c>
    </row>
    <row r="13" spans="1:20" ht="15" x14ac:dyDescent="0.25">
      <c r="A13" s="5" t="s">
        <v>12</v>
      </c>
      <c r="B13" s="6">
        <v>22</v>
      </c>
      <c r="C13" s="6">
        <v>519</v>
      </c>
      <c r="D13" s="7">
        <f t="shared" si="1"/>
        <v>3057</v>
      </c>
      <c r="F13" s="6">
        <v>15</v>
      </c>
      <c r="G13" s="6">
        <v>166</v>
      </c>
      <c r="H13" s="7">
        <f t="shared" si="2"/>
        <v>3061</v>
      </c>
      <c r="J13" s="6">
        <f t="shared" si="0"/>
        <v>-7</v>
      </c>
      <c r="K13" s="6">
        <f t="shared" si="0"/>
        <v>-353</v>
      </c>
      <c r="L13" s="7">
        <f t="shared" si="0"/>
        <v>4</v>
      </c>
      <c r="O13" s="21">
        <v>45970</v>
      </c>
      <c r="P13" s="22">
        <v>0</v>
      </c>
      <c r="Q13" s="22">
        <v>72</v>
      </c>
      <c r="R13" s="22">
        <v>0</v>
      </c>
      <c r="S13" s="22">
        <v>3</v>
      </c>
      <c r="T13" s="23" t="s">
        <v>31</v>
      </c>
    </row>
    <row r="14" spans="1:20" ht="15" x14ac:dyDescent="0.25">
      <c r="A14" s="5" t="s">
        <v>13</v>
      </c>
      <c r="B14" s="6">
        <v>14</v>
      </c>
      <c r="C14" s="6">
        <v>187</v>
      </c>
      <c r="D14" s="7">
        <f t="shared" si="1"/>
        <v>3244</v>
      </c>
      <c r="F14" s="6">
        <v>16</v>
      </c>
      <c r="G14" s="6">
        <v>298</v>
      </c>
      <c r="H14" s="7">
        <f t="shared" si="2"/>
        <v>3359</v>
      </c>
      <c r="J14" s="6">
        <f t="shared" si="0"/>
        <v>2</v>
      </c>
      <c r="K14" s="6">
        <f t="shared" si="0"/>
        <v>111</v>
      </c>
      <c r="L14" s="7">
        <f t="shared" si="0"/>
        <v>115</v>
      </c>
      <c r="O14" s="21">
        <v>45971</v>
      </c>
      <c r="P14" s="22">
        <v>0</v>
      </c>
      <c r="Q14" s="22">
        <v>72</v>
      </c>
      <c r="R14" s="22">
        <v>0</v>
      </c>
      <c r="S14" s="22">
        <v>3</v>
      </c>
      <c r="T14" s="23" t="s">
        <v>31</v>
      </c>
    </row>
    <row r="15" spans="1:20" ht="15" x14ac:dyDescent="0.25">
      <c r="A15" s="5" t="s">
        <v>14</v>
      </c>
      <c r="B15" s="6">
        <v>14</v>
      </c>
      <c r="C15" s="6">
        <v>281</v>
      </c>
      <c r="D15" s="7">
        <f t="shared" si="1"/>
        <v>3525</v>
      </c>
      <c r="F15" s="6">
        <v>14</v>
      </c>
      <c r="G15" s="6">
        <v>213</v>
      </c>
      <c r="H15" s="7">
        <f t="shared" si="2"/>
        <v>3572</v>
      </c>
      <c r="J15" s="6">
        <f t="shared" si="0"/>
        <v>0</v>
      </c>
      <c r="K15" s="6">
        <f>G15-C15</f>
        <v>-68</v>
      </c>
      <c r="L15" s="7">
        <f t="shared" si="0"/>
        <v>47</v>
      </c>
      <c r="O15" s="21">
        <v>45972</v>
      </c>
      <c r="P15" s="22">
        <v>25</v>
      </c>
      <c r="Q15" s="22">
        <v>97</v>
      </c>
      <c r="R15" s="22">
        <v>1</v>
      </c>
      <c r="S15" s="22">
        <v>4</v>
      </c>
      <c r="T15" s="23" t="s">
        <v>45</v>
      </c>
    </row>
    <row r="16" spans="1:20" ht="15" x14ac:dyDescent="0.25">
      <c r="A16" s="5" t="s">
        <v>15</v>
      </c>
      <c r="B16" s="6">
        <v>21</v>
      </c>
      <c r="C16" s="6">
        <v>360</v>
      </c>
      <c r="D16" s="7">
        <f t="shared" si="1"/>
        <v>3885</v>
      </c>
      <c r="F16" s="6">
        <v>20</v>
      </c>
      <c r="G16" s="6">
        <v>384</v>
      </c>
      <c r="H16" s="7">
        <f t="shared" si="2"/>
        <v>3956</v>
      </c>
      <c r="J16" s="6">
        <f t="shared" si="0"/>
        <v>-1</v>
      </c>
      <c r="K16" s="6">
        <f t="shared" si="0"/>
        <v>24</v>
      </c>
      <c r="L16" s="7">
        <f t="shared" si="0"/>
        <v>71</v>
      </c>
      <c r="O16" s="21">
        <v>45973</v>
      </c>
      <c r="P16" s="22">
        <v>68</v>
      </c>
      <c r="Q16" s="22">
        <v>165</v>
      </c>
      <c r="R16" s="22">
        <v>1</v>
      </c>
      <c r="S16" s="22">
        <v>5</v>
      </c>
      <c r="T16" s="23" t="s">
        <v>46</v>
      </c>
    </row>
    <row r="17" spans="1:20" ht="15" x14ac:dyDescent="0.25">
      <c r="A17" s="5" t="s">
        <v>16</v>
      </c>
      <c r="B17" s="6">
        <v>18</v>
      </c>
      <c r="C17" s="6">
        <v>277</v>
      </c>
      <c r="D17" s="7">
        <f t="shared" si="1"/>
        <v>4162</v>
      </c>
      <c r="F17" s="6">
        <v>25</v>
      </c>
      <c r="G17" s="6">
        <v>639</v>
      </c>
      <c r="H17" s="7">
        <f t="shared" si="2"/>
        <v>4595</v>
      </c>
      <c r="J17" s="6">
        <f t="shared" si="0"/>
        <v>7</v>
      </c>
      <c r="K17" s="6">
        <f t="shared" si="0"/>
        <v>362</v>
      </c>
      <c r="L17" s="7">
        <f t="shared" si="0"/>
        <v>433</v>
      </c>
      <c r="O17" s="35">
        <v>45974</v>
      </c>
      <c r="P17" s="36">
        <v>0</v>
      </c>
      <c r="Q17" s="36">
        <v>165</v>
      </c>
      <c r="R17" s="36">
        <v>0</v>
      </c>
      <c r="S17" s="36">
        <v>5</v>
      </c>
      <c r="T17" s="37" t="s">
        <v>31</v>
      </c>
    </row>
    <row r="18" spans="1:20" s="9" customFormat="1" ht="15" x14ac:dyDescent="0.25">
      <c r="A18" s="9" t="s">
        <v>17</v>
      </c>
      <c r="B18" s="10">
        <f>SUBTOTAL(9,B6:B17)</f>
        <v>197</v>
      </c>
      <c r="C18" s="10">
        <f>SUBTOTAL(9,C6:C17)</f>
        <v>4162</v>
      </c>
      <c r="D18" s="10"/>
      <c r="F18" s="10">
        <f t="shared" ref="F18:G18" si="3">SUBTOTAL(9,F6:F17)</f>
        <v>212</v>
      </c>
      <c r="G18" s="10">
        <f t="shared" si="3"/>
        <v>4595</v>
      </c>
      <c r="H18" s="10"/>
      <c r="J18" s="10">
        <f t="shared" ref="J18:K18" si="4">SUBTOTAL(9,J6:J17)</f>
        <v>15</v>
      </c>
      <c r="K18" s="10">
        <f t="shared" si="4"/>
        <v>433</v>
      </c>
      <c r="L18" s="10"/>
      <c r="N18" s="8"/>
      <c r="O18" s="21">
        <v>45975</v>
      </c>
      <c r="P18" s="22">
        <v>4</v>
      </c>
      <c r="Q18" s="22">
        <v>169</v>
      </c>
      <c r="R18" s="22">
        <v>1</v>
      </c>
      <c r="S18" s="22">
        <v>6</v>
      </c>
      <c r="T18" s="23" t="s">
        <v>47</v>
      </c>
    </row>
    <row r="19" spans="1:20" ht="15" x14ac:dyDescent="0.25">
      <c r="O19" s="21">
        <v>45976</v>
      </c>
      <c r="P19" s="22">
        <v>8</v>
      </c>
      <c r="Q19" s="22">
        <v>177</v>
      </c>
      <c r="R19" s="22">
        <v>1</v>
      </c>
      <c r="S19" s="22">
        <v>7</v>
      </c>
      <c r="T19" s="23" t="s">
        <v>48</v>
      </c>
    </row>
    <row r="20" spans="1:20" ht="15" x14ac:dyDescent="0.25">
      <c r="O20" s="21">
        <v>45977</v>
      </c>
      <c r="P20" s="22">
        <v>2</v>
      </c>
      <c r="Q20" s="22">
        <v>179</v>
      </c>
      <c r="R20" s="22">
        <v>1</v>
      </c>
      <c r="S20" s="22">
        <v>8</v>
      </c>
      <c r="T20" s="23" t="s">
        <v>47</v>
      </c>
    </row>
    <row r="21" spans="1:20" ht="15.75" thickBot="1" x14ac:dyDescent="0.3">
      <c r="O21" s="21">
        <v>45978</v>
      </c>
      <c r="P21" s="22">
        <v>9</v>
      </c>
      <c r="Q21" s="22">
        <v>188</v>
      </c>
      <c r="R21" s="22">
        <v>1</v>
      </c>
      <c r="S21" s="22">
        <v>9</v>
      </c>
      <c r="T21" s="23" t="s">
        <v>49</v>
      </c>
    </row>
    <row r="22" spans="1:20" ht="15" customHeight="1" x14ac:dyDescent="0.25">
      <c r="A22" s="42" t="s">
        <v>21</v>
      </c>
      <c r="B22" s="43"/>
      <c r="C22" s="44"/>
      <c r="O22" s="21">
        <v>45979</v>
      </c>
      <c r="P22" s="22">
        <v>2</v>
      </c>
      <c r="Q22" s="22">
        <v>190</v>
      </c>
      <c r="R22" s="22">
        <v>1</v>
      </c>
      <c r="S22" s="22">
        <v>10</v>
      </c>
      <c r="T22" s="23" t="s">
        <v>47</v>
      </c>
    </row>
    <row r="23" spans="1:20" ht="15.75" customHeight="1" thickBot="1" x14ac:dyDescent="0.3">
      <c r="A23" s="39">
        <f>H17-D17</f>
        <v>433</v>
      </c>
      <c r="B23" s="40"/>
      <c r="C23" s="41"/>
      <c r="O23" s="21">
        <v>45980</v>
      </c>
      <c r="P23" s="22">
        <v>11</v>
      </c>
      <c r="Q23" s="22">
        <v>201</v>
      </c>
      <c r="R23" s="22">
        <v>1</v>
      </c>
      <c r="S23" s="22">
        <v>11</v>
      </c>
      <c r="T23" s="23" t="s">
        <v>50</v>
      </c>
    </row>
    <row r="24" spans="1:20" ht="15" x14ac:dyDescent="0.25">
      <c r="A24" s="11">
        <v>2024</v>
      </c>
      <c r="B24" s="4" t="str">
        <f>IF(A23&gt;0,"&lt;",IF(A23&lt;0,"&gt;"))</f>
        <v>&lt;</v>
      </c>
      <c r="C24" s="11">
        <v>2025</v>
      </c>
      <c r="O24" s="21">
        <v>45981</v>
      </c>
      <c r="P24" s="22">
        <v>23</v>
      </c>
      <c r="Q24" s="22">
        <v>224</v>
      </c>
      <c r="R24" s="22">
        <v>1</v>
      </c>
      <c r="S24" s="22">
        <v>12</v>
      </c>
      <c r="T24" s="23" t="s">
        <v>47</v>
      </c>
    </row>
    <row r="25" spans="1:20" ht="15" x14ac:dyDescent="0.25">
      <c r="O25" s="21">
        <v>45982</v>
      </c>
      <c r="P25" s="22">
        <v>6</v>
      </c>
      <c r="Q25" s="22">
        <v>230</v>
      </c>
      <c r="R25" s="22">
        <v>1</v>
      </c>
      <c r="S25" s="22">
        <v>13</v>
      </c>
      <c r="T25" s="23" t="s">
        <v>47</v>
      </c>
    </row>
    <row r="26" spans="1:20" ht="15" x14ac:dyDescent="0.25">
      <c r="A26" s="11" t="s">
        <v>58</v>
      </c>
      <c r="O26" s="21">
        <v>45983</v>
      </c>
      <c r="P26" s="22">
        <v>10</v>
      </c>
      <c r="Q26" s="22">
        <v>240</v>
      </c>
      <c r="R26" s="22">
        <v>1</v>
      </c>
      <c r="S26" s="22">
        <v>14</v>
      </c>
      <c r="T26" s="23" t="s">
        <v>40</v>
      </c>
    </row>
    <row r="27" spans="1:20" ht="15" x14ac:dyDescent="0.25">
      <c r="A27" s="17" t="str">
        <f>IF(B24="&lt;","**2025 MM TO MONTH is more than 2024 by "&amp;A23,
IF(B24="&gt;","**2025 MM TO MONTH is less than 2024 by "&amp;A23))</f>
        <v>**2025 MM TO MONTH is more than 2024 by 433</v>
      </c>
      <c r="O27" s="21">
        <v>45984</v>
      </c>
      <c r="P27" s="22">
        <v>33</v>
      </c>
      <c r="Q27" s="22">
        <v>273</v>
      </c>
      <c r="R27" s="22">
        <v>1</v>
      </c>
      <c r="S27" s="22">
        <v>15</v>
      </c>
      <c r="T27" s="23" t="s">
        <v>51</v>
      </c>
    </row>
    <row r="28" spans="1:20" ht="15" x14ac:dyDescent="0.25">
      <c r="O28" s="21">
        <v>45985</v>
      </c>
      <c r="P28" s="22">
        <v>8</v>
      </c>
      <c r="Q28" s="22">
        <v>281</v>
      </c>
      <c r="R28" s="22">
        <v>1</v>
      </c>
      <c r="S28" s="22">
        <v>16</v>
      </c>
      <c r="T28" s="23" t="s">
        <v>47</v>
      </c>
    </row>
    <row r="29" spans="1:20" ht="15" x14ac:dyDescent="0.25">
      <c r="O29" s="21">
        <v>45986</v>
      </c>
      <c r="P29" s="22">
        <v>38</v>
      </c>
      <c r="Q29" s="22">
        <v>319</v>
      </c>
      <c r="R29" s="22">
        <v>1</v>
      </c>
      <c r="S29" s="22">
        <v>17</v>
      </c>
      <c r="T29" s="23" t="s">
        <v>46</v>
      </c>
    </row>
    <row r="30" spans="1:20" ht="15" x14ac:dyDescent="0.25">
      <c r="O30" s="21">
        <v>45987</v>
      </c>
      <c r="P30" s="22">
        <v>0</v>
      </c>
      <c r="Q30" s="22">
        <v>319</v>
      </c>
      <c r="R30" s="22">
        <v>0</v>
      </c>
      <c r="S30" s="22">
        <v>17</v>
      </c>
      <c r="T30" s="23" t="s">
        <v>31</v>
      </c>
    </row>
    <row r="31" spans="1:20" ht="15" x14ac:dyDescent="0.25">
      <c r="O31" s="21">
        <v>45988</v>
      </c>
      <c r="P31" s="22">
        <v>46</v>
      </c>
      <c r="Q31" s="22">
        <v>365</v>
      </c>
      <c r="R31" s="22">
        <v>1</v>
      </c>
      <c r="S31" s="22">
        <v>18</v>
      </c>
      <c r="T31" s="23" t="s">
        <v>52</v>
      </c>
    </row>
    <row r="32" spans="1:20" ht="15" x14ac:dyDescent="0.25">
      <c r="O32" s="21">
        <v>45989</v>
      </c>
      <c r="P32" s="22">
        <v>5</v>
      </c>
      <c r="Q32" s="22">
        <v>370</v>
      </c>
      <c r="R32" s="22">
        <v>1</v>
      </c>
      <c r="S32" s="22">
        <v>19</v>
      </c>
      <c r="T32" s="23" t="s">
        <v>53</v>
      </c>
    </row>
    <row r="33" spans="15:20" ht="15" x14ac:dyDescent="0.25">
      <c r="O33" s="21">
        <v>45990</v>
      </c>
      <c r="P33" s="22">
        <v>0</v>
      </c>
      <c r="Q33" s="22">
        <v>370</v>
      </c>
      <c r="R33" s="22">
        <v>0</v>
      </c>
      <c r="S33" s="22">
        <v>19</v>
      </c>
      <c r="T33" s="23" t="s">
        <v>31</v>
      </c>
    </row>
    <row r="34" spans="15:20" ht="15" x14ac:dyDescent="0.25">
      <c r="O34" s="21">
        <v>45991</v>
      </c>
      <c r="P34" s="22">
        <v>14</v>
      </c>
      <c r="Q34" s="22">
        <v>384</v>
      </c>
      <c r="R34" s="22">
        <v>1</v>
      </c>
      <c r="S34" s="22">
        <v>20</v>
      </c>
      <c r="T34" s="23" t="s">
        <v>54</v>
      </c>
    </row>
    <row r="35" spans="15:20" ht="15" x14ac:dyDescent="0.25">
      <c r="O35" s="27"/>
      <c r="P35" s="28"/>
      <c r="Q35" s="28"/>
      <c r="R35" s="28"/>
      <c r="S35" s="28"/>
      <c r="T35" s="29"/>
    </row>
    <row r="36" spans="15:20" ht="15" x14ac:dyDescent="0.25">
      <c r="O36" s="24"/>
      <c r="P36" s="31">
        <f>SUM(P5:P35)</f>
        <v>384</v>
      </c>
      <c r="Q36" s="32"/>
      <c r="R36" s="33">
        <f>SUM(R5:R35)</f>
        <v>20</v>
      </c>
      <c r="S36" s="30">
        <f>R36+S35</f>
        <v>20</v>
      </c>
      <c r="T36" s="24"/>
    </row>
  </sheetData>
  <mergeCells count="12">
    <mergeCell ref="R3:S3"/>
    <mergeCell ref="T3:T4"/>
    <mergeCell ref="A23:C23"/>
    <mergeCell ref="B3:D3"/>
    <mergeCell ref="F3:H3"/>
    <mergeCell ref="J3:L3"/>
    <mergeCell ref="P3:Q3"/>
    <mergeCell ref="A4:A5"/>
    <mergeCell ref="B4:D4"/>
    <mergeCell ref="F4:H4"/>
    <mergeCell ref="J4:L4"/>
    <mergeCell ref="A22:C22"/>
  </mergeCells>
  <pageMargins left="0.25" right="0.25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Sept Rainfall 2024 vs 2025</vt:lpstr>
      <vt:lpstr>Oct Rainfall 2024 vs 2025</vt:lpstr>
      <vt:lpstr>Nov Rainfall 2024 vs 2025</vt:lpstr>
      <vt:lpstr>Dec Rainfall 2024 vs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 Dept</dc:creator>
  <cp:lastModifiedBy>KEVIN CHAN</cp:lastModifiedBy>
  <cp:lastPrinted>2026-01-13T03:24:00Z</cp:lastPrinted>
  <dcterms:created xsi:type="dcterms:W3CDTF">2025-10-15T07:43:21Z</dcterms:created>
  <dcterms:modified xsi:type="dcterms:W3CDTF">2026-02-03T00:33:15Z</dcterms:modified>
</cp:coreProperties>
</file>