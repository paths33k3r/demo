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KEVIN\2025\3. MONTHLY HARVESTING &amp; MANURING REPORT\"/>
    </mc:Choice>
  </mc:AlternateContent>
  <xr:revisionPtr revIDLastSave="0" documentId="13_ncr:1_{E2717114-C88A-414B-833C-7CEBE2300666}" xr6:coauthVersionLast="47" xr6:coauthVersionMax="47" xr10:uidLastSave="{00000000-0000-0000-0000-000000000000}"/>
  <bookViews>
    <workbookView xWindow="-120" yWindow="-120" windowWidth="29040" windowHeight="15720" activeTab="2" xr2:uid="{3B881C9E-DF72-4C3D-980C-10C975F5B8B6}"/>
  </bookViews>
  <sheets>
    <sheet name="4.4 Harvesting Round Record" sheetId="6" r:id="rId1"/>
    <sheet name="version 1" sheetId="7" r:id="rId2"/>
    <sheet name="version 2" sheetId="8" r:id="rId3"/>
    <sheet name="YEAR 2024 VS 2025 FFB" sheetId="9" r:id="rId4"/>
  </sheets>
  <definedNames>
    <definedName name="_xlnm._FilterDatabase" localSheetId="2" hidden="1">'version 2'!$A$146:$T$259</definedName>
    <definedName name="_xlnm._FilterDatabase" localSheetId="3" hidden="1">'YEAR 2024 VS 2025 FFB'!$A$146:$T$259</definedName>
    <definedName name="year2022to23">'4.4 Harvesting Round Record'!$B$9:$KZ$50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M149" i="8" l="1"/>
  <c r="DM135" i="8"/>
  <c r="DM134" i="8"/>
  <c r="DM133" i="8"/>
  <c r="DM132" i="8"/>
  <c r="DM131" i="8"/>
  <c r="DM130" i="8"/>
  <c r="DM129" i="8"/>
  <c r="DM128" i="8"/>
  <c r="DM127" i="8"/>
  <c r="DM126" i="8"/>
  <c r="DM31" i="8"/>
  <c r="DM30" i="8"/>
  <c r="DM29" i="8"/>
  <c r="DM28" i="8"/>
  <c r="DM27" i="8"/>
  <c r="DM26" i="8"/>
  <c r="DM25" i="8"/>
  <c r="DM24" i="8"/>
  <c r="DM23" i="8"/>
  <c r="DM22" i="8"/>
  <c r="DM21" i="8"/>
  <c r="DM20" i="8"/>
  <c r="DM19" i="8"/>
  <c r="DM18" i="8"/>
  <c r="DM17" i="8"/>
  <c r="DM16" i="8"/>
  <c r="DM15" i="8"/>
  <c r="DM14" i="8"/>
  <c r="DM13" i="8"/>
  <c r="DM12" i="8"/>
  <c r="DM11" i="8"/>
  <c r="DM10" i="8"/>
  <c r="DM9" i="8"/>
  <c r="DM8" i="8"/>
  <c r="DM7" i="8"/>
  <c r="DL7" i="8"/>
  <c r="BN134" i="9"/>
  <c r="BN133" i="9"/>
  <c r="BN132" i="9"/>
  <c r="BN131" i="9"/>
  <c r="BN130" i="9"/>
  <c r="BN129" i="9"/>
  <c r="BN128" i="9"/>
  <c r="BN127" i="9"/>
  <c r="BN126" i="9"/>
  <c r="BN30" i="9"/>
  <c r="BN29" i="9"/>
  <c r="BN28" i="9"/>
  <c r="BN27" i="9"/>
  <c r="BN26" i="9"/>
  <c r="BN25" i="9"/>
  <c r="BN24" i="9"/>
  <c r="BN23" i="9"/>
  <c r="BN22" i="9"/>
  <c r="BN21" i="9"/>
  <c r="BN20" i="9"/>
  <c r="BN19" i="9"/>
  <c r="BN18" i="9"/>
  <c r="BN17" i="9"/>
  <c r="BN16" i="9"/>
  <c r="BN15" i="9"/>
  <c r="BN14" i="9"/>
  <c r="BN13" i="9"/>
  <c r="BN12" i="9"/>
  <c r="BN11" i="9"/>
  <c r="BN10" i="9"/>
  <c r="BN9" i="9"/>
  <c r="BN8" i="9"/>
  <c r="BN31" i="9" s="1"/>
  <c r="BN7" i="9"/>
  <c r="BM7" i="9"/>
  <c r="BN144" i="9"/>
  <c r="BN134" i="8"/>
  <c r="BN133" i="8"/>
  <c r="BN132" i="8"/>
  <c r="BN131" i="8"/>
  <c r="BN130" i="8"/>
  <c r="BN129" i="8"/>
  <c r="BN128" i="8"/>
  <c r="BN127" i="8"/>
  <c r="BN126" i="8"/>
  <c r="BN30" i="8"/>
  <c r="BN29" i="8"/>
  <c r="BN28" i="8"/>
  <c r="BN27" i="8"/>
  <c r="BN26" i="8"/>
  <c r="BN25" i="8"/>
  <c r="BN24" i="8"/>
  <c r="BN23" i="8"/>
  <c r="BN22" i="8"/>
  <c r="BN21" i="8"/>
  <c r="BN20" i="8"/>
  <c r="BN19" i="8"/>
  <c r="BN18" i="8"/>
  <c r="BN17" i="8"/>
  <c r="BN16" i="8"/>
  <c r="BN15" i="8"/>
  <c r="BN14" i="8"/>
  <c r="BN13" i="8"/>
  <c r="BN12" i="8"/>
  <c r="BN11" i="8"/>
  <c r="BN10" i="8"/>
  <c r="BN9" i="8"/>
  <c r="BN8" i="8"/>
  <c r="BN7" i="8"/>
  <c r="BM7" i="8"/>
  <c r="KU50" i="6"/>
  <c r="KT50" i="6"/>
  <c r="KS50" i="6"/>
  <c r="KR50" i="6"/>
  <c r="KV50" i="6" s="1"/>
  <c r="KP50" i="6"/>
  <c r="KO50" i="6"/>
  <c r="KN50" i="6"/>
  <c r="KM50" i="6"/>
  <c r="KQ50" i="6" s="1"/>
  <c r="KV49" i="6"/>
  <c r="KV48" i="6"/>
  <c r="KV47" i="6"/>
  <c r="KV46" i="6"/>
  <c r="KV45" i="6"/>
  <c r="KV44" i="6"/>
  <c r="KV43" i="6"/>
  <c r="KV42" i="6"/>
  <c r="KV41" i="6"/>
  <c r="KV40" i="6"/>
  <c r="KV39" i="6"/>
  <c r="KV38" i="6"/>
  <c r="KV37" i="6"/>
  <c r="KV36" i="6"/>
  <c r="KV35" i="6"/>
  <c r="KV34" i="6"/>
  <c r="KV33" i="6"/>
  <c r="KV32" i="6"/>
  <c r="KV31" i="6"/>
  <c r="KV30" i="6"/>
  <c r="KV29" i="6"/>
  <c r="KV28" i="6"/>
  <c r="KV27" i="6"/>
  <c r="KV26" i="6"/>
  <c r="KV25" i="6"/>
  <c r="KV24" i="6"/>
  <c r="KV23" i="6"/>
  <c r="KV22" i="6"/>
  <c r="KV21" i="6"/>
  <c r="KV20" i="6"/>
  <c r="KV19" i="6"/>
  <c r="KV18" i="6"/>
  <c r="KV17" i="6"/>
  <c r="KV16" i="6"/>
  <c r="KV15" i="6"/>
  <c r="KV14" i="6"/>
  <c r="KV13" i="6"/>
  <c r="KV12" i="6"/>
  <c r="KV11" i="6"/>
  <c r="KV10" i="6"/>
  <c r="KV9" i="6"/>
  <c r="BJ134" i="9" l="1"/>
  <c r="BJ133" i="9"/>
  <c r="BJ132" i="9"/>
  <c r="BJ131" i="9"/>
  <c r="BJ126" i="9"/>
  <c r="BJ30" i="9"/>
  <c r="BJ29" i="9"/>
  <c r="BJ28" i="9"/>
  <c r="BJ23" i="9"/>
  <c r="BJ22" i="9"/>
  <c r="BJ21" i="9"/>
  <c r="BJ20" i="9"/>
  <c r="BJ15" i="9"/>
  <c r="BJ14" i="9"/>
  <c r="BJ13" i="9"/>
  <c r="BJ12" i="9"/>
  <c r="BJ7" i="9"/>
  <c r="BJ134" i="8"/>
  <c r="BJ133" i="8"/>
  <c r="BJ132" i="8"/>
  <c r="BJ127" i="8"/>
  <c r="BJ126" i="8"/>
  <c r="BJ30" i="8"/>
  <c r="BJ29" i="8"/>
  <c r="BJ23" i="8"/>
  <c r="BJ22" i="8"/>
  <c r="BJ21" i="8"/>
  <c r="BJ15" i="8"/>
  <c r="BJ14" i="8"/>
  <c r="BJ13" i="8"/>
  <c r="BJ7" i="8"/>
  <c r="BF7" i="8"/>
  <c r="KQ49" i="6"/>
  <c r="KQ48" i="6"/>
  <c r="KQ47" i="6"/>
  <c r="KQ46" i="6"/>
  <c r="KQ45" i="6"/>
  <c r="BJ131" i="8" s="1"/>
  <c r="KQ44" i="6"/>
  <c r="BJ130" i="9" s="1"/>
  <c r="KQ43" i="6"/>
  <c r="BJ129" i="9" s="1"/>
  <c r="KQ42" i="6"/>
  <c r="BJ128" i="9" s="1"/>
  <c r="KQ41" i="6"/>
  <c r="KQ40" i="6"/>
  <c r="BJ127" i="9" s="1"/>
  <c r="KQ39" i="6"/>
  <c r="KQ38" i="6"/>
  <c r="KQ37" i="6"/>
  <c r="KQ36" i="6"/>
  <c r="KQ35" i="6"/>
  <c r="KQ34" i="6"/>
  <c r="KQ33" i="6"/>
  <c r="KQ32" i="6"/>
  <c r="KQ31" i="6"/>
  <c r="KQ30" i="6"/>
  <c r="BJ28" i="8" s="1"/>
  <c r="KQ29" i="6"/>
  <c r="BJ27" i="9" s="1"/>
  <c r="KQ28" i="6"/>
  <c r="BJ26" i="9" s="1"/>
  <c r="KQ27" i="6"/>
  <c r="BJ25" i="9" s="1"/>
  <c r="KQ26" i="6"/>
  <c r="BJ24" i="9" s="1"/>
  <c r="KQ25" i="6"/>
  <c r="KQ24" i="6"/>
  <c r="KQ23" i="6"/>
  <c r="KQ22" i="6"/>
  <c r="BJ20" i="8" s="1"/>
  <c r="KQ21" i="6"/>
  <c r="BJ19" i="9" s="1"/>
  <c r="KQ20" i="6"/>
  <c r="BJ18" i="9" s="1"/>
  <c r="KQ19" i="6"/>
  <c r="BJ17" i="9" s="1"/>
  <c r="KQ18" i="6"/>
  <c r="BJ16" i="9" s="1"/>
  <c r="KQ17" i="6"/>
  <c r="KQ16" i="6"/>
  <c r="KQ15" i="6"/>
  <c r="KQ14" i="6"/>
  <c r="BJ12" i="8" s="1"/>
  <c r="KQ13" i="6"/>
  <c r="BJ11" i="9" s="1"/>
  <c r="KQ12" i="6"/>
  <c r="BJ10" i="9" s="1"/>
  <c r="KQ11" i="6"/>
  <c r="BJ9" i="9" s="1"/>
  <c r="KQ10" i="6"/>
  <c r="BJ8" i="9" s="1"/>
  <c r="KQ9" i="6"/>
  <c r="DP149" i="9"/>
  <c r="DO149" i="9"/>
  <c r="F153" i="9"/>
  <c r="E153" i="9"/>
  <c r="D153" i="9"/>
  <c r="C153" i="9"/>
  <c r="BJ144" i="9"/>
  <c r="BF144" i="9"/>
  <c r="AX144" i="9"/>
  <c r="F144" i="9"/>
  <c r="E144" i="9"/>
  <c r="BR143" i="9"/>
  <c r="BM143" i="9"/>
  <c r="BL143" i="9"/>
  <c r="BK143" i="9"/>
  <c r="BI143" i="9"/>
  <c r="BH143" i="9"/>
  <c r="BG143" i="9"/>
  <c r="BE143" i="9"/>
  <c r="BD143" i="9"/>
  <c r="BC143" i="9"/>
  <c r="AW143" i="9"/>
  <c r="AV143" i="9"/>
  <c r="AU143" i="9"/>
  <c r="AT143" i="9"/>
  <c r="AS143" i="9"/>
  <c r="AR143" i="9"/>
  <c r="AQ143" i="9"/>
  <c r="AP143" i="9"/>
  <c r="AO143" i="9"/>
  <c r="AN143" i="9"/>
  <c r="AM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BR142" i="9"/>
  <c r="BM142" i="9"/>
  <c r="BL142" i="9"/>
  <c r="BK142" i="9"/>
  <c r="BI142" i="9"/>
  <c r="BH142" i="9"/>
  <c r="BG142" i="9"/>
  <c r="BE142" i="9"/>
  <c r="BD142" i="9"/>
  <c r="BC142" i="9"/>
  <c r="AW142" i="9"/>
  <c r="AV142" i="9"/>
  <c r="AU142" i="9"/>
  <c r="AT142" i="9"/>
  <c r="AS142" i="9"/>
  <c r="AR142" i="9"/>
  <c r="AQ142" i="9"/>
  <c r="AP142" i="9"/>
  <c r="AO142" i="9"/>
  <c r="AN142" i="9"/>
  <c r="AM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BN135" i="9"/>
  <c r="F135" i="9"/>
  <c r="E135" i="9"/>
  <c r="D135" i="9"/>
  <c r="C135" i="9"/>
  <c r="BM134" i="9"/>
  <c r="BL134" i="9"/>
  <c r="BK134" i="9"/>
  <c r="BI134" i="9"/>
  <c r="BH134" i="9"/>
  <c r="BG134" i="9"/>
  <c r="BF134" i="9"/>
  <c r="BE134" i="9"/>
  <c r="BD134" i="9"/>
  <c r="BC134" i="9"/>
  <c r="AX134" i="9"/>
  <c r="AW134" i="9"/>
  <c r="AV134" i="9"/>
  <c r="AU134" i="9"/>
  <c r="AT134" i="9"/>
  <c r="AS134" i="9"/>
  <c r="AR134" i="9"/>
  <c r="AQ134" i="9"/>
  <c r="AP134" i="9"/>
  <c r="AO134" i="9"/>
  <c r="AN134" i="9"/>
  <c r="AM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BM133" i="9"/>
  <c r="BL133" i="9"/>
  <c r="BK133" i="9"/>
  <c r="BI133" i="9"/>
  <c r="BH133" i="9"/>
  <c r="BG133" i="9"/>
  <c r="BF133" i="9"/>
  <c r="BE133" i="9"/>
  <c r="BD133" i="9"/>
  <c r="BC133" i="9"/>
  <c r="AX133" i="9"/>
  <c r="AW133" i="9"/>
  <c r="AV133" i="9"/>
  <c r="AU133" i="9"/>
  <c r="AT133" i="9"/>
  <c r="AS133" i="9"/>
  <c r="AR133" i="9"/>
  <c r="AQ133" i="9"/>
  <c r="AP133" i="9"/>
  <c r="AO133" i="9"/>
  <c r="AN133" i="9"/>
  <c r="AM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BM132" i="9"/>
  <c r="BL132" i="9"/>
  <c r="BK132" i="9"/>
  <c r="BI132" i="9"/>
  <c r="BH132" i="9"/>
  <c r="BG132" i="9"/>
  <c r="BF132" i="9"/>
  <c r="BE132" i="9"/>
  <c r="BD132" i="9"/>
  <c r="BC132" i="9"/>
  <c r="AX132" i="9"/>
  <c r="AW132" i="9"/>
  <c r="AV132" i="9"/>
  <c r="AU132" i="9"/>
  <c r="AT132" i="9"/>
  <c r="AS132" i="9"/>
  <c r="AR132" i="9"/>
  <c r="AQ132" i="9"/>
  <c r="AP132" i="9"/>
  <c r="AO132" i="9"/>
  <c r="AN132" i="9"/>
  <c r="AM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BM131" i="9"/>
  <c r="BL131" i="9"/>
  <c r="BK131" i="9"/>
  <c r="BI131" i="9"/>
  <c r="BH131" i="9"/>
  <c r="BG131" i="9"/>
  <c r="BF131" i="9"/>
  <c r="BE131" i="9"/>
  <c r="BD131" i="9"/>
  <c r="BC131" i="9"/>
  <c r="AX131" i="9"/>
  <c r="AW131" i="9"/>
  <c r="AV131" i="9"/>
  <c r="AU131" i="9"/>
  <c r="AT131" i="9"/>
  <c r="AS131" i="9"/>
  <c r="AR131" i="9"/>
  <c r="AQ131" i="9"/>
  <c r="AP131" i="9"/>
  <c r="AO131" i="9"/>
  <c r="AN131" i="9"/>
  <c r="AM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BM130" i="9"/>
  <c r="BL130" i="9"/>
  <c r="BK130" i="9"/>
  <c r="BI130" i="9"/>
  <c r="BH130" i="9"/>
  <c r="BG130" i="9"/>
  <c r="BF130" i="9"/>
  <c r="BE130" i="9"/>
  <c r="BD130" i="9"/>
  <c r="BC130" i="9"/>
  <c r="AX130" i="9"/>
  <c r="AW130" i="9"/>
  <c r="AV130" i="9"/>
  <c r="AU130" i="9"/>
  <c r="AT130" i="9"/>
  <c r="AS130" i="9"/>
  <c r="AR130" i="9"/>
  <c r="AQ130" i="9"/>
  <c r="AP130" i="9"/>
  <c r="AO130" i="9"/>
  <c r="AN130" i="9"/>
  <c r="AM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BM129" i="9"/>
  <c r="BL129" i="9"/>
  <c r="BK129" i="9"/>
  <c r="BI129" i="9"/>
  <c r="BH129" i="9"/>
  <c r="BG129" i="9"/>
  <c r="BF129" i="9"/>
  <c r="BE129" i="9"/>
  <c r="BD129" i="9"/>
  <c r="BC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BM128" i="9"/>
  <c r="BL128" i="9"/>
  <c r="BK128" i="9"/>
  <c r="BI128" i="9"/>
  <c r="BH128" i="9"/>
  <c r="BG128" i="9"/>
  <c r="BF128" i="9"/>
  <c r="BE128" i="9"/>
  <c r="BD128" i="9"/>
  <c r="BC128" i="9"/>
  <c r="AX128" i="9"/>
  <c r="AW128" i="9"/>
  <c r="AV128" i="9"/>
  <c r="AU128" i="9"/>
  <c r="AT128" i="9"/>
  <c r="AS128" i="9"/>
  <c r="AR128" i="9"/>
  <c r="AQ128" i="9"/>
  <c r="AP128" i="9"/>
  <c r="AO128" i="9"/>
  <c r="AN128" i="9"/>
  <c r="AM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BM127" i="9"/>
  <c r="BL127" i="9"/>
  <c r="BK127" i="9"/>
  <c r="BI127" i="9"/>
  <c r="BH127" i="9"/>
  <c r="BG127" i="9"/>
  <c r="BF127" i="9"/>
  <c r="BE127" i="9"/>
  <c r="BD127" i="9"/>
  <c r="BC127" i="9"/>
  <c r="AX127" i="9"/>
  <c r="AW127" i="9"/>
  <c r="AV127" i="9"/>
  <c r="AU127" i="9"/>
  <c r="AT127" i="9"/>
  <c r="AS127" i="9"/>
  <c r="AR127" i="9"/>
  <c r="AQ127" i="9"/>
  <c r="AP127" i="9"/>
  <c r="AO127" i="9"/>
  <c r="AN127" i="9"/>
  <c r="AM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BM126" i="9"/>
  <c r="BL126" i="9"/>
  <c r="BK126" i="9"/>
  <c r="BI126" i="9"/>
  <c r="BH126" i="9"/>
  <c r="BG126" i="9"/>
  <c r="BF126" i="9"/>
  <c r="BE126" i="9"/>
  <c r="BD126" i="9"/>
  <c r="BC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BN118" i="9"/>
  <c r="BJ118" i="9"/>
  <c r="BF118" i="9"/>
  <c r="AX118" i="9"/>
  <c r="F118" i="9"/>
  <c r="BM117" i="9"/>
  <c r="BL117" i="9"/>
  <c r="BK117" i="9"/>
  <c r="BI117" i="9"/>
  <c r="BH117" i="9"/>
  <c r="BG117" i="9"/>
  <c r="BE117" i="9"/>
  <c r="BD117" i="9"/>
  <c r="BC117" i="9"/>
  <c r="AW117" i="9"/>
  <c r="AV117" i="9"/>
  <c r="AU117" i="9"/>
  <c r="AT117" i="9"/>
  <c r="AS117" i="9"/>
  <c r="AR117" i="9"/>
  <c r="AQ117" i="9"/>
  <c r="AP117" i="9"/>
  <c r="AO117" i="9"/>
  <c r="AN117" i="9"/>
  <c r="AM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BM116" i="9"/>
  <c r="BL116" i="9"/>
  <c r="BK116" i="9"/>
  <c r="BI116" i="9"/>
  <c r="BH116" i="9"/>
  <c r="BG116" i="9"/>
  <c r="BE116" i="9"/>
  <c r="BD116" i="9"/>
  <c r="BC116" i="9"/>
  <c r="AW116" i="9"/>
  <c r="AV116" i="9"/>
  <c r="AU116" i="9"/>
  <c r="AT116" i="9"/>
  <c r="AS116" i="9"/>
  <c r="AR116" i="9"/>
  <c r="AQ116" i="9"/>
  <c r="AP116" i="9"/>
  <c r="AO116" i="9"/>
  <c r="AN116" i="9"/>
  <c r="AM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BM115" i="9"/>
  <c r="BL115" i="9"/>
  <c r="BK115" i="9"/>
  <c r="BI115" i="9"/>
  <c r="BH115" i="9"/>
  <c r="BG115" i="9"/>
  <c r="BE115" i="9"/>
  <c r="BD115" i="9"/>
  <c r="BC115" i="9"/>
  <c r="AW115" i="9"/>
  <c r="AV115" i="9"/>
  <c r="AU115" i="9"/>
  <c r="AT115" i="9"/>
  <c r="AS115" i="9"/>
  <c r="AR115" i="9"/>
  <c r="AQ115" i="9"/>
  <c r="AP115" i="9"/>
  <c r="AO115" i="9"/>
  <c r="AN115" i="9"/>
  <c r="AM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BM114" i="9"/>
  <c r="BL114" i="9"/>
  <c r="BK114" i="9"/>
  <c r="BI114" i="9"/>
  <c r="BH114" i="9"/>
  <c r="BG114" i="9"/>
  <c r="BE114" i="9"/>
  <c r="BD114" i="9"/>
  <c r="BC114" i="9"/>
  <c r="AW114" i="9"/>
  <c r="AV114" i="9"/>
  <c r="AU114" i="9"/>
  <c r="AT114" i="9"/>
  <c r="AS114" i="9"/>
  <c r="AR114" i="9"/>
  <c r="AQ114" i="9"/>
  <c r="AP114" i="9"/>
  <c r="AO114" i="9"/>
  <c r="AN114" i="9"/>
  <c r="AM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BM113" i="9"/>
  <c r="BL113" i="9"/>
  <c r="BK113" i="9"/>
  <c r="BI113" i="9"/>
  <c r="BH113" i="9"/>
  <c r="BG113" i="9"/>
  <c r="BE113" i="9"/>
  <c r="BD113" i="9"/>
  <c r="BC113" i="9"/>
  <c r="AW113" i="9"/>
  <c r="AV113" i="9"/>
  <c r="AU113" i="9"/>
  <c r="AT113" i="9"/>
  <c r="AS113" i="9"/>
  <c r="AR113" i="9"/>
  <c r="AQ113" i="9"/>
  <c r="AP113" i="9"/>
  <c r="AO113" i="9"/>
  <c r="AN113" i="9"/>
  <c r="AM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BM112" i="9"/>
  <c r="BL112" i="9"/>
  <c r="BK112" i="9"/>
  <c r="BI112" i="9"/>
  <c r="BH112" i="9"/>
  <c r="BG112" i="9"/>
  <c r="BE112" i="9"/>
  <c r="BD112" i="9"/>
  <c r="BC112" i="9"/>
  <c r="AW112" i="9"/>
  <c r="AV112" i="9"/>
  <c r="AU112" i="9"/>
  <c r="AT112" i="9"/>
  <c r="AS112" i="9"/>
  <c r="AR112" i="9"/>
  <c r="AQ112" i="9"/>
  <c r="AP112" i="9"/>
  <c r="AO112" i="9"/>
  <c r="AN112" i="9"/>
  <c r="AM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BM111" i="9"/>
  <c r="BL111" i="9"/>
  <c r="BK111" i="9"/>
  <c r="BI111" i="9"/>
  <c r="BH111" i="9"/>
  <c r="BG111" i="9"/>
  <c r="BE111" i="9"/>
  <c r="BD111" i="9"/>
  <c r="BC111" i="9"/>
  <c r="AW111" i="9"/>
  <c r="AV111" i="9"/>
  <c r="AU111" i="9"/>
  <c r="AT111" i="9"/>
  <c r="AS111" i="9"/>
  <c r="AR111" i="9"/>
  <c r="AQ111" i="9"/>
  <c r="AP111" i="9"/>
  <c r="AO111" i="9"/>
  <c r="AN111" i="9"/>
  <c r="AM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BM110" i="9"/>
  <c r="BL110" i="9"/>
  <c r="BK110" i="9"/>
  <c r="BI110" i="9"/>
  <c r="BH110" i="9"/>
  <c r="BG110" i="9"/>
  <c r="BE110" i="9"/>
  <c r="BD110" i="9"/>
  <c r="BC110" i="9"/>
  <c r="AW110" i="9"/>
  <c r="AV110" i="9"/>
  <c r="AU110" i="9"/>
  <c r="AT110" i="9"/>
  <c r="AS110" i="9"/>
  <c r="AR110" i="9"/>
  <c r="AQ110" i="9"/>
  <c r="AP110" i="9"/>
  <c r="AO110" i="9"/>
  <c r="AN110" i="9"/>
  <c r="AM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BM109" i="9"/>
  <c r="BL109" i="9"/>
  <c r="BK109" i="9"/>
  <c r="BI109" i="9"/>
  <c r="BH109" i="9"/>
  <c r="BG109" i="9"/>
  <c r="BE109" i="9"/>
  <c r="BD109" i="9"/>
  <c r="BC109" i="9"/>
  <c r="AW109" i="9"/>
  <c r="AV109" i="9"/>
  <c r="AU109" i="9"/>
  <c r="AT109" i="9"/>
  <c r="AS109" i="9"/>
  <c r="AR109" i="9"/>
  <c r="AQ109" i="9"/>
  <c r="AP109" i="9"/>
  <c r="AO109" i="9"/>
  <c r="AN109" i="9"/>
  <c r="AM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BM108" i="9"/>
  <c r="BL108" i="9"/>
  <c r="BK108" i="9"/>
  <c r="BI108" i="9"/>
  <c r="BH108" i="9"/>
  <c r="BG108" i="9"/>
  <c r="BE108" i="9"/>
  <c r="BD108" i="9"/>
  <c r="BC108" i="9"/>
  <c r="AW108" i="9"/>
  <c r="AV108" i="9"/>
  <c r="AU108" i="9"/>
  <c r="AT108" i="9"/>
  <c r="AS108" i="9"/>
  <c r="AR108" i="9"/>
  <c r="AQ108" i="9"/>
  <c r="AP108" i="9"/>
  <c r="AO108" i="9"/>
  <c r="AN108" i="9"/>
  <c r="AM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BM107" i="9"/>
  <c r="BL107" i="9"/>
  <c r="BK107" i="9"/>
  <c r="BI107" i="9"/>
  <c r="BH107" i="9"/>
  <c r="BG107" i="9"/>
  <c r="BE107" i="9"/>
  <c r="BD107" i="9"/>
  <c r="BC107" i="9"/>
  <c r="AW107" i="9"/>
  <c r="AV107" i="9"/>
  <c r="AU107" i="9"/>
  <c r="AT107" i="9"/>
  <c r="AS107" i="9"/>
  <c r="AR107" i="9"/>
  <c r="AQ107" i="9"/>
  <c r="AP107" i="9"/>
  <c r="AO107" i="9"/>
  <c r="AN107" i="9"/>
  <c r="AM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BM106" i="9"/>
  <c r="BL106" i="9"/>
  <c r="BK106" i="9"/>
  <c r="BI106" i="9"/>
  <c r="BH106" i="9"/>
  <c r="BG106" i="9"/>
  <c r="BE106" i="9"/>
  <c r="BD106" i="9"/>
  <c r="BC106" i="9"/>
  <c r="AW106" i="9"/>
  <c r="AV106" i="9"/>
  <c r="AU106" i="9"/>
  <c r="AT106" i="9"/>
  <c r="AS106" i="9"/>
  <c r="AR106" i="9"/>
  <c r="AQ106" i="9"/>
  <c r="AP106" i="9"/>
  <c r="AO106" i="9"/>
  <c r="AN106" i="9"/>
  <c r="AM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BM105" i="9"/>
  <c r="BL105" i="9"/>
  <c r="BK105" i="9"/>
  <c r="BI105" i="9"/>
  <c r="BH105" i="9"/>
  <c r="BG105" i="9"/>
  <c r="BE105" i="9"/>
  <c r="BD105" i="9"/>
  <c r="BC105" i="9"/>
  <c r="AW105" i="9"/>
  <c r="AV105" i="9"/>
  <c r="AU105" i="9"/>
  <c r="AT105" i="9"/>
  <c r="AS105" i="9"/>
  <c r="AR105" i="9"/>
  <c r="AQ105" i="9"/>
  <c r="AP105" i="9"/>
  <c r="AO105" i="9"/>
  <c r="AN105" i="9"/>
  <c r="AM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BM104" i="9"/>
  <c r="BL104" i="9"/>
  <c r="BK104" i="9"/>
  <c r="BI104" i="9"/>
  <c r="BH104" i="9"/>
  <c r="BG104" i="9"/>
  <c r="BE104" i="9"/>
  <c r="BD104" i="9"/>
  <c r="BC104" i="9"/>
  <c r="AW104" i="9"/>
  <c r="AV104" i="9"/>
  <c r="AU104" i="9"/>
  <c r="AT104" i="9"/>
  <c r="AS104" i="9"/>
  <c r="AR104" i="9"/>
  <c r="AQ104" i="9"/>
  <c r="AP104" i="9"/>
  <c r="AO104" i="9"/>
  <c r="AN104" i="9"/>
  <c r="AM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BM103" i="9"/>
  <c r="BL103" i="9"/>
  <c r="BK103" i="9"/>
  <c r="BI103" i="9"/>
  <c r="BH103" i="9"/>
  <c r="BG103" i="9"/>
  <c r="BE103" i="9"/>
  <c r="BD103" i="9"/>
  <c r="BC103" i="9"/>
  <c r="AW103" i="9"/>
  <c r="AV103" i="9"/>
  <c r="AU103" i="9"/>
  <c r="AT103" i="9"/>
  <c r="AS103" i="9"/>
  <c r="AR103" i="9"/>
  <c r="AQ103" i="9"/>
  <c r="AP103" i="9"/>
  <c r="AO103" i="9"/>
  <c r="AN103" i="9"/>
  <c r="AM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BM102" i="9"/>
  <c r="BL102" i="9"/>
  <c r="BK102" i="9"/>
  <c r="BI102" i="9"/>
  <c r="BH102" i="9"/>
  <c r="BG102" i="9"/>
  <c r="BE102" i="9"/>
  <c r="BD102" i="9"/>
  <c r="BC102" i="9"/>
  <c r="AW102" i="9"/>
  <c r="AV102" i="9"/>
  <c r="AU102" i="9"/>
  <c r="AT102" i="9"/>
  <c r="AS102" i="9"/>
  <c r="AR102" i="9"/>
  <c r="AQ102" i="9"/>
  <c r="AP102" i="9"/>
  <c r="AO102" i="9"/>
  <c r="AN102" i="9"/>
  <c r="AM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BM101" i="9"/>
  <c r="BL101" i="9"/>
  <c r="BK101" i="9"/>
  <c r="BI101" i="9"/>
  <c r="BH101" i="9"/>
  <c r="BG101" i="9"/>
  <c r="BE101" i="9"/>
  <c r="BD101" i="9"/>
  <c r="BC101" i="9"/>
  <c r="AW101" i="9"/>
  <c r="AV101" i="9"/>
  <c r="AU101" i="9"/>
  <c r="AT101" i="9"/>
  <c r="AS101" i="9"/>
  <c r="AR101" i="9"/>
  <c r="AQ101" i="9"/>
  <c r="AP101" i="9"/>
  <c r="AO101" i="9"/>
  <c r="AN101" i="9"/>
  <c r="AM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BM100" i="9"/>
  <c r="BL100" i="9"/>
  <c r="BK100" i="9"/>
  <c r="BI100" i="9"/>
  <c r="BH100" i="9"/>
  <c r="BG100" i="9"/>
  <c r="BE100" i="9"/>
  <c r="BD100" i="9"/>
  <c r="BC100" i="9"/>
  <c r="AW100" i="9"/>
  <c r="AV100" i="9"/>
  <c r="AU100" i="9"/>
  <c r="AT100" i="9"/>
  <c r="AS100" i="9"/>
  <c r="AR100" i="9"/>
  <c r="AQ100" i="9"/>
  <c r="AP100" i="9"/>
  <c r="AO100" i="9"/>
  <c r="AN100" i="9"/>
  <c r="AM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BM99" i="9"/>
  <c r="BL99" i="9"/>
  <c r="BK99" i="9"/>
  <c r="BI99" i="9"/>
  <c r="BH99" i="9"/>
  <c r="BG99" i="9"/>
  <c r="BE99" i="9"/>
  <c r="BD99" i="9"/>
  <c r="BC99" i="9"/>
  <c r="AW99" i="9"/>
  <c r="AV99" i="9"/>
  <c r="AU99" i="9"/>
  <c r="AT99" i="9"/>
  <c r="AS99" i="9"/>
  <c r="AR99" i="9"/>
  <c r="AQ99" i="9"/>
  <c r="AP99" i="9"/>
  <c r="AO99" i="9"/>
  <c r="AN99" i="9"/>
  <c r="AM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R99" i="9"/>
  <c r="Q99" i="9"/>
  <c r="P99" i="9"/>
  <c r="O99" i="9"/>
  <c r="N99" i="9"/>
  <c r="M99" i="9"/>
  <c r="L99" i="9"/>
  <c r="K99" i="9"/>
  <c r="J99" i="9"/>
  <c r="I99" i="9"/>
  <c r="H99" i="9"/>
  <c r="G99" i="9"/>
  <c r="BM98" i="9"/>
  <c r="BL98" i="9"/>
  <c r="BK98" i="9"/>
  <c r="BI98" i="9"/>
  <c r="BH98" i="9"/>
  <c r="BG98" i="9"/>
  <c r="BE98" i="9"/>
  <c r="BD98" i="9"/>
  <c r="BC98" i="9"/>
  <c r="AW98" i="9"/>
  <c r="AV98" i="9"/>
  <c r="AU98" i="9"/>
  <c r="AT98" i="9"/>
  <c r="AS98" i="9"/>
  <c r="AR98" i="9"/>
  <c r="AQ98" i="9"/>
  <c r="AP98" i="9"/>
  <c r="AO98" i="9"/>
  <c r="AN98" i="9"/>
  <c r="AM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R98" i="9"/>
  <c r="Q98" i="9"/>
  <c r="P98" i="9"/>
  <c r="O98" i="9"/>
  <c r="N98" i="9"/>
  <c r="M98" i="9"/>
  <c r="L98" i="9"/>
  <c r="K98" i="9"/>
  <c r="J98" i="9"/>
  <c r="I98" i="9"/>
  <c r="H98" i="9"/>
  <c r="G98" i="9"/>
  <c r="BM97" i="9"/>
  <c r="BL97" i="9"/>
  <c r="BK97" i="9"/>
  <c r="BI97" i="9"/>
  <c r="BH97" i="9"/>
  <c r="BG97" i="9"/>
  <c r="BE97" i="9"/>
  <c r="BD97" i="9"/>
  <c r="BC97" i="9"/>
  <c r="AW97" i="9"/>
  <c r="AV97" i="9"/>
  <c r="AU97" i="9"/>
  <c r="AT97" i="9"/>
  <c r="AS97" i="9"/>
  <c r="AR97" i="9"/>
  <c r="AQ97" i="9"/>
  <c r="AP97" i="9"/>
  <c r="AO97" i="9"/>
  <c r="AN97" i="9"/>
  <c r="AM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R97" i="9"/>
  <c r="Q97" i="9"/>
  <c r="P97" i="9"/>
  <c r="O97" i="9"/>
  <c r="N97" i="9"/>
  <c r="M97" i="9"/>
  <c r="L97" i="9"/>
  <c r="K97" i="9"/>
  <c r="J97" i="9"/>
  <c r="I97" i="9"/>
  <c r="H97" i="9"/>
  <c r="G97" i="9"/>
  <c r="BM96" i="9"/>
  <c r="BL96" i="9"/>
  <c r="BK96" i="9"/>
  <c r="BI96" i="9"/>
  <c r="BH96" i="9"/>
  <c r="BG96" i="9"/>
  <c r="BE96" i="9"/>
  <c r="BD96" i="9"/>
  <c r="BC96" i="9"/>
  <c r="AW96" i="9"/>
  <c r="AV96" i="9"/>
  <c r="AU96" i="9"/>
  <c r="AT96" i="9"/>
  <c r="AS96" i="9"/>
  <c r="AR96" i="9"/>
  <c r="AQ96" i="9"/>
  <c r="AP96" i="9"/>
  <c r="AO96" i="9"/>
  <c r="AN96" i="9"/>
  <c r="AM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R96" i="9"/>
  <c r="Q96" i="9"/>
  <c r="P96" i="9"/>
  <c r="O96" i="9"/>
  <c r="N96" i="9"/>
  <c r="M96" i="9"/>
  <c r="L96" i="9"/>
  <c r="K96" i="9"/>
  <c r="J96" i="9"/>
  <c r="I96" i="9"/>
  <c r="H96" i="9"/>
  <c r="G96" i="9"/>
  <c r="BM95" i="9"/>
  <c r="BL95" i="9"/>
  <c r="BK95" i="9"/>
  <c r="BI95" i="9"/>
  <c r="BH95" i="9"/>
  <c r="BG95" i="9"/>
  <c r="BE95" i="9"/>
  <c r="BD95" i="9"/>
  <c r="BC95" i="9"/>
  <c r="AW95" i="9"/>
  <c r="AV95" i="9"/>
  <c r="AU95" i="9"/>
  <c r="AT95" i="9"/>
  <c r="AS95" i="9"/>
  <c r="AR95" i="9"/>
  <c r="AQ95" i="9"/>
  <c r="AP95" i="9"/>
  <c r="AO95" i="9"/>
  <c r="AN95" i="9"/>
  <c r="AM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R95" i="9"/>
  <c r="Q95" i="9"/>
  <c r="P95" i="9"/>
  <c r="O95" i="9"/>
  <c r="N95" i="9"/>
  <c r="M95" i="9"/>
  <c r="L95" i="9"/>
  <c r="K95" i="9"/>
  <c r="J95" i="9"/>
  <c r="I95" i="9"/>
  <c r="H95" i="9"/>
  <c r="G95" i="9"/>
  <c r="BM94" i="9"/>
  <c r="BL94" i="9"/>
  <c r="BK94" i="9"/>
  <c r="BI94" i="9"/>
  <c r="BH94" i="9"/>
  <c r="BG94" i="9"/>
  <c r="BE94" i="9"/>
  <c r="BD94" i="9"/>
  <c r="BC94" i="9"/>
  <c r="AW94" i="9"/>
  <c r="AV94" i="9"/>
  <c r="AU94" i="9"/>
  <c r="AT94" i="9"/>
  <c r="AS94" i="9"/>
  <c r="AR94" i="9"/>
  <c r="AQ94" i="9"/>
  <c r="AP94" i="9"/>
  <c r="AO94" i="9"/>
  <c r="AN94" i="9"/>
  <c r="AM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R94" i="9"/>
  <c r="Q94" i="9"/>
  <c r="P94" i="9"/>
  <c r="O94" i="9"/>
  <c r="N94" i="9"/>
  <c r="M94" i="9"/>
  <c r="L94" i="9"/>
  <c r="K94" i="9"/>
  <c r="J94" i="9"/>
  <c r="I94" i="9"/>
  <c r="H94" i="9"/>
  <c r="G94" i="9"/>
  <c r="BM93" i="9"/>
  <c r="BL93" i="9"/>
  <c r="BK93" i="9"/>
  <c r="BI93" i="9"/>
  <c r="BH93" i="9"/>
  <c r="BG93" i="9"/>
  <c r="BE93" i="9"/>
  <c r="BD93" i="9"/>
  <c r="BC93" i="9"/>
  <c r="AW93" i="9"/>
  <c r="AV93" i="9"/>
  <c r="AU93" i="9"/>
  <c r="AT93" i="9"/>
  <c r="AS93" i="9"/>
  <c r="AR93" i="9"/>
  <c r="AQ93" i="9"/>
  <c r="AP93" i="9"/>
  <c r="AO93" i="9"/>
  <c r="AN93" i="9"/>
  <c r="AM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R93" i="9"/>
  <c r="Q93" i="9"/>
  <c r="P93" i="9"/>
  <c r="O93" i="9"/>
  <c r="N93" i="9"/>
  <c r="M93" i="9"/>
  <c r="L93" i="9"/>
  <c r="K93" i="9"/>
  <c r="J93" i="9"/>
  <c r="I93" i="9"/>
  <c r="H93" i="9"/>
  <c r="G93" i="9"/>
  <c r="BM92" i="9"/>
  <c r="BL92" i="9"/>
  <c r="BK92" i="9"/>
  <c r="BI92" i="9"/>
  <c r="BH92" i="9"/>
  <c r="BG92" i="9"/>
  <c r="BE92" i="9"/>
  <c r="BD92" i="9"/>
  <c r="BC92" i="9"/>
  <c r="AW92" i="9"/>
  <c r="AV92" i="9"/>
  <c r="AU92" i="9"/>
  <c r="AT92" i="9"/>
  <c r="AS92" i="9"/>
  <c r="AR92" i="9"/>
  <c r="AQ92" i="9"/>
  <c r="AP92" i="9"/>
  <c r="AO92" i="9"/>
  <c r="AN92" i="9"/>
  <c r="AM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R92" i="9"/>
  <c r="Q92" i="9"/>
  <c r="P92" i="9"/>
  <c r="O92" i="9"/>
  <c r="N92" i="9"/>
  <c r="M92" i="9"/>
  <c r="L92" i="9"/>
  <c r="K92" i="9"/>
  <c r="J92" i="9"/>
  <c r="I92" i="9"/>
  <c r="H92" i="9"/>
  <c r="G92" i="9"/>
  <c r="BM91" i="9"/>
  <c r="BL91" i="9"/>
  <c r="BK91" i="9"/>
  <c r="BI91" i="9"/>
  <c r="BH91" i="9"/>
  <c r="BG91" i="9"/>
  <c r="BE91" i="9"/>
  <c r="BD91" i="9"/>
  <c r="BC91" i="9"/>
  <c r="AW91" i="9"/>
  <c r="AV91" i="9"/>
  <c r="AU91" i="9"/>
  <c r="AT91" i="9"/>
  <c r="AS91" i="9"/>
  <c r="AR91" i="9"/>
  <c r="AQ91" i="9"/>
  <c r="AP91" i="9"/>
  <c r="AO91" i="9"/>
  <c r="AN91" i="9"/>
  <c r="AM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R91" i="9"/>
  <c r="Q91" i="9"/>
  <c r="P91" i="9"/>
  <c r="O91" i="9"/>
  <c r="N91" i="9"/>
  <c r="M91" i="9"/>
  <c r="L91" i="9"/>
  <c r="K91" i="9"/>
  <c r="J91" i="9"/>
  <c r="I91" i="9"/>
  <c r="H91" i="9"/>
  <c r="G91" i="9"/>
  <c r="BM90" i="9"/>
  <c r="BL90" i="9"/>
  <c r="BK90" i="9"/>
  <c r="BI90" i="9"/>
  <c r="BH90" i="9"/>
  <c r="BG90" i="9"/>
  <c r="BE90" i="9"/>
  <c r="BD90" i="9"/>
  <c r="BC90" i="9"/>
  <c r="AW90" i="9"/>
  <c r="AV90" i="9"/>
  <c r="AU90" i="9"/>
  <c r="AT90" i="9"/>
  <c r="AS90" i="9"/>
  <c r="AR90" i="9"/>
  <c r="AQ90" i="9"/>
  <c r="AP90" i="9"/>
  <c r="AO90" i="9"/>
  <c r="AN90" i="9"/>
  <c r="AM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R90" i="9"/>
  <c r="Q90" i="9"/>
  <c r="P90" i="9"/>
  <c r="O90" i="9"/>
  <c r="N90" i="9"/>
  <c r="M90" i="9"/>
  <c r="L90" i="9"/>
  <c r="K90" i="9"/>
  <c r="J90" i="9"/>
  <c r="I90" i="9"/>
  <c r="H90" i="9"/>
  <c r="G90" i="9"/>
  <c r="BM89" i="9"/>
  <c r="BL89" i="9"/>
  <c r="BK89" i="9"/>
  <c r="BI89" i="9"/>
  <c r="BH89" i="9"/>
  <c r="BG89" i="9"/>
  <c r="BE89" i="9"/>
  <c r="BD89" i="9"/>
  <c r="BC89" i="9"/>
  <c r="AW89" i="9"/>
  <c r="AV89" i="9"/>
  <c r="AU89" i="9"/>
  <c r="AT89" i="9"/>
  <c r="AS89" i="9"/>
  <c r="AR89" i="9"/>
  <c r="AQ89" i="9"/>
  <c r="AP89" i="9"/>
  <c r="AO89" i="9"/>
  <c r="AN89" i="9"/>
  <c r="AM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R89" i="9"/>
  <c r="Q89" i="9"/>
  <c r="P89" i="9"/>
  <c r="O89" i="9"/>
  <c r="N89" i="9"/>
  <c r="M89" i="9"/>
  <c r="L89" i="9"/>
  <c r="K89" i="9"/>
  <c r="J89" i="9"/>
  <c r="I89" i="9"/>
  <c r="H89" i="9"/>
  <c r="G89" i="9"/>
  <c r="BM88" i="9"/>
  <c r="BL88" i="9"/>
  <c r="BK88" i="9"/>
  <c r="BI88" i="9"/>
  <c r="BH88" i="9"/>
  <c r="BG88" i="9"/>
  <c r="BE88" i="9"/>
  <c r="BD88" i="9"/>
  <c r="BC88" i="9"/>
  <c r="AW88" i="9"/>
  <c r="AV88" i="9"/>
  <c r="AU88" i="9"/>
  <c r="AT88" i="9"/>
  <c r="AS88" i="9"/>
  <c r="AR88" i="9"/>
  <c r="AQ88" i="9"/>
  <c r="AP88" i="9"/>
  <c r="AO88" i="9"/>
  <c r="AN88" i="9"/>
  <c r="AM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R88" i="9"/>
  <c r="Q88" i="9"/>
  <c r="P88" i="9"/>
  <c r="O88" i="9"/>
  <c r="N88" i="9"/>
  <c r="M88" i="9"/>
  <c r="L88" i="9"/>
  <c r="K88" i="9"/>
  <c r="J88" i="9"/>
  <c r="I88" i="9"/>
  <c r="H88" i="9"/>
  <c r="G88" i="9"/>
  <c r="BM87" i="9"/>
  <c r="BL87" i="9"/>
  <c r="BK87" i="9"/>
  <c r="BI87" i="9"/>
  <c r="BH87" i="9"/>
  <c r="BG87" i="9"/>
  <c r="BE87" i="9"/>
  <c r="BD87" i="9"/>
  <c r="BC87" i="9"/>
  <c r="AW87" i="9"/>
  <c r="AV87" i="9"/>
  <c r="AU87" i="9"/>
  <c r="AT87" i="9"/>
  <c r="AS87" i="9"/>
  <c r="AR87" i="9"/>
  <c r="AQ87" i="9"/>
  <c r="AP87" i="9"/>
  <c r="AO87" i="9"/>
  <c r="AN87" i="9"/>
  <c r="AM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R87" i="9"/>
  <c r="Q87" i="9"/>
  <c r="P87" i="9"/>
  <c r="O87" i="9"/>
  <c r="N87" i="9"/>
  <c r="M87" i="9"/>
  <c r="L87" i="9"/>
  <c r="K87" i="9"/>
  <c r="J87" i="9"/>
  <c r="I87" i="9"/>
  <c r="H87" i="9"/>
  <c r="G87" i="9"/>
  <c r="BM86" i="9"/>
  <c r="BL86" i="9"/>
  <c r="BK86" i="9"/>
  <c r="BI86" i="9"/>
  <c r="BH86" i="9"/>
  <c r="BG86" i="9"/>
  <c r="BE86" i="9"/>
  <c r="BD86" i="9"/>
  <c r="BC86" i="9"/>
  <c r="AW86" i="9"/>
  <c r="AV86" i="9"/>
  <c r="AU86" i="9"/>
  <c r="AT86" i="9"/>
  <c r="AS86" i="9"/>
  <c r="AR86" i="9"/>
  <c r="AQ86" i="9"/>
  <c r="AP86" i="9"/>
  <c r="AO86" i="9"/>
  <c r="AN86" i="9"/>
  <c r="AM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R86" i="9"/>
  <c r="Q86" i="9"/>
  <c r="P86" i="9"/>
  <c r="O86" i="9"/>
  <c r="N86" i="9"/>
  <c r="M86" i="9"/>
  <c r="L86" i="9"/>
  <c r="K86" i="9"/>
  <c r="J86" i="9"/>
  <c r="I86" i="9"/>
  <c r="H86" i="9"/>
  <c r="G86" i="9"/>
  <c r="BM85" i="9"/>
  <c r="BL85" i="9"/>
  <c r="BK85" i="9"/>
  <c r="BI85" i="9"/>
  <c r="BH85" i="9"/>
  <c r="BG85" i="9"/>
  <c r="BE85" i="9"/>
  <c r="BD85" i="9"/>
  <c r="BC85" i="9"/>
  <c r="AW85" i="9"/>
  <c r="AV85" i="9"/>
  <c r="AU85" i="9"/>
  <c r="AT85" i="9"/>
  <c r="AS85" i="9"/>
  <c r="AR85" i="9"/>
  <c r="AQ85" i="9"/>
  <c r="AP85" i="9"/>
  <c r="AO85" i="9"/>
  <c r="AN85" i="9"/>
  <c r="AM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R85" i="9"/>
  <c r="Q85" i="9"/>
  <c r="P85" i="9"/>
  <c r="O85" i="9"/>
  <c r="N85" i="9"/>
  <c r="M85" i="9"/>
  <c r="L85" i="9"/>
  <c r="K85" i="9"/>
  <c r="J85" i="9"/>
  <c r="I85" i="9"/>
  <c r="H85" i="9"/>
  <c r="G85" i="9"/>
  <c r="BM84" i="9"/>
  <c r="BL84" i="9"/>
  <c r="BK84" i="9"/>
  <c r="BI84" i="9"/>
  <c r="BH84" i="9"/>
  <c r="BG84" i="9"/>
  <c r="BE84" i="9"/>
  <c r="BD84" i="9"/>
  <c r="BC84" i="9"/>
  <c r="AW84" i="9"/>
  <c r="AV84" i="9"/>
  <c r="AU84" i="9"/>
  <c r="AT84" i="9"/>
  <c r="AS84" i="9"/>
  <c r="AR84" i="9"/>
  <c r="AQ84" i="9"/>
  <c r="AP84" i="9"/>
  <c r="AO84" i="9"/>
  <c r="AN84" i="9"/>
  <c r="AM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R84" i="9"/>
  <c r="Q84" i="9"/>
  <c r="P84" i="9"/>
  <c r="O84" i="9"/>
  <c r="N84" i="9"/>
  <c r="M84" i="9"/>
  <c r="L84" i="9"/>
  <c r="K84" i="9"/>
  <c r="J84" i="9"/>
  <c r="I84" i="9"/>
  <c r="H84" i="9"/>
  <c r="G84" i="9"/>
  <c r="BM83" i="9"/>
  <c r="BL83" i="9"/>
  <c r="BK83" i="9"/>
  <c r="BI83" i="9"/>
  <c r="BH83" i="9"/>
  <c r="BG83" i="9"/>
  <c r="BE83" i="9"/>
  <c r="BD83" i="9"/>
  <c r="BC83" i="9"/>
  <c r="AW83" i="9"/>
  <c r="AV83" i="9"/>
  <c r="AU83" i="9"/>
  <c r="AT83" i="9"/>
  <c r="AS83" i="9"/>
  <c r="AR83" i="9"/>
  <c r="AQ83" i="9"/>
  <c r="AP83" i="9"/>
  <c r="AO83" i="9"/>
  <c r="AN83" i="9"/>
  <c r="AM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R83" i="9"/>
  <c r="Q83" i="9"/>
  <c r="P83" i="9"/>
  <c r="O83" i="9"/>
  <c r="N83" i="9"/>
  <c r="M83" i="9"/>
  <c r="L83" i="9"/>
  <c r="K83" i="9"/>
  <c r="J83" i="9"/>
  <c r="I83" i="9"/>
  <c r="H83" i="9"/>
  <c r="G83" i="9"/>
  <c r="BM82" i="9"/>
  <c r="BL82" i="9"/>
  <c r="BK82" i="9"/>
  <c r="BI82" i="9"/>
  <c r="BH82" i="9"/>
  <c r="BG82" i="9"/>
  <c r="BE82" i="9"/>
  <c r="BD82" i="9"/>
  <c r="BC82" i="9"/>
  <c r="AW82" i="9"/>
  <c r="AV82" i="9"/>
  <c r="AU82" i="9"/>
  <c r="AT82" i="9"/>
  <c r="AS82" i="9"/>
  <c r="AR82" i="9"/>
  <c r="AQ82" i="9"/>
  <c r="AP82" i="9"/>
  <c r="AO82" i="9"/>
  <c r="AN82" i="9"/>
  <c r="AM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R82" i="9"/>
  <c r="Q82" i="9"/>
  <c r="P82" i="9"/>
  <c r="O82" i="9"/>
  <c r="N82" i="9"/>
  <c r="M82" i="9"/>
  <c r="L82" i="9"/>
  <c r="K82" i="9"/>
  <c r="J82" i="9"/>
  <c r="I82" i="9"/>
  <c r="H82" i="9"/>
  <c r="G82" i="9"/>
  <c r="BM81" i="9"/>
  <c r="BL81" i="9"/>
  <c r="BK81" i="9"/>
  <c r="BI81" i="9"/>
  <c r="BH81" i="9"/>
  <c r="BG81" i="9"/>
  <c r="BE81" i="9"/>
  <c r="BD81" i="9"/>
  <c r="BC81" i="9"/>
  <c r="AW81" i="9"/>
  <c r="AV81" i="9"/>
  <c r="AU81" i="9"/>
  <c r="AT81" i="9"/>
  <c r="AS81" i="9"/>
  <c r="AR81" i="9"/>
  <c r="AQ81" i="9"/>
  <c r="AP81" i="9"/>
  <c r="AO81" i="9"/>
  <c r="AN81" i="9"/>
  <c r="AM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R81" i="9"/>
  <c r="Q81" i="9"/>
  <c r="P81" i="9"/>
  <c r="O81" i="9"/>
  <c r="N81" i="9"/>
  <c r="M81" i="9"/>
  <c r="L81" i="9"/>
  <c r="K81" i="9"/>
  <c r="J81" i="9"/>
  <c r="I81" i="9"/>
  <c r="H81" i="9"/>
  <c r="G81" i="9"/>
  <c r="BN75" i="9"/>
  <c r="BJ75" i="9"/>
  <c r="BF75" i="9"/>
  <c r="AX75" i="9"/>
  <c r="F75" i="9"/>
  <c r="CE74" i="9"/>
  <c r="CD74" i="9"/>
  <c r="CC74" i="9"/>
  <c r="CB74" i="9"/>
  <c r="CA74" i="9"/>
  <c r="BZ74" i="9"/>
  <c r="BY74" i="9"/>
  <c r="BX74" i="9"/>
  <c r="BW74" i="9"/>
  <c r="BV74" i="9"/>
  <c r="BU74" i="9"/>
  <c r="BT74" i="9"/>
  <c r="BM74" i="9"/>
  <c r="BL74" i="9"/>
  <c r="BK74" i="9"/>
  <c r="BI74" i="9"/>
  <c r="BH74" i="9"/>
  <c r="BG74" i="9"/>
  <c r="BE74" i="9"/>
  <c r="BD74" i="9"/>
  <c r="BC74" i="9"/>
  <c r="AW74" i="9"/>
  <c r="AV74" i="9"/>
  <c r="AU74" i="9"/>
  <c r="AT74" i="9"/>
  <c r="AS74" i="9"/>
  <c r="AR74" i="9"/>
  <c r="AQ74" i="9"/>
  <c r="AP74" i="9"/>
  <c r="AO74" i="9"/>
  <c r="AN74" i="9"/>
  <c r="AM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R74" i="9"/>
  <c r="Q74" i="9"/>
  <c r="P74" i="9"/>
  <c r="O74" i="9"/>
  <c r="N74" i="9"/>
  <c r="M74" i="9"/>
  <c r="L74" i="9"/>
  <c r="K74" i="9"/>
  <c r="J74" i="9"/>
  <c r="I74" i="9"/>
  <c r="H74" i="9"/>
  <c r="G74" i="9"/>
  <c r="CE73" i="9"/>
  <c r="CD73" i="9"/>
  <c r="CC73" i="9"/>
  <c r="CB73" i="9"/>
  <c r="CA73" i="9"/>
  <c r="BZ73" i="9"/>
  <c r="BY73" i="9"/>
  <c r="BX73" i="9"/>
  <c r="BW73" i="9"/>
  <c r="BV73" i="9"/>
  <c r="BU73" i="9"/>
  <c r="BT73" i="9"/>
  <c r="BM73" i="9"/>
  <c r="BL73" i="9"/>
  <c r="BK73" i="9"/>
  <c r="BI73" i="9"/>
  <c r="BH73" i="9"/>
  <c r="BG73" i="9"/>
  <c r="BE73" i="9"/>
  <c r="BD73" i="9"/>
  <c r="BC73" i="9"/>
  <c r="AW73" i="9"/>
  <c r="AV73" i="9"/>
  <c r="AU73" i="9"/>
  <c r="AT73" i="9"/>
  <c r="AS73" i="9"/>
  <c r="AR73" i="9"/>
  <c r="AQ73" i="9"/>
  <c r="AP73" i="9"/>
  <c r="AO73" i="9"/>
  <c r="AN73" i="9"/>
  <c r="AM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R73" i="9"/>
  <c r="Q73" i="9"/>
  <c r="P73" i="9"/>
  <c r="O73" i="9"/>
  <c r="N73" i="9"/>
  <c r="M73" i="9"/>
  <c r="L73" i="9"/>
  <c r="K73" i="9"/>
  <c r="J73" i="9"/>
  <c r="I73" i="9"/>
  <c r="H73" i="9"/>
  <c r="G73" i="9"/>
  <c r="CE72" i="9"/>
  <c r="CD72" i="9"/>
  <c r="CC72" i="9"/>
  <c r="CB72" i="9"/>
  <c r="CA72" i="9"/>
  <c r="BZ72" i="9"/>
  <c r="BY72" i="9"/>
  <c r="BX72" i="9"/>
  <c r="BW72" i="9"/>
  <c r="BV72" i="9"/>
  <c r="BU72" i="9"/>
  <c r="BT72" i="9"/>
  <c r="BM72" i="9"/>
  <c r="BL72" i="9"/>
  <c r="BK72" i="9"/>
  <c r="BI72" i="9"/>
  <c r="BH72" i="9"/>
  <c r="BG72" i="9"/>
  <c r="BE72" i="9"/>
  <c r="BD72" i="9"/>
  <c r="BC72" i="9"/>
  <c r="AW72" i="9"/>
  <c r="AV72" i="9"/>
  <c r="AU72" i="9"/>
  <c r="AT72" i="9"/>
  <c r="AS72" i="9"/>
  <c r="AR72" i="9"/>
  <c r="AQ72" i="9"/>
  <c r="AP72" i="9"/>
  <c r="AO72" i="9"/>
  <c r="AN72" i="9"/>
  <c r="AM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R72" i="9"/>
  <c r="Q72" i="9"/>
  <c r="P72" i="9"/>
  <c r="O72" i="9"/>
  <c r="N72" i="9"/>
  <c r="M72" i="9"/>
  <c r="L72" i="9"/>
  <c r="K72" i="9"/>
  <c r="J72" i="9"/>
  <c r="I72" i="9"/>
  <c r="H72" i="9"/>
  <c r="G72" i="9"/>
  <c r="CE71" i="9"/>
  <c r="CD71" i="9"/>
  <c r="CC71" i="9"/>
  <c r="CB71" i="9"/>
  <c r="CA71" i="9"/>
  <c r="BZ71" i="9"/>
  <c r="BY71" i="9"/>
  <c r="BX71" i="9"/>
  <c r="BW71" i="9"/>
  <c r="BV71" i="9"/>
  <c r="BU71" i="9"/>
  <c r="BT71" i="9"/>
  <c r="BM71" i="9"/>
  <c r="BL71" i="9"/>
  <c r="BK71" i="9"/>
  <c r="BI71" i="9"/>
  <c r="BH71" i="9"/>
  <c r="BG71" i="9"/>
  <c r="BE71" i="9"/>
  <c r="BD71" i="9"/>
  <c r="BC71" i="9"/>
  <c r="AW71" i="9"/>
  <c r="AV71" i="9"/>
  <c r="AU71" i="9"/>
  <c r="AT71" i="9"/>
  <c r="AS71" i="9"/>
  <c r="AR71" i="9"/>
  <c r="AQ71" i="9"/>
  <c r="AP71" i="9"/>
  <c r="AO71" i="9"/>
  <c r="AN71" i="9"/>
  <c r="AM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R71" i="9"/>
  <c r="Q71" i="9"/>
  <c r="P71" i="9"/>
  <c r="O71" i="9"/>
  <c r="N71" i="9"/>
  <c r="M71" i="9"/>
  <c r="L71" i="9"/>
  <c r="K71" i="9"/>
  <c r="J71" i="9"/>
  <c r="I71" i="9"/>
  <c r="H71" i="9"/>
  <c r="G71" i="9"/>
  <c r="CE70" i="9"/>
  <c r="CD70" i="9"/>
  <c r="CC70" i="9"/>
  <c r="CB70" i="9"/>
  <c r="CA70" i="9"/>
  <c r="BZ70" i="9"/>
  <c r="BY70" i="9"/>
  <c r="BX70" i="9"/>
  <c r="BW70" i="9"/>
  <c r="BV70" i="9"/>
  <c r="BU70" i="9"/>
  <c r="BT70" i="9"/>
  <c r="BM70" i="9"/>
  <c r="BL70" i="9"/>
  <c r="BK70" i="9"/>
  <c r="BI70" i="9"/>
  <c r="BH70" i="9"/>
  <c r="BG70" i="9"/>
  <c r="BE70" i="9"/>
  <c r="BD70" i="9"/>
  <c r="BC70" i="9"/>
  <c r="AW70" i="9"/>
  <c r="AV70" i="9"/>
  <c r="AU70" i="9"/>
  <c r="AT70" i="9"/>
  <c r="AS70" i="9"/>
  <c r="AR70" i="9"/>
  <c r="AQ70" i="9"/>
  <c r="AP70" i="9"/>
  <c r="AO70" i="9"/>
  <c r="AN70" i="9"/>
  <c r="AM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R70" i="9"/>
  <c r="Q70" i="9"/>
  <c r="P70" i="9"/>
  <c r="O70" i="9"/>
  <c r="N70" i="9"/>
  <c r="M70" i="9"/>
  <c r="L70" i="9"/>
  <c r="K70" i="9"/>
  <c r="J70" i="9"/>
  <c r="I70" i="9"/>
  <c r="H70" i="9"/>
  <c r="G70" i="9"/>
  <c r="CE69" i="9"/>
  <c r="CD69" i="9"/>
  <c r="CC69" i="9"/>
  <c r="CB69" i="9"/>
  <c r="CA69" i="9"/>
  <c r="BZ69" i="9"/>
  <c r="BY69" i="9"/>
  <c r="BX69" i="9"/>
  <c r="BW69" i="9"/>
  <c r="BV69" i="9"/>
  <c r="BU69" i="9"/>
  <c r="BT69" i="9"/>
  <c r="BM69" i="9"/>
  <c r="BL69" i="9"/>
  <c r="BK69" i="9"/>
  <c r="BI69" i="9"/>
  <c r="BH69" i="9"/>
  <c r="BG69" i="9"/>
  <c r="BE69" i="9"/>
  <c r="BD69" i="9"/>
  <c r="BC69" i="9"/>
  <c r="AW69" i="9"/>
  <c r="AV69" i="9"/>
  <c r="AU69" i="9"/>
  <c r="AT69" i="9"/>
  <c r="AS69" i="9"/>
  <c r="AR69" i="9"/>
  <c r="AQ69" i="9"/>
  <c r="AP69" i="9"/>
  <c r="AO69" i="9"/>
  <c r="AN69" i="9"/>
  <c r="AM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R69" i="9"/>
  <c r="Q69" i="9"/>
  <c r="P69" i="9"/>
  <c r="O69" i="9"/>
  <c r="N69" i="9"/>
  <c r="M69" i="9"/>
  <c r="L69" i="9"/>
  <c r="K69" i="9"/>
  <c r="J69" i="9"/>
  <c r="I69" i="9"/>
  <c r="H69" i="9"/>
  <c r="G69" i="9"/>
  <c r="CE68" i="9"/>
  <c r="CD68" i="9"/>
  <c r="CC68" i="9"/>
  <c r="CB68" i="9"/>
  <c r="CA68" i="9"/>
  <c r="BZ68" i="9"/>
  <c r="BY68" i="9"/>
  <c r="BX68" i="9"/>
  <c r="BW68" i="9"/>
  <c r="BV68" i="9"/>
  <c r="BU68" i="9"/>
  <c r="BT68" i="9"/>
  <c r="BM68" i="9"/>
  <c r="BL68" i="9"/>
  <c r="BK68" i="9"/>
  <c r="BI68" i="9"/>
  <c r="BH68" i="9"/>
  <c r="BG68" i="9"/>
  <c r="BE68" i="9"/>
  <c r="BD68" i="9"/>
  <c r="BC68" i="9"/>
  <c r="AW68" i="9"/>
  <c r="AV68" i="9"/>
  <c r="AU68" i="9"/>
  <c r="AT68" i="9"/>
  <c r="AS68" i="9"/>
  <c r="AR68" i="9"/>
  <c r="AQ68" i="9"/>
  <c r="AP68" i="9"/>
  <c r="AO68" i="9"/>
  <c r="AN68" i="9"/>
  <c r="AM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R68" i="9"/>
  <c r="Q68" i="9"/>
  <c r="P68" i="9"/>
  <c r="O68" i="9"/>
  <c r="N68" i="9"/>
  <c r="M68" i="9"/>
  <c r="L68" i="9"/>
  <c r="K68" i="9"/>
  <c r="J68" i="9"/>
  <c r="I68" i="9"/>
  <c r="H68" i="9"/>
  <c r="G68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M67" i="9"/>
  <c r="BL67" i="9"/>
  <c r="BK67" i="9"/>
  <c r="BI67" i="9"/>
  <c r="BH67" i="9"/>
  <c r="BG67" i="9"/>
  <c r="BE67" i="9"/>
  <c r="BD67" i="9"/>
  <c r="BC67" i="9"/>
  <c r="AW67" i="9"/>
  <c r="AV67" i="9"/>
  <c r="AU67" i="9"/>
  <c r="AT67" i="9"/>
  <c r="AS67" i="9"/>
  <c r="AR67" i="9"/>
  <c r="AQ67" i="9"/>
  <c r="AP67" i="9"/>
  <c r="AO67" i="9"/>
  <c r="AN67" i="9"/>
  <c r="AM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R67" i="9"/>
  <c r="Q67" i="9"/>
  <c r="P67" i="9"/>
  <c r="O67" i="9"/>
  <c r="N67" i="9"/>
  <c r="M67" i="9"/>
  <c r="L67" i="9"/>
  <c r="K67" i="9"/>
  <c r="J67" i="9"/>
  <c r="I67" i="9"/>
  <c r="H67" i="9"/>
  <c r="G67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M66" i="9"/>
  <c r="BL66" i="9"/>
  <c r="BK66" i="9"/>
  <c r="BI66" i="9"/>
  <c r="BH66" i="9"/>
  <c r="BG66" i="9"/>
  <c r="BE66" i="9"/>
  <c r="BD66" i="9"/>
  <c r="BC66" i="9"/>
  <c r="AW66" i="9"/>
  <c r="AV66" i="9"/>
  <c r="AU66" i="9"/>
  <c r="AT66" i="9"/>
  <c r="AS66" i="9"/>
  <c r="AR66" i="9"/>
  <c r="AQ66" i="9"/>
  <c r="AP66" i="9"/>
  <c r="AO66" i="9"/>
  <c r="AN66" i="9"/>
  <c r="AM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R66" i="9"/>
  <c r="Q66" i="9"/>
  <c r="P66" i="9"/>
  <c r="O66" i="9"/>
  <c r="N66" i="9"/>
  <c r="M66" i="9"/>
  <c r="L66" i="9"/>
  <c r="K66" i="9"/>
  <c r="J66" i="9"/>
  <c r="I66" i="9"/>
  <c r="H66" i="9"/>
  <c r="G66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M65" i="9"/>
  <c r="BL65" i="9"/>
  <c r="BK65" i="9"/>
  <c r="BI65" i="9"/>
  <c r="BH65" i="9"/>
  <c r="BG65" i="9"/>
  <c r="BE65" i="9"/>
  <c r="BD65" i="9"/>
  <c r="BC65" i="9"/>
  <c r="AW65" i="9"/>
  <c r="AV65" i="9"/>
  <c r="AU65" i="9"/>
  <c r="AT65" i="9"/>
  <c r="AS65" i="9"/>
  <c r="AR65" i="9"/>
  <c r="AQ65" i="9"/>
  <c r="AP65" i="9"/>
  <c r="AO65" i="9"/>
  <c r="AN65" i="9"/>
  <c r="AM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R65" i="9"/>
  <c r="Q65" i="9"/>
  <c r="P65" i="9"/>
  <c r="O65" i="9"/>
  <c r="N65" i="9"/>
  <c r="M65" i="9"/>
  <c r="L65" i="9"/>
  <c r="K65" i="9"/>
  <c r="J65" i="9"/>
  <c r="I65" i="9"/>
  <c r="H65" i="9"/>
  <c r="G65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M64" i="9"/>
  <c r="BL64" i="9"/>
  <c r="BK64" i="9"/>
  <c r="BI64" i="9"/>
  <c r="BH64" i="9"/>
  <c r="BG64" i="9"/>
  <c r="BE64" i="9"/>
  <c r="BD64" i="9"/>
  <c r="BC64" i="9"/>
  <c r="AW64" i="9"/>
  <c r="AV64" i="9"/>
  <c r="AU64" i="9"/>
  <c r="AT64" i="9"/>
  <c r="AS64" i="9"/>
  <c r="AR64" i="9"/>
  <c r="AQ64" i="9"/>
  <c r="AP64" i="9"/>
  <c r="AO64" i="9"/>
  <c r="AN64" i="9"/>
  <c r="AM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R64" i="9"/>
  <c r="Q64" i="9"/>
  <c r="P64" i="9"/>
  <c r="O64" i="9"/>
  <c r="N64" i="9"/>
  <c r="M64" i="9"/>
  <c r="L64" i="9"/>
  <c r="K64" i="9"/>
  <c r="J64" i="9"/>
  <c r="I64" i="9"/>
  <c r="H64" i="9"/>
  <c r="G64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M63" i="9"/>
  <c r="BL63" i="9"/>
  <c r="BK63" i="9"/>
  <c r="BI63" i="9"/>
  <c r="BH63" i="9"/>
  <c r="BG63" i="9"/>
  <c r="BE63" i="9"/>
  <c r="BD63" i="9"/>
  <c r="BC63" i="9"/>
  <c r="AW63" i="9"/>
  <c r="AV63" i="9"/>
  <c r="AU63" i="9"/>
  <c r="AT63" i="9"/>
  <c r="AS63" i="9"/>
  <c r="AR63" i="9"/>
  <c r="AQ63" i="9"/>
  <c r="AP63" i="9"/>
  <c r="AO63" i="9"/>
  <c r="AN63" i="9"/>
  <c r="AM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R63" i="9"/>
  <c r="Q63" i="9"/>
  <c r="P63" i="9"/>
  <c r="O63" i="9"/>
  <c r="N63" i="9"/>
  <c r="M63" i="9"/>
  <c r="L63" i="9"/>
  <c r="K63" i="9"/>
  <c r="J63" i="9"/>
  <c r="I63" i="9"/>
  <c r="H63" i="9"/>
  <c r="G63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M62" i="9"/>
  <c r="BL62" i="9"/>
  <c r="BK62" i="9"/>
  <c r="BI62" i="9"/>
  <c r="BH62" i="9"/>
  <c r="BG62" i="9"/>
  <c r="BE62" i="9"/>
  <c r="BD62" i="9"/>
  <c r="BC62" i="9"/>
  <c r="AW62" i="9"/>
  <c r="AV62" i="9"/>
  <c r="AU62" i="9"/>
  <c r="AT62" i="9"/>
  <c r="AS62" i="9"/>
  <c r="AR62" i="9"/>
  <c r="AQ62" i="9"/>
  <c r="AP62" i="9"/>
  <c r="AO62" i="9"/>
  <c r="AN62" i="9"/>
  <c r="AM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R62" i="9"/>
  <c r="Q62" i="9"/>
  <c r="P62" i="9"/>
  <c r="O62" i="9"/>
  <c r="N62" i="9"/>
  <c r="M62" i="9"/>
  <c r="L62" i="9"/>
  <c r="K62" i="9"/>
  <c r="J62" i="9"/>
  <c r="I62" i="9"/>
  <c r="H62" i="9"/>
  <c r="G62" i="9"/>
  <c r="BM61" i="9"/>
  <c r="BL61" i="9"/>
  <c r="BK61" i="9"/>
  <c r="BI61" i="9"/>
  <c r="BH61" i="9"/>
  <c r="BG61" i="9"/>
  <c r="BE61" i="9"/>
  <c r="BD61" i="9"/>
  <c r="BC61" i="9"/>
  <c r="AW61" i="9"/>
  <c r="AV61" i="9"/>
  <c r="AU61" i="9"/>
  <c r="AT61" i="9"/>
  <c r="AS61" i="9"/>
  <c r="AR61" i="9"/>
  <c r="AQ61" i="9"/>
  <c r="AP61" i="9"/>
  <c r="AO61" i="9"/>
  <c r="AN61" i="9"/>
  <c r="AM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R61" i="9"/>
  <c r="Q61" i="9"/>
  <c r="P61" i="9"/>
  <c r="O61" i="9"/>
  <c r="N61" i="9"/>
  <c r="M61" i="9"/>
  <c r="L61" i="9"/>
  <c r="K61" i="9"/>
  <c r="J61" i="9"/>
  <c r="I61" i="9"/>
  <c r="H61" i="9"/>
  <c r="G61" i="9"/>
  <c r="BM60" i="9"/>
  <c r="BL60" i="9"/>
  <c r="BK60" i="9"/>
  <c r="BI60" i="9"/>
  <c r="BH60" i="9"/>
  <c r="BG60" i="9"/>
  <c r="BE60" i="9"/>
  <c r="BD60" i="9"/>
  <c r="BC60" i="9"/>
  <c r="AW60" i="9"/>
  <c r="AV60" i="9"/>
  <c r="AU60" i="9"/>
  <c r="AT60" i="9"/>
  <c r="AS60" i="9"/>
  <c r="AR60" i="9"/>
  <c r="AQ60" i="9"/>
  <c r="AP60" i="9"/>
  <c r="AO60" i="9"/>
  <c r="AN60" i="9"/>
  <c r="AM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R60" i="9"/>
  <c r="Q60" i="9"/>
  <c r="P60" i="9"/>
  <c r="O60" i="9"/>
  <c r="N60" i="9"/>
  <c r="M60" i="9"/>
  <c r="L60" i="9"/>
  <c r="K60" i="9"/>
  <c r="J60" i="9"/>
  <c r="I60" i="9"/>
  <c r="H60" i="9"/>
  <c r="G60" i="9"/>
  <c r="BM59" i="9"/>
  <c r="BL59" i="9"/>
  <c r="BK59" i="9"/>
  <c r="BI59" i="9"/>
  <c r="BH59" i="9"/>
  <c r="BG59" i="9"/>
  <c r="BE59" i="9"/>
  <c r="BD59" i="9"/>
  <c r="BC59" i="9"/>
  <c r="AW59" i="9"/>
  <c r="AV59" i="9"/>
  <c r="AU59" i="9"/>
  <c r="AT59" i="9"/>
  <c r="AS59" i="9"/>
  <c r="AR59" i="9"/>
  <c r="AQ59" i="9"/>
  <c r="AP59" i="9"/>
  <c r="AO59" i="9"/>
  <c r="AN59" i="9"/>
  <c r="AM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R59" i="9"/>
  <c r="Q59" i="9"/>
  <c r="P59" i="9"/>
  <c r="O59" i="9"/>
  <c r="N59" i="9"/>
  <c r="M59" i="9"/>
  <c r="L59" i="9"/>
  <c r="K59" i="9"/>
  <c r="J59" i="9"/>
  <c r="I59" i="9"/>
  <c r="H59" i="9"/>
  <c r="G59" i="9"/>
  <c r="BM58" i="9"/>
  <c r="BL58" i="9"/>
  <c r="BK58" i="9"/>
  <c r="BI58" i="9"/>
  <c r="BH58" i="9"/>
  <c r="BG58" i="9"/>
  <c r="BE58" i="9"/>
  <c r="BD58" i="9"/>
  <c r="BC58" i="9"/>
  <c r="AW58" i="9"/>
  <c r="AV58" i="9"/>
  <c r="AU58" i="9"/>
  <c r="AT58" i="9"/>
  <c r="AS58" i="9"/>
  <c r="AR58" i="9"/>
  <c r="AQ58" i="9"/>
  <c r="AP58" i="9"/>
  <c r="AO58" i="9"/>
  <c r="AN58" i="9"/>
  <c r="AM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R58" i="9"/>
  <c r="Q58" i="9"/>
  <c r="P58" i="9"/>
  <c r="O58" i="9"/>
  <c r="N58" i="9"/>
  <c r="M58" i="9"/>
  <c r="L58" i="9"/>
  <c r="K58" i="9"/>
  <c r="J58" i="9"/>
  <c r="I58" i="9"/>
  <c r="H58" i="9"/>
  <c r="G58" i="9"/>
  <c r="BM57" i="9"/>
  <c r="BL57" i="9"/>
  <c r="BK57" i="9"/>
  <c r="BI57" i="9"/>
  <c r="BH57" i="9"/>
  <c r="BG57" i="9"/>
  <c r="BE57" i="9"/>
  <c r="BD57" i="9"/>
  <c r="BC57" i="9"/>
  <c r="AW57" i="9"/>
  <c r="AV57" i="9"/>
  <c r="AU57" i="9"/>
  <c r="AT57" i="9"/>
  <c r="AS57" i="9"/>
  <c r="AR57" i="9"/>
  <c r="AQ57" i="9"/>
  <c r="AP57" i="9"/>
  <c r="AO57" i="9"/>
  <c r="AN57" i="9"/>
  <c r="AM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R57" i="9"/>
  <c r="Q57" i="9"/>
  <c r="P57" i="9"/>
  <c r="O57" i="9"/>
  <c r="N57" i="9"/>
  <c r="M57" i="9"/>
  <c r="L57" i="9"/>
  <c r="K57" i="9"/>
  <c r="J57" i="9"/>
  <c r="I57" i="9"/>
  <c r="H57" i="9"/>
  <c r="G57" i="9"/>
  <c r="BM56" i="9"/>
  <c r="BL56" i="9"/>
  <c r="BK56" i="9"/>
  <c r="BI56" i="9"/>
  <c r="BH56" i="9"/>
  <c r="BG56" i="9"/>
  <c r="BE56" i="9"/>
  <c r="BD56" i="9"/>
  <c r="BC56" i="9"/>
  <c r="AW56" i="9"/>
  <c r="AV56" i="9"/>
  <c r="AU56" i="9"/>
  <c r="AT56" i="9"/>
  <c r="AS56" i="9"/>
  <c r="AR56" i="9"/>
  <c r="AQ56" i="9"/>
  <c r="AP56" i="9"/>
  <c r="AO56" i="9"/>
  <c r="AN56" i="9"/>
  <c r="AM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R56" i="9"/>
  <c r="Q56" i="9"/>
  <c r="P56" i="9"/>
  <c r="O56" i="9"/>
  <c r="N56" i="9"/>
  <c r="M56" i="9"/>
  <c r="L56" i="9"/>
  <c r="K56" i="9"/>
  <c r="J56" i="9"/>
  <c r="I56" i="9"/>
  <c r="H56" i="9"/>
  <c r="G56" i="9"/>
  <c r="BM55" i="9"/>
  <c r="BL55" i="9"/>
  <c r="BK55" i="9"/>
  <c r="BI55" i="9"/>
  <c r="BH55" i="9"/>
  <c r="BG55" i="9"/>
  <c r="BE55" i="9"/>
  <c r="BD55" i="9"/>
  <c r="BC55" i="9"/>
  <c r="AW55" i="9"/>
  <c r="AV55" i="9"/>
  <c r="AU55" i="9"/>
  <c r="AT55" i="9"/>
  <c r="AS55" i="9"/>
  <c r="AR55" i="9"/>
  <c r="AQ55" i="9"/>
  <c r="AP55" i="9"/>
  <c r="AO55" i="9"/>
  <c r="AN55" i="9"/>
  <c r="AM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R55" i="9"/>
  <c r="Q55" i="9"/>
  <c r="P55" i="9"/>
  <c r="O55" i="9"/>
  <c r="N55" i="9"/>
  <c r="M55" i="9"/>
  <c r="L55" i="9"/>
  <c r="K55" i="9"/>
  <c r="J55" i="9"/>
  <c r="I55" i="9"/>
  <c r="H55" i="9"/>
  <c r="G55" i="9"/>
  <c r="BM54" i="9"/>
  <c r="BL54" i="9"/>
  <c r="BK54" i="9"/>
  <c r="BI54" i="9"/>
  <c r="BH54" i="9"/>
  <c r="BG54" i="9"/>
  <c r="BE54" i="9"/>
  <c r="BD54" i="9"/>
  <c r="BC54" i="9"/>
  <c r="AW54" i="9"/>
  <c r="AV54" i="9"/>
  <c r="AU54" i="9"/>
  <c r="AT54" i="9"/>
  <c r="AS54" i="9"/>
  <c r="AR54" i="9"/>
  <c r="AQ54" i="9"/>
  <c r="AP54" i="9"/>
  <c r="AO54" i="9"/>
  <c r="AN54" i="9"/>
  <c r="AM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R54" i="9"/>
  <c r="Q54" i="9"/>
  <c r="P54" i="9"/>
  <c r="O54" i="9"/>
  <c r="N54" i="9"/>
  <c r="M54" i="9"/>
  <c r="L54" i="9"/>
  <c r="K54" i="9"/>
  <c r="J54" i="9"/>
  <c r="I54" i="9"/>
  <c r="H54" i="9"/>
  <c r="G54" i="9"/>
  <c r="BM53" i="9"/>
  <c r="BL53" i="9"/>
  <c r="BK53" i="9"/>
  <c r="BI53" i="9"/>
  <c r="BH53" i="9"/>
  <c r="BG53" i="9"/>
  <c r="BE53" i="9"/>
  <c r="BD53" i="9"/>
  <c r="BC53" i="9"/>
  <c r="AW53" i="9"/>
  <c r="AV53" i="9"/>
  <c r="AU53" i="9"/>
  <c r="AT53" i="9"/>
  <c r="AS53" i="9"/>
  <c r="AR53" i="9"/>
  <c r="AQ53" i="9"/>
  <c r="AP53" i="9"/>
  <c r="AO53" i="9"/>
  <c r="AN53" i="9"/>
  <c r="AM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R53" i="9"/>
  <c r="Q53" i="9"/>
  <c r="P53" i="9"/>
  <c r="O53" i="9"/>
  <c r="N53" i="9"/>
  <c r="M53" i="9"/>
  <c r="L53" i="9"/>
  <c r="K53" i="9"/>
  <c r="J53" i="9"/>
  <c r="I53" i="9"/>
  <c r="H53" i="9"/>
  <c r="G53" i="9"/>
  <c r="BM52" i="9"/>
  <c r="BL52" i="9"/>
  <c r="BK52" i="9"/>
  <c r="BI52" i="9"/>
  <c r="BH52" i="9"/>
  <c r="BG52" i="9"/>
  <c r="BE52" i="9"/>
  <c r="BD52" i="9"/>
  <c r="BC52" i="9"/>
  <c r="AW52" i="9"/>
  <c r="AV52" i="9"/>
  <c r="AU52" i="9"/>
  <c r="AT52" i="9"/>
  <c r="AS52" i="9"/>
  <c r="AR52" i="9"/>
  <c r="AQ52" i="9"/>
  <c r="AP52" i="9"/>
  <c r="AO52" i="9"/>
  <c r="AN52" i="9"/>
  <c r="AM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R52" i="9"/>
  <c r="Q52" i="9"/>
  <c r="P52" i="9"/>
  <c r="O52" i="9"/>
  <c r="N52" i="9"/>
  <c r="M52" i="9"/>
  <c r="L52" i="9"/>
  <c r="K52" i="9"/>
  <c r="J52" i="9"/>
  <c r="I52" i="9"/>
  <c r="H52" i="9"/>
  <c r="G52" i="9"/>
  <c r="BM51" i="9"/>
  <c r="BL51" i="9"/>
  <c r="BK51" i="9"/>
  <c r="BI51" i="9"/>
  <c r="BH51" i="9"/>
  <c r="BG51" i="9"/>
  <c r="BE51" i="9"/>
  <c r="BD51" i="9"/>
  <c r="BC51" i="9"/>
  <c r="AW51" i="9"/>
  <c r="AV51" i="9"/>
  <c r="AU51" i="9"/>
  <c r="AT51" i="9"/>
  <c r="AS51" i="9"/>
  <c r="AR51" i="9"/>
  <c r="AQ51" i="9"/>
  <c r="AP51" i="9"/>
  <c r="AO51" i="9"/>
  <c r="AN51" i="9"/>
  <c r="AM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R51" i="9"/>
  <c r="Q51" i="9"/>
  <c r="P51" i="9"/>
  <c r="O51" i="9"/>
  <c r="N51" i="9"/>
  <c r="M51" i="9"/>
  <c r="L51" i="9"/>
  <c r="K51" i="9"/>
  <c r="J51" i="9"/>
  <c r="I51" i="9"/>
  <c r="H51" i="9"/>
  <c r="G51" i="9"/>
  <c r="BM50" i="9"/>
  <c r="BL50" i="9"/>
  <c r="BK50" i="9"/>
  <c r="BI50" i="9"/>
  <c r="BH50" i="9"/>
  <c r="BG50" i="9"/>
  <c r="BE50" i="9"/>
  <c r="BD50" i="9"/>
  <c r="BC50" i="9"/>
  <c r="AW50" i="9"/>
  <c r="AV50" i="9"/>
  <c r="AU50" i="9"/>
  <c r="AT50" i="9"/>
  <c r="AS50" i="9"/>
  <c r="AR50" i="9"/>
  <c r="AQ50" i="9"/>
  <c r="AP50" i="9"/>
  <c r="AO50" i="9"/>
  <c r="AN50" i="9"/>
  <c r="AM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R50" i="9"/>
  <c r="Q50" i="9"/>
  <c r="P50" i="9"/>
  <c r="O50" i="9"/>
  <c r="N50" i="9"/>
  <c r="M50" i="9"/>
  <c r="L50" i="9"/>
  <c r="K50" i="9"/>
  <c r="J50" i="9"/>
  <c r="I50" i="9"/>
  <c r="H50" i="9"/>
  <c r="G50" i="9"/>
  <c r="BM49" i="9"/>
  <c r="BL49" i="9"/>
  <c r="BK49" i="9"/>
  <c r="BI49" i="9"/>
  <c r="BH49" i="9"/>
  <c r="BG49" i="9"/>
  <c r="BE49" i="9"/>
  <c r="BD49" i="9"/>
  <c r="BC49" i="9"/>
  <c r="AW49" i="9"/>
  <c r="AV49" i="9"/>
  <c r="AU49" i="9"/>
  <c r="AT49" i="9"/>
  <c r="AS49" i="9"/>
  <c r="AR49" i="9"/>
  <c r="AQ49" i="9"/>
  <c r="AP49" i="9"/>
  <c r="AO49" i="9"/>
  <c r="AN49" i="9"/>
  <c r="AM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R49" i="9"/>
  <c r="Q49" i="9"/>
  <c r="P49" i="9"/>
  <c r="O49" i="9"/>
  <c r="N49" i="9"/>
  <c r="M49" i="9"/>
  <c r="L49" i="9"/>
  <c r="K49" i="9"/>
  <c r="J49" i="9"/>
  <c r="I49" i="9"/>
  <c r="H49" i="9"/>
  <c r="G49" i="9"/>
  <c r="BM48" i="9"/>
  <c r="BL48" i="9"/>
  <c r="BK48" i="9"/>
  <c r="BI48" i="9"/>
  <c r="BH48" i="9"/>
  <c r="BG48" i="9"/>
  <c r="BE48" i="9"/>
  <c r="BD48" i="9"/>
  <c r="BC48" i="9"/>
  <c r="AW48" i="9"/>
  <c r="AV48" i="9"/>
  <c r="AU48" i="9"/>
  <c r="AT48" i="9"/>
  <c r="AS48" i="9"/>
  <c r="AR48" i="9"/>
  <c r="AQ48" i="9"/>
  <c r="AP48" i="9"/>
  <c r="AO48" i="9"/>
  <c r="AN48" i="9"/>
  <c r="AM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R48" i="9"/>
  <c r="Q48" i="9"/>
  <c r="P48" i="9"/>
  <c r="O48" i="9"/>
  <c r="N48" i="9"/>
  <c r="M48" i="9"/>
  <c r="L48" i="9"/>
  <c r="K48" i="9"/>
  <c r="J48" i="9"/>
  <c r="I48" i="9"/>
  <c r="H48" i="9"/>
  <c r="G48" i="9"/>
  <c r="BM47" i="9"/>
  <c r="BL47" i="9"/>
  <c r="BK47" i="9"/>
  <c r="BI47" i="9"/>
  <c r="BH47" i="9"/>
  <c r="BG47" i="9"/>
  <c r="BE47" i="9"/>
  <c r="BD47" i="9"/>
  <c r="BC47" i="9"/>
  <c r="AW47" i="9"/>
  <c r="AV47" i="9"/>
  <c r="AU47" i="9"/>
  <c r="AT47" i="9"/>
  <c r="AS47" i="9"/>
  <c r="AR47" i="9"/>
  <c r="AQ47" i="9"/>
  <c r="AP47" i="9"/>
  <c r="AO47" i="9"/>
  <c r="AN47" i="9"/>
  <c r="AM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R47" i="9"/>
  <c r="Q47" i="9"/>
  <c r="P47" i="9"/>
  <c r="O47" i="9"/>
  <c r="N47" i="9"/>
  <c r="M47" i="9"/>
  <c r="L47" i="9"/>
  <c r="K47" i="9"/>
  <c r="J47" i="9"/>
  <c r="I47" i="9"/>
  <c r="H47" i="9"/>
  <c r="G47" i="9"/>
  <c r="BM46" i="9"/>
  <c r="BL46" i="9"/>
  <c r="BK46" i="9"/>
  <c r="BI46" i="9"/>
  <c r="BH46" i="9"/>
  <c r="BG46" i="9"/>
  <c r="BE46" i="9"/>
  <c r="BD46" i="9"/>
  <c r="BC46" i="9"/>
  <c r="AW46" i="9"/>
  <c r="AV46" i="9"/>
  <c r="AU46" i="9"/>
  <c r="AT46" i="9"/>
  <c r="AS46" i="9"/>
  <c r="AR46" i="9"/>
  <c r="AQ46" i="9"/>
  <c r="AP46" i="9"/>
  <c r="AO46" i="9"/>
  <c r="AN46" i="9"/>
  <c r="AM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R46" i="9"/>
  <c r="Q46" i="9"/>
  <c r="P46" i="9"/>
  <c r="O46" i="9"/>
  <c r="N46" i="9"/>
  <c r="M46" i="9"/>
  <c r="L46" i="9"/>
  <c r="K46" i="9"/>
  <c r="J46" i="9"/>
  <c r="I46" i="9"/>
  <c r="H46" i="9"/>
  <c r="G46" i="9"/>
  <c r="BM45" i="9"/>
  <c r="BL45" i="9"/>
  <c r="BK45" i="9"/>
  <c r="BI45" i="9"/>
  <c r="BH45" i="9"/>
  <c r="BG45" i="9"/>
  <c r="BE45" i="9"/>
  <c r="BD45" i="9"/>
  <c r="BC45" i="9"/>
  <c r="AW45" i="9"/>
  <c r="AV45" i="9"/>
  <c r="AU45" i="9"/>
  <c r="AT45" i="9"/>
  <c r="AS45" i="9"/>
  <c r="AR45" i="9"/>
  <c r="AQ45" i="9"/>
  <c r="AP45" i="9"/>
  <c r="AO45" i="9"/>
  <c r="AN45" i="9"/>
  <c r="AM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R45" i="9"/>
  <c r="Q45" i="9"/>
  <c r="P45" i="9"/>
  <c r="O45" i="9"/>
  <c r="N45" i="9"/>
  <c r="M45" i="9"/>
  <c r="L45" i="9"/>
  <c r="K45" i="9"/>
  <c r="J45" i="9"/>
  <c r="I45" i="9"/>
  <c r="H45" i="9"/>
  <c r="G45" i="9"/>
  <c r="BM44" i="9"/>
  <c r="BL44" i="9"/>
  <c r="BK44" i="9"/>
  <c r="BI44" i="9"/>
  <c r="BH44" i="9"/>
  <c r="BG44" i="9"/>
  <c r="BE44" i="9"/>
  <c r="BD44" i="9"/>
  <c r="BC44" i="9"/>
  <c r="AW44" i="9"/>
  <c r="AV44" i="9"/>
  <c r="AU44" i="9"/>
  <c r="AT44" i="9"/>
  <c r="AS44" i="9"/>
  <c r="AR44" i="9"/>
  <c r="AQ44" i="9"/>
  <c r="AP44" i="9"/>
  <c r="AO44" i="9"/>
  <c r="AN44" i="9"/>
  <c r="AM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R44" i="9"/>
  <c r="Q44" i="9"/>
  <c r="P44" i="9"/>
  <c r="O44" i="9"/>
  <c r="N44" i="9"/>
  <c r="M44" i="9"/>
  <c r="L44" i="9"/>
  <c r="K44" i="9"/>
  <c r="J44" i="9"/>
  <c r="I44" i="9"/>
  <c r="H44" i="9"/>
  <c r="G44" i="9"/>
  <c r="BM43" i="9"/>
  <c r="BL43" i="9"/>
  <c r="BK43" i="9"/>
  <c r="BI43" i="9"/>
  <c r="BH43" i="9"/>
  <c r="BG43" i="9"/>
  <c r="BE43" i="9"/>
  <c r="BD43" i="9"/>
  <c r="BC43" i="9"/>
  <c r="AW43" i="9"/>
  <c r="AV43" i="9"/>
  <c r="AU43" i="9"/>
  <c r="AT43" i="9"/>
  <c r="AS43" i="9"/>
  <c r="AR43" i="9"/>
  <c r="AQ43" i="9"/>
  <c r="AP43" i="9"/>
  <c r="AO43" i="9"/>
  <c r="AN43" i="9"/>
  <c r="AM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R43" i="9"/>
  <c r="Q43" i="9"/>
  <c r="P43" i="9"/>
  <c r="O43" i="9"/>
  <c r="N43" i="9"/>
  <c r="M43" i="9"/>
  <c r="L43" i="9"/>
  <c r="K43" i="9"/>
  <c r="J43" i="9"/>
  <c r="I43" i="9"/>
  <c r="H43" i="9"/>
  <c r="G43" i="9"/>
  <c r="BM42" i="9"/>
  <c r="BL42" i="9"/>
  <c r="BK42" i="9"/>
  <c r="BI42" i="9"/>
  <c r="BH42" i="9"/>
  <c r="BG42" i="9"/>
  <c r="BE42" i="9"/>
  <c r="BD42" i="9"/>
  <c r="BC42" i="9"/>
  <c r="AW42" i="9"/>
  <c r="AV42" i="9"/>
  <c r="AU42" i="9"/>
  <c r="AT42" i="9"/>
  <c r="AS42" i="9"/>
  <c r="AR42" i="9"/>
  <c r="AQ42" i="9"/>
  <c r="AP42" i="9"/>
  <c r="AO42" i="9"/>
  <c r="AN42" i="9"/>
  <c r="AM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R42" i="9"/>
  <c r="Q42" i="9"/>
  <c r="P42" i="9"/>
  <c r="O42" i="9"/>
  <c r="N42" i="9"/>
  <c r="M42" i="9"/>
  <c r="L42" i="9"/>
  <c r="K42" i="9"/>
  <c r="J42" i="9"/>
  <c r="I42" i="9"/>
  <c r="H42" i="9"/>
  <c r="G42" i="9"/>
  <c r="BM41" i="9"/>
  <c r="BL41" i="9"/>
  <c r="BK41" i="9"/>
  <c r="BI41" i="9"/>
  <c r="BH41" i="9"/>
  <c r="BG41" i="9"/>
  <c r="BE41" i="9"/>
  <c r="BD41" i="9"/>
  <c r="BC41" i="9"/>
  <c r="AW41" i="9"/>
  <c r="AV41" i="9"/>
  <c r="AU41" i="9"/>
  <c r="AT41" i="9"/>
  <c r="AS41" i="9"/>
  <c r="AR41" i="9"/>
  <c r="AQ41" i="9"/>
  <c r="AP41" i="9"/>
  <c r="AO41" i="9"/>
  <c r="AN41" i="9"/>
  <c r="AM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R41" i="9"/>
  <c r="Q41" i="9"/>
  <c r="P41" i="9"/>
  <c r="O41" i="9"/>
  <c r="N41" i="9"/>
  <c r="M41" i="9"/>
  <c r="L41" i="9"/>
  <c r="K41" i="9"/>
  <c r="J41" i="9"/>
  <c r="I41" i="9"/>
  <c r="H41" i="9"/>
  <c r="G41" i="9"/>
  <c r="BM40" i="9"/>
  <c r="BL40" i="9"/>
  <c r="BK40" i="9"/>
  <c r="BI40" i="9"/>
  <c r="BH40" i="9"/>
  <c r="BG40" i="9"/>
  <c r="BE40" i="9"/>
  <c r="BD40" i="9"/>
  <c r="BC40" i="9"/>
  <c r="AW40" i="9"/>
  <c r="AV40" i="9"/>
  <c r="AU40" i="9"/>
  <c r="AT40" i="9"/>
  <c r="AS40" i="9"/>
  <c r="AR40" i="9"/>
  <c r="AQ40" i="9"/>
  <c r="AP40" i="9"/>
  <c r="AO40" i="9"/>
  <c r="AN40" i="9"/>
  <c r="AM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R40" i="9"/>
  <c r="Q40" i="9"/>
  <c r="P40" i="9"/>
  <c r="O40" i="9"/>
  <c r="N40" i="9"/>
  <c r="M40" i="9"/>
  <c r="L40" i="9"/>
  <c r="K40" i="9"/>
  <c r="J40" i="9"/>
  <c r="I40" i="9"/>
  <c r="H40" i="9"/>
  <c r="G40" i="9"/>
  <c r="BM39" i="9"/>
  <c r="BL39" i="9"/>
  <c r="BK39" i="9"/>
  <c r="BI39" i="9"/>
  <c r="BH39" i="9"/>
  <c r="BG39" i="9"/>
  <c r="BE39" i="9"/>
  <c r="BD39" i="9"/>
  <c r="BC39" i="9"/>
  <c r="AW39" i="9"/>
  <c r="AV39" i="9"/>
  <c r="AU39" i="9"/>
  <c r="AT39" i="9"/>
  <c r="AS39" i="9"/>
  <c r="AR39" i="9"/>
  <c r="AQ39" i="9"/>
  <c r="AP39" i="9"/>
  <c r="AO39" i="9"/>
  <c r="AN39" i="9"/>
  <c r="AM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R39" i="9"/>
  <c r="Q39" i="9"/>
  <c r="P39" i="9"/>
  <c r="O39" i="9"/>
  <c r="N39" i="9"/>
  <c r="M39" i="9"/>
  <c r="L39" i="9"/>
  <c r="K39" i="9"/>
  <c r="J39" i="9"/>
  <c r="I39" i="9"/>
  <c r="H39" i="9"/>
  <c r="G39" i="9"/>
  <c r="BM38" i="9"/>
  <c r="BL38" i="9"/>
  <c r="BK38" i="9"/>
  <c r="BI38" i="9"/>
  <c r="BH38" i="9"/>
  <c r="BG38" i="9"/>
  <c r="BE38" i="9"/>
  <c r="BD38" i="9"/>
  <c r="BC38" i="9"/>
  <c r="AW38" i="9"/>
  <c r="AV38" i="9"/>
  <c r="AU38" i="9"/>
  <c r="AT38" i="9"/>
  <c r="AS38" i="9"/>
  <c r="AR38" i="9"/>
  <c r="AQ38" i="9"/>
  <c r="AP38" i="9"/>
  <c r="AO38" i="9"/>
  <c r="AN38" i="9"/>
  <c r="AM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R38" i="9"/>
  <c r="Q38" i="9"/>
  <c r="P38" i="9"/>
  <c r="O38" i="9"/>
  <c r="N38" i="9"/>
  <c r="M38" i="9"/>
  <c r="L38" i="9"/>
  <c r="K38" i="9"/>
  <c r="J38" i="9"/>
  <c r="I38" i="9"/>
  <c r="H38" i="9"/>
  <c r="G38" i="9"/>
  <c r="F31" i="9"/>
  <c r="E31" i="9"/>
  <c r="E149" i="9" s="1"/>
  <c r="E154" i="9" s="1"/>
  <c r="D31" i="9"/>
  <c r="D149" i="9" s="1"/>
  <c r="D154" i="9" s="1"/>
  <c r="C31" i="9"/>
  <c r="BM30" i="9"/>
  <c r="BL30" i="9"/>
  <c r="BK30" i="9"/>
  <c r="BI30" i="9"/>
  <c r="BH30" i="9"/>
  <c r="BG30" i="9"/>
  <c r="BF30" i="9"/>
  <c r="BE30" i="9"/>
  <c r="BD30" i="9"/>
  <c r="BC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R30" i="9"/>
  <c r="Q30" i="9"/>
  <c r="P30" i="9"/>
  <c r="O30" i="9"/>
  <c r="N30" i="9"/>
  <c r="M30" i="9"/>
  <c r="L30" i="9"/>
  <c r="K30" i="9"/>
  <c r="J30" i="9"/>
  <c r="I30" i="9"/>
  <c r="H30" i="9"/>
  <c r="G30" i="9"/>
  <c r="BM29" i="9"/>
  <c r="BL29" i="9"/>
  <c r="BK29" i="9"/>
  <c r="BI29" i="9"/>
  <c r="BH29" i="9"/>
  <c r="BG29" i="9"/>
  <c r="BF29" i="9"/>
  <c r="BE29" i="9"/>
  <c r="BD29" i="9"/>
  <c r="BC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R29" i="9"/>
  <c r="Q29" i="9"/>
  <c r="P29" i="9"/>
  <c r="O29" i="9"/>
  <c r="N29" i="9"/>
  <c r="M29" i="9"/>
  <c r="L29" i="9"/>
  <c r="K29" i="9"/>
  <c r="J29" i="9"/>
  <c r="I29" i="9"/>
  <c r="H29" i="9"/>
  <c r="G29" i="9"/>
  <c r="BM28" i="9"/>
  <c r="BL28" i="9"/>
  <c r="BK28" i="9"/>
  <c r="BI28" i="9"/>
  <c r="BH28" i="9"/>
  <c r="BG28" i="9"/>
  <c r="BF28" i="9"/>
  <c r="BE28" i="9"/>
  <c r="BD28" i="9"/>
  <c r="BC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R28" i="9"/>
  <c r="Q28" i="9"/>
  <c r="P28" i="9"/>
  <c r="O28" i="9"/>
  <c r="N28" i="9"/>
  <c r="M28" i="9"/>
  <c r="L28" i="9"/>
  <c r="K28" i="9"/>
  <c r="J28" i="9"/>
  <c r="I28" i="9"/>
  <c r="H28" i="9"/>
  <c r="G28" i="9"/>
  <c r="BM27" i="9"/>
  <c r="BL27" i="9"/>
  <c r="BK27" i="9"/>
  <c r="BI27" i="9"/>
  <c r="BH27" i="9"/>
  <c r="BG27" i="9"/>
  <c r="BF27" i="9"/>
  <c r="BE27" i="9"/>
  <c r="BD27" i="9"/>
  <c r="BC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R27" i="9"/>
  <c r="Q27" i="9"/>
  <c r="P27" i="9"/>
  <c r="O27" i="9"/>
  <c r="N27" i="9"/>
  <c r="M27" i="9"/>
  <c r="L27" i="9"/>
  <c r="K27" i="9"/>
  <c r="J27" i="9"/>
  <c r="I27" i="9"/>
  <c r="H27" i="9"/>
  <c r="G27" i="9"/>
  <c r="BM26" i="9"/>
  <c r="BL26" i="9"/>
  <c r="BK26" i="9"/>
  <c r="BI26" i="9"/>
  <c r="BH26" i="9"/>
  <c r="BG26" i="9"/>
  <c r="BF26" i="9"/>
  <c r="BE26" i="9"/>
  <c r="BD26" i="9"/>
  <c r="BC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R26" i="9"/>
  <c r="Q26" i="9"/>
  <c r="P26" i="9"/>
  <c r="O26" i="9"/>
  <c r="N26" i="9"/>
  <c r="M26" i="9"/>
  <c r="L26" i="9"/>
  <c r="K26" i="9"/>
  <c r="J26" i="9"/>
  <c r="I26" i="9"/>
  <c r="H26" i="9"/>
  <c r="G26" i="9"/>
  <c r="BM25" i="9"/>
  <c r="BL25" i="9"/>
  <c r="BK25" i="9"/>
  <c r="BI25" i="9"/>
  <c r="BH25" i="9"/>
  <c r="BG25" i="9"/>
  <c r="BF25" i="9"/>
  <c r="BE25" i="9"/>
  <c r="BD25" i="9"/>
  <c r="BC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R25" i="9"/>
  <c r="Q25" i="9"/>
  <c r="P25" i="9"/>
  <c r="O25" i="9"/>
  <c r="N25" i="9"/>
  <c r="M25" i="9"/>
  <c r="L25" i="9"/>
  <c r="K25" i="9"/>
  <c r="J25" i="9"/>
  <c r="I25" i="9"/>
  <c r="H25" i="9"/>
  <c r="G25" i="9"/>
  <c r="BM24" i="9"/>
  <c r="BL24" i="9"/>
  <c r="BK24" i="9"/>
  <c r="BI24" i="9"/>
  <c r="BH24" i="9"/>
  <c r="BG24" i="9"/>
  <c r="BF24" i="9"/>
  <c r="BE24" i="9"/>
  <c r="BD24" i="9"/>
  <c r="BC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R24" i="9"/>
  <c r="Q24" i="9"/>
  <c r="P24" i="9"/>
  <c r="O24" i="9"/>
  <c r="N24" i="9"/>
  <c r="M24" i="9"/>
  <c r="L24" i="9"/>
  <c r="K24" i="9"/>
  <c r="J24" i="9"/>
  <c r="I24" i="9"/>
  <c r="H24" i="9"/>
  <c r="G24" i="9"/>
  <c r="BM23" i="9"/>
  <c r="BL23" i="9"/>
  <c r="BK23" i="9"/>
  <c r="BI23" i="9"/>
  <c r="BH23" i="9"/>
  <c r="BG23" i="9"/>
  <c r="BF23" i="9"/>
  <c r="BE23" i="9"/>
  <c r="BD23" i="9"/>
  <c r="BC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R23" i="9"/>
  <c r="Q23" i="9"/>
  <c r="P23" i="9"/>
  <c r="O23" i="9"/>
  <c r="N23" i="9"/>
  <c r="M23" i="9"/>
  <c r="L23" i="9"/>
  <c r="K23" i="9"/>
  <c r="J23" i="9"/>
  <c r="I23" i="9"/>
  <c r="H23" i="9"/>
  <c r="G23" i="9"/>
  <c r="BM22" i="9"/>
  <c r="BL22" i="9"/>
  <c r="BK22" i="9"/>
  <c r="BI22" i="9"/>
  <c r="BH22" i="9"/>
  <c r="BG22" i="9"/>
  <c r="BF22" i="9"/>
  <c r="BE22" i="9"/>
  <c r="BD22" i="9"/>
  <c r="BC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R22" i="9"/>
  <c r="Q22" i="9"/>
  <c r="P22" i="9"/>
  <c r="O22" i="9"/>
  <c r="N22" i="9"/>
  <c r="M22" i="9"/>
  <c r="L22" i="9"/>
  <c r="K22" i="9"/>
  <c r="J22" i="9"/>
  <c r="I22" i="9"/>
  <c r="H22" i="9"/>
  <c r="G22" i="9"/>
  <c r="BM21" i="9"/>
  <c r="BL21" i="9"/>
  <c r="BK21" i="9"/>
  <c r="BI21" i="9"/>
  <c r="BH21" i="9"/>
  <c r="BG21" i="9"/>
  <c r="BF21" i="9"/>
  <c r="BE21" i="9"/>
  <c r="BD21" i="9"/>
  <c r="BC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R21" i="9"/>
  <c r="Q21" i="9"/>
  <c r="P21" i="9"/>
  <c r="O21" i="9"/>
  <c r="N21" i="9"/>
  <c r="M21" i="9"/>
  <c r="L21" i="9"/>
  <c r="K21" i="9"/>
  <c r="J21" i="9"/>
  <c r="I21" i="9"/>
  <c r="H21" i="9"/>
  <c r="G21" i="9"/>
  <c r="BM20" i="9"/>
  <c r="BL20" i="9"/>
  <c r="BK20" i="9"/>
  <c r="BI20" i="9"/>
  <c r="BH20" i="9"/>
  <c r="BG20" i="9"/>
  <c r="BF20" i="9"/>
  <c r="BE20" i="9"/>
  <c r="BD20" i="9"/>
  <c r="BC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R20" i="9"/>
  <c r="Q20" i="9"/>
  <c r="P20" i="9"/>
  <c r="O20" i="9"/>
  <c r="N20" i="9"/>
  <c r="M20" i="9"/>
  <c r="L20" i="9"/>
  <c r="K20" i="9"/>
  <c r="J20" i="9"/>
  <c r="I20" i="9"/>
  <c r="H20" i="9"/>
  <c r="G20" i="9"/>
  <c r="BM19" i="9"/>
  <c r="BL19" i="9"/>
  <c r="BK19" i="9"/>
  <c r="BI19" i="9"/>
  <c r="BH19" i="9"/>
  <c r="BG19" i="9"/>
  <c r="BF19" i="9"/>
  <c r="BE19" i="9"/>
  <c r="BD19" i="9"/>
  <c r="BC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R19" i="9"/>
  <c r="Q19" i="9"/>
  <c r="P19" i="9"/>
  <c r="O19" i="9"/>
  <c r="N19" i="9"/>
  <c r="M19" i="9"/>
  <c r="L19" i="9"/>
  <c r="K19" i="9"/>
  <c r="J19" i="9"/>
  <c r="I19" i="9"/>
  <c r="H19" i="9"/>
  <c r="G19" i="9"/>
  <c r="BM18" i="9"/>
  <c r="BL18" i="9"/>
  <c r="BK18" i="9"/>
  <c r="BI18" i="9"/>
  <c r="BH18" i="9"/>
  <c r="BG18" i="9"/>
  <c r="BF18" i="9"/>
  <c r="BE18" i="9"/>
  <c r="BD18" i="9"/>
  <c r="BC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R18" i="9"/>
  <c r="Q18" i="9"/>
  <c r="P18" i="9"/>
  <c r="O18" i="9"/>
  <c r="N18" i="9"/>
  <c r="M18" i="9"/>
  <c r="L18" i="9"/>
  <c r="K18" i="9"/>
  <c r="J18" i="9"/>
  <c r="I18" i="9"/>
  <c r="H18" i="9"/>
  <c r="G18" i="9"/>
  <c r="BM17" i="9"/>
  <c r="BL17" i="9"/>
  <c r="BK17" i="9"/>
  <c r="BI17" i="9"/>
  <c r="BH17" i="9"/>
  <c r="BG17" i="9"/>
  <c r="BF17" i="9"/>
  <c r="BE17" i="9"/>
  <c r="BD17" i="9"/>
  <c r="BC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R17" i="9"/>
  <c r="Q17" i="9"/>
  <c r="P17" i="9"/>
  <c r="O17" i="9"/>
  <c r="N17" i="9"/>
  <c r="M17" i="9"/>
  <c r="L17" i="9"/>
  <c r="K17" i="9"/>
  <c r="J17" i="9"/>
  <c r="I17" i="9"/>
  <c r="H17" i="9"/>
  <c r="G17" i="9"/>
  <c r="BM16" i="9"/>
  <c r="BL16" i="9"/>
  <c r="BK16" i="9"/>
  <c r="BI16" i="9"/>
  <c r="BH16" i="9"/>
  <c r="BG16" i="9"/>
  <c r="BF16" i="9"/>
  <c r="BE16" i="9"/>
  <c r="BD16" i="9"/>
  <c r="BC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R16" i="9"/>
  <c r="Q16" i="9"/>
  <c r="P16" i="9"/>
  <c r="O16" i="9"/>
  <c r="N16" i="9"/>
  <c r="M16" i="9"/>
  <c r="L16" i="9"/>
  <c r="K16" i="9"/>
  <c r="J16" i="9"/>
  <c r="I16" i="9"/>
  <c r="H16" i="9"/>
  <c r="G16" i="9"/>
  <c r="BM15" i="9"/>
  <c r="BL15" i="9"/>
  <c r="BK15" i="9"/>
  <c r="BI15" i="9"/>
  <c r="BH15" i="9"/>
  <c r="BG15" i="9"/>
  <c r="BF15" i="9"/>
  <c r="BE15" i="9"/>
  <c r="BD15" i="9"/>
  <c r="BC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R15" i="9"/>
  <c r="Q15" i="9"/>
  <c r="P15" i="9"/>
  <c r="O15" i="9"/>
  <c r="N15" i="9"/>
  <c r="M15" i="9"/>
  <c r="L15" i="9"/>
  <c r="K15" i="9"/>
  <c r="J15" i="9"/>
  <c r="I15" i="9"/>
  <c r="H15" i="9"/>
  <c r="G15" i="9"/>
  <c r="BM14" i="9"/>
  <c r="BL14" i="9"/>
  <c r="BK14" i="9"/>
  <c r="BI14" i="9"/>
  <c r="BH14" i="9"/>
  <c r="BG14" i="9"/>
  <c r="BF14" i="9"/>
  <c r="BE14" i="9"/>
  <c r="BD14" i="9"/>
  <c r="BC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R14" i="9"/>
  <c r="Q14" i="9"/>
  <c r="P14" i="9"/>
  <c r="O14" i="9"/>
  <c r="N14" i="9"/>
  <c r="M14" i="9"/>
  <c r="L14" i="9"/>
  <c r="K14" i="9"/>
  <c r="J14" i="9"/>
  <c r="I14" i="9"/>
  <c r="H14" i="9"/>
  <c r="G14" i="9"/>
  <c r="BM13" i="9"/>
  <c r="BL13" i="9"/>
  <c r="BK13" i="9"/>
  <c r="BI13" i="9"/>
  <c r="BH13" i="9"/>
  <c r="BG13" i="9"/>
  <c r="BF13" i="9"/>
  <c r="BE13" i="9"/>
  <c r="BD13" i="9"/>
  <c r="BC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R13" i="9"/>
  <c r="Q13" i="9"/>
  <c r="P13" i="9"/>
  <c r="O13" i="9"/>
  <c r="N13" i="9"/>
  <c r="M13" i="9"/>
  <c r="L13" i="9"/>
  <c r="K13" i="9"/>
  <c r="J13" i="9"/>
  <c r="I13" i="9"/>
  <c r="H13" i="9"/>
  <c r="G13" i="9"/>
  <c r="BM12" i="9"/>
  <c r="BL12" i="9"/>
  <c r="BK12" i="9"/>
  <c r="BI12" i="9"/>
  <c r="BH12" i="9"/>
  <c r="BG12" i="9"/>
  <c r="BF12" i="9"/>
  <c r="BE12" i="9"/>
  <c r="BD12" i="9"/>
  <c r="BC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R12" i="9"/>
  <c r="Q12" i="9"/>
  <c r="P12" i="9"/>
  <c r="O12" i="9"/>
  <c r="N12" i="9"/>
  <c r="M12" i="9"/>
  <c r="L12" i="9"/>
  <c r="K12" i="9"/>
  <c r="J12" i="9"/>
  <c r="I12" i="9"/>
  <c r="H12" i="9"/>
  <c r="G12" i="9"/>
  <c r="BM11" i="9"/>
  <c r="BL11" i="9"/>
  <c r="BK11" i="9"/>
  <c r="BI11" i="9"/>
  <c r="BH11" i="9"/>
  <c r="BG11" i="9"/>
  <c r="BF11" i="9"/>
  <c r="BE11" i="9"/>
  <c r="BD11" i="9"/>
  <c r="BC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R11" i="9"/>
  <c r="Q11" i="9"/>
  <c r="P11" i="9"/>
  <c r="O11" i="9"/>
  <c r="N11" i="9"/>
  <c r="M11" i="9"/>
  <c r="L11" i="9"/>
  <c r="K11" i="9"/>
  <c r="J11" i="9"/>
  <c r="I11" i="9"/>
  <c r="H11" i="9"/>
  <c r="G11" i="9"/>
  <c r="BM10" i="9"/>
  <c r="BL10" i="9"/>
  <c r="BK10" i="9"/>
  <c r="BI10" i="9"/>
  <c r="BH10" i="9"/>
  <c r="BG10" i="9"/>
  <c r="BF10" i="9"/>
  <c r="BE10" i="9"/>
  <c r="BD10" i="9"/>
  <c r="BC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R10" i="9"/>
  <c r="Q10" i="9"/>
  <c r="P10" i="9"/>
  <c r="O10" i="9"/>
  <c r="N10" i="9"/>
  <c r="M10" i="9"/>
  <c r="L10" i="9"/>
  <c r="K10" i="9"/>
  <c r="J10" i="9"/>
  <c r="I10" i="9"/>
  <c r="H10" i="9"/>
  <c r="G10" i="9"/>
  <c r="BM9" i="9"/>
  <c r="BL9" i="9"/>
  <c r="BK9" i="9"/>
  <c r="BI9" i="9"/>
  <c r="BH9" i="9"/>
  <c r="BG9" i="9"/>
  <c r="BF9" i="9"/>
  <c r="BE9" i="9"/>
  <c r="BD9" i="9"/>
  <c r="BC9" i="9"/>
  <c r="AX9" i="9"/>
  <c r="AW9" i="9"/>
  <c r="AV9" i="9"/>
  <c r="AU9" i="9"/>
  <c r="AT9" i="9"/>
  <c r="AS9" i="9"/>
  <c r="AR9" i="9"/>
  <c r="AQ9" i="9"/>
  <c r="AP9" i="9"/>
  <c r="AO9" i="9"/>
  <c r="AN9" i="9"/>
  <c r="AM9" i="9"/>
  <c r="AH9" i="9"/>
  <c r="AG9" i="9"/>
  <c r="AF9" i="9"/>
  <c r="AE9" i="9"/>
  <c r="AD9" i="9"/>
  <c r="AC9" i="9"/>
  <c r="AB9" i="9"/>
  <c r="AA9" i="9"/>
  <c r="Z9" i="9"/>
  <c r="Y9" i="9"/>
  <c r="X9" i="9"/>
  <c r="W9" i="9"/>
  <c r="R9" i="9"/>
  <c r="Q9" i="9"/>
  <c r="P9" i="9"/>
  <c r="O9" i="9"/>
  <c r="N9" i="9"/>
  <c r="M9" i="9"/>
  <c r="L9" i="9"/>
  <c r="K9" i="9"/>
  <c r="J9" i="9"/>
  <c r="I9" i="9"/>
  <c r="H9" i="9"/>
  <c r="G9" i="9"/>
  <c r="BM8" i="9"/>
  <c r="BL8" i="9"/>
  <c r="BK8" i="9"/>
  <c r="BI8" i="9"/>
  <c r="BH8" i="9"/>
  <c r="BG8" i="9"/>
  <c r="BF8" i="9"/>
  <c r="BE8" i="9"/>
  <c r="BD8" i="9"/>
  <c r="BC8" i="9"/>
  <c r="AX8" i="9"/>
  <c r="AW8" i="9"/>
  <c r="AV8" i="9"/>
  <c r="AU8" i="9"/>
  <c r="AT8" i="9"/>
  <c r="AS8" i="9"/>
  <c r="AR8" i="9"/>
  <c r="AQ8" i="9"/>
  <c r="AP8" i="9"/>
  <c r="AO8" i="9"/>
  <c r="AN8" i="9"/>
  <c r="AM8" i="9"/>
  <c r="AH8" i="9"/>
  <c r="AG8" i="9"/>
  <c r="AF8" i="9"/>
  <c r="AE8" i="9"/>
  <c r="AD8" i="9"/>
  <c r="AC8" i="9"/>
  <c r="AB8" i="9"/>
  <c r="AA8" i="9"/>
  <c r="Z8" i="9"/>
  <c r="Y8" i="9"/>
  <c r="X8" i="9"/>
  <c r="W8" i="9"/>
  <c r="R8" i="9"/>
  <c r="Q8" i="9"/>
  <c r="P8" i="9"/>
  <c r="O8" i="9"/>
  <c r="N8" i="9"/>
  <c r="M8" i="9"/>
  <c r="L8" i="9"/>
  <c r="K8" i="9"/>
  <c r="J8" i="9"/>
  <c r="I8" i="9"/>
  <c r="H8" i="9"/>
  <c r="G8" i="9"/>
  <c r="BL7" i="9"/>
  <c r="BK7" i="9"/>
  <c r="BI7" i="9"/>
  <c r="BH7" i="9"/>
  <c r="BG7" i="9"/>
  <c r="BF7" i="9"/>
  <c r="BE7" i="9"/>
  <c r="BD7" i="9"/>
  <c r="BC7" i="9"/>
  <c r="AX7" i="9"/>
  <c r="AW7" i="9"/>
  <c r="AV7" i="9"/>
  <c r="AU7" i="9"/>
  <c r="AT7" i="9"/>
  <c r="AS7" i="9"/>
  <c r="AR7" i="9"/>
  <c r="AQ7" i="9"/>
  <c r="AP7" i="9"/>
  <c r="AO7" i="9"/>
  <c r="AN7" i="9"/>
  <c r="AM7" i="9"/>
  <c r="AH7" i="9"/>
  <c r="AG7" i="9"/>
  <c r="AF7" i="9"/>
  <c r="AE7" i="9"/>
  <c r="AD7" i="9"/>
  <c r="AC7" i="9"/>
  <c r="AB7" i="9"/>
  <c r="AA7" i="9"/>
  <c r="Z7" i="9"/>
  <c r="Y7" i="9"/>
  <c r="X7" i="9"/>
  <c r="W7" i="9"/>
  <c r="R7" i="9"/>
  <c r="Q7" i="9"/>
  <c r="P7" i="9"/>
  <c r="O7" i="9"/>
  <c r="N7" i="9"/>
  <c r="M7" i="9"/>
  <c r="L7" i="9"/>
  <c r="K7" i="9"/>
  <c r="J7" i="9"/>
  <c r="I7" i="9"/>
  <c r="H7" i="9"/>
  <c r="G7" i="9"/>
  <c r="BF134" i="8"/>
  <c r="BF133" i="8"/>
  <c r="BF132" i="8"/>
  <c r="BF131" i="8"/>
  <c r="BF130" i="8"/>
  <c r="BF129" i="8"/>
  <c r="BF128" i="8"/>
  <c r="BF127" i="8"/>
  <c r="BF126" i="8"/>
  <c r="BF30" i="8"/>
  <c r="BF29" i="8"/>
  <c r="BF28" i="8"/>
  <c r="BF27" i="8"/>
  <c r="BF26" i="8"/>
  <c r="BF25" i="8"/>
  <c r="BF24" i="8"/>
  <c r="BF23" i="8"/>
  <c r="BF22" i="8"/>
  <c r="BF21" i="8"/>
  <c r="BF20" i="8"/>
  <c r="BF19" i="8"/>
  <c r="BF18" i="8"/>
  <c r="BF17" i="8"/>
  <c r="BF16" i="8"/>
  <c r="BF15" i="8"/>
  <c r="BF14" i="8"/>
  <c r="BF13" i="8"/>
  <c r="BF12" i="8"/>
  <c r="BF11" i="8"/>
  <c r="BF10" i="8"/>
  <c r="BF9" i="8"/>
  <c r="BF8" i="8"/>
  <c r="AX7" i="8"/>
  <c r="BJ8" i="8" l="1"/>
  <c r="BJ16" i="8"/>
  <c r="BJ24" i="8"/>
  <c r="BJ9" i="8"/>
  <c r="BJ17" i="8"/>
  <c r="BJ25" i="8"/>
  <c r="BJ128" i="8"/>
  <c r="BJ10" i="8"/>
  <c r="BJ18" i="8"/>
  <c r="BJ26" i="8"/>
  <c r="BJ129" i="8"/>
  <c r="BJ11" i="8"/>
  <c r="BJ19" i="8"/>
  <c r="BJ27" i="8"/>
  <c r="BJ130" i="8"/>
  <c r="BJ31" i="9"/>
  <c r="BJ135" i="9"/>
  <c r="S23" i="9"/>
  <c r="AY23" i="9"/>
  <c r="CI24" i="9"/>
  <c r="CM24" i="9" s="1"/>
  <c r="BA24" i="9"/>
  <c r="L144" i="9"/>
  <c r="AF144" i="9"/>
  <c r="AR144" i="9"/>
  <c r="BE144" i="9"/>
  <c r="CI126" i="9"/>
  <c r="CZ126" i="9" s="1"/>
  <c r="S129" i="9"/>
  <c r="AY129" i="9"/>
  <c r="CH143" i="9"/>
  <c r="CY143" i="9" s="1"/>
  <c r="AJ143" i="9"/>
  <c r="AI10" i="9"/>
  <c r="AI16" i="9"/>
  <c r="AK17" i="9"/>
  <c r="AI18" i="9"/>
  <c r="CI19" i="9"/>
  <c r="CZ19" i="9" s="1"/>
  <c r="BA19" i="9"/>
  <c r="BA23" i="9"/>
  <c r="AI24" i="9"/>
  <c r="CZ85" i="9"/>
  <c r="DD85" i="9" s="1"/>
  <c r="DH85" i="9" s="1"/>
  <c r="DL85" i="9" s="1"/>
  <c r="CJ86" i="9"/>
  <c r="CN86" i="9" s="1"/>
  <c r="CR86" i="9" s="1"/>
  <c r="CV86" i="9" s="1"/>
  <c r="CZ86" i="9"/>
  <c r="DD86" i="9" s="1"/>
  <c r="DH86" i="9" s="1"/>
  <c r="DL86" i="9" s="1"/>
  <c r="CZ88" i="9"/>
  <c r="DD88" i="9" s="1"/>
  <c r="DH88" i="9" s="1"/>
  <c r="DL88" i="9" s="1"/>
  <c r="CJ101" i="9"/>
  <c r="CN101" i="9" s="1"/>
  <c r="CR101" i="9" s="1"/>
  <c r="CV101" i="9" s="1"/>
  <c r="CZ101" i="9"/>
  <c r="DD101" i="9" s="1"/>
  <c r="DH101" i="9" s="1"/>
  <c r="DL101" i="9" s="1"/>
  <c r="CJ103" i="9"/>
  <c r="CN103" i="9" s="1"/>
  <c r="CR103" i="9" s="1"/>
  <c r="CV103" i="9" s="1"/>
  <c r="CZ103" i="9"/>
  <c r="DD103" i="9" s="1"/>
  <c r="DH103" i="9" s="1"/>
  <c r="DL103" i="9" s="1"/>
  <c r="CJ105" i="9"/>
  <c r="CN105" i="9" s="1"/>
  <c r="CR105" i="9" s="1"/>
  <c r="CV105" i="9" s="1"/>
  <c r="CZ105" i="9"/>
  <c r="DD105" i="9" s="1"/>
  <c r="DH105" i="9" s="1"/>
  <c r="DL105" i="9" s="1"/>
  <c r="DA90" i="9"/>
  <c r="DE90" i="9" s="1"/>
  <c r="DI90" i="9" s="1"/>
  <c r="DM90" i="9" s="1"/>
  <c r="CG92" i="9"/>
  <c r="CK92" i="9" s="1"/>
  <c r="CO92" i="9" s="1"/>
  <c r="DA92" i="9"/>
  <c r="DE92" i="9" s="1"/>
  <c r="DI92" i="9" s="1"/>
  <c r="DM92" i="9" s="1"/>
  <c r="CG105" i="9"/>
  <c r="CK105" i="9" s="1"/>
  <c r="CO105" i="9" s="1"/>
  <c r="CS105" i="9" s="1"/>
  <c r="CG110" i="9"/>
  <c r="CK110" i="9" s="1"/>
  <c r="CO110" i="9" s="1"/>
  <c r="CS110" i="9" s="1"/>
  <c r="DA110" i="9"/>
  <c r="DE110" i="9" s="1"/>
  <c r="DI110" i="9" s="1"/>
  <c r="DM110" i="9" s="1"/>
  <c r="CG113" i="9"/>
  <c r="CK113" i="9" s="1"/>
  <c r="CO113" i="9" s="1"/>
  <c r="CS113" i="9" s="1"/>
  <c r="DA114" i="9"/>
  <c r="DE114" i="9" s="1"/>
  <c r="DI114" i="9" s="1"/>
  <c r="DM114" i="9" s="1"/>
  <c r="CG117" i="9"/>
  <c r="CK117" i="9" s="1"/>
  <c r="CO117" i="9" s="1"/>
  <c r="CS117" i="9" s="1"/>
  <c r="AL126" i="9"/>
  <c r="BL144" i="9"/>
  <c r="BO23" i="9"/>
  <c r="CG13" i="9"/>
  <c r="CX13" i="9" s="1"/>
  <c r="CG90" i="9"/>
  <c r="CK90" i="9" s="1"/>
  <c r="CO90" i="9" s="1"/>
  <c r="CS90" i="9" s="1"/>
  <c r="T7" i="9"/>
  <c r="AL10" i="9"/>
  <c r="CJ7" i="9"/>
  <c r="CN7" i="9" s="1"/>
  <c r="DE7" i="9" s="1"/>
  <c r="CH14" i="9"/>
  <c r="CL14" i="9" s="1"/>
  <c r="DC14" i="9" s="1"/>
  <c r="BB15" i="9"/>
  <c r="AL17" i="9"/>
  <c r="CH18" i="9"/>
  <c r="CL18" i="9" s="1"/>
  <c r="CP18" i="9" s="1"/>
  <c r="DG18" i="9" s="1"/>
  <c r="AJ18" i="9"/>
  <c r="CJ23" i="9"/>
  <c r="CN23" i="9" s="1"/>
  <c r="AL23" i="9"/>
  <c r="T24" i="9"/>
  <c r="BG144" i="9"/>
  <c r="N144" i="9"/>
  <c r="AH144" i="9"/>
  <c r="AT144" i="9"/>
  <c r="BP142" i="9"/>
  <c r="CH84" i="9"/>
  <c r="CL84" i="9" s="1"/>
  <c r="CP84" i="9" s="1"/>
  <c r="CT84" i="9" s="1"/>
  <c r="CH86" i="9"/>
  <c r="CL86" i="9" s="1"/>
  <c r="CP86" i="9" s="1"/>
  <c r="CT86" i="9" s="1"/>
  <c r="CX86" i="9"/>
  <c r="DB86" i="9" s="1"/>
  <c r="DF86" i="9" s="1"/>
  <c r="DJ86" i="9" s="1"/>
  <c r="CH88" i="9"/>
  <c r="CL88" i="9" s="1"/>
  <c r="CP88" i="9" s="1"/>
  <c r="CT88" i="9" s="1"/>
  <c r="CH90" i="9"/>
  <c r="CL90" i="9" s="1"/>
  <c r="CP90" i="9" s="1"/>
  <c r="CT90" i="9" s="1"/>
  <c r="CX103" i="9"/>
  <c r="DB103" i="9" s="1"/>
  <c r="DF103" i="9" s="1"/>
  <c r="DJ103" i="9" s="1"/>
  <c r="CH105" i="9"/>
  <c r="CL105" i="9" s="1"/>
  <c r="CP105" i="9" s="1"/>
  <c r="CT105" i="9" s="1"/>
  <c r="CX105" i="9"/>
  <c r="DB105" i="9" s="1"/>
  <c r="DF105" i="9" s="1"/>
  <c r="DJ105" i="9" s="1"/>
  <c r="CX115" i="9"/>
  <c r="DB115" i="9" s="1"/>
  <c r="DF115" i="9" s="1"/>
  <c r="DJ115" i="9" s="1"/>
  <c r="BP17" i="9"/>
  <c r="AL18" i="9"/>
  <c r="BB18" i="9"/>
  <c r="BB24" i="9"/>
  <c r="V26" i="9"/>
  <c r="AL26" i="9"/>
  <c r="BB26" i="9"/>
  <c r="AJ27" i="9"/>
  <c r="CI83" i="9"/>
  <c r="CM83" i="9" s="1"/>
  <c r="CQ83" i="9" s="1"/>
  <c r="CU83" i="9" s="1"/>
  <c r="CY83" i="9"/>
  <c r="DC83" i="9" s="1"/>
  <c r="DG83" i="9" s="1"/>
  <c r="DK83" i="9" s="1"/>
  <c r="CI87" i="9"/>
  <c r="CM87" i="9" s="1"/>
  <c r="CQ87" i="9" s="1"/>
  <c r="CU87" i="9" s="1"/>
  <c r="CY87" i="9"/>
  <c r="DC87" i="9" s="1"/>
  <c r="DG87" i="9" s="1"/>
  <c r="DK87" i="9" s="1"/>
  <c r="CY90" i="9"/>
  <c r="DC90" i="9" s="1"/>
  <c r="DG90" i="9" s="1"/>
  <c r="DK90" i="9" s="1"/>
  <c r="CI101" i="9"/>
  <c r="CM101" i="9" s="1"/>
  <c r="CQ101" i="9" s="1"/>
  <c r="CU101" i="9" s="1"/>
  <c r="CY101" i="9"/>
  <c r="DC101" i="9" s="1"/>
  <c r="DG101" i="9" s="1"/>
  <c r="DK101" i="9" s="1"/>
  <c r="CI103" i="9"/>
  <c r="CM103" i="9" s="1"/>
  <c r="CQ103" i="9" s="1"/>
  <c r="CU103" i="9" s="1"/>
  <c r="CY103" i="9"/>
  <c r="DC103" i="9" s="1"/>
  <c r="DG103" i="9" s="1"/>
  <c r="DK103" i="9" s="1"/>
  <c r="CI105" i="9"/>
  <c r="CM105" i="9" s="1"/>
  <c r="CQ105" i="9" s="1"/>
  <c r="CU105" i="9" s="1"/>
  <c r="CY105" i="9"/>
  <c r="DC105" i="9" s="1"/>
  <c r="DG105" i="9" s="1"/>
  <c r="DK105" i="9" s="1"/>
  <c r="CI108" i="9"/>
  <c r="CM108" i="9" s="1"/>
  <c r="CQ108" i="9" s="1"/>
  <c r="CU108" i="9" s="1"/>
  <c r="CY108" i="9"/>
  <c r="DC108" i="9" s="1"/>
  <c r="DG108" i="9" s="1"/>
  <c r="DK108" i="9" s="1"/>
  <c r="CY115" i="9"/>
  <c r="DC115" i="9" s="1"/>
  <c r="DG115" i="9" s="1"/>
  <c r="DK115" i="9" s="1"/>
  <c r="CH132" i="9"/>
  <c r="CL132" i="9" s="1"/>
  <c r="BB133" i="9"/>
  <c r="CJ10" i="9"/>
  <c r="CN10" i="9" s="1"/>
  <c r="DE10" i="9" s="1"/>
  <c r="AJ11" i="9"/>
  <c r="CI90" i="9"/>
  <c r="CM90" i="9" s="1"/>
  <c r="CQ90" i="9" s="1"/>
  <c r="CU90" i="9" s="1"/>
  <c r="BP16" i="9"/>
  <c r="AZ19" i="9"/>
  <c r="CG10" i="9"/>
  <c r="CX10" i="9" s="1"/>
  <c r="AJ25" i="9"/>
  <c r="CG114" i="9"/>
  <c r="CK114" i="9" s="1"/>
  <c r="CO114" i="9" s="1"/>
  <c r="CS114" i="9" s="1"/>
  <c r="BR144" i="9"/>
  <c r="V24" i="9"/>
  <c r="BO25" i="9"/>
  <c r="BP25" i="9"/>
  <c r="AK26" i="9"/>
  <c r="T28" i="9"/>
  <c r="AZ28" i="9"/>
  <c r="AZ143" i="9"/>
  <c r="BO29" i="9"/>
  <c r="BO15" i="9"/>
  <c r="BP18" i="9"/>
  <c r="AL14" i="9"/>
  <c r="CJ16" i="9"/>
  <c r="DA16" i="9" s="1"/>
  <c r="CJ29" i="9"/>
  <c r="DA29" i="9" s="1"/>
  <c r="AL29" i="9"/>
  <c r="AJ30" i="9"/>
  <c r="L75" i="9"/>
  <c r="X75" i="9"/>
  <c r="AF75" i="9"/>
  <c r="AR75" i="9"/>
  <c r="BE75" i="9"/>
  <c r="CG83" i="9"/>
  <c r="CK83" i="9" s="1"/>
  <c r="CO83" i="9" s="1"/>
  <c r="CS83" i="9" s="1"/>
  <c r="DA83" i="9"/>
  <c r="DE83" i="9" s="1"/>
  <c r="DI83" i="9" s="1"/>
  <c r="DM83" i="9" s="1"/>
  <c r="CG84" i="9"/>
  <c r="CK84" i="9" s="1"/>
  <c r="CO84" i="9" s="1"/>
  <c r="CS84" i="9" s="1"/>
  <c r="CG85" i="9"/>
  <c r="CK85" i="9" s="1"/>
  <c r="CO85" i="9" s="1"/>
  <c r="CS85" i="9" s="1"/>
  <c r="DA85" i="9"/>
  <c r="DE85" i="9" s="1"/>
  <c r="DI85" i="9" s="1"/>
  <c r="DM85" i="9" s="1"/>
  <c r="CG86" i="9"/>
  <c r="CK86" i="9" s="1"/>
  <c r="CO86" i="9" s="1"/>
  <c r="CS86" i="9" s="1"/>
  <c r="CZ107" i="9"/>
  <c r="DD107" i="9" s="1"/>
  <c r="DH107" i="9" s="1"/>
  <c r="DL107" i="9" s="1"/>
  <c r="CJ108" i="9"/>
  <c r="CN108" i="9" s="1"/>
  <c r="CR108" i="9" s="1"/>
  <c r="CV108" i="9" s="1"/>
  <c r="CZ108" i="9"/>
  <c r="DD108" i="9" s="1"/>
  <c r="DH108" i="9" s="1"/>
  <c r="DL108" i="9" s="1"/>
  <c r="CZ109" i="9"/>
  <c r="DD109" i="9" s="1"/>
  <c r="DH109" i="9" s="1"/>
  <c r="DL109" i="9" s="1"/>
  <c r="CJ114" i="9"/>
  <c r="CN114" i="9" s="1"/>
  <c r="CR114" i="9" s="1"/>
  <c r="CV114" i="9" s="1"/>
  <c r="AY131" i="9"/>
  <c r="S133" i="9"/>
  <c r="AY133" i="9"/>
  <c r="AJ134" i="9"/>
  <c r="AV144" i="9"/>
  <c r="BB14" i="9"/>
  <c r="AJ15" i="9"/>
  <c r="AI14" i="9"/>
  <c r="CJ22" i="9"/>
  <c r="CN22" i="9" s="1"/>
  <c r="AJ23" i="9"/>
  <c r="T8" i="9"/>
  <c r="AZ8" i="9"/>
  <c r="V11" i="9"/>
  <c r="BB11" i="9"/>
  <c r="T12" i="9"/>
  <c r="AJ12" i="9"/>
  <c r="BB13" i="9"/>
  <c r="CG20" i="9"/>
  <c r="CX20" i="9" s="1"/>
  <c r="AI20" i="9"/>
  <c r="BO20" i="9"/>
  <c r="CI21" i="9"/>
  <c r="CM21" i="9" s="1"/>
  <c r="AI22" i="9"/>
  <c r="AY22" i="9"/>
  <c r="BA28" i="9"/>
  <c r="AI29" i="9"/>
  <c r="CX97" i="9"/>
  <c r="DB97" i="9" s="1"/>
  <c r="DF97" i="9" s="1"/>
  <c r="DJ97" i="9" s="1"/>
  <c r="CH99" i="9"/>
  <c r="CL99" i="9" s="1"/>
  <c r="CP99" i="9" s="1"/>
  <c r="CT99" i="9" s="1"/>
  <c r="CH101" i="9"/>
  <c r="CL101" i="9" s="1"/>
  <c r="CP101" i="9" s="1"/>
  <c r="CT101" i="9" s="1"/>
  <c r="CH103" i="9"/>
  <c r="CL103" i="9" s="1"/>
  <c r="CP103" i="9" s="1"/>
  <c r="CT103" i="9" s="1"/>
  <c r="DA109" i="9"/>
  <c r="DE109" i="9" s="1"/>
  <c r="DI109" i="9" s="1"/>
  <c r="DM109" i="9" s="1"/>
  <c r="CJ130" i="9"/>
  <c r="DA130" i="9" s="1"/>
  <c r="BB130" i="9"/>
  <c r="AJ133" i="9"/>
  <c r="S12" i="9"/>
  <c r="AY12" i="9"/>
  <c r="CH23" i="9"/>
  <c r="CL23" i="9" s="1"/>
  <c r="U8" i="9"/>
  <c r="BA8" i="9"/>
  <c r="AI11" i="9"/>
  <c r="AK12" i="9"/>
  <c r="BP20" i="9"/>
  <c r="T22" i="9"/>
  <c r="AJ22" i="9"/>
  <c r="BA25" i="9"/>
  <c r="AY26" i="9"/>
  <c r="CH29" i="9"/>
  <c r="CY29" i="9" s="1"/>
  <c r="AJ29" i="9"/>
  <c r="BP29" i="9"/>
  <c r="CY92" i="9"/>
  <c r="DC92" i="9" s="1"/>
  <c r="DG92" i="9" s="1"/>
  <c r="DK92" i="9" s="1"/>
  <c r="CI93" i="9"/>
  <c r="CM93" i="9" s="1"/>
  <c r="CQ93" i="9" s="1"/>
  <c r="CU93" i="9" s="1"/>
  <c r="CI99" i="9"/>
  <c r="CM99" i="9" s="1"/>
  <c r="CQ99" i="9" s="1"/>
  <c r="CU99" i="9" s="1"/>
  <c r="CX108" i="9"/>
  <c r="DB108" i="9" s="1"/>
  <c r="DF108" i="9" s="1"/>
  <c r="DJ108" i="9" s="1"/>
  <c r="CI127" i="9"/>
  <c r="CZ127" i="9" s="1"/>
  <c r="BA127" i="9"/>
  <c r="AK133" i="9"/>
  <c r="CJ134" i="9"/>
  <c r="CN134" i="9" s="1"/>
  <c r="AY19" i="9"/>
  <c r="BA20" i="9"/>
  <c r="CH26" i="9"/>
  <c r="CY26" i="9" s="1"/>
  <c r="AZ26" i="9"/>
  <c r="CG28" i="9"/>
  <c r="CK28" i="9" s="1"/>
  <c r="AI28" i="9"/>
  <c r="BO28" i="9"/>
  <c r="CI29" i="9"/>
  <c r="CM29" i="9" s="1"/>
  <c r="CZ90" i="9"/>
  <c r="DD90" i="9" s="1"/>
  <c r="DH90" i="9" s="1"/>
  <c r="DL90" i="9" s="1"/>
  <c r="CZ92" i="9"/>
  <c r="DD92" i="9" s="1"/>
  <c r="DH92" i="9" s="1"/>
  <c r="DL92" i="9" s="1"/>
  <c r="CZ94" i="9"/>
  <c r="DD94" i="9" s="1"/>
  <c r="DH94" i="9" s="1"/>
  <c r="DL94" i="9" s="1"/>
  <c r="CI116" i="9"/>
  <c r="CM116" i="9" s="1"/>
  <c r="CQ116" i="9" s="1"/>
  <c r="CU116" i="9" s="1"/>
  <c r="AZ126" i="9"/>
  <c r="BH135" i="9"/>
  <c r="CJ127" i="9"/>
  <c r="DA127" i="9" s="1"/>
  <c r="AZ130" i="9"/>
  <c r="AJ132" i="9"/>
  <c r="BI135" i="9"/>
  <c r="BQ128" i="9"/>
  <c r="BQ26" i="9"/>
  <c r="CE57" i="9" s="1"/>
  <c r="BP8" i="9"/>
  <c r="CJ9" i="9"/>
  <c r="CN9" i="9" s="1"/>
  <c r="DE9" i="9" s="1"/>
  <c r="AL9" i="9"/>
  <c r="T10" i="9"/>
  <c r="AZ10" i="9"/>
  <c r="U11" i="9"/>
  <c r="BA11" i="9"/>
  <c r="BA12" i="9"/>
  <c r="AJ14" i="9"/>
  <c r="AK15" i="9"/>
  <c r="S17" i="9"/>
  <c r="AI17" i="9"/>
  <c r="U18" i="9"/>
  <c r="T21" i="9"/>
  <c r="AZ21" i="9"/>
  <c r="BP21" i="9"/>
  <c r="U22" i="9"/>
  <c r="BA22" i="9"/>
  <c r="BQ22" i="9"/>
  <c r="CE53" i="9" s="1"/>
  <c r="CH22" i="9"/>
  <c r="CL22" i="9" s="1"/>
  <c r="DC22" i="9" s="1"/>
  <c r="U23" i="9"/>
  <c r="AK23" i="9"/>
  <c r="BX54" i="9" s="1"/>
  <c r="U25" i="9"/>
  <c r="BQ25" i="9"/>
  <c r="AI26" i="9"/>
  <c r="BQ30" i="9"/>
  <c r="CE61" i="9" s="1"/>
  <c r="CX82" i="9"/>
  <c r="DB82" i="9" s="1"/>
  <c r="DF82" i="9" s="1"/>
  <c r="DJ82" i="9" s="1"/>
  <c r="CH83" i="9"/>
  <c r="CL83" i="9" s="1"/>
  <c r="CP83" i="9" s="1"/>
  <c r="CT83" i="9" s="1"/>
  <c r="CG87" i="9"/>
  <c r="CK87" i="9" s="1"/>
  <c r="CO87" i="9" s="1"/>
  <c r="CS87" i="9" s="1"/>
  <c r="DA87" i="9"/>
  <c r="DE87" i="9" s="1"/>
  <c r="DI87" i="9" s="1"/>
  <c r="DM87" i="9" s="1"/>
  <c r="CG88" i="9"/>
  <c r="CK88" i="9" s="1"/>
  <c r="CO88" i="9" s="1"/>
  <c r="CS88" i="9" s="1"/>
  <c r="CZ89" i="9"/>
  <c r="DD89" i="9" s="1"/>
  <c r="DH89" i="9" s="1"/>
  <c r="DL89" i="9" s="1"/>
  <c r="CJ90" i="9"/>
  <c r="CN90" i="9" s="1"/>
  <c r="CR90" i="9" s="1"/>
  <c r="CV90" i="9" s="1"/>
  <c r="CG96" i="9"/>
  <c r="CK96" i="9" s="1"/>
  <c r="CO96" i="9" s="1"/>
  <c r="CS96" i="9" s="1"/>
  <c r="DA96" i="9"/>
  <c r="DE96" i="9" s="1"/>
  <c r="DI96" i="9" s="1"/>
  <c r="DM96" i="9" s="1"/>
  <c r="CG98" i="9"/>
  <c r="CK98" i="9" s="1"/>
  <c r="CO98" i="9" s="1"/>
  <c r="CS98" i="9" s="1"/>
  <c r="DA98" i="9"/>
  <c r="DE98" i="9" s="1"/>
  <c r="DI98" i="9" s="1"/>
  <c r="DM98" i="9" s="1"/>
  <c r="CX102" i="9"/>
  <c r="DB102" i="9" s="1"/>
  <c r="DF102" i="9" s="1"/>
  <c r="DJ102" i="9" s="1"/>
  <c r="CG111" i="9"/>
  <c r="CK111" i="9" s="1"/>
  <c r="CO111" i="9" s="1"/>
  <c r="CS111" i="9" s="1"/>
  <c r="DA111" i="9"/>
  <c r="DE111" i="9" s="1"/>
  <c r="DI111" i="9" s="1"/>
  <c r="DM111" i="9" s="1"/>
  <c r="CZ115" i="9"/>
  <c r="DD115" i="9" s="1"/>
  <c r="DH115" i="9" s="1"/>
  <c r="DL115" i="9" s="1"/>
  <c r="AL128" i="9"/>
  <c r="CH129" i="9"/>
  <c r="CY129" i="9" s="1"/>
  <c r="AJ129" i="9"/>
  <c r="AK132" i="9"/>
  <c r="BX132" i="9" s="1"/>
  <c r="V133" i="9"/>
  <c r="AL133" i="9"/>
  <c r="BB134" i="9"/>
  <c r="BQ8" i="9"/>
  <c r="CE39" i="9" s="1"/>
  <c r="CG9" i="9"/>
  <c r="CK9" i="9" s="1"/>
  <c r="AI9" i="9"/>
  <c r="AK10" i="9"/>
  <c r="BB12" i="9"/>
  <c r="AJ13" i="9"/>
  <c r="AK14" i="9"/>
  <c r="AZ16" i="9"/>
  <c r="AZ17" i="9"/>
  <c r="T19" i="9"/>
  <c r="AJ19" i="9"/>
  <c r="AJ20" i="9"/>
  <c r="BQ21" i="9"/>
  <c r="CE52" i="9" s="1"/>
  <c r="AL22" i="9"/>
  <c r="AY24" i="9"/>
  <c r="CJ24" i="9"/>
  <c r="CN24" i="9" s="1"/>
  <c r="V25" i="9"/>
  <c r="BB25" i="9"/>
  <c r="AZ27" i="9"/>
  <c r="V28" i="9"/>
  <c r="BB28" i="9"/>
  <c r="S30" i="9"/>
  <c r="BB30" i="9"/>
  <c r="CY81" i="9"/>
  <c r="DC81" i="9" s="1"/>
  <c r="DG81" i="9" s="1"/>
  <c r="DK81" i="9" s="1"/>
  <c r="CI86" i="9"/>
  <c r="CM86" i="9" s="1"/>
  <c r="CQ86" i="9" s="1"/>
  <c r="CU86" i="9" s="1"/>
  <c r="CY86" i="9"/>
  <c r="DC86" i="9" s="1"/>
  <c r="DG86" i="9" s="1"/>
  <c r="DK86" i="9" s="1"/>
  <c r="CX88" i="9"/>
  <c r="DB88" i="9" s="1"/>
  <c r="DF88" i="9" s="1"/>
  <c r="DJ88" i="9" s="1"/>
  <c r="CG89" i="9"/>
  <c r="CK89" i="9" s="1"/>
  <c r="CO89" i="9" s="1"/>
  <c r="CS89" i="9" s="1"/>
  <c r="DA89" i="9"/>
  <c r="DE89" i="9" s="1"/>
  <c r="DI89" i="9" s="1"/>
  <c r="DM89" i="9" s="1"/>
  <c r="CJ91" i="9"/>
  <c r="CN91" i="9" s="1"/>
  <c r="CR91" i="9" s="1"/>
  <c r="CV91" i="9" s="1"/>
  <c r="CZ91" i="9"/>
  <c r="DD91" i="9" s="1"/>
  <c r="DH91" i="9" s="1"/>
  <c r="DL91" i="9" s="1"/>
  <c r="CJ92" i="9"/>
  <c r="CN92" i="9" s="1"/>
  <c r="CR92" i="9" s="1"/>
  <c r="CV92" i="9" s="1"/>
  <c r="CH96" i="9"/>
  <c r="CL96" i="9" s="1"/>
  <c r="CP96" i="9" s="1"/>
  <c r="CT96" i="9" s="1"/>
  <c r="CI106" i="9"/>
  <c r="CM106" i="9" s="1"/>
  <c r="CQ106" i="9" s="1"/>
  <c r="CU106" i="9" s="1"/>
  <c r="CY106" i="9"/>
  <c r="DC106" i="9" s="1"/>
  <c r="DG106" i="9" s="1"/>
  <c r="DK106" i="9" s="1"/>
  <c r="CG107" i="9"/>
  <c r="CK107" i="9" s="1"/>
  <c r="CO107" i="9" s="1"/>
  <c r="CS107" i="9" s="1"/>
  <c r="DA107" i="9"/>
  <c r="DE107" i="9" s="1"/>
  <c r="DI107" i="9" s="1"/>
  <c r="DM107" i="9" s="1"/>
  <c r="CJ109" i="9"/>
  <c r="CN109" i="9" s="1"/>
  <c r="CR109" i="9" s="1"/>
  <c r="CV109" i="9" s="1"/>
  <c r="CH111" i="9"/>
  <c r="CL111" i="9" s="1"/>
  <c r="CP111" i="9" s="1"/>
  <c r="CT111" i="9" s="1"/>
  <c r="CX111" i="9"/>
  <c r="DB111" i="9" s="1"/>
  <c r="DF111" i="9" s="1"/>
  <c r="DJ111" i="9" s="1"/>
  <c r="CH114" i="9"/>
  <c r="CL114" i="9" s="1"/>
  <c r="CP114" i="9" s="1"/>
  <c r="CT114" i="9" s="1"/>
  <c r="CX114" i="9"/>
  <c r="DB114" i="9" s="1"/>
  <c r="DF114" i="9" s="1"/>
  <c r="DJ114" i="9" s="1"/>
  <c r="CY117" i="9"/>
  <c r="DC117" i="9" s="1"/>
  <c r="DG117" i="9" s="1"/>
  <c r="DK117" i="9" s="1"/>
  <c r="AI128" i="9"/>
  <c r="AK129" i="9"/>
  <c r="S130" i="9"/>
  <c r="AY130" i="9"/>
  <c r="T131" i="9"/>
  <c r="AZ131" i="9"/>
  <c r="AL132" i="9"/>
  <c r="CG133" i="9"/>
  <c r="CX133" i="9" s="1"/>
  <c r="AY134" i="9"/>
  <c r="J144" i="9"/>
  <c r="R144" i="9"/>
  <c r="AD144" i="9"/>
  <c r="BM144" i="9"/>
  <c r="AK143" i="9"/>
  <c r="BP15" i="9"/>
  <c r="BP23" i="9"/>
  <c r="V8" i="9"/>
  <c r="AJ9" i="9"/>
  <c r="BP9" i="9"/>
  <c r="S25" i="9"/>
  <c r="AY25" i="9"/>
  <c r="T30" i="9"/>
  <c r="CJ83" i="9"/>
  <c r="CN83" i="9" s="1"/>
  <c r="CR83" i="9" s="1"/>
  <c r="CV83" i="9" s="1"/>
  <c r="CZ83" i="9"/>
  <c r="DD83" i="9" s="1"/>
  <c r="DH83" i="9" s="1"/>
  <c r="DL83" i="9" s="1"/>
  <c r="CZ84" i="9"/>
  <c r="DD84" i="9" s="1"/>
  <c r="DH84" i="9" s="1"/>
  <c r="DL84" i="9" s="1"/>
  <c r="CJ85" i="9"/>
  <c r="CN85" i="9" s="1"/>
  <c r="CR85" i="9" s="1"/>
  <c r="CV85" i="9" s="1"/>
  <c r="CI88" i="9"/>
  <c r="CM88" i="9" s="1"/>
  <c r="CQ88" i="9" s="1"/>
  <c r="CU88" i="9" s="1"/>
  <c r="CY88" i="9"/>
  <c r="DC88" i="9" s="1"/>
  <c r="DG88" i="9" s="1"/>
  <c r="DK88" i="9" s="1"/>
  <c r="CJ93" i="9"/>
  <c r="CN93" i="9" s="1"/>
  <c r="CR93" i="9" s="1"/>
  <c r="CV93" i="9" s="1"/>
  <c r="CZ93" i="9"/>
  <c r="DD93" i="9" s="1"/>
  <c r="DH93" i="9" s="1"/>
  <c r="DL93" i="9" s="1"/>
  <c r="CI94" i="9"/>
  <c r="CM94" i="9" s="1"/>
  <c r="CQ94" i="9" s="1"/>
  <c r="CU94" i="9" s="1"/>
  <c r="CI96" i="9"/>
  <c r="CM96" i="9" s="1"/>
  <c r="CQ96" i="9" s="1"/>
  <c r="CU96" i="9" s="1"/>
  <c r="CY97" i="9"/>
  <c r="DC97" i="9" s="1"/>
  <c r="DG97" i="9" s="1"/>
  <c r="DK97" i="9" s="1"/>
  <c r="CI98" i="9"/>
  <c r="CM98" i="9" s="1"/>
  <c r="CQ98" i="9" s="1"/>
  <c r="CU98" i="9" s="1"/>
  <c r="CY98" i="9"/>
  <c r="DC98" i="9" s="1"/>
  <c r="DG98" i="9" s="1"/>
  <c r="DK98" i="9" s="1"/>
  <c r="CG100" i="9"/>
  <c r="CK100" i="9" s="1"/>
  <c r="CO100" i="9" s="1"/>
  <c r="CS100" i="9" s="1"/>
  <c r="DA100" i="9"/>
  <c r="DE100" i="9" s="1"/>
  <c r="DI100" i="9" s="1"/>
  <c r="DM100" i="9" s="1"/>
  <c r="CJ106" i="9"/>
  <c r="CN106" i="9" s="1"/>
  <c r="CR106" i="9" s="1"/>
  <c r="CV106" i="9" s="1"/>
  <c r="CZ106" i="9"/>
  <c r="DD106" i="9" s="1"/>
  <c r="DH106" i="9" s="1"/>
  <c r="DL106" i="9" s="1"/>
  <c r="CH107" i="9"/>
  <c r="CL107" i="9" s="1"/>
  <c r="CP107" i="9" s="1"/>
  <c r="CT107" i="9" s="1"/>
  <c r="CX107" i="9"/>
  <c r="DB107" i="9" s="1"/>
  <c r="DF107" i="9" s="1"/>
  <c r="DJ107" i="9" s="1"/>
  <c r="CI111" i="9"/>
  <c r="CM111" i="9" s="1"/>
  <c r="CQ111" i="9" s="1"/>
  <c r="CU111" i="9" s="1"/>
  <c r="CY111" i="9"/>
  <c r="DC111" i="9" s="1"/>
  <c r="DG111" i="9" s="1"/>
  <c r="DK111" i="9" s="1"/>
  <c r="CI114" i="9"/>
  <c r="CM114" i="9" s="1"/>
  <c r="CQ114" i="9" s="1"/>
  <c r="CU114" i="9" s="1"/>
  <c r="CY114" i="9"/>
  <c r="DC114" i="9" s="1"/>
  <c r="DG114" i="9" s="1"/>
  <c r="DK114" i="9" s="1"/>
  <c r="AJ128" i="9"/>
  <c r="BP128" i="9"/>
  <c r="CJ129" i="9"/>
  <c r="CN129" i="9" s="1"/>
  <c r="AL129" i="9"/>
  <c r="BB129" i="9"/>
  <c r="CH130" i="9"/>
  <c r="CY130" i="9" s="1"/>
  <c r="AK131" i="9"/>
  <c r="BQ131" i="9"/>
  <c r="CG132" i="9"/>
  <c r="CK132" i="9" s="1"/>
  <c r="CO132" i="9" s="1"/>
  <c r="CS132" i="9" s="1"/>
  <c r="AI132" i="9"/>
  <c r="BO132" i="9"/>
  <c r="S142" i="9"/>
  <c r="AL143" i="9"/>
  <c r="BA13" i="9"/>
  <c r="BQ9" i="9"/>
  <c r="CE40" i="9" s="1"/>
  <c r="CJ12" i="9"/>
  <c r="DA12" i="9" s="1"/>
  <c r="CH7" i="9"/>
  <c r="CY7" i="9" s="1"/>
  <c r="AL8" i="9"/>
  <c r="CH9" i="9"/>
  <c r="CY9" i="9" s="1"/>
  <c r="U13" i="9"/>
  <c r="BA16" i="9"/>
  <c r="AY30" i="9"/>
  <c r="CG8" i="9"/>
  <c r="CX8" i="9" s="1"/>
  <c r="AI8" i="9"/>
  <c r="BO8" i="9"/>
  <c r="U9" i="9"/>
  <c r="BA9" i="9"/>
  <c r="AZ12" i="9"/>
  <c r="AL16" i="9"/>
  <c r="BB16" i="9"/>
  <c r="BO16" i="9"/>
  <c r="AL19" i="9"/>
  <c r="V20" i="9"/>
  <c r="S21" i="9"/>
  <c r="BO21" i="9"/>
  <c r="U24" i="9"/>
  <c r="BB27" i="9"/>
  <c r="AK29" i="9"/>
  <c r="BQ29" i="9"/>
  <c r="U30" i="9"/>
  <c r="AZ30" i="9"/>
  <c r="CZ87" i="9"/>
  <c r="DD87" i="9" s="1"/>
  <c r="DH87" i="9" s="1"/>
  <c r="DL87" i="9" s="1"/>
  <c r="CZ95" i="9"/>
  <c r="DD95" i="9" s="1"/>
  <c r="DH95" i="9" s="1"/>
  <c r="DL95" i="9" s="1"/>
  <c r="CJ96" i="9"/>
  <c r="CN96" i="9" s="1"/>
  <c r="CR96" i="9" s="1"/>
  <c r="CV96" i="9" s="1"/>
  <c r="CZ96" i="9"/>
  <c r="DD96" i="9" s="1"/>
  <c r="DH96" i="9" s="1"/>
  <c r="DL96" i="9" s="1"/>
  <c r="CJ97" i="9"/>
  <c r="CN97" i="9" s="1"/>
  <c r="CR97" i="9" s="1"/>
  <c r="CV97" i="9" s="1"/>
  <c r="CZ97" i="9"/>
  <c r="DD97" i="9" s="1"/>
  <c r="DH97" i="9" s="1"/>
  <c r="DL97" i="9" s="1"/>
  <c r="CZ99" i="9"/>
  <c r="DD99" i="9" s="1"/>
  <c r="DH99" i="9" s="1"/>
  <c r="DL99" i="9" s="1"/>
  <c r="CX101" i="9"/>
  <c r="DB101" i="9" s="1"/>
  <c r="DF101" i="9" s="1"/>
  <c r="DJ101" i="9" s="1"/>
  <c r="CG103" i="9"/>
  <c r="CK103" i="9" s="1"/>
  <c r="CO103" i="9" s="1"/>
  <c r="CS103" i="9" s="1"/>
  <c r="DA103" i="9"/>
  <c r="DE103" i="9" s="1"/>
  <c r="DI103" i="9" s="1"/>
  <c r="DM103" i="9" s="1"/>
  <c r="CJ111" i="9"/>
  <c r="CN111" i="9" s="1"/>
  <c r="CR111" i="9" s="1"/>
  <c r="CV111" i="9" s="1"/>
  <c r="CZ111" i="9"/>
  <c r="DD111" i="9" s="1"/>
  <c r="DH111" i="9" s="1"/>
  <c r="DL111" i="9" s="1"/>
  <c r="CZ114" i="9"/>
  <c r="DD114" i="9" s="1"/>
  <c r="DH114" i="9" s="1"/>
  <c r="DL114" i="9" s="1"/>
  <c r="CI115" i="9"/>
  <c r="CM115" i="9" s="1"/>
  <c r="CQ115" i="9" s="1"/>
  <c r="CU115" i="9" s="1"/>
  <c r="CH116" i="9"/>
  <c r="CL116" i="9" s="1"/>
  <c r="CP116" i="9" s="1"/>
  <c r="CX116" i="9"/>
  <c r="DB116" i="9" s="1"/>
  <c r="DF116" i="9" s="1"/>
  <c r="DJ116" i="9" s="1"/>
  <c r="CG127" i="9"/>
  <c r="CX127" i="9" s="1"/>
  <c r="AI127" i="9"/>
  <c r="AK128" i="9"/>
  <c r="U130" i="9"/>
  <c r="BA130" i="9"/>
  <c r="V131" i="9"/>
  <c r="BB131" i="9"/>
  <c r="V134" i="9"/>
  <c r="BA134" i="9"/>
  <c r="AJ142" i="9"/>
  <c r="BQ143" i="9"/>
  <c r="CE143" i="9" s="1"/>
  <c r="X144" i="9"/>
  <c r="BQ10" i="9"/>
  <c r="CE41" i="9" s="1"/>
  <c r="BO11" i="9"/>
  <c r="CI7" i="9"/>
  <c r="CZ7" i="9" s="1"/>
  <c r="U7" i="9"/>
  <c r="AO31" i="9"/>
  <c r="S134" i="9"/>
  <c r="CG134" i="9"/>
  <c r="CX134" i="9" s="1"/>
  <c r="BP14" i="9"/>
  <c r="BP24" i="9"/>
  <c r="CG129" i="9"/>
  <c r="CX129" i="9" s="1"/>
  <c r="CJ87" i="9"/>
  <c r="CN87" i="9" s="1"/>
  <c r="CR87" i="9" s="1"/>
  <c r="CV87" i="9" s="1"/>
  <c r="AW31" i="9"/>
  <c r="BO14" i="9"/>
  <c r="V27" i="9"/>
  <c r="BO127" i="9"/>
  <c r="BK31" i="9"/>
  <c r="BP13" i="9"/>
  <c r="BA18" i="9"/>
  <c r="CB18" i="9" s="1"/>
  <c r="AK21" i="9"/>
  <c r="AI27" i="9"/>
  <c r="CG29" i="9"/>
  <c r="CX29" i="9" s="1"/>
  <c r="AE31" i="9"/>
  <c r="BO7" i="9"/>
  <c r="BL31" i="9"/>
  <c r="BB8" i="9"/>
  <c r="V9" i="9"/>
  <c r="BB9" i="9"/>
  <c r="V10" i="9"/>
  <c r="BB10" i="9"/>
  <c r="CJ11" i="9"/>
  <c r="DA11" i="9" s="1"/>
  <c r="AL11" i="9"/>
  <c r="AL12" i="9"/>
  <c r="T13" i="9"/>
  <c r="AI13" i="9"/>
  <c r="AY13" i="9"/>
  <c r="V14" i="9"/>
  <c r="AL15" i="9"/>
  <c r="AJ16" i="9"/>
  <c r="BA17" i="9"/>
  <c r="BQ17" i="9"/>
  <c r="CE48" i="9" s="1"/>
  <c r="T20" i="9"/>
  <c r="AZ20" i="9"/>
  <c r="CH20" i="9"/>
  <c r="CY20" i="9" s="1"/>
  <c r="CJ21" i="9"/>
  <c r="DA21" i="9" s="1"/>
  <c r="BP30" i="9"/>
  <c r="AK126" i="9"/>
  <c r="BY126" i="9" s="1"/>
  <c r="AC135" i="9"/>
  <c r="BB127" i="9"/>
  <c r="CH28" i="9"/>
  <c r="CL28" i="9" s="1"/>
  <c r="DC28" i="9" s="1"/>
  <c r="BD31" i="9"/>
  <c r="S8" i="9"/>
  <c r="AY8" i="9"/>
  <c r="AY9" i="9"/>
  <c r="BO9" i="9"/>
  <c r="S10" i="9"/>
  <c r="AY10" i="9"/>
  <c r="S11" i="9"/>
  <c r="AY11" i="9"/>
  <c r="AI12" i="9"/>
  <c r="CI13" i="9"/>
  <c r="CZ13" i="9" s="1"/>
  <c r="AZ13" i="9"/>
  <c r="S14" i="9"/>
  <c r="AY14" i="9"/>
  <c r="AY15" i="9"/>
  <c r="AK16" i="9"/>
  <c r="BB17" i="9"/>
  <c r="S18" i="9"/>
  <c r="AY18" i="9"/>
  <c r="BO18" i="9"/>
  <c r="BO24" i="9"/>
  <c r="T25" i="9"/>
  <c r="AZ25" i="9"/>
  <c r="AJ26" i="9"/>
  <c r="AK27" i="9"/>
  <c r="BO27" i="9"/>
  <c r="S28" i="9"/>
  <c r="AY28" i="9"/>
  <c r="U29" i="9"/>
  <c r="BA29" i="9"/>
  <c r="G75" i="9"/>
  <c r="O75" i="9"/>
  <c r="AA75" i="9"/>
  <c r="AM75" i="9"/>
  <c r="AU75" i="9"/>
  <c r="BI75" i="9"/>
  <c r="CX84" i="9"/>
  <c r="DB84" i="9" s="1"/>
  <c r="DF84" i="9" s="1"/>
  <c r="DJ84" i="9" s="1"/>
  <c r="DA105" i="9"/>
  <c r="DE105" i="9" s="1"/>
  <c r="DI105" i="9" s="1"/>
  <c r="DM105" i="9" s="1"/>
  <c r="I135" i="9"/>
  <c r="K144" i="9"/>
  <c r="T9" i="9"/>
  <c r="AZ9" i="9"/>
  <c r="AJ10" i="9"/>
  <c r="AZ11" i="9"/>
  <c r="BP12" i="9"/>
  <c r="T15" i="9"/>
  <c r="V16" i="9"/>
  <c r="AY17" i="9"/>
  <c r="AZ18" i="9"/>
  <c r="BB19" i="9"/>
  <c r="BB20" i="9"/>
  <c r="AJ21" i="9"/>
  <c r="CG22" i="9"/>
  <c r="CX22" i="9" s="1"/>
  <c r="V23" i="9"/>
  <c r="AK25" i="9"/>
  <c r="U26" i="9"/>
  <c r="CY109" i="9"/>
  <c r="DC109" i="9" s="1"/>
  <c r="DG109" i="9" s="1"/>
  <c r="DK109" i="9" s="1"/>
  <c r="O31" i="9"/>
  <c r="AK8" i="9"/>
  <c r="AK9" i="9"/>
  <c r="U10" i="9"/>
  <c r="BA10" i="9"/>
  <c r="AK11" i="9"/>
  <c r="BQ12" i="9"/>
  <c r="CE43" i="9" s="1"/>
  <c r="AL13" i="9"/>
  <c r="U14" i="9"/>
  <c r="BA15" i="9"/>
  <c r="AY16" i="9"/>
  <c r="AJ17" i="9"/>
  <c r="AK18" i="9"/>
  <c r="BQ18" i="9"/>
  <c r="S20" i="9"/>
  <c r="AY20" i="9"/>
  <c r="U21" i="9"/>
  <c r="BA21" i="9"/>
  <c r="AZ22" i="9"/>
  <c r="CG23" i="9"/>
  <c r="CX23" i="9" s="1"/>
  <c r="AI23" i="9"/>
  <c r="BB23" i="9"/>
  <c r="AK24" i="9"/>
  <c r="S27" i="9"/>
  <c r="AK28" i="9"/>
  <c r="BP28" i="9"/>
  <c r="S29" i="9"/>
  <c r="AY29" i="9"/>
  <c r="C149" i="9"/>
  <c r="C154" i="9" s="1"/>
  <c r="I75" i="9"/>
  <c r="Q75" i="9"/>
  <c r="AC75" i="9"/>
  <c r="AW75" i="9"/>
  <c r="AO75" i="9"/>
  <c r="CG126" i="9"/>
  <c r="CX126" i="9" s="1"/>
  <c r="G135" i="9"/>
  <c r="O135" i="9"/>
  <c r="AM135" i="9"/>
  <c r="AU135" i="9"/>
  <c r="M144" i="9"/>
  <c r="AG144" i="9"/>
  <c r="AS144" i="9"/>
  <c r="AI15" i="9"/>
  <c r="AK7" i="9"/>
  <c r="AG31" i="9"/>
  <c r="AJ8" i="9"/>
  <c r="AF31" i="9"/>
  <c r="BP10" i="9"/>
  <c r="T11" i="9"/>
  <c r="U12" i="9"/>
  <c r="CJ13" i="9"/>
  <c r="DA13" i="9" s="1"/>
  <c r="AK13" i="9"/>
  <c r="T14" i="9"/>
  <c r="AZ14" i="9"/>
  <c r="AZ15" i="9"/>
  <c r="T18" i="9"/>
  <c r="AL20" i="9"/>
  <c r="CH21" i="9"/>
  <c r="CL21" i="9" s="1"/>
  <c r="AJ24" i="9"/>
  <c r="AZ24" i="9"/>
  <c r="AI30" i="9"/>
  <c r="BQ126" i="9"/>
  <c r="AD135" i="9"/>
  <c r="BQ11" i="9"/>
  <c r="CE42" i="9" s="1"/>
  <c r="V13" i="9"/>
  <c r="BA14" i="9"/>
  <c r="U15" i="9"/>
  <c r="BQ13" i="9"/>
  <c r="CI18" i="9"/>
  <c r="CM18" i="9" s="1"/>
  <c r="BO19" i="9"/>
  <c r="AL21" i="9"/>
  <c r="BB21" i="9"/>
  <c r="CI22" i="9"/>
  <c r="CZ22" i="9" s="1"/>
  <c r="AK22" i="9"/>
  <c r="S24" i="9"/>
  <c r="AL24" i="9"/>
  <c r="AI25" i="9"/>
  <c r="S26" i="9"/>
  <c r="AY27" i="9"/>
  <c r="CG27" i="9"/>
  <c r="CK27" i="9" s="1"/>
  <c r="CO27" i="9" s="1"/>
  <c r="AL28" i="9"/>
  <c r="T29" i="9"/>
  <c r="AZ29" i="9"/>
  <c r="CI30" i="9"/>
  <c r="CZ30" i="9" s="1"/>
  <c r="AK30" i="9"/>
  <c r="R75" i="9"/>
  <c r="AD75" i="9"/>
  <c r="U19" i="9"/>
  <c r="AK19" i="9"/>
  <c r="CI20" i="9"/>
  <c r="CZ20" i="9" s="1"/>
  <c r="AK20" i="9"/>
  <c r="AI21" i="9"/>
  <c r="AY21" i="9"/>
  <c r="V22" i="9"/>
  <c r="BB22" i="9"/>
  <c r="CI23" i="9"/>
  <c r="CZ23" i="9" s="1"/>
  <c r="AZ23" i="9"/>
  <c r="BZ54" i="9" s="1"/>
  <c r="CH24" i="9"/>
  <c r="AL25" i="9"/>
  <c r="CJ26" i="9"/>
  <c r="BA26" i="9"/>
  <c r="AL27" i="9"/>
  <c r="BA27" i="9"/>
  <c r="AJ28" i="9"/>
  <c r="V29" i="9"/>
  <c r="BB29" i="9"/>
  <c r="AL30" i="9"/>
  <c r="BA30" i="9"/>
  <c r="J75" i="9"/>
  <c r="CG82" i="9"/>
  <c r="CK82" i="9" s="1"/>
  <c r="CO82" i="9" s="1"/>
  <c r="CS82" i="9" s="1"/>
  <c r="DA82" i="9"/>
  <c r="DE82" i="9" s="1"/>
  <c r="DI82" i="9" s="1"/>
  <c r="DM82" i="9" s="1"/>
  <c r="DA84" i="9"/>
  <c r="DE84" i="9" s="1"/>
  <c r="DI84" i="9" s="1"/>
  <c r="DM84" i="9" s="1"/>
  <c r="CH85" i="9"/>
  <c r="CL85" i="9" s="1"/>
  <c r="CP85" i="9" s="1"/>
  <c r="CT85" i="9" s="1"/>
  <c r="CI89" i="9"/>
  <c r="CM89" i="9" s="1"/>
  <c r="CQ89" i="9" s="1"/>
  <c r="CU89" i="9" s="1"/>
  <c r="CY89" i="9"/>
  <c r="DC89" i="9" s="1"/>
  <c r="DG89" i="9" s="1"/>
  <c r="DK89" i="9" s="1"/>
  <c r="CI91" i="9"/>
  <c r="CM91" i="9" s="1"/>
  <c r="CQ91" i="9" s="1"/>
  <c r="CU91" i="9" s="1"/>
  <c r="CY91" i="9"/>
  <c r="DC91" i="9" s="1"/>
  <c r="DG91" i="9" s="1"/>
  <c r="DK91" i="9" s="1"/>
  <c r="CY93" i="9"/>
  <c r="DC93" i="9" s="1"/>
  <c r="DG93" i="9" s="1"/>
  <c r="DK93" i="9" s="1"/>
  <c r="CG94" i="9"/>
  <c r="CK94" i="9" s="1"/>
  <c r="CO94" i="9" s="1"/>
  <c r="CS94" i="9" s="1"/>
  <c r="DA94" i="9"/>
  <c r="DE94" i="9" s="1"/>
  <c r="DI94" i="9" s="1"/>
  <c r="DM94" i="9" s="1"/>
  <c r="CJ95" i="9"/>
  <c r="CN95" i="9" s="1"/>
  <c r="CR95" i="9" s="1"/>
  <c r="CV95" i="9" s="1"/>
  <c r="AN135" i="9"/>
  <c r="AV135" i="9"/>
  <c r="BP127" i="9"/>
  <c r="BQ129" i="9"/>
  <c r="BQ132" i="9"/>
  <c r="BO143" i="9"/>
  <c r="CJ82" i="9"/>
  <c r="CN82" i="9" s="1"/>
  <c r="CR82" i="9" s="1"/>
  <c r="CV82" i="9" s="1"/>
  <c r="CZ82" i="9"/>
  <c r="DD82" i="9" s="1"/>
  <c r="DH82" i="9" s="1"/>
  <c r="DL82" i="9" s="1"/>
  <c r="CJ84" i="9"/>
  <c r="CN84" i="9" s="1"/>
  <c r="CR84" i="9" s="1"/>
  <c r="CV84" i="9" s="1"/>
  <c r="DA88" i="9"/>
  <c r="DE88" i="9" s="1"/>
  <c r="DI88" i="9" s="1"/>
  <c r="DM88" i="9" s="1"/>
  <c r="CH89" i="9"/>
  <c r="CL89" i="9" s="1"/>
  <c r="CP89" i="9" s="1"/>
  <c r="CT89" i="9" s="1"/>
  <c r="CH91" i="9"/>
  <c r="CL91" i="9" s="1"/>
  <c r="CP91" i="9" s="1"/>
  <c r="CT91" i="9" s="1"/>
  <c r="CH93" i="9"/>
  <c r="CL93" i="9" s="1"/>
  <c r="CP93" i="9" s="1"/>
  <c r="CT93" i="9" s="1"/>
  <c r="CJ94" i="9"/>
  <c r="CN94" i="9" s="1"/>
  <c r="CR94" i="9" s="1"/>
  <c r="CV94" i="9" s="1"/>
  <c r="CI95" i="9"/>
  <c r="CM95" i="9" s="1"/>
  <c r="CQ95" i="9" s="1"/>
  <c r="CU95" i="9" s="1"/>
  <c r="CY95" i="9"/>
  <c r="DC95" i="9" s="1"/>
  <c r="DG95" i="9" s="1"/>
  <c r="DK95" i="9" s="1"/>
  <c r="CI97" i="9"/>
  <c r="CM97" i="9" s="1"/>
  <c r="CQ97" i="9" s="1"/>
  <c r="CU97" i="9" s="1"/>
  <c r="CJ98" i="9"/>
  <c r="CN98" i="9" s="1"/>
  <c r="CR98" i="9" s="1"/>
  <c r="CV98" i="9" s="1"/>
  <c r="CZ98" i="9"/>
  <c r="DD98" i="9" s="1"/>
  <c r="DH98" i="9" s="1"/>
  <c r="DL98" i="9" s="1"/>
  <c r="CG99" i="9"/>
  <c r="CK99" i="9" s="1"/>
  <c r="CO99" i="9" s="1"/>
  <c r="CS99" i="9" s="1"/>
  <c r="DA99" i="9"/>
  <c r="DE99" i="9" s="1"/>
  <c r="DI99" i="9" s="1"/>
  <c r="DM99" i="9" s="1"/>
  <c r="CH100" i="9"/>
  <c r="CL100" i="9" s="1"/>
  <c r="CP100" i="9" s="1"/>
  <c r="CT100" i="9" s="1"/>
  <c r="CG102" i="9"/>
  <c r="CK102" i="9" s="1"/>
  <c r="CO102" i="9" s="1"/>
  <c r="CS102" i="9" s="1"/>
  <c r="DA102" i="9"/>
  <c r="DE102" i="9" s="1"/>
  <c r="DI102" i="9" s="1"/>
  <c r="DM102" i="9" s="1"/>
  <c r="CG104" i="9"/>
  <c r="CK104" i="9" s="1"/>
  <c r="CO104" i="9" s="1"/>
  <c r="CS104" i="9" s="1"/>
  <c r="DA104" i="9"/>
  <c r="DE104" i="9" s="1"/>
  <c r="DI104" i="9" s="1"/>
  <c r="DM104" i="9" s="1"/>
  <c r="CI107" i="9"/>
  <c r="CM107" i="9" s="1"/>
  <c r="CQ107" i="9" s="1"/>
  <c r="CU107" i="9" s="1"/>
  <c r="CY107" i="9"/>
  <c r="DC107" i="9" s="1"/>
  <c r="DG107" i="9" s="1"/>
  <c r="DK107" i="9" s="1"/>
  <c r="CH110" i="9"/>
  <c r="CL110" i="9" s="1"/>
  <c r="CP110" i="9" s="1"/>
  <c r="CT110" i="9" s="1"/>
  <c r="CX110" i="9"/>
  <c r="DB110" i="9" s="1"/>
  <c r="DF110" i="9" s="1"/>
  <c r="DJ110" i="9" s="1"/>
  <c r="CH112" i="9"/>
  <c r="CL112" i="9" s="1"/>
  <c r="CP112" i="9" s="1"/>
  <c r="CT112" i="9" s="1"/>
  <c r="CX112" i="9"/>
  <c r="DB112" i="9" s="1"/>
  <c r="DF112" i="9" s="1"/>
  <c r="DJ112" i="9" s="1"/>
  <c r="DA113" i="9"/>
  <c r="DE113" i="9" s="1"/>
  <c r="DI113" i="9" s="1"/>
  <c r="DM113" i="9" s="1"/>
  <c r="CH115" i="9"/>
  <c r="CL115" i="9" s="1"/>
  <c r="CP115" i="9" s="1"/>
  <c r="CT115" i="9" s="1"/>
  <c r="CY116" i="9"/>
  <c r="DC116" i="9" s="1"/>
  <c r="DG116" i="9" s="1"/>
  <c r="DK116" i="9" s="1"/>
  <c r="DA117" i="9"/>
  <c r="DE117" i="9" s="1"/>
  <c r="DI117" i="9" s="1"/>
  <c r="DM117" i="9" s="1"/>
  <c r="W135" i="9"/>
  <c r="AE135" i="9"/>
  <c r="AQ135" i="9"/>
  <c r="BK135" i="9"/>
  <c r="S127" i="9"/>
  <c r="AY127" i="9"/>
  <c r="BB128" i="9"/>
  <c r="AI129" i="9"/>
  <c r="AI130" i="9"/>
  <c r="CH131" i="9"/>
  <c r="AJ131" i="9"/>
  <c r="T132" i="9"/>
  <c r="AZ132" i="9"/>
  <c r="BP132" i="9"/>
  <c r="BA133" i="9"/>
  <c r="AI134" i="9"/>
  <c r="AA144" i="9"/>
  <c r="AM144" i="9"/>
  <c r="AU144" i="9"/>
  <c r="BA143" i="9"/>
  <c r="AP75" i="9"/>
  <c r="BM75" i="9"/>
  <c r="CX99" i="9"/>
  <c r="DB99" i="9" s="1"/>
  <c r="DF99" i="9" s="1"/>
  <c r="DJ99" i="9" s="1"/>
  <c r="CI100" i="9"/>
  <c r="CM100" i="9" s="1"/>
  <c r="CQ100" i="9" s="1"/>
  <c r="CU100" i="9" s="1"/>
  <c r="CY100" i="9"/>
  <c r="DC100" i="9" s="1"/>
  <c r="DG100" i="9" s="1"/>
  <c r="DK100" i="9" s="1"/>
  <c r="CH102" i="9"/>
  <c r="CL102" i="9" s="1"/>
  <c r="CP102" i="9" s="1"/>
  <c r="CT102" i="9" s="1"/>
  <c r="CH104" i="9"/>
  <c r="CL104" i="9" s="1"/>
  <c r="CP104" i="9" s="1"/>
  <c r="CT104" i="9" s="1"/>
  <c r="CJ107" i="9"/>
  <c r="CN107" i="9" s="1"/>
  <c r="CR107" i="9" s="1"/>
  <c r="CV107" i="9" s="1"/>
  <c r="CG109" i="9"/>
  <c r="CK109" i="9" s="1"/>
  <c r="CO109" i="9" s="1"/>
  <c r="CS109" i="9" s="1"/>
  <c r="CI110" i="9"/>
  <c r="CM110" i="9" s="1"/>
  <c r="CQ110" i="9" s="1"/>
  <c r="CU110" i="9" s="1"/>
  <c r="CY110" i="9"/>
  <c r="DC110" i="9" s="1"/>
  <c r="DG110" i="9" s="1"/>
  <c r="DK110" i="9" s="1"/>
  <c r="CI112" i="9"/>
  <c r="CM112" i="9" s="1"/>
  <c r="CQ112" i="9" s="1"/>
  <c r="CU112" i="9" s="1"/>
  <c r="CY112" i="9"/>
  <c r="DC112" i="9" s="1"/>
  <c r="DG112" i="9" s="1"/>
  <c r="DK112" i="9" s="1"/>
  <c r="CH113" i="9"/>
  <c r="CL113" i="9" s="1"/>
  <c r="CP113" i="9" s="1"/>
  <c r="CT113" i="9" s="1"/>
  <c r="CX113" i="9"/>
  <c r="DB113" i="9" s="1"/>
  <c r="DF113" i="9" s="1"/>
  <c r="DJ113" i="9" s="1"/>
  <c r="CJ116" i="9"/>
  <c r="CN116" i="9" s="1"/>
  <c r="CR116" i="9" s="1"/>
  <c r="CV116" i="9" s="1"/>
  <c r="CZ116" i="9"/>
  <c r="DD116" i="9" s="1"/>
  <c r="DH116" i="9" s="1"/>
  <c r="DL116" i="9" s="1"/>
  <c r="CH117" i="9"/>
  <c r="CL117" i="9" s="1"/>
  <c r="CP117" i="9" s="1"/>
  <c r="CT117" i="9" s="1"/>
  <c r="CX117" i="9"/>
  <c r="DB117" i="9" s="1"/>
  <c r="DF117" i="9" s="1"/>
  <c r="DJ117" i="9" s="1"/>
  <c r="AJ127" i="9"/>
  <c r="AZ127" i="9"/>
  <c r="S128" i="9"/>
  <c r="AY128" i="9"/>
  <c r="T129" i="9"/>
  <c r="AJ130" i="9"/>
  <c r="BA131" i="9"/>
  <c r="BA132" i="9"/>
  <c r="T133" i="9"/>
  <c r="AI133" i="9"/>
  <c r="BQ133" i="9"/>
  <c r="BO134" i="9"/>
  <c r="P144" i="9"/>
  <c r="AB144" i="9"/>
  <c r="AN144" i="9"/>
  <c r="BI144" i="9"/>
  <c r="V143" i="9"/>
  <c r="BB143" i="9"/>
  <c r="CH82" i="9"/>
  <c r="CL82" i="9" s="1"/>
  <c r="CP82" i="9" s="1"/>
  <c r="CT82" i="9" s="1"/>
  <c r="CI85" i="9"/>
  <c r="CM85" i="9" s="1"/>
  <c r="CQ85" i="9" s="1"/>
  <c r="CU85" i="9" s="1"/>
  <c r="CY85" i="9"/>
  <c r="DC85" i="9" s="1"/>
  <c r="DG85" i="9" s="1"/>
  <c r="DK85" i="9" s="1"/>
  <c r="CH87" i="9"/>
  <c r="CL87" i="9" s="1"/>
  <c r="CP87" i="9" s="1"/>
  <c r="CT87" i="9" s="1"/>
  <c r="CJ89" i="9"/>
  <c r="CN89" i="9" s="1"/>
  <c r="CR89" i="9" s="1"/>
  <c r="CV89" i="9" s="1"/>
  <c r="CX94" i="9"/>
  <c r="DB94" i="9" s="1"/>
  <c r="DF94" i="9" s="1"/>
  <c r="DJ94" i="9" s="1"/>
  <c r="CG95" i="9"/>
  <c r="CK95" i="9" s="1"/>
  <c r="CO95" i="9" s="1"/>
  <c r="CS95" i="9" s="1"/>
  <c r="DA95" i="9"/>
  <c r="DE95" i="9" s="1"/>
  <c r="DI95" i="9" s="1"/>
  <c r="DM95" i="9" s="1"/>
  <c r="CY96" i="9"/>
  <c r="DC96" i="9" s="1"/>
  <c r="DG96" i="9" s="1"/>
  <c r="DK96" i="9" s="1"/>
  <c r="CG97" i="9"/>
  <c r="CK97" i="9" s="1"/>
  <c r="CO97" i="9" s="1"/>
  <c r="CS97" i="9" s="1"/>
  <c r="DA97" i="9"/>
  <c r="DE97" i="9" s="1"/>
  <c r="DI97" i="9" s="1"/>
  <c r="DM97" i="9" s="1"/>
  <c r="CX98" i="9"/>
  <c r="DB98" i="9" s="1"/>
  <c r="DF98" i="9" s="1"/>
  <c r="DJ98" i="9" s="1"/>
  <c r="CY99" i="9"/>
  <c r="DC99" i="9" s="1"/>
  <c r="DG99" i="9" s="1"/>
  <c r="DK99" i="9" s="1"/>
  <c r="CJ100" i="9"/>
  <c r="CN100" i="9" s="1"/>
  <c r="CR100" i="9" s="1"/>
  <c r="CV100" i="9" s="1"/>
  <c r="CZ100" i="9"/>
  <c r="DD100" i="9" s="1"/>
  <c r="DH100" i="9" s="1"/>
  <c r="DL100" i="9" s="1"/>
  <c r="CI102" i="9"/>
  <c r="CM102" i="9" s="1"/>
  <c r="CQ102" i="9" s="1"/>
  <c r="CU102" i="9" s="1"/>
  <c r="CY102" i="9"/>
  <c r="DC102" i="9" s="1"/>
  <c r="DG102" i="9" s="1"/>
  <c r="DK102" i="9" s="1"/>
  <c r="CI104" i="9"/>
  <c r="CM104" i="9" s="1"/>
  <c r="CQ104" i="9" s="1"/>
  <c r="CU104" i="9" s="1"/>
  <c r="CY104" i="9"/>
  <c r="DC104" i="9" s="1"/>
  <c r="DG104" i="9" s="1"/>
  <c r="DK104" i="9" s="1"/>
  <c r="CG106" i="9"/>
  <c r="CK106" i="9" s="1"/>
  <c r="CO106" i="9" s="1"/>
  <c r="CS106" i="9" s="1"/>
  <c r="DA106" i="9"/>
  <c r="DE106" i="9" s="1"/>
  <c r="DI106" i="9" s="1"/>
  <c r="DM106" i="9" s="1"/>
  <c r="CG108" i="9"/>
  <c r="CK108" i="9" s="1"/>
  <c r="CO108" i="9" s="1"/>
  <c r="CS108" i="9" s="1"/>
  <c r="DA108" i="9"/>
  <c r="DE108" i="9" s="1"/>
  <c r="DI108" i="9" s="1"/>
  <c r="DM108" i="9" s="1"/>
  <c r="CH109" i="9"/>
  <c r="CL109" i="9" s="1"/>
  <c r="CP109" i="9" s="1"/>
  <c r="CT109" i="9" s="1"/>
  <c r="CX109" i="9"/>
  <c r="DB109" i="9" s="1"/>
  <c r="DF109" i="9" s="1"/>
  <c r="DJ109" i="9" s="1"/>
  <c r="CJ110" i="9"/>
  <c r="CN110" i="9" s="1"/>
  <c r="CR110" i="9" s="1"/>
  <c r="CV110" i="9" s="1"/>
  <c r="CZ110" i="9"/>
  <c r="DD110" i="9" s="1"/>
  <c r="DH110" i="9" s="1"/>
  <c r="DL110" i="9" s="1"/>
  <c r="CJ112" i="9"/>
  <c r="CN112" i="9" s="1"/>
  <c r="CR112" i="9" s="1"/>
  <c r="CV112" i="9" s="1"/>
  <c r="CZ112" i="9"/>
  <c r="DD112" i="9" s="1"/>
  <c r="DH112" i="9" s="1"/>
  <c r="DL112" i="9" s="1"/>
  <c r="CI113" i="9"/>
  <c r="CM113" i="9" s="1"/>
  <c r="CQ113" i="9" s="1"/>
  <c r="CU113" i="9" s="1"/>
  <c r="CY113" i="9"/>
  <c r="DC113" i="9" s="1"/>
  <c r="DG113" i="9" s="1"/>
  <c r="DK113" i="9" s="1"/>
  <c r="CJ115" i="9"/>
  <c r="CN115" i="9" s="1"/>
  <c r="CR115" i="9" s="1"/>
  <c r="CV115" i="9" s="1"/>
  <c r="CG116" i="9"/>
  <c r="CK116" i="9" s="1"/>
  <c r="CO116" i="9" s="1"/>
  <c r="CS116" i="9" s="1"/>
  <c r="DA116" i="9"/>
  <c r="DE116" i="9" s="1"/>
  <c r="DI116" i="9" s="1"/>
  <c r="DM116" i="9" s="1"/>
  <c r="M135" i="9"/>
  <c r="AG135" i="9"/>
  <c r="BM135" i="9"/>
  <c r="AK127" i="9"/>
  <c r="BQ127" i="9"/>
  <c r="T128" i="9"/>
  <c r="AZ128" i="9"/>
  <c r="AK130" i="9"/>
  <c r="CJ131" i="9"/>
  <c r="CN131" i="9" s="1"/>
  <c r="AL131" i="9"/>
  <c r="BB132" i="9"/>
  <c r="U133" i="9"/>
  <c r="AK134" i="9"/>
  <c r="Q144" i="9"/>
  <c r="AC144" i="9"/>
  <c r="AW144" i="9"/>
  <c r="BK144" i="9"/>
  <c r="AI143" i="9"/>
  <c r="AY143" i="9"/>
  <c r="CJ81" i="9"/>
  <c r="CN81" i="9" s="1"/>
  <c r="CR81" i="9" s="1"/>
  <c r="CV81" i="9" s="1"/>
  <c r="CI82" i="9"/>
  <c r="CM82" i="9" s="1"/>
  <c r="CQ82" i="9" s="1"/>
  <c r="CU82" i="9" s="1"/>
  <c r="CI84" i="9"/>
  <c r="CM84" i="9" s="1"/>
  <c r="CQ84" i="9" s="1"/>
  <c r="CU84" i="9" s="1"/>
  <c r="CY84" i="9"/>
  <c r="DC84" i="9" s="1"/>
  <c r="DG84" i="9" s="1"/>
  <c r="DK84" i="9" s="1"/>
  <c r="DA86" i="9"/>
  <c r="DE86" i="9" s="1"/>
  <c r="DI86" i="9" s="1"/>
  <c r="DM86" i="9" s="1"/>
  <c r="CJ88" i="9"/>
  <c r="CN88" i="9" s="1"/>
  <c r="CR88" i="9" s="1"/>
  <c r="CV88" i="9" s="1"/>
  <c r="CG91" i="9"/>
  <c r="CK91" i="9" s="1"/>
  <c r="CO91" i="9" s="1"/>
  <c r="CS91" i="9" s="1"/>
  <c r="DA91" i="9"/>
  <c r="DE91" i="9" s="1"/>
  <c r="DI91" i="9" s="1"/>
  <c r="DM91" i="9" s="1"/>
  <c r="CX92" i="9"/>
  <c r="DB92" i="9" s="1"/>
  <c r="DF92" i="9" s="1"/>
  <c r="DJ92" i="9" s="1"/>
  <c r="CG93" i="9"/>
  <c r="CK93" i="9" s="1"/>
  <c r="CO93" i="9" s="1"/>
  <c r="CS93" i="9" s="1"/>
  <c r="DA93" i="9"/>
  <c r="DE93" i="9" s="1"/>
  <c r="DI93" i="9" s="1"/>
  <c r="DM93" i="9" s="1"/>
  <c r="CY94" i="9"/>
  <c r="DC94" i="9" s="1"/>
  <c r="DG94" i="9" s="1"/>
  <c r="DK94" i="9" s="1"/>
  <c r="CH95" i="9"/>
  <c r="CL95" i="9" s="1"/>
  <c r="CP95" i="9" s="1"/>
  <c r="CT95" i="9" s="1"/>
  <c r="CX95" i="9"/>
  <c r="DB95" i="9" s="1"/>
  <c r="DF95" i="9" s="1"/>
  <c r="DJ95" i="9" s="1"/>
  <c r="CH97" i="9"/>
  <c r="CL97" i="9" s="1"/>
  <c r="CP97" i="9" s="1"/>
  <c r="CT97" i="9" s="1"/>
  <c r="CJ99" i="9"/>
  <c r="CN99" i="9" s="1"/>
  <c r="CR99" i="9" s="1"/>
  <c r="CV99" i="9" s="1"/>
  <c r="CG101" i="9"/>
  <c r="CK101" i="9" s="1"/>
  <c r="CO101" i="9" s="1"/>
  <c r="CS101" i="9" s="1"/>
  <c r="DA101" i="9"/>
  <c r="DE101" i="9" s="1"/>
  <c r="DI101" i="9" s="1"/>
  <c r="DM101" i="9" s="1"/>
  <c r="CJ102" i="9"/>
  <c r="CN102" i="9" s="1"/>
  <c r="CR102" i="9" s="1"/>
  <c r="CV102" i="9" s="1"/>
  <c r="CZ102" i="9"/>
  <c r="DD102" i="9" s="1"/>
  <c r="DH102" i="9" s="1"/>
  <c r="DL102" i="9" s="1"/>
  <c r="CJ104" i="9"/>
  <c r="CN104" i="9" s="1"/>
  <c r="CR104" i="9" s="1"/>
  <c r="CV104" i="9" s="1"/>
  <c r="CZ104" i="9"/>
  <c r="DD104" i="9" s="1"/>
  <c r="DH104" i="9" s="1"/>
  <c r="DL104" i="9" s="1"/>
  <c r="CH106" i="9"/>
  <c r="CL106" i="9" s="1"/>
  <c r="CP106" i="9" s="1"/>
  <c r="CT106" i="9" s="1"/>
  <c r="CH108" i="9"/>
  <c r="CL108" i="9" s="1"/>
  <c r="CP108" i="9" s="1"/>
  <c r="CT108" i="9" s="1"/>
  <c r="CI109" i="9"/>
  <c r="CM109" i="9" s="1"/>
  <c r="CQ109" i="9" s="1"/>
  <c r="CU109" i="9" s="1"/>
  <c r="CG112" i="9"/>
  <c r="CK112" i="9" s="1"/>
  <c r="CO112" i="9" s="1"/>
  <c r="CS112" i="9" s="1"/>
  <c r="DA112" i="9"/>
  <c r="DE112" i="9" s="1"/>
  <c r="DI112" i="9" s="1"/>
  <c r="DM112" i="9" s="1"/>
  <c r="CJ113" i="9"/>
  <c r="CN113" i="9" s="1"/>
  <c r="CR113" i="9" s="1"/>
  <c r="CV113" i="9" s="1"/>
  <c r="CZ113" i="9"/>
  <c r="DD113" i="9" s="1"/>
  <c r="DH113" i="9" s="1"/>
  <c r="DL113" i="9" s="1"/>
  <c r="CG115" i="9"/>
  <c r="CK115" i="9" s="1"/>
  <c r="CO115" i="9" s="1"/>
  <c r="CS115" i="9" s="1"/>
  <c r="CJ117" i="9"/>
  <c r="CN117" i="9" s="1"/>
  <c r="CR117" i="9" s="1"/>
  <c r="CV117" i="9" s="1"/>
  <c r="CZ117" i="9"/>
  <c r="DD117" i="9" s="1"/>
  <c r="DH117" i="9" s="1"/>
  <c r="DL117" i="9" s="1"/>
  <c r="N135" i="9"/>
  <c r="AT135" i="9"/>
  <c r="AL127" i="9"/>
  <c r="U128" i="9"/>
  <c r="BA128" i="9"/>
  <c r="AZ129" i="9"/>
  <c r="BO129" i="9"/>
  <c r="BP129" i="9"/>
  <c r="AL130" i="9"/>
  <c r="BQ130" i="9"/>
  <c r="AI131" i="9"/>
  <c r="BO131" i="9"/>
  <c r="S132" i="9"/>
  <c r="AY132" i="9"/>
  <c r="CJ133" i="9"/>
  <c r="DA133" i="9" s="1"/>
  <c r="AZ133" i="9"/>
  <c r="AL134" i="9"/>
  <c r="AY142" i="9"/>
  <c r="T143" i="9"/>
  <c r="BD144" i="9"/>
  <c r="W31" i="9"/>
  <c r="AI7" i="9"/>
  <c r="AP31" i="9"/>
  <c r="BB7" i="9"/>
  <c r="AX31" i="9"/>
  <c r="BI31" i="9"/>
  <c r="CG15" i="9"/>
  <c r="S15" i="9"/>
  <c r="CI16" i="9"/>
  <c r="U16" i="9"/>
  <c r="CJ20" i="9"/>
  <c r="V30" i="9"/>
  <c r="CJ30" i="9"/>
  <c r="M31" i="9"/>
  <c r="X31" i="9"/>
  <c r="AJ7" i="9"/>
  <c r="BA7" i="9"/>
  <c r="CH10" i="9"/>
  <c r="CI11" i="9"/>
  <c r="BO12" i="9"/>
  <c r="CG14" i="9"/>
  <c r="BQ16" i="9"/>
  <c r="BQ23" i="9"/>
  <c r="BC31" i="9"/>
  <c r="G31" i="9"/>
  <c r="S7" i="9"/>
  <c r="Z31" i="9"/>
  <c r="AL7" i="9"/>
  <c r="AH31" i="9"/>
  <c r="AS31" i="9"/>
  <c r="BM31" i="9"/>
  <c r="CI10" i="9"/>
  <c r="S13" i="9"/>
  <c r="BO13" i="9"/>
  <c r="BQ14" i="9"/>
  <c r="CI14" i="9"/>
  <c r="CJ15" i="9"/>
  <c r="V15" i="9"/>
  <c r="CH16" i="9"/>
  <c r="T16" i="9"/>
  <c r="BO17" i="9"/>
  <c r="U20" i="9"/>
  <c r="BP22" i="9"/>
  <c r="H31" i="9"/>
  <c r="S16" i="9"/>
  <c r="CG16" i="9"/>
  <c r="S19" i="9"/>
  <c r="CG19" i="9"/>
  <c r="P31" i="9"/>
  <c r="BQ7" i="9"/>
  <c r="BE31" i="9"/>
  <c r="CG7" i="9"/>
  <c r="S9" i="9"/>
  <c r="CG12" i="9"/>
  <c r="CH13" i="9"/>
  <c r="CH15" i="9"/>
  <c r="CG17" i="9"/>
  <c r="CJ18" i="9"/>
  <c r="V18" i="9"/>
  <c r="CG18" i="9"/>
  <c r="CG21" i="9"/>
  <c r="T23" i="9"/>
  <c r="CJ25" i="9"/>
  <c r="U28" i="9"/>
  <c r="CI28" i="9"/>
  <c r="I31" i="9"/>
  <c r="CJ8" i="9"/>
  <c r="CJ17" i="9"/>
  <c r="V17" i="9"/>
  <c r="AI19" i="9"/>
  <c r="U27" i="9"/>
  <c r="CI27" i="9"/>
  <c r="Y31" i="9"/>
  <c r="V12" i="9"/>
  <c r="Q31" i="9"/>
  <c r="AY7" i="9"/>
  <c r="AM31" i="9"/>
  <c r="AU31" i="9"/>
  <c r="BF31" i="9"/>
  <c r="BR31" i="9" s="1"/>
  <c r="BP7" i="9"/>
  <c r="CH8" i="9"/>
  <c r="CG11" i="9"/>
  <c r="CH12" i="9"/>
  <c r="CJ14" i="9"/>
  <c r="CI15" i="9"/>
  <c r="T17" i="9"/>
  <c r="CH17" i="9"/>
  <c r="V21" i="9"/>
  <c r="CY23" i="9"/>
  <c r="J31" i="9"/>
  <c r="V7" i="9"/>
  <c r="R31" i="9"/>
  <c r="AC31" i="9"/>
  <c r="AZ7" i="9"/>
  <c r="AN31" i="9"/>
  <c r="AV31" i="9"/>
  <c r="CI8" i="9"/>
  <c r="CI9" i="9"/>
  <c r="BO10" i="9"/>
  <c r="CH11" i="9"/>
  <c r="BP11" i="9"/>
  <c r="CI12" i="9"/>
  <c r="BQ15" i="9"/>
  <c r="CI17" i="9"/>
  <c r="U17" i="9"/>
  <c r="CH19" i="9"/>
  <c r="CG26" i="9"/>
  <c r="T27" i="9"/>
  <c r="CH27" i="9"/>
  <c r="K75" i="9"/>
  <c r="W75" i="9"/>
  <c r="AE75" i="9"/>
  <c r="AQ75" i="9"/>
  <c r="BD75" i="9"/>
  <c r="CG25" i="9"/>
  <c r="T26" i="9"/>
  <c r="BO26" i="9"/>
  <c r="BP27" i="9"/>
  <c r="BQ28" i="9"/>
  <c r="K31" i="9"/>
  <c r="AA31" i="9"/>
  <c r="AQ31" i="9"/>
  <c r="BG31" i="9"/>
  <c r="BP26" i="9"/>
  <c r="BQ27" i="9"/>
  <c r="CJ28" i="9"/>
  <c r="M75" i="9"/>
  <c r="Y75" i="9"/>
  <c r="AG75" i="9"/>
  <c r="AS75" i="9"/>
  <c r="BG75" i="9"/>
  <c r="L31" i="9"/>
  <c r="AB31" i="9"/>
  <c r="AR31" i="9"/>
  <c r="BH31" i="9"/>
  <c r="BO22" i="9"/>
  <c r="CI25" i="9"/>
  <c r="CG30" i="9"/>
  <c r="V19" i="9"/>
  <c r="CJ19" i="9"/>
  <c r="BP19" i="9"/>
  <c r="BQ24" i="9"/>
  <c r="CH30" i="9"/>
  <c r="N31" i="9"/>
  <c r="AD31" i="9"/>
  <c r="AT31" i="9"/>
  <c r="BQ19" i="9"/>
  <c r="BQ20" i="9"/>
  <c r="S22" i="9"/>
  <c r="BO30" i="9"/>
  <c r="I118" i="9"/>
  <c r="CI81" i="9"/>
  <c r="CM81" i="9" s="1"/>
  <c r="CQ81" i="9" s="1"/>
  <c r="CU81" i="9" s="1"/>
  <c r="Q118" i="9"/>
  <c r="AC118" i="9"/>
  <c r="AO118" i="9"/>
  <c r="AW118" i="9"/>
  <c r="BL118" i="9"/>
  <c r="CG24" i="9"/>
  <c r="CH25" i="9"/>
  <c r="CI26" i="9"/>
  <c r="CJ27" i="9"/>
  <c r="N75" i="9"/>
  <c r="Z75" i="9"/>
  <c r="AH75" i="9"/>
  <c r="AT75" i="9"/>
  <c r="BH75" i="9"/>
  <c r="CX89" i="9"/>
  <c r="DB89" i="9" s="1"/>
  <c r="DF89" i="9" s="1"/>
  <c r="DJ89" i="9" s="1"/>
  <c r="CI92" i="9"/>
  <c r="CM92" i="9" s="1"/>
  <c r="CQ92" i="9" s="1"/>
  <c r="CU92" i="9" s="1"/>
  <c r="H75" i="9"/>
  <c r="P75" i="9"/>
  <c r="AB75" i="9"/>
  <c r="AN75" i="9"/>
  <c r="AV75" i="9"/>
  <c r="BK75" i="9"/>
  <c r="L118" i="9"/>
  <c r="AR118" i="9"/>
  <c r="CY82" i="9"/>
  <c r="DC82" i="9" s="1"/>
  <c r="DG82" i="9" s="1"/>
  <c r="DK82" i="9" s="1"/>
  <c r="BL75" i="9"/>
  <c r="M118" i="9"/>
  <c r="Y118" i="9"/>
  <c r="AG118" i="9"/>
  <c r="AS118" i="9"/>
  <c r="BG118" i="9"/>
  <c r="BC75" i="9"/>
  <c r="N118" i="9"/>
  <c r="Z118" i="9"/>
  <c r="CZ81" i="9"/>
  <c r="DD81" i="9" s="1"/>
  <c r="DH81" i="9" s="1"/>
  <c r="DL81" i="9" s="1"/>
  <c r="AH118" i="9"/>
  <c r="AT118" i="9"/>
  <c r="BH118" i="9"/>
  <c r="G118" i="9"/>
  <c r="CG81" i="9"/>
  <c r="CK81" i="9" s="1"/>
  <c r="CO81" i="9" s="1"/>
  <c r="CS81" i="9" s="1"/>
  <c r="O118" i="9"/>
  <c r="AA118" i="9"/>
  <c r="AM118" i="9"/>
  <c r="AU118" i="9"/>
  <c r="BI118" i="9"/>
  <c r="H118" i="9"/>
  <c r="P118" i="9"/>
  <c r="AB118" i="9"/>
  <c r="AN118" i="9"/>
  <c r="AV118" i="9"/>
  <c r="BK118" i="9"/>
  <c r="CS92" i="9"/>
  <c r="AL142" i="9"/>
  <c r="Z144" i="9"/>
  <c r="J118" i="9"/>
  <c r="R118" i="9"/>
  <c r="AD118" i="9"/>
  <c r="AP118" i="9"/>
  <c r="BC118" i="9"/>
  <c r="BM118" i="9"/>
  <c r="CX90" i="9"/>
  <c r="DB90" i="9" s="1"/>
  <c r="DF90" i="9" s="1"/>
  <c r="DJ90" i="9" s="1"/>
  <c r="CH94" i="9"/>
  <c r="CL94" i="9" s="1"/>
  <c r="CP94" i="9" s="1"/>
  <c r="CT94" i="9" s="1"/>
  <c r="CX106" i="9"/>
  <c r="DB106" i="9" s="1"/>
  <c r="DF106" i="9" s="1"/>
  <c r="DJ106" i="9" s="1"/>
  <c r="K118" i="9"/>
  <c r="W118" i="9"/>
  <c r="AE118" i="9"/>
  <c r="AQ118" i="9"/>
  <c r="BD118" i="9"/>
  <c r="CH81" i="9"/>
  <c r="CL81" i="9" s="1"/>
  <c r="CP81" i="9" s="1"/>
  <c r="CT81" i="9" s="1"/>
  <c r="DA81" i="9"/>
  <c r="DE81" i="9" s="1"/>
  <c r="DI81" i="9" s="1"/>
  <c r="DM81" i="9" s="1"/>
  <c r="CX93" i="9"/>
  <c r="DB93" i="9" s="1"/>
  <c r="DF93" i="9" s="1"/>
  <c r="DJ93" i="9" s="1"/>
  <c r="X118" i="9"/>
  <c r="CX81" i="9"/>
  <c r="DB81" i="9" s="1"/>
  <c r="DF81" i="9" s="1"/>
  <c r="DJ81" i="9" s="1"/>
  <c r="AF118" i="9"/>
  <c r="BE118" i="9"/>
  <c r="CH92" i="9"/>
  <c r="CL92" i="9" s="1"/>
  <c r="CP92" i="9" s="1"/>
  <c r="CT92" i="9" s="1"/>
  <c r="CX96" i="9"/>
  <c r="DB96" i="9" s="1"/>
  <c r="DF96" i="9" s="1"/>
  <c r="DJ96" i="9" s="1"/>
  <c r="CX83" i="9"/>
  <c r="DB83" i="9" s="1"/>
  <c r="DF83" i="9" s="1"/>
  <c r="DJ83" i="9" s="1"/>
  <c r="CX85" i="9"/>
  <c r="DB85" i="9" s="1"/>
  <c r="DF85" i="9" s="1"/>
  <c r="DJ85" i="9" s="1"/>
  <c r="CX87" i="9"/>
  <c r="DB87" i="9" s="1"/>
  <c r="DF87" i="9" s="1"/>
  <c r="DJ87" i="9" s="1"/>
  <c r="CX91" i="9"/>
  <c r="DB91" i="9" s="1"/>
  <c r="DF91" i="9" s="1"/>
  <c r="DJ91" i="9" s="1"/>
  <c r="CH98" i="9"/>
  <c r="CL98" i="9" s="1"/>
  <c r="CP98" i="9" s="1"/>
  <c r="CT98" i="9" s="1"/>
  <c r="CX100" i="9"/>
  <c r="DB100" i="9" s="1"/>
  <c r="DF100" i="9" s="1"/>
  <c r="DJ100" i="9" s="1"/>
  <c r="CX104" i="9"/>
  <c r="DB104" i="9" s="1"/>
  <c r="DF104" i="9" s="1"/>
  <c r="DJ104" i="9" s="1"/>
  <c r="CT116" i="9"/>
  <c r="CH127" i="9"/>
  <c r="T127" i="9"/>
  <c r="AR135" i="9"/>
  <c r="BG135" i="9"/>
  <c r="AY126" i="9"/>
  <c r="V128" i="9"/>
  <c r="CJ128" i="9"/>
  <c r="CI129" i="9"/>
  <c r="U129" i="9"/>
  <c r="CI131" i="9"/>
  <c r="U131" i="9"/>
  <c r="AK142" i="9"/>
  <c r="Y144" i="9"/>
  <c r="DA115" i="9"/>
  <c r="DE115" i="9" s="1"/>
  <c r="DI115" i="9" s="1"/>
  <c r="DM115" i="9" s="1"/>
  <c r="AA135" i="9"/>
  <c r="AI126" i="9"/>
  <c r="BA129" i="9"/>
  <c r="BP134" i="9"/>
  <c r="AB135" i="9"/>
  <c r="AJ126" i="9"/>
  <c r="T130" i="9"/>
  <c r="CI117" i="9"/>
  <c r="CM117" i="9" s="1"/>
  <c r="CQ117" i="9" s="1"/>
  <c r="CU117" i="9" s="1"/>
  <c r="K135" i="9"/>
  <c r="S126" i="9"/>
  <c r="S143" i="9"/>
  <c r="CG143" i="9"/>
  <c r="L135" i="9"/>
  <c r="T126" i="9"/>
  <c r="CG128" i="9"/>
  <c r="CH134" i="9"/>
  <c r="T134" i="9"/>
  <c r="U126" i="9"/>
  <c r="AS135" i="9"/>
  <c r="BA126" i="9"/>
  <c r="U134" i="9"/>
  <c r="CI134" i="9"/>
  <c r="BQ134" i="9"/>
  <c r="G144" i="9"/>
  <c r="O144" i="9"/>
  <c r="V126" i="9"/>
  <c r="BB126" i="9"/>
  <c r="V130" i="9"/>
  <c r="BP131" i="9"/>
  <c r="T142" i="9"/>
  <c r="H144" i="9"/>
  <c r="U143" i="9"/>
  <c r="CI143" i="9"/>
  <c r="BC135" i="9"/>
  <c r="BL135" i="9"/>
  <c r="V129" i="9"/>
  <c r="CG130" i="9"/>
  <c r="AZ134" i="9"/>
  <c r="U142" i="9"/>
  <c r="I144" i="9"/>
  <c r="AO144" i="9"/>
  <c r="BA142" i="9"/>
  <c r="H135" i="9"/>
  <c r="P135" i="9"/>
  <c r="X135" i="9"/>
  <c r="AF135" i="9"/>
  <c r="BD135" i="9"/>
  <c r="CH126" i="9"/>
  <c r="BO128" i="9"/>
  <c r="BP130" i="9"/>
  <c r="U132" i="9"/>
  <c r="CI132" i="9"/>
  <c r="CH133" i="9"/>
  <c r="AO135" i="9"/>
  <c r="BB142" i="9"/>
  <c r="AP144" i="9"/>
  <c r="Q135" i="9"/>
  <c r="Y135" i="9"/>
  <c r="AW135" i="9"/>
  <c r="BE135" i="9"/>
  <c r="BO126" i="9"/>
  <c r="U127" i="9"/>
  <c r="CH128" i="9"/>
  <c r="CG131" i="9"/>
  <c r="CK131" i="9" s="1"/>
  <c r="CO131" i="9" s="1"/>
  <c r="CS131" i="9" s="1"/>
  <c r="S131" i="9"/>
  <c r="V132" i="9"/>
  <c r="BO133" i="9"/>
  <c r="CI133" i="9"/>
  <c r="W144" i="9"/>
  <c r="AE144" i="9"/>
  <c r="AQ144" i="9"/>
  <c r="AZ142" i="9"/>
  <c r="CH142" i="9"/>
  <c r="BH144" i="9"/>
  <c r="J135" i="9"/>
  <c r="R135" i="9"/>
  <c r="Z135" i="9"/>
  <c r="AH135" i="9"/>
  <c r="AP135" i="9"/>
  <c r="AX135" i="9"/>
  <c r="BF135" i="9"/>
  <c r="BR135" i="9" s="1"/>
  <c r="BP126" i="9"/>
  <c r="CJ126" i="9"/>
  <c r="V127" i="9"/>
  <c r="CI128" i="9"/>
  <c r="CI142" i="9"/>
  <c r="BO130" i="9"/>
  <c r="AI142" i="9"/>
  <c r="CJ142" i="9"/>
  <c r="CJ132" i="9"/>
  <c r="BP133" i="9"/>
  <c r="BC144" i="9"/>
  <c r="BO142" i="9"/>
  <c r="CJ143" i="9"/>
  <c r="CI130" i="9"/>
  <c r="F149" i="9"/>
  <c r="F154" i="9" s="1"/>
  <c r="V142" i="9"/>
  <c r="BQ142" i="9"/>
  <c r="BP143" i="9"/>
  <c r="CG142" i="9"/>
  <c r="GK9" i="6"/>
  <c r="F153" i="8"/>
  <c r="C153" i="8"/>
  <c r="D153" i="8"/>
  <c r="E153" i="8"/>
  <c r="AX134" i="8"/>
  <c r="AX133" i="8"/>
  <c r="AX132" i="8"/>
  <c r="AX131" i="8"/>
  <c r="AX130" i="8"/>
  <c r="AX129" i="8"/>
  <c r="AX128" i="8"/>
  <c r="AX127" i="8"/>
  <c r="AX126" i="8"/>
  <c r="AX30" i="8"/>
  <c r="AX29" i="8"/>
  <c r="AX28" i="8"/>
  <c r="AX27" i="8"/>
  <c r="AX26" i="8"/>
  <c r="AX25" i="8"/>
  <c r="AX24" i="8"/>
  <c r="AX23" i="8"/>
  <c r="AX22" i="8"/>
  <c r="AX21" i="8"/>
  <c r="AX20" i="8"/>
  <c r="AX19" i="8"/>
  <c r="AX18" i="8"/>
  <c r="AX17" i="8"/>
  <c r="AX16" i="8"/>
  <c r="AX15" i="8"/>
  <c r="AX14" i="8"/>
  <c r="AX13" i="8"/>
  <c r="AX12" i="8"/>
  <c r="AX11" i="8"/>
  <c r="AX10" i="8"/>
  <c r="AX9" i="8"/>
  <c r="AX8" i="8"/>
  <c r="AW7" i="8"/>
  <c r="F31" i="8"/>
  <c r="F75" i="8"/>
  <c r="F118" i="8"/>
  <c r="F135" i="8"/>
  <c r="E144" i="8"/>
  <c r="BX43" i="9" l="1"/>
  <c r="BV53" i="9"/>
  <c r="CZ24" i="9"/>
  <c r="BW19" i="9"/>
  <c r="BU61" i="9"/>
  <c r="BV8" i="9"/>
  <c r="CZ21" i="9"/>
  <c r="DA129" i="9"/>
  <c r="BX143" i="9"/>
  <c r="CX28" i="9"/>
  <c r="CN16" i="9"/>
  <c r="CR16" i="9" s="1"/>
  <c r="BY23" i="9"/>
  <c r="BW56" i="9"/>
  <c r="BX58" i="9"/>
  <c r="BZ29" i="9"/>
  <c r="CY132" i="9"/>
  <c r="BW143" i="9"/>
  <c r="CD126" i="9"/>
  <c r="DA23" i="9"/>
  <c r="BY134" i="9"/>
  <c r="BZ18" i="9"/>
  <c r="AZ144" i="9"/>
  <c r="CA131" i="9"/>
  <c r="CR10" i="9"/>
  <c r="CV10" i="9" s="1"/>
  <c r="DR10" i="9" s="1"/>
  <c r="DS10" i="9" s="1"/>
  <c r="CA24" i="9"/>
  <c r="DA10" i="9"/>
  <c r="CB19" i="9"/>
  <c r="BY57" i="9"/>
  <c r="CM127" i="9"/>
  <c r="DD127" i="9" s="1"/>
  <c r="CB39" i="9"/>
  <c r="BW134" i="9"/>
  <c r="CC39" i="9"/>
  <c r="CC8" i="9"/>
  <c r="CK23" i="9"/>
  <c r="CO23" i="9" s="1"/>
  <c r="CB133" i="9"/>
  <c r="BX49" i="9"/>
  <c r="BX42" i="9"/>
  <c r="DA134" i="9"/>
  <c r="BZ126" i="9"/>
  <c r="CP22" i="9"/>
  <c r="CT22" i="9" s="1"/>
  <c r="DK22" i="9" s="1"/>
  <c r="CL7" i="9"/>
  <c r="DC7" i="9" s="1"/>
  <c r="CD53" i="9"/>
  <c r="BX12" i="9"/>
  <c r="CN12" i="9"/>
  <c r="CR12" i="9" s="1"/>
  <c r="CA48" i="9"/>
  <c r="BY133" i="9"/>
  <c r="CB131" i="9"/>
  <c r="CN130" i="9"/>
  <c r="CR130" i="9" s="1"/>
  <c r="CD39" i="9"/>
  <c r="CZ29" i="9"/>
  <c r="BV44" i="9"/>
  <c r="BW47" i="9"/>
  <c r="CB55" i="9"/>
  <c r="BT59" i="9"/>
  <c r="CA126" i="9"/>
  <c r="CN127" i="9"/>
  <c r="DE127" i="9" s="1"/>
  <c r="CC17" i="9"/>
  <c r="BT38" i="9"/>
  <c r="BX129" i="9"/>
  <c r="BW29" i="9"/>
  <c r="BZ30" i="9"/>
  <c r="BT61" i="9"/>
  <c r="BV42" i="9"/>
  <c r="BU53" i="9"/>
  <c r="BZ23" i="9"/>
  <c r="BZ28" i="9"/>
  <c r="BU49" i="9"/>
  <c r="BW132" i="9"/>
  <c r="BZ131" i="9"/>
  <c r="BV22" i="9"/>
  <c r="BW58" i="9"/>
  <c r="BX128" i="9"/>
  <c r="BV39" i="9"/>
  <c r="BW14" i="9"/>
  <c r="BW8" i="9"/>
  <c r="BU38" i="9"/>
  <c r="CC23" i="9"/>
  <c r="BW60" i="9"/>
  <c r="BX56" i="9"/>
  <c r="BX27" i="9"/>
  <c r="BZ42" i="9"/>
  <c r="CB29" i="9"/>
  <c r="BT60" i="9"/>
  <c r="BY60" i="9"/>
  <c r="CC40" i="9"/>
  <c r="CA20" i="9"/>
  <c r="BT12" i="9"/>
  <c r="BY48" i="9"/>
  <c r="CK134" i="9"/>
  <c r="CO134" i="9" s="1"/>
  <c r="CN29" i="9"/>
  <c r="DE29" i="9" s="1"/>
  <c r="BV24" i="9"/>
  <c r="BY41" i="9"/>
  <c r="CL9" i="9"/>
  <c r="CP9" i="9" s="1"/>
  <c r="BT55" i="9"/>
  <c r="CA10" i="9"/>
  <c r="DA7" i="9"/>
  <c r="BW46" i="9"/>
  <c r="BV130" i="9"/>
  <c r="CM19" i="9"/>
  <c r="DD19" i="9" s="1"/>
  <c r="BX19" i="9"/>
  <c r="BY59" i="9"/>
  <c r="BU43" i="9"/>
  <c r="BZ128" i="9"/>
  <c r="BX9" i="9"/>
  <c r="BY49" i="9"/>
  <c r="BY26" i="9"/>
  <c r="BT42" i="9"/>
  <c r="BW54" i="9"/>
  <c r="CK20" i="9"/>
  <c r="CO20" i="9" s="1"/>
  <c r="CL143" i="9"/>
  <c r="CP143" i="9" s="1"/>
  <c r="BT28" i="9"/>
  <c r="BX127" i="9"/>
  <c r="CC54" i="9"/>
  <c r="BU44" i="9"/>
  <c r="BO144" i="9"/>
  <c r="CY18" i="9"/>
  <c r="BX50" i="9"/>
  <c r="CC18" i="9"/>
  <c r="CA13" i="9"/>
  <c r="CK127" i="9"/>
  <c r="CO127" i="9" s="1"/>
  <c r="CS127" i="9" s="1"/>
  <c r="DJ127" i="9" s="1"/>
  <c r="BT133" i="9"/>
  <c r="CK133" i="9"/>
  <c r="CO133" i="9" s="1"/>
  <c r="CM126" i="9"/>
  <c r="CQ126" i="9" s="1"/>
  <c r="CL129" i="9"/>
  <c r="CP129" i="9" s="1"/>
  <c r="CL29" i="9"/>
  <c r="CP29" i="9" s="1"/>
  <c r="BX29" i="9"/>
  <c r="CK13" i="9"/>
  <c r="CO13" i="9" s="1"/>
  <c r="BZ129" i="9"/>
  <c r="BU30" i="9"/>
  <c r="BZ26" i="9"/>
  <c r="BV128" i="9"/>
  <c r="CK126" i="9"/>
  <c r="DB126" i="9" s="1"/>
  <c r="CK29" i="9"/>
  <c r="CO29" i="9" s="1"/>
  <c r="BU21" i="9"/>
  <c r="BT130" i="9"/>
  <c r="CR7" i="9"/>
  <c r="DI7" i="9" s="1"/>
  <c r="BY17" i="9"/>
  <c r="BT129" i="9"/>
  <c r="CD18" i="9"/>
  <c r="BX11" i="9"/>
  <c r="CC16" i="9"/>
  <c r="BZ130" i="9"/>
  <c r="BV56" i="9"/>
  <c r="BZ52" i="9"/>
  <c r="BW53" i="9"/>
  <c r="BU39" i="9"/>
  <c r="BW49" i="9"/>
  <c r="CC142" i="9"/>
  <c r="CK129" i="9"/>
  <c r="DB129" i="9" s="1"/>
  <c r="CA49" i="9"/>
  <c r="BY54" i="9"/>
  <c r="BX60" i="9"/>
  <c r="BX13" i="9"/>
  <c r="CB47" i="9"/>
  <c r="CJ144" i="9"/>
  <c r="CN144" i="9" s="1"/>
  <c r="CB13" i="9"/>
  <c r="BZ50" i="9"/>
  <c r="BV132" i="9"/>
  <c r="CL130" i="9"/>
  <c r="DC130" i="9" s="1"/>
  <c r="BY29" i="9"/>
  <c r="BX23" i="9"/>
  <c r="BT39" i="9"/>
  <c r="BW18" i="9"/>
  <c r="BW55" i="9"/>
  <c r="CB54" i="9"/>
  <c r="BZ12" i="9"/>
  <c r="BW20" i="9"/>
  <c r="BW129" i="9"/>
  <c r="CA59" i="9"/>
  <c r="CC56" i="9"/>
  <c r="CC47" i="9"/>
  <c r="BT53" i="9"/>
  <c r="BU8" i="9"/>
  <c r="BX18" i="9"/>
  <c r="BW130" i="9"/>
  <c r="BW23" i="9"/>
  <c r="CD142" i="9"/>
  <c r="BT9" i="9"/>
  <c r="CB24" i="9"/>
  <c r="BZ43" i="9"/>
  <c r="BZ11" i="9"/>
  <c r="BV13" i="9"/>
  <c r="DC18" i="9"/>
  <c r="BW11" i="9"/>
  <c r="BT45" i="9"/>
  <c r="BB144" i="9"/>
  <c r="CK10" i="9"/>
  <c r="CO10" i="9" s="1"/>
  <c r="CD127" i="9"/>
  <c r="BV127" i="9"/>
  <c r="BZ134" i="9"/>
  <c r="CP14" i="9"/>
  <c r="CT14" i="9" s="1"/>
  <c r="DK14" i="9" s="1"/>
  <c r="BX25" i="9"/>
  <c r="BW24" i="9"/>
  <c r="BW51" i="9"/>
  <c r="BV11" i="9"/>
  <c r="CA132" i="9"/>
  <c r="BZ58" i="9"/>
  <c r="BU25" i="9"/>
  <c r="BZ15" i="9"/>
  <c r="CB9" i="9"/>
  <c r="BU55" i="9"/>
  <c r="CC143" i="9"/>
  <c r="CY14" i="9"/>
  <c r="CB57" i="9"/>
  <c r="CA52" i="9"/>
  <c r="CB46" i="9"/>
  <c r="CB20" i="9"/>
  <c r="BT41" i="9"/>
  <c r="CA51" i="9"/>
  <c r="BW13" i="9"/>
  <c r="CD25" i="9"/>
  <c r="CC21" i="9"/>
  <c r="CA39" i="9"/>
  <c r="CA8" i="9"/>
  <c r="BU14" i="9"/>
  <c r="BZ9" i="9"/>
  <c r="BZ45" i="9"/>
  <c r="BZ13" i="9"/>
  <c r="BY45" i="9"/>
  <c r="BU52" i="9"/>
  <c r="BW27" i="9"/>
  <c r="BZ57" i="9"/>
  <c r="BX130" i="9"/>
  <c r="BX53" i="9"/>
  <c r="BZ49" i="9"/>
  <c r="BT14" i="9"/>
  <c r="CA18" i="9"/>
  <c r="BT132" i="9"/>
  <c r="BY55" i="9"/>
  <c r="BV57" i="9"/>
  <c r="CB12" i="9"/>
  <c r="BZ10" i="9"/>
  <c r="BZ19" i="9"/>
  <c r="CC20" i="9"/>
  <c r="CC29" i="9"/>
  <c r="CB21" i="9"/>
  <c r="BZ8" i="9"/>
  <c r="CA130" i="9"/>
  <c r="CB130" i="9"/>
  <c r="CC25" i="9"/>
  <c r="BU131" i="9"/>
  <c r="AL144" i="9"/>
  <c r="BX14" i="9"/>
  <c r="CD9" i="9"/>
  <c r="CA50" i="9"/>
  <c r="CY22" i="9"/>
  <c r="CA15" i="9"/>
  <c r="BX40" i="9"/>
  <c r="BX134" i="9"/>
  <c r="BW127" i="9"/>
  <c r="BY52" i="9"/>
  <c r="BY18" i="9"/>
  <c r="CL26" i="9"/>
  <c r="DC26" i="9" s="1"/>
  <c r="BW12" i="9"/>
  <c r="BT8" i="9"/>
  <c r="CC52" i="9"/>
  <c r="BW42" i="9"/>
  <c r="BT43" i="9"/>
  <c r="BU24" i="9"/>
  <c r="CN13" i="9"/>
  <c r="CR13" i="9" s="1"/>
  <c r="CD40" i="9"/>
  <c r="CA19" i="9"/>
  <c r="CE49" i="9"/>
  <c r="CB44" i="9"/>
  <c r="BY10" i="9"/>
  <c r="CA44" i="9"/>
  <c r="CK8" i="9"/>
  <c r="DB8" i="9" s="1"/>
  <c r="BZ24" i="9"/>
  <c r="BZ133" i="9"/>
  <c r="BQ144" i="9"/>
  <c r="CE144" i="9" s="1"/>
  <c r="BT21" i="9"/>
  <c r="BY39" i="9"/>
  <c r="CD128" i="9"/>
  <c r="CC46" i="9"/>
  <c r="CB25" i="9"/>
  <c r="BY15" i="9"/>
  <c r="BW22" i="9"/>
  <c r="DA24" i="9"/>
  <c r="BT131" i="9"/>
  <c r="U135" i="9"/>
  <c r="CD130" i="9"/>
  <c r="BU129" i="9"/>
  <c r="CD26" i="9"/>
  <c r="BV59" i="9"/>
  <c r="CA55" i="9"/>
  <c r="CB30" i="9"/>
  <c r="BZ16" i="9"/>
  <c r="BZ61" i="9"/>
  <c r="BT30" i="9"/>
  <c r="BV25" i="9"/>
  <c r="BU22" i="9"/>
  <c r="BU23" i="9"/>
  <c r="BW50" i="9"/>
  <c r="CA41" i="9"/>
  <c r="BW133" i="9"/>
  <c r="CC14" i="9"/>
  <c r="CC60" i="9"/>
  <c r="BW30" i="9"/>
  <c r="CA143" i="9"/>
  <c r="BQ135" i="9"/>
  <c r="CE135" i="9" s="1"/>
  <c r="CN133" i="9"/>
  <c r="DE133" i="9" s="1"/>
  <c r="BW9" i="9"/>
  <c r="BY129" i="9"/>
  <c r="BX133" i="9"/>
  <c r="CB60" i="9"/>
  <c r="CB16" i="9"/>
  <c r="CA40" i="9"/>
  <c r="AK135" i="9"/>
  <c r="BV55" i="9"/>
  <c r="CA12" i="9"/>
  <c r="CB49" i="9"/>
  <c r="CC45" i="9"/>
  <c r="BW40" i="9"/>
  <c r="CB58" i="9"/>
  <c r="BY43" i="9"/>
  <c r="BV9" i="9"/>
  <c r="BY132" i="9"/>
  <c r="BU50" i="9"/>
  <c r="BY128" i="9"/>
  <c r="BZ14" i="9"/>
  <c r="BV54" i="9"/>
  <c r="BW128" i="9"/>
  <c r="BY143" i="9"/>
  <c r="CC131" i="9"/>
  <c r="CC10" i="9"/>
  <c r="CB40" i="9"/>
  <c r="BV20" i="9"/>
  <c r="BZ53" i="9"/>
  <c r="BW17" i="9"/>
  <c r="BU41" i="9"/>
  <c r="CD12" i="9"/>
  <c r="BW57" i="9"/>
  <c r="CB48" i="9"/>
  <c r="BW39" i="9"/>
  <c r="CA16" i="9"/>
  <c r="CB134" i="9"/>
  <c r="CD52" i="9"/>
  <c r="CB43" i="9"/>
  <c r="DA22" i="9"/>
  <c r="CC132" i="9"/>
  <c r="CA45" i="9"/>
  <c r="BX7" i="9"/>
  <c r="BY40" i="9"/>
  <c r="BW52" i="9"/>
  <c r="BZ25" i="9"/>
  <c r="BY16" i="9"/>
  <c r="CB41" i="9"/>
  <c r="CC51" i="9"/>
  <c r="CB50" i="9"/>
  <c r="BY56" i="9"/>
  <c r="BX51" i="9"/>
  <c r="BX8" i="9"/>
  <c r="BX41" i="9"/>
  <c r="BZ41" i="9"/>
  <c r="CB127" i="9"/>
  <c r="BX142" i="9"/>
  <c r="AY144" i="9"/>
  <c r="BT142" i="9"/>
  <c r="BZ143" i="9"/>
  <c r="BA144" i="9"/>
  <c r="BW142" i="9"/>
  <c r="BP144" i="9"/>
  <c r="CA53" i="9"/>
  <c r="BT143" i="9"/>
  <c r="BW61" i="9"/>
  <c r="BV51" i="9"/>
  <c r="BW45" i="9"/>
  <c r="CB59" i="9"/>
  <c r="DB27" i="9"/>
  <c r="CB17" i="9"/>
  <c r="CX9" i="9"/>
  <c r="BW131" i="9"/>
  <c r="BW15" i="9"/>
  <c r="BY19" i="9"/>
  <c r="CC134" i="9"/>
  <c r="CC12" i="9"/>
  <c r="BX61" i="9"/>
  <c r="CD60" i="9"/>
  <c r="BZ55" i="9"/>
  <c r="BU56" i="9"/>
  <c r="CA42" i="9"/>
  <c r="BU143" i="9"/>
  <c r="CB28" i="9"/>
  <c r="BW48" i="9"/>
  <c r="AI135" i="9"/>
  <c r="CB53" i="9"/>
  <c r="BZ47" i="9"/>
  <c r="CA23" i="9"/>
  <c r="AJ144" i="9"/>
  <c r="BX57" i="9"/>
  <c r="CA28" i="9"/>
  <c r="CB22" i="9"/>
  <c r="BZ44" i="9"/>
  <c r="V144" i="9"/>
  <c r="AJ135" i="9"/>
  <c r="BZ22" i="9"/>
  <c r="CD17" i="9"/>
  <c r="BA31" i="9"/>
  <c r="BT127" i="9"/>
  <c r="BP31" i="9"/>
  <c r="CB14" i="9"/>
  <c r="CD48" i="9"/>
  <c r="BW21" i="9"/>
  <c r="BT15" i="9"/>
  <c r="BT20" i="9"/>
  <c r="CA30" i="9"/>
  <c r="BV41" i="9"/>
  <c r="CB42" i="9"/>
  <c r="BU10" i="9"/>
  <c r="CA11" i="9"/>
  <c r="CM7" i="9"/>
  <c r="DD7" i="9" s="1"/>
  <c r="CC129" i="9"/>
  <c r="CA56" i="9"/>
  <c r="BU134" i="9"/>
  <c r="CB61" i="9"/>
  <c r="BT52" i="9"/>
  <c r="BZ39" i="9"/>
  <c r="CR9" i="9"/>
  <c r="DI9" i="9" s="1"/>
  <c r="BT7" i="9"/>
  <c r="CC15" i="9"/>
  <c r="CB11" i="9"/>
  <c r="BU13" i="9"/>
  <c r="BY131" i="9"/>
  <c r="BZ21" i="9"/>
  <c r="BT49" i="9"/>
  <c r="BW43" i="9"/>
  <c r="CB56" i="9"/>
  <c r="BU60" i="9"/>
  <c r="CD57" i="9"/>
  <c r="CY21" i="9"/>
  <c r="BY47" i="9"/>
  <c r="CA25" i="9"/>
  <c r="CM13" i="9"/>
  <c r="CQ13" i="9" s="1"/>
  <c r="CD8" i="9"/>
  <c r="CA43" i="9"/>
  <c r="BU18" i="9"/>
  <c r="CB15" i="9"/>
  <c r="CC13" i="9"/>
  <c r="BV40" i="9"/>
  <c r="DA9" i="9"/>
  <c r="BX38" i="9"/>
  <c r="CB26" i="9"/>
  <c r="CA17" i="9"/>
  <c r="BX44" i="9"/>
  <c r="CB8" i="9"/>
  <c r="CA26" i="9"/>
  <c r="CA27" i="9"/>
  <c r="BY61" i="9"/>
  <c r="BY28" i="9"/>
  <c r="BX15" i="9"/>
  <c r="CD41" i="9"/>
  <c r="BT51" i="9"/>
  <c r="BY44" i="9"/>
  <c r="CC55" i="9"/>
  <c r="CD61" i="9"/>
  <c r="BY46" i="9"/>
  <c r="BU133" i="9"/>
  <c r="CA22" i="9"/>
  <c r="BT46" i="9"/>
  <c r="CA129" i="9"/>
  <c r="DA131" i="9"/>
  <c r="CA61" i="9"/>
  <c r="CA57" i="9"/>
  <c r="CE56" i="9"/>
  <c r="CD21" i="9"/>
  <c r="CE60" i="9"/>
  <c r="BZ56" i="9"/>
  <c r="BX17" i="9"/>
  <c r="CA21" i="9"/>
  <c r="BT13" i="9"/>
  <c r="BX45" i="9"/>
  <c r="CT18" i="9"/>
  <c r="DK18" i="9" s="1"/>
  <c r="BW26" i="9"/>
  <c r="BY14" i="9"/>
  <c r="BY8" i="9"/>
  <c r="CC43" i="9"/>
  <c r="CA58" i="9"/>
  <c r="CB128" i="9"/>
  <c r="CB52" i="9"/>
  <c r="BU46" i="9"/>
  <c r="BZ46" i="9"/>
  <c r="CD43" i="9"/>
  <c r="BU40" i="9"/>
  <c r="BV10" i="9"/>
  <c r="BV58" i="9"/>
  <c r="BV133" i="9"/>
  <c r="CB27" i="9"/>
  <c r="CD13" i="9"/>
  <c r="CM30" i="9"/>
  <c r="DD30" i="9" s="1"/>
  <c r="BW25" i="9"/>
  <c r="CD56" i="9"/>
  <c r="BX46" i="9"/>
  <c r="CD29" i="9"/>
  <c r="CA47" i="9"/>
  <c r="BX48" i="9"/>
  <c r="BV23" i="9"/>
  <c r="BX30" i="9"/>
  <c r="CK22" i="9"/>
  <c r="CO22" i="9" s="1"/>
  <c r="BY9" i="9"/>
  <c r="BX26" i="9"/>
  <c r="BY12" i="9"/>
  <c r="BU12" i="9"/>
  <c r="BU19" i="9"/>
  <c r="BX39" i="9"/>
  <c r="BZ60" i="9"/>
  <c r="BY42" i="9"/>
  <c r="BZ17" i="9"/>
  <c r="CC9" i="9"/>
  <c r="BX21" i="9"/>
  <c r="BT24" i="9"/>
  <c r="CC128" i="9"/>
  <c r="CZ18" i="9"/>
  <c r="BT19" i="9"/>
  <c r="BY130" i="9"/>
  <c r="CB143" i="9"/>
  <c r="BZ132" i="9"/>
  <c r="BX59" i="9"/>
  <c r="BZ51" i="9"/>
  <c r="BW44" i="9"/>
  <c r="BX20" i="9"/>
  <c r="BX22" i="9"/>
  <c r="BZ127" i="9"/>
  <c r="CY24" i="9"/>
  <c r="CL24" i="9"/>
  <c r="CA9" i="9"/>
  <c r="BZ142" i="9"/>
  <c r="CI135" i="9"/>
  <c r="CZ135" i="9" s="1"/>
  <c r="BT29" i="9"/>
  <c r="BY30" i="9"/>
  <c r="CB51" i="9"/>
  <c r="CD49" i="9"/>
  <c r="BU45" i="9"/>
  <c r="BV14" i="9"/>
  <c r="CB10" i="9"/>
  <c r="BW10" i="9"/>
  <c r="CD132" i="9"/>
  <c r="BT128" i="9"/>
  <c r="BW41" i="9"/>
  <c r="BX131" i="9"/>
  <c r="BY20" i="9"/>
  <c r="CD22" i="9"/>
  <c r="BX10" i="9"/>
  <c r="CD129" i="9"/>
  <c r="CB129" i="9"/>
  <c r="BV45" i="9"/>
  <c r="BU11" i="9"/>
  <c r="BT25" i="9"/>
  <c r="CD30" i="9"/>
  <c r="BX24" i="9"/>
  <c r="CY28" i="9"/>
  <c r="CC49" i="9"/>
  <c r="BY25" i="9"/>
  <c r="CY131" i="9"/>
  <c r="CL131" i="9"/>
  <c r="BU132" i="9"/>
  <c r="CD134" i="9"/>
  <c r="BU126" i="9"/>
  <c r="CG135" i="9"/>
  <c r="CK135" i="9" s="1"/>
  <c r="BW126" i="9"/>
  <c r="BZ48" i="9"/>
  <c r="BZ59" i="9"/>
  <c r="CM22" i="9"/>
  <c r="DD22" i="9" s="1"/>
  <c r="BY22" i="9"/>
  <c r="BY50" i="9"/>
  <c r="BV27" i="9"/>
  <c r="CA14" i="9"/>
  <c r="BU7" i="9"/>
  <c r="BZ27" i="9"/>
  <c r="BU9" i="9"/>
  <c r="BY51" i="9"/>
  <c r="CN11" i="9"/>
  <c r="CR11" i="9" s="1"/>
  <c r="CM23" i="9"/>
  <c r="CQ23" i="9" s="1"/>
  <c r="BX55" i="9"/>
  <c r="BW59" i="9"/>
  <c r="BY24" i="9"/>
  <c r="BZ20" i="9"/>
  <c r="BX16" i="9"/>
  <c r="CD44" i="9"/>
  <c r="CP28" i="9"/>
  <c r="DG28" i="9" s="1"/>
  <c r="BX52" i="9"/>
  <c r="BW16" i="9"/>
  <c r="BY13" i="9"/>
  <c r="BT11" i="9"/>
  <c r="BT10" i="9"/>
  <c r="BT18" i="9"/>
  <c r="BZ40" i="9"/>
  <c r="CA128" i="9"/>
  <c r="BY58" i="9"/>
  <c r="BY27" i="9"/>
  <c r="CA127" i="9"/>
  <c r="DD18" i="9"/>
  <c r="CQ18" i="9"/>
  <c r="CC59" i="9"/>
  <c r="CC28" i="9"/>
  <c r="CA54" i="9"/>
  <c r="CB132" i="9"/>
  <c r="BU142" i="9"/>
  <c r="CC61" i="9"/>
  <c r="BV60" i="9"/>
  <c r="CB45" i="9"/>
  <c r="BU42" i="9"/>
  <c r="BU127" i="9"/>
  <c r="CB142" i="9"/>
  <c r="CD131" i="9"/>
  <c r="BV28" i="9"/>
  <c r="BU29" i="9"/>
  <c r="BY53" i="9"/>
  <c r="CL20" i="9"/>
  <c r="DC20" i="9" s="1"/>
  <c r="CC41" i="9"/>
  <c r="BV26" i="9"/>
  <c r="BY21" i="9"/>
  <c r="BX28" i="9"/>
  <c r="BW28" i="9"/>
  <c r="BU15" i="9"/>
  <c r="BX47" i="9"/>
  <c r="CE44" i="9"/>
  <c r="CC24" i="9"/>
  <c r="CN21" i="9"/>
  <c r="DE21" i="9" s="1"/>
  <c r="BY11" i="9"/>
  <c r="CD10" i="9"/>
  <c r="CM20" i="9"/>
  <c r="CQ20" i="9" s="1"/>
  <c r="BU128" i="9"/>
  <c r="CC127" i="9"/>
  <c r="BY142" i="9"/>
  <c r="BV29" i="9"/>
  <c r="BT56" i="9"/>
  <c r="AZ135" i="9"/>
  <c r="BA135" i="9"/>
  <c r="BV131" i="9"/>
  <c r="BT134" i="9"/>
  <c r="BT126" i="9"/>
  <c r="BU130" i="9"/>
  <c r="AK144" i="9"/>
  <c r="DA118" i="9"/>
  <c r="DE118" i="9" s="1"/>
  <c r="DI118" i="9" s="1"/>
  <c r="DM118" i="9" s="1"/>
  <c r="CX27" i="9"/>
  <c r="CB23" i="9"/>
  <c r="BY127" i="9"/>
  <c r="CA133" i="9"/>
  <c r="DA26" i="9"/>
  <c r="CN26" i="9"/>
  <c r="AY135" i="9"/>
  <c r="CA46" i="9"/>
  <c r="CA60" i="9"/>
  <c r="CA29" i="9"/>
  <c r="DB29" i="9"/>
  <c r="BT17" i="9"/>
  <c r="BT48" i="9"/>
  <c r="AJ31" i="9"/>
  <c r="CL25" i="9"/>
  <c r="CY25" i="9"/>
  <c r="CN19" i="9"/>
  <c r="DA19" i="9"/>
  <c r="BU48" i="9"/>
  <c r="BU17" i="9"/>
  <c r="CC11" i="9"/>
  <c r="CC42" i="9"/>
  <c r="CM8" i="9"/>
  <c r="CZ8" i="9"/>
  <c r="CV34" i="9"/>
  <c r="CJ31" i="9"/>
  <c r="V31" i="9"/>
  <c r="CC38" i="9"/>
  <c r="CC7" i="9"/>
  <c r="AK31" i="9"/>
  <c r="CU34" i="9"/>
  <c r="CI31" i="9"/>
  <c r="U31" i="9"/>
  <c r="CN25" i="9"/>
  <c r="DA25" i="9"/>
  <c r="CL13" i="9"/>
  <c r="CY13" i="9"/>
  <c r="CK16" i="9"/>
  <c r="CX16" i="9"/>
  <c r="CS34" i="9"/>
  <c r="CG31" i="9"/>
  <c r="S31" i="9"/>
  <c r="CD54" i="9"/>
  <c r="CE54" i="9"/>
  <c r="CD23" i="9"/>
  <c r="DA20" i="9"/>
  <c r="CN20" i="9"/>
  <c r="BT44" i="9"/>
  <c r="CZ133" i="9"/>
  <c r="CM133" i="9"/>
  <c r="CO9" i="9"/>
  <c r="DB9" i="9"/>
  <c r="CI118" i="9"/>
  <c r="CM118" i="9" s="1"/>
  <c r="CQ118" i="9" s="1"/>
  <c r="CU118" i="9" s="1"/>
  <c r="CD55" i="9"/>
  <c r="CD24" i="9"/>
  <c r="CE55" i="9"/>
  <c r="CO28" i="9"/>
  <c r="DB28" i="9"/>
  <c r="CM17" i="9"/>
  <c r="CZ17" i="9"/>
  <c r="CY11" i="9"/>
  <c r="CL11" i="9"/>
  <c r="CY12" i="9"/>
  <c r="CL12" i="9"/>
  <c r="BV48" i="9"/>
  <c r="BV17" i="9"/>
  <c r="CX18" i="9"/>
  <c r="CK18" i="9"/>
  <c r="CK12" i="9"/>
  <c r="CX12" i="9"/>
  <c r="BO31" i="9"/>
  <c r="CN30" i="9"/>
  <c r="DA30" i="9"/>
  <c r="BU47" i="9"/>
  <c r="BU16" i="9"/>
  <c r="CY134" i="9"/>
  <c r="CL134" i="9"/>
  <c r="CM26" i="9"/>
  <c r="CZ26" i="9"/>
  <c r="CZ12" i="9"/>
  <c r="CM12" i="9"/>
  <c r="DD21" i="9"/>
  <c r="CQ21" i="9"/>
  <c r="CH135" i="9"/>
  <c r="T135" i="9"/>
  <c r="CX143" i="9"/>
  <c r="CK143" i="9"/>
  <c r="CX130" i="9"/>
  <c r="CK130" i="9"/>
  <c r="CZ118" i="9"/>
  <c r="DD118" i="9" s="1"/>
  <c r="DH118" i="9" s="1"/>
  <c r="DL118" i="9" s="1"/>
  <c r="CN28" i="9"/>
  <c r="DA28" i="9"/>
  <c r="CP21" i="9"/>
  <c r="DC21" i="9"/>
  <c r="CZ16" i="9"/>
  <c r="CM16" i="9"/>
  <c r="BV16" i="9"/>
  <c r="CC44" i="9"/>
  <c r="BV142" i="9"/>
  <c r="CA134" i="9"/>
  <c r="CM142" i="9"/>
  <c r="CZ142" i="9"/>
  <c r="BV143" i="9"/>
  <c r="BV129" i="9"/>
  <c r="T144" i="9"/>
  <c r="CH144" i="9"/>
  <c r="BV126" i="9"/>
  <c r="DE134" i="9"/>
  <c r="CR134" i="9"/>
  <c r="DA128" i="9"/>
  <c r="CN128" i="9"/>
  <c r="CE51" i="9"/>
  <c r="CD51" i="9"/>
  <c r="CD20" i="9"/>
  <c r="CD58" i="9"/>
  <c r="CE58" i="9"/>
  <c r="CD27" i="9"/>
  <c r="CL27" i="9"/>
  <c r="CY27" i="9"/>
  <c r="CM9" i="9"/>
  <c r="CZ9" i="9"/>
  <c r="AZ31" i="9"/>
  <c r="CX11" i="9"/>
  <c r="CK11" i="9"/>
  <c r="AY31" i="9"/>
  <c r="CN18" i="9"/>
  <c r="DA18" i="9"/>
  <c r="BQ31" i="9"/>
  <c r="CE75" i="9" s="1"/>
  <c r="DA15" i="9"/>
  <c r="CN15" i="9"/>
  <c r="BT50" i="9"/>
  <c r="CK14" i="9"/>
  <c r="CX14" i="9"/>
  <c r="CM11" i="9"/>
  <c r="CZ11" i="9"/>
  <c r="CB38" i="9"/>
  <c r="CB7" i="9"/>
  <c r="BV47" i="9"/>
  <c r="CN143" i="9"/>
  <c r="DA143" i="9"/>
  <c r="CT34" i="9"/>
  <c r="CH31" i="9"/>
  <c r="T31" i="9"/>
  <c r="CN126" i="9"/>
  <c r="DA126" i="9"/>
  <c r="CM143" i="9"/>
  <c r="CZ143" i="9"/>
  <c r="CY127" i="9"/>
  <c r="CL127" i="9"/>
  <c r="CK24" i="9"/>
  <c r="CX24" i="9"/>
  <c r="BV19" i="9"/>
  <c r="BV50" i="9"/>
  <c r="CM134" i="9"/>
  <c r="CZ134" i="9"/>
  <c r="CX118" i="9"/>
  <c r="DB118" i="9" s="1"/>
  <c r="DF118" i="9" s="1"/>
  <c r="DJ118" i="9" s="1"/>
  <c r="CG118" i="9"/>
  <c r="CK118" i="9" s="1"/>
  <c r="CO118" i="9" s="1"/>
  <c r="CS118" i="9" s="1"/>
  <c r="CR23" i="9"/>
  <c r="DE23" i="9"/>
  <c r="CZ15" i="9"/>
  <c r="CM15" i="9"/>
  <c r="DA17" i="9"/>
  <c r="CN17" i="9"/>
  <c r="BV49" i="9"/>
  <c r="BV18" i="9"/>
  <c r="CK7" i="9"/>
  <c r="CX7" i="9"/>
  <c r="BV46" i="9"/>
  <c r="BV15" i="9"/>
  <c r="BV61" i="9"/>
  <c r="BV30" i="9"/>
  <c r="CC133" i="9"/>
  <c r="BB135" i="9"/>
  <c r="CY126" i="9"/>
  <c r="CL126" i="9"/>
  <c r="CA142" i="9"/>
  <c r="S135" i="9"/>
  <c r="CD133" i="9"/>
  <c r="CD19" i="9"/>
  <c r="CE50" i="9"/>
  <c r="CD50" i="9"/>
  <c r="CX30" i="9"/>
  <c r="CK30" i="9"/>
  <c r="CZ25" i="9"/>
  <c r="CM25" i="9"/>
  <c r="CC57" i="9"/>
  <c r="CC26" i="9"/>
  <c r="BT26" i="9"/>
  <c r="BT57" i="9"/>
  <c r="CC30" i="9"/>
  <c r="BT58" i="9"/>
  <c r="BT27" i="9"/>
  <c r="BZ38" i="9"/>
  <c r="BZ7" i="9"/>
  <c r="BV52" i="9"/>
  <c r="BV21" i="9"/>
  <c r="CL8" i="9"/>
  <c r="CY8" i="9"/>
  <c r="CM27" i="9"/>
  <c r="CZ27" i="9"/>
  <c r="DA8" i="9"/>
  <c r="CN8" i="9"/>
  <c r="CK21" i="9"/>
  <c r="CX21" i="9"/>
  <c r="CK17" i="9"/>
  <c r="CX17" i="9"/>
  <c r="CE38" i="9"/>
  <c r="CD38" i="9"/>
  <c r="CD7" i="9"/>
  <c r="CM14" i="9"/>
  <c r="CZ14" i="9"/>
  <c r="CD47" i="9"/>
  <c r="CD16" i="9"/>
  <c r="CE47" i="9"/>
  <c r="DD29" i="9"/>
  <c r="CQ29" i="9"/>
  <c r="CX15" i="9"/>
  <c r="CK15" i="9"/>
  <c r="BB31" i="9"/>
  <c r="CD11" i="9"/>
  <c r="BU54" i="9"/>
  <c r="CC50" i="9"/>
  <c r="CC19" i="9"/>
  <c r="DE24" i="9"/>
  <c r="CR24" i="9"/>
  <c r="CS27" i="9"/>
  <c r="DJ27" i="9" s="1"/>
  <c r="DF27" i="9"/>
  <c r="BT40" i="9"/>
  <c r="CJ135" i="9"/>
  <c r="V135" i="9"/>
  <c r="CG144" i="9"/>
  <c r="S144" i="9"/>
  <c r="CL133" i="9"/>
  <c r="CY133" i="9"/>
  <c r="DC132" i="9"/>
  <c r="CP132" i="9"/>
  <c r="CM129" i="9"/>
  <c r="CZ129" i="9"/>
  <c r="CY142" i="9"/>
  <c r="CL142" i="9"/>
  <c r="CD143" i="9"/>
  <c r="CH118" i="9"/>
  <c r="CL118" i="9" s="1"/>
  <c r="CP118" i="9" s="1"/>
  <c r="CT118" i="9" s="1"/>
  <c r="DA132" i="9"/>
  <c r="CN132" i="9"/>
  <c r="CM132" i="9"/>
  <c r="CZ132" i="9"/>
  <c r="BP135" i="9"/>
  <c r="BO135" i="9"/>
  <c r="BV134" i="9"/>
  <c r="CX128" i="9"/>
  <c r="CK128" i="9"/>
  <c r="BX126" i="9"/>
  <c r="CE142" i="9"/>
  <c r="CD59" i="9"/>
  <c r="CD28" i="9"/>
  <c r="CE59" i="9"/>
  <c r="CX25" i="9"/>
  <c r="CK25" i="9"/>
  <c r="CX26" i="9"/>
  <c r="CK26" i="9"/>
  <c r="CY19" i="9"/>
  <c r="CL19" i="9"/>
  <c r="CD15" i="9"/>
  <c r="CD46" i="9"/>
  <c r="CE46" i="9"/>
  <c r="CP23" i="9"/>
  <c r="DC23" i="9"/>
  <c r="CC48" i="9"/>
  <c r="BU58" i="9"/>
  <c r="BU27" i="9"/>
  <c r="CM28" i="9"/>
  <c r="CZ28" i="9"/>
  <c r="CY15" i="9"/>
  <c r="CL15" i="9"/>
  <c r="BU51" i="9"/>
  <c r="BU20" i="9"/>
  <c r="BT47" i="9"/>
  <c r="BT16" i="9"/>
  <c r="CE45" i="9"/>
  <c r="CD45" i="9"/>
  <c r="CD14" i="9"/>
  <c r="BY38" i="9"/>
  <c r="BY7" i="9"/>
  <c r="CL10" i="9"/>
  <c r="CY10" i="9"/>
  <c r="CA38" i="9"/>
  <c r="CA7" i="9"/>
  <c r="BU26" i="9"/>
  <c r="DE22" i="9"/>
  <c r="CR22" i="9"/>
  <c r="CD42" i="9"/>
  <c r="BT22" i="9"/>
  <c r="CX142" i="9"/>
  <c r="CK142" i="9"/>
  <c r="BV7" i="9"/>
  <c r="BV38" i="9"/>
  <c r="BV43" i="9"/>
  <c r="BV12" i="9"/>
  <c r="DD24" i="9"/>
  <c r="CQ24" i="9"/>
  <c r="CC126" i="9"/>
  <c r="CC130" i="9"/>
  <c r="CY118" i="9"/>
  <c r="DC118" i="9" s="1"/>
  <c r="DG118" i="9" s="1"/>
  <c r="DK118" i="9" s="1"/>
  <c r="CB126" i="9"/>
  <c r="CZ130" i="9"/>
  <c r="CM130" i="9"/>
  <c r="CN142" i="9"/>
  <c r="DA142" i="9"/>
  <c r="CZ128" i="9"/>
  <c r="CM128" i="9"/>
  <c r="AL135" i="9"/>
  <c r="AI144" i="9"/>
  <c r="CY128" i="9"/>
  <c r="CL128" i="9"/>
  <c r="CI144" i="9"/>
  <c r="U144" i="9"/>
  <c r="CZ131" i="9"/>
  <c r="CM131" i="9"/>
  <c r="CR131" i="9"/>
  <c r="DE131" i="9"/>
  <c r="DE129" i="9"/>
  <c r="CR129" i="9"/>
  <c r="CJ118" i="9"/>
  <c r="CN118" i="9" s="1"/>
  <c r="CR118" i="9" s="1"/>
  <c r="CV118" i="9" s="1"/>
  <c r="CN27" i="9"/>
  <c r="DA27" i="9"/>
  <c r="CY30" i="9"/>
  <c r="CL30" i="9"/>
  <c r="CC58" i="9"/>
  <c r="CC27" i="9"/>
  <c r="CL17" i="9"/>
  <c r="CY17" i="9"/>
  <c r="DA14" i="9"/>
  <c r="CN14" i="9"/>
  <c r="BU59" i="9"/>
  <c r="BU28" i="9"/>
  <c r="BT23" i="9"/>
  <c r="BT54" i="9"/>
  <c r="CK19" i="9"/>
  <c r="CX19" i="9"/>
  <c r="CC22" i="9"/>
  <c r="CC53" i="9"/>
  <c r="CY16" i="9"/>
  <c r="CL16" i="9"/>
  <c r="CZ10" i="9"/>
  <c r="CM10" i="9"/>
  <c r="AL31" i="9"/>
  <c r="BW38" i="9"/>
  <c r="BW7" i="9"/>
  <c r="BU57" i="9"/>
  <c r="AI31" i="9"/>
  <c r="F149" i="8"/>
  <c r="F154" i="8" s="1"/>
  <c r="E31" i="8"/>
  <c r="DE130" i="9" l="1"/>
  <c r="BZ144" i="9"/>
  <c r="CP130" i="9"/>
  <c r="CT130" i="9" s="1"/>
  <c r="DK130" i="9" s="1"/>
  <c r="CA144" i="9"/>
  <c r="BX135" i="9"/>
  <c r="BY135" i="9"/>
  <c r="DE16" i="9"/>
  <c r="DB20" i="9"/>
  <c r="DC9" i="9"/>
  <c r="DB133" i="9"/>
  <c r="CT28" i="9"/>
  <c r="DK28" i="9" s="1"/>
  <c r="DB134" i="9"/>
  <c r="CR127" i="9"/>
  <c r="DI127" i="9" s="1"/>
  <c r="CP7" i="9"/>
  <c r="DG7" i="9" s="1"/>
  <c r="DB13" i="9"/>
  <c r="CQ127" i="9"/>
  <c r="DH127" i="9" s="1"/>
  <c r="BV135" i="9"/>
  <c r="DE12" i="9"/>
  <c r="DG22" i="9"/>
  <c r="DE13" i="9"/>
  <c r="DI10" i="9"/>
  <c r="DB23" i="9"/>
  <c r="CX135" i="9"/>
  <c r="CQ19" i="9"/>
  <c r="CU19" i="9" s="1"/>
  <c r="DL19" i="9" s="1"/>
  <c r="CV7" i="9"/>
  <c r="DR7" i="9" s="1"/>
  <c r="DS7" i="9" s="1"/>
  <c r="DA144" i="9"/>
  <c r="DF127" i="9"/>
  <c r="BU135" i="9"/>
  <c r="DD126" i="9"/>
  <c r="DG14" i="9"/>
  <c r="CC144" i="9"/>
  <c r="CR29" i="9"/>
  <c r="DI29" i="9" s="1"/>
  <c r="BW144" i="9"/>
  <c r="DB127" i="9"/>
  <c r="CR133" i="9"/>
  <c r="DI133" i="9" s="1"/>
  <c r="DB10" i="9"/>
  <c r="CO8" i="9"/>
  <c r="CS8" i="9" s="1"/>
  <c r="DJ8" i="9" s="1"/>
  <c r="DC29" i="9"/>
  <c r="DC129" i="9"/>
  <c r="CO126" i="9"/>
  <c r="DF126" i="9" s="1"/>
  <c r="CO129" i="9"/>
  <c r="DF129" i="9" s="1"/>
  <c r="DC143" i="9"/>
  <c r="DB22" i="9"/>
  <c r="BX144" i="9"/>
  <c r="CM135" i="9"/>
  <c r="DD135" i="9" s="1"/>
  <c r="CC75" i="9"/>
  <c r="CQ7" i="9"/>
  <c r="DH7" i="9" s="1"/>
  <c r="BW135" i="9"/>
  <c r="DD20" i="9"/>
  <c r="CB135" i="9"/>
  <c r="CP26" i="9"/>
  <c r="DG26" i="9" s="1"/>
  <c r="CD144" i="9"/>
  <c r="CB144" i="9"/>
  <c r="BZ135" i="9"/>
  <c r="CQ30" i="9"/>
  <c r="CU30" i="9" s="1"/>
  <c r="DL30" i="9" s="1"/>
  <c r="CR21" i="9"/>
  <c r="CV21" i="9" s="1"/>
  <c r="DR21" i="9" s="1"/>
  <c r="DS21" i="9" s="1"/>
  <c r="CV9" i="9"/>
  <c r="DR9" i="9" s="1"/>
  <c r="DS9" i="9" s="1"/>
  <c r="CA31" i="9"/>
  <c r="CQ22" i="9"/>
  <c r="CU22" i="9" s="1"/>
  <c r="DL22" i="9" s="1"/>
  <c r="DD13" i="9"/>
  <c r="CI149" i="9"/>
  <c r="CZ149" i="9" s="1"/>
  <c r="DD23" i="9"/>
  <c r="BY144" i="9"/>
  <c r="DE11" i="9"/>
  <c r="CP20" i="9"/>
  <c r="DG20" i="9" s="1"/>
  <c r="CU18" i="9"/>
  <c r="DL18" i="9" s="1"/>
  <c r="DH18" i="9"/>
  <c r="CE31" i="9"/>
  <c r="CR26" i="9"/>
  <c r="DE26" i="9"/>
  <c r="DC24" i="9"/>
  <c r="CP24" i="9"/>
  <c r="DC131" i="9"/>
  <c r="CP131" i="9"/>
  <c r="CA135" i="9"/>
  <c r="CP15" i="9"/>
  <c r="DC15" i="9"/>
  <c r="CT23" i="9"/>
  <c r="DK23" i="9" s="1"/>
  <c r="DG23" i="9"/>
  <c r="DB25" i="9"/>
  <c r="CO25" i="9"/>
  <c r="DG143" i="9"/>
  <c r="CT143" i="9"/>
  <c r="DK143" i="9" s="1"/>
  <c r="DC133" i="9"/>
  <c r="CP133" i="9"/>
  <c r="DI24" i="9"/>
  <c r="CV24" i="9"/>
  <c r="DR24" i="9" s="1"/>
  <c r="DS24" i="9" s="1"/>
  <c r="CB75" i="9"/>
  <c r="CB31" i="9"/>
  <c r="DB17" i="9"/>
  <c r="CO17" i="9"/>
  <c r="DC8" i="9"/>
  <c r="CP8" i="9"/>
  <c r="CO30" i="9"/>
  <c r="DB30" i="9"/>
  <c r="DD15" i="9"/>
  <c r="CQ15" i="9"/>
  <c r="DD134" i="9"/>
  <c r="CQ134" i="9"/>
  <c r="CP127" i="9"/>
  <c r="DC127" i="9"/>
  <c r="CR144" i="9"/>
  <c r="DE144" i="9"/>
  <c r="CQ12" i="9"/>
  <c r="DD12" i="9"/>
  <c r="BX75" i="9"/>
  <c r="BX31" i="9"/>
  <c r="BY75" i="9"/>
  <c r="BY31" i="9"/>
  <c r="DB19" i="9"/>
  <c r="CO19" i="9"/>
  <c r="DE27" i="9"/>
  <c r="CR27" i="9"/>
  <c r="CQ128" i="9"/>
  <c r="DD128" i="9"/>
  <c r="CO15" i="9"/>
  <c r="DB15" i="9"/>
  <c r="DD14" i="9"/>
  <c r="CQ14" i="9"/>
  <c r="CS134" i="9"/>
  <c r="DJ134" i="9" s="1"/>
  <c r="DF134" i="9"/>
  <c r="CO11" i="9"/>
  <c r="DB11" i="9"/>
  <c r="CP27" i="9"/>
  <c r="DC27" i="9"/>
  <c r="DB143" i="9"/>
  <c r="CO143" i="9"/>
  <c r="DC13" i="9"/>
  <c r="CP13" i="9"/>
  <c r="DC25" i="9"/>
  <c r="CP25" i="9"/>
  <c r="CQ10" i="9"/>
  <c r="DD10" i="9"/>
  <c r="DH126" i="9"/>
  <c r="CU126" i="9"/>
  <c r="DL126" i="9" s="1"/>
  <c r="CK144" i="9"/>
  <c r="CX144" i="9"/>
  <c r="DC126" i="9"/>
  <c r="CP126" i="9"/>
  <c r="DE17" i="9"/>
  <c r="CR17" i="9"/>
  <c r="DH20" i="9"/>
  <c r="CU20" i="9"/>
  <c r="DL20" i="9" s="1"/>
  <c r="CV129" i="9"/>
  <c r="DR129" i="9" s="1"/>
  <c r="DS129" i="9" s="1"/>
  <c r="DI129" i="9"/>
  <c r="CQ28" i="9"/>
  <c r="DD28" i="9"/>
  <c r="DG132" i="9"/>
  <c r="CT132" i="9"/>
  <c r="DK132" i="9" s="1"/>
  <c r="DI16" i="9"/>
  <c r="CV16" i="9"/>
  <c r="DR16" i="9" s="1"/>
  <c r="DS16" i="9" s="1"/>
  <c r="CR15" i="9"/>
  <c r="DE15" i="9"/>
  <c r="DG129" i="9"/>
  <c r="CT129" i="9"/>
  <c r="DK129" i="9" s="1"/>
  <c r="CY144" i="9"/>
  <c r="CL144" i="9"/>
  <c r="BV75" i="9"/>
  <c r="BV31" i="9"/>
  <c r="DI23" i="9"/>
  <c r="CV23" i="9"/>
  <c r="DR23" i="9" s="1"/>
  <c r="DS23" i="9" s="1"/>
  <c r="DE143" i="9"/>
  <c r="CR143" i="9"/>
  <c r="DE128" i="9"/>
  <c r="CR128" i="9"/>
  <c r="BT144" i="9"/>
  <c r="CQ16" i="9"/>
  <c r="DD16" i="9"/>
  <c r="CH149" i="9"/>
  <c r="CY149" i="9" s="1"/>
  <c r="CL135" i="9"/>
  <c r="CY135" i="9"/>
  <c r="DB12" i="9"/>
  <c r="CO12" i="9"/>
  <c r="DF28" i="9"/>
  <c r="CS28" i="9"/>
  <c r="DJ28" i="9" s="1"/>
  <c r="CA75" i="9"/>
  <c r="CR20" i="9"/>
  <c r="DE20" i="9"/>
  <c r="CX31" i="9"/>
  <c r="CK31" i="9"/>
  <c r="BU75" i="9"/>
  <c r="BU31" i="9"/>
  <c r="DA31" i="9"/>
  <c r="CN31" i="9"/>
  <c r="CR14" i="9"/>
  <c r="DE14" i="9"/>
  <c r="DD129" i="9"/>
  <c r="CQ129" i="9"/>
  <c r="DB21" i="9"/>
  <c r="CO21" i="9"/>
  <c r="DF10" i="9"/>
  <c r="CS10" i="9"/>
  <c r="DJ10" i="9" s="1"/>
  <c r="CS9" i="9"/>
  <c r="DJ9" i="9" s="1"/>
  <c r="DF9" i="9"/>
  <c r="DC17" i="9"/>
  <c r="CP17" i="9"/>
  <c r="BU144" i="9"/>
  <c r="BV144" i="9"/>
  <c r="DG9" i="9"/>
  <c r="CT9" i="9"/>
  <c r="DK9" i="9" s="1"/>
  <c r="DB128" i="9"/>
  <c r="CO128" i="9"/>
  <c r="CU29" i="9"/>
  <c r="DL29" i="9" s="1"/>
  <c r="DH29" i="9"/>
  <c r="CR8" i="9"/>
  <c r="DE8" i="9"/>
  <c r="DD143" i="9"/>
  <c r="CQ143" i="9"/>
  <c r="DD11" i="9"/>
  <c r="CQ11" i="9"/>
  <c r="DG29" i="9"/>
  <c r="CT29" i="9"/>
  <c r="DK29" i="9" s="1"/>
  <c r="DD142" i="9"/>
  <c r="CQ142" i="9"/>
  <c r="DG21" i="9"/>
  <c r="CT21" i="9"/>
  <c r="DK21" i="9" s="1"/>
  <c r="CP12" i="9"/>
  <c r="DC12" i="9"/>
  <c r="DE25" i="9"/>
  <c r="CR25" i="9"/>
  <c r="BW75" i="9"/>
  <c r="BW31" i="9"/>
  <c r="DC16" i="9"/>
  <c r="CP16" i="9"/>
  <c r="CC135" i="9"/>
  <c r="CP128" i="9"/>
  <c r="DC128" i="9"/>
  <c r="DF133" i="9"/>
  <c r="CS133" i="9"/>
  <c r="DJ133" i="9" s="1"/>
  <c r="CU23" i="9"/>
  <c r="DL23" i="9" s="1"/>
  <c r="DH23" i="9"/>
  <c r="DE126" i="9"/>
  <c r="CR126" i="9"/>
  <c r="CV12" i="9"/>
  <c r="DR12" i="9" s="1"/>
  <c r="DS12" i="9" s="1"/>
  <c r="DI12" i="9"/>
  <c r="DB14" i="9"/>
  <c r="CO14" i="9"/>
  <c r="CD75" i="9"/>
  <c r="CD31" i="9"/>
  <c r="DD9" i="9"/>
  <c r="CQ9" i="9"/>
  <c r="DE28" i="9"/>
  <c r="CR28" i="9"/>
  <c r="DD26" i="9"/>
  <c r="CQ26" i="9"/>
  <c r="DE30" i="9"/>
  <c r="CR30" i="9"/>
  <c r="DB18" i="9"/>
  <c r="CO18" i="9"/>
  <c r="CZ31" i="9"/>
  <c r="CM31" i="9"/>
  <c r="DE19" i="9"/>
  <c r="CR19" i="9"/>
  <c r="CG149" i="9"/>
  <c r="CX149" i="9" s="1"/>
  <c r="DH24" i="9"/>
  <c r="CU24" i="9"/>
  <c r="DL24" i="9" s="1"/>
  <c r="CO142" i="9"/>
  <c r="DB142" i="9"/>
  <c r="DD17" i="9"/>
  <c r="CQ17" i="9"/>
  <c r="BZ31" i="9"/>
  <c r="BZ75" i="9"/>
  <c r="BT135" i="9"/>
  <c r="CO135" i="9"/>
  <c r="DB135" i="9"/>
  <c r="CZ144" i="9"/>
  <c r="CM144" i="9"/>
  <c r="CP30" i="9"/>
  <c r="DC30" i="9"/>
  <c r="DI131" i="9"/>
  <c r="CV131" i="9"/>
  <c r="DR131" i="9" s="1"/>
  <c r="DS131" i="9" s="1"/>
  <c r="CV22" i="9"/>
  <c r="DR22" i="9" s="1"/>
  <c r="DS22" i="9" s="1"/>
  <c r="DI22" i="9"/>
  <c r="DC10" i="9"/>
  <c r="CP10" i="9"/>
  <c r="DB26" i="9"/>
  <c r="CO26" i="9"/>
  <c r="DF23" i="9"/>
  <c r="CS23" i="9"/>
  <c r="DJ23" i="9" s="1"/>
  <c r="CQ132" i="9"/>
  <c r="DD132" i="9"/>
  <c r="DC142" i="9"/>
  <c r="CP142" i="9"/>
  <c r="DI130" i="9"/>
  <c r="CV130" i="9"/>
  <c r="DR130" i="9" s="1"/>
  <c r="DS130" i="9" s="1"/>
  <c r="DD27" i="9"/>
  <c r="CQ27" i="9"/>
  <c r="CQ25" i="9"/>
  <c r="DD25" i="9"/>
  <c r="DB24" i="9"/>
  <c r="CO24" i="9"/>
  <c r="BT75" i="9"/>
  <c r="BT31" i="9"/>
  <c r="CV134" i="9"/>
  <c r="DR134" i="9" s="1"/>
  <c r="DS134" i="9" s="1"/>
  <c r="DI134" i="9"/>
  <c r="CU21" i="9"/>
  <c r="DL21" i="9" s="1"/>
  <c r="DH21" i="9"/>
  <c r="DC134" i="9"/>
  <c r="CP134" i="9"/>
  <c r="CS22" i="9"/>
  <c r="DJ22" i="9" s="1"/>
  <c r="DF22" i="9"/>
  <c r="CC31" i="9"/>
  <c r="DE142" i="9"/>
  <c r="CR142" i="9"/>
  <c r="CP19" i="9"/>
  <c r="DC19" i="9"/>
  <c r="CN135" i="9"/>
  <c r="CJ149" i="9"/>
  <c r="DA149" i="9" s="1"/>
  <c r="DA135" i="9"/>
  <c r="CQ130" i="9"/>
  <c r="DD130" i="9"/>
  <c r="DF20" i="9"/>
  <c r="CS20" i="9"/>
  <c r="DJ20" i="9" s="1"/>
  <c r="CQ131" i="9"/>
  <c r="DD131" i="9"/>
  <c r="DH13" i="9"/>
  <c r="CU13" i="9"/>
  <c r="DL13" i="9" s="1"/>
  <c r="CR132" i="9"/>
  <c r="DE132" i="9"/>
  <c r="DG130" i="9"/>
  <c r="DB7" i="9"/>
  <c r="CO7" i="9"/>
  <c r="DI11" i="9"/>
  <c r="CV11" i="9"/>
  <c r="DR11" i="9" s="1"/>
  <c r="DS11" i="9" s="1"/>
  <c r="CD135" i="9"/>
  <c r="CY31" i="9"/>
  <c r="CL31" i="9"/>
  <c r="DE18" i="9"/>
  <c r="CR18" i="9"/>
  <c r="DI13" i="9"/>
  <c r="CV13" i="9"/>
  <c r="DR13" i="9" s="1"/>
  <c r="DS13" i="9" s="1"/>
  <c r="CS13" i="9"/>
  <c r="DJ13" i="9" s="1"/>
  <c r="DF13" i="9"/>
  <c r="CO130" i="9"/>
  <c r="DB130" i="9"/>
  <c r="CP11" i="9"/>
  <c r="DC11" i="9"/>
  <c r="DD133" i="9"/>
  <c r="CQ133" i="9"/>
  <c r="DB16" i="9"/>
  <c r="CO16" i="9"/>
  <c r="DD8" i="9"/>
  <c r="CQ8" i="9"/>
  <c r="DF29" i="9"/>
  <c r="CS29" i="9"/>
  <c r="DJ29" i="9" s="1"/>
  <c r="D135" i="8"/>
  <c r="D31" i="8"/>
  <c r="E135" i="8"/>
  <c r="CT7" i="9" l="1"/>
  <c r="DK7" i="9" s="1"/>
  <c r="CV127" i="9"/>
  <c r="DR127" i="9" s="1"/>
  <c r="DS127" i="9" s="1"/>
  <c r="CU127" i="9"/>
  <c r="DL127" i="9" s="1"/>
  <c r="DH19" i="9"/>
  <c r="CV133" i="9"/>
  <c r="DR133" i="9" s="1"/>
  <c r="DS133" i="9" s="1"/>
  <c r="DF8" i="9"/>
  <c r="DI21" i="9"/>
  <c r="CV29" i="9"/>
  <c r="DR29" i="9" s="1"/>
  <c r="DS29" i="9" s="1"/>
  <c r="CS126" i="9"/>
  <c r="DJ126" i="9" s="1"/>
  <c r="CU7" i="9"/>
  <c r="DL7" i="9" s="1"/>
  <c r="DH30" i="9"/>
  <c r="CQ135" i="9"/>
  <c r="DH135" i="9" s="1"/>
  <c r="CS129" i="9"/>
  <c r="DJ129" i="9" s="1"/>
  <c r="CT26" i="9"/>
  <c r="DK26" i="9" s="1"/>
  <c r="DH22" i="9"/>
  <c r="CT20" i="9"/>
  <c r="DK20" i="9" s="1"/>
  <c r="DM34" i="9"/>
  <c r="DG131" i="9"/>
  <c r="CT131" i="9"/>
  <c r="DK131" i="9" s="1"/>
  <c r="DL34" i="9"/>
  <c r="DG24" i="9"/>
  <c r="CT24" i="9"/>
  <c r="DK24" i="9" s="1"/>
  <c r="CK149" i="9"/>
  <c r="DJ34" i="9"/>
  <c r="CV26" i="9"/>
  <c r="DR26" i="9" s="1"/>
  <c r="DS26" i="9" s="1"/>
  <c r="DI26" i="9"/>
  <c r="CU27" i="9"/>
  <c r="DL27" i="9" s="1"/>
  <c r="DH27" i="9"/>
  <c r="CV25" i="9"/>
  <c r="DR25" i="9" s="1"/>
  <c r="DS25" i="9" s="1"/>
  <c r="DI25" i="9"/>
  <c r="CT17" i="9"/>
  <c r="DK17" i="9" s="1"/>
  <c r="DG17" i="9"/>
  <c r="DK34" i="9"/>
  <c r="DH28" i="9"/>
  <c r="CU28" i="9"/>
  <c r="DL28" i="9" s="1"/>
  <c r="DH10" i="9"/>
  <c r="CU10" i="9"/>
  <c r="DL10" i="9" s="1"/>
  <c r="DG27" i="9"/>
  <c r="CT27" i="9"/>
  <c r="DK27" i="9" s="1"/>
  <c r="DF15" i="9"/>
  <c r="CS15" i="9"/>
  <c r="DJ15" i="9" s="1"/>
  <c r="CS19" i="9"/>
  <c r="DJ19" i="9" s="1"/>
  <c r="DF19" i="9"/>
  <c r="CS25" i="9"/>
  <c r="DJ25" i="9" s="1"/>
  <c r="DF25" i="9"/>
  <c r="CV28" i="9"/>
  <c r="DR28" i="9" s="1"/>
  <c r="DS28" i="9" s="1"/>
  <c r="DI28" i="9"/>
  <c r="CS12" i="9"/>
  <c r="DJ12" i="9" s="1"/>
  <c r="DF12" i="9"/>
  <c r="DI128" i="9"/>
  <c r="CV128" i="9"/>
  <c r="DR128" i="9" s="1"/>
  <c r="DS128" i="9" s="1"/>
  <c r="DG126" i="9"/>
  <c r="CT126" i="9"/>
  <c r="DK126" i="9" s="1"/>
  <c r="CT25" i="9"/>
  <c r="DK25" i="9" s="1"/>
  <c r="DG25" i="9"/>
  <c r="DI144" i="9"/>
  <c r="CV144" i="9"/>
  <c r="DF30" i="9"/>
  <c r="CS30" i="9"/>
  <c r="DJ30" i="9" s="1"/>
  <c r="DF130" i="9"/>
  <c r="CS130" i="9"/>
  <c r="DJ130" i="9" s="1"/>
  <c r="DH25" i="9"/>
  <c r="CU25" i="9"/>
  <c r="DL25" i="9" s="1"/>
  <c r="CU132" i="9"/>
  <c r="DL132" i="9" s="1"/>
  <c r="DH132" i="9"/>
  <c r="CS135" i="9"/>
  <c r="DF135" i="9"/>
  <c r="DF142" i="9"/>
  <c r="CS142" i="9"/>
  <c r="DJ142" i="9" s="1"/>
  <c r="CQ31" i="9"/>
  <c r="DD31" i="9"/>
  <c r="CU26" i="9"/>
  <c r="DL26" i="9" s="1"/>
  <c r="DH26" i="9"/>
  <c r="CS14" i="9"/>
  <c r="DJ14" i="9" s="1"/>
  <c r="DF14" i="9"/>
  <c r="DI8" i="9"/>
  <c r="CV8" i="9"/>
  <c r="DR8" i="9" s="1"/>
  <c r="DS8" i="9" s="1"/>
  <c r="DH16" i="9"/>
  <c r="CU16" i="9"/>
  <c r="DL16" i="9" s="1"/>
  <c r="CV17" i="9"/>
  <c r="DR17" i="9" s="1"/>
  <c r="DS17" i="9" s="1"/>
  <c r="DI17" i="9"/>
  <c r="DI132" i="9"/>
  <c r="CV132" i="9"/>
  <c r="DR132" i="9" s="1"/>
  <c r="DS132" i="9" s="1"/>
  <c r="DH130" i="9"/>
  <c r="CU130" i="9"/>
  <c r="DL130" i="9" s="1"/>
  <c r="DH133" i="9"/>
  <c r="CU133" i="9"/>
  <c r="DL133" i="9" s="1"/>
  <c r="DF26" i="9"/>
  <c r="CS26" i="9"/>
  <c r="DJ26" i="9" s="1"/>
  <c r="DG128" i="9"/>
  <c r="CT128" i="9"/>
  <c r="DK128" i="9" s="1"/>
  <c r="CU11" i="9"/>
  <c r="DL11" i="9" s="1"/>
  <c r="DH11" i="9"/>
  <c r="DF128" i="9"/>
  <c r="CS128" i="9"/>
  <c r="DJ128" i="9" s="1"/>
  <c r="DH129" i="9"/>
  <c r="CU129" i="9"/>
  <c r="DL129" i="9" s="1"/>
  <c r="CO31" i="9"/>
  <c r="DB31" i="9"/>
  <c r="DI15" i="9"/>
  <c r="CV15" i="9"/>
  <c r="DR15" i="9" s="1"/>
  <c r="DS15" i="9" s="1"/>
  <c r="DF11" i="9"/>
  <c r="CS11" i="9"/>
  <c r="DJ11" i="9" s="1"/>
  <c r="CM149" i="9"/>
  <c r="DD149" i="9" s="1"/>
  <c r="CT8" i="9"/>
  <c r="DK8" i="9" s="1"/>
  <c r="DG8" i="9"/>
  <c r="CT133" i="9"/>
  <c r="DK133" i="9" s="1"/>
  <c r="DG133" i="9"/>
  <c r="CS7" i="9"/>
  <c r="DJ7" i="9" s="1"/>
  <c r="DF7" i="9"/>
  <c r="DE135" i="9"/>
  <c r="CN149" i="9"/>
  <c r="DE149" i="9" s="1"/>
  <c r="CR135" i="9"/>
  <c r="DG30" i="9"/>
  <c r="CT30" i="9"/>
  <c r="DK30" i="9" s="1"/>
  <c r="DF18" i="9"/>
  <c r="CS18" i="9"/>
  <c r="DJ18" i="9" s="1"/>
  <c r="CU9" i="9"/>
  <c r="DL9" i="9" s="1"/>
  <c r="DH9" i="9"/>
  <c r="CV126" i="9"/>
  <c r="DR126" i="9" s="1"/>
  <c r="DS126" i="9" s="1"/>
  <c r="DI126" i="9"/>
  <c r="DG12" i="9"/>
  <c r="CT12" i="9"/>
  <c r="DK12" i="9" s="1"/>
  <c r="CV143" i="9"/>
  <c r="DI143" i="9"/>
  <c r="CT13" i="9"/>
  <c r="DK13" i="9" s="1"/>
  <c r="DG13" i="9"/>
  <c r="DH12" i="9"/>
  <c r="CU12" i="9"/>
  <c r="DL12" i="9" s="1"/>
  <c r="DG127" i="9"/>
  <c r="CT127" i="9"/>
  <c r="DK127" i="9" s="1"/>
  <c r="CU8" i="9"/>
  <c r="DL8" i="9" s="1"/>
  <c r="DH8" i="9"/>
  <c r="DI18" i="9"/>
  <c r="CV18" i="9"/>
  <c r="DR18" i="9" s="1"/>
  <c r="DS18" i="9" s="1"/>
  <c r="CU131" i="9"/>
  <c r="DL131" i="9" s="1"/>
  <c r="DH131" i="9"/>
  <c r="CT134" i="9"/>
  <c r="DK134" i="9" s="1"/>
  <c r="DG134" i="9"/>
  <c r="CS24" i="9"/>
  <c r="DJ24" i="9" s="1"/>
  <c r="DF24" i="9"/>
  <c r="DG142" i="9"/>
  <c r="CT142" i="9"/>
  <c r="DK142" i="9" s="1"/>
  <c r="CT10" i="9"/>
  <c r="DK10" i="9" s="1"/>
  <c r="DG10" i="9"/>
  <c r="CQ144" i="9"/>
  <c r="DD144" i="9"/>
  <c r="CU17" i="9"/>
  <c r="DL17" i="9" s="1"/>
  <c r="DH17" i="9"/>
  <c r="CT16" i="9"/>
  <c r="DK16" i="9" s="1"/>
  <c r="DG16" i="9"/>
  <c r="DH143" i="9"/>
  <c r="CU143" i="9"/>
  <c r="DL143" i="9" s="1"/>
  <c r="DC135" i="9"/>
  <c r="CL149" i="9"/>
  <c r="DC149" i="9" s="1"/>
  <c r="CP135" i="9"/>
  <c r="DB144" i="9"/>
  <c r="CO144" i="9"/>
  <c r="CU134" i="9"/>
  <c r="DL134" i="9" s="1"/>
  <c r="DH134" i="9"/>
  <c r="CS17" i="9"/>
  <c r="DJ17" i="9" s="1"/>
  <c r="DF17" i="9"/>
  <c r="DG11" i="9"/>
  <c r="CT11" i="9"/>
  <c r="DK11" i="9" s="1"/>
  <c r="DG19" i="9"/>
  <c r="CT19" i="9"/>
  <c r="DK19" i="9" s="1"/>
  <c r="CV19" i="9"/>
  <c r="DR19" i="9" s="1"/>
  <c r="DS19" i="9" s="1"/>
  <c r="DI19" i="9"/>
  <c r="CV30" i="9"/>
  <c r="DR30" i="9" s="1"/>
  <c r="DS30" i="9" s="1"/>
  <c r="DI30" i="9"/>
  <c r="DI14" i="9"/>
  <c r="CV14" i="9"/>
  <c r="DR14" i="9" s="1"/>
  <c r="DS14" i="9" s="1"/>
  <c r="CV20" i="9"/>
  <c r="DR20" i="9" s="1"/>
  <c r="DS20" i="9" s="1"/>
  <c r="DI20" i="9"/>
  <c r="CP144" i="9"/>
  <c r="DC144" i="9"/>
  <c r="DF143" i="9"/>
  <c r="CS143" i="9"/>
  <c r="DJ143" i="9" s="1"/>
  <c r="CU14" i="9"/>
  <c r="DL14" i="9" s="1"/>
  <c r="DH14" i="9"/>
  <c r="DH128" i="9"/>
  <c r="CU128" i="9"/>
  <c r="DL128" i="9" s="1"/>
  <c r="DG15" i="9"/>
  <c r="CT15" i="9"/>
  <c r="DK15" i="9" s="1"/>
  <c r="CS16" i="9"/>
  <c r="DJ16" i="9" s="1"/>
  <c r="DF16" i="9"/>
  <c r="CP31" i="9"/>
  <c r="DC31" i="9"/>
  <c r="DI142" i="9"/>
  <c r="CV142" i="9"/>
  <c r="CU142" i="9"/>
  <c r="DL142" i="9" s="1"/>
  <c r="DH142" i="9"/>
  <c r="DF21" i="9"/>
  <c r="CS21" i="9"/>
  <c r="DJ21" i="9" s="1"/>
  <c r="CR31" i="9"/>
  <c r="CV31" i="9" s="1"/>
  <c r="DR31" i="9" s="1"/>
  <c r="DS31" i="9" s="1"/>
  <c r="DE31" i="9"/>
  <c r="CV27" i="9"/>
  <c r="DR27" i="9" s="1"/>
  <c r="DS27" i="9" s="1"/>
  <c r="DI27" i="9"/>
  <c r="DH15" i="9"/>
  <c r="CU15" i="9"/>
  <c r="DL15" i="9" s="1"/>
  <c r="E149" i="8"/>
  <c r="E154" i="8" s="1"/>
  <c r="D149" i="8"/>
  <c r="D154" i="8" s="1"/>
  <c r="C135" i="8"/>
  <c r="CU135" i="9" l="1"/>
  <c r="DL135" i="9"/>
  <c r="CS144" i="9"/>
  <c r="DJ144" i="9" s="1"/>
  <c r="DF144" i="9"/>
  <c r="DG31" i="9"/>
  <c r="CT31" i="9"/>
  <c r="DK31" i="9" s="1"/>
  <c r="DH144" i="9"/>
  <c r="CU144" i="9"/>
  <c r="DL144" i="9" s="1"/>
  <c r="DF31" i="9"/>
  <c r="CS31" i="9"/>
  <c r="DJ31" i="9" s="1"/>
  <c r="DJ135" i="9"/>
  <c r="CV135" i="9"/>
  <c r="CR149" i="9"/>
  <c r="DI149" i="9" s="1"/>
  <c r="DI135" i="9"/>
  <c r="CO149" i="9"/>
  <c r="DH31" i="9"/>
  <c r="CU31" i="9"/>
  <c r="DL31" i="9" s="1"/>
  <c r="CQ149" i="9"/>
  <c r="DH149" i="9" s="1"/>
  <c r="CP149" i="9"/>
  <c r="DG149" i="9" s="1"/>
  <c r="CT135" i="9"/>
  <c r="DG135" i="9"/>
  <c r="DG144" i="9"/>
  <c r="CT144" i="9"/>
  <c r="DK144" i="9" s="1"/>
  <c r="C31" i="8"/>
  <c r="CV149" i="9" l="1"/>
  <c r="CL154" i="9" s="1"/>
  <c r="CL155" i="9" s="1"/>
  <c r="DR135" i="9"/>
  <c r="CS149" i="9"/>
  <c r="DK135" i="9"/>
  <c r="CT149" i="9"/>
  <c r="CU149" i="9"/>
  <c r="C149" i="8"/>
  <c r="C154" i="8" s="1"/>
  <c r="AT143" i="8"/>
  <c r="AT142" i="8"/>
  <c r="AT134" i="8"/>
  <c r="AT133" i="8"/>
  <c r="AT132" i="8"/>
  <c r="AT131" i="8"/>
  <c r="AT130" i="8"/>
  <c r="AT129" i="8"/>
  <c r="AT128" i="8"/>
  <c r="AT127" i="8"/>
  <c r="AT126" i="8"/>
  <c r="AT30" i="8"/>
  <c r="AT29" i="8"/>
  <c r="AT28" i="8"/>
  <c r="AT27" i="8"/>
  <c r="AT26" i="8"/>
  <c r="AT25" i="8"/>
  <c r="AT24" i="8"/>
  <c r="AT23" i="8"/>
  <c r="AT22" i="8"/>
  <c r="AT21" i="8"/>
  <c r="AT20" i="8"/>
  <c r="AT19" i="8"/>
  <c r="AT18" i="8"/>
  <c r="AT17" i="8"/>
  <c r="AT16" i="8"/>
  <c r="AT15" i="8"/>
  <c r="AT14" i="8"/>
  <c r="AT13" i="8"/>
  <c r="AT12" i="8"/>
  <c r="AT11" i="8"/>
  <c r="AT10" i="8"/>
  <c r="AT9" i="8"/>
  <c r="AT8" i="8"/>
  <c r="AT7" i="8"/>
  <c r="BN135" i="8"/>
  <c r="BJ135" i="8"/>
  <c r="BF135" i="8"/>
  <c r="AX135" i="8"/>
  <c r="AE134" i="8"/>
  <c r="AE133" i="8"/>
  <c r="BL132" i="8"/>
  <c r="BK132" i="8"/>
  <c r="BH132" i="8"/>
  <c r="BG132" i="8"/>
  <c r="BD132" i="8"/>
  <c r="BC132" i="8"/>
  <c r="AV132" i="8"/>
  <c r="AU132" i="8"/>
  <c r="AR132" i="8"/>
  <c r="AQ132" i="8"/>
  <c r="AN132" i="8"/>
  <c r="AM132" i="8"/>
  <c r="AF132" i="8"/>
  <c r="AE132" i="8"/>
  <c r="AB132" i="8"/>
  <c r="X132" i="8"/>
  <c r="P132" i="8"/>
  <c r="L132" i="8"/>
  <c r="I132" i="8"/>
  <c r="H132" i="8"/>
  <c r="BL131" i="8"/>
  <c r="BK131" i="8"/>
  <c r="BH131" i="8"/>
  <c r="BG131" i="8"/>
  <c r="BD131" i="8"/>
  <c r="BC131" i="8"/>
  <c r="AV131" i="8"/>
  <c r="AU131" i="8"/>
  <c r="AR131" i="8"/>
  <c r="AQ131" i="8"/>
  <c r="AN131" i="8"/>
  <c r="AM131" i="8"/>
  <c r="AF131" i="8"/>
  <c r="AE131" i="8"/>
  <c r="AB131" i="8"/>
  <c r="X131" i="8"/>
  <c r="P131" i="8"/>
  <c r="L131" i="8"/>
  <c r="I131" i="8"/>
  <c r="H131" i="8"/>
  <c r="BL130" i="8"/>
  <c r="BK130" i="8"/>
  <c r="BH130" i="8"/>
  <c r="BG130" i="8"/>
  <c r="BD130" i="8"/>
  <c r="BC130" i="8"/>
  <c r="AV130" i="8"/>
  <c r="AU130" i="8"/>
  <c r="AR130" i="8"/>
  <c r="AQ130" i="8"/>
  <c r="AN130" i="8"/>
  <c r="AM130" i="8"/>
  <c r="AF130" i="8"/>
  <c r="AE130" i="8"/>
  <c r="AC130" i="8"/>
  <c r="AB130" i="8"/>
  <c r="Y130" i="8"/>
  <c r="X130" i="8"/>
  <c r="Q130" i="8"/>
  <c r="P130" i="8"/>
  <c r="M130" i="8"/>
  <c r="L130" i="8"/>
  <c r="I130" i="8"/>
  <c r="H130" i="8"/>
  <c r="AE129" i="8"/>
  <c r="AE128" i="8"/>
  <c r="AE127" i="8"/>
  <c r="AM126" i="8"/>
  <c r="AE126" i="8"/>
  <c r="F144" i="8"/>
  <c r="BN144" i="8"/>
  <c r="BJ144" i="8"/>
  <c r="BF144" i="8"/>
  <c r="AX144" i="8"/>
  <c r="BR143" i="8"/>
  <c r="BL143" i="8"/>
  <c r="BK143" i="8"/>
  <c r="BH143" i="8"/>
  <c r="BG143" i="8"/>
  <c r="BD143" i="8"/>
  <c r="BC143" i="8"/>
  <c r="AV143" i="8"/>
  <c r="AU143" i="8"/>
  <c r="AR143" i="8"/>
  <c r="AQ143" i="8"/>
  <c r="AN143" i="8"/>
  <c r="AM143" i="8"/>
  <c r="AF143" i="8"/>
  <c r="AE143" i="8"/>
  <c r="AB143" i="8"/>
  <c r="AA143" i="8"/>
  <c r="X143" i="8"/>
  <c r="W143" i="8"/>
  <c r="P143" i="8"/>
  <c r="O143" i="8"/>
  <c r="M143" i="8"/>
  <c r="L143" i="8"/>
  <c r="K143" i="8"/>
  <c r="I143" i="8"/>
  <c r="H143" i="8"/>
  <c r="G143" i="8"/>
  <c r="BR142" i="8"/>
  <c r="AQ142" i="8"/>
  <c r="AM142" i="8"/>
  <c r="AE142" i="8"/>
  <c r="BN118" i="8"/>
  <c r="BJ118" i="8"/>
  <c r="BF118" i="8"/>
  <c r="AX118" i="8"/>
  <c r="AT117" i="8"/>
  <c r="AE117" i="8"/>
  <c r="AT116" i="8"/>
  <c r="AE116" i="8"/>
  <c r="BM115" i="8"/>
  <c r="BL115" i="8"/>
  <c r="BK115" i="8"/>
  <c r="BI115" i="8"/>
  <c r="BH115" i="8"/>
  <c r="BG115" i="8"/>
  <c r="BE115" i="8"/>
  <c r="BD115" i="8"/>
  <c r="BC115" i="8"/>
  <c r="AW115" i="8"/>
  <c r="AV115" i="8"/>
  <c r="AU115" i="8"/>
  <c r="AT115" i="8"/>
  <c r="AS115" i="8"/>
  <c r="AR115" i="8"/>
  <c r="AQ115" i="8"/>
  <c r="AP115" i="8"/>
  <c r="AO115" i="8"/>
  <c r="AN115" i="8"/>
  <c r="AM115" i="8"/>
  <c r="AH115" i="8"/>
  <c r="AG115" i="8"/>
  <c r="AF115" i="8"/>
  <c r="AE115" i="8"/>
  <c r="AD115" i="8"/>
  <c r="AC115" i="8"/>
  <c r="AB115" i="8"/>
  <c r="Z115" i="8"/>
  <c r="Y115" i="8"/>
  <c r="X115" i="8"/>
  <c r="R115" i="8"/>
  <c r="Q115" i="8"/>
  <c r="P115" i="8"/>
  <c r="N115" i="8"/>
  <c r="M115" i="8"/>
  <c r="L115" i="8"/>
  <c r="J115" i="8"/>
  <c r="I115" i="8"/>
  <c r="H115" i="8"/>
  <c r="BL114" i="8"/>
  <c r="BK114" i="8"/>
  <c r="BH114" i="8"/>
  <c r="BG114" i="8"/>
  <c r="BD114" i="8"/>
  <c r="BC114" i="8"/>
  <c r="AV114" i="8"/>
  <c r="AU114" i="8"/>
  <c r="AT114" i="8"/>
  <c r="AR114" i="8"/>
  <c r="AQ114" i="8"/>
  <c r="AN114" i="8"/>
  <c r="AM114" i="8"/>
  <c r="AF114" i="8"/>
  <c r="AE114" i="8"/>
  <c r="AB114" i="8"/>
  <c r="X114" i="8"/>
  <c r="P114" i="8"/>
  <c r="L114" i="8"/>
  <c r="I114" i="8"/>
  <c r="H114" i="8"/>
  <c r="BL113" i="8"/>
  <c r="BK113" i="8"/>
  <c r="BH113" i="8"/>
  <c r="BG113" i="8"/>
  <c r="BD113" i="8"/>
  <c r="BC113" i="8"/>
  <c r="AV113" i="8"/>
  <c r="AU113" i="8"/>
  <c r="AT113" i="8"/>
  <c r="AR113" i="8"/>
  <c r="AQ113" i="8"/>
  <c r="AN113" i="8"/>
  <c r="AM113" i="8"/>
  <c r="AF113" i="8"/>
  <c r="AE113" i="8"/>
  <c r="AB113" i="8"/>
  <c r="X113" i="8"/>
  <c r="P113" i="8"/>
  <c r="L113" i="8"/>
  <c r="I113" i="8"/>
  <c r="H113" i="8"/>
  <c r="BL112" i="8"/>
  <c r="BK112" i="8"/>
  <c r="BH112" i="8"/>
  <c r="BG112" i="8"/>
  <c r="BD112" i="8"/>
  <c r="BC112" i="8"/>
  <c r="AV112" i="8"/>
  <c r="AU112" i="8"/>
  <c r="AT112" i="8"/>
  <c r="AR112" i="8"/>
  <c r="AQ112" i="8"/>
  <c r="AN112" i="8"/>
  <c r="AM112" i="8"/>
  <c r="AF112" i="8"/>
  <c r="AE112" i="8"/>
  <c r="AC112" i="8"/>
  <c r="AB112" i="8"/>
  <c r="Y112" i="8"/>
  <c r="X112" i="8"/>
  <c r="Q112" i="8"/>
  <c r="P112" i="8"/>
  <c r="M112" i="8"/>
  <c r="L112" i="8"/>
  <c r="I112" i="8"/>
  <c r="H112" i="8"/>
  <c r="AT111" i="8"/>
  <c r="AE111" i="8"/>
  <c r="AT110" i="8"/>
  <c r="AE110" i="8"/>
  <c r="BM109" i="8"/>
  <c r="BL109" i="8"/>
  <c r="BK109" i="8"/>
  <c r="BI109" i="8"/>
  <c r="BH109" i="8"/>
  <c r="BG109" i="8"/>
  <c r="BE109" i="8"/>
  <c r="BD109" i="8"/>
  <c r="BC109" i="8"/>
  <c r="AW109" i="8"/>
  <c r="AV109" i="8"/>
  <c r="AU109" i="8"/>
  <c r="AT109" i="8"/>
  <c r="AS109" i="8"/>
  <c r="AR109" i="8"/>
  <c r="AQ109" i="8"/>
  <c r="AP109" i="8"/>
  <c r="AO109" i="8"/>
  <c r="AN109" i="8"/>
  <c r="AM109" i="8"/>
  <c r="AH109" i="8"/>
  <c r="AG109" i="8"/>
  <c r="AF109" i="8"/>
  <c r="AE109" i="8"/>
  <c r="AD109" i="8"/>
  <c r="AC109" i="8"/>
  <c r="AB109" i="8"/>
  <c r="Z109" i="8"/>
  <c r="Y109" i="8"/>
  <c r="X109" i="8"/>
  <c r="R109" i="8"/>
  <c r="Q109" i="8"/>
  <c r="P109" i="8"/>
  <c r="N109" i="8"/>
  <c r="M109" i="8"/>
  <c r="L109" i="8"/>
  <c r="J109" i="8"/>
  <c r="I109" i="8"/>
  <c r="H109" i="8"/>
  <c r="AT108" i="8"/>
  <c r="AE108" i="8"/>
  <c r="AT107" i="8"/>
  <c r="AM107" i="8"/>
  <c r="AE107" i="8"/>
  <c r="BL106" i="8"/>
  <c r="BK106" i="8"/>
  <c r="BH106" i="8"/>
  <c r="BG106" i="8"/>
  <c r="BD106" i="8"/>
  <c r="BC106" i="8"/>
  <c r="AV106" i="8"/>
  <c r="AU106" i="8"/>
  <c r="AT106" i="8"/>
  <c r="AR106" i="8"/>
  <c r="AQ106" i="8"/>
  <c r="AN106" i="8"/>
  <c r="AM106" i="8"/>
  <c r="AF106" i="8"/>
  <c r="AE106" i="8"/>
  <c r="AB106" i="8"/>
  <c r="AA106" i="8"/>
  <c r="X106" i="8"/>
  <c r="W106" i="8"/>
  <c r="P106" i="8"/>
  <c r="O106" i="8"/>
  <c r="M106" i="8"/>
  <c r="L106" i="8"/>
  <c r="K106" i="8"/>
  <c r="I106" i="8"/>
  <c r="H106" i="8"/>
  <c r="G106" i="8"/>
  <c r="AT105" i="8"/>
  <c r="AQ105" i="8"/>
  <c r="AM105" i="8"/>
  <c r="AE105" i="8"/>
  <c r="AT104" i="8"/>
  <c r="AE104" i="8"/>
  <c r="AT103" i="8"/>
  <c r="AE103" i="8"/>
  <c r="AT102" i="8"/>
  <c r="AE102" i="8"/>
  <c r="AT101" i="8"/>
  <c r="AE101" i="8"/>
  <c r="AT100" i="8"/>
  <c r="AE100" i="8"/>
  <c r="AT99" i="8"/>
  <c r="AE99" i="8"/>
  <c r="AT98" i="8"/>
  <c r="AE98" i="8"/>
  <c r="AT97" i="8"/>
  <c r="AE97" i="8"/>
  <c r="AT96" i="8"/>
  <c r="AE96" i="8"/>
  <c r="AT95" i="8"/>
  <c r="AE95" i="8"/>
  <c r="AT94" i="8"/>
  <c r="AE94" i="8"/>
  <c r="AT93" i="8"/>
  <c r="AE93" i="8"/>
  <c r="AT92" i="8"/>
  <c r="AE92" i="8"/>
  <c r="AT91" i="8"/>
  <c r="AE91" i="8"/>
  <c r="AT90" i="8"/>
  <c r="AE90" i="8"/>
  <c r="AT89" i="8"/>
  <c r="AE89" i="8"/>
  <c r="AT88" i="8"/>
  <c r="AE88" i="8"/>
  <c r="AT87" i="8"/>
  <c r="AE87" i="8"/>
  <c r="AT86" i="8"/>
  <c r="AE86" i="8"/>
  <c r="AT85" i="8"/>
  <c r="AE85" i="8"/>
  <c r="AT84" i="8"/>
  <c r="AE84" i="8"/>
  <c r="AT83" i="8"/>
  <c r="AE83" i="8"/>
  <c r="AT82" i="8"/>
  <c r="AE82" i="8"/>
  <c r="AT81" i="8"/>
  <c r="AE81" i="8"/>
  <c r="BN75" i="8"/>
  <c r="BJ75" i="8"/>
  <c r="BF75" i="8"/>
  <c r="AX75" i="8"/>
  <c r="AT74" i="8"/>
  <c r="AE74" i="8"/>
  <c r="AT73" i="8"/>
  <c r="AE73" i="8"/>
  <c r="BM72" i="8"/>
  <c r="BL72" i="8"/>
  <c r="BK72" i="8"/>
  <c r="BI72" i="8"/>
  <c r="BH72" i="8"/>
  <c r="BG72" i="8"/>
  <c r="BE72" i="8"/>
  <c r="BD72" i="8"/>
  <c r="BC72" i="8"/>
  <c r="AW72" i="8"/>
  <c r="AV72" i="8"/>
  <c r="AU72" i="8"/>
  <c r="AT72" i="8"/>
  <c r="AS72" i="8"/>
  <c r="AR72" i="8"/>
  <c r="AQ72" i="8"/>
  <c r="AP72" i="8"/>
  <c r="AO72" i="8"/>
  <c r="AN72" i="8"/>
  <c r="AM72" i="8"/>
  <c r="AH72" i="8"/>
  <c r="AG72" i="8"/>
  <c r="AF72" i="8"/>
  <c r="AE72" i="8"/>
  <c r="AD72" i="8"/>
  <c r="AC72" i="8"/>
  <c r="AB72" i="8"/>
  <c r="Z72" i="8"/>
  <c r="Y72" i="8"/>
  <c r="X72" i="8"/>
  <c r="R72" i="8"/>
  <c r="Q72" i="8"/>
  <c r="P72" i="8"/>
  <c r="N72" i="8"/>
  <c r="M72" i="8"/>
  <c r="L72" i="8"/>
  <c r="J72" i="8"/>
  <c r="I72" i="8"/>
  <c r="H72" i="8"/>
  <c r="BL71" i="8"/>
  <c r="BK71" i="8"/>
  <c r="BH71" i="8"/>
  <c r="BG71" i="8"/>
  <c r="BD71" i="8"/>
  <c r="BC71" i="8"/>
  <c r="AV71" i="8"/>
  <c r="AU71" i="8"/>
  <c r="AT71" i="8"/>
  <c r="AR71" i="8"/>
  <c r="AQ71" i="8"/>
  <c r="AN71" i="8"/>
  <c r="AM71" i="8"/>
  <c r="AF71" i="8"/>
  <c r="AE71" i="8"/>
  <c r="AB71" i="8"/>
  <c r="X71" i="8"/>
  <c r="P71" i="8"/>
  <c r="L71" i="8"/>
  <c r="I71" i="8"/>
  <c r="H71" i="8"/>
  <c r="BL70" i="8"/>
  <c r="BK70" i="8"/>
  <c r="BH70" i="8"/>
  <c r="BG70" i="8"/>
  <c r="BD70" i="8"/>
  <c r="BC70" i="8"/>
  <c r="AV70" i="8"/>
  <c r="AU70" i="8"/>
  <c r="AT70" i="8"/>
  <c r="AR70" i="8"/>
  <c r="AQ70" i="8"/>
  <c r="AN70" i="8"/>
  <c r="AM70" i="8"/>
  <c r="AF70" i="8"/>
  <c r="AE70" i="8"/>
  <c r="AB70" i="8"/>
  <c r="X70" i="8"/>
  <c r="P70" i="8"/>
  <c r="L70" i="8"/>
  <c r="I70" i="8"/>
  <c r="H70" i="8"/>
  <c r="BL69" i="8"/>
  <c r="BK69" i="8"/>
  <c r="BH69" i="8"/>
  <c r="BG69" i="8"/>
  <c r="BD69" i="8"/>
  <c r="BC69" i="8"/>
  <c r="AV69" i="8"/>
  <c r="AU69" i="8"/>
  <c r="AT69" i="8"/>
  <c r="AR69" i="8"/>
  <c r="AQ69" i="8"/>
  <c r="AN69" i="8"/>
  <c r="AM69" i="8"/>
  <c r="AF69" i="8"/>
  <c r="AE69" i="8"/>
  <c r="AC69" i="8"/>
  <c r="AB69" i="8"/>
  <c r="Y69" i="8"/>
  <c r="X69" i="8"/>
  <c r="Q69" i="8"/>
  <c r="P69" i="8"/>
  <c r="M69" i="8"/>
  <c r="L69" i="8"/>
  <c r="I69" i="8"/>
  <c r="H69" i="8"/>
  <c r="AT68" i="8"/>
  <c r="AE68" i="8"/>
  <c r="AT67" i="8"/>
  <c r="AE67" i="8"/>
  <c r="BM66" i="8"/>
  <c r="BL66" i="8"/>
  <c r="BK66" i="8"/>
  <c r="BI66" i="8"/>
  <c r="BH66" i="8"/>
  <c r="BG66" i="8"/>
  <c r="BE66" i="8"/>
  <c r="BD66" i="8"/>
  <c r="BC66" i="8"/>
  <c r="AW66" i="8"/>
  <c r="AV66" i="8"/>
  <c r="AU66" i="8"/>
  <c r="AT66" i="8"/>
  <c r="AS66" i="8"/>
  <c r="AR66" i="8"/>
  <c r="AQ66" i="8"/>
  <c r="AP66" i="8"/>
  <c r="AO66" i="8"/>
  <c r="AN66" i="8"/>
  <c r="AM66" i="8"/>
  <c r="AH66" i="8"/>
  <c r="AG66" i="8"/>
  <c r="AF66" i="8"/>
  <c r="AE66" i="8"/>
  <c r="AD66" i="8"/>
  <c r="AC66" i="8"/>
  <c r="AB66" i="8"/>
  <c r="Z66" i="8"/>
  <c r="Y66" i="8"/>
  <c r="X66" i="8"/>
  <c r="R66" i="8"/>
  <c r="Q66" i="8"/>
  <c r="P66" i="8"/>
  <c r="N66" i="8"/>
  <c r="M66" i="8"/>
  <c r="L66" i="8"/>
  <c r="J66" i="8"/>
  <c r="I66" i="8"/>
  <c r="H66" i="8"/>
  <c r="AT65" i="8"/>
  <c r="AE65" i="8"/>
  <c r="AT64" i="8"/>
  <c r="AM64" i="8"/>
  <c r="AE64" i="8"/>
  <c r="BL63" i="8"/>
  <c r="BK63" i="8"/>
  <c r="BH63" i="8"/>
  <c r="BG63" i="8"/>
  <c r="BD63" i="8"/>
  <c r="BC63" i="8"/>
  <c r="AV63" i="8"/>
  <c r="AU63" i="8"/>
  <c r="AT63" i="8"/>
  <c r="AR63" i="8"/>
  <c r="AQ63" i="8"/>
  <c r="AN63" i="8"/>
  <c r="AM63" i="8"/>
  <c r="AF63" i="8"/>
  <c r="AE63" i="8"/>
  <c r="AB63" i="8"/>
  <c r="AA63" i="8"/>
  <c r="X63" i="8"/>
  <c r="W63" i="8"/>
  <c r="P63" i="8"/>
  <c r="O63" i="8"/>
  <c r="M63" i="8"/>
  <c r="L63" i="8"/>
  <c r="K63" i="8"/>
  <c r="I63" i="8"/>
  <c r="H63" i="8"/>
  <c r="G63" i="8"/>
  <c r="AT62" i="8"/>
  <c r="AQ62" i="8"/>
  <c r="AM62" i="8"/>
  <c r="AE62" i="8"/>
  <c r="AT61" i="8"/>
  <c r="AE61" i="8"/>
  <c r="AT60" i="8"/>
  <c r="AE60" i="8"/>
  <c r="AT59" i="8"/>
  <c r="AE59" i="8"/>
  <c r="AT58" i="8"/>
  <c r="AE58" i="8"/>
  <c r="AT57" i="8"/>
  <c r="AE57" i="8"/>
  <c r="AT56" i="8"/>
  <c r="AE56" i="8"/>
  <c r="AT55" i="8"/>
  <c r="AE55" i="8"/>
  <c r="AT54" i="8"/>
  <c r="AE54" i="8"/>
  <c r="AT53" i="8"/>
  <c r="AE53" i="8"/>
  <c r="AT52" i="8"/>
  <c r="AE52" i="8"/>
  <c r="AT51" i="8"/>
  <c r="AE51" i="8"/>
  <c r="AT50" i="8"/>
  <c r="AE50" i="8"/>
  <c r="AT49" i="8"/>
  <c r="AE49" i="8"/>
  <c r="AT48" i="8"/>
  <c r="AE48" i="8"/>
  <c r="AT47" i="8"/>
  <c r="AE47" i="8"/>
  <c r="AT46" i="8"/>
  <c r="AE46" i="8"/>
  <c r="AT45" i="8"/>
  <c r="AE45" i="8"/>
  <c r="AT44" i="8"/>
  <c r="AE44" i="8"/>
  <c r="AT43" i="8"/>
  <c r="AE43" i="8"/>
  <c r="AT42" i="8"/>
  <c r="AE42" i="8"/>
  <c r="AT41" i="8"/>
  <c r="AE41" i="8"/>
  <c r="AT40" i="8"/>
  <c r="AE40" i="8"/>
  <c r="AT39" i="8"/>
  <c r="AE39" i="8"/>
  <c r="AT38" i="8"/>
  <c r="AE38" i="8"/>
  <c r="BN31" i="8"/>
  <c r="BJ31" i="8"/>
  <c r="BF31" i="8"/>
  <c r="AX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10" i="8"/>
  <c r="AE9" i="8"/>
  <c r="AE8" i="8"/>
  <c r="AE7" i="8"/>
  <c r="BK128" i="7"/>
  <c r="BG128" i="7"/>
  <c r="BC128" i="7"/>
  <c r="BJ125" i="7"/>
  <c r="BI125" i="7"/>
  <c r="BH125" i="7"/>
  <c r="BF125" i="7"/>
  <c r="BE125" i="7"/>
  <c r="BD125" i="7"/>
  <c r="BB125" i="7"/>
  <c r="BA125" i="7"/>
  <c r="AZ125" i="7"/>
  <c r="BI124" i="7"/>
  <c r="BH124" i="7"/>
  <c r="BE124" i="7"/>
  <c r="BD124" i="7"/>
  <c r="BA124" i="7"/>
  <c r="AZ124" i="7"/>
  <c r="BI123" i="7"/>
  <c r="BH123" i="7"/>
  <c r="BE123" i="7"/>
  <c r="BD123" i="7"/>
  <c r="BA123" i="7"/>
  <c r="AZ123" i="7"/>
  <c r="BI122" i="7"/>
  <c r="BH122" i="7"/>
  <c r="BE122" i="7"/>
  <c r="BD122" i="7"/>
  <c r="BA122" i="7"/>
  <c r="AZ122" i="7"/>
  <c r="BJ119" i="7"/>
  <c r="BI119" i="7"/>
  <c r="BH119" i="7"/>
  <c r="BF119" i="7"/>
  <c r="BE119" i="7"/>
  <c r="BD119" i="7"/>
  <c r="BB119" i="7"/>
  <c r="BA119" i="7"/>
  <c r="AZ119" i="7"/>
  <c r="BI116" i="7"/>
  <c r="BH116" i="7"/>
  <c r="BE116" i="7"/>
  <c r="BD116" i="7"/>
  <c r="BA116" i="7"/>
  <c r="AZ116" i="7"/>
  <c r="BK85" i="7"/>
  <c r="BG85" i="7"/>
  <c r="BC85" i="7"/>
  <c r="BJ82" i="7"/>
  <c r="BI82" i="7"/>
  <c r="BH82" i="7"/>
  <c r="BF82" i="7"/>
  <c r="BE82" i="7"/>
  <c r="BD82" i="7"/>
  <c r="BB82" i="7"/>
  <c r="BA82" i="7"/>
  <c r="AZ82" i="7"/>
  <c r="BI81" i="7"/>
  <c r="BH81" i="7"/>
  <c r="BE81" i="7"/>
  <c r="BD81" i="7"/>
  <c r="BA81" i="7"/>
  <c r="AZ81" i="7"/>
  <c r="BI80" i="7"/>
  <c r="BH80" i="7"/>
  <c r="BE80" i="7"/>
  <c r="BD80" i="7"/>
  <c r="BA80" i="7"/>
  <c r="AZ80" i="7"/>
  <c r="BI79" i="7"/>
  <c r="BH79" i="7"/>
  <c r="BE79" i="7"/>
  <c r="BD79" i="7"/>
  <c r="BA79" i="7"/>
  <c r="AZ79" i="7"/>
  <c r="BJ76" i="7"/>
  <c r="BI76" i="7"/>
  <c r="BH76" i="7"/>
  <c r="BF76" i="7"/>
  <c r="BE76" i="7"/>
  <c r="BD76" i="7"/>
  <c r="BB76" i="7"/>
  <c r="BA76" i="7"/>
  <c r="AZ76" i="7"/>
  <c r="BI73" i="7"/>
  <c r="BH73" i="7"/>
  <c r="BE73" i="7"/>
  <c r="BD73" i="7"/>
  <c r="BA73" i="7"/>
  <c r="AZ73" i="7"/>
  <c r="AU128" i="7"/>
  <c r="AQ127" i="7"/>
  <c r="AQ126" i="7"/>
  <c r="AT125" i="7"/>
  <c r="AS125" i="7"/>
  <c r="AR125" i="7"/>
  <c r="AQ125" i="7"/>
  <c r="AP125" i="7"/>
  <c r="AO125" i="7"/>
  <c r="AN125" i="7"/>
  <c r="AM125" i="7"/>
  <c r="AL125" i="7"/>
  <c r="AK125" i="7"/>
  <c r="AJ125" i="7"/>
  <c r="AS124" i="7"/>
  <c r="AR124" i="7"/>
  <c r="AQ124" i="7"/>
  <c r="AO124" i="7"/>
  <c r="AN124" i="7"/>
  <c r="AK124" i="7"/>
  <c r="AJ124" i="7"/>
  <c r="AS123" i="7"/>
  <c r="AR123" i="7"/>
  <c r="AQ123" i="7"/>
  <c r="AO123" i="7"/>
  <c r="AN123" i="7"/>
  <c r="AK123" i="7"/>
  <c r="AJ123" i="7"/>
  <c r="AS122" i="7"/>
  <c r="AR122" i="7"/>
  <c r="AQ122" i="7"/>
  <c r="AO122" i="7"/>
  <c r="AN122" i="7"/>
  <c r="AK122" i="7"/>
  <c r="AJ122" i="7"/>
  <c r="AQ121" i="7"/>
  <c r="AQ120" i="7"/>
  <c r="AT119" i="7"/>
  <c r="AS119" i="7"/>
  <c r="AR119" i="7"/>
  <c r="AQ119" i="7"/>
  <c r="AP119" i="7"/>
  <c r="AO119" i="7"/>
  <c r="AN119" i="7"/>
  <c r="AM119" i="7"/>
  <c r="AL119" i="7"/>
  <c r="AK119" i="7"/>
  <c r="AJ119" i="7"/>
  <c r="AQ118" i="7"/>
  <c r="AQ117" i="7"/>
  <c r="AJ117" i="7"/>
  <c r="AS116" i="7"/>
  <c r="AR116" i="7"/>
  <c r="AQ116" i="7"/>
  <c r="AO116" i="7"/>
  <c r="AN116" i="7"/>
  <c r="AK116" i="7"/>
  <c r="AJ116" i="7"/>
  <c r="AQ115" i="7"/>
  <c r="AN115" i="7"/>
  <c r="AJ115" i="7"/>
  <c r="AQ114" i="7"/>
  <c r="AQ113" i="7"/>
  <c r="AQ112" i="7"/>
  <c r="AQ111" i="7"/>
  <c r="AQ110" i="7"/>
  <c r="AQ109" i="7"/>
  <c r="AQ108" i="7"/>
  <c r="AQ107" i="7"/>
  <c r="AQ106" i="7"/>
  <c r="AQ105" i="7"/>
  <c r="AQ104" i="7"/>
  <c r="AQ103" i="7"/>
  <c r="AQ102" i="7"/>
  <c r="AQ101" i="7"/>
  <c r="AQ100" i="7"/>
  <c r="AQ99" i="7"/>
  <c r="AQ98" i="7"/>
  <c r="AQ97" i="7"/>
  <c r="AQ96" i="7"/>
  <c r="AQ95" i="7"/>
  <c r="AQ94" i="7"/>
  <c r="AQ93" i="7"/>
  <c r="AQ92" i="7"/>
  <c r="AQ91" i="7"/>
  <c r="AU85" i="7"/>
  <c r="AQ84" i="7"/>
  <c r="AQ83" i="7"/>
  <c r="AT82" i="7"/>
  <c r="AS82" i="7"/>
  <c r="AR82" i="7"/>
  <c r="AQ82" i="7"/>
  <c r="AP82" i="7"/>
  <c r="AO82" i="7"/>
  <c r="AN82" i="7"/>
  <c r="AM82" i="7"/>
  <c r="AL82" i="7"/>
  <c r="AK82" i="7"/>
  <c r="AJ82" i="7"/>
  <c r="AS81" i="7"/>
  <c r="AR81" i="7"/>
  <c r="AQ81" i="7"/>
  <c r="AO81" i="7"/>
  <c r="AN81" i="7"/>
  <c r="AK81" i="7"/>
  <c r="AJ81" i="7"/>
  <c r="AS80" i="7"/>
  <c r="AR80" i="7"/>
  <c r="AQ80" i="7"/>
  <c r="AO80" i="7"/>
  <c r="AN80" i="7"/>
  <c r="AK80" i="7"/>
  <c r="AJ80" i="7"/>
  <c r="AS79" i="7"/>
  <c r="AR79" i="7"/>
  <c r="AQ79" i="7"/>
  <c r="AO79" i="7"/>
  <c r="AN79" i="7"/>
  <c r="AK79" i="7"/>
  <c r="AJ79" i="7"/>
  <c r="AQ78" i="7"/>
  <c r="AQ77" i="7"/>
  <c r="AT76" i="7"/>
  <c r="AS76" i="7"/>
  <c r="AR76" i="7"/>
  <c r="AQ76" i="7"/>
  <c r="AP76" i="7"/>
  <c r="AO76" i="7"/>
  <c r="AN76" i="7"/>
  <c r="AM76" i="7"/>
  <c r="AL76" i="7"/>
  <c r="AK76" i="7"/>
  <c r="AJ76" i="7"/>
  <c r="AQ75" i="7"/>
  <c r="AQ74" i="7"/>
  <c r="AJ74" i="7"/>
  <c r="AS73" i="7"/>
  <c r="AR73" i="7"/>
  <c r="AQ73" i="7"/>
  <c r="AO73" i="7"/>
  <c r="AN73" i="7"/>
  <c r="AK73" i="7"/>
  <c r="AJ73" i="7"/>
  <c r="AQ72" i="7"/>
  <c r="AN72" i="7"/>
  <c r="AJ72" i="7"/>
  <c r="AQ71" i="7"/>
  <c r="AQ70" i="7"/>
  <c r="AQ69" i="7"/>
  <c r="AQ68" i="7"/>
  <c r="AQ67" i="7"/>
  <c r="AQ66" i="7"/>
  <c r="AQ65" i="7"/>
  <c r="AQ64" i="7"/>
  <c r="AQ63" i="7"/>
  <c r="AQ62" i="7"/>
  <c r="AQ61" i="7"/>
  <c r="AQ60" i="7"/>
  <c r="AQ59" i="7"/>
  <c r="AQ58" i="7"/>
  <c r="AQ57" i="7"/>
  <c r="AQ56" i="7"/>
  <c r="AQ55" i="7"/>
  <c r="AQ54" i="7"/>
  <c r="AQ53" i="7"/>
  <c r="AQ52" i="7"/>
  <c r="AQ51" i="7"/>
  <c r="AQ50" i="7"/>
  <c r="AQ49" i="7"/>
  <c r="AQ48" i="7"/>
  <c r="AB127" i="7"/>
  <c r="AB126" i="7"/>
  <c r="AE125" i="7"/>
  <c r="AD125" i="7"/>
  <c r="AC125" i="7"/>
  <c r="AB125" i="7"/>
  <c r="AA125" i="7"/>
  <c r="Z125" i="7"/>
  <c r="Y125" i="7"/>
  <c r="W125" i="7"/>
  <c r="V125" i="7"/>
  <c r="U125" i="7"/>
  <c r="AC124" i="7"/>
  <c r="AB124" i="7"/>
  <c r="Y124" i="7"/>
  <c r="U124" i="7"/>
  <c r="AC123" i="7"/>
  <c r="AB123" i="7"/>
  <c r="Y123" i="7"/>
  <c r="U123" i="7"/>
  <c r="AC122" i="7"/>
  <c r="AB122" i="7"/>
  <c r="Z122" i="7"/>
  <c r="Y122" i="7"/>
  <c r="V122" i="7"/>
  <c r="U122" i="7"/>
  <c r="AB121" i="7"/>
  <c r="AB120" i="7"/>
  <c r="AE119" i="7"/>
  <c r="AD119" i="7"/>
  <c r="AC119" i="7"/>
  <c r="AB119" i="7"/>
  <c r="AA119" i="7"/>
  <c r="Z119" i="7"/>
  <c r="Y119" i="7"/>
  <c r="W119" i="7"/>
  <c r="V119" i="7"/>
  <c r="U119" i="7"/>
  <c r="AB118" i="7"/>
  <c r="AB117" i="7"/>
  <c r="AC116" i="7"/>
  <c r="AB116" i="7"/>
  <c r="Y116" i="7"/>
  <c r="X116" i="7"/>
  <c r="U116" i="7"/>
  <c r="T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84" i="7"/>
  <c r="AB83" i="7"/>
  <c r="AE82" i="7"/>
  <c r="AD82" i="7"/>
  <c r="AC82" i="7"/>
  <c r="AB82" i="7"/>
  <c r="AA82" i="7"/>
  <c r="Z82" i="7"/>
  <c r="Y82" i="7"/>
  <c r="W82" i="7"/>
  <c r="V82" i="7"/>
  <c r="U82" i="7"/>
  <c r="AC81" i="7"/>
  <c r="AB81" i="7"/>
  <c r="Y81" i="7"/>
  <c r="U81" i="7"/>
  <c r="AC80" i="7"/>
  <c r="AB80" i="7"/>
  <c r="Y80" i="7"/>
  <c r="U80" i="7"/>
  <c r="AC79" i="7"/>
  <c r="AB79" i="7"/>
  <c r="Z79" i="7"/>
  <c r="Y79" i="7"/>
  <c r="V79" i="7"/>
  <c r="U79" i="7"/>
  <c r="AB78" i="7"/>
  <c r="AB77" i="7"/>
  <c r="AE76" i="7"/>
  <c r="AD76" i="7"/>
  <c r="AC76" i="7"/>
  <c r="AB76" i="7"/>
  <c r="AA76" i="7"/>
  <c r="Z76" i="7"/>
  <c r="Y76" i="7"/>
  <c r="W76" i="7"/>
  <c r="V76" i="7"/>
  <c r="U76" i="7"/>
  <c r="AB75" i="7"/>
  <c r="AB74" i="7"/>
  <c r="AC73" i="7"/>
  <c r="AB73" i="7"/>
  <c r="Y73" i="7"/>
  <c r="X73" i="7"/>
  <c r="U73" i="7"/>
  <c r="T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C128" i="7"/>
  <c r="O125" i="7"/>
  <c r="N125" i="7"/>
  <c r="M125" i="7"/>
  <c r="K125" i="7"/>
  <c r="J125" i="7"/>
  <c r="I125" i="7"/>
  <c r="G125" i="7"/>
  <c r="F125" i="7"/>
  <c r="E125" i="7"/>
  <c r="M124" i="7"/>
  <c r="I124" i="7"/>
  <c r="F124" i="7"/>
  <c r="E124" i="7"/>
  <c r="M123" i="7"/>
  <c r="I123" i="7"/>
  <c r="F123" i="7"/>
  <c r="E123" i="7"/>
  <c r="N122" i="7"/>
  <c r="M122" i="7"/>
  <c r="J122" i="7"/>
  <c r="I122" i="7"/>
  <c r="F122" i="7"/>
  <c r="E122" i="7"/>
  <c r="O119" i="7"/>
  <c r="N119" i="7"/>
  <c r="M119" i="7"/>
  <c r="K119" i="7"/>
  <c r="J119" i="7"/>
  <c r="I119" i="7"/>
  <c r="G119" i="7"/>
  <c r="F119" i="7"/>
  <c r="E119" i="7"/>
  <c r="M116" i="7"/>
  <c r="L116" i="7"/>
  <c r="J116" i="7"/>
  <c r="I116" i="7"/>
  <c r="H116" i="7"/>
  <c r="F116" i="7"/>
  <c r="E116" i="7"/>
  <c r="D116" i="7"/>
  <c r="C85" i="7"/>
  <c r="O82" i="7"/>
  <c r="N82" i="7"/>
  <c r="M82" i="7"/>
  <c r="K82" i="7"/>
  <c r="J82" i="7"/>
  <c r="I82" i="7"/>
  <c r="G82" i="7"/>
  <c r="F82" i="7"/>
  <c r="E82" i="7"/>
  <c r="M81" i="7"/>
  <c r="I81" i="7"/>
  <c r="F81" i="7"/>
  <c r="E81" i="7"/>
  <c r="M80" i="7"/>
  <c r="I80" i="7"/>
  <c r="F80" i="7"/>
  <c r="E80" i="7"/>
  <c r="N79" i="7"/>
  <c r="M79" i="7"/>
  <c r="J79" i="7"/>
  <c r="I79" i="7"/>
  <c r="F79" i="7"/>
  <c r="E79" i="7"/>
  <c r="O76" i="7"/>
  <c r="N76" i="7"/>
  <c r="M76" i="7"/>
  <c r="K76" i="7"/>
  <c r="J76" i="7"/>
  <c r="I76" i="7"/>
  <c r="G76" i="7"/>
  <c r="F76" i="7"/>
  <c r="E76" i="7"/>
  <c r="M73" i="7"/>
  <c r="L73" i="7"/>
  <c r="J73" i="7"/>
  <c r="I73" i="7"/>
  <c r="H73" i="7"/>
  <c r="F73" i="7"/>
  <c r="E73" i="7"/>
  <c r="D73" i="7"/>
  <c r="BO41" i="7"/>
  <c r="BO40" i="7"/>
  <c r="BO39" i="7"/>
  <c r="BO38" i="7"/>
  <c r="BO37" i="7"/>
  <c r="BO36" i="7"/>
  <c r="BO35" i="7"/>
  <c r="BO34" i="7"/>
  <c r="BO33" i="7"/>
  <c r="BO32" i="7"/>
  <c r="BO31" i="7"/>
  <c r="BO30" i="7"/>
  <c r="BO29" i="7"/>
  <c r="BO28" i="7"/>
  <c r="BO27" i="7"/>
  <c r="BO26" i="7"/>
  <c r="BO25" i="7"/>
  <c r="BO24" i="7"/>
  <c r="BO23" i="7"/>
  <c r="BO22" i="7"/>
  <c r="BO21" i="7"/>
  <c r="BO20" i="7"/>
  <c r="BO19" i="7"/>
  <c r="BO18" i="7"/>
  <c r="BO17" i="7"/>
  <c r="BO16" i="7"/>
  <c r="BO15" i="7"/>
  <c r="BO14" i="7"/>
  <c r="BO13" i="7"/>
  <c r="BO12" i="7"/>
  <c r="BO11" i="7"/>
  <c r="BO10" i="7"/>
  <c r="BO9" i="7"/>
  <c r="BO8" i="7"/>
  <c r="BO7" i="7"/>
  <c r="BO6" i="7"/>
  <c r="BO5" i="7"/>
  <c r="C42" i="7"/>
  <c r="BH39" i="7"/>
  <c r="BH38" i="7"/>
  <c r="BH37" i="7"/>
  <c r="BH36" i="7"/>
  <c r="BH33" i="7"/>
  <c r="BH30" i="7"/>
  <c r="BD39" i="7"/>
  <c r="BD38" i="7"/>
  <c r="BD37" i="7"/>
  <c r="BD36" i="7"/>
  <c r="BD33" i="7"/>
  <c r="BD30" i="7"/>
  <c r="AZ39" i="7"/>
  <c r="AZ38" i="7"/>
  <c r="AZ37" i="7"/>
  <c r="AZ36" i="7"/>
  <c r="AZ33" i="7"/>
  <c r="AZ30" i="7"/>
  <c r="AR39" i="7"/>
  <c r="AR38" i="7"/>
  <c r="AR37" i="7"/>
  <c r="AR36" i="7"/>
  <c r="AR33" i="7"/>
  <c r="AR30" i="7"/>
  <c r="AN39" i="7"/>
  <c r="AN38" i="7"/>
  <c r="AN37" i="7"/>
  <c r="AN36" i="7"/>
  <c r="AN33" i="7"/>
  <c r="AN30" i="7"/>
  <c r="AN29" i="7"/>
  <c r="AJ39" i="7"/>
  <c r="AJ38" i="7"/>
  <c r="AJ37" i="7"/>
  <c r="AJ36" i="7"/>
  <c r="AJ33" i="7"/>
  <c r="AJ31" i="7"/>
  <c r="AJ30" i="7"/>
  <c r="AJ29" i="7"/>
  <c r="AB5" i="7"/>
  <c r="DR149" i="9" l="1"/>
  <c r="DS149" i="9" s="1"/>
  <c r="DS135" i="9"/>
  <c r="DL149" i="9"/>
  <c r="CJ154" i="9"/>
  <c r="CJ155" i="9" s="1"/>
  <c r="DK149" i="9"/>
  <c r="CI154" i="9"/>
  <c r="CI155" i="9" s="1"/>
  <c r="DA106" i="8"/>
  <c r="DE106" i="8" s="1"/>
  <c r="DI106" i="8" s="1"/>
  <c r="DM106" i="8" s="1"/>
  <c r="CX109" i="8"/>
  <c r="DB109" i="8" s="1"/>
  <c r="DF109" i="8" s="1"/>
  <c r="DJ109" i="8" s="1"/>
  <c r="CX113" i="8"/>
  <c r="DB113" i="8" s="1"/>
  <c r="DF113" i="8" s="1"/>
  <c r="DJ113" i="8" s="1"/>
  <c r="CY109" i="8"/>
  <c r="DC109" i="8" s="1"/>
  <c r="DG109" i="8" s="1"/>
  <c r="DK109" i="8" s="1"/>
  <c r="CX115" i="8"/>
  <c r="DB115" i="8" s="1"/>
  <c r="DF115" i="8" s="1"/>
  <c r="DJ115" i="8" s="1"/>
  <c r="CY115" i="8"/>
  <c r="DC115" i="8" s="1"/>
  <c r="DG115" i="8" s="1"/>
  <c r="DK115" i="8" s="1"/>
  <c r="AT31" i="8"/>
  <c r="CZ115" i="8"/>
  <c r="DD115" i="8" s="1"/>
  <c r="DH115" i="8" s="1"/>
  <c r="DL115" i="8" s="1"/>
  <c r="CH130" i="8"/>
  <c r="CY130" i="8" s="1"/>
  <c r="AT135" i="8"/>
  <c r="AZ130" i="8"/>
  <c r="CZ109" i="8"/>
  <c r="DD109" i="8" s="1"/>
  <c r="DH109" i="8" s="1"/>
  <c r="DL109" i="8" s="1"/>
  <c r="CX106" i="8"/>
  <c r="DB106" i="8" s="1"/>
  <c r="DF106" i="8" s="1"/>
  <c r="DJ106" i="8" s="1"/>
  <c r="CX112" i="8"/>
  <c r="DB112" i="8" s="1"/>
  <c r="DF112" i="8" s="1"/>
  <c r="DJ112" i="8" s="1"/>
  <c r="CX114" i="8"/>
  <c r="DB114" i="8" s="1"/>
  <c r="DF114" i="8" s="1"/>
  <c r="DJ114" i="8" s="1"/>
  <c r="BP130" i="8"/>
  <c r="AJ131" i="8"/>
  <c r="AY132" i="8"/>
  <c r="T130" i="8"/>
  <c r="CI130" i="8"/>
  <c r="CZ130" i="8" s="1"/>
  <c r="BO132" i="8"/>
  <c r="CH132" i="8"/>
  <c r="CY132" i="8" s="1"/>
  <c r="AZ132" i="8"/>
  <c r="BO131" i="8"/>
  <c r="AJ130" i="8"/>
  <c r="AJ132" i="8"/>
  <c r="AY131" i="8"/>
  <c r="BO143" i="8"/>
  <c r="AE135" i="8"/>
  <c r="BO130" i="8"/>
  <c r="U130" i="8"/>
  <c r="AY130" i="8"/>
  <c r="CH131" i="8"/>
  <c r="CY131" i="8" s="1"/>
  <c r="T131" i="8"/>
  <c r="BP132" i="8"/>
  <c r="BP131" i="8"/>
  <c r="AZ131" i="8"/>
  <c r="T132" i="8"/>
  <c r="BR135" i="8"/>
  <c r="CE65" i="8"/>
  <c r="CI109" i="8"/>
  <c r="CM109" i="8" s="1"/>
  <c r="CQ109" i="8" s="1"/>
  <c r="CU109" i="8" s="1"/>
  <c r="CI112" i="8"/>
  <c r="AY143" i="8"/>
  <c r="BX66" i="8"/>
  <c r="BP143" i="8"/>
  <c r="BZ72" i="8"/>
  <c r="BR31" i="8"/>
  <c r="AI143" i="8"/>
  <c r="CE71" i="8"/>
  <c r="CH109" i="8"/>
  <c r="CL109" i="8" s="1"/>
  <c r="CP109" i="8" s="1"/>
  <c r="CT109" i="8" s="1"/>
  <c r="CH114" i="8"/>
  <c r="CL114" i="8" s="1"/>
  <c r="CP114" i="8" s="1"/>
  <c r="CT114" i="8" s="1"/>
  <c r="CH115" i="8"/>
  <c r="CL115" i="8" s="1"/>
  <c r="CP115" i="8" s="1"/>
  <c r="CT115" i="8" s="1"/>
  <c r="AJ143" i="8"/>
  <c r="CB66" i="8"/>
  <c r="CE68" i="8"/>
  <c r="CE72" i="8"/>
  <c r="CE70" i="8"/>
  <c r="AQ144" i="8"/>
  <c r="S143" i="8"/>
  <c r="CH113" i="8"/>
  <c r="CL113" i="8" s="1"/>
  <c r="CP113" i="8" s="1"/>
  <c r="CT113" i="8" s="1"/>
  <c r="AZ143" i="8"/>
  <c r="CJ109" i="8"/>
  <c r="CN109" i="8" s="1"/>
  <c r="CR109" i="8" s="1"/>
  <c r="CV109" i="8" s="1"/>
  <c r="BR144" i="8"/>
  <c r="CG106" i="8"/>
  <c r="CK106" i="8" s="1"/>
  <c r="CO106" i="8" s="1"/>
  <c r="CS106" i="8" s="1"/>
  <c r="CJ115" i="8"/>
  <c r="CN115" i="8" s="1"/>
  <c r="CR115" i="8" s="1"/>
  <c r="CV115" i="8" s="1"/>
  <c r="AE31" i="8"/>
  <c r="BY72" i="8"/>
  <c r="CD63" i="8"/>
  <c r="CB62" i="8"/>
  <c r="AE144" i="8"/>
  <c r="BY66" i="8"/>
  <c r="BW68" i="8"/>
  <c r="CB74" i="8"/>
  <c r="BT62" i="8"/>
  <c r="BY62" i="8"/>
  <c r="CE73" i="8"/>
  <c r="CH106" i="8"/>
  <c r="CL106" i="8" s="1"/>
  <c r="CP106" i="8" s="1"/>
  <c r="CT106" i="8" s="1"/>
  <c r="AM144" i="8"/>
  <c r="CH112" i="8"/>
  <c r="CL112" i="8" s="1"/>
  <c r="CP112" i="8" s="1"/>
  <c r="CT112" i="8" s="1"/>
  <c r="AE118" i="8"/>
  <c r="AT144" i="8"/>
  <c r="CI115" i="8"/>
  <c r="CM115" i="8" s="1"/>
  <c r="CQ115" i="8" s="1"/>
  <c r="CU115" i="8" s="1"/>
  <c r="T143" i="8"/>
  <c r="CH143" i="8"/>
  <c r="CY143" i="8" s="1"/>
  <c r="CG143" i="8"/>
  <c r="CX143" i="8" s="1"/>
  <c r="BX62" i="8"/>
  <c r="CC66" i="8"/>
  <c r="BZ62" i="8"/>
  <c r="BU62" i="8"/>
  <c r="BX63" i="8"/>
  <c r="BZ63" i="8"/>
  <c r="CC62" i="8"/>
  <c r="CD62" i="8"/>
  <c r="CA62" i="8"/>
  <c r="CE62" i="8"/>
  <c r="BW62" i="8"/>
  <c r="CC63" i="8"/>
  <c r="CE66" i="8"/>
  <c r="BT66" i="8"/>
  <c r="CB63" i="8"/>
  <c r="CE63" i="8"/>
  <c r="BV62" i="8"/>
  <c r="BW63" i="8"/>
  <c r="BY63" i="8"/>
  <c r="CE74" i="8"/>
  <c r="AE75" i="8"/>
  <c r="BZ70" i="8"/>
  <c r="AT75" i="8"/>
  <c r="BZ73" i="8"/>
  <c r="AT118" i="8"/>
  <c r="CE116" i="7"/>
  <c r="CI116" i="7" s="1"/>
  <c r="CM116" i="7" s="1"/>
  <c r="CQ116" i="7" s="1"/>
  <c r="CE119" i="7"/>
  <c r="CI119" i="7" s="1"/>
  <c r="CM119" i="7" s="1"/>
  <c r="CQ119" i="7" s="1"/>
  <c r="CE123" i="7"/>
  <c r="CI123" i="7" s="1"/>
  <c r="CM123" i="7" s="1"/>
  <c r="CQ123" i="7" s="1"/>
  <c r="CE125" i="7"/>
  <c r="CI125" i="7" s="1"/>
  <c r="CM125" i="7" s="1"/>
  <c r="CQ125" i="7" s="1"/>
  <c r="BL36" i="7"/>
  <c r="AV33" i="7"/>
  <c r="CF119" i="7"/>
  <c r="CJ119" i="7" s="1"/>
  <c r="CN119" i="7" s="1"/>
  <c r="CR119" i="7" s="1"/>
  <c r="CF122" i="7"/>
  <c r="CF125" i="7"/>
  <c r="CJ125" i="7" s="1"/>
  <c r="CN125" i="7" s="1"/>
  <c r="CR125" i="7" s="1"/>
  <c r="BL38" i="7"/>
  <c r="AV30" i="7"/>
  <c r="CG119" i="7"/>
  <c r="CK119" i="7" s="1"/>
  <c r="CO119" i="7" s="1"/>
  <c r="CS119" i="7" s="1"/>
  <c r="CE122" i="7"/>
  <c r="CI122" i="7" s="1"/>
  <c r="CM122" i="7" s="1"/>
  <c r="CQ122" i="7" s="1"/>
  <c r="CG125" i="7"/>
  <c r="CK125" i="7" s="1"/>
  <c r="CO125" i="7" s="1"/>
  <c r="CS125" i="7" s="1"/>
  <c r="AB128" i="7"/>
  <c r="BL39" i="7"/>
  <c r="AB85" i="7"/>
  <c r="CE124" i="7"/>
  <c r="CI124" i="7" s="1"/>
  <c r="CM124" i="7" s="1"/>
  <c r="CQ124" i="7" s="1"/>
  <c r="BL30" i="7"/>
  <c r="AV38" i="7"/>
  <c r="BL33" i="7"/>
  <c r="BL37" i="7"/>
  <c r="AV36" i="7"/>
  <c r="AV39" i="7"/>
  <c r="CD116" i="7"/>
  <c r="CH116" i="7" s="1"/>
  <c r="CL116" i="7" s="1"/>
  <c r="CP116" i="7" s="1"/>
  <c r="AQ85" i="7"/>
  <c r="AQ128" i="7"/>
  <c r="AV37" i="7"/>
  <c r="AQ41" i="7"/>
  <c r="AQ40" i="7"/>
  <c r="BJ39" i="7"/>
  <c r="BI39" i="7"/>
  <c r="BF39" i="7"/>
  <c r="BE39" i="7"/>
  <c r="BB39" i="7"/>
  <c r="BA39" i="7"/>
  <c r="AT39" i="7"/>
  <c r="AS39" i="7"/>
  <c r="AQ39" i="7"/>
  <c r="AP39" i="7"/>
  <c r="AO39" i="7"/>
  <c r="AM39" i="7"/>
  <c r="AL39" i="7"/>
  <c r="AK39" i="7"/>
  <c r="BI38" i="7"/>
  <c r="BE38" i="7"/>
  <c r="BA38" i="7"/>
  <c r="AS38" i="7"/>
  <c r="AQ38" i="7"/>
  <c r="AO38" i="7"/>
  <c r="AK38" i="7"/>
  <c r="BI37" i="7"/>
  <c r="BE37" i="7"/>
  <c r="BA37" i="7"/>
  <c r="AS37" i="7"/>
  <c r="AQ37" i="7"/>
  <c r="AO37" i="7"/>
  <c r="AK37" i="7"/>
  <c r="BI36" i="7"/>
  <c r="BE36" i="7"/>
  <c r="BA36" i="7"/>
  <c r="AS36" i="7"/>
  <c r="AQ36" i="7"/>
  <c r="AO36" i="7"/>
  <c r="AK36" i="7"/>
  <c r="AQ35" i="7"/>
  <c r="AQ34" i="7"/>
  <c r="BJ33" i="7"/>
  <c r="BI33" i="7"/>
  <c r="BF33" i="7"/>
  <c r="BE33" i="7"/>
  <c r="BB33" i="7"/>
  <c r="BA33" i="7"/>
  <c r="AT33" i="7"/>
  <c r="AS33" i="7"/>
  <c r="AQ33" i="7"/>
  <c r="AP33" i="7"/>
  <c r="AO33" i="7"/>
  <c r="AM33" i="7"/>
  <c r="AL33" i="7"/>
  <c r="AK33" i="7"/>
  <c r="AQ32" i="7"/>
  <c r="AQ31" i="7"/>
  <c r="BI30" i="7"/>
  <c r="BE30" i="7"/>
  <c r="BA30" i="7"/>
  <c r="AS30" i="7"/>
  <c r="AQ30" i="7"/>
  <c r="AO30" i="7"/>
  <c r="AK30" i="7"/>
  <c r="AQ29" i="7"/>
  <c r="AQ28" i="7"/>
  <c r="AQ27" i="7"/>
  <c r="AQ26" i="7"/>
  <c r="AQ25" i="7"/>
  <c r="AQ24" i="7"/>
  <c r="AQ23" i="7"/>
  <c r="AQ22" i="7"/>
  <c r="AQ21" i="7"/>
  <c r="AQ20" i="7"/>
  <c r="AQ19" i="7"/>
  <c r="AQ18" i="7"/>
  <c r="AQ17" i="7"/>
  <c r="AK17" i="7"/>
  <c r="AQ16" i="7"/>
  <c r="AQ15" i="7"/>
  <c r="AQ14" i="7"/>
  <c r="AQ13" i="7"/>
  <c r="AQ12" i="7"/>
  <c r="AQ11" i="7"/>
  <c r="AQ10" i="7"/>
  <c r="AQ9" i="7"/>
  <c r="AQ8" i="7"/>
  <c r="AQ7" i="7"/>
  <c r="AQ6" i="7"/>
  <c r="AQ5" i="7"/>
  <c r="AB41" i="7"/>
  <c r="AB40" i="7"/>
  <c r="AE39" i="7"/>
  <c r="AD39" i="7"/>
  <c r="AC39" i="7"/>
  <c r="AB39" i="7"/>
  <c r="AC38" i="7"/>
  <c r="AB38" i="7"/>
  <c r="AC37" i="7"/>
  <c r="AB37" i="7"/>
  <c r="AC36" i="7"/>
  <c r="AB36" i="7"/>
  <c r="AB35" i="7"/>
  <c r="AB34" i="7"/>
  <c r="AE33" i="7"/>
  <c r="AD33" i="7"/>
  <c r="AC33" i="7"/>
  <c r="AB33" i="7"/>
  <c r="AB32" i="7"/>
  <c r="AB31" i="7"/>
  <c r="AC30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A39" i="7"/>
  <c r="Z39" i="7"/>
  <c r="Y39" i="7"/>
  <c r="Y38" i="7"/>
  <c r="Y37" i="7"/>
  <c r="Z36" i="7"/>
  <c r="Y36" i="7"/>
  <c r="AA33" i="7"/>
  <c r="Z33" i="7"/>
  <c r="Y33" i="7"/>
  <c r="Y30" i="7"/>
  <c r="X30" i="7"/>
  <c r="W39" i="7"/>
  <c r="V39" i="7"/>
  <c r="U39" i="7"/>
  <c r="U38" i="7"/>
  <c r="U37" i="7"/>
  <c r="V36" i="7"/>
  <c r="U36" i="7"/>
  <c r="W33" i="7"/>
  <c r="V33" i="7"/>
  <c r="U33" i="7"/>
  <c r="U30" i="7"/>
  <c r="T30" i="7"/>
  <c r="O39" i="7"/>
  <c r="N39" i="7"/>
  <c r="M39" i="7"/>
  <c r="M38" i="7"/>
  <c r="M37" i="7"/>
  <c r="N36" i="7"/>
  <c r="M36" i="7"/>
  <c r="O33" i="7"/>
  <c r="N33" i="7"/>
  <c r="M33" i="7"/>
  <c r="M30" i="7"/>
  <c r="L30" i="7"/>
  <c r="K39" i="7"/>
  <c r="K33" i="7"/>
  <c r="J30" i="7"/>
  <c r="J33" i="7"/>
  <c r="J36" i="7"/>
  <c r="J39" i="7"/>
  <c r="I30" i="7"/>
  <c r="I33" i="7"/>
  <c r="I36" i="7"/>
  <c r="I37" i="7"/>
  <c r="I38" i="7"/>
  <c r="I39" i="7"/>
  <c r="G33" i="7"/>
  <c r="G39" i="7"/>
  <c r="F30" i="7"/>
  <c r="F33" i="7"/>
  <c r="F36" i="7"/>
  <c r="F37" i="7"/>
  <c r="F38" i="7"/>
  <c r="F39" i="7"/>
  <c r="H30" i="7"/>
  <c r="H21" i="7"/>
  <c r="BK42" i="7"/>
  <c r="BG42" i="7"/>
  <c r="BC42" i="7"/>
  <c r="AU42" i="7"/>
  <c r="E39" i="7"/>
  <c r="E38" i="7"/>
  <c r="E37" i="7"/>
  <c r="E36" i="7"/>
  <c r="E33" i="7"/>
  <c r="E30" i="7"/>
  <c r="D30" i="7"/>
  <c r="JU50" i="6"/>
  <c r="JT50" i="6"/>
  <c r="JS50" i="6"/>
  <c r="JP50" i="6"/>
  <c r="JO50" i="6"/>
  <c r="JN50" i="6"/>
  <c r="JK50" i="6"/>
  <c r="JJ50" i="6"/>
  <c r="JI50" i="6"/>
  <c r="JF50" i="6"/>
  <c r="JE50" i="6"/>
  <c r="JD50" i="6"/>
  <c r="JA50" i="6"/>
  <c r="IZ50" i="6"/>
  <c r="IY50" i="6"/>
  <c r="IV50" i="6"/>
  <c r="IU50" i="6"/>
  <c r="IT50" i="6"/>
  <c r="IQ50" i="6"/>
  <c r="IP50" i="6"/>
  <c r="IO50" i="6"/>
  <c r="IL50" i="6"/>
  <c r="IK50" i="6"/>
  <c r="IJ50" i="6"/>
  <c r="IB50" i="6"/>
  <c r="HW50" i="6"/>
  <c r="HV50" i="6"/>
  <c r="HU50" i="6"/>
  <c r="HR50" i="6"/>
  <c r="HQ50" i="6"/>
  <c r="HP50" i="6"/>
  <c r="HM50" i="6"/>
  <c r="HL50" i="6"/>
  <c r="HK50" i="6"/>
  <c r="HH50" i="6"/>
  <c r="HG50" i="6"/>
  <c r="HF50" i="6"/>
  <c r="HC50" i="6"/>
  <c r="HB50" i="6"/>
  <c r="HA50" i="6"/>
  <c r="GX50" i="6"/>
  <c r="GW50" i="6"/>
  <c r="GV50" i="6"/>
  <c r="GS50" i="6"/>
  <c r="GR50" i="6"/>
  <c r="GQ50" i="6"/>
  <c r="GN50" i="6"/>
  <c r="GM50" i="6"/>
  <c r="GL50" i="6"/>
  <c r="GI50" i="6"/>
  <c r="GH50" i="6"/>
  <c r="GG50" i="6"/>
  <c r="GD50" i="6"/>
  <c r="GC50" i="6"/>
  <c r="GB50" i="6"/>
  <c r="FY50" i="6"/>
  <c r="FX50" i="6"/>
  <c r="FW50" i="6"/>
  <c r="FT50" i="6"/>
  <c r="FS50" i="6"/>
  <c r="FR50" i="6"/>
  <c r="FO50" i="6"/>
  <c r="FJ50" i="6"/>
  <c r="FI50" i="6"/>
  <c r="FH50" i="6"/>
  <c r="FE50" i="6"/>
  <c r="FD50" i="6"/>
  <c r="FC50" i="6"/>
  <c r="EZ50" i="6"/>
  <c r="EY50" i="6"/>
  <c r="EX50" i="6"/>
  <c r="EU50" i="6"/>
  <c r="ET50" i="6"/>
  <c r="ES50" i="6"/>
  <c r="EP50" i="6"/>
  <c r="EO50" i="6"/>
  <c r="EN50" i="6"/>
  <c r="EK50" i="6"/>
  <c r="EJ50" i="6"/>
  <c r="EI50" i="6"/>
  <c r="EF50" i="6"/>
  <c r="EE50" i="6"/>
  <c r="ED50" i="6"/>
  <c r="EA50" i="6"/>
  <c r="DZ50" i="6"/>
  <c r="DY50" i="6"/>
  <c r="DV50" i="6"/>
  <c r="DU50" i="6"/>
  <c r="DT50" i="6"/>
  <c r="DQ50" i="6"/>
  <c r="DP50" i="6"/>
  <c r="DO50" i="6"/>
  <c r="DL50" i="6"/>
  <c r="DK50" i="6"/>
  <c r="DJ50" i="6"/>
  <c r="DG50" i="6"/>
  <c r="DF50" i="6"/>
  <c r="DE50" i="6"/>
  <c r="DB50" i="6"/>
  <c r="DA50" i="6"/>
  <c r="CZ50" i="6"/>
  <c r="CW50" i="6"/>
  <c r="CV50" i="6"/>
  <c r="CU50" i="6"/>
  <c r="CT50" i="6"/>
  <c r="CR50" i="6"/>
  <c r="CQ50" i="6"/>
  <c r="CP50" i="6"/>
  <c r="CN50" i="6"/>
  <c r="CM50" i="6"/>
  <c r="CL50" i="6"/>
  <c r="CK50" i="6"/>
  <c r="CI50" i="6"/>
  <c r="CH50" i="6"/>
  <c r="CG50" i="6"/>
  <c r="CF50" i="6"/>
  <c r="CD50" i="6"/>
  <c r="CC50" i="6"/>
  <c r="CB50" i="6"/>
  <c r="CA50" i="6"/>
  <c r="BY50" i="6"/>
  <c r="BX50" i="6"/>
  <c r="BW50" i="6"/>
  <c r="BV50" i="6"/>
  <c r="BT50" i="6"/>
  <c r="BS50" i="6"/>
  <c r="BO50" i="6"/>
  <c r="BN50" i="6"/>
  <c r="BJ50" i="6"/>
  <c r="BI50" i="6"/>
  <c r="BE50" i="6"/>
  <c r="BD50" i="6"/>
  <c r="AZ50" i="6"/>
  <c r="AY50" i="6"/>
  <c r="AX50" i="6"/>
  <c r="AW50" i="6"/>
  <c r="AU50" i="6"/>
  <c r="AT50" i="6"/>
  <c r="AS50" i="6"/>
  <c r="AR50" i="6"/>
  <c r="AP50" i="6"/>
  <c r="AO50" i="6"/>
  <c r="AN50" i="6"/>
  <c r="AM50" i="6"/>
  <c r="AK50" i="6"/>
  <c r="AJ50" i="6"/>
  <c r="AI50" i="6"/>
  <c r="AF50" i="6"/>
  <c r="AE50" i="6"/>
  <c r="AD50" i="6"/>
  <c r="AC50" i="6"/>
  <c r="AA50" i="6"/>
  <c r="Z50" i="6"/>
  <c r="Y50" i="6"/>
  <c r="X50" i="6"/>
  <c r="V50" i="6"/>
  <c r="U50" i="6"/>
  <c r="T50" i="6"/>
  <c r="S50" i="6"/>
  <c r="Q50" i="6"/>
  <c r="P50" i="6"/>
  <c r="O50" i="6"/>
  <c r="N50" i="6"/>
  <c r="L50" i="6"/>
  <c r="K50" i="6"/>
  <c r="J50" i="6"/>
  <c r="I50" i="6"/>
  <c r="E50" i="6"/>
  <c r="D50" i="6"/>
  <c r="C50" i="6"/>
  <c r="JW49" i="6"/>
  <c r="JR49" i="6"/>
  <c r="JM49" i="6"/>
  <c r="JH49" i="6"/>
  <c r="JC49" i="6"/>
  <c r="IX49" i="6"/>
  <c r="IS49" i="6"/>
  <c r="IN49" i="6"/>
  <c r="II49" i="6"/>
  <c r="ID49" i="6"/>
  <c r="HY49" i="6"/>
  <c r="HT49" i="6"/>
  <c r="HO49" i="6"/>
  <c r="HJ49" i="6"/>
  <c r="HE49" i="6"/>
  <c r="GZ49" i="6"/>
  <c r="GU49" i="6"/>
  <c r="GP49" i="6"/>
  <c r="GK49" i="6"/>
  <c r="F41" i="7" s="1"/>
  <c r="GF49" i="6"/>
  <c r="GA49" i="6"/>
  <c r="FV49" i="6"/>
  <c r="FQ49" i="6"/>
  <c r="FL49" i="6"/>
  <c r="FG49" i="6"/>
  <c r="FB49" i="6"/>
  <c r="EW49" i="6"/>
  <c r="ER49" i="6"/>
  <c r="EM49" i="6"/>
  <c r="EH49" i="6"/>
  <c r="EC49" i="6"/>
  <c r="DX49" i="6"/>
  <c r="DS49" i="6"/>
  <c r="DN49" i="6"/>
  <c r="DI49" i="6"/>
  <c r="DD49" i="6"/>
  <c r="CY49" i="6"/>
  <c r="CO49" i="6"/>
  <c r="CJ49" i="6"/>
  <c r="CE49" i="6"/>
  <c r="L41" i="7" s="1"/>
  <c r="BZ49" i="6"/>
  <c r="BU49" i="6"/>
  <c r="BP49" i="6"/>
  <c r="BK49" i="6"/>
  <c r="BF49" i="6"/>
  <c r="BA49" i="6"/>
  <c r="AV49" i="6"/>
  <c r="AQ49" i="6"/>
  <c r="AL49" i="6"/>
  <c r="JW48" i="6"/>
  <c r="JR48" i="6"/>
  <c r="JM48" i="6"/>
  <c r="JH48" i="6"/>
  <c r="JC48" i="6"/>
  <c r="IX48" i="6"/>
  <c r="IS48" i="6"/>
  <c r="IN48" i="6"/>
  <c r="II48" i="6"/>
  <c r="ID48" i="6"/>
  <c r="HY48" i="6"/>
  <c r="HT48" i="6"/>
  <c r="HO48" i="6"/>
  <c r="HJ48" i="6"/>
  <c r="HE48" i="6"/>
  <c r="GZ48" i="6"/>
  <c r="GU48" i="6"/>
  <c r="GP48" i="6"/>
  <c r="GK48" i="6"/>
  <c r="GF48" i="6"/>
  <c r="GA48" i="6"/>
  <c r="FV48" i="6"/>
  <c r="FQ48" i="6"/>
  <c r="FL48" i="6"/>
  <c r="FG48" i="6"/>
  <c r="FB48" i="6"/>
  <c r="EW48" i="6"/>
  <c r="ER48" i="6"/>
  <c r="EM48" i="6"/>
  <c r="EH48" i="6"/>
  <c r="EC48" i="6"/>
  <c r="E40" i="7" s="1"/>
  <c r="DX48" i="6"/>
  <c r="DS48" i="6"/>
  <c r="DN48" i="6"/>
  <c r="DI48" i="6"/>
  <c r="DD48" i="6"/>
  <c r="CY48" i="6"/>
  <c r="CO48" i="6"/>
  <c r="CJ48" i="6"/>
  <c r="CE48" i="6"/>
  <c r="BZ48" i="6"/>
  <c r="BU48" i="6"/>
  <c r="BP48" i="6"/>
  <c r="BK48" i="6"/>
  <c r="BF48" i="6"/>
  <c r="BA48" i="6"/>
  <c r="AV48" i="6"/>
  <c r="AQ48" i="6"/>
  <c r="AL48" i="6"/>
  <c r="CO47" i="6"/>
  <c r="CJ47" i="6"/>
  <c r="CE47" i="6"/>
  <c r="BZ47" i="6"/>
  <c r="BU47" i="6"/>
  <c r="BP47" i="6"/>
  <c r="BK47" i="6"/>
  <c r="JW46" i="6"/>
  <c r="JR46" i="6"/>
  <c r="JM46" i="6"/>
  <c r="JH46" i="6"/>
  <c r="JC46" i="6"/>
  <c r="IX46" i="6"/>
  <c r="IS46" i="6"/>
  <c r="IN46" i="6"/>
  <c r="II46" i="6"/>
  <c r="ID46" i="6"/>
  <c r="HY46" i="6"/>
  <c r="HT46" i="6"/>
  <c r="HO46" i="6"/>
  <c r="HJ46" i="6"/>
  <c r="HE46" i="6"/>
  <c r="GZ46" i="6"/>
  <c r="GU46" i="6"/>
  <c r="GP46" i="6"/>
  <c r="CO46" i="6"/>
  <c r="CJ46" i="6"/>
  <c r="CE46" i="6"/>
  <c r="BZ46" i="6"/>
  <c r="BU46" i="6"/>
  <c r="BP46" i="6"/>
  <c r="BK46" i="6"/>
  <c r="JW45" i="6"/>
  <c r="JR45" i="6"/>
  <c r="JM45" i="6"/>
  <c r="JH45" i="6"/>
  <c r="JC45" i="6"/>
  <c r="IX45" i="6"/>
  <c r="IS45" i="6"/>
  <c r="G37" i="7" s="1"/>
  <c r="IN45" i="6"/>
  <c r="II45" i="6"/>
  <c r="ID45" i="6"/>
  <c r="HY45" i="6"/>
  <c r="HT45" i="6"/>
  <c r="HO45" i="6"/>
  <c r="HJ45" i="6"/>
  <c r="HE45" i="6"/>
  <c r="GZ45" i="6"/>
  <c r="GU45" i="6"/>
  <c r="GP45" i="6"/>
  <c r="CO45" i="6"/>
  <c r="CJ45" i="6"/>
  <c r="T37" i="7" s="1"/>
  <c r="CE45" i="6"/>
  <c r="BZ45" i="6"/>
  <c r="BU45" i="6"/>
  <c r="BP45" i="6"/>
  <c r="BK45" i="6"/>
  <c r="JW44" i="6"/>
  <c r="JR44" i="6"/>
  <c r="JM44" i="6"/>
  <c r="JH44" i="6"/>
  <c r="JC44" i="6"/>
  <c r="IX44" i="6"/>
  <c r="K36" i="7" s="1"/>
  <c r="IS44" i="6"/>
  <c r="IN44" i="6"/>
  <c r="II44" i="6"/>
  <c r="ID44" i="6"/>
  <c r="HY44" i="6"/>
  <c r="HT44" i="6"/>
  <c r="HO44" i="6"/>
  <c r="HJ44" i="6"/>
  <c r="CO44" i="6"/>
  <c r="CJ44" i="6"/>
  <c r="CE44" i="6"/>
  <c r="BZ44" i="6"/>
  <c r="H36" i="7" s="1"/>
  <c r="BU44" i="6"/>
  <c r="BP44" i="6"/>
  <c r="BK44" i="6"/>
  <c r="JW43" i="6"/>
  <c r="JR43" i="6"/>
  <c r="JM43" i="6"/>
  <c r="JH43" i="6"/>
  <c r="JC43" i="6"/>
  <c r="IX43" i="6"/>
  <c r="IS43" i="6"/>
  <c r="IN43" i="6"/>
  <c r="II43" i="6"/>
  <c r="ID43" i="6"/>
  <c r="HY43" i="6"/>
  <c r="HT43" i="6"/>
  <c r="HO43" i="6"/>
  <c r="HJ43" i="6"/>
  <c r="HE43" i="6"/>
  <c r="GZ43" i="6"/>
  <c r="GU43" i="6"/>
  <c r="N35" i="7" s="1"/>
  <c r="GP43" i="6"/>
  <c r="GK43" i="6"/>
  <c r="GF43" i="6"/>
  <c r="GA43" i="6"/>
  <c r="FV43" i="6"/>
  <c r="FQ43" i="6"/>
  <c r="FL43" i="6"/>
  <c r="FG43" i="6"/>
  <c r="FB43" i="6"/>
  <c r="EW43" i="6"/>
  <c r="ER43" i="6"/>
  <c r="EM43" i="6"/>
  <c r="EH43" i="6"/>
  <c r="EC43" i="6"/>
  <c r="DX43" i="6"/>
  <c r="DS43" i="6"/>
  <c r="DN43" i="6"/>
  <c r="DI43" i="6"/>
  <c r="DD43" i="6"/>
  <c r="CY43" i="6"/>
  <c r="CO43" i="6"/>
  <c r="CJ43" i="6"/>
  <c r="CE43" i="6"/>
  <c r="BZ43" i="6"/>
  <c r="BU43" i="6"/>
  <c r="BP43" i="6"/>
  <c r="BK43" i="6"/>
  <c r="JW42" i="6"/>
  <c r="JR42" i="6"/>
  <c r="JM42" i="6"/>
  <c r="JH42" i="6"/>
  <c r="JC42" i="6"/>
  <c r="IX42" i="6"/>
  <c r="IS42" i="6"/>
  <c r="IN42" i="6"/>
  <c r="II42" i="6"/>
  <c r="ID42" i="6"/>
  <c r="HY42" i="6"/>
  <c r="HT42" i="6"/>
  <c r="HO42" i="6"/>
  <c r="HJ42" i="6"/>
  <c r="HE42" i="6"/>
  <c r="GZ42" i="6"/>
  <c r="GU42" i="6"/>
  <c r="GP42" i="6"/>
  <c r="GK42" i="6"/>
  <c r="GF42" i="6"/>
  <c r="GA42" i="6"/>
  <c r="FV42" i="6"/>
  <c r="FQ42" i="6"/>
  <c r="FL42" i="6"/>
  <c r="FG42" i="6"/>
  <c r="FB42" i="6"/>
  <c r="EW42" i="6"/>
  <c r="ER42" i="6"/>
  <c r="EM42" i="6"/>
  <c r="EH42" i="6"/>
  <c r="EC42" i="6"/>
  <c r="DX42" i="6"/>
  <c r="DS42" i="6"/>
  <c r="DN42" i="6"/>
  <c r="DI42" i="6"/>
  <c r="DD42" i="6"/>
  <c r="CY42" i="6"/>
  <c r="CO42" i="6"/>
  <c r="CJ42" i="6"/>
  <c r="CE42" i="6"/>
  <c r="BZ42" i="6"/>
  <c r="BU42" i="6"/>
  <c r="BP42" i="6"/>
  <c r="BK42" i="6"/>
  <c r="CO41" i="6"/>
  <c r="CJ41" i="6"/>
  <c r="CE41" i="6"/>
  <c r="BZ41" i="6"/>
  <c r="BU41" i="6"/>
  <c r="BP41" i="6"/>
  <c r="BK41" i="6"/>
  <c r="JW40" i="6"/>
  <c r="JR40" i="6"/>
  <c r="JM40" i="6"/>
  <c r="JH40" i="6"/>
  <c r="JC40" i="6"/>
  <c r="IX40" i="6"/>
  <c r="IS40" i="6"/>
  <c r="IN40" i="6"/>
  <c r="II40" i="6"/>
  <c r="ID40" i="6"/>
  <c r="HY40" i="6"/>
  <c r="HT40" i="6"/>
  <c r="HO40" i="6"/>
  <c r="HJ40" i="6"/>
  <c r="HE40" i="6"/>
  <c r="GZ40" i="6"/>
  <c r="GU40" i="6"/>
  <c r="GP40" i="6"/>
  <c r="GK40" i="6"/>
  <c r="GF40" i="6"/>
  <c r="GA40" i="6"/>
  <c r="FV40" i="6"/>
  <c r="FQ40" i="6"/>
  <c r="FL40" i="6"/>
  <c r="FG40" i="6"/>
  <c r="FB40" i="6"/>
  <c r="EW40" i="6"/>
  <c r="ER40" i="6"/>
  <c r="EM40" i="6"/>
  <c r="EH40" i="6"/>
  <c r="EC40" i="6"/>
  <c r="E32" i="7" s="1"/>
  <c r="DX40" i="6"/>
  <c r="DS40" i="6"/>
  <c r="DN40" i="6"/>
  <c r="DI40" i="6"/>
  <c r="DD40" i="6"/>
  <c r="CY40" i="6"/>
  <c r="CO40" i="6"/>
  <c r="CJ40" i="6"/>
  <c r="CE40" i="6"/>
  <c r="BZ40" i="6"/>
  <c r="BU40" i="6"/>
  <c r="BP40" i="6"/>
  <c r="BK40" i="6"/>
  <c r="JW39" i="6"/>
  <c r="JR39" i="6"/>
  <c r="JM39" i="6"/>
  <c r="JH39" i="6"/>
  <c r="JC39" i="6"/>
  <c r="IX39" i="6"/>
  <c r="IS39" i="6"/>
  <c r="IN39" i="6"/>
  <c r="II39" i="6"/>
  <c r="ID39" i="6"/>
  <c r="HY39" i="6"/>
  <c r="HT39" i="6"/>
  <c r="HO39" i="6"/>
  <c r="HJ39" i="6"/>
  <c r="HE39" i="6"/>
  <c r="GZ39" i="6"/>
  <c r="GU39" i="6"/>
  <c r="GP39" i="6"/>
  <c r="GK39" i="6"/>
  <c r="GF39" i="6"/>
  <c r="GA39" i="6"/>
  <c r="FV39" i="6"/>
  <c r="FQ39" i="6"/>
  <c r="FL39" i="6"/>
  <c r="FG39" i="6"/>
  <c r="FB39" i="6"/>
  <c r="EW39" i="6"/>
  <c r="ER39" i="6"/>
  <c r="EM39" i="6"/>
  <c r="EH39" i="6"/>
  <c r="EC39" i="6"/>
  <c r="DX39" i="6"/>
  <c r="DS39" i="6"/>
  <c r="DN39" i="6"/>
  <c r="DI39" i="6"/>
  <c r="DD39" i="6"/>
  <c r="CO39" i="6"/>
  <c r="CJ39" i="6"/>
  <c r="CE39" i="6"/>
  <c r="BZ39" i="6"/>
  <c r="BU39" i="6"/>
  <c r="BP39" i="6"/>
  <c r="BK39" i="6"/>
  <c r="JW38" i="6"/>
  <c r="JR38" i="6"/>
  <c r="JM38" i="6"/>
  <c r="JH38" i="6"/>
  <c r="JC38" i="6"/>
  <c r="IX38" i="6"/>
  <c r="IS38" i="6"/>
  <c r="IN38" i="6"/>
  <c r="II38" i="6"/>
  <c r="ID38" i="6"/>
  <c r="HY38" i="6"/>
  <c r="HT38" i="6"/>
  <c r="HO38" i="6"/>
  <c r="HJ38" i="6"/>
  <c r="HE38" i="6"/>
  <c r="GZ38" i="6"/>
  <c r="GU38" i="6"/>
  <c r="JW37" i="6"/>
  <c r="JR37" i="6"/>
  <c r="JM37" i="6"/>
  <c r="JH37" i="6"/>
  <c r="JC37" i="6"/>
  <c r="IX37" i="6"/>
  <c r="IS37" i="6"/>
  <c r="IN37" i="6"/>
  <c r="II37" i="6"/>
  <c r="ID37" i="6"/>
  <c r="HY37" i="6"/>
  <c r="HT37" i="6"/>
  <c r="HO37" i="6"/>
  <c r="HJ37" i="6"/>
  <c r="HE37" i="6"/>
  <c r="GZ37" i="6"/>
  <c r="GU37" i="6"/>
  <c r="GP37" i="6"/>
  <c r="GK37" i="6"/>
  <c r="GF37" i="6"/>
  <c r="GA37" i="6"/>
  <c r="FV37" i="6"/>
  <c r="FQ37" i="6"/>
  <c r="FL37" i="6"/>
  <c r="FG37" i="6"/>
  <c r="FB37" i="6"/>
  <c r="EW37" i="6"/>
  <c r="ER37" i="6"/>
  <c r="EM37" i="6"/>
  <c r="EH37" i="6"/>
  <c r="EC37" i="6"/>
  <c r="DX37" i="6"/>
  <c r="DS37" i="6"/>
  <c r="DN37" i="6"/>
  <c r="DI37" i="6"/>
  <c r="CO37" i="6"/>
  <c r="CJ37" i="6"/>
  <c r="CE37" i="6"/>
  <c r="BZ37" i="6"/>
  <c r="BU37" i="6"/>
  <c r="BP37" i="6"/>
  <c r="BK37" i="6"/>
  <c r="BF37" i="6"/>
  <c r="BA37" i="6"/>
  <c r="AV37" i="6"/>
  <c r="AQ37" i="6"/>
  <c r="AL37" i="6"/>
  <c r="AG37" i="6"/>
  <c r="AB37" i="6"/>
  <c r="W37" i="6"/>
  <c r="R37" i="6"/>
  <c r="M37" i="6"/>
  <c r="H37" i="6"/>
  <c r="CO36" i="6"/>
  <c r="CJ36" i="6"/>
  <c r="CE36" i="6"/>
  <c r="BZ36" i="6"/>
  <c r="BU36" i="6"/>
  <c r="BP36" i="6"/>
  <c r="BK36" i="6"/>
  <c r="CO35" i="6"/>
  <c r="CJ35" i="6"/>
  <c r="T39" i="7" s="1"/>
  <c r="CE35" i="6"/>
  <c r="BZ35" i="6"/>
  <c r="BU35" i="6"/>
  <c r="BP35" i="6"/>
  <c r="BK35" i="6"/>
  <c r="BF35" i="6"/>
  <c r="BA35" i="6"/>
  <c r="AV35" i="6"/>
  <c r="AQ35" i="6"/>
  <c r="AL35" i="6"/>
  <c r="AG35" i="6"/>
  <c r="AB35" i="6"/>
  <c r="W35" i="6"/>
  <c r="R35" i="6"/>
  <c r="M35" i="6"/>
  <c r="H35" i="6"/>
  <c r="CO34" i="6"/>
  <c r="CJ34" i="6"/>
  <c r="CE34" i="6"/>
  <c r="BZ34" i="6"/>
  <c r="BU34" i="6"/>
  <c r="BP34" i="6"/>
  <c r="BK34" i="6"/>
  <c r="BF34" i="6"/>
  <c r="BA34" i="6"/>
  <c r="AV34" i="6"/>
  <c r="AQ34" i="6"/>
  <c r="AL34" i="6"/>
  <c r="AG34" i="6"/>
  <c r="AB34" i="6"/>
  <c r="W34" i="6"/>
  <c r="R34" i="6"/>
  <c r="M34" i="6"/>
  <c r="H34" i="6"/>
  <c r="CO33" i="6"/>
  <c r="CJ33" i="6"/>
  <c r="CE33" i="6"/>
  <c r="BZ33" i="6"/>
  <c r="BU33" i="6"/>
  <c r="BP33" i="6"/>
  <c r="BK33" i="6"/>
  <c r="BF33" i="6"/>
  <c r="BA33" i="6"/>
  <c r="AV33" i="6"/>
  <c r="AQ33" i="6"/>
  <c r="AL33" i="6"/>
  <c r="AG33" i="6"/>
  <c r="AB33" i="6"/>
  <c r="W33" i="6"/>
  <c r="R33" i="6"/>
  <c r="M33" i="6"/>
  <c r="H33" i="6"/>
  <c r="JW32" i="6"/>
  <c r="JR32" i="6"/>
  <c r="JM32" i="6"/>
  <c r="JH32" i="6"/>
  <c r="JC32" i="6"/>
  <c r="O28" i="7" s="1"/>
  <c r="IX32" i="6"/>
  <c r="IS32" i="6"/>
  <c r="IN32" i="6"/>
  <c r="IE32" i="6"/>
  <c r="II32" i="6" s="1"/>
  <c r="ID32" i="6"/>
  <c r="HY32" i="6"/>
  <c r="HT32" i="6"/>
  <c r="HO32" i="6"/>
  <c r="HJ32" i="6"/>
  <c r="HE32" i="6"/>
  <c r="GZ32" i="6"/>
  <c r="GU32" i="6"/>
  <c r="GP32" i="6"/>
  <c r="GK32" i="6"/>
  <c r="GF32" i="6"/>
  <c r="GA32" i="6"/>
  <c r="FV32" i="6"/>
  <c r="FN32" i="6"/>
  <c r="FQ32" i="6" s="1"/>
  <c r="FL32" i="6"/>
  <c r="FG32" i="6"/>
  <c r="FB32" i="6"/>
  <c r="EW32" i="6"/>
  <c r="ER32" i="6"/>
  <c r="U28" i="7" s="1"/>
  <c r="EM32" i="6"/>
  <c r="EH32" i="6"/>
  <c r="EC32" i="6"/>
  <c r="DX32" i="6"/>
  <c r="DS32" i="6"/>
  <c r="DN32" i="6"/>
  <c r="DI32" i="6"/>
  <c r="DD32" i="6"/>
  <c r="CY32" i="6"/>
  <c r="CO32" i="6"/>
  <c r="CJ32" i="6"/>
  <c r="CE32" i="6"/>
  <c r="BZ32" i="6"/>
  <c r="BR32" i="6"/>
  <c r="BQ32" i="6"/>
  <c r="BL32" i="6"/>
  <c r="BP32" i="6" s="1"/>
  <c r="BG32" i="6"/>
  <c r="BK32" i="6" s="1"/>
  <c r="BB32" i="6"/>
  <c r="BF32" i="6" s="1"/>
  <c r="BA32" i="6"/>
  <c r="AV32" i="6"/>
  <c r="AQ32" i="6"/>
  <c r="AL32" i="6"/>
  <c r="AG32" i="6"/>
  <c r="AB32" i="6"/>
  <c r="W32" i="6"/>
  <c r="R32" i="6"/>
  <c r="M32" i="6"/>
  <c r="H32" i="6"/>
  <c r="JW31" i="6"/>
  <c r="JR31" i="6"/>
  <c r="JM31" i="6"/>
  <c r="JH31" i="6"/>
  <c r="JC31" i="6"/>
  <c r="IX31" i="6"/>
  <c r="IS31" i="6"/>
  <c r="IN31" i="6"/>
  <c r="II31" i="6"/>
  <c r="ID31" i="6"/>
  <c r="HY31" i="6"/>
  <c r="HT31" i="6"/>
  <c r="HO31" i="6"/>
  <c r="HJ31" i="6"/>
  <c r="HE31" i="6"/>
  <c r="GZ31" i="6"/>
  <c r="GU31" i="6"/>
  <c r="GP31" i="6"/>
  <c r="GK31" i="6"/>
  <c r="GF31" i="6"/>
  <c r="GA31" i="6"/>
  <c r="FV31" i="6"/>
  <c r="FQ31" i="6"/>
  <c r="FL31" i="6"/>
  <c r="FG31" i="6"/>
  <c r="FB31" i="6"/>
  <c r="EW31" i="6"/>
  <c r="ER31" i="6"/>
  <c r="EM31" i="6"/>
  <c r="EH31" i="6"/>
  <c r="EC31" i="6"/>
  <c r="E27" i="7" s="1"/>
  <c r="DX31" i="6"/>
  <c r="DS31" i="6"/>
  <c r="DN31" i="6"/>
  <c r="DI31" i="6"/>
  <c r="DD31" i="6"/>
  <c r="CY31" i="6"/>
  <c r="CO31" i="6"/>
  <c r="CJ31" i="6"/>
  <c r="CE31" i="6"/>
  <c r="BZ31" i="6"/>
  <c r="BU31" i="6"/>
  <c r="BP31" i="6"/>
  <c r="BK31" i="6"/>
  <c r="BF31" i="6"/>
  <c r="BA31" i="6"/>
  <c r="AV31" i="6"/>
  <c r="AQ31" i="6"/>
  <c r="AL31" i="6"/>
  <c r="AG31" i="6"/>
  <c r="AB31" i="6"/>
  <c r="W31" i="6"/>
  <c r="R31" i="6"/>
  <c r="M31" i="6"/>
  <c r="H31" i="6"/>
  <c r="JW30" i="6"/>
  <c r="JR30" i="6"/>
  <c r="JM30" i="6"/>
  <c r="JH30" i="6"/>
  <c r="JC30" i="6"/>
  <c r="IX30" i="6"/>
  <c r="IS30" i="6"/>
  <c r="IN30" i="6"/>
  <c r="IE30" i="6"/>
  <c r="II30" i="6" s="1"/>
  <c r="IA30" i="6"/>
  <c r="ID30" i="6" s="1"/>
  <c r="HY30" i="6"/>
  <c r="HT30" i="6"/>
  <c r="HO30" i="6"/>
  <c r="HJ30" i="6"/>
  <c r="HE30" i="6"/>
  <c r="GZ30" i="6"/>
  <c r="GU30" i="6"/>
  <c r="GP30" i="6"/>
  <c r="J26" i="7" s="1"/>
  <c r="GK30" i="6"/>
  <c r="GF30" i="6"/>
  <c r="GA30" i="6"/>
  <c r="FV30" i="6"/>
  <c r="FQ30" i="6"/>
  <c r="FL30" i="6"/>
  <c r="FG30" i="6"/>
  <c r="FB30" i="6"/>
  <c r="EW30" i="6"/>
  <c r="ER30" i="6"/>
  <c r="EM30" i="6"/>
  <c r="EH30" i="6"/>
  <c r="EC30" i="6"/>
  <c r="DX30" i="6"/>
  <c r="DS30" i="6"/>
  <c r="DN30" i="6"/>
  <c r="DI30" i="6"/>
  <c r="DD30" i="6"/>
  <c r="CY30" i="6"/>
  <c r="CO30" i="6"/>
  <c r="CJ30" i="6"/>
  <c r="CE30" i="6"/>
  <c r="BZ30" i="6"/>
  <c r="BU30" i="6"/>
  <c r="BP30" i="6"/>
  <c r="BK30" i="6"/>
  <c r="BF30" i="6"/>
  <c r="BA30" i="6"/>
  <c r="AV30" i="6"/>
  <c r="AQ30" i="6"/>
  <c r="AL30" i="6"/>
  <c r="AG30" i="6"/>
  <c r="AB30" i="6"/>
  <c r="W30" i="6"/>
  <c r="R30" i="6"/>
  <c r="M30" i="6"/>
  <c r="H30" i="6"/>
  <c r="JW29" i="6"/>
  <c r="JR29" i="6"/>
  <c r="JM29" i="6"/>
  <c r="JH29" i="6"/>
  <c r="JC29" i="6"/>
  <c r="IX29" i="6"/>
  <c r="IS29" i="6"/>
  <c r="IN29" i="6"/>
  <c r="II29" i="6"/>
  <c r="HZ29" i="6"/>
  <c r="ID29" i="6" s="1"/>
  <c r="HY29" i="6"/>
  <c r="HT29" i="6"/>
  <c r="HO29" i="6"/>
  <c r="HJ29" i="6"/>
  <c r="HE29" i="6"/>
  <c r="GZ29" i="6"/>
  <c r="GU29" i="6"/>
  <c r="GP29" i="6"/>
  <c r="GK29" i="6"/>
  <c r="GF29" i="6"/>
  <c r="GA29" i="6"/>
  <c r="FV29" i="6"/>
  <c r="FQ29" i="6"/>
  <c r="FL29" i="6"/>
  <c r="FG29" i="6"/>
  <c r="FB29" i="6"/>
  <c r="EW29" i="6"/>
  <c r="ER29" i="6"/>
  <c r="EM29" i="6"/>
  <c r="EH29" i="6"/>
  <c r="EC29" i="6"/>
  <c r="DX29" i="6"/>
  <c r="DS29" i="6"/>
  <c r="DN29" i="6"/>
  <c r="DI29" i="6"/>
  <c r="DD29" i="6"/>
  <c r="CY29" i="6"/>
  <c r="CO29" i="6"/>
  <c r="CJ29" i="6"/>
  <c r="CE29" i="6"/>
  <c r="BZ29" i="6"/>
  <c r="BU29" i="6"/>
  <c r="BP29" i="6"/>
  <c r="BK29" i="6"/>
  <c r="BF29" i="6"/>
  <c r="BA29" i="6"/>
  <c r="AV29" i="6"/>
  <c r="AQ29" i="6"/>
  <c r="AL29" i="6"/>
  <c r="AG29" i="6"/>
  <c r="AB29" i="6"/>
  <c r="W29" i="6"/>
  <c r="R29" i="6"/>
  <c r="M29" i="6"/>
  <c r="H29" i="6"/>
  <c r="JW28" i="6"/>
  <c r="JR28" i="6"/>
  <c r="JM28" i="6"/>
  <c r="JH28" i="6"/>
  <c r="JC28" i="6"/>
  <c r="IX28" i="6"/>
  <c r="IS28" i="6"/>
  <c r="IN28" i="6"/>
  <c r="II28" i="6"/>
  <c r="HZ28" i="6"/>
  <c r="ID28" i="6" s="1"/>
  <c r="HY28" i="6"/>
  <c r="HT28" i="6"/>
  <c r="HO28" i="6"/>
  <c r="HJ28" i="6"/>
  <c r="HE28" i="6"/>
  <c r="GZ28" i="6"/>
  <c r="GU28" i="6"/>
  <c r="GP28" i="6"/>
  <c r="GK28" i="6"/>
  <c r="GF28" i="6"/>
  <c r="GA28" i="6"/>
  <c r="FV28" i="6"/>
  <c r="FQ28" i="6"/>
  <c r="FL28" i="6"/>
  <c r="FG28" i="6"/>
  <c r="FB28" i="6"/>
  <c r="EW28" i="6"/>
  <c r="ER28" i="6"/>
  <c r="EM28" i="6"/>
  <c r="EH28" i="6"/>
  <c r="EC28" i="6"/>
  <c r="DX28" i="6"/>
  <c r="DS28" i="6"/>
  <c r="DN28" i="6"/>
  <c r="DI28" i="6"/>
  <c r="DD28" i="6"/>
  <c r="CY28" i="6"/>
  <c r="CO28" i="6"/>
  <c r="CJ28" i="6"/>
  <c r="CE28" i="6"/>
  <c r="BZ28" i="6"/>
  <c r="BU28" i="6"/>
  <c r="BP28" i="6"/>
  <c r="BK28" i="6"/>
  <c r="BF28" i="6"/>
  <c r="BA28" i="6"/>
  <c r="AV28" i="6"/>
  <c r="AQ28" i="6"/>
  <c r="AL28" i="6"/>
  <c r="AG28" i="6"/>
  <c r="AB28" i="6"/>
  <c r="W28" i="6"/>
  <c r="R28" i="6"/>
  <c r="M28" i="6"/>
  <c r="H28" i="6"/>
  <c r="JW27" i="6"/>
  <c r="JR27" i="6"/>
  <c r="JM27" i="6"/>
  <c r="JH27" i="6"/>
  <c r="JC27" i="6"/>
  <c r="IX27" i="6"/>
  <c r="IS27" i="6"/>
  <c r="IN27" i="6"/>
  <c r="IE27" i="6"/>
  <c r="II27" i="6" s="1"/>
  <c r="ID27" i="6"/>
  <c r="HY27" i="6"/>
  <c r="HT27" i="6"/>
  <c r="HO27" i="6"/>
  <c r="HJ27" i="6"/>
  <c r="HE27" i="6"/>
  <c r="GZ27" i="6"/>
  <c r="GU27" i="6"/>
  <c r="GP27" i="6"/>
  <c r="GK27" i="6"/>
  <c r="GF27" i="6"/>
  <c r="GA27" i="6"/>
  <c r="FV27" i="6"/>
  <c r="FQ27" i="6"/>
  <c r="FL27" i="6"/>
  <c r="FG27" i="6"/>
  <c r="FB27" i="6"/>
  <c r="EW27" i="6"/>
  <c r="ER27" i="6"/>
  <c r="EM27" i="6"/>
  <c r="EH27" i="6"/>
  <c r="EC27" i="6"/>
  <c r="DX27" i="6"/>
  <c r="DS27" i="6"/>
  <c r="DN27" i="6"/>
  <c r="DI27" i="6"/>
  <c r="DD27" i="6"/>
  <c r="CY27" i="6"/>
  <c r="CO27" i="6"/>
  <c r="CJ27" i="6"/>
  <c r="CE27" i="6"/>
  <c r="L23" i="7" s="1"/>
  <c r="BZ27" i="6"/>
  <c r="BQ27" i="6"/>
  <c r="BU27" i="6" s="1"/>
  <c r="BL27" i="6"/>
  <c r="BP27" i="6" s="1"/>
  <c r="BG27" i="6"/>
  <c r="BK27" i="6" s="1"/>
  <c r="BB27" i="6"/>
  <c r="BF27" i="6" s="1"/>
  <c r="BA27" i="6"/>
  <c r="AV27" i="6"/>
  <c r="AQ27" i="6"/>
  <c r="AH27" i="6"/>
  <c r="AL27" i="6" s="1"/>
  <c r="AG27" i="6"/>
  <c r="AB27" i="6"/>
  <c r="W27" i="6"/>
  <c r="R27" i="6"/>
  <c r="M27" i="6"/>
  <c r="H27" i="6"/>
  <c r="JW26" i="6"/>
  <c r="JR26" i="6"/>
  <c r="JM26" i="6"/>
  <c r="JH26" i="6"/>
  <c r="JC26" i="6"/>
  <c r="IX26" i="6"/>
  <c r="IS26" i="6"/>
  <c r="IN26" i="6"/>
  <c r="II26" i="6"/>
  <c r="ID26" i="6"/>
  <c r="HY26" i="6"/>
  <c r="HT26" i="6"/>
  <c r="HO26" i="6"/>
  <c r="HJ26" i="6"/>
  <c r="HE26" i="6"/>
  <c r="GZ26" i="6"/>
  <c r="V22" i="7" s="1"/>
  <c r="GU26" i="6"/>
  <c r="GP26" i="6"/>
  <c r="GK26" i="6"/>
  <c r="GF26" i="6"/>
  <c r="GA26" i="6"/>
  <c r="FV26" i="6"/>
  <c r="FQ26" i="6"/>
  <c r="FL26" i="6"/>
  <c r="FG26" i="6"/>
  <c r="FB26" i="6"/>
  <c r="EW26" i="6"/>
  <c r="ER26" i="6"/>
  <c r="EM26" i="6"/>
  <c r="EH26" i="6"/>
  <c r="EC26" i="6"/>
  <c r="E22" i="7" s="1"/>
  <c r="DX26" i="6"/>
  <c r="DS26" i="6"/>
  <c r="DN26" i="6"/>
  <c r="DI26" i="6"/>
  <c r="DD26" i="6"/>
  <c r="CY26" i="6"/>
  <c r="CO26" i="6"/>
  <c r="CJ26" i="6"/>
  <c r="CE26" i="6"/>
  <c r="BZ26" i="6"/>
  <c r="BU26" i="6"/>
  <c r="BP26" i="6"/>
  <c r="BK26" i="6"/>
  <c r="BF26" i="6"/>
  <c r="BA26" i="6"/>
  <c r="AV26" i="6"/>
  <c r="AQ26" i="6"/>
  <c r="AL26" i="6"/>
  <c r="AG26" i="6"/>
  <c r="AB26" i="6"/>
  <c r="W26" i="6"/>
  <c r="R26" i="6"/>
  <c r="M26" i="6"/>
  <c r="H26" i="6"/>
  <c r="JW25" i="6"/>
  <c r="JR25" i="6"/>
  <c r="JM25" i="6"/>
  <c r="JH25" i="6"/>
  <c r="JC25" i="6"/>
  <c r="IX25" i="6"/>
  <c r="IS25" i="6"/>
  <c r="IN25" i="6"/>
  <c r="II25" i="6"/>
  <c r="HZ25" i="6"/>
  <c r="ID25" i="6" s="1"/>
  <c r="HY25" i="6"/>
  <c r="HT25" i="6"/>
  <c r="HO25" i="6"/>
  <c r="HJ25" i="6"/>
  <c r="HE25" i="6"/>
  <c r="GZ25" i="6"/>
  <c r="GU25" i="6"/>
  <c r="GP25" i="6"/>
  <c r="GK25" i="6"/>
  <c r="GF25" i="6"/>
  <c r="GA25" i="6"/>
  <c r="FV25" i="6"/>
  <c r="FQ25" i="6"/>
  <c r="FL25" i="6"/>
  <c r="FG25" i="6"/>
  <c r="FB25" i="6"/>
  <c r="EW25" i="6"/>
  <c r="ER25" i="6"/>
  <c r="EM25" i="6"/>
  <c r="EH25" i="6"/>
  <c r="EC25" i="6"/>
  <c r="DX25" i="6"/>
  <c r="DS25" i="6"/>
  <c r="DN25" i="6"/>
  <c r="DI25" i="6"/>
  <c r="DD25" i="6"/>
  <c r="CY25" i="6"/>
  <c r="CO25" i="6"/>
  <c r="CJ25" i="6"/>
  <c r="CE25" i="6"/>
  <c r="BZ25" i="6"/>
  <c r="BU25" i="6"/>
  <c r="BP25" i="6"/>
  <c r="BK25" i="6"/>
  <c r="BF25" i="6"/>
  <c r="BA25" i="6"/>
  <c r="AV25" i="6"/>
  <c r="AQ25" i="6"/>
  <c r="AL25" i="6"/>
  <c r="AG25" i="6"/>
  <c r="AB25" i="6"/>
  <c r="W25" i="6"/>
  <c r="R25" i="6"/>
  <c r="M25" i="6"/>
  <c r="H25" i="6"/>
  <c r="JW24" i="6"/>
  <c r="JR24" i="6"/>
  <c r="JM24" i="6"/>
  <c r="JH24" i="6"/>
  <c r="JC24" i="6"/>
  <c r="IX24" i="6"/>
  <c r="IS24" i="6"/>
  <c r="IN24" i="6"/>
  <c r="II24" i="6"/>
  <c r="HZ24" i="6"/>
  <c r="ID24" i="6" s="1"/>
  <c r="HY24" i="6"/>
  <c r="HT24" i="6"/>
  <c r="HO24" i="6"/>
  <c r="HJ24" i="6"/>
  <c r="HE24" i="6"/>
  <c r="GZ24" i="6"/>
  <c r="GU24" i="6"/>
  <c r="GP24" i="6"/>
  <c r="GK24" i="6"/>
  <c r="GF24" i="6"/>
  <c r="GA24" i="6"/>
  <c r="FV24" i="6"/>
  <c r="FQ24" i="6"/>
  <c r="FL24" i="6"/>
  <c r="FG24" i="6"/>
  <c r="FB24" i="6"/>
  <c r="EW24" i="6"/>
  <c r="ER24" i="6"/>
  <c r="EM24" i="6"/>
  <c r="EH24" i="6"/>
  <c r="EC24" i="6"/>
  <c r="DX24" i="6"/>
  <c r="DS24" i="6"/>
  <c r="DN24" i="6"/>
  <c r="DI24" i="6"/>
  <c r="DD24" i="6"/>
  <c r="CY24" i="6"/>
  <c r="CO24" i="6"/>
  <c r="CJ24" i="6"/>
  <c r="CE24" i="6"/>
  <c r="BZ24" i="6"/>
  <c r="BU24" i="6"/>
  <c r="BP24" i="6"/>
  <c r="BK24" i="6"/>
  <c r="BF24" i="6"/>
  <c r="BA24" i="6"/>
  <c r="AV24" i="6"/>
  <c r="AQ24" i="6"/>
  <c r="AL24" i="6"/>
  <c r="AG24" i="6"/>
  <c r="AB24" i="6"/>
  <c r="W24" i="6"/>
  <c r="R24" i="6"/>
  <c r="M24" i="6"/>
  <c r="H24" i="6"/>
  <c r="JW23" i="6"/>
  <c r="JR23" i="6"/>
  <c r="JM23" i="6"/>
  <c r="JH23" i="6"/>
  <c r="JC23" i="6"/>
  <c r="IX23" i="6"/>
  <c r="IS23" i="6"/>
  <c r="IN23" i="6"/>
  <c r="IE23" i="6"/>
  <c r="II23" i="6" s="1"/>
  <c r="ID23" i="6"/>
  <c r="HY23" i="6"/>
  <c r="HT23" i="6"/>
  <c r="HO23" i="6"/>
  <c r="HJ23" i="6"/>
  <c r="HE23" i="6"/>
  <c r="GZ23" i="6"/>
  <c r="GU23" i="6"/>
  <c r="GP23" i="6"/>
  <c r="GK23" i="6"/>
  <c r="GF23" i="6"/>
  <c r="GA23" i="6"/>
  <c r="FV23" i="6"/>
  <c r="FQ23" i="6"/>
  <c r="FL23" i="6"/>
  <c r="FG23" i="6"/>
  <c r="FB23" i="6"/>
  <c r="EW23" i="6"/>
  <c r="ER23" i="6"/>
  <c r="EM23" i="6"/>
  <c r="EH23" i="6"/>
  <c r="EC23" i="6"/>
  <c r="DX23" i="6"/>
  <c r="DS23" i="6"/>
  <c r="DN23" i="6"/>
  <c r="DI23" i="6"/>
  <c r="DD23" i="6"/>
  <c r="CY23" i="6"/>
  <c r="CO23" i="6"/>
  <c r="CJ23" i="6"/>
  <c r="CE23" i="6"/>
  <c r="BZ23" i="6"/>
  <c r="BQ23" i="6"/>
  <c r="BU23" i="6" s="1"/>
  <c r="BL23" i="6"/>
  <c r="BP23" i="6" s="1"/>
  <c r="BG23" i="6"/>
  <c r="BK23" i="6" s="1"/>
  <c r="BC23" i="6"/>
  <c r="BF23" i="6" s="1"/>
  <c r="BA23" i="6"/>
  <c r="AV23" i="6"/>
  <c r="AQ23" i="6"/>
  <c r="AH23" i="6"/>
  <c r="AL23" i="6" s="1"/>
  <c r="AG23" i="6"/>
  <c r="AB23" i="6"/>
  <c r="W23" i="6"/>
  <c r="R23" i="6"/>
  <c r="M23" i="6"/>
  <c r="H23" i="6"/>
  <c r="JW22" i="6"/>
  <c r="JR22" i="6"/>
  <c r="JM22" i="6"/>
  <c r="JH22" i="6"/>
  <c r="JC22" i="6"/>
  <c r="IX22" i="6"/>
  <c r="IS22" i="6"/>
  <c r="IN22" i="6"/>
  <c r="IF22" i="6"/>
  <c r="IE22" i="6"/>
  <c r="ID22" i="6"/>
  <c r="HY22" i="6"/>
  <c r="HT22" i="6"/>
  <c r="HO22" i="6"/>
  <c r="HJ22" i="6"/>
  <c r="HE22" i="6"/>
  <c r="GZ22" i="6"/>
  <c r="GU22" i="6"/>
  <c r="GP22" i="6"/>
  <c r="GK22" i="6"/>
  <c r="GF22" i="6"/>
  <c r="GA22" i="6"/>
  <c r="FV22" i="6"/>
  <c r="FQ22" i="6"/>
  <c r="FL22" i="6"/>
  <c r="FG22" i="6"/>
  <c r="FB22" i="6"/>
  <c r="EW22" i="6"/>
  <c r="ER22" i="6"/>
  <c r="EM22" i="6"/>
  <c r="EH22" i="6"/>
  <c r="I18" i="7" s="1"/>
  <c r="EC22" i="6"/>
  <c r="DX22" i="6"/>
  <c r="DS22" i="6"/>
  <c r="DN22" i="6"/>
  <c r="DI22" i="6"/>
  <c r="DD22" i="6"/>
  <c r="CY22" i="6"/>
  <c r="CO22" i="6"/>
  <c r="CJ22" i="6"/>
  <c r="CE22" i="6"/>
  <c r="BZ22" i="6"/>
  <c r="BQ22" i="6"/>
  <c r="BU22" i="6" s="1"/>
  <c r="BL22" i="6"/>
  <c r="BP22" i="6" s="1"/>
  <c r="BH22" i="6"/>
  <c r="BK22" i="6" s="1"/>
  <c r="BC22" i="6"/>
  <c r="BB22" i="6"/>
  <c r="BA22" i="6"/>
  <c r="AV22" i="6"/>
  <c r="AQ22" i="6"/>
  <c r="AL22" i="6"/>
  <c r="AG22" i="6"/>
  <c r="AB22" i="6"/>
  <c r="W22" i="6"/>
  <c r="R22" i="6"/>
  <c r="M22" i="6"/>
  <c r="H22" i="6"/>
  <c r="JW21" i="6"/>
  <c r="JR21" i="6"/>
  <c r="JM21" i="6"/>
  <c r="JH21" i="6"/>
  <c r="JC21" i="6"/>
  <c r="IX21" i="6"/>
  <c r="IS21" i="6"/>
  <c r="IN21" i="6"/>
  <c r="II21" i="6"/>
  <c r="ID21" i="6"/>
  <c r="HY21" i="6"/>
  <c r="HT21" i="6"/>
  <c r="HO21" i="6"/>
  <c r="HJ21" i="6"/>
  <c r="HE21" i="6"/>
  <c r="GZ21" i="6"/>
  <c r="GU21" i="6"/>
  <c r="GP21" i="6"/>
  <c r="J17" i="7" s="1"/>
  <c r="GK21" i="6"/>
  <c r="GF21" i="6"/>
  <c r="GA21" i="6"/>
  <c r="FV21" i="6"/>
  <c r="FQ21" i="6"/>
  <c r="FL21" i="6"/>
  <c r="FG21" i="6"/>
  <c r="FB21" i="6"/>
  <c r="EW21" i="6"/>
  <c r="ER21" i="6"/>
  <c r="EM21" i="6"/>
  <c r="EH21" i="6"/>
  <c r="EC21" i="6"/>
  <c r="DX21" i="6"/>
  <c r="DS21" i="6"/>
  <c r="DN21" i="6"/>
  <c r="DI21" i="6"/>
  <c r="DD21" i="6"/>
  <c r="CY21" i="6"/>
  <c r="CO21" i="6"/>
  <c r="CJ21" i="6"/>
  <c r="CE21" i="6"/>
  <c r="BZ21" i="6"/>
  <c r="BU21" i="6"/>
  <c r="BP21" i="6"/>
  <c r="BK21" i="6"/>
  <c r="BF21" i="6"/>
  <c r="BA21" i="6"/>
  <c r="AV21" i="6"/>
  <c r="AQ21" i="6"/>
  <c r="AL21" i="6"/>
  <c r="AG21" i="6"/>
  <c r="AB21" i="6"/>
  <c r="W21" i="6"/>
  <c r="R21" i="6"/>
  <c r="M21" i="6"/>
  <c r="H21" i="6"/>
  <c r="JW20" i="6"/>
  <c r="JR20" i="6"/>
  <c r="JM20" i="6"/>
  <c r="JH20" i="6"/>
  <c r="JC20" i="6"/>
  <c r="IX20" i="6"/>
  <c r="IS20" i="6"/>
  <c r="IN20" i="6"/>
  <c r="IF20" i="6"/>
  <c r="II20" i="6" s="1"/>
  <c r="HZ20" i="6"/>
  <c r="ID20" i="6" s="1"/>
  <c r="HY20" i="6"/>
  <c r="HT20" i="6"/>
  <c r="HO20" i="6"/>
  <c r="HJ20" i="6"/>
  <c r="HE20" i="6"/>
  <c r="GZ20" i="6"/>
  <c r="GU20" i="6"/>
  <c r="GP20" i="6"/>
  <c r="GK20" i="6"/>
  <c r="GF20" i="6"/>
  <c r="GA20" i="6"/>
  <c r="FV20" i="6"/>
  <c r="FM20" i="6"/>
  <c r="FQ20" i="6" s="1"/>
  <c r="FL20" i="6"/>
  <c r="FG20" i="6"/>
  <c r="FB20" i="6"/>
  <c r="EW20" i="6"/>
  <c r="ER20" i="6"/>
  <c r="EM20" i="6"/>
  <c r="EH20" i="6"/>
  <c r="EC20" i="6"/>
  <c r="DX20" i="6"/>
  <c r="DS20" i="6"/>
  <c r="DN20" i="6"/>
  <c r="DI20" i="6"/>
  <c r="DD20" i="6"/>
  <c r="CY20" i="6"/>
  <c r="CO20" i="6"/>
  <c r="CJ20" i="6"/>
  <c r="CE20" i="6"/>
  <c r="BZ20" i="6"/>
  <c r="BU20" i="6"/>
  <c r="BL20" i="6"/>
  <c r="BP20" i="6" s="1"/>
  <c r="BK20" i="6"/>
  <c r="BB20" i="6"/>
  <c r="BF20" i="6" s="1"/>
  <c r="BA20" i="6"/>
  <c r="AV20" i="6"/>
  <c r="AQ20" i="6"/>
  <c r="AL20" i="6"/>
  <c r="AG20" i="6"/>
  <c r="AB20" i="6"/>
  <c r="W20" i="6"/>
  <c r="R20" i="6"/>
  <c r="M20" i="6"/>
  <c r="H20" i="6"/>
  <c r="JW19" i="6"/>
  <c r="JR19" i="6"/>
  <c r="JM19" i="6"/>
  <c r="JH19" i="6"/>
  <c r="JC19" i="6"/>
  <c r="IX19" i="6"/>
  <c r="IS19" i="6"/>
  <c r="IN19" i="6"/>
  <c r="IF19" i="6"/>
  <c r="IE19" i="6"/>
  <c r="ID19" i="6"/>
  <c r="HY19" i="6"/>
  <c r="HT19" i="6"/>
  <c r="HO19" i="6"/>
  <c r="HJ19" i="6"/>
  <c r="HE19" i="6"/>
  <c r="GZ19" i="6"/>
  <c r="GU19" i="6"/>
  <c r="GP19" i="6"/>
  <c r="GK19" i="6"/>
  <c r="GF19" i="6"/>
  <c r="GA19" i="6"/>
  <c r="FV19" i="6"/>
  <c r="FQ19" i="6"/>
  <c r="FL19" i="6"/>
  <c r="FG19" i="6"/>
  <c r="FB19" i="6"/>
  <c r="EW19" i="6"/>
  <c r="ER19" i="6"/>
  <c r="EM19" i="6"/>
  <c r="EH19" i="6"/>
  <c r="EC19" i="6"/>
  <c r="DX19" i="6"/>
  <c r="DS19" i="6"/>
  <c r="DN19" i="6"/>
  <c r="DI19" i="6"/>
  <c r="DD19" i="6"/>
  <c r="CY19" i="6"/>
  <c r="CO19" i="6"/>
  <c r="CJ19" i="6"/>
  <c r="CE19" i="6"/>
  <c r="BZ19" i="6"/>
  <c r="BQ19" i="6"/>
  <c r="BU19" i="6" s="1"/>
  <c r="BL19" i="6"/>
  <c r="BP19" i="6" s="1"/>
  <c r="BG19" i="6"/>
  <c r="BK19" i="6" s="1"/>
  <c r="BB19" i="6"/>
  <c r="BF19" i="6" s="1"/>
  <c r="BA19" i="6"/>
  <c r="AV19" i="6"/>
  <c r="AQ19" i="6"/>
  <c r="AL19" i="6"/>
  <c r="AG19" i="6"/>
  <c r="AB19" i="6"/>
  <c r="W19" i="6"/>
  <c r="R19" i="6"/>
  <c r="M19" i="6"/>
  <c r="H19" i="6"/>
  <c r="JW18" i="6"/>
  <c r="JR18" i="6"/>
  <c r="JM18" i="6"/>
  <c r="JH18" i="6"/>
  <c r="JC18" i="6"/>
  <c r="IX18" i="6"/>
  <c r="IS18" i="6"/>
  <c r="IN18" i="6"/>
  <c r="IF18" i="6"/>
  <c r="IE18" i="6"/>
  <c r="II18" i="6" s="1"/>
  <c r="HZ18" i="6"/>
  <c r="ID18" i="6" s="1"/>
  <c r="HY18" i="6"/>
  <c r="HT18" i="6"/>
  <c r="HO18" i="6"/>
  <c r="HJ18" i="6"/>
  <c r="HE18" i="6"/>
  <c r="GZ18" i="6"/>
  <c r="GU18" i="6"/>
  <c r="GP18" i="6"/>
  <c r="GK18" i="6"/>
  <c r="GF18" i="6"/>
  <c r="GA18" i="6"/>
  <c r="FV18" i="6"/>
  <c r="FQ18" i="6"/>
  <c r="FL18" i="6"/>
  <c r="FG18" i="6"/>
  <c r="FB18" i="6"/>
  <c r="EW18" i="6"/>
  <c r="ER18" i="6"/>
  <c r="EM18" i="6"/>
  <c r="EH18" i="6"/>
  <c r="EC18" i="6"/>
  <c r="DX18" i="6"/>
  <c r="DS18" i="6"/>
  <c r="DN18" i="6"/>
  <c r="DI18" i="6"/>
  <c r="DD18" i="6"/>
  <c r="CY18" i="6"/>
  <c r="CO18" i="6"/>
  <c r="CJ18" i="6"/>
  <c r="CE18" i="6"/>
  <c r="BZ18" i="6"/>
  <c r="BU18" i="6"/>
  <c r="BL18" i="6"/>
  <c r="BP18" i="6" s="1"/>
  <c r="BG18" i="6"/>
  <c r="BK18" i="6" s="1"/>
  <c r="BC18" i="6"/>
  <c r="BF18" i="6" s="1"/>
  <c r="BA18" i="6"/>
  <c r="AV18" i="6"/>
  <c r="AQ18" i="6"/>
  <c r="AL18" i="6"/>
  <c r="AG18" i="6"/>
  <c r="AB18" i="6"/>
  <c r="W18" i="6"/>
  <c r="R18" i="6"/>
  <c r="M18" i="6"/>
  <c r="H18" i="6"/>
  <c r="JW17" i="6"/>
  <c r="JR17" i="6"/>
  <c r="JM17" i="6"/>
  <c r="JH17" i="6"/>
  <c r="JC17" i="6"/>
  <c r="IX17" i="6"/>
  <c r="IS17" i="6"/>
  <c r="IN17" i="6"/>
  <c r="IF17" i="6"/>
  <c r="II17" i="6" s="1"/>
  <c r="HZ17" i="6"/>
  <c r="ID17" i="6" s="1"/>
  <c r="HY17" i="6"/>
  <c r="HT17" i="6"/>
  <c r="HO17" i="6"/>
  <c r="HJ17" i="6"/>
  <c r="HE17" i="6"/>
  <c r="GZ17" i="6"/>
  <c r="GU17" i="6"/>
  <c r="GP17" i="6"/>
  <c r="GK17" i="6"/>
  <c r="F13" i="7" s="1"/>
  <c r="GF17" i="6"/>
  <c r="GA17" i="6"/>
  <c r="FV17" i="6"/>
  <c r="FQ17" i="6"/>
  <c r="FL17" i="6"/>
  <c r="FG17" i="6"/>
  <c r="FB17" i="6"/>
  <c r="EW17" i="6"/>
  <c r="ER17" i="6"/>
  <c r="EM17" i="6"/>
  <c r="EH17" i="6"/>
  <c r="EC17" i="6"/>
  <c r="DX17" i="6"/>
  <c r="DS17" i="6"/>
  <c r="DN17" i="6"/>
  <c r="DI17" i="6"/>
  <c r="DD17" i="6"/>
  <c r="CY17" i="6"/>
  <c r="CO17" i="6"/>
  <c r="CJ17" i="6"/>
  <c r="CE17" i="6"/>
  <c r="BZ17" i="6"/>
  <c r="BU17" i="6"/>
  <c r="BL17" i="6"/>
  <c r="BP17" i="6" s="1"/>
  <c r="BG17" i="6"/>
  <c r="BK17" i="6" s="1"/>
  <c r="BB17" i="6"/>
  <c r="BF17" i="6" s="1"/>
  <c r="BA17" i="6"/>
  <c r="AV17" i="6"/>
  <c r="AQ17" i="6"/>
  <c r="AL17" i="6"/>
  <c r="AG17" i="6"/>
  <c r="AB17" i="6"/>
  <c r="W17" i="6"/>
  <c r="R17" i="6"/>
  <c r="M17" i="6"/>
  <c r="H17" i="6"/>
  <c r="JW16" i="6"/>
  <c r="JR16" i="6"/>
  <c r="JM16" i="6"/>
  <c r="JH16" i="6"/>
  <c r="JC16" i="6"/>
  <c r="O12" i="7" s="1"/>
  <c r="IX16" i="6"/>
  <c r="IS16" i="6"/>
  <c r="IN16" i="6"/>
  <c r="IE16" i="6"/>
  <c r="II16" i="6" s="1"/>
  <c r="HZ16" i="6"/>
  <c r="ID16" i="6" s="1"/>
  <c r="HY16" i="6"/>
  <c r="HT16" i="6"/>
  <c r="HO16" i="6"/>
  <c r="HJ16" i="6"/>
  <c r="HE16" i="6"/>
  <c r="GZ16" i="6"/>
  <c r="GU16" i="6"/>
  <c r="GP16" i="6"/>
  <c r="GK16" i="6"/>
  <c r="GF16" i="6"/>
  <c r="GA16" i="6"/>
  <c r="FV16" i="6"/>
  <c r="FQ16" i="6"/>
  <c r="FL16" i="6"/>
  <c r="FG16" i="6"/>
  <c r="FB16" i="6"/>
  <c r="EW16" i="6"/>
  <c r="ER16" i="6"/>
  <c r="U12" i="7" s="1"/>
  <c r="EM16" i="6"/>
  <c r="EH16" i="6"/>
  <c r="EC16" i="6"/>
  <c r="DX16" i="6"/>
  <c r="DS16" i="6"/>
  <c r="DN16" i="6"/>
  <c r="DI16" i="6"/>
  <c r="DD16" i="6"/>
  <c r="CY16" i="6"/>
  <c r="CO16" i="6"/>
  <c r="CJ16" i="6"/>
  <c r="CE16" i="6"/>
  <c r="BZ16" i="6"/>
  <c r="BU16" i="6"/>
  <c r="BP16" i="6"/>
  <c r="BG16" i="6"/>
  <c r="BK16" i="6" s="1"/>
  <c r="BB16" i="6"/>
  <c r="BF16" i="6" s="1"/>
  <c r="BA16" i="6"/>
  <c r="AV16" i="6"/>
  <c r="AQ16" i="6"/>
  <c r="AL16" i="6"/>
  <c r="AG16" i="6"/>
  <c r="AB16" i="6"/>
  <c r="W16" i="6"/>
  <c r="R16" i="6"/>
  <c r="M16" i="6"/>
  <c r="H16" i="6"/>
  <c r="JW15" i="6"/>
  <c r="JR15" i="6"/>
  <c r="JM15" i="6"/>
  <c r="JH15" i="6"/>
  <c r="JC15" i="6"/>
  <c r="IX15" i="6"/>
  <c r="IS15" i="6"/>
  <c r="IN15" i="6"/>
  <c r="IE15" i="6"/>
  <c r="II15" i="6" s="1"/>
  <c r="ID15" i="6"/>
  <c r="HY15" i="6"/>
  <c r="HT15" i="6"/>
  <c r="HO15" i="6"/>
  <c r="HJ15" i="6"/>
  <c r="HE15" i="6"/>
  <c r="GZ15" i="6"/>
  <c r="GU15" i="6"/>
  <c r="GP15" i="6"/>
  <c r="GK15" i="6"/>
  <c r="GF15" i="6"/>
  <c r="GA15" i="6"/>
  <c r="FV15" i="6"/>
  <c r="FQ15" i="6"/>
  <c r="FL15" i="6"/>
  <c r="FG15" i="6"/>
  <c r="FB15" i="6"/>
  <c r="EW15" i="6"/>
  <c r="ER15" i="6"/>
  <c r="EM15" i="6"/>
  <c r="EH15" i="6"/>
  <c r="I11" i="7" s="1"/>
  <c r="EC15" i="6"/>
  <c r="DX15" i="6"/>
  <c r="DS15" i="6"/>
  <c r="DN15" i="6"/>
  <c r="DI15" i="6"/>
  <c r="DD15" i="6"/>
  <c r="CY15" i="6"/>
  <c r="CO15" i="6"/>
  <c r="CJ15" i="6"/>
  <c r="CE15" i="6"/>
  <c r="BZ15" i="6"/>
  <c r="BQ15" i="6"/>
  <c r="BU15" i="6" s="1"/>
  <c r="BL15" i="6"/>
  <c r="BP15" i="6" s="1"/>
  <c r="BG15" i="6"/>
  <c r="BK15" i="6" s="1"/>
  <c r="BB15" i="6"/>
  <c r="BF15" i="6" s="1"/>
  <c r="BA15" i="6"/>
  <c r="AV15" i="6"/>
  <c r="AQ15" i="6"/>
  <c r="AL15" i="6"/>
  <c r="AG15" i="6"/>
  <c r="AB15" i="6"/>
  <c r="W15" i="6"/>
  <c r="R15" i="6"/>
  <c r="M15" i="6"/>
  <c r="H15" i="6"/>
  <c r="JW14" i="6"/>
  <c r="JR14" i="6"/>
  <c r="JM14" i="6"/>
  <c r="JH14" i="6"/>
  <c r="JC14" i="6"/>
  <c r="IX14" i="6"/>
  <c r="IS14" i="6"/>
  <c r="IN14" i="6"/>
  <c r="II14" i="6"/>
  <c r="HZ14" i="6"/>
  <c r="ID14" i="6" s="1"/>
  <c r="HY14" i="6"/>
  <c r="HT14" i="6"/>
  <c r="HO14" i="6"/>
  <c r="HJ14" i="6"/>
  <c r="HE14" i="6"/>
  <c r="GZ14" i="6"/>
  <c r="GU14" i="6"/>
  <c r="GP14" i="6"/>
  <c r="GK14" i="6"/>
  <c r="GF14" i="6"/>
  <c r="GA14" i="6"/>
  <c r="FV14" i="6"/>
  <c r="FN14" i="6"/>
  <c r="FM14" i="6"/>
  <c r="FM50" i="6" s="1"/>
  <c r="FL14" i="6"/>
  <c r="FG14" i="6"/>
  <c r="FB14" i="6"/>
  <c r="EW14" i="6"/>
  <c r="ER14" i="6"/>
  <c r="EM14" i="6"/>
  <c r="EH14" i="6"/>
  <c r="EC14" i="6"/>
  <c r="DX14" i="6"/>
  <c r="DS14" i="6"/>
  <c r="DN14" i="6"/>
  <c r="DI14" i="6"/>
  <c r="DD14" i="6"/>
  <c r="CY14" i="6"/>
  <c r="CO14" i="6"/>
  <c r="CJ14" i="6"/>
  <c r="CE14" i="6"/>
  <c r="BZ14" i="6"/>
  <c r="BQ14" i="6"/>
  <c r="BU14" i="6" s="1"/>
  <c r="BL14" i="6"/>
  <c r="BP14" i="6" s="1"/>
  <c r="BK14" i="6"/>
  <c r="BB14" i="6"/>
  <c r="BF14" i="6" s="1"/>
  <c r="BA14" i="6"/>
  <c r="AV14" i="6"/>
  <c r="AQ14" i="6"/>
  <c r="AL14" i="6"/>
  <c r="AG14" i="6"/>
  <c r="AB14" i="6"/>
  <c r="W14" i="6"/>
  <c r="R14" i="6"/>
  <c r="M14" i="6"/>
  <c r="H14" i="6"/>
  <c r="JW13" i="6"/>
  <c r="JR13" i="6"/>
  <c r="JM13" i="6"/>
  <c r="JH13" i="6"/>
  <c r="JC13" i="6"/>
  <c r="IX13" i="6"/>
  <c r="IS13" i="6"/>
  <c r="IN13" i="6"/>
  <c r="II13" i="6"/>
  <c r="HZ13" i="6"/>
  <c r="ID13" i="6" s="1"/>
  <c r="HY13" i="6"/>
  <c r="HT13" i="6"/>
  <c r="HO13" i="6"/>
  <c r="HJ13" i="6"/>
  <c r="HE13" i="6"/>
  <c r="GZ13" i="6"/>
  <c r="GU13" i="6"/>
  <c r="GP13" i="6"/>
  <c r="GK13" i="6"/>
  <c r="GF13" i="6"/>
  <c r="GA13" i="6"/>
  <c r="FV13" i="6"/>
  <c r="FN13" i="6"/>
  <c r="FQ13" i="6" s="1"/>
  <c r="FL13" i="6"/>
  <c r="FG13" i="6"/>
  <c r="FB13" i="6"/>
  <c r="EW13" i="6"/>
  <c r="ER13" i="6"/>
  <c r="EM13" i="6"/>
  <c r="EH13" i="6"/>
  <c r="EC13" i="6"/>
  <c r="DX13" i="6"/>
  <c r="DS13" i="6"/>
  <c r="DN13" i="6"/>
  <c r="DI13" i="6"/>
  <c r="DD13" i="6"/>
  <c r="CY13" i="6"/>
  <c r="CO13" i="6"/>
  <c r="CJ13" i="6"/>
  <c r="CE13" i="6"/>
  <c r="BZ13" i="6"/>
  <c r="BQ13" i="6"/>
  <c r="BU13" i="6" s="1"/>
  <c r="BL13" i="6"/>
  <c r="BP13" i="6" s="1"/>
  <c r="BG13" i="6"/>
  <c r="BK13" i="6" s="1"/>
  <c r="BB13" i="6"/>
  <c r="BF13" i="6" s="1"/>
  <c r="BA13" i="6"/>
  <c r="AV13" i="6"/>
  <c r="AQ13" i="6"/>
  <c r="AL13" i="6"/>
  <c r="AG13" i="6"/>
  <c r="AB13" i="6"/>
  <c r="W13" i="6"/>
  <c r="R13" i="6"/>
  <c r="M13" i="6"/>
  <c r="H13" i="6"/>
  <c r="JW12" i="6"/>
  <c r="JR12" i="6"/>
  <c r="JM12" i="6"/>
  <c r="JH12" i="6"/>
  <c r="JC12" i="6"/>
  <c r="IX12" i="6"/>
  <c r="IS12" i="6"/>
  <c r="IN12" i="6"/>
  <c r="IF12" i="6"/>
  <c r="IE12" i="6"/>
  <c r="II12" i="6" s="1"/>
  <c r="ID12" i="6"/>
  <c r="HY12" i="6"/>
  <c r="HT12" i="6"/>
  <c r="HO12" i="6"/>
  <c r="HJ12" i="6"/>
  <c r="HE12" i="6"/>
  <c r="GZ12" i="6"/>
  <c r="GU12" i="6"/>
  <c r="GP12" i="6"/>
  <c r="GK12" i="6"/>
  <c r="GF12" i="6"/>
  <c r="GA12" i="6"/>
  <c r="FV12" i="6"/>
  <c r="FN12" i="6"/>
  <c r="FQ12" i="6" s="1"/>
  <c r="FL12" i="6"/>
  <c r="FG12" i="6"/>
  <c r="FB12" i="6"/>
  <c r="EW12" i="6"/>
  <c r="ER12" i="6"/>
  <c r="EM12" i="6"/>
  <c r="EH12" i="6"/>
  <c r="EC12" i="6"/>
  <c r="DX12" i="6"/>
  <c r="DS12" i="6"/>
  <c r="DN12" i="6"/>
  <c r="DI12" i="6"/>
  <c r="DD12" i="6"/>
  <c r="CY12" i="6"/>
  <c r="CO12" i="6"/>
  <c r="CJ12" i="6"/>
  <c r="CE12" i="6"/>
  <c r="BZ12" i="6"/>
  <c r="BR12" i="6"/>
  <c r="BQ12" i="6"/>
  <c r="BM12" i="6"/>
  <c r="BL12" i="6"/>
  <c r="BG12" i="6"/>
  <c r="BK12" i="6" s="1"/>
  <c r="BB12" i="6"/>
  <c r="BF12" i="6" s="1"/>
  <c r="BA12" i="6"/>
  <c r="AV12" i="6"/>
  <c r="AQ12" i="6"/>
  <c r="AL12" i="6"/>
  <c r="AG12" i="6"/>
  <c r="AB12" i="6"/>
  <c r="W12" i="6"/>
  <c r="R12" i="6"/>
  <c r="M12" i="6"/>
  <c r="H12" i="6"/>
  <c r="JW11" i="6"/>
  <c r="JR11" i="6"/>
  <c r="JM11" i="6"/>
  <c r="JH11" i="6"/>
  <c r="JC11" i="6"/>
  <c r="IX11" i="6"/>
  <c r="IS11" i="6"/>
  <c r="IN11" i="6"/>
  <c r="II11" i="6"/>
  <c r="HZ11" i="6"/>
  <c r="ID11" i="6" s="1"/>
  <c r="HY11" i="6"/>
  <c r="HT11" i="6"/>
  <c r="HO11" i="6"/>
  <c r="HJ11" i="6"/>
  <c r="HE11" i="6"/>
  <c r="GZ11" i="6"/>
  <c r="GU11" i="6"/>
  <c r="GP11" i="6"/>
  <c r="GK11" i="6"/>
  <c r="GF11" i="6"/>
  <c r="GA11" i="6"/>
  <c r="FV11" i="6"/>
  <c r="FN11" i="6"/>
  <c r="FL11" i="6"/>
  <c r="FG11" i="6"/>
  <c r="FB11" i="6"/>
  <c r="EW11" i="6"/>
  <c r="ER11" i="6"/>
  <c r="EM11" i="6"/>
  <c r="EH11" i="6"/>
  <c r="EC11" i="6"/>
  <c r="DX11" i="6"/>
  <c r="DS11" i="6"/>
  <c r="DN11" i="6"/>
  <c r="DI11" i="6"/>
  <c r="DD11" i="6"/>
  <c r="CY11" i="6"/>
  <c r="CO11" i="6"/>
  <c r="CJ11" i="6"/>
  <c r="CE11" i="6"/>
  <c r="BZ11" i="6"/>
  <c r="BQ11" i="6"/>
  <c r="BM11" i="6"/>
  <c r="BM50" i="6" s="1"/>
  <c r="BL11" i="6"/>
  <c r="BG11" i="6"/>
  <c r="BK11" i="6" s="1"/>
  <c r="BC11" i="6"/>
  <c r="BB11" i="6"/>
  <c r="BF11" i="6" s="1"/>
  <c r="BA11" i="6"/>
  <c r="AV11" i="6"/>
  <c r="AQ11" i="6"/>
  <c r="AL11" i="6"/>
  <c r="AG11" i="6"/>
  <c r="AB11" i="6"/>
  <c r="W11" i="6"/>
  <c r="R11" i="6"/>
  <c r="M11" i="6"/>
  <c r="H11" i="6"/>
  <c r="JW10" i="6"/>
  <c r="JR10" i="6"/>
  <c r="JM10" i="6"/>
  <c r="JH10" i="6"/>
  <c r="JC10" i="6"/>
  <c r="IX10" i="6"/>
  <c r="IS10" i="6"/>
  <c r="IN10" i="6"/>
  <c r="IE10" i="6"/>
  <c r="HZ10" i="6"/>
  <c r="ID10" i="6" s="1"/>
  <c r="HY10" i="6"/>
  <c r="HT10" i="6"/>
  <c r="HO10" i="6"/>
  <c r="HJ10" i="6"/>
  <c r="HE10" i="6"/>
  <c r="GZ10" i="6"/>
  <c r="GU10" i="6"/>
  <c r="GP10" i="6"/>
  <c r="GK10" i="6"/>
  <c r="GF10" i="6"/>
  <c r="GA10" i="6"/>
  <c r="FV10" i="6"/>
  <c r="FQ10" i="6"/>
  <c r="FL10" i="6"/>
  <c r="FG10" i="6"/>
  <c r="FB10" i="6"/>
  <c r="EW10" i="6"/>
  <c r="ER10" i="6"/>
  <c r="EM10" i="6"/>
  <c r="EH10" i="6"/>
  <c r="EC10" i="6"/>
  <c r="DX10" i="6"/>
  <c r="DS10" i="6"/>
  <c r="DN10" i="6"/>
  <c r="DI10" i="6"/>
  <c r="DD10" i="6"/>
  <c r="CY10" i="6"/>
  <c r="CO10" i="6"/>
  <c r="CJ10" i="6"/>
  <c r="CE10" i="6"/>
  <c r="BZ10" i="6"/>
  <c r="BU10" i="6"/>
  <c r="BP10" i="6"/>
  <c r="BK10" i="6"/>
  <c r="BB10" i="6"/>
  <c r="BF10" i="6" s="1"/>
  <c r="BA10" i="6"/>
  <c r="AV10" i="6"/>
  <c r="AQ10" i="6"/>
  <c r="AL10" i="6"/>
  <c r="AG10" i="6"/>
  <c r="AB10" i="6"/>
  <c r="W10" i="6"/>
  <c r="R10" i="6"/>
  <c r="M10" i="6"/>
  <c r="H10" i="6"/>
  <c r="JW9" i="6"/>
  <c r="JR9" i="6"/>
  <c r="JM9" i="6"/>
  <c r="JH9" i="6"/>
  <c r="JC9" i="6"/>
  <c r="IX9" i="6"/>
  <c r="IS9" i="6"/>
  <c r="IN9" i="6"/>
  <c r="IG9" i="6"/>
  <c r="IG50" i="6" s="1"/>
  <c r="ID9" i="6"/>
  <c r="HY9" i="6"/>
  <c r="HT9" i="6"/>
  <c r="HO9" i="6"/>
  <c r="HJ9" i="6"/>
  <c r="HE9" i="6"/>
  <c r="GZ9" i="6"/>
  <c r="GU9" i="6"/>
  <c r="GP9" i="6"/>
  <c r="GF9" i="6"/>
  <c r="GA9" i="6"/>
  <c r="FV9" i="6"/>
  <c r="FQ9" i="6"/>
  <c r="FL9" i="6"/>
  <c r="FG9" i="6"/>
  <c r="FB9" i="6"/>
  <c r="EW9" i="6"/>
  <c r="ER9" i="6"/>
  <c r="EM9" i="6"/>
  <c r="EH9" i="6"/>
  <c r="EC9" i="6"/>
  <c r="DX9" i="6"/>
  <c r="DS9" i="6"/>
  <c r="DN9" i="6"/>
  <c r="DI9" i="6"/>
  <c r="DD9" i="6"/>
  <c r="CY9" i="6"/>
  <c r="CO9" i="6"/>
  <c r="CJ9" i="6"/>
  <c r="CE9" i="6"/>
  <c r="BZ9" i="6"/>
  <c r="BR9" i="6"/>
  <c r="BU9" i="6" s="1"/>
  <c r="BL9" i="6"/>
  <c r="BH9" i="6"/>
  <c r="BG9" i="6"/>
  <c r="BC9" i="6"/>
  <c r="BC50" i="6" s="1"/>
  <c r="BB9" i="6"/>
  <c r="BA9" i="6"/>
  <c r="AV9" i="6"/>
  <c r="AQ9" i="6"/>
  <c r="AL9" i="6"/>
  <c r="AG9" i="6"/>
  <c r="AB9" i="6"/>
  <c r="W9" i="6"/>
  <c r="R9" i="6"/>
  <c r="M9" i="6"/>
  <c r="H9" i="6"/>
  <c r="BH50" i="6" l="1"/>
  <c r="BF22" i="6"/>
  <c r="BB12" i="7"/>
  <c r="BE88" i="8"/>
  <c r="BE45" i="8"/>
  <c r="BE14" i="8"/>
  <c r="BB55" i="7"/>
  <c r="BB98" i="7"/>
  <c r="BF11" i="7"/>
  <c r="BI87" i="8"/>
  <c r="BI13" i="8"/>
  <c r="BI44" i="8"/>
  <c r="BF97" i="7"/>
  <c r="BF54" i="7"/>
  <c r="D23" i="7"/>
  <c r="G99" i="8"/>
  <c r="G56" i="8"/>
  <c r="G25" i="8"/>
  <c r="D109" i="7"/>
  <c r="D66" i="7"/>
  <c r="X23" i="7"/>
  <c r="AA99" i="8"/>
  <c r="DA99" i="8" s="1"/>
  <c r="AA56" i="8"/>
  <c r="AA25" i="8"/>
  <c r="X66" i="7"/>
  <c r="X109" i="7"/>
  <c r="I23" i="7"/>
  <c r="L99" i="8"/>
  <c r="L25" i="8"/>
  <c r="L56" i="8"/>
  <c r="I109" i="7"/>
  <c r="I66" i="7"/>
  <c r="BA23" i="7"/>
  <c r="BD99" i="8"/>
  <c r="BD25" i="8"/>
  <c r="BD56" i="8"/>
  <c r="BA109" i="7"/>
  <c r="BA66" i="7"/>
  <c r="AD23" i="7"/>
  <c r="AG99" i="8"/>
  <c r="AG56" i="8"/>
  <c r="AG25" i="8"/>
  <c r="AD109" i="7"/>
  <c r="AD66" i="7"/>
  <c r="K23" i="7"/>
  <c r="N99" i="8"/>
  <c r="N56" i="8"/>
  <c r="N25" i="8"/>
  <c r="K66" i="7"/>
  <c r="K109" i="7"/>
  <c r="AJ24" i="7"/>
  <c r="AM57" i="8"/>
  <c r="AM26" i="8"/>
  <c r="AM100" i="8"/>
  <c r="AJ110" i="7"/>
  <c r="AJ67" i="7"/>
  <c r="M24" i="7"/>
  <c r="P100" i="8"/>
  <c r="P26" i="8"/>
  <c r="P57" i="8"/>
  <c r="M110" i="7"/>
  <c r="M67" i="7"/>
  <c r="BE24" i="7"/>
  <c r="BH100" i="8"/>
  <c r="BH57" i="8"/>
  <c r="BE110" i="7"/>
  <c r="BH26" i="8"/>
  <c r="BE67" i="7"/>
  <c r="AL24" i="7"/>
  <c r="AO100" i="8"/>
  <c r="AO57" i="8"/>
  <c r="AO26" i="8"/>
  <c r="AL110" i="7"/>
  <c r="AL67" i="7"/>
  <c r="O24" i="7"/>
  <c r="R100" i="8"/>
  <c r="R57" i="8"/>
  <c r="R26" i="8"/>
  <c r="O110" i="7"/>
  <c r="O67" i="7"/>
  <c r="AN25" i="7"/>
  <c r="AQ101" i="8"/>
  <c r="AQ27" i="8"/>
  <c r="AQ58" i="8"/>
  <c r="AN111" i="7"/>
  <c r="AN68" i="7"/>
  <c r="U25" i="7"/>
  <c r="X101" i="8"/>
  <c r="X27" i="8"/>
  <c r="X58" i="8"/>
  <c r="U111" i="7"/>
  <c r="U68" i="7"/>
  <c r="BI25" i="7"/>
  <c r="BL101" i="8"/>
  <c r="BL58" i="8"/>
  <c r="BL27" i="8"/>
  <c r="BI111" i="7"/>
  <c r="BI68" i="7"/>
  <c r="AP25" i="7"/>
  <c r="AS101" i="8"/>
  <c r="AS58" i="8"/>
  <c r="AS27" i="8"/>
  <c r="AP111" i="7"/>
  <c r="AP68" i="7"/>
  <c r="W25" i="7"/>
  <c r="Z101" i="8"/>
  <c r="Z58" i="8"/>
  <c r="Z27" i="8"/>
  <c r="W111" i="7"/>
  <c r="W68" i="7"/>
  <c r="AR26" i="7"/>
  <c r="AU102" i="8"/>
  <c r="AU59" i="8"/>
  <c r="AU28" i="8"/>
  <c r="AR112" i="7"/>
  <c r="AR69" i="7"/>
  <c r="Y26" i="7"/>
  <c r="AB102" i="8"/>
  <c r="AB59" i="8"/>
  <c r="AB28" i="8"/>
  <c r="Y112" i="7"/>
  <c r="Y69" i="7"/>
  <c r="F26" i="7"/>
  <c r="I102" i="8"/>
  <c r="I59" i="8"/>
  <c r="I28" i="8"/>
  <c r="F69" i="7"/>
  <c r="F112" i="7"/>
  <c r="AT26" i="7"/>
  <c r="AW102" i="8"/>
  <c r="AW59" i="8"/>
  <c r="AW28" i="8"/>
  <c r="AT69" i="7"/>
  <c r="AT112" i="7"/>
  <c r="AA26" i="7"/>
  <c r="AD102" i="8"/>
  <c r="AD59" i="8"/>
  <c r="AD28" i="8"/>
  <c r="AA112" i="7"/>
  <c r="AA69" i="7"/>
  <c r="D27" i="7"/>
  <c r="G103" i="8"/>
  <c r="G60" i="8"/>
  <c r="G29" i="8"/>
  <c r="D113" i="7"/>
  <c r="D70" i="7"/>
  <c r="AZ27" i="7"/>
  <c r="BC103" i="8"/>
  <c r="BC60" i="8"/>
  <c r="AZ113" i="7"/>
  <c r="BC29" i="8"/>
  <c r="AZ70" i="7"/>
  <c r="AC27" i="7"/>
  <c r="AF103" i="8"/>
  <c r="AF60" i="8"/>
  <c r="AF29" i="8"/>
  <c r="AC113" i="7"/>
  <c r="AC70" i="7"/>
  <c r="J27" i="7"/>
  <c r="M103" i="8"/>
  <c r="M60" i="8"/>
  <c r="M29" i="8"/>
  <c r="J70" i="7"/>
  <c r="J113" i="7"/>
  <c r="H5" i="7"/>
  <c r="K81" i="8"/>
  <c r="K38" i="8"/>
  <c r="K7" i="8"/>
  <c r="H48" i="7"/>
  <c r="H91" i="7"/>
  <c r="AK5" i="7"/>
  <c r="AN81" i="8"/>
  <c r="AN38" i="8"/>
  <c r="AN7" i="8"/>
  <c r="AK48" i="7"/>
  <c r="AK91" i="7"/>
  <c r="N5" i="7"/>
  <c r="Q81" i="8"/>
  <c r="Q38" i="8"/>
  <c r="Q7" i="8"/>
  <c r="N91" i="7"/>
  <c r="N48" i="7"/>
  <c r="AM5" i="7"/>
  <c r="AY5" i="7" s="1"/>
  <c r="AP7" i="8"/>
  <c r="BB7" i="8" s="1"/>
  <c r="AP81" i="8"/>
  <c r="AP38" i="8"/>
  <c r="AM91" i="7"/>
  <c r="AM48" i="7"/>
  <c r="L6" i="7"/>
  <c r="O82" i="8"/>
  <c r="O39" i="8"/>
  <c r="L49" i="7"/>
  <c r="O8" i="8"/>
  <c r="L92" i="7"/>
  <c r="BH6" i="7"/>
  <c r="BK82" i="8"/>
  <c r="BK39" i="8"/>
  <c r="BH92" i="7"/>
  <c r="BH49" i="7"/>
  <c r="BK8" i="8"/>
  <c r="V6" i="7"/>
  <c r="Y82" i="8"/>
  <c r="Y8" i="8"/>
  <c r="V49" i="7"/>
  <c r="V92" i="7"/>
  <c r="Y39" i="8"/>
  <c r="BJ6" i="7"/>
  <c r="BM82" i="8"/>
  <c r="BM39" i="8"/>
  <c r="BJ49" i="7"/>
  <c r="BM8" i="8"/>
  <c r="BJ92" i="7"/>
  <c r="AK7" i="7"/>
  <c r="AN83" i="8"/>
  <c r="AN40" i="8"/>
  <c r="AN9" i="8"/>
  <c r="AK50" i="7"/>
  <c r="AK93" i="7"/>
  <c r="AZ8" i="7"/>
  <c r="BC84" i="8"/>
  <c r="BC41" i="8"/>
  <c r="BC10" i="8"/>
  <c r="AZ94" i="7"/>
  <c r="AZ51" i="7"/>
  <c r="BB9" i="7"/>
  <c r="BE85" i="8"/>
  <c r="BE42" i="8"/>
  <c r="BE11" i="8"/>
  <c r="BB95" i="7"/>
  <c r="BB52" i="7"/>
  <c r="AK10" i="7"/>
  <c r="AN86" i="8"/>
  <c r="AN43" i="8"/>
  <c r="AN12" i="8"/>
  <c r="AK96" i="7"/>
  <c r="AK53" i="7"/>
  <c r="BB10" i="7"/>
  <c r="BE86" i="8"/>
  <c r="BE43" i="8"/>
  <c r="BB96" i="7"/>
  <c r="BE12" i="8"/>
  <c r="BB53" i="7"/>
  <c r="BD11" i="7"/>
  <c r="BG87" i="8"/>
  <c r="BG44" i="8"/>
  <c r="BG13" i="8"/>
  <c r="BD97" i="7"/>
  <c r="BD54" i="7"/>
  <c r="AK11" i="7"/>
  <c r="AN87" i="8"/>
  <c r="AN44" i="8"/>
  <c r="AN13" i="8"/>
  <c r="AK97" i="7"/>
  <c r="AK54" i="7"/>
  <c r="AE11" i="7"/>
  <c r="AH87" i="8"/>
  <c r="AH44" i="8"/>
  <c r="AH13" i="8"/>
  <c r="AE97" i="7"/>
  <c r="AE54" i="7"/>
  <c r="AZ12" i="7"/>
  <c r="BC88" i="8"/>
  <c r="BC45" i="8"/>
  <c r="AZ98" i="7"/>
  <c r="BC14" i="8"/>
  <c r="AZ55" i="7"/>
  <c r="AC12" i="7"/>
  <c r="AF88" i="8"/>
  <c r="AF45" i="8"/>
  <c r="AF14" i="8"/>
  <c r="AC55" i="7"/>
  <c r="AC98" i="7"/>
  <c r="J12" i="7"/>
  <c r="M88" i="8"/>
  <c r="M14" i="8"/>
  <c r="J98" i="7"/>
  <c r="M45" i="8"/>
  <c r="J55" i="7"/>
  <c r="AA12" i="7"/>
  <c r="AD88" i="8"/>
  <c r="AD45" i="8"/>
  <c r="AD14" i="8"/>
  <c r="AA98" i="7"/>
  <c r="AA55" i="7"/>
  <c r="D13" i="7"/>
  <c r="G89" i="8"/>
  <c r="G15" i="8"/>
  <c r="G46" i="8"/>
  <c r="D99" i="7"/>
  <c r="D56" i="7"/>
  <c r="AC13" i="7"/>
  <c r="AF89" i="8"/>
  <c r="AF46" i="8"/>
  <c r="AF15" i="8"/>
  <c r="AC99" i="7"/>
  <c r="AC56" i="7"/>
  <c r="J13" i="7"/>
  <c r="M46" i="8"/>
  <c r="M89" i="8"/>
  <c r="M15" i="8"/>
  <c r="J56" i="7"/>
  <c r="J99" i="7"/>
  <c r="AE13" i="7"/>
  <c r="AH89" i="8"/>
  <c r="AH46" i="8"/>
  <c r="AH15" i="8"/>
  <c r="AE99" i="7"/>
  <c r="AE56" i="7"/>
  <c r="H14" i="7"/>
  <c r="K90" i="8"/>
  <c r="K16" i="8"/>
  <c r="H100" i="7"/>
  <c r="K47" i="8"/>
  <c r="H57" i="7"/>
  <c r="AK14" i="7"/>
  <c r="AN90" i="8"/>
  <c r="AN47" i="8"/>
  <c r="AK100" i="7"/>
  <c r="AN16" i="8"/>
  <c r="AK57" i="7"/>
  <c r="BF14" i="7"/>
  <c r="BI90" i="8"/>
  <c r="BI47" i="8"/>
  <c r="BF100" i="7"/>
  <c r="BF57" i="7"/>
  <c r="BI16" i="8"/>
  <c r="BD15" i="7"/>
  <c r="BG91" i="8"/>
  <c r="BG48" i="8"/>
  <c r="BG17" i="8"/>
  <c r="BD58" i="7"/>
  <c r="BD101" i="7"/>
  <c r="N15" i="7"/>
  <c r="Q91" i="8"/>
  <c r="Q48" i="8"/>
  <c r="Q17" i="8"/>
  <c r="N101" i="7"/>
  <c r="N58" i="7"/>
  <c r="BD16" i="7"/>
  <c r="BG92" i="8"/>
  <c r="BD102" i="7"/>
  <c r="BG18" i="8"/>
  <c r="BD59" i="7"/>
  <c r="BG49" i="8"/>
  <c r="BF16" i="7"/>
  <c r="BI92" i="8"/>
  <c r="BI49" i="8"/>
  <c r="BI18" i="8"/>
  <c r="BF102" i="7"/>
  <c r="BF59" i="7"/>
  <c r="BH17" i="7"/>
  <c r="BK93" i="8"/>
  <c r="BK50" i="8"/>
  <c r="BK19" i="8"/>
  <c r="BH60" i="7"/>
  <c r="BH103" i="7"/>
  <c r="AO17" i="7"/>
  <c r="AR93" i="8"/>
  <c r="AR50" i="8"/>
  <c r="AR19" i="8"/>
  <c r="AO60" i="7"/>
  <c r="AO103" i="7"/>
  <c r="H18" i="7"/>
  <c r="K94" i="8"/>
  <c r="K20" i="8"/>
  <c r="K51" i="8"/>
  <c r="H104" i="7"/>
  <c r="H61" i="7"/>
  <c r="AK18" i="7"/>
  <c r="AN94" i="8"/>
  <c r="AN51" i="8"/>
  <c r="AN20" i="8"/>
  <c r="AK104" i="7"/>
  <c r="AK61" i="7"/>
  <c r="AE18" i="7"/>
  <c r="AH94" i="8"/>
  <c r="AH51" i="8"/>
  <c r="AH20" i="8"/>
  <c r="AE61" i="7"/>
  <c r="AE104" i="7"/>
  <c r="H19" i="7"/>
  <c r="K95" i="8"/>
  <c r="K52" i="8"/>
  <c r="K21" i="8"/>
  <c r="H62" i="7"/>
  <c r="H105" i="7"/>
  <c r="AK19" i="7"/>
  <c r="AN95" i="8"/>
  <c r="AN21" i="8"/>
  <c r="AN52" i="8"/>
  <c r="AK62" i="7"/>
  <c r="AK105" i="7"/>
  <c r="N19" i="7"/>
  <c r="Q95" i="8"/>
  <c r="Q21" i="8"/>
  <c r="Q52" i="8"/>
  <c r="N105" i="7"/>
  <c r="N62" i="7"/>
  <c r="AM19" i="7"/>
  <c r="AY19" i="7" s="1"/>
  <c r="AP95" i="8"/>
  <c r="AP52" i="8"/>
  <c r="AM105" i="7"/>
  <c r="AM62" i="7"/>
  <c r="AP21" i="8"/>
  <c r="BB21" i="8" s="1"/>
  <c r="L20" i="7"/>
  <c r="O96" i="8"/>
  <c r="O22" i="8"/>
  <c r="O53" i="8"/>
  <c r="L63" i="7"/>
  <c r="L106" i="7"/>
  <c r="BH20" i="7"/>
  <c r="BK96" i="8"/>
  <c r="BK53" i="8"/>
  <c r="BK22" i="8"/>
  <c r="BH63" i="7"/>
  <c r="BH106" i="7"/>
  <c r="V20" i="7"/>
  <c r="Y96" i="8"/>
  <c r="Y53" i="8"/>
  <c r="Y22" i="8"/>
  <c r="V63" i="7"/>
  <c r="V106" i="7"/>
  <c r="BJ20" i="7"/>
  <c r="BM96" i="8"/>
  <c r="BM53" i="8"/>
  <c r="BJ106" i="7"/>
  <c r="BM22" i="8"/>
  <c r="BJ63" i="7"/>
  <c r="E21" i="7"/>
  <c r="H97" i="8"/>
  <c r="H54" i="8"/>
  <c r="H23" i="8"/>
  <c r="E107" i="7"/>
  <c r="E64" i="7"/>
  <c r="AS21" i="7"/>
  <c r="AV97" i="8"/>
  <c r="AV54" i="8"/>
  <c r="AV23" i="8"/>
  <c r="AS107" i="7"/>
  <c r="AS64" i="7"/>
  <c r="G21" i="7"/>
  <c r="J97" i="8"/>
  <c r="J23" i="8"/>
  <c r="J54" i="8"/>
  <c r="G64" i="7"/>
  <c r="G107" i="7"/>
  <c r="I22" i="7"/>
  <c r="L98" i="8"/>
  <c r="L55" i="8"/>
  <c r="L24" i="8"/>
  <c r="I108" i="7"/>
  <c r="I65" i="7"/>
  <c r="BA22" i="7"/>
  <c r="BD55" i="8"/>
  <c r="BD98" i="8"/>
  <c r="BD24" i="8"/>
  <c r="BA108" i="7"/>
  <c r="BA65" i="7"/>
  <c r="K22" i="7"/>
  <c r="N98" i="8"/>
  <c r="N55" i="8"/>
  <c r="N24" i="8"/>
  <c r="K108" i="7"/>
  <c r="K65" i="7"/>
  <c r="AJ23" i="7"/>
  <c r="AM99" i="8"/>
  <c r="AM56" i="8"/>
  <c r="AM25" i="8"/>
  <c r="AJ109" i="7"/>
  <c r="AJ66" i="7"/>
  <c r="BE23" i="7"/>
  <c r="BH99" i="8"/>
  <c r="BH56" i="8"/>
  <c r="BH25" i="8"/>
  <c r="BE109" i="7"/>
  <c r="BE66" i="7"/>
  <c r="O23" i="7"/>
  <c r="R99" i="8"/>
  <c r="R56" i="8"/>
  <c r="R25" i="8"/>
  <c r="O109" i="7"/>
  <c r="O66" i="7"/>
  <c r="AN24" i="7"/>
  <c r="AQ100" i="8"/>
  <c r="AQ57" i="8"/>
  <c r="AQ26" i="8"/>
  <c r="AN110" i="7"/>
  <c r="AN67" i="7"/>
  <c r="BI24" i="7"/>
  <c r="BL100" i="8"/>
  <c r="BL57" i="8"/>
  <c r="BL26" i="8"/>
  <c r="BI67" i="7"/>
  <c r="BI110" i="7"/>
  <c r="W24" i="7"/>
  <c r="Z100" i="8"/>
  <c r="Z57" i="8"/>
  <c r="Z26" i="8"/>
  <c r="W67" i="7"/>
  <c r="W110" i="7"/>
  <c r="AR25" i="7"/>
  <c r="AU101" i="8"/>
  <c r="AU58" i="8"/>
  <c r="AU27" i="8"/>
  <c r="AR111" i="7"/>
  <c r="AR68" i="7"/>
  <c r="I101" i="8"/>
  <c r="I58" i="8"/>
  <c r="I27" i="8"/>
  <c r="F111" i="7"/>
  <c r="F68" i="7"/>
  <c r="F25" i="7"/>
  <c r="L5" i="7"/>
  <c r="O81" i="8"/>
  <c r="O38" i="8"/>
  <c r="O7" i="8"/>
  <c r="L91" i="7"/>
  <c r="L48" i="7"/>
  <c r="AO5" i="7"/>
  <c r="AR81" i="8"/>
  <c r="AR38" i="8"/>
  <c r="AR7" i="8"/>
  <c r="AO91" i="7"/>
  <c r="AO48" i="7"/>
  <c r="BJ5" i="7"/>
  <c r="BM81" i="8"/>
  <c r="BM38" i="8"/>
  <c r="BJ91" i="7"/>
  <c r="BJ48" i="7"/>
  <c r="T6" i="7"/>
  <c r="W82" i="8"/>
  <c r="W8" i="8"/>
  <c r="W39" i="8"/>
  <c r="T49" i="7"/>
  <c r="T92" i="7"/>
  <c r="AS6" i="7"/>
  <c r="AV82" i="8"/>
  <c r="AV39" i="8"/>
  <c r="AV8" i="8"/>
  <c r="AS92" i="7"/>
  <c r="AS49" i="7"/>
  <c r="G6" i="7"/>
  <c r="J82" i="8"/>
  <c r="J39" i="8"/>
  <c r="J8" i="8"/>
  <c r="G49" i="7"/>
  <c r="G92" i="7"/>
  <c r="O83" i="8"/>
  <c r="O9" i="8"/>
  <c r="O40" i="8"/>
  <c r="L93" i="7"/>
  <c r="L50" i="7"/>
  <c r="L7" i="7"/>
  <c r="AO7" i="7"/>
  <c r="AR83" i="8"/>
  <c r="AR40" i="8"/>
  <c r="AR9" i="8"/>
  <c r="AO93" i="7"/>
  <c r="AO50" i="7"/>
  <c r="BJ7" i="7"/>
  <c r="BM83" i="8"/>
  <c r="BM9" i="8"/>
  <c r="BM40" i="8"/>
  <c r="BJ93" i="7"/>
  <c r="BJ50" i="7"/>
  <c r="K84" i="8"/>
  <c r="K10" i="8"/>
  <c r="K41" i="8"/>
  <c r="H94" i="7"/>
  <c r="H51" i="7"/>
  <c r="H8" i="7"/>
  <c r="AK8" i="7"/>
  <c r="AN84" i="8"/>
  <c r="AN41" i="8"/>
  <c r="AN10" i="8"/>
  <c r="AK94" i="7"/>
  <c r="AK51" i="7"/>
  <c r="N8" i="7"/>
  <c r="Q84" i="8"/>
  <c r="Q41" i="8"/>
  <c r="Q10" i="8"/>
  <c r="N51" i="7"/>
  <c r="N94" i="7"/>
  <c r="AE8" i="7"/>
  <c r="AH84" i="8"/>
  <c r="AH10" i="8"/>
  <c r="AE51" i="7"/>
  <c r="AH41" i="8"/>
  <c r="AE94" i="7"/>
  <c r="H9" i="7"/>
  <c r="K85" i="8"/>
  <c r="K42" i="8"/>
  <c r="K11" i="8"/>
  <c r="H52" i="7"/>
  <c r="H95" i="7"/>
  <c r="AK9" i="7"/>
  <c r="AN85" i="8"/>
  <c r="AN42" i="8"/>
  <c r="AK95" i="7"/>
  <c r="AK52" i="7"/>
  <c r="AN11" i="8"/>
  <c r="BF9" i="7"/>
  <c r="BI85" i="8"/>
  <c r="BI42" i="8"/>
  <c r="BI11" i="8"/>
  <c r="BF52" i="7"/>
  <c r="BF95" i="7"/>
  <c r="AM9" i="7"/>
  <c r="AY9" i="7" s="1"/>
  <c r="AP85" i="8"/>
  <c r="AP42" i="8"/>
  <c r="AP11" i="8"/>
  <c r="BB11" i="8" s="1"/>
  <c r="AM52" i="7"/>
  <c r="AM95" i="7"/>
  <c r="L10" i="7"/>
  <c r="O86" i="8"/>
  <c r="O43" i="8"/>
  <c r="O12" i="8"/>
  <c r="L53" i="7"/>
  <c r="L96" i="7"/>
  <c r="AO10" i="7"/>
  <c r="AR86" i="8"/>
  <c r="AR43" i="8"/>
  <c r="AO96" i="7"/>
  <c r="AR12" i="8"/>
  <c r="AO53" i="7"/>
  <c r="BI86" i="8"/>
  <c r="BI43" i="8"/>
  <c r="BI12" i="8"/>
  <c r="BF96" i="7"/>
  <c r="BF53" i="7"/>
  <c r="BF10" i="7"/>
  <c r="AM10" i="7"/>
  <c r="AP86" i="8"/>
  <c r="AP43" i="8"/>
  <c r="AP12" i="8"/>
  <c r="BB12" i="8" s="1"/>
  <c r="AM53" i="7"/>
  <c r="AM96" i="7"/>
  <c r="L11" i="7"/>
  <c r="O87" i="8"/>
  <c r="O44" i="8"/>
  <c r="L97" i="7"/>
  <c r="L54" i="7"/>
  <c r="O13" i="8"/>
  <c r="BH11" i="7"/>
  <c r="BK87" i="8"/>
  <c r="BK44" i="8"/>
  <c r="BH97" i="7"/>
  <c r="BK13" i="8"/>
  <c r="BH54" i="7"/>
  <c r="V11" i="7"/>
  <c r="Y87" i="8"/>
  <c r="Y44" i="8"/>
  <c r="Y13" i="8"/>
  <c r="V97" i="7"/>
  <c r="V54" i="7"/>
  <c r="AM11" i="7"/>
  <c r="AP87" i="8"/>
  <c r="AP44" i="8"/>
  <c r="AM97" i="7"/>
  <c r="AM54" i="7"/>
  <c r="AP13" i="8"/>
  <c r="BB13" i="8" s="1"/>
  <c r="H12" i="7"/>
  <c r="K88" i="8"/>
  <c r="K45" i="8"/>
  <c r="K14" i="8"/>
  <c r="H98" i="7"/>
  <c r="H55" i="7"/>
  <c r="BD12" i="7"/>
  <c r="BG88" i="8"/>
  <c r="BG45" i="8"/>
  <c r="BG14" i="8"/>
  <c r="BD55" i="7"/>
  <c r="BD98" i="7"/>
  <c r="AK12" i="7"/>
  <c r="AN88" i="8"/>
  <c r="AN45" i="8"/>
  <c r="AN14" i="8"/>
  <c r="AK98" i="7"/>
  <c r="AK55" i="7"/>
  <c r="N12" i="7"/>
  <c r="Q88" i="8"/>
  <c r="Q45" i="8"/>
  <c r="Q14" i="8"/>
  <c r="N55" i="7"/>
  <c r="N98" i="7"/>
  <c r="AE12" i="7"/>
  <c r="AH88" i="8"/>
  <c r="AH45" i="8"/>
  <c r="AH14" i="8"/>
  <c r="AE55" i="7"/>
  <c r="AE98" i="7"/>
  <c r="K46" i="8"/>
  <c r="K89" i="8"/>
  <c r="K15" i="8"/>
  <c r="H56" i="7"/>
  <c r="H99" i="7"/>
  <c r="H13" i="7"/>
  <c r="BD13" i="7"/>
  <c r="BG89" i="8"/>
  <c r="BG46" i="8"/>
  <c r="BD99" i="7"/>
  <c r="BG15" i="8"/>
  <c r="BD56" i="7"/>
  <c r="AK13" i="7"/>
  <c r="AN89" i="8"/>
  <c r="AN46" i="8"/>
  <c r="AN15" i="8"/>
  <c r="AK99" i="7"/>
  <c r="AK56" i="7"/>
  <c r="N13" i="7"/>
  <c r="Q89" i="8"/>
  <c r="Q46" i="8"/>
  <c r="Q15" i="8"/>
  <c r="N99" i="7"/>
  <c r="N56" i="7"/>
  <c r="BF13" i="7"/>
  <c r="BI89" i="8"/>
  <c r="BI46" i="8"/>
  <c r="BI15" i="8"/>
  <c r="BF56" i="7"/>
  <c r="BF99" i="7"/>
  <c r="AM13" i="7"/>
  <c r="AY13" i="7" s="1"/>
  <c r="AP89" i="8"/>
  <c r="AP46" i="8"/>
  <c r="AP15" i="8"/>
  <c r="BB15" i="8" s="1"/>
  <c r="AM99" i="7"/>
  <c r="AM56" i="7"/>
  <c r="L14" i="7"/>
  <c r="O90" i="8"/>
  <c r="O47" i="8"/>
  <c r="O16" i="8"/>
  <c r="L57" i="7"/>
  <c r="L100" i="7"/>
  <c r="BH14" i="7"/>
  <c r="BK90" i="8"/>
  <c r="BK47" i="8"/>
  <c r="BH100" i="7"/>
  <c r="BK16" i="8"/>
  <c r="BH57" i="7"/>
  <c r="AO14" i="7"/>
  <c r="AR90" i="8"/>
  <c r="AR47" i="8"/>
  <c r="AR16" i="8"/>
  <c r="AO100" i="7"/>
  <c r="AO57" i="7"/>
  <c r="V14" i="7"/>
  <c r="Y90" i="8"/>
  <c r="Y16" i="8"/>
  <c r="Y47" i="8"/>
  <c r="V57" i="7"/>
  <c r="V100" i="7"/>
  <c r="AP90" i="8"/>
  <c r="AP47" i="8"/>
  <c r="AP16" i="8"/>
  <c r="BB16" i="8" s="1"/>
  <c r="AM100" i="7"/>
  <c r="AM57" i="7"/>
  <c r="AM14" i="7"/>
  <c r="AY14" i="7" s="1"/>
  <c r="L15" i="7"/>
  <c r="O91" i="8"/>
  <c r="O48" i="8"/>
  <c r="O17" i="8"/>
  <c r="L101" i="7"/>
  <c r="L58" i="7"/>
  <c r="BH15" i="7"/>
  <c r="BK91" i="8"/>
  <c r="BK48" i="8"/>
  <c r="BK17" i="8"/>
  <c r="BH101" i="7"/>
  <c r="BH58" i="7"/>
  <c r="AO15" i="7"/>
  <c r="AR91" i="8"/>
  <c r="AR48" i="8"/>
  <c r="AR17" i="8"/>
  <c r="AO101" i="7"/>
  <c r="AO58" i="7"/>
  <c r="V15" i="7"/>
  <c r="Y91" i="8"/>
  <c r="Y48" i="8"/>
  <c r="Y17" i="8"/>
  <c r="V58" i="7"/>
  <c r="V101" i="7"/>
  <c r="II19" i="6"/>
  <c r="AM15" i="7"/>
  <c r="AY15" i="7" s="1"/>
  <c r="AP91" i="8"/>
  <c r="AP48" i="8"/>
  <c r="AP17" i="8"/>
  <c r="BB17" i="8" s="1"/>
  <c r="AM101" i="7"/>
  <c r="AM58" i="7"/>
  <c r="L16" i="7"/>
  <c r="O92" i="8"/>
  <c r="O49" i="8"/>
  <c r="O18" i="8"/>
  <c r="L59" i="7"/>
  <c r="L102" i="7"/>
  <c r="BH16" i="7"/>
  <c r="BK92" i="8"/>
  <c r="BK49" i="8"/>
  <c r="BK18" i="8"/>
  <c r="BH102" i="7"/>
  <c r="BH59" i="7"/>
  <c r="AO16" i="7"/>
  <c r="AR92" i="8"/>
  <c r="AR49" i="8"/>
  <c r="AR18" i="8"/>
  <c r="AO102" i="7"/>
  <c r="AO59" i="7"/>
  <c r="V16" i="7"/>
  <c r="Y92" i="8"/>
  <c r="Y18" i="8"/>
  <c r="Y49" i="8"/>
  <c r="V102" i="7"/>
  <c r="V59" i="7"/>
  <c r="BJ16" i="7"/>
  <c r="BM49" i="8"/>
  <c r="BM18" i="8"/>
  <c r="BJ102" i="7"/>
  <c r="BJ59" i="7"/>
  <c r="BM92" i="8"/>
  <c r="T17" i="7"/>
  <c r="W93" i="8"/>
  <c r="W50" i="8"/>
  <c r="W19" i="8"/>
  <c r="T103" i="7"/>
  <c r="T60" i="7"/>
  <c r="E17" i="7"/>
  <c r="H93" i="8"/>
  <c r="H50" i="8"/>
  <c r="H19" i="8"/>
  <c r="E103" i="7"/>
  <c r="E60" i="7"/>
  <c r="AS17" i="7"/>
  <c r="AV93" i="8"/>
  <c r="AV50" i="8"/>
  <c r="AS103" i="7"/>
  <c r="AV19" i="8"/>
  <c r="AS60" i="7"/>
  <c r="Z17" i="7"/>
  <c r="AC93" i="8"/>
  <c r="AC19" i="8"/>
  <c r="AC50" i="8"/>
  <c r="Z103" i="7"/>
  <c r="Z60" i="7"/>
  <c r="J93" i="8"/>
  <c r="J50" i="8"/>
  <c r="J19" i="8"/>
  <c r="G60" i="7"/>
  <c r="G103" i="7"/>
  <c r="G17" i="7"/>
  <c r="L18" i="7"/>
  <c r="O94" i="8"/>
  <c r="O51" i="8"/>
  <c r="O20" i="8"/>
  <c r="L61" i="7"/>
  <c r="L104" i="7"/>
  <c r="BH18" i="7"/>
  <c r="BK94" i="8"/>
  <c r="BK51" i="8"/>
  <c r="BK20" i="8"/>
  <c r="BH104" i="7"/>
  <c r="BH61" i="7"/>
  <c r="AO18" i="7"/>
  <c r="AR94" i="8"/>
  <c r="AR51" i="8"/>
  <c r="AR20" i="8"/>
  <c r="AO104" i="7"/>
  <c r="AO61" i="7"/>
  <c r="V18" i="7"/>
  <c r="Y94" i="8"/>
  <c r="Y51" i="8"/>
  <c r="Y20" i="8"/>
  <c r="V61" i="7"/>
  <c r="V104" i="7"/>
  <c r="AM18" i="7"/>
  <c r="AP94" i="8"/>
  <c r="AP51" i="8"/>
  <c r="AP20" i="8"/>
  <c r="BB20" i="8" s="1"/>
  <c r="AM61" i="7"/>
  <c r="AM104" i="7"/>
  <c r="L19" i="7"/>
  <c r="O95" i="8"/>
  <c r="O52" i="8"/>
  <c r="O21" i="8"/>
  <c r="L105" i="7"/>
  <c r="L62" i="7"/>
  <c r="BH19" i="7"/>
  <c r="BK52" i="8"/>
  <c r="BK95" i="8"/>
  <c r="BK21" i="8"/>
  <c r="BH105" i="7"/>
  <c r="BH62" i="7"/>
  <c r="AO19" i="7"/>
  <c r="AR95" i="8"/>
  <c r="AR52" i="8"/>
  <c r="AR21" i="8"/>
  <c r="AO62" i="7"/>
  <c r="AO105" i="7"/>
  <c r="V19" i="7"/>
  <c r="Y95" i="8"/>
  <c r="Y52" i="8"/>
  <c r="Y21" i="8"/>
  <c r="V62" i="7"/>
  <c r="V105" i="7"/>
  <c r="BJ19" i="7"/>
  <c r="BM95" i="8"/>
  <c r="BJ105" i="7"/>
  <c r="BM52" i="8"/>
  <c r="BJ62" i="7"/>
  <c r="BM21" i="8"/>
  <c r="W96" i="8"/>
  <c r="W53" i="8"/>
  <c r="W22" i="8"/>
  <c r="T63" i="7"/>
  <c r="T106" i="7"/>
  <c r="T20" i="7"/>
  <c r="E20" i="7"/>
  <c r="H96" i="8"/>
  <c r="H53" i="8"/>
  <c r="H22" i="8"/>
  <c r="E63" i="7"/>
  <c r="E106" i="7"/>
  <c r="AS20" i="7"/>
  <c r="AV96" i="8"/>
  <c r="AV53" i="8"/>
  <c r="AV22" i="8"/>
  <c r="AS106" i="7"/>
  <c r="AS63" i="7"/>
  <c r="Z20" i="7"/>
  <c r="AC96" i="8"/>
  <c r="AC53" i="8"/>
  <c r="AC22" i="8"/>
  <c r="Z63" i="7"/>
  <c r="Z106" i="7"/>
  <c r="G20" i="7"/>
  <c r="J96" i="8"/>
  <c r="J53" i="8"/>
  <c r="J22" i="8"/>
  <c r="G63" i="7"/>
  <c r="G106" i="7"/>
  <c r="X21" i="7"/>
  <c r="AA97" i="8"/>
  <c r="DA97" i="8" s="1"/>
  <c r="AA23" i="8"/>
  <c r="AA54" i="8"/>
  <c r="X64" i="7"/>
  <c r="X107" i="7"/>
  <c r="I21" i="7"/>
  <c r="L97" i="8"/>
  <c r="L23" i="8"/>
  <c r="L54" i="8"/>
  <c r="I64" i="7"/>
  <c r="I107" i="7"/>
  <c r="BA21" i="7"/>
  <c r="BD97" i="8"/>
  <c r="BD23" i="8"/>
  <c r="BD54" i="8"/>
  <c r="BA64" i="7"/>
  <c r="BA107" i="7"/>
  <c r="AD21" i="7"/>
  <c r="AG97" i="8"/>
  <c r="AG54" i="8"/>
  <c r="AG23" i="8"/>
  <c r="AD107" i="7"/>
  <c r="AD64" i="7"/>
  <c r="K21" i="7"/>
  <c r="N97" i="8"/>
  <c r="N54" i="8"/>
  <c r="N23" i="8"/>
  <c r="K64" i="7"/>
  <c r="K107" i="7"/>
  <c r="AJ22" i="7"/>
  <c r="AM98" i="8"/>
  <c r="AM24" i="8"/>
  <c r="AJ108" i="7"/>
  <c r="AJ65" i="7"/>
  <c r="AM55" i="8"/>
  <c r="M22" i="7"/>
  <c r="P98" i="8"/>
  <c r="P55" i="8"/>
  <c r="P24" i="8"/>
  <c r="M65" i="7"/>
  <c r="M108" i="7"/>
  <c r="BE22" i="7"/>
  <c r="BH98" i="8"/>
  <c r="BH55" i="8"/>
  <c r="BH24" i="8"/>
  <c r="BE65" i="7"/>
  <c r="BE108" i="7"/>
  <c r="AL22" i="7"/>
  <c r="AO98" i="8"/>
  <c r="AO55" i="8"/>
  <c r="AO24" i="8"/>
  <c r="AL108" i="7"/>
  <c r="AL65" i="7"/>
  <c r="O22" i="7"/>
  <c r="R98" i="8"/>
  <c r="R55" i="8"/>
  <c r="R24" i="8"/>
  <c r="O65" i="7"/>
  <c r="O108" i="7"/>
  <c r="AN23" i="7"/>
  <c r="AQ99" i="8"/>
  <c r="AQ25" i="8"/>
  <c r="AQ56" i="8"/>
  <c r="AN109" i="7"/>
  <c r="AN66" i="7"/>
  <c r="U23" i="7"/>
  <c r="X99" i="8"/>
  <c r="X25" i="8"/>
  <c r="X56" i="8"/>
  <c r="U109" i="7"/>
  <c r="U66" i="7"/>
  <c r="BI23" i="7"/>
  <c r="BL99" i="8"/>
  <c r="BL56" i="8"/>
  <c r="BL25" i="8"/>
  <c r="BI109" i="7"/>
  <c r="BI66" i="7"/>
  <c r="AP23" i="7"/>
  <c r="AS99" i="8"/>
  <c r="AS56" i="8"/>
  <c r="AS25" i="8"/>
  <c r="AP109" i="7"/>
  <c r="AP66" i="7"/>
  <c r="W23" i="7"/>
  <c r="Z99" i="8"/>
  <c r="Z56" i="8"/>
  <c r="Z25" i="8"/>
  <c r="W109" i="7"/>
  <c r="W66" i="7"/>
  <c r="AR24" i="7"/>
  <c r="AU100" i="8"/>
  <c r="AU26" i="8"/>
  <c r="AU57" i="8"/>
  <c r="AR110" i="7"/>
  <c r="AR67" i="7"/>
  <c r="Y24" i="7"/>
  <c r="AB100" i="8"/>
  <c r="AB26" i="8"/>
  <c r="AB57" i="8"/>
  <c r="Y110" i="7"/>
  <c r="Y67" i="7"/>
  <c r="F24" i="7"/>
  <c r="I100" i="8"/>
  <c r="I57" i="8"/>
  <c r="I26" i="8"/>
  <c r="F110" i="7"/>
  <c r="F67" i="7"/>
  <c r="AT24" i="7"/>
  <c r="AW100" i="8"/>
  <c r="AW57" i="8"/>
  <c r="AW26" i="8"/>
  <c r="AT110" i="7"/>
  <c r="AT67" i="7"/>
  <c r="AA24" i="7"/>
  <c r="AD100" i="8"/>
  <c r="AD57" i="8"/>
  <c r="AD26" i="8"/>
  <c r="AA110" i="7"/>
  <c r="AA67" i="7"/>
  <c r="D25" i="7"/>
  <c r="G101" i="8"/>
  <c r="G58" i="8"/>
  <c r="G27" i="8"/>
  <c r="D111" i="7"/>
  <c r="D68" i="7"/>
  <c r="AZ25" i="7"/>
  <c r="BC101" i="8"/>
  <c r="BC58" i="8"/>
  <c r="AZ111" i="7"/>
  <c r="BC27" i="8"/>
  <c r="AZ68" i="7"/>
  <c r="AC25" i="7"/>
  <c r="AF101" i="8"/>
  <c r="AF58" i="8"/>
  <c r="AF27" i="8"/>
  <c r="AC111" i="7"/>
  <c r="AC68" i="7"/>
  <c r="J25" i="7"/>
  <c r="M101" i="8"/>
  <c r="M58" i="8"/>
  <c r="M27" i="8"/>
  <c r="J68" i="7"/>
  <c r="J111" i="7"/>
  <c r="BB25" i="7"/>
  <c r="BE101" i="8"/>
  <c r="BE58" i="8"/>
  <c r="BE27" i="8"/>
  <c r="BB111" i="7"/>
  <c r="BB68" i="7"/>
  <c r="AE25" i="7"/>
  <c r="AH101" i="8"/>
  <c r="AH58" i="8"/>
  <c r="AH27" i="8"/>
  <c r="AE111" i="7"/>
  <c r="AE68" i="7"/>
  <c r="H26" i="7"/>
  <c r="K102" i="8"/>
  <c r="K59" i="8"/>
  <c r="K28" i="8"/>
  <c r="H112" i="7"/>
  <c r="H69" i="7"/>
  <c r="BD26" i="7"/>
  <c r="BG102" i="8"/>
  <c r="BG59" i="8"/>
  <c r="BG28" i="8"/>
  <c r="BD69" i="7"/>
  <c r="BD112" i="7"/>
  <c r="AK26" i="7"/>
  <c r="AN102" i="8"/>
  <c r="AN28" i="8"/>
  <c r="AN59" i="8"/>
  <c r="AK69" i="7"/>
  <c r="AK112" i="7"/>
  <c r="N26" i="7"/>
  <c r="Q102" i="8"/>
  <c r="Q59" i="8"/>
  <c r="Q28" i="8"/>
  <c r="N69" i="7"/>
  <c r="N112" i="7"/>
  <c r="BF26" i="7"/>
  <c r="BI102" i="8"/>
  <c r="BI59" i="8"/>
  <c r="BI28" i="8"/>
  <c r="BF69" i="7"/>
  <c r="BF112" i="7"/>
  <c r="AM26" i="7"/>
  <c r="AY26" i="7" s="1"/>
  <c r="AP102" i="8"/>
  <c r="AP59" i="8"/>
  <c r="AP28" i="8"/>
  <c r="BB28" i="8" s="1"/>
  <c r="AM112" i="7"/>
  <c r="AM69" i="7"/>
  <c r="L27" i="7"/>
  <c r="O103" i="8"/>
  <c r="O60" i="8"/>
  <c r="O29" i="8"/>
  <c r="L113" i="7"/>
  <c r="L70" i="7"/>
  <c r="BH27" i="7"/>
  <c r="BK103" i="8"/>
  <c r="BK60" i="8"/>
  <c r="BK29" i="8"/>
  <c r="BH113" i="7"/>
  <c r="BH70" i="7"/>
  <c r="AO27" i="7"/>
  <c r="AR103" i="8"/>
  <c r="AR60" i="8"/>
  <c r="AR29" i="8"/>
  <c r="AO113" i="7"/>
  <c r="AO70" i="7"/>
  <c r="V27" i="7"/>
  <c r="Y103" i="8"/>
  <c r="Y60" i="8"/>
  <c r="Y29" i="8"/>
  <c r="V113" i="7"/>
  <c r="V70" i="7"/>
  <c r="BJ27" i="7"/>
  <c r="BM103" i="8"/>
  <c r="BM60" i="8"/>
  <c r="BJ113" i="7"/>
  <c r="BM29" i="8"/>
  <c r="BJ70" i="7"/>
  <c r="L28" i="7"/>
  <c r="O104" i="8"/>
  <c r="O61" i="8"/>
  <c r="O30" i="8"/>
  <c r="L114" i="7"/>
  <c r="L71" i="7"/>
  <c r="BH28" i="7"/>
  <c r="BK104" i="8"/>
  <c r="BK61" i="8"/>
  <c r="BK30" i="8"/>
  <c r="BH114" i="7"/>
  <c r="BH71" i="7"/>
  <c r="AO28" i="7"/>
  <c r="AR104" i="8"/>
  <c r="AR61" i="8"/>
  <c r="AR30" i="8"/>
  <c r="AO114" i="7"/>
  <c r="AO71" i="7"/>
  <c r="V28" i="7"/>
  <c r="Y104" i="8"/>
  <c r="Y30" i="8"/>
  <c r="Y61" i="8"/>
  <c r="V71" i="7"/>
  <c r="V114" i="7"/>
  <c r="BF28" i="7"/>
  <c r="BI104" i="8"/>
  <c r="BI61" i="8"/>
  <c r="BI30" i="8"/>
  <c r="BF114" i="7"/>
  <c r="BF71" i="7"/>
  <c r="AM28" i="7"/>
  <c r="AY28" i="7" s="1"/>
  <c r="AP104" i="8"/>
  <c r="AP61" i="8"/>
  <c r="AP30" i="8"/>
  <c r="BB30" i="8" s="1"/>
  <c r="AM114" i="7"/>
  <c r="AM71" i="7"/>
  <c r="AR29" i="7"/>
  <c r="AV29" i="7" s="1"/>
  <c r="AU142" i="8"/>
  <c r="AU105" i="8"/>
  <c r="AU62" i="8"/>
  <c r="AR115" i="7"/>
  <c r="AR72" i="7"/>
  <c r="Y29" i="7"/>
  <c r="AB142" i="8"/>
  <c r="AB144" i="8" s="1"/>
  <c r="AB105" i="8"/>
  <c r="AB62" i="8"/>
  <c r="Y72" i="7"/>
  <c r="Y115" i="7"/>
  <c r="F29" i="7"/>
  <c r="I142" i="8"/>
  <c r="I105" i="8"/>
  <c r="I62" i="8"/>
  <c r="F115" i="7"/>
  <c r="F72" i="7"/>
  <c r="AT29" i="7"/>
  <c r="AW105" i="8"/>
  <c r="AW142" i="8"/>
  <c r="AW62" i="8"/>
  <c r="AT72" i="7"/>
  <c r="AT115" i="7"/>
  <c r="AA29" i="7"/>
  <c r="AD142" i="8"/>
  <c r="AD105" i="8"/>
  <c r="AD62" i="8"/>
  <c r="AA72" i="7"/>
  <c r="AA115" i="7"/>
  <c r="AP30" i="7"/>
  <c r="AS143" i="8"/>
  <c r="AS106" i="8"/>
  <c r="AS63" i="8"/>
  <c r="AP116" i="7"/>
  <c r="AP73" i="7"/>
  <c r="W30" i="7"/>
  <c r="Z106" i="8"/>
  <c r="Z143" i="8"/>
  <c r="Z63" i="8"/>
  <c r="W73" i="7"/>
  <c r="W116" i="7"/>
  <c r="L31" i="7"/>
  <c r="O126" i="8"/>
  <c r="O107" i="8"/>
  <c r="O64" i="8"/>
  <c r="L117" i="7"/>
  <c r="L74" i="7"/>
  <c r="E31" i="7"/>
  <c r="H126" i="8"/>
  <c r="H107" i="8"/>
  <c r="H64" i="8"/>
  <c r="E117" i="7"/>
  <c r="E74" i="7"/>
  <c r="AS31" i="7"/>
  <c r="AV126" i="8"/>
  <c r="AV107" i="8"/>
  <c r="AV64" i="8"/>
  <c r="AS74" i="7"/>
  <c r="AS117" i="7"/>
  <c r="Z31" i="7"/>
  <c r="AC126" i="8"/>
  <c r="AC107" i="8"/>
  <c r="AC64" i="8"/>
  <c r="Z117" i="7"/>
  <c r="Z74" i="7"/>
  <c r="G31" i="7"/>
  <c r="J126" i="8"/>
  <c r="J107" i="8"/>
  <c r="J64" i="8"/>
  <c r="G117" i="7"/>
  <c r="G74" i="7"/>
  <c r="AR32" i="7"/>
  <c r="AU127" i="8"/>
  <c r="AU108" i="8"/>
  <c r="AU65" i="8"/>
  <c r="AR118" i="7"/>
  <c r="AR75" i="7"/>
  <c r="Y32" i="7"/>
  <c r="AB127" i="8"/>
  <c r="AB108" i="8"/>
  <c r="AB65" i="8"/>
  <c r="Y118" i="7"/>
  <c r="Y75" i="7"/>
  <c r="F32" i="7"/>
  <c r="I127" i="8"/>
  <c r="I108" i="8"/>
  <c r="I65" i="8"/>
  <c r="F75" i="7"/>
  <c r="F118" i="7"/>
  <c r="AT32" i="7"/>
  <c r="AW127" i="8"/>
  <c r="AW108" i="8"/>
  <c r="AW65" i="8"/>
  <c r="AT118" i="7"/>
  <c r="AT75" i="7"/>
  <c r="AA32" i="7"/>
  <c r="AD127" i="8"/>
  <c r="AD108" i="8"/>
  <c r="AD65" i="8"/>
  <c r="AA118" i="7"/>
  <c r="AA75" i="7"/>
  <c r="T33" i="7"/>
  <c r="W109" i="8"/>
  <c r="W66" i="8"/>
  <c r="T119" i="7"/>
  <c r="T76" i="7"/>
  <c r="X34" i="7"/>
  <c r="AA128" i="8"/>
  <c r="AA110" i="8"/>
  <c r="DA110" i="8" s="1"/>
  <c r="AA67" i="8"/>
  <c r="X120" i="7"/>
  <c r="X77" i="7"/>
  <c r="I34" i="7"/>
  <c r="L128" i="8"/>
  <c r="L110" i="8"/>
  <c r="L67" i="8"/>
  <c r="I120" i="7"/>
  <c r="I77" i="7"/>
  <c r="BA34" i="7"/>
  <c r="BD110" i="8"/>
  <c r="BD128" i="8"/>
  <c r="BD67" i="8"/>
  <c r="BA120" i="7"/>
  <c r="BA77" i="7"/>
  <c r="AD34" i="7"/>
  <c r="AG128" i="8"/>
  <c r="AG110" i="8"/>
  <c r="AG67" i="8"/>
  <c r="AD120" i="7"/>
  <c r="AD77" i="7"/>
  <c r="K34" i="7"/>
  <c r="N128" i="8"/>
  <c r="N110" i="8"/>
  <c r="N67" i="8"/>
  <c r="K120" i="7"/>
  <c r="K77" i="7"/>
  <c r="D35" i="7"/>
  <c r="G111" i="8"/>
  <c r="G129" i="8"/>
  <c r="G68" i="8"/>
  <c r="D121" i="7"/>
  <c r="D78" i="7"/>
  <c r="AZ35" i="7"/>
  <c r="BC129" i="8"/>
  <c r="BC111" i="8"/>
  <c r="BC68" i="8"/>
  <c r="AZ121" i="7"/>
  <c r="AZ78" i="7"/>
  <c r="AC35" i="7"/>
  <c r="AF111" i="8"/>
  <c r="AF129" i="8"/>
  <c r="AF68" i="8"/>
  <c r="AC121" i="7"/>
  <c r="AC78" i="7"/>
  <c r="J35" i="7"/>
  <c r="M129" i="8"/>
  <c r="M111" i="8"/>
  <c r="M68" i="8"/>
  <c r="J78" i="7"/>
  <c r="J121" i="7"/>
  <c r="BB35" i="7"/>
  <c r="BE111" i="8"/>
  <c r="BE129" i="8"/>
  <c r="BE68" i="8"/>
  <c r="BB121" i="7"/>
  <c r="BB78" i="7"/>
  <c r="AE35" i="7"/>
  <c r="AH111" i="8"/>
  <c r="AH129" i="8"/>
  <c r="AH68" i="8"/>
  <c r="AE121" i="7"/>
  <c r="AE78" i="7"/>
  <c r="X36" i="7"/>
  <c r="AA130" i="8"/>
  <c r="AA112" i="8"/>
  <c r="DA112" i="8" s="1"/>
  <c r="DE112" i="8" s="1"/>
  <c r="DI112" i="8" s="1"/>
  <c r="DM112" i="8" s="1"/>
  <c r="AA69" i="8"/>
  <c r="X122" i="7"/>
  <c r="X79" i="7"/>
  <c r="G36" i="7"/>
  <c r="J112" i="8"/>
  <c r="J130" i="8"/>
  <c r="J69" i="8"/>
  <c r="G79" i="7"/>
  <c r="G122" i="7"/>
  <c r="V37" i="7"/>
  <c r="Y113" i="8"/>
  <c r="Y131" i="8"/>
  <c r="Y70" i="8"/>
  <c r="V123" i="7"/>
  <c r="V80" i="7"/>
  <c r="BJ37" i="7"/>
  <c r="BM131" i="8"/>
  <c r="BM113" i="8"/>
  <c r="BM70" i="8"/>
  <c r="BJ80" i="7"/>
  <c r="BJ123" i="7"/>
  <c r="N38" i="7"/>
  <c r="Q114" i="8"/>
  <c r="Q132" i="8"/>
  <c r="Q71" i="8"/>
  <c r="N124" i="7"/>
  <c r="N81" i="7"/>
  <c r="BF38" i="7"/>
  <c r="BI132" i="8"/>
  <c r="BI114" i="8"/>
  <c r="BI71" i="8"/>
  <c r="BF124" i="7"/>
  <c r="BF81" i="7"/>
  <c r="AM38" i="7"/>
  <c r="AY38" i="7" s="1"/>
  <c r="AP114" i="8"/>
  <c r="AP132" i="8"/>
  <c r="BB132" i="8" s="1"/>
  <c r="AP71" i="8"/>
  <c r="AM124" i="7"/>
  <c r="AM81" i="7"/>
  <c r="H40" i="7"/>
  <c r="K116" i="8"/>
  <c r="K133" i="8"/>
  <c r="K73" i="8"/>
  <c r="H83" i="7"/>
  <c r="H126" i="7"/>
  <c r="BD40" i="7"/>
  <c r="BG133" i="8"/>
  <c r="BG116" i="8"/>
  <c r="BG73" i="8"/>
  <c r="BD126" i="7"/>
  <c r="BD83" i="7"/>
  <c r="AK40" i="7"/>
  <c r="AN116" i="8"/>
  <c r="AN133" i="8"/>
  <c r="AN73" i="8"/>
  <c r="AK126" i="7"/>
  <c r="AK83" i="7"/>
  <c r="N40" i="7"/>
  <c r="Q116" i="8"/>
  <c r="Q133" i="8"/>
  <c r="Q73" i="8"/>
  <c r="N83" i="7"/>
  <c r="N126" i="7"/>
  <c r="BF40" i="7"/>
  <c r="BI133" i="8"/>
  <c r="BI116" i="8"/>
  <c r="BI73" i="8"/>
  <c r="BF126" i="7"/>
  <c r="BF83" i="7"/>
  <c r="AM40" i="7"/>
  <c r="AY40" i="7" s="1"/>
  <c r="AP116" i="8"/>
  <c r="AP133" i="8"/>
  <c r="BB133" i="8" s="1"/>
  <c r="AP73" i="8"/>
  <c r="AM126" i="7"/>
  <c r="AM83" i="7"/>
  <c r="D41" i="7"/>
  <c r="G117" i="8"/>
  <c r="G134" i="8"/>
  <c r="G74" i="8"/>
  <c r="D127" i="7"/>
  <c r="D84" i="7"/>
  <c r="AZ41" i="7"/>
  <c r="BC134" i="8"/>
  <c r="BC117" i="8"/>
  <c r="BC74" i="8"/>
  <c r="AZ127" i="7"/>
  <c r="AZ84" i="7"/>
  <c r="AC41" i="7"/>
  <c r="AF117" i="8"/>
  <c r="AF134" i="8"/>
  <c r="AF74" i="8"/>
  <c r="AC127" i="7"/>
  <c r="AC84" i="7"/>
  <c r="J41" i="7"/>
  <c r="M117" i="8"/>
  <c r="M134" i="8"/>
  <c r="M74" i="8"/>
  <c r="J84" i="7"/>
  <c r="J127" i="7"/>
  <c r="BB41" i="7"/>
  <c r="BE117" i="8"/>
  <c r="BE134" i="8"/>
  <c r="BE74" i="8"/>
  <c r="BB127" i="7"/>
  <c r="BB84" i="7"/>
  <c r="AE41" i="7"/>
  <c r="AH117" i="8"/>
  <c r="AH134" i="8"/>
  <c r="AH74" i="8"/>
  <c r="AE127" i="7"/>
  <c r="AE84" i="7"/>
  <c r="BD5" i="7"/>
  <c r="BG81" i="8"/>
  <c r="BG38" i="8"/>
  <c r="BD91" i="7"/>
  <c r="BG7" i="8"/>
  <c r="BD48" i="7"/>
  <c r="AO6" i="7"/>
  <c r="AR39" i="8"/>
  <c r="AR8" i="8"/>
  <c r="AR82" i="8"/>
  <c r="AO92" i="7"/>
  <c r="AO49" i="7"/>
  <c r="H7" i="7"/>
  <c r="K83" i="8"/>
  <c r="K40" i="8"/>
  <c r="K9" i="8"/>
  <c r="H50" i="7"/>
  <c r="H93" i="7"/>
  <c r="BD7" i="7"/>
  <c r="BG83" i="8"/>
  <c r="BG40" i="8"/>
  <c r="BG9" i="8"/>
  <c r="BD93" i="7"/>
  <c r="BD50" i="7"/>
  <c r="N7" i="7"/>
  <c r="Q83" i="8"/>
  <c r="Q9" i="8"/>
  <c r="Q40" i="8"/>
  <c r="N93" i="7"/>
  <c r="N50" i="7"/>
  <c r="BF7" i="7"/>
  <c r="BI83" i="8"/>
  <c r="BI40" i="8"/>
  <c r="BF93" i="7"/>
  <c r="BI9" i="8"/>
  <c r="BF50" i="7"/>
  <c r="AM7" i="7"/>
  <c r="AP83" i="8"/>
  <c r="AP9" i="8"/>
  <c r="BB9" i="8" s="1"/>
  <c r="AP40" i="8"/>
  <c r="AM50" i="7"/>
  <c r="AM93" i="7"/>
  <c r="AC8" i="7"/>
  <c r="AF84" i="8"/>
  <c r="AF41" i="8"/>
  <c r="AF10" i="8"/>
  <c r="AC51" i="7"/>
  <c r="AC94" i="7"/>
  <c r="J8" i="7"/>
  <c r="M84" i="8"/>
  <c r="M10" i="8"/>
  <c r="M41" i="8"/>
  <c r="J94" i="7"/>
  <c r="J51" i="7"/>
  <c r="BB8" i="7"/>
  <c r="BE84" i="8"/>
  <c r="BE41" i="8"/>
  <c r="BB51" i="7"/>
  <c r="BE10" i="8"/>
  <c r="BB94" i="7"/>
  <c r="AA8" i="7"/>
  <c r="AD84" i="8"/>
  <c r="AD41" i="8"/>
  <c r="AD10" i="8"/>
  <c r="AA94" i="7"/>
  <c r="AA51" i="7"/>
  <c r="D9" i="7"/>
  <c r="G85" i="8"/>
  <c r="G42" i="8"/>
  <c r="G11" i="8"/>
  <c r="D95" i="7"/>
  <c r="D52" i="7"/>
  <c r="AZ9" i="7"/>
  <c r="BC85" i="8"/>
  <c r="BC42" i="8"/>
  <c r="BC11" i="8"/>
  <c r="AZ95" i="7"/>
  <c r="AZ52" i="7"/>
  <c r="AC9" i="7"/>
  <c r="AF85" i="8"/>
  <c r="AF42" i="8"/>
  <c r="AF11" i="8"/>
  <c r="AC95" i="7"/>
  <c r="AC52" i="7"/>
  <c r="J9" i="7"/>
  <c r="M42" i="8"/>
  <c r="M85" i="8"/>
  <c r="M11" i="8"/>
  <c r="J52" i="7"/>
  <c r="J95" i="7"/>
  <c r="AE9" i="7"/>
  <c r="AH85" i="8"/>
  <c r="AH42" i="8"/>
  <c r="AH11" i="8"/>
  <c r="AE95" i="7"/>
  <c r="AE52" i="7"/>
  <c r="H10" i="7"/>
  <c r="K86" i="8"/>
  <c r="K43" i="8"/>
  <c r="K12" i="8"/>
  <c r="H96" i="7"/>
  <c r="H53" i="7"/>
  <c r="BD10" i="7"/>
  <c r="BG86" i="8"/>
  <c r="BD96" i="7"/>
  <c r="BG12" i="8"/>
  <c r="BG43" i="8"/>
  <c r="BD53" i="7"/>
  <c r="J10" i="7"/>
  <c r="M86" i="8"/>
  <c r="M43" i="8"/>
  <c r="J96" i="7"/>
  <c r="J53" i="7"/>
  <c r="M12" i="8"/>
  <c r="AE10" i="7"/>
  <c r="AH86" i="8"/>
  <c r="AH43" i="8"/>
  <c r="AH12" i="8"/>
  <c r="AE96" i="7"/>
  <c r="AE53" i="7"/>
  <c r="H11" i="7"/>
  <c r="K87" i="8"/>
  <c r="K44" i="8"/>
  <c r="K13" i="8"/>
  <c r="H54" i="7"/>
  <c r="H97" i="7"/>
  <c r="N11" i="7"/>
  <c r="Q87" i="8"/>
  <c r="Q44" i="8"/>
  <c r="Q13" i="8"/>
  <c r="N97" i="7"/>
  <c r="N54" i="7"/>
  <c r="D12" i="7"/>
  <c r="G88" i="8"/>
  <c r="G45" i="8"/>
  <c r="G14" i="8"/>
  <c r="D55" i="7"/>
  <c r="D98" i="7"/>
  <c r="AZ13" i="7"/>
  <c r="BC89" i="8"/>
  <c r="BC46" i="8"/>
  <c r="BC15" i="8"/>
  <c r="AZ99" i="7"/>
  <c r="AZ56" i="7"/>
  <c r="BB13" i="7"/>
  <c r="BE89" i="8"/>
  <c r="BE46" i="8"/>
  <c r="BE15" i="8"/>
  <c r="BB99" i="7"/>
  <c r="BB56" i="7"/>
  <c r="BD14" i="7"/>
  <c r="BG90" i="8"/>
  <c r="BG16" i="8"/>
  <c r="BD100" i="7"/>
  <c r="BD57" i="7"/>
  <c r="BG47" i="8"/>
  <c r="N14" i="7"/>
  <c r="Q90" i="8"/>
  <c r="Q47" i="8"/>
  <c r="Q16" i="8"/>
  <c r="N57" i="7"/>
  <c r="N100" i="7"/>
  <c r="AE14" i="7"/>
  <c r="AH90" i="8"/>
  <c r="AH47" i="8"/>
  <c r="AE57" i="7"/>
  <c r="AH16" i="8"/>
  <c r="AE100" i="7"/>
  <c r="H15" i="7"/>
  <c r="K91" i="8"/>
  <c r="K48" i="8"/>
  <c r="K17" i="8"/>
  <c r="H58" i="7"/>
  <c r="H101" i="7"/>
  <c r="AK15" i="7"/>
  <c r="AN91" i="8"/>
  <c r="AN48" i="8"/>
  <c r="AN17" i="8"/>
  <c r="AK58" i="7"/>
  <c r="AK101" i="7"/>
  <c r="AE15" i="7"/>
  <c r="AH91" i="8"/>
  <c r="AH48" i="8"/>
  <c r="AH17" i="8"/>
  <c r="AE101" i="7"/>
  <c r="AE58" i="7"/>
  <c r="K92" i="8"/>
  <c r="K49" i="8"/>
  <c r="K18" i="8"/>
  <c r="H102" i="7"/>
  <c r="H59" i="7"/>
  <c r="H16" i="7"/>
  <c r="AK16" i="7"/>
  <c r="AN92" i="8"/>
  <c r="AN49" i="8"/>
  <c r="AN18" i="8"/>
  <c r="AK59" i="7"/>
  <c r="AK102" i="7"/>
  <c r="N16" i="7"/>
  <c r="Q92" i="8"/>
  <c r="Q49" i="8"/>
  <c r="Q18" i="8"/>
  <c r="N59" i="7"/>
  <c r="N102" i="7"/>
  <c r="AM16" i="7"/>
  <c r="AY16" i="7" s="1"/>
  <c r="AP92" i="8"/>
  <c r="AP49" i="8"/>
  <c r="AP18" i="8"/>
  <c r="BB18" i="8" s="1"/>
  <c r="AM102" i="7"/>
  <c r="AM59" i="7"/>
  <c r="L17" i="7"/>
  <c r="O93" i="8"/>
  <c r="O50" i="8"/>
  <c r="O19" i="8"/>
  <c r="L103" i="7"/>
  <c r="L60" i="7"/>
  <c r="V17" i="7"/>
  <c r="Y93" i="8"/>
  <c r="Y50" i="8"/>
  <c r="Y19" i="8"/>
  <c r="V103" i="7"/>
  <c r="V60" i="7"/>
  <c r="BJ17" i="7"/>
  <c r="BM93" i="8"/>
  <c r="BM50" i="8"/>
  <c r="BM19" i="8"/>
  <c r="BJ103" i="7"/>
  <c r="BJ60" i="7"/>
  <c r="BD18" i="7"/>
  <c r="BG94" i="8"/>
  <c r="BG51" i="8"/>
  <c r="BD61" i="7"/>
  <c r="BD104" i="7"/>
  <c r="BG20" i="8"/>
  <c r="N18" i="7"/>
  <c r="Q94" i="8"/>
  <c r="Q51" i="8"/>
  <c r="Q20" i="8"/>
  <c r="N61" i="7"/>
  <c r="N104" i="7"/>
  <c r="BD19" i="7"/>
  <c r="BG95" i="8"/>
  <c r="BG52" i="8"/>
  <c r="BG21" i="8"/>
  <c r="BD105" i="7"/>
  <c r="BD62" i="7"/>
  <c r="BI95" i="8"/>
  <c r="BI21" i="8"/>
  <c r="BI52" i="8"/>
  <c r="BF62" i="7"/>
  <c r="BF105" i="7"/>
  <c r="BF19" i="7"/>
  <c r="AO20" i="7"/>
  <c r="AR96" i="8"/>
  <c r="AR53" i="8"/>
  <c r="AR22" i="8"/>
  <c r="AO63" i="7"/>
  <c r="AO106" i="7"/>
  <c r="T21" i="7"/>
  <c r="W97" i="8"/>
  <c r="W54" i="8"/>
  <c r="W23" i="8"/>
  <c r="T107" i="7"/>
  <c r="T64" i="7"/>
  <c r="Z21" i="7"/>
  <c r="AC97" i="8"/>
  <c r="AC23" i="8"/>
  <c r="AC54" i="8"/>
  <c r="Z107" i="7"/>
  <c r="Z64" i="7"/>
  <c r="X22" i="7"/>
  <c r="AA98" i="8"/>
  <c r="DA98" i="8" s="1"/>
  <c r="AA24" i="8"/>
  <c r="AA55" i="8"/>
  <c r="X108" i="7"/>
  <c r="X65" i="7"/>
  <c r="AD22" i="7"/>
  <c r="AG98" i="8"/>
  <c r="AG24" i="8"/>
  <c r="AG55" i="8"/>
  <c r="AD108" i="7"/>
  <c r="AD65" i="7"/>
  <c r="M23" i="7"/>
  <c r="P99" i="8"/>
  <c r="P56" i="8"/>
  <c r="P25" i="8"/>
  <c r="M109" i="7"/>
  <c r="M66" i="7"/>
  <c r="AL23" i="7"/>
  <c r="AO99" i="8"/>
  <c r="AO56" i="8"/>
  <c r="AO25" i="8"/>
  <c r="AL109" i="7"/>
  <c r="AL66" i="7"/>
  <c r="U24" i="7"/>
  <c r="X100" i="8"/>
  <c r="X57" i="8"/>
  <c r="X26" i="8"/>
  <c r="U67" i="7"/>
  <c r="U110" i="7"/>
  <c r="AP24" i="7"/>
  <c r="AS100" i="8"/>
  <c r="AS26" i="8"/>
  <c r="AS57" i="8"/>
  <c r="AP110" i="7"/>
  <c r="AP67" i="7"/>
  <c r="Y25" i="7"/>
  <c r="AB101" i="8"/>
  <c r="AB58" i="8"/>
  <c r="AB27" i="8"/>
  <c r="Y68" i="7"/>
  <c r="Y111" i="7"/>
  <c r="AT25" i="7"/>
  <c r="AW101" i="8"/>
  <c r="AW58" i="8"/>
  <c r="AW27" i="8"/>
  <c r="AT111" i="7"/>
  <c r="AT68" i="7"/>
  <c r="BH5" i="7"/>
  <c r="BK81" i="8"/>
  <c r="BK38" i="8"/>
  <c r="BK7" i="8"/>
  <c r="BH91" i="7"/>
  <c r="BH48" i="7"/>
  <c r="V5" i="7"/>
  <c r="Y81" i="8"/>
  <c r="Y38" i="8"/>
  <c r="Y7" i="8"/>
  <c r="V91" i="7"/>
  <c r="V48" i="7"/>
  <c r="H82" i="8"/>
  <c r="H39" i="8"/>
  <c r="H8" i="8"/>
  <c r="E49" i="7"/>
  <c r="E92" i="7"/>
  <c r="E6" i="7"/>
  <c r="Z6" i="7"/>
  <c r="AC82" i="8"/>
  <c r="AC39" i="8"/>
  <c r="AC8" i="8"/>
  <c r="Z49" i="7"/>
  <c r="Z92" i="7"/>
  <c r="BH7" i="7"/>
  <c r="BK83" i="8"/>
  <c r="BK40" i="8"/>
  <c r="BK9" i="8"/>
  <c r="BH93" i="7"/>
  <c r="BH50" i="7"/>
  <c r="V7" i="7"/>
  <c r="Y83" i="8"/>
  <c r="Y40" i="8"/>
  <c r="Y9" i="8"/>
  <c r="V93" i="7"/>
  <c r="V50" i="7"/>
  <c r="BD8" i="7"/>
  <c r="BG84" i="8"/>
  <c r="BG41" i="8"/>
  <c r="BD94" i="7"/>
  <c r="BG10" i="8"/>
  <c r="BD51" i="7"/>
  <c r="BF8" i="7"/>
  <c r="BI84" i="8"/>
  <c r="BI41" i="8"/>
  <c r="BI10" i="8"/>
  <c r="BF94" i="7"/>
  <c r="BF51" i="7"/>
  <c r="BD9" i="7"/>
  <c r="BG85" i="8"/>
  <c r="BG42" i="8"/>
  <c r="BG11" i="8"/>
  <c r="BD95" i="7"/>
  <c r="BD52" i="7"/>
  <c r="N9" i="7"/>
  <c r="Q85" i="8"/>
  <c r="Q11" i="8"/>
  <c r="Q42" i="8"/>
  <c r="N95" i="7"/>
  <c r="N52" i="7"/>
  <c r="BH10" i="7"/>
  <c r="BK86" i="8"/>
  <c r="BK43" i="8"/>
  <c r="BK12" i="8"/>
  <c r="BH96" i="7"/>
  <c r="BH53" i="7"/>
  <c r="N10" i="7"/>
  <c r="Q86" i="8"/>
  <c r="Q43" i="8"/>
  <c r="Q12" i="8"/>
  <c r="N53" i="7"/>
  <c r="N96" i="7"/>
  <c r="AO11" i="7"/>
  <c r="AR87" i="8"/>
  <c r="AR44" i="8"/>
  <c r="AR13" i="8"/>
  <c r="AO54" i="7"/>
  <c r="AO97" i="7"/>
  <c r="T5" i="7"/>
  <c r="W81" i="8"/>
  <c r="W38" i="8"/>
  <c r="W7" i="8"/>
  <c r="T91" i="7"/>
  <c r="T48" i="7"/>
  <c r="E5" i="7"/>
  <c r="H81" i="8"/>
  <c r="H38" i="8"/>
  <c r="H7" i="8"/>
  <c r="E91" i="7"/>
  <c r="E48" i="7"/>
  <c r="AS5" i="7"/>
  <c r="AV81" i="8"/>
  <c r="AV38" i="8"/>
  <c r="AV7" i="8"/>
  <c r="AS48" i="7"/>
  <c r="AS91" i="7"/>
  <c r="Z5" i="7"/>
  <c r="AC81" i="8"/>
  <c r="AC7" i="8"/>
  <c r="Z48" i="7"/>
  <c r="AC38" i="8"/>
  <c r="Z91" i="7"/>
  <c r="G5" i="7"/>
  <c r="J81" i="8"/>
  <c r="J38" i="8"/>
  <c r="J7" i="8"/>
  <c r="G48" i="7"/>
  <c r="G91" i="7"/>
  <c r="X6" i="7"/>
  <c r="AA82" i="8"/>
  <c r="DA82" i="8" s="1"/>
  <c r="AA39" i="8"/>
  <c r="AA8" i="8"/>
  <c r="X92" i="7"/>
  <c r="X49" i="7"/>
  <c r="I6" i="7"/>
  <c r="L82" i="8"/>
  <c r="L39" i="8"/>
  <c r="L8" i="8"/>
  <c r="I92" i="7"/>
  <c r="I49" i="7"/>
  <c r="BA6" i="7"/>
  <c r="BD82" i="8"/>
  <c r="BD8" i="8"/>
  <c r="BD39" i="8"/>
  <c r="BA92" i="7"/>
  <c r="BA49" i="7"/>
  <c r="AD6" i="7"/>
  <c r="AG82" i="8"/>
  <c r="AG8" i="8"/>
  <c r="AG39" i="8"/>
  <c r="AD92" i="7"/>
  <c r="AD49" i="7"/>
  <c r="K6" i="7"/>
  <c r="N82" i="8"/>
  <c r="N39" i="8"/>
  <c r="N8" i="8"/>
  <c r="K49" i="7"/>
  <c r="K92" i="7"/>
  <c r="T7" i="7"/>
  <c r="W83" i="8"/>
  <c r="W40" i="8"/>
  <c r="W9" i="8"/>
  <c r="T93" i="7"/>
  <c r="T50" i="7"/>
  <c r="E7" i="7"/>
  <c r="H83" i="8"/>
  <c r="H40" i="8"/>
  <c r="H9" i="8"/>
  <c r="E93" i="7"/>
  <c r="E50" i="7"/>
  <c r="Z7" i="7"/>
  <c r="AC83" i="8"/>
  <c r="AC9" i="8"/>
  <c r="AC40" i="8"/>
  <c r="Z93" i="7"/>
  <c r="Z50" i="7"/>
  <c r="G7" i="7"/>
  <c r="J83" i="8"/>
  <c r="J9" i="8"/>
  <c r="J40" i="8"/>
  <c r="G50" i="7"/>
  <c r="G93" i="7"/>
  <c r="L8" i="7"/>
  <c r="O84" i="8"/>
  <c r="O41" i="8"/>
  <c r="O10" i="8"/>
  <c r="L51" i="7"/>
  <c r="L94" i="7"/>
  <c r="BH8" i="7"/>
  <c r="BK84" i="8"/>
  <c r="BK41" i="8"/>
  <c r="BK10" i="8"/>
  <c r="BH94" i="7"/>
  <c r="BH51" i="7"/>
  <c r="AO8" i="7"/>
  <c r="AR84" i="8"/>
  <c r="AR41" i="8"/>
  <c r="AR10" i="8"/>
  <c r="AO94" i="7"/>
  <c r="AO51" i="7"/>
  <c r="V8" i="7"/>
  <c r="Y84" i="8"/>
  <c r="Y41" i="8"/>
  <c r="Y10" i="8"/>
  <c r="V51" i="7"/>
  <c r="V94" i="7"/>
  <c r="AM8" i="7"/>
  <c r="AY8" i="7" s="1"/>
  <c r="AP84" i="8"/>
  <c r="AP41" i="8"/>
  <c r="AP10" i="8"/>
  <c r="BB10" i="8" s="1"/>
  <c r="AM94" i="7"/>
  <c r="AM51" i="7"/>
  <c r="L9" i="7"/>
  <c r="O85" i="8"/>
  <c r="O42" i="8"/>
  <c r="O11" i="8"/>
  <c r="L95" i="7"/>
  <c r="L52" i="7"/>
  <c r="BH9" i="7"/>
  <c r="BK85" i="8"/>
  <c r="BK42" i="8"/>
  <c r="BK11" i="8"/>
  <c r="BH52" i="7"/>
  <c r="BH95" i="7"/>
  <c r="AO9" i="7"/>
  <c r="AR85" i="8"/>
  <c r="AR42" i="8"/>
  <c r="AR11" i="8"/>
  <c r="AO95" i="7"/>
  <c r="AO52" i="7"/>
  <c r="V9" i="7"/>
  <c r="Y85" i="8"/>
  <c r="Y42" i="8"/>
  <c r="V52" i="7"/>
  <c r="V95" i="7"/>
  <c r="Y11" i="8"/>
  <c r="BJ9" i="7"/>
  <c r="BN9" i="7" s="1"/>
  <c r="BM85" i="8"/>
  <c r="BM42" i="8"/>
  <c r="BM11" i="8"/>
  <c r="BJ95" i="7"/>
  <c r="BJ52" i="7"/>
  <c r="T10" i="7"/>
  <c r="W86" i="8"/>
  <c r="W12" i="8"/>
  <c r="W43" i="8"/>
  <c r="T53" i="7"/>
  <c r="T96" i="7"/>
  <c r="E10" i="7"/>
  <c r="H86" i="8"/>
  <c r="H43" i="8"/>
  <c r="H12" i="8"/>
  <c r="E96" i="7"/>
  <c r="E53" i="7"/>
  <c r="V10" i="7"/>
  <c r="Y86" i="8"/>
  <c r="Y43" i="8"/>
  <c r="Y12" i="8"/>
  <c r="V96" i="7"/>
  <c r="V53" i="7"/>
  <c r="BJ10" i="7"/>
  <c r="BM86" i="8"/>
  <c r="BM43" i="8"/>
  <c r="BM12" i="8"/>
  <c r="BJ53" i="7"/>
  <c r="BJ96" i="7"/>
  <c r="T11" i="7"/>
  <c r="W87" i="8"/>
  <c r="W44" i="8"/>
  <c r="W13" i="8"/>
  <c r="T97" i="7"/>
  <c r="T54" i="7"/>
  <c r="E11" i="7"/>
  <c r="H87" i="8"/>
  <c r="H44" i="8"/>
  <c r="H13" i="8"/>
  <c r="E97" i="7"/>
  <c r="E54" i="7"/>
  <c r="AS11" i="7"/>
  <c r="AV87" i="8"/>
  <c r="AV44" i="8"/>
  <c r="AV13" i="8"/>
  <c r="AS97" i="7"/>
  <c r="AS54" i="7"/>
  <c r="Z11" i="7"/>
  <c r="AC87" i="8"/>
  <c r="AC44" i="8"/>
  <c r="AC13" i="8"/>
  <c r="Z54" i="7"/>
  <c r="Z97" i="7"/>
  <c r="BJ11" i="7"/>
  <c r="BM87" i="8"/>
  <c r="BM44" i="8"/>
  <c r="BJ97" i="7"/>
  <c r="BJ54" i="7"/>
  <c r="BM13" i="8"/>
  <c r="L12" i="7"/>
  <c r="O88" i="8"/>
  <c r="O45" i="8"/>
  <c r="O14" i="8"/>
  <c r="L55" i="7"/>
  <c r="L98" i="7"/>
  <c r="BH12" i="7"/>
  <c r="BK88" i="8"/>
  <c r="BK45" i="8"/>
  <c r="BH55" i="7"/>
  <c r="BH98" i="7"/>
  <c r="BK14" i="8"/>
  <c r="AO12" i="7"/>
  <c r="AR88" i="8"/>
  <c r="AR45" i="8"/>
  <c r="AR14" i="8"/>
  <c r="AO55" i="7"/>
  <c r="AO98" i="7"/>
  <c r="V12" i="7"/>
  <c r="Y88" i="8"/>
  <c r="Y14" i="8"/>
  <c r="V98" i="7"/>
  <c r="Y45" i="8"/>
  <c r="V55" i="7"/>
  <c r="BF12" i="7"/>
  <c r="BI88" i="8"/>
  <c r="BI45" i="8"/>
  <c r="BF98" i="7"/>
  <c r="BF55" i="7"/>
  <c r="BI14" i="8"/>
  <c r="AM12" i="7"/>
  <c r="AY12" i="7" s="1"/>
  <c r="AP88" i="8"/>
  <c r="AP45" i="8"/>
  <c r="AP14" i="8"/>
  <c r="BB14" i="8" s="1"/>
  <c r="AM98" i="7"/>
  <c r="AM55" i="7"/>
  <c r="L13" i="7"/>
  <c r="O89" i="8"/>
  <c r="O15" i="8"/>
  <c r="O46" i="8"/>
  <c r="L99" i="7"/>
  <c r="L56" i="7"/>
  <c r="BH13" i="7"/>
  <c r="BK89" i="8"/>
  <c r="BK46" i="8"/>
  <c r="BK15" i="8"/>
  <c r="BH99" i="7"/>
  <c r="BH56" i="7"/>
  <c r="AO13" i="7"/>
  <c r="AR89" i="8"/>
  <c r="AR46" i="8"/>
  <c r="AO99" i="7"/>
  <c r="AR15" i="8"/>
  <c r="AO56" i="7"/>
  <c r="V13" i="7"/>
  <c r="Y89" i="8"/>
  <c r="Y46" i="8"/>
  <c r="Y15" i="8"/>
  <c r="V56" i="7"/>
  <c r="V99" i="7"/>
  <c r="BJ13" i="7"/>
  <c r="BM89" i="8"/>
  <c r="BM46" i="8"/>
  <c r="BJ99" i="7"/>
  <c r="BJ56" i="7"/>
  <c r="BM15" i="8"/>
  <c r="T14" i="7"/>
  <c r="W90" i="8"/>
  <c r="W16" i="8"/>
  <c r="W47" i="8"/>
  <c r="T57" i="7"/>
  <c r="T100" i="7"/>
  <c r="E14" i="7"/>
  <c r="H90" i="8"/>
  <c r="H47" i="8"/>
  <c r="H16" i="8"/>
  <c r="E100" i="7"/>
  <c r="E57" i="7"/>
  <c r="AS14" i="7"/>
  <c r="AV90" i="8"/>
  <c r="AV47" i="8"/>
  <c r="AV16" i="8"/>
  <c r="AS100" i="7"/>
  <c r="AS57" i="7"/>
  <c r="Z14" i="7"/>
  <c r="AC90" i="8"/>
  <c r="AC47" i="8"/>
  <c r="AC16" i="8"/>
  <c r="Z100" i="7"/>
  <c r="Z57" i="7"/>
  <c r="BJ14" i="7"/>
  <c r="BM90" i="8"/>
  <c r="BM47" i="8"/>
  <c r="BM16" i="8"/>
  <c r="BJ100" i="7"/>
  <c r="BJ57" i="7"/>
  <c r="T15" i="7"/>
  <c r="W91" i="8"/>
  <c r="W48" i="8"/>
  <c r="W17" i="8"/>
  <c r="T101" i="7"/>
  <c r="T58" i="7"/>
  <c r="E15" i="7"/>
  <c r="H91" i="8"/>
  <c r="H48" i="8"/>
  <c r="H17" i="8"/>
  <c r="E101" i="7"/>
  <c r="E58" i="7"/>
  <c r="AS15" i="7"/>
  <c r="AV91" i="8"/>
  <c r="AV48" i="8"/>
  <c r="AV17" i="8"/>
  <c r="AS58" i="7"/>
  <c r="AS101" i="7"/>
  <c r="Z15" i="7"/>
  <c r="AC91" i="8"/>
  <c r="AC17" i="8"/>
  <c r="AC48" i="8"/>
  <c r="Z58" i="7"/>
  <c r="Z101" i="7"/>
  <c r="BJ15" i="7"/>
  <c r="BM91" i="8"/>
  <c r="BM48" i="8"/>
  <c r="BM17" i="8"/>
  <c r="BJ101" i="7"/>
  <c r="BJ58" i="7"/>
  <c r="T16" i="7"/>
  <c r="W92" i="8"/>
  <c r="W18" i="8"/>
  <c r="W49" i="8"/>
  <c r="T59" i="7"/>
  <c r="T102" i="7"/>
  <c r="E16" i="7"/>
  <c r="H92" i="8"/>
  <c r="H49" i="8"/>
  <c r="H18" i="8"/>
  <c r="E59" i="7"/>
  <c r="E102" i="7"/>
  <c r="AS16" i="7"/>
  <c r="AV92" i="8"/>
  <c r="AV49" i="8"/>
  <c r="AV18" i="8"/>
  <c r="AS59" i="7"/>
  <c r="AS102" i="7"/>
  <c r="Z16" i="7"/>
  <c r="AC92" i="8"/>
  <c r="AC49" i="8"/>
  <c r="AC18" i="8"/>
  <c r="Z59" i="7"/>
  <c r="Z102" i="7"/>
  <c r="G16" i="7"/>
  <c r="J92" i="8"/>
  <c r="J49" i="8"/>
  <c r="J18" i="8"/>
  <c r="G59" i="7"/>
  <c r="G102" i="7"/>
  <c r="X17" i="7"/>
  <c r="AA93" i="8"/>
  <c r="DA93" i="8" s="1"/>
  <c r="AA50" i="8"/>
  <c r="AA19" i="8"/>
  <c r="X103" i="7"/>
  <c r="X60" i="7"/>
  <c r="I17" i="7"/>
  <c r="L93" i="8"/>
  <c r="L50" i="8"/>
  <c r="L19" i="8"/>
  <c r="I60" i="7"/>
  <c r="I103" i="7"/>
  <c r="BA17" i="7"/>
  <c r="BD93" i="8"/>
  <c r="BD50" i="8"/>
  <c r="BD19" i="8"/>
  <c r="BA60" i="7"/>
  <c r="BA103" i="7"/>
  <c r="AD17" i="7"/>
  <c r="AG93" i="8"/>
  <c r="AG50" i="8"/>
  <c r="AG19" i="8"/>
  <c r="AD103" i="7"/>
  <c r="AD60" i="7"/>
  <c r="K17" i="7"/>
  <c r="N93" i="8"/>
  <c r="N50" i="8"/>
  <c r="N19" i="8"/>
  <c r="K60" i="7"/>
  <c r="K103" i="7"/>
  <c r="T18" i="7"/>
  <c r="W94" i="8"/>
  <c r="W20" i="8"/>
  <c r="W51" i="8"/>
  <c r="T61" i="7"/>
  <c r="T104" i="7"/>
  <c r="E18" i="7"/>
  <c r="H94" i="8"/>
  <c r="H51" i="8"/>
  <c r="H20" i="8"/>
  <c r="E104" i="7"/>
  <c r="E61" i="7"/>
  <c r="AS18" i="7"/>
  <c r="AV94" i="8"/>
  <c r="AV51" i="8"/>
  <c r="AV20" i="8"/>
  <c r="AS104" i="7"/>
  <c r="AS61" i="7"/>
  <c r="Z18" i="7"/>
  <c r="AC94" i="8"/>
  <c r="AC51" i="8"/>
  <c r="AC20" i="8"/>
  <c r="Z61" i="7"/>
  <c r="Z104" i="7"/>
  <c r="BJ18" i="7"/>
  <c r="BM94" i="8"/>
  <c r="BM51" i="8"/>
  <c r="BM20" i="8"/>
  <c r="BJ104" i="7"/>
  <c r="BJ61" i="7"/>
  <c r="T19" i="7"/>
  <c r="W95" i="8"/>
  <c r="W52" i="8"/>
  <c r="W21" i="8"/>
  <c r="T105" i="7"/>
  <c r="T62" i="7"/>
  <c r="E19" i="7"/>
  <c r="H95" i="8"/>
  <c r="H21" i="8"/>
  <c r="H52" i="8"/>
  <c r="E105" i="7"/>
  <c r="E62" i="7"/>
  <c r="AS19" i="7"/>
  <c r="AV95" i="8"/>
  <c r="AV21" i="8"/>
  <c r="AV52" i="8"/>
  <c r="AS105" i="7"/>
  <c r="AS62" i="7"/>
  <c r="Z19" i="7"/>
  <c r="AC95" i="8"/>
  <c r="AC21" i="8"/>
  <c r="AC52" i="8"/>
  <c r="Z62" i="7"/>
  <c r="Z105" i="7"/>
  <c r="G19" i="7"/>
  <c r="J95" i="8"/>
  <c r="J52" i="8"/>
  <c r="J21" i="8"/>
  <c r="G62" i="7"/>
  <c r="G105" i="7"/>
  <c r="X20" i="7"/>
  <c r="AA96" i="8"/>
  <c r="DA96" i="8" s="1"/>
  <c r="AA53" i="8"/>
  <c r="X106" i="7"/>
  <c r="X63" i="7"/>
  <c r="AA22" i="8"/>
  <c r="I20" i="7"/>
  <c r="L96" i="8"/>
  <c r="L53" i="8"/>
  <c r="L22" i="8"/>
  <c r="I106" i="7"/>
  <c r="I63" i="7"/>
  <c r="BA20" i="7"/>
  <c r="BD96" i="8"/>
  <c r="BD22" i="8"/>
  <c r="BA106" i="7"/>
  <c r="BD53" i="8"/>
  <c r="BA63" i="7"/>
  <c r="AD20" i="7"/>
  <c r="AG96" i="8"/>
  <c r="AG22" i="8"/>
  <c r="AG53" i="8"/>
  <c r="AD106" i="7"/>
  <c r="AD63" i="7"/>
  <c r="K20" i="7"/>
  <c r="N96" i="8"/>
  <c r="N53" i="8"/>
  <c r="N22" i="8"/>
  <c r="K63" i="7"/>
  <c r="K106" i="7"/>
  <c r="AJ21" i="7"/>
  <c r="AM97" i="8"/>
  <c r="AM54" i="8"/>
  <c r="AM23" i="8"/>
  <c r="AJ107" i="7"/>
  <c r="AJ64" i="7"/>
  <c r="M21" i="7"/>
  <c r="P97" i="8"/>
  <c r="P54" i="8"/>
  <c r="P23" i="8"/>
  <c r="M107" i="7"/>
  <c r="M64" i="7"/>
  <c r="BE21" i="7"/>
  <c r="BH97" i="8"/>
  <c r="BH54" i="8"/>
  <c r="BH23" i="8"/>
  <c r="BE107" i="7"/>
  <c r="BE64" i="7"/>
  <c r="AL21" i="7"/>
  <c r="AO97" i="8"/>
  <c r="AO23" i="8"/>
  <c r="AO54" i="8"/>
  <c r="AL64" i="7"/>
  <c r="AL107" i="7"/>
  <c r="O21" i="7"/>
  <c r="R97" i="8"/>
  <c r="R23" i="8"/>
  <c r="R54" i="8"/>
  <c r="O107" i="7"/>
  <c r="O64" i="7"/>
  <c r="AN22" i="7"/>
  <c r="AQ98" i="8"/>
  <c r="AQ55" i="8"/>
  <c r="AN108" i="7"/>
  <c r="AN65" i="7"/>
  <c r="AQ24" i="8"/>
  <c r="U22" i="7"/>
  <c r="X98" i="8"/>
  <c r="X55" i="8"/>
  <c r="X24" i="8"/>
  <c r="U65" i="7"/>
  <c r="U108" i="7"/>
  <c r="BI22" i="7"/>
  <c r="BL98" i="8"/>
  <c r="BL55" i="8"/>
  <c r="BL24" i="8"/>
  <c r="BI108" i="7"/>
  <c r="BI65" i="7"/>
  <c r="AP22" i="7"/>
  <c r="AS98" i="8"/>
  <c r="AS24" i="8"/>
  <c r="AS55" i="8"/>
  <c r="AP65" i="7"/>
  <c r="AP108" i="7"/>
  <c r="W22" i="7"/>
  <c r="Z98" i="8"/>
  <c r="Z55" i="8"/>
  <c r="Z24" i="8"/>
  <c r="W65" i="7"/>
  <c r="W108" i="7"/>
  <c r="BB27" i="7"/>
  <c r="BE103" i="8"/>
  <c r="BB113" i="7"/>
  <c r="BE29" i="8"/>
  <c r="BB70" i="7"/>
  <c r="BE60" i="8"/>
  <c r="AE27" i="7"/>
  <c r="AH103" i="8"/>
  <c r="AH60" i="8"/>
  <c r="AH29" i="8"/>
  <c r="AE113" i="7"/>
  <c r="AE70" i="7"/>
  <c r="AZ28" i="7"/>
  <c r="BC104" i="8"/>
  <c r="BC61" i="8"/>
  <c r="AZ114" i="7"/>
  <c r="BC30" i="8"/>
  <c r="AZ71" i="7"/>
  <c r="AC28" i="7"/>
  <c r="AF104" i="8"/>
  <c r="AF61" i="8"/>
  <c r="AF30" i="8"/>
  <c r="AC71" i="7"/>
  <c r="AC114" i="7"/>
  <c r="J28" i="7"/>
  <c r="M104" i="8"/>
  <c r="M30" i="8"/>
  <c r="M61" i="8"/>
  <c r="J114" i="7"/>
  <c r="J71" i="7"/>
  <c r="BB28" i="7"/>
  <c r="BE104" i="8"/>
  <c r="BE61" i="8"/>
  <c r="BE30" i="8"/>
  <c r="BB71" i="7"/>
  <c r="BB114" i="7"/>
  <c r="AA28" i="7"/>
  <c r="AD104" i="8"/>
  <c r="AD61" i="8"/>
  <c r="AD30" i="8"/>
  <c r="AA114" i="7"/>
  <c r="AA71" i="7"/>
  <c r="AA115" i="8"/>
  <c r="DA115" i="8" s="1"/>
  <c r="DE115" i="8" s="1"/>
  <c r="DI115" i="8" s="1"/>
  <c r="DM115" i="8" s="1"/>
  <c r="AA72" i="8"/>
  <c r="X82" i="7"/>
  <c r="X125" i="7"/>
  <c r="T29" i="7"/>
  <c r="W142" i="8"/>
  <c r="W105" i="8"/>
  <c r="W62" i="8"/>
  <c r="T115" i="7"/>
  <c r="T72" i="7"/>
  <c r="M29" i="7"/>
  <c r="P142" i="8"/>
  <c r="P144" i="8" s="1"/>
  <c r="P105" i="8"/>
  <c r="P62" i="8"/>
  <c r="M115" i="7"/>
  <c r="M72" i="7"/>
  <c r="BE29" i="7"/>
  <c r="BH142" i="8"/>
  <c r="BH144" i="8" s="1"/>
  <c r="BH105" i="8"/>
  <c r="BH62" i="8"/>
  <c r="BE115" i="7"/>
  <c r="BE72" i="7"/>
  <c r="AL29" i="7"/>
  <c r="AO142" i="8"/>
  <c r="AO105" i="8"/>
  <c r="AO62" i="8"/>
  <c r="AL115" i="7"/>
  <c r="AL72" i="7"/>
  <c r="O29" i="7"/>
  <c r="R105" i="8"/>
  <c r="R142" i="8"/>
  <c r="R62" i="8"/>
  <c r="O72" i="7"/>
  <c r="O115" i="7"/>
  <c r="AD30" i="7"/>
  <c r="AG143" i="8"/>
  <c r="AG106" i="8"/>
  <c r="AG63" i="8"/>
  <c r="AD116" i="7"/>
  <c r="AD73" i="7"/>
  <c r="K30" i="7"/>
  <c r="N106" i="8"/>
  <c r="N143" i="8"/>
  <c r="N63" i="8"/>
  <c r="K73" i="7"/>
  <c r="K116" i="7"/>
  <c r="D31" i="7"/>
  <c r="G126" i="8"/>
  <c r="G107" i="8"/>
  <c r="G64" i="8"/>
  <c r="D117" i="7"/>
  <c r="D74" i="7"/>
  <c r="BD31" i="7"/>
  <c r="BG126" i="8"/>
  <c r="BG107" i="8"/>
  <c r="BG64" i="8"/>
  <c r="BD117" i="7"/>
  <c r="BD74" i="7"/>
  <c r="AK31" i="7"/>
  <c r="AN126" i="8"/>
  <c r="AN107" i="8"/>
  <c r="AN64" i="8"/>
  <c r="AK117" i="7"/>
  <c r="AK74" i="7"/>
  <c r="N31" i="7"/>
  <c r="Q126" i="8"/>
  <c r="Q107" i="8"/>
  <c r="Q64" i="8"/>
  <c r="N117" i="7"/>
  <c r="N74" i="7"/>
  <c r="BF31" i="7"/>
  <c r="BI126" i="8"/>
  <c r="BI107" i="8"/>
  <c r="BI64" i="8"/>
  <c r="BF117" i="7"/>
  <c r="BF74" i="7"/>
  <c r="AM31" i="7"/>
  <c r="AY31" i="7" s="1"/>
  <c r="AP126" i="8"/>
  <c r="BB126" i="8" s="1"/>
  <c r="AP107" i="8"/>
  <c r="AP64" i="8"/>
  <c r="AM117" i="7"/>
  <c r="AM74" i="7"/>
  <c r="AJ32" i="7"/>
  <c r="AM127" i="8"/>
  <c r="AM108" i="8"/>
  <c r="AM65" i="8"/>
  <c r="AJ75" i="7"/>
  <c r="AJ118" i="7"/>
  <c r="M32" i="7"/>
  <c r="P108" i="8"/>
  <c r="P127" i="8"/>
  <c r="P65" i="8"/>
  <c r="M75" i="7"/>
  <c r="M118" i="7"/>
  <c r="BE32" i="7"/>
  <c r="BH127" i="8"/>
  <c r="BH108" i="8"/>
  <c r="BH65" i="8"/>
  <c r="BE118" i="7"/>
  <c r="BE75" i="7"/>
  <c r="AL32" i="7"/>
  <c r="AO127" i="8"/>
  <c r="AO108" i="8"/>
  <c r="AO65" i="8"/>
  <c r="AL118" i="7"/>
  <c r="AL75" i="7"/>
  <c r="O32" i="7"/>
  <c r="R108" i="8"/>
  <c r="R127" i="8"/>
  <c r="R65" i="8"/>
  <c r="O75" i="7"/>
  <c r="O118" i="7"/>
  <c r="K109" i="8"/>
  <c r="K66" i="8"/>
  <c r="H76" i="7"/>
  <c r="H119" i="7"/>
  <c r="L34" i="7"/>
  <c r="O110" i="8"/>
  <c r="O128" i="8"/>
  <c r="O67" i="8"/>
  <c r="L77" i="7"/>
  <c r="L120" i="7"/>
  <c r="BH34" i="7"/>
  <c r="BK110" i="8"/>
  <c r="BK128" i="8"/>
  <c r="BK67" i="8"/>
  <c r="BH120" i="7"/>
  <c r="BH77" i="7"/>
  <c r="AO34" i="7"/>
  <c r="AR128" i="8"/>
  <c r="AR110" i="8"/>
  <c r="AR67" i="8"/>
  <c r="AO120" i="7"/>
  <c r="AO77" i="7"/>
  <c r="V34" i="7"/>
  <c r="Y128" i="8"/>
  <c r="Y110" i="8"/>
  <c r="Y67" i="8"/>
  <c r="V120" i="7"/>
  <c r="V77" i="7"/>
  <c r="BJ34" i="7"/>
  <c r="BM110" i="8"/>
  <c r="BM128" i="8"/>
  <c r="BM67" i="8"/>
  <c r="BJ120" i="7"/>
  <c r="BJ77" i="7"/>
  <c r="AN35" i="7"/>
  <c r="AQ129" i="8"/>
  <c r="AQ111" i="8"/>
  <c r="AQ68" i="8"/>
  <c r="AN121" i="7"/>
  <c r="AN78" i="7"/>
  <c r="U35" i="7"/>
  <c r="X111" i="8"/>
  <c r="X129" i="8"/>
  <c r="X68" i="8"/>
  <c r="U121" i="7"/>
  <c r="U78" i="7"/>
  <c r="BI35" i="7"/>
  <c r="BL129" i="8"/>
  <c r="BL111" i="8"/>
  <c r="BL68" i="8"/>
  <c r="BI121" i="7"/>
  <c r="BI78" i="7"/>
  <c r="AP35" i="7"/>
  <c r="AS111" i="8"/>
  <c r="AS129" i="8"/>
  <c r="AS68" i="8"/>
  <c r="AP121" i="7"/>
  <c r="AP78" i="7"/>
  <c r="W35" i="7"/>
  <c r="Z111" i="8"/>
  <c r="Z129" i="8"/>
  <c r="Z68" i="8"/>
  <c r="W121" i="7"/>
  <c r="W78" i="7"/>
  <c r="L36" i="7"/>
  <c r="O130" i="8"/>
  <c r="O112" i="8"/>
  <c r="O69" i="8"/>
  <c r="L122" i="7"/>
  <c r="L79" i="7"/>
  <c r="BF36" i="7"/>
  <c r="BI130" i="8"/>
  <c r="BI112" i="8"/>
  <c r="BI69" i="8"/>
  <c r="BF122" i="7"/>
  <c r="BF79" i="7"/>
  <c r="AM36" i="7"/>
  <c r="AY36" i="7" s="1"/>
  <c r="AP112" i="8"/>
  <c r="AP130" i="8"/>
  <c r="BB130" i="8" s="1"/>
  <c r="AP69" i="8"/>
  <c r="AM79" i="7"/>
  <c r="AM122" i="7"/>
  <c r="J37" i="7"/>
  <c r="M113" i="8"/>
  <c r="M131" i="8"/>
  <c r="M70" i="8"/>
  <c r="J80" i="7"/>
  <c r="J123" i="7"/>
  <c r="BB37" i="7"/>
  <c r="BE131" i="8"/>
  <c r="BE113" i="8"/>
  <c r="BE70" i="8"/>
  <c r="BB80" i="7"/>
  <c r="BB123" i="7"/>
  <c r="AE37" i="7"/>
  <c r="AH113" i="8"/>
  <c r="AH131" i="8"/>
  <c r="AH70" i="8"/>
  <c r="AE123" i="7"/>
  <c r="AE80" i="7"/>
  <c r="X38" i="7"/>
  <c r="AA132" i="8"/>
  <c r="AA114" i="8"/>
  <c r="DA114" i="8" s="1"/>
  <c r="DE114" i="8" s="1"/>
  <c r="DI114" i="8" s="1"/>
  <c r="DM114" i="8" s="1"/>
  <c r="AA71" i="8"/>
  <c r="X124" i="7"/>
  <c r="X81" i="7"/>
  <c r="AT38" i="7"/>
  <c r="AW132" i="8"/>
  <c r="AW114" i="8"/>
  <c r="AW71" i="8"/>
  <c r="AT124" i="7"/>
  <c r="AT81" i="7"/>
  <c r="AA38" i="7"/>
  <c r="AD114" i="8"/>
  <c r="AD132" i="8"/>
  <c r="AD71" i="8"/>
  <c r="AA124" i="7"/>
  <c r="AA81" i="7"/>
  <c r="AR40" i="7"/>
  <c r="AU116" i="8"/>
  <c r="AU133" i="8"/>
  <c r="AU73" i="8"/>
  <c r="AR83" i="7"/>
  <c r="AR126" i="7"/>
  <c r="Y40" i="7"/>
  <c r="AB116" i="8"/>
  <c r="AB133" i="8"/>
  <c r="AB73" i="8"/>
  <c r="Y126" i="7"/>
  <c r="Y83" i="7"/>
  <c r="F40" i="7"/>
  <c r="I116" i="8"/>
  <c r="I133" i="8"/>
  <c r="I73" i="8"/>
  <c r="F126" i="7"/>
  <c r="F83" i="7"/>
  <c r="AT40" i="7"/>
  <c r="AW116" i="8"/>
  <c r="AW133" i="8"/>
  <c r="AW73" i="8"/>
  <c r="AT126" i="7"/>
  <c r="AT83" i="7"/>
  <c r="AA40" i="7"/>
  <c r="AD116" i="8"/>
  <c r="AD133" i="8"/>
  <c r="AD73" i="8"/>
  <c r="AA126" i="7"/>
  <c r="AA83" i="7"/>
  <c r="AN41" i="7"/>
  <c r="AQ117" i="8"/>
  <c r="AQ134" i="8"/>
  <c r="AQ74" i="8"/>
  <c r="AN127" i="7"/>
  <c r="AN84" i="7"/>
  <c r="U41" i="7"/>
  <c r="X117" i="8"/>
  <c r="X134" i="8"/>
  <c r="X74" i="8"/>
  <c r="U127" i="7"/>
  <c r="U84" i="7"/>
  <c r="BI41" i="7"/>
  <c r="BL134" i="8"/>
  <c r="BL117" i="8"/>
  <c r="BL74" i="8"/>
  <c r="BI84" i="7"/>
  <c r="BI127" i="7"/>
  <c r="AP41" i="7"/>
  <c r="AS117" i="8"/>
  <c r="AS134" i="8"/>
  <c r="AS74" i="8"/>
  <c r="AP84" i="7"/>
  <c r="AP127" i="7"/>
  <c r="W41" i="7"/>
  <c r="Z117" i="8"/>
  <c r="Z134" i="8"/>
  <c r="Z74" i="8"/>
  <c r="W127" i="7"/>
  <c r="W84" i="7"/>
  <c r="AA25" i="7"/>
  <c r="AD101" i="8"/>
  <c r="AD58" i="8"/>
  <c r="AD27" i="8"/>
  <c r="AA68" i="7"/>
  <c r="AA111" i="7"/>
  <c r="D26" i="7"/>
  <c r="G102" i="8"/>
  <c r="G59" i="8"/>
  <c r="G28" i="8"/>
  <c r="D112" i="7"/>
  <c r="D69" i="7"/>
  <c r="AZ26" i="7"/>
  <c r="BC102" i="8"/>
  <c r="BC59" i="8"/>
  <c r="BC28" i="8"/>
  <c r="AZ112" i="7"/>
  <c r="AZ69" i="7"/>
  <c r="AC26" i="7"/>
  <c r="AF102" i="8"/>
  <c r="AF59" i="8"/>
  <c r="AF28" i="8"/>
  <c r="AC69" i="7"/>
  <c r="AC112" i="7"/>
  <c r="M102" i="8"/>
  <c r="M28" i="8"/>
  <c r="M59" i="8"/>
  <c r="J112" i="7"/>
  <c r="J69" i="7"/>
  <c r="BB26" i="7"/>
  <c r="BE102" i="8"/>
  <c r="BE59" i="8"/>
  <c r="BE28" i="8"/>
  <c r="BB112" i="7"/>
  <c r="BB69" i="7"/>
  <c r="AE26" i="7"/>
  <c r="AH102" i="8"/>
  <c r="AH59" i="8"/>
  <c r="AH28" i="8"/>
  <c r="AE69" i="7"/>
  <c r="AE112" i="7"/>
  <c r="H27" i="7"/>
  <c r="K103" i="8"/>
  <c r="K60" i="8"/>
  <c r="K29" i="8"/>
  <c r="H70" i="7"/>
  <c r="H113" i="7"/>
  <c r="BD27" i="7"/>
  <c r="BL27" i="7" s="1"/>
  <c r="BG103" i="8"/>
  <c r="BG60" i="8"/>
  <c r="BD113" i="7"/>
  <c r="BG29" i="8"/>
  <c r="BD70" i="7"/>
  <c r="AK27" i="7"/>
  <c r="AN103" i="8"/>
  <c r="AN60" i="8"/>
  <c r="AN29" i="8"/>
  <c r="AK113" i="7"/>
  <c r="AK70" i="7"/>
  <c r="N27" i="7"/>
  <c r="Q103" i="8"/>
  <c r="Q60" i="8"/>
  <c r="Q29" i="8"/>
  <c r="N113" i="7"/>
  <c r="N70" i="7"/>
  <c r="BF27" i="7"/>
  <c r="BI103" i="8"/>
  <c r="BI60" i="8"/>
  <c r="BI29" i="8"/>
  <c r="BF70" i="7"/>
  <c r="BF113" i="7"/>
  <c r="AM27" i="7"/>
  <c r="AY27" i="7" s="1"/>
  <c r="AP103" i="8"/>
  <c r="AP60" i="8"/>
  <c r="AP29" i="8"/>
  <c r="BB29" i="8" s="1"/>
  <c r="AM113" i="7"/>
  <c r="AM70" i="7"/>
  <c r="H28" i="7"/>
  <c r="K104" i="8"/>
  <c r="K61" i="8"/>
  <c r="K30" i="8"/>
  <c r="H114" i="7"/>
  <c r="H71" i="7"/>
  <c r="BD28" i="7"/>
  <c r="BG104" i="8"/>
  <c r="BG30" i="8"/>
  <c r="BG61" i="8"/>
  <c r="BD114" i="7"/>
  <c r="BD71" i="7"/>
  <c r="AK28" i="7"/>
  <c r="AN104" i="8"/>
  <c r="AN61" i="8"/>
  <c r="AN30" i="8"/>
  <c r="AK114" i="7"/>
  <c r="AK71" i="7"/>
  <c r="N28" i="7"/>
  <c r="Q104" i="8"/>
  <c r="Q61" i="8"/>
  <c r="Q30" i="8"/>
  <c r="N71" i="7"/>
  <c r="N114" i="7"/>
  <c r="AH104" i="8"/>
  <c r="AH61" i="8"/>
  <c r="AH30" i="8"/>
  <c r="AE71" i="7"/>
  <c r="AE114" i="7"/>
  <c r="X29" i="7"/>
  <c r="AA142" i="8"/>
  <c r="AA144" i="8" s="1"/>
  <c r="AA105" i="8"/>
  <c r="DA105" i="8" s="1"/>
  <c r="AA62" i="8"/>
  <c r="X72" i="7"/>
  <c r="X115" i="7"/>
  <c r="U29" i="7"/>
  <c r="X142" i="8"/>
  <c r="X105" i="8"/>
  <c r="X62" i="8"/>
  <c r="U115" i="7"/>
  <c r="U72" i="7"/>
  <c r="BI29" i="7"/>
  <c r="BL105" i="8"/>
  <c r="BL142" i="8"/>
  <c r="BL144" i="8" s="1"/>
  <c r="BI115" i="7"/>
  <c r="BL62" i="8"/>
  <c r="BI72" i="7"/>
  <c r="AP29" i="7"/>
  <c r="AS142" i="8"/>
  <c r="AS105" i="8"/>
  <c r="AS62" i="8"/>
  <c r="AP115" i="7"/>
  <c r="AP72" i="7"/>
  <c r="W29" i="7"/>
  <c r="Z142" i="8"/>
  <c r="Z105" i="8"/>
  <c r="Z62" i="8"/>
  <c r="W115" i="7"/>
  <c r="W72" i="7"/>
  <c r="AL30" i="7"/>
  <c r="AO143" i="8"/>
  <c r="AO106" i="8"/>
  <c r="AO63" i="8"/>
  <c r="AL116" i="7"/>
  <c r="AL73" i="7"/>
  <c r="O30" i="7"/>
  <c r="R143" i="8"/>
  <c r="R106" i="8"/>
  <c r="R63" i="8"/>
  <c r="O116" i="7"/>
  <c r="O73" i="7"/>
  <c r="H31" i="7"/>
  <c r="K126" i="8"/>
  <c r="K107" i="8"/>
  <c r="K64" i="8"/>
  <c r="H74" i="7"/>
  <c r="H117" i="7"/>
  <c r="BH31" i="7"/>
  <c r="BK126" i="8"/>
  <c r="BK107" i="8"/>
  <c r="BK64" i="8"/>
  <c r="BH74" i="7"/>
  <c r="BH117" i="7"/>
  <c r="AO31" i="7"/>
  <c r="AR126" i="8"/>
  <c r="AR107" i="8"/>
  <c r="AR64" i="8"/>
  <c r="AO117" i="7"/>
  <c r="AO74" i="7"/>
  <c r="V31" i="7"/>
  <c r="Y126" i="8"/>
  <c r="Y107" i="8"/>
  <c r="Y64" i="8"/>
  <c r="V117" i="7"/>
  <c r="V74" i="7"/>
  <c r="BJ31" i="7"/>
  <c r="BM126" i="8"/>
  <c r="BM107" i="8"/>
  <c r="BM64" i="8"/>
  <c r="BJ74" i="7"/>
  <c r="BJ117" i="7"/>
  <c r="AN32" i="7"/>
  <c r="AQ108" i="8"/>
  <c r="AQ127" i="8"/>
  <c r="AQ65" i="8"/>
  <c r="AN118" i="7"/>
  <c r="AN75" i="7"/>
  <c r="U32" i="7"/>
  <c r="X127" i="8"/>
  <c r="X108" i="8"/>
  <c r="X65" i="8"/>
  <c r="U75" i="7"/>
  <c r="U118" i="7"/>
  <c r="BI32" i="7"/>
  <c r="BL108" i="8"/>
  <c r="BL127" i="8"/>
  <c r="BL65" i="8"/>
  <c r="BI118" i="7"/>
  <c r="BI75" i="7"/>
  <c r="AP32" i="7"/>
  <c r="AS127" i="8"/>
  <c r="AS108" i="8"/>
  <c r="AS65" i="8"/>
  <c r="AP118" i="7"/>
  <c r="AP75" i="7"/>
  <c r="Z127" i="8"/>
  <c r="Z108" i="8"/>
  <c r="Z65" i="8"/>
  <c r="W75" i="7"/>
  <c r="W118" i="7"/>
  <c r="L33" i="7"/>
  <c r="O109" i="8"/>
  <c r="O66" i="8"/>
  <c r="L119" i="7"/>
  <c r="L76" i="7"/>
  <c r="T34" i="7"/>
  <c r="W110" i="8"/>
  <c r="W128" i="8"/>
  <c r="AI128" i="8" s="1"/>
  <c r="W67" i="8"/>
  <c r="T77" i="7"/>
  <c r="T120" i="7"/>
  <c r="E34" i="7"/>
  <c r="H110" i="8"/>
  <c r="H128" i="8"/>
  <c r="H67" i="8"/>
  <c r="E77" i="7"/>
  <c r="E120" i="7"/>
  <c r="AS34" i="7"/>
  <c r="AV110" i="8"/>
  <c r="AV128" i="8"/>
  <c r="AV67" i="8"/>
  <c r="AS120" i="7"/>
  <c r="AS77" i="7"/>
  <c r="Z34" i="7"/>
  <c r="AC128" i="8"/>
  <c r="AC110" i="8"/>
  <c r="AC67" i="8"/>
  <c r="Z120" i="7"/>
  <c r="Z77" i="7"/>
  <c r="G34" i="7"/>
  <c r="J110" i="8"/>
  <c r="J128" i="8"/>
  <c r="J67" i="8"/>
  <c r="G77" i="7"/>
  <c r="G120" i="7"/>
  <c r="AR35" i="7"/>
  <c r="AU111" i="8"/>
  <c r="AU129" i="8"/>
  <c r="AU68" i="8"/>
  <c r="AR78" i="7"/>
  <c r="AR121" i="7"/>
  <c r="Y35" i="7"/>
  <c r="AB129" i="8"/>
  <c r="AB111" i="8"/>
  <c r="AB68" i="8"/>
  <c r="Y78" i="7"/>
  <c r="Y121" i="7"/>
  <c r="F35" i="7"/>
  <c r="R35" i="7" s="1"/>
  <c r="I129" i="8"/>
  <c r="I111" i="8"/>
  <c r="I68" i="8"/>
  <c r="F121" i="7"/>
  <c r="F78" i="7"/>
  <c r="AT35" i="7"/>
  <c r="AW129" i="8"/>
  <c r="AW111" i="8"/>
  <c r="AW68" i="8"/>
  <c r="AT121" i="7"/>
  <c r="AT78" i="7"/>
  <c r="AA35" i="7"/>
  <c r="AD129" i="8"/>
  <c r="AD111" i="8"/>
  <c r="AA78" i="7"/>
  <c r="AD68" i="8"/>
  <c r="AA121" i="7"/>
  <c r="T36" i="7"/>
  <c r="W112" i="8"/>
  <c r="W130" i="8"/>
  <c r="W69" i="8"/>
  <c r="T79" i="7"/>
  <c r="T122" i="7"/>
  <c r="BJ36" i="7"/>
  <c r="BM112" i="8"/>
  <c r="BM130" i="8"/>
  <c r="BM69" i="8"/>
  <c r="BJ122" i="7"/>
  <c r="BJ79" i="7"/>
  <c r="N37" i="7"/>
  <c r="Q131" i="8"/>
  <c r="Q113" i="8"/>
  <c r="Q70" i="8"/>
  <c r="N123" i="7"/>
  <c r="N80" i="7"/>
  <c r="BF37" i="7"/>
  <c r="BI113" i="8"/>
  <c r="BI131" i="8"/>
  <c r="BI70" i="8"/>
  <c r="BF123" i="7"/>
  <c r="BF80" i="7"/>
  <c r="AM37" i="7"/>
  <c r="AY37" i="7" s="1"/>
  <c r="AP131" i="8"/>
  <c r="BB131" i="8" s="1"/>
  <c r="AP113" i="8"/>
  <c r="AP70" i="8"/>
  <c r="AM123" i="7"/>
  <c r="AM80" i="7"/>
  <c r="J38" i="7"/>
  <c r="M132" i="8"/>
  <c r="M114" i="8"/>
  <c r="M71" i="8"/>
  <c r="J124" i="7"/>
  <c r="J81" i="7"/>
  <c r="BB38" i="7"/>
  <c r="BE132" i="8"/>
  <c r="BE114" i="8"/>
  <c r="BE71" i="8"/>
  <c r="BB124" i="7"/>
  <c r="BB81" i="7"/>
  <c r="AE38" i="7"/>
  <c r="AH132" i="8"/>
  <c r="AH114" i="8"/>
  <c r="AH71" i="8"/>
  <c r="AE81" i="7"/>
  <c r="AE124" i="7"/>
  <c r="D40" i="7"/>
  <c r="G133" i="8"/>
  <c r="G116" i="8"/>
  <c r="G73" i="8"/>
  <c r="D126" i="7"/>
  <c r="D83" i="7"/>
  <c r="AZ40" i="7"/>
  <c r="BC116" i="8"/>
  <c r="BC133" i="8"/>
  <c r="BC73" i="8"/>
  <c r="AZ83" i="7"/>
  <c r="AZ126" i="7"/>
  <c r="AC40" i="7"/>
  <c r="AF133" i="8"/>
  <c r="AF116" i="8"/>
  <c r="AF73" i="8"/>
  <c r="AC83" i="7"/>
  <c r="AC126" i="7"/>
  <c r="J40" i="7"/>
  <c r="M133" i="8"/>
  <c r="M116" i="8"/>
  <c r="M73" i="8"/>
  <c r="J126" i="7"/>
  <c r="J83" i="7"/>
  <c r="BB40" i="7"/>
  <c r="BE133" i="8"/>
  <c r="BE116" i="8"/>
  <c r="BE73" i="8"/>
  <c r="BB126" i="7"/>
  <c r="BB83" i="7"/>
  <c r="AE40" i="7"/>
  <c r="AH133" i="8"/>
  <c r="AH116" i="8"/>
  <c r="AH73" i="8"/>
  <c r="AE83" i="7"/>
  <c r="AE126" i="7"/>
  <c r="AR41" i="7"/>
  <c r="AU117" i="8"/>
  <c r="AU134" i="8"/>
  <c r="AU74" i="8"/>
  <c r="AR127" i="7"/>
  <c r="AR84" i="7"/>
  <c r="Y41" i="7"/>
  <c r="AB134" i="8"/>
  <c r="AB117" i="8"/>
  <c r="AB74" i="8"/>
  <c r="Y84" i="7"/>
  <c r="Y127" i="7"/>
  <c r="I134" i="8"/>
  <c r="I117" i="8"/>
  <c r="I74" i="8"/>
  <c r="F127" i="7"/>
  <c r="F84" i="7"/>
  <c r="AT41" i="7"/>
  <c r="AW134" i="8"/>
  <c r="AW117" i="8"/>
  <c r="AW74" i="8"/>
  <c r="AT127" i="7"/>
  <c r="AT84" i="7"/>
  <c r="AD134" i="8"/>
  <c r="AD117" i="8"/>
  <c r="AD74" i="8"/>
  <c r="AA84" i="7"/>
  <c r="AA127" i="7"/>
  <c r="I5" i="7"/>
  <c r="L81" i="8"/>
  <c r="L38" i="8"/>
  <c r="L7" i="8"/>
  <c r="I91" i="7"/>
  <c r="I48" i="7"/>
  <c r="K5" i="7"/>
  <c r="N81" i="8"/>
  <c r="N38" i="8"/>
  <c r="N7" i="8"/>
  <c r="K48" i="7"/>
  <c r="K91" i="7"/>
  <c r="AJ6" i="7"/>
  <c r="AM82" i="8"/>
  <c r="AM39" i="8"/>
  <c r="AM8" i="8"/>
  <c r="AJ92" i="7"/>
  <c r="AJ49" i="7"/>
  <c r="AL6" i="7"/>
  <c r="AO82" i="8"/>
  <c r="AO39" i="8"/>
  <c r="AL92" i="7"/>
  <c r="AL49" i="7"/>
  <c r="AO8" i="8"/>
  <c r="I7" i="7"/>
  <c r="L83" i="8"/>
  <c r="L40" i="8"/>
  <c r="L9" i="8"/>
  <c r="I50" i="7"/>
  <c r="I93" i="7"/>
  <c r="AD7" i="7"/>
  <c r="AG83" i="8"/>
  <c r="AG40" i="8"/>
  <c r="AG9" i="8"/>
  <c r="AD93" i="7"/>
  <c r="AD50" i="7"/>
  <c r="E8" i="7"/>
  <c r="H84" i="8"/>
  <c r="H41" i="8"/>
  <c r="H10" i="8"/>
  <c r="E51" i="7"/>
  <c r="E94" i="7"/>
  <c r="Z8" i="7"/>
  <c r="AC84" i="8"/>
  <c r="AC41" i="8"/>
  <c r="AC10" i="8"/>
  <c r="Z51" i="7"/>
  <c r="Z94" i="7"/>
  <c r="AS9" i="7"/>
  <c r="AV85" i="8"/>
  <c r="AV42" i="8"/>
  <c r="AS95" i="7"/>
  <c r="AV11" i="8"/>
  <c r="AS52" i="7"/>
  <c r="G9" i="7"/>
  <c r="J85" i="8"/>
  <c r="J42" i="8"/>
  <c r="J11" i="8"/>
  <c r="G52" i="7"/>
  <c r="G95" i="7"/>
  <c r="I10" i="7"/>
  <c r="L86" i="8"/>
  <c r="L43" i="8"/>
  <c r="I96" i="7"/>
  <c r="I53" i="7"/>
  <c r="L12" i="8"/>
  <c r="Z10" i="7"/>
  <c r="AC86" i="8"/>
  <c r="AC43" i="8"/>
  <c r="AC12" i="8"/>
  <c r="Z96" i="7"/>
  <c r="Z53" i="7"/>
  <c r="X11" i="7"/>
  <c r="AA87" i="8"/>
  <c r="DA87" i="8" s="1"/>
  <c r="AA44" i="8"/>
  <c r="AA13" i="8"/>
  <c r="X97" i="7"/>
  <c r="X54" i="7"/>
  <c r="BA11" i="7"/>
  <c r="BD87" i="8"/>
  <c r="BD44" i="8"/>
  <c r="BA97" i="7"/>
  <c r="BD13" i="8"/>
  <c r="BA54" i="7"/>
  <c r="AS12" i="7"/>
  <c r="AV88" i="8"/>
  <c r="AV45" i="8"/>
  <c r="AS98" i="7"/>
  <c r="AV14" i="8"/>
  <c r="AS55" i="7"/>
  <c r="AS13" i="7"/>
  <c r="AV89" i="8"/>
  <c r="AV46" i="8"/>
  <c r="AV15" i="8"/>
  <c r="AS99" i="7"/>
  <c r="AS56" i="7"/>
  <c r="AC89" i="8"/>
  <c r="AC46" i="8"/>
  <c r="AC15" i="8"/>
  <c r="Z99" i="7"/>
  <c r="Z56" i="7"/>
  <c r="G13" i="7"/>
  <c r="J89" i="8"/>
  <c r="J46" i="8"/>
  <c r="J15" i="8"/>
  <c r="G56" i="7"/>
  <c r="G99" i="7"/>
  <c r="X14" i="7"/>
  <c r="AA90" i="8"/>
  <c r="DA90" i="8" s="1"/>
  <c r="AA47" i="8"/>
  <c r="AA16" i="8"/>
  <c r="X100" i="7"/>
  <c r="X57" i="7"/>
  <c r="I14" i="7"/>
  <c r="L90" i="8"/>
  <c r="L47" i="8"/>
  <c r="L16" i="8"/>
  <c r="I100" i="7"/>
  <c r="I57" i="7"/>
  <c r="BA14" i="7"/>
  <c r="BD90" i="8"/>
  <c r="BD16" i="8"/>
  <c r="BD47" i="8"/>
  <c r="BA100" i="7"/>
  <c r="BA57" i="7"/>
  <c r="AD14" i="7"/>
  <c r="AG90" i="8"/>
  <c r="AG16" i="8"/>
  <c r="AG47" i="8"/>
  <c r="AD100" i="7"/>
  <c r="AD57" i="7"/>
  <c r="G14" i="7"/>
  <c r="J90" i="8"/>
  <c r="J47" i="8"/>
  <c r="J16" i="8"/>
  <c r="G57" i="7"/>
  <c r="G100" i="7"/>
  <c r="X15" i="7"/>
  <c r="AA91" i="8"/>
  <c r="DA91" i="8" s="1"/>
  <c r="AA48" i="8"/>
  <c r="AA17" i="8"/>
  <c r="X101" i="7"/>
  <c r="X58" i="7"/>
  <c r="I15" i="7"/>
  <c r="L91" i="8"/>
  <c r="L48" i="8"/>
  <c r="L17" i="8"/>
  <c r="I58" i="7"/>
  <c r="I101" i="7"/>
  <c r="BA15" i="7"/>
  <c r="BD91" i="8"/>
  <c r="BD48" i="8"/>
  <c r="BD17" i="8"/>
  <c r="BA58" i="7"/>
  <c r="BA101" i="7"/>
  <c r="AD15" i="7"/>
  <c r="AG91" i="8"/>
  <c r="AG48" i="8"/>
  <c r="AD101" i="7"/>
  <c r="AG17" i="8"/>
  <c r="AD58" i="7"/>
  <c r="G15" i="7"/>
  <c r="J91" i="8"/>
  <c r="J48" i="8"/>
  <c r="J17" i="8"/>
  <c r="G58" i="7"/>
  <c r="G101" i="7"/>
  <c r="AA92" i="8"/>
  <c r="DA92" i="8" s="1"/>
  <c r="AA49" i="8"/>
  <c r="AA18" i="8"/>
  <c r="X102" i="7"/>
  <c r="X59" i="7"/>
  <c r="I16" i="7"/>
  <c r="L92" i="8"/>
  <c r="L49" i="8"/>
  <c r="L18" i="8"/>
  <c r="I102" i="7"/>
  <c r="I59" i="7"/>
  <c r="BA16" i="7"/>
  <c r="BD92" i="8"/>
  <c r="BA102" i="7"/>
  <c r="BD49" i="8"/>
  <c r="BA59" i="7"/>
  <c r="BD18" i="8"/>
  <c r="AD16" i="7"/>
  <c r="AG92" i="8"/>
  <c r="AG49" i="8"/>
  <c r="AG18" i="8"/>
  <c r="AD102" i="7"/>
  <c r="AD59" i="7"/>
  <c r="K16" i="7"/>
  <c r="N92" i="8"/>
  <c r="N49" i="8"/>
  <c r="N18" i="8"/>
  <c r="K59" i="7"/>
  <c r="K102" i="7"/>
  <c r="AJ17" i="7"/>
  <c r="AM93" i="8"/>
  <c r="AM19" i="8"/>
  <c r="AJ103" i="7"/>
  <c r="AJ60" i="7"/>
  <c r="AM50" i="8"/>
  <c r="P93" i="8"/>
  <c r="P50" i="8"/>
  <c r="P19" i="8"/>
  <c r="M103" i="7"/>
  <c r="M60" i="7"/>
  <c r="BE17" i="7"/>
  <c r="BH93" i="8"/>
  <c r="BH50" i="8"/>
  <c r="BE103" i="7"/>
  <c r="BE60" i="7"/>
  <c r="BH19" i="8"/>
  <c r="AL17" i="7"/>
  <c r="AO93" i="8"/>
  <c r="AO50" i="8"/>
  <c r="AO19" i="8"/>
  <c r="AL103" i="7"/>
  <c r="AL60" i="7"/>
  <c r="O17" i="7"/>
  <c r="R93" i="8"/>
  <c r="R50" i="8"/>
  <c r="R19" i="8"/>
  <c r="O60" i="7"/>
  <c r="O103" i="7"/>
  <c r="AA94" i="8"/>
  <c r="DA94" i="8" s="1"/>
  <c r="AA51" i="8"/>
  <c r="AA20" i="8"/>
  <c r="X104" i="7"/>
  <c r="X61" i="7"/>
  <c r="L94" i="8"/>
  <c r="L51" i="8"/>
  <c r="L20" i="8"/>
  <c r="I104" i="7"/>
  <c r="I61" i="7"/>
  <c r="BA18" i="7"/>
  <c r="BD94" i="8"/>
  <c r="BA104" i="7"/>
  <c r="BA61" i="7"/>
  <c r="BD20" i="8"/>
  <c r="BD51" i="8"/>
  <c r="AD18" i="7"/>
  <c r="AG94" i="8"/>
  <c r="AG51" i="8"/>
  <c r="AG20" i="8"/>
  <c r="AD104" i="7"/>
  <c r="AD61" i="7"/>
  <c r="G18" i="7"/>
  <c r="J94" i="8"/>
  <c r="J51" i="8"/>
  <c r="J20" i="8"/>
  <c r="G61" i="7"/>
  <c r="G104" i="7"/>
  <c r="X19" i="7"/>
  <c r="AA95" i="8"/>
  <c r="DA95" i="8" s="1"/>
  <c r="AA21" i="8"/>
  <c r="AA52" i="8"/>
  <c r="X62" i="7"/>
  <c r="X105" i="7"/>
  <c r="I19" i="7"/>
  <c r="L95" i="8"/>
  <c r="L52" i="8"/>
  <c r="L21" i="8"/>
  <c r="I62" i="7"/>
  <c r="I105" i="7"/>
  <c r="BA19" i="7"/>
  <c r="BD95" i="8"/>
  <c r="BD52" i="8"/>
  <c r="BD21" i="8"/>
  <c r="BA105" i="7"/>
  <c r="BA62" i="7"/>
  <c r="AD19" i="7"/>
  <c r="AG95" i="8"/>
  <c r="AG52" i="8"/>
  <c r="AG21" i="8"/>
  <c r="AD105" i="7"/>
  <c r="AD62" i="7"/>
  <c r="N95" i="8"/>
  <c r="N52" i="8"/>
  <c r="N21" i="8"/>
  <c r="K62" i="7"/>
  <c r="K105" i="7"/>
  <c r="AJ20" i="7"/>
  <c r="AM96" i="8"/>
  <c r="AM53" i="8"/>
  <c r="AJ106" i="7"/>
  <c r="AM22" i="8"/>
  <c r="AJ63" i="7"/>
  <c r="M20" i="7"/>
  <c r="P96" i="8"/>
  <c r="P53" i="8"/>
  <c r="P22" i="8"/>
  <c r="M63" i="7"/>
  <c r="M106" i="7"/>
  <c r="BE20" i="7"/>
  <c r="BH96" i="8"/>
  <c r="BH22" i="8"/>
  <c r="BH53" i="8"/>
  <c r="BE63" i="7"/>
  <c r="BE106" i="7"/>
  <c r="AL20" i="7"/>
  <c r="AO96" i="8"/>
  <c r="AO53" i="8"/>
  <c r="AO22" i="8"/>
  <c r="AL106" i="7"/>
  <c r="AL63" i="7"/>
  <c r="O20" i="7"/>
  <c r="R96" i="8"/>
  <c r="R53" i="8"/>
  <c r="R22" i="8"/>
  <c r="O63" i="7"/>
  <c r="O106" i="7"/>
  <c r="AN21" i="7"/>
  <c r="AQ97" i="8"/>
  <c r="AQ54" i="8"/>
  <c r="AN107" i="7"/>
  <c r="AN64" i="7"/>
  <c r="AQ23" i="8"/>
  <c r="U21" i="7"/>
  <c r="X97" i="8"/>
  <c r="X23" i="8"/>
  <c r="X54" i="8"/>
  <c r="U107" i="7"/>
  <c r="U64" i="7"/>
  <c r="BI21" i="7"/>
  <c r="BL97" i="8"/>
  <c r="BL54" i="8"/>
  <c r="BL23" i="8"/>
  <c r="BI107" i="7"/>
  <c r="BI64" i="7"/>
  <c r="AP21" i="7"/>
  <c r="AS97" i="8"/>
  <c r="AS54" i="8"/>
  <c r="AP107" i="7"/>
  <c r="AP64" i="7"/>
  <c r="AS23" i="8"/>
  <c r="W21" i="7"/>
  <c r="Z97" i="8"/>
  <c r="Z54" i="8"/>
  <c r="Z23" i="8"/>
  <c r="W107" i="7"/>
  <c r="W64" i="7"/>
  <c r="AR22" i="7"/>
  <c r="AU98" i="8"/>
  <c r="AU55" i="8"/>
  <c r="AU24" i="8"/>
  <c r="AR108" i="7"/>
  <c r="AR65" i="7"/>
  <c r="Y22" i="7"/>
  <c r="AB55" i="8"/>
  <c r="AB24" i="8"/>
  <c r="AB98" i="8"/>
  <c r="Y108" i="7"/>
  <c r="Y65" i="7"/>
  <c r="F22" i="7"/>
  <c r="I98" i="8"/>
  <c r="I55" i="8"/>
  <c r="I24" i="8"/>
  <c r="F108" i="7"/>
  <c r="F65" i="7"/>
  <c r="AT22" i="7"/>
  <c r="AW98" i="8"/>
  <c r="AW55" i="8"/>
  <c r="AW24" i="8"/>
  <c r="AT108" i="7"/>
  <c r="AT65" i="7"/>
  <c r="AA22" i="7"/>
  <c r="AD55" i="8"/>
  <c r="AD98" i="8"/>
  <c r="AD24" i="8"/>
  <c r="AA108" i="7"/>
  <c r="AA65" i="7"/>
  <c r="AR23" i="7"/>
  <c r="AU99" i="8"/>
  <c r="AU56" i="8"/>
  <c r="AU25" i="8"/>
  <c r="AR109" i="7"/>
  <c r="AR66" i="7"/>
  <c r="Y23" i="7"/>
  <c r="AB99" i="8"/>
  <c r="AB56" i="8"/>
  <c r="AB25" i="8"/>
  <c r="Y66" i="7"/>
  <c r="Y109" i="7"/>
  <c r="F23" i="7"/>
  <c r="I99" i="8"/>
  <c r="I25" i="8"/>
  <c r="I56" i="8"/>
  <c r="F109" i="7"/>
  <c r="F66" i="7"/>
  <c r="AT23" i="7"/>
  <c r="AW99" i="8"/>
  <c r="AW56" i="8"/>
  <c r="AW25" i="8"/>
  <c r="AT66" i="7"/>
  <c r="AT109" i="7"/>
  <c r="AA23" i="7"/>
  <c r="AD99" i="8"/>
  <c r="AD56" i="8"/>
  <c r="AD25" i="8"/>
  <c r="AA66" i="7"/>
  <c r="AA109" i="7"/>
  <c r="D24" i="7"/>
  <c r="G100" i="8"/>
  <c r="G26" i="8"/>
  <c r="G57" i="8"/>
  <c r="D110" i="7"/>
  <c r="D67" i="7"/>
  <c r="AZ24" i="7"/>
  <c r="BC100" i="8"/>
  <c r="BC57" i="8"/>
  <c r="BC26" i="8"/>
  <c r="AZ110" i="7"/>
  <c r="AZ67" i="7"/>
  <c r="AC24" i="7"/>
  <c r="AF100" i="8"/>
  <c r="AF57" i="8"/>
  <c r="AF26" i="8"/>
  <c r="AC67" i="7"/>
  <c r="AC110" i="7"/>
  <c r="J24" i="7"/>
  <c r="M100" i="8"/>
  <c r="M57" i="8"/>
  <c r="M26" i="8"/>
  <c r="J110" i="7"/>
  <c r="J67" i="7"/>
  <c r="BB24" i="7"/>
  <c r="BE100" i="8"/>
  <c r="BE57" i="8"/>
  <c r="BE26" i="8"/>
  <c r="BB67" i="7"/>
  <c r="BB110" i="7"/>
  <c r="AH100" i="8"/>
  <c r="AH57" i="8"/>
  <c r="AH26" i="8"/>
  <c r="AE67" i="7"/>
  <c r="AE110" i="7"/>
  <c r="H25" i="7"/>
  <c r="K101" i="8"/>
  <c r="K27" i="8"/>
  <c r="K58" i="8"/>
  <c r="H68" i="7"/>
  <c r="H111" i="7"/>
  <c r="BD25" i="7"/>
  <c r="BG101" i="8"/>
  <c r="BG58" i="8"/>
  <c r="BG27" i="8"/>
  <c r="BD111" i="7"/>
  <c r="BD68" i="7"/>
  <c r="AN101" i="8"/>
  <c r="AN58" i="8"/>
  <c r="AN27" i="8"/>
  <c r="AK111" i="7"/>
  <c r="AK68" i="7"/>
  <c r="AK25" i="7"/>
  <c r="N25" i="7"/>
  <c r="Q101" i="8"/>
  <c r="Q27" i="8"/>
  <c r="Q58" i="8"/>
  <c r="N111" i="7"/>
  <c r="N68" i="7"/>
  <c r="BF25" i="7"/>
  <c r="BI101" i="8"/>
  <c r="BI58" i="8"/>
  <c r="BI27" i="8"/>
  <c r="BF111" i="7"/>
  <c r="BF68" i="7"/>
  <c r="AM25" i="7"/>
  <c r="AY25" i="7" s="1"/>
  <c r="AP101" i="8"/>
  <c r="AP58" i="8"/>
  <c r="AP27" i="8"/>
  <c r="BB27" i="8" s="1"/>
  <c r="AM111" i="7"/>
  <c r="AM68" i="7"/>
  <c r="L26" i="7"/>
  <c r="O102" i="8"/>
  <c r="O59" i="8"/>
  <c r="O28" i="8"/>
  <c r="L69" i="7"/>
  <c r="L112" i="7"/>
  <c r="BH26" i="7"/>
  <c r="BK102" i="8"/>
  <c r="BK28" i="8"/>
  <c r="BK59" i="8"/>
  <c r="BH69" i="7"/>
  <c r="BH112" i="7"/>
  <c r="AR102" i="8"/>
  <c r="AR59" i="8"/>
  <c r="AR28" i="8"/>
  <c r="AO112" i="7"/>
  <c r="AO69" i="7"/>
  <c r="AO26" i="7"/>
  <c r="V26" i="7"/>
  <c r="Y102" i="8"/>
  <c r="Y59" i="8"/>
  <c r="Y28" i="8"/>
  <c r="V112" i="7"/>
  <c r="V69" i="7"/>
  <c r="BJ26" i="7"/>
  <c r="BM102" i="8"/>
  <c r="BM59" i="8"/>
  <c r="BM28" i="8"/>
  <c r="BJ69" i="7"/>
  <c r="BJ112" i="7"/>
  <c r="T27" i="7"/>
  <c r="W103" i="8"/>
  <c r="W60" i="8"/>
  <c r="W29" i="8"/>
  <c r="T113" i="7"/>
  <c r="T70" i="7"/>
  <c r="H103" i="8"/>
  <c r="H60" i="8"/>
  <c r="H29" i="8"/>
  <c r="E113" i="7"/>
  <c r="E70" i="7"/>
  <c r="AS27" i="7"/>
  <c r="AV103" i="8"/>
  <c r="AV60" i="8"/>
  <c r="AV29" i="8"/>
  <c r="AS70" i="7"/>
  <c r="AS113" i="7"/>
  <c r="Z27" i="7"/>
  <c r="AC103" i="8"/>
  <c r="AC60" i="8"/>
  <c r="AC29" i="8"/>
  <c r="Z113" i="7"/>
  <c r="Z70" i="7"/>
  <c r="G27" i="7"/>
  <c r="J103" i="8"/>
  <c r="J60" i="8"/>
  <c r="J29" i="8"/>
  <c r="G113" i="7"/>
  <c r="G70" i="7"/>
  <c r="T28" i="7"/>
  <c r="W104" i="8"/>
  <c r="W61" i="8"/>
  <c r="W30" i="8"/>
  <c r="T71" i="7"/>
  <c r="T114" i="7"/>
  <c r="E28" i="7"/>
  <c r="H104" i="8"/>
  <c r="H61" i="8"/>
  <c r="H30" i="8"/>
  <c r="E71" i="7"/>
  <c r="E114" i="7"/>
  <c r="AS28" i="7"/>
  <c r="AV104" i="8"/>
  <c r="AV61" i="8"/>
  <c r="AV30" i="8"/>
  <c r="AS114" i="7"/>
  <c r="AS71" i="7"/>
  <c r="Z28" i="7"/>
  <c r="AC104" i="8"/>
  <c r="AC61" i="8"/>
  <c r="AC30" i="8"/>
  <c r="Z114" i="7"/>
  <c r="Z71" i="7"/>
  <c r="BJ28" i="7"/>
  <c r="BM104" i="8"/>
  <c r="BM61" i="8"/>
  <c r="BJ114" i="7"/>
  <c r="BM30" i="8"/>
  <c r="BJ71" i="7"/>
  <c r="AZ29" i="7"/>
  <c r="BC142" i="8"/>
  <c r="BC105" i="8"/>
  <c r="BC62" i="8"/>
  <c r="AZ115" i="7"/>
  <c r="AZ72" i="7"/>
  <c r="AC29" i="7"/>
  <c r="AF142" i="8"/>
  <c r="AF144" i="8" s="1"/>
  <c r="AF105" i="8"/>
  <c r="AF62" i="8"/>
  <c r="AC115" i="7"/>
  <c r="AC72" i="7"/>
  <c r="J29" i="7"/>
  <c r="M142" i="8"/>
  <c r="M144" i="8" s="1"/>
  <c r="M105" i="8"/>
  <c r="M62" i="8"/>
  <c r="J115" i="7"/>
  <c r="J72" i="7"/>
  <c r="BB29" i="7"/>
  <c r="BE142" i="8"/>
  <c r="BE105" i="8"/>
  <c r="BE62" i="8"/>
  <c r="BB115" i="7"/>
  <c r="BB72" i="7"/>
  <c r="AE29" i="7"/>
  <c r="AH142" i="8"/>
  <c r="AH105" i="8"/>
  <c r="AH62" i="8"/>
  <c r="AE115" i="7"/>
  <c r="AE72" i="7"/>
  <c r="AT30" i="7"/>
  <c r="AW143" i="8"/>
  <c r="AW106" i="8"/>
  <c r="AW63" i="8"/>
  <c r="AT116" i="7"/>
  <c r="AT73" i="7"/>
  <c r="AA30" i="7"/>
  <c r="AD143" i="8"/>
  <c r="AD106" i="8"/>
  <c r="AD63" i="8"/>
  <c r="AA116" i="7"/>
  <c r="AA73" i="7"/>
  <c r="T31" i="7"/>
  <c r="W126" i="8"/>
  <c r="W107" i="8"/>
  <c r="W64" i="8"/>
  <c r="T117" i="7"/>
  <c r="T74" i="7"/>
  <c r="I31" i="7"/>
  <c r="L126" i="8"/>
  <c r="L107" i="8"/>
  <c r="L64" i="8"/>
  <c r="I74" i="7"/>
  <c r="I117" i="7"/>
  <c r="BA31" i="7"/>
  <c r="BD126" i="8"/>
  <c r="BD107" i="8"/>
  <c r="BD64" i="8"/>
  <c r="BA117" i="7"/>
  <c r="BA74" i="7"/>
  <c r="AD31" i="7"/>
  <c r="AG126" i="8"/>
  <c r="AG107" i="8"/>
  <c r="AG64" i="8"/>
  <c r="AD117" i="7"/>
  <c r="AD74" i="7"/>
  <c r="K31" i="7"/>
  <c r="N107" i="8"/>
  <c r="N126" i="8"/>
  <c r="N64" i="8"/>
  <c r="K74" i="7"/>
  <c r="K117" i="7"/>
  <c r="D32" i="7"/>
  <c r="G127" i="8"/>
  <c r="G108" i="8"/>
  <c r="G65" i="8"/>
  <c r="D118" i="7"/>
  <c r="D75" i="7"/>
  <c r="AZ32" i="7"/>
  <c r="BC108" i="8"/>
  <c r="BC127" i="8"/>
  <c r="BC65" i="8"/>
  <c r="AZ118" i="7"/>
  <c r="AZ75" i="7"/>
  <c r="AC32" i="7"/>
  <c r="AF127" i="8"/>
  <c r="AF108" i="8"/>
  <c r="AF65" i="8"/>
  <c r="AC75" i="7"/>
  <c r="AC118" i="7"/>
  <c r="J32" i="7"/>
  <c r="M127" i="8"/>
  <c r="M108" i="8"/>
  <c r="M65" i="8"/>
  <c r="J118" i="7"/>
  <c r="J75" i="7"/>
  <c r="BB32" i="7"/>
  <c r="BE127" i="8"/>
  <c r="BE108" i="8"/>
  <c r="BE65" i="8"/>
  <c r="BB118" i="7"/>
  <c r="BB75" i="7"/>
  <c r="AE32" i="7"/>
  <c r="AH127" i="8"/>
  <c r="AH108" i="8"/>
  <c r="AH65" i="8"/>
  <c r="AE75" i="7"/>
  <c r="AE118" i="7"/>
  <c r="X33" i="7"/>
  <c r="AA109" i="8"/>
  <c r="DA109" i="8" s="1"/>
  <c r="DE109" i="8" s="1"/>
  <c r="DI109" i="8" s="1"/>
  <c r="DM109" i="8" s="1"/>
  <c r="AA66" i="8"/>
  <c r="X76" i="7"/>
  <c r="X119" i="7"/>
  <c r="AJ34" i="7"/>
  <c r="AM110" i="8"/>
  <c r="AM128" i="8"/>
  <c r="AM67" i="8"/>
  <c r="AJ120" i="7"/>
  <c r="AJ77" i="7"/>
  <c r="M34" i="7"/>
  <c r="P110" i="8"/>
  <c r="P128" i="8"/>
  <c r="P67" i="8"/>
  <c r="M77" i="7"/>
  <c r="M120" i="7"/>
  <c r="BE34" i="7"/>
  <c r="BH128" i="8"/>
  <c r="BH110" i="8"/>
  <c r="BH67" i="8"/>
  <c r="BE120" i="7"/>
  <c r="BE77" i="7"/>
  <c r="AL34" i="7"/>
  <c r="AO128" i="8"/>
  <c r="AO110" i="8"/>
  <c r="AO67" i="8"/>
  <c r="AL120" i="7"/>
  <c r="AL77" i="7"/>
  <c r="O34" i="7"/>
  <c r="R110" i="8"/>
  <c r="R128" i="8"/>
  <c r="R67" i="8"/>
  <c r="O77" i="7"/>
  <c r="O120" i="7"/>
  <c r="H35" i="7"/>
  <c r="K129" i="8"/>
  <c r="K111" i="8"/>
  <c r="K68" i="8"/>
  <c r="H121" i="7"/>
  <c r="H78" i="7"/>
  <c r="BD35" i="7"/>
  <c r="BG129" i="8"/>
  <c r="BG111" i="8"/>
  <c r="BG68" i="8"/>
  <c r="BD121" i="7"/>
  <c r="BD78" i="7"/>
  <c r="AK35" i="7"/>
  <c r="AN129" i="8"/>
  <c r="AN111" i="8"/>
  <c r="AN68" i="8"/>
  <c r="AK121" i="7"/>
  <c r="AK78" i="7"/>
  <c r="Q129" i="8"/>
  <c r="Q111" i="8"/>
  <c r="Q68" i="8"/>
  <c r="N121" i="7"/>
  <c r="N78" i="7"/>
  <c r="BF35" i="7"/>
  <c r="BI111" i="8"/>
  <c r="BI129" i="8"/>
  <c r="BI68" i="8"/>
  <c r="BF121" i="7"/>
  <c r="BF78" i="7"/>
  <c r="AM35" i="7"/>
  <c r="AY35" i="7" s="1"/>
  <c r="AP111" i="8"/>
  <c r="AP129" i="8"/>
  <c r="BB129" i="8" s="1"/>
  <c r="AP68" i="8"/>
  <c r="AM121" i="7"/>
  <c r="AM78" i="7"/>
  <c r="AD36" i="7"/>
  <c r="AH36" i="7" s="1"/>
  <c r="AG130" i="8"/>
  <c r="AK130" i="8" s="1"/>
  <c r="BX130" i="8" s="1"/>
  <c r="AG112" i="8"/>
  <c r="CY112" i="8" s="1"/>
  <c r="AG69" i="8"/>
  <c r="AD122" i="7"/>
  <c r="CJ122" i="7" s="1"/>
  <c r="AD79" i="7"/>
  <c r="N130" i="8"/>
  <c r="N112" i="8"/>
  <c r="N69" i="8"/>
  <c r="K79" i="7"/>
  <c r="K122" i="7"/>
  <c r="D37" i="7"/>
  <c r="G113" i="8"/>
  <c r="G131" i="8"/>
  <c r="G70" i="8"/>
  <c r="D123" i="7"/>
  <c r="D80" i="7"/>
  <c r="Z37" i="7"/>
  <c r="AC131" i="8"/>
  <c r="AC113" i="8"/>
  <c r="AC70" i="8"/>
  <c r="Z123" i="7"/>
  <c r="Z80" i="7"/>
  <c r="J131" i="8"/>
  <c r="J113" i="8"/>
  <c r="J70" i="8"/>
  <c r="G123" i="7"/>
  <c r="G80" i="7"/>
  <c r="V38" i="7"/>
  <c r="Y132" i="8"/>
  <c r="Y114" i="8"/>
  <c r="Y71" i="8"/>
  <c r="V124" i="7"/>
  <c r="V81" i="7"/>
  <c r="BM114" i="8"/>
  <c r="BM132" i="8"/>
  <c r="BM71" i="8"/>
  <c r="BJ81" i="7"/>
  <c r="BJ124" i="7"/>
  <c r="L40" i="7"/>
  <c r="O133" i="8"/>
  <c r="O116" i="8"/>
  <c r="O73" i="8"/>
  <c r="L83" i="7"/>
  <c r="L126" i="7"/>
  <c r="BH40" i="7"/>
  <c r="BK116" i="8"/>
  <c r="BK133" i="8"/>
  <c r="BK73" i="8"/>
  <c r="BH126" i="7"/>
  <c r="BH83" i="7"/>
  <c r="AO40" i="7"/>
  <c r="AR133" i="8"/>
  <c r="AR116" i="8"/>
  <c r="AR73" i="8"/>
  <c r="AO126" i="7"/>
  <c r="AO83" i="7"/>
  <c r="V40" i="7"/>
  <c r="Y133" i="8"/>
  <c r="Y116" i="8"/>
  <c r="Y73" i="8"/>
  <c r="V83" i="7"/>
  <c r="V126" i="7"/>
  <c r="BJ40" i="7"/>
  <c r="BM116" i="8"/>
  <c r="BM133" i="8"/>
  <c r="BM73" i="8"/>
  <c r="BJ126" i="7"/>
  <c r="BJ83" i="7"/>
  <c r="K117" i="8"/>
  <c r="K134" i="8"/>
  <c r="K74" i="8"/>
  <c r="H127" i="7"/>
  <c r="H84" i="7"/>
  <c r="BD41" i="7"/>
  <c r="BG117" i="8"/>
  <c r="BG134" i="8"/>
  <c r="BG74" i="8"/>
  <c r="BD127" i="7"/>
  <c r="BD84" i="7"/>
  <c r="AK41" i="7"/>
  <c r="AN134" i="8"/>
  <c r="AN117" i="8"/>
  <c r="AN74" i="8"/>
  <c r="AK127" i="7"/>
  <c r="AK84" i="7"/>
  <c r="N41" i="7"/>
  <c r="Q134" i="8"/>
  <c r="Q117" i="8"/>
  <c r="Q74" i="8"/>
  <c r="N127" i="7"/>
  <c r="N84" i="7"/>
  <c r="BF41" i="7"/>
  <c r="BI117" i="8"/>
  <c r="BI134" i="8"/>
  <c r="BI74" i="8"/>
  <c r="BF84" i="7"/>
  <c r="BF127" i="7"/>
  <c r="AM41" i="7"/>
  <c r="AY41" i="7" s="1"/>
  <c r="AP134" i="8"/>
  <c r="BB134" i="8" s="1"/>
  <c r="AP117" i="8"/>
  <c r="AP74" i="8"/>
  <c r="AM127" i="7"/>
  <c r="AM84" i="7"/>
  <c r="AA41" i="7"/>
  <c r="X5" i="7"/>
  <c r="AA81" i="8"/>
  <c r="AA38" i="8"/>
  <c r="AA7" i="8"/>
  <c r="X48" i="7"/>
  <c r="X91" i="7"/>
  <c r="AD5" i="7"/>
  <c r="AG81" i="8"/>
  <c r="AG38" i="8"/>
  <c r="AG7" i="8"/>
  <c r="AD91" i="7"/>
  <c r="AD48" i="7"/>
  <c r="BE6" i="7"/>
  <c r="BH82" i="8"/>
  <c r="BH8" i="8"/>
  <c r="BH39" i="8"/>
  <c r="BE49" i="7"/>
  <c r="BE92" i="7"/>
  <c r="X7" i="7"/>
  <c r="AA83" i="8"/>
  <c r="DA83" i="8" s="1"/>
  <c r="AA40" i="8"/>
  <c r="AA9" i="8"/>
  <c r="X50" i="7"/>
  <c r="X93" i="7"/>
  <c r="K7" i="7"/>
  <c r="N83" i="8"/>
  <c r="N40" i="8"/>
  <c r="N9" i="8"/>
  <c r="K50" i="7"/>
  <c r="K93" i="7"/>
  <c r="T8" i="7"/>
  <c r="W84" i="8"/>
  <c r="W41" i="8"/>
  <c r="T51" i="7"/>
  <c r="T94" i="7"/>
  <c r="W10" i="8"/>
  <c r="AS8" i="7"/>
  <c r="AV84" i="8"/>
  <c r="AV41" i="8"/>
  <c r="AV10" i="8"/>
  <c r="AS94" i="7"/>
  <c r="AS51" i="7"/>
  <c r="T9" i="7"/>
  <c r="W85" i="8"/>
  <c r="W42" i="8"/>
  <c r="W11" i="8"/>
  <c r="T95" i="7"/>
  <c r="T52" i="7"/>
  <c r="E9" i="7"/>
  <c r="H85" i="8"/>
  <c r="H42" i="8"/>
  <c r="H11" i="8"/>
  <c r="E95" i="7"/>
  <c r="E52" i="7"/>
  <c r="Z9" i="7"/>
  <c r="AC85" i="8"/>
  <c r="AC42" i="8"/>
  <c r="AC11" i="8"/>
  <c r="Z95" i="7"/>
  <c r="Z52" i="7"/>
  <c r="X10" i="7"/>
  <c r="AA86" i="8"/>
  <c r="DA86" i="8" s="1"/>
  <c r="AA43" i="8"/>
  <c r="AA12" i="8"/>
  <c r="X96" i="7"/>
  <c r="X53" i="7"/>
  <c r="FQ14" i="6"/>
  <c r="J86" i="8"/>
  <c r="J43" i="8"/>
  <c r="J12" i="8"/>
  <c r="G53" i="7"/>
  <c r="G96" i="7"/>
  <c r="L44" i="8"/>
  <c r="L87" i="8"/>
  <c r="L13" i="8"/>
  <c r="I54" i="7"/>
  <c r="I97" i="7"/>
  <c r="AD11" i="7"/>
  <c r="AG87" i="8"/>
  <c r="AG44" i="8"/>
  <c r="AG13" i="8"/>
  <c r="AD97" i="7"/>
  <c r="AD54" i="7"/>
  <c r="G11" i="7"/>
  <c r="J87" i="8"/>
  <c r="J44" i="8"/>
  <c r="J13" i="8"/>
  <c r="G54" i="7"/>
  <c r="G97" i="7"/>
  <c r="T12" i="7"/>
  <c r="W88" i="8"/>
  <c r="W14" i="8"/>
  <c r="W45" i="8"/>
  <c r="T55" i="7"/>
  <c r="T98" i="7"/>
  <c r="E12" i="7"/>
  <c r="H88" i="8"/>
  <c r="H45" i="8"/>
  <c r="H14" i="8"/>
  <c r="E55" i="7"/>
  <c r="E98" i="7"/>
  <c r="Z12" i="7"/>
  <c r="AC88" i="8"/>
  <c r="AC45" i="8"/>
  <c r="AC14" i="8"/>
  <c r="Z55" i="7"/>
  <c r="Z98" i="7"/>
  <c r="BJ12" i="7"/>
  <c r="BM88" i="8"/>
  <c r="BM45" i="8"/>
  <c r="BJ98" i="7"/>
  <c r="BM14" i="8"/>
  <c r="BJ55" i="7"/>
  <c r="T13" i="7"/>
  <c r="W89" i="8"/>
  <c r="W46" i="8"/>
  <c r="W15" i="8"/>
  <c r="T99" i="7"/>
  <c r="T56" i="7"/>
  <c r="E13" i="7"/>
  <c r="H89" i="8"/>
  <c r="H46" i="8"/>
  <c r="H15" i="8"/>
  <c r="E99" i="7"/>
  <c r="E56" i="7"/>
  <c r="BK9" i="6"/>
  <c r="AJ5" i="7"/>
  <c r="AM81" i="8"/>
  <c r="AM38" i="8"/>
  <c r="AJ91" i="7"/>
  <c r="AM7" i="8"/>
  <c r="AJ48" i="7"/>
  <c r="M5" i="7"/>
  <c r="P81" i="8"/>
  <c r="P38" i="8"/>
  <c r="P7" i="8"/>
  <c r="M91" i="7"/>
  <c r="M48" i="7"/>
  <c r="BE5" i="7"/>
  <c r="BH81" i="8"/>
  <c r="BH38" i="8"/>
  <c r="BH7" i="8"/>
  <c r="BE91" i="7"/>
  <c r="BE48" i="7"/>
  <c r="AL5" i="7"/>
  <c r="AO81" i="8"/>
  <c r="AO38" i="8"/>
  <c r="AO7" i="8"/>
  <c r="AL91" i="7"/>
  <c r="AL48" i="7"/>
  <c r="O5" i="7"/>
  <c r="R81" i="8"/>
  <c r="R7" i="8"/>
  <c r="O48" i="7"/>
  <c r="R38" i="8"/>
  <c r="O91" i="7"/>
  <c r="AN6" i="7"/>
  <c r="AQ82" i="8"/>
  <c r="AQ8" i="8"/>
  <c r="AQ39" i="8"/>
  <c r="AN49" i="7"/>
  <c r="AN92" i="7"/>
  <c r="U6" i="7"/>
  <c r="X82" i="8"/>
  <c r="X39" i="8"/>
  <c r="X8" i="8"/>
  <c r="U49" i="7"/>
  <c r="U92" i="7"/>
  <c r="BI6" i="7"/>
  <c r="BL82" i="8"/>
  <c r="BL39" i="8"/>
  <c r="BI49" i="7"/>
  <c r="BL8" i="8"/>
  <c r="BI92" i="7"/>
  <c r="AP6" i="7"/>
  <c r="AS82" i="8"/>
  <c r="AS8" i="8"/>
  <c r="AS39" i="8"/>
  <c r="AP92" i="7"/>
  <c r="AP49" i="7"/>
  <c r="W6" i="7"/>
  <c r="Z82" i="8"/>
  <c r="Z39" i="8"/>
  <c r="W49" i="7"/>
  <c r="Z8" i="8"/>
  <c r="W92" i="7"/>
  <c r="AJ7" i="7"/>
  <c r="AM83" i="8"/>
  <c r="AM9" i="8"/>
  <c r="AJ93" i="7"/>
  <c r="AM40" i="8"/>
  <c r="AJ50" i="7"/>
  <c r="M7" i="7"/>
  <c r="P83" i="8"/>
  <c r="P40" i="8"/>
  <c r="P9" i="8"/>
  <c r="M93" i="7"/>
  <c r="M50" i="7"/>
  <c r="BE7" i="7"/>
  <c r="BH83" i="8"/>
  <c r="BH40" i="8"/>
  <c r="BE93" i="7"/>
  <c r="BE50" i="7"/>
  <c r="BH9" i="8"/>
  <c r="AL7" i="7"/>
  <c r="AO83" i="8"/>
  <c r="AO9" i="8"/>
  <c r="AO40" i="8"/>
  <c r="AL50" i="7"/>
  <c r="AL93" i="7"/>
  <c r="O7" i="7"/>
  <c r="R83" i="8"/>
  <c r="R9" i="8"/>
  <c r="R40" i="8"/>
  <c r="O50" i="7"/>
  <c r="O93" i="7"/>
  <c r="X8" i="7"/>
  <c r="AA84" i="8"/>
  <c r="DA84" i="8" s="1"/>
  <c r="AA41" i="8"/>
  <c r="AA10" i="8"/>
  <c r="X94" i="7"/>
  <c r="X51" i="7"/>
  <c r="I8" i="7"/>
  <c r="L84" i="8"/>
  <c r="L41" i="8"/>
  <c r="L10" i="8"/>
  <c r="I94" i="7"/>
  <c r="I51" i="7"/>
  <c r="BA8" i="7"/>
  <c r="BD84" i="8"/>
  <c r="BD41" i="8"/>
  <c r="BA94" i="7"/>
  <c r="BA51" i="7"/>
  <c r="BD10" i="8"/>
  <c r="AD8" i="7"/>
  <c r="AG84" i="8"/>
  <c r="AG10" i="8"/>
  <c r="AG41" i="8"/>
  <c r="AD94" i="7"/>
  <c r="AD51" i="7"/>
  <c r="G8" i="7"/>
  <c r="J84" i="8"/>
  <c r="J41" i="8"/>
  <c r="J10" i="8"/>
  <c r="G51" i="7"/>
  <c r="G94" i="7"/>
  <c r="X9" i="7"/>
  <c r="AA85" i="8"/>
  <c r="DA85" i="8" s="1"/>
  <c r="AA42" i="8"/>
  <c r="X95" i="7"/>
  <c r="AA11" i="8"/>
  <c r="X52" i="7"/>
  <c r="I9" i="7"/>
  <c r="L85" i="8"/>
  <c r="L42" i="8"/>
  <c r="L11" i="8"/>
  <c r="I52" i="7"/>
  <c r="I95" i="7"/>
  <c r="BA9" i="7"/>
  <c r="BD85" i="8"/>
  <c r="BD42" i="8"/>
  <c r="BD11" i="8"/>
  <c r="BA52" i="7"/>
  <c r="BA95" i="7"/>
  <c r="AD9" i="7"/>
  <c r="AG42" i="8"/>
  <c r="AG85" i="8"/>
  <c r="AG11" i="8"/>
  <c r="AD95" i="7"/>
  <c r="AD52" i="7"/>
  <c r="K9" i="7"/>
  <c r="N85" i="8"/>
  <c r="N42" i="8"/>
  <c r="N11" i="8"/>
  <c r="K52" i="7"/>
  <c r="K95" i="7"/>
  <c r="AJ10" i="7"/>
  <c r="AM86" i="8"/>
  <c r="AM43" i="8"/>
  <c r="AM12" i="8"/>
  <c r="AJ53" i="7"/>
  <c r="AJ96" i="7"/>
  <c r="M10" i="7"/>
  <c r="P86" i="8"/>
  <c r="P43" i="8"/>
  <c r="P12" i="8"/>
  <c r="M96" i="7"/>
  <c r="M53" i="7"/>
  <c r="BA10" i="7"/>
  <c r="BD86" i="8"/>
  <c r="BD43" i="8"/>
  <c r="BA96" i="7"/>
  <c r="BA53" i="7"/>
  <c r="BD12" i="8"/>
  <c r="AD10" i="7"/>
  <c r="AG86" i="8"/>
  <c r="AG12" i="8"/>
  <c r="AD96" i="7"/>
  <c r="AD53" i="7"/>
  <c r="AG43" i="8"/>
  <c r="K10" i="7"/>
  <c r="N86" i="8"/>
  <c r="N43" i="8"/>
  <c r="N12" i="8"/>
  <c r="K53" i="7"/>
  <c r="K96" i="7"/>
  <c r="AJ11" i="7"/>
  <c r="AM87" i="8"/>
  <c r="AM44" i="8"/>
  <c r="AM13" i="8"/>
  <c r="AJ97" i="7"/>
  <c r="AJ54" i="7"/>
  <c r="M11" i="7"/>
  <c r="P87" i="8"/>
  <c r="P44" i="8"/>
  <c r="P13" i="8"/>
  <c r="M97" i="7"/>
  <c r="M54" i="7"/>
  <c r="BE11" i="7"/>
  <c r="BH87" i="8"/>
  <c r="BH44" i="8"/>
  <c r="BH13" i="8"/>
  <c r="BE97" i="7"/>
  <c r="BE54" i="7"/>
  <c r="AL11" i="7"/>
  <c r="AO87" i="8"/>
  <c r="AO44" i="8"/>
  <c r="AL97" i="7"/>
  <c r="AO13" i="8"/>
  <c r="AL54" i="7"/>
  <c r="K11" i="7"/>
  <c r="N87" i="8"/>
  <c r="N44" i="8"/>
  <c r="N13" i="8"/>
  <c r="K54" i="7"/>
  <c r="K97" i="7"/>
  <c r="X12" i="7"/>
  <c r="AA88" i="8"/>
  <c r="DA88" i="8" s="1"/>
  <c r="AA45" i="8"/>
  <c r="AA14" i="8"/>
  <c r="X98" i="7"/>
  <c r="X55" i="7"/>
  <c r="I12" i="7"/>
  <c r="L88" i="8"/>
  <c r="L45" i="8"/>
  <c r="I98" i="7"/>
  <c r="L14" i="8"/>
  <c r="I55" i="7"/>
  <c r="BA12" i="7"/>
  <c r="BD88" i="8"/>
  <c r="BD14" i="8"/>
  <c r="BD45" i="8"/>
  <c r="BA55" i="7"/>
  <c r="BA98" i="7"/>
  <c r="AD12" i="7"/>
  <c r="AG88" i="8"/>
  <c r="AG45" i="8"/>
  <c r="AG14" i="8"/>
  <c r="AD98" i="7"/>
  <c r="AD55" i="7"/>
  <c r="G12" i="7"/>
  <c r="J88" i="8"/>
  <c r="J45" i="8"/>
  <c r="J14" i="8"/>
  <c r="G55" i="7"/>
  <c r="G98" i="7"/>
  <c r="X13" i="7"/>
  <c r="AA89" i="8"/>
  <c r="DA89" i="8" s="1"/>
  <c r="AA46" i="8"/>
  <c r="AA15" i="8"/>
  <c r="X56" i="7"/>
  <c r="X99" i="7"/>
  <c r="I13" i="7"/>
  <c r="L89" i="8"/>
  <c r="L46" i="8"/>
  <c r="L15" i="8"/>
  <c r="I56" i="7"/>
  <c r="I99" i="7"/>
  <c r="BA13" i="7"/>
  <c r="BD89" i="8"/>
  <c r="BD46" i="8"/>
  <c r="BD15" i="8"/>
  <c r="BA99" i="7"/>
  <c r="BA56" i="7"/>
  <c r="AD13" i="7"/>
  <c r="AG89" i="8"/>
  <c r="AG46" i="8"/>
  <c r="AG15" i="8"/>
  <c r="AD99" i="7"/>
  <c r="AD56" i="7"/>
  <c r="K13" i="7"/>
  <c r="N89" i="8"/>
  <c r="N46" i="8"/>
  <c r="N15" i="8"/>
  <c r="K56" i="7"/>
  <c r="K99" i="7"/>
  <c r="AJ14" i="7"/>
  <c r="AM90" i="8"/>
  <c r="AM47" i="8"/>
  <c r="AM16" i="8"/>
  <c r="AJ100" i="7"/>
  <c r="AJ57" i="7"/>
  <c r="M14" i="7"/>
  <c r="P90" i="8"/>
  <c r="P47" i="8"/>
  <c r="P16" i="8"/>
  <c r="M100" i="7"/>
  <c r="M57" i="7"/>
  <c r="BE14" i="7"/>
  <c r="BH90" i="8"/>
  <c r="BH47" i="8"/>
  <c r="BH16" i="8"/>
  <c r="BE100" i="7"/>
  <c r="BE57" i="7"/>
  <c r="AL14" i="7"/>
  <c r="AO90" i="8"/>
  <c r="AO47" i="8"/>
  <c r="AL100" i="7"/>
  <c r="AO16" i="8"/>
  <c r="AL57" i="7"/>
  <c r="K14" i="7"/>
  <c r="N90" i="8"/>
  <c r="N47" i="8"/>
  <c r="N16" i="8"/>
  <c r="K57" i="7"/>
  <c r="K100" i="7"/>
  <c r="AJ15" i="7"/>
  <c r="AM91" i="8"/>
  <c r="AM17" i="8"/>
  <c r="AJ101" i="7"/>
  <c r="AM48" i="8"/>
  <c r="AJ58" i="7"/>
  <c r="M15" i="7"/>
  <c r="P91" i="8"/>
  <c r="P48" i="8"/>
  <c r="P17" i="8"/>
  <c r="M101" i="7"/>
  <c r="M58" i="7"/>
  <c r="BE15" i="7"/>
  <c r="BH91" i="8"/>
  <c r="BH48" i="8"/>
  <c r="BE101" i="7"/>
  <c r="BE58" i="7"/>
  <c r="BH17" i="8"/>
  <c r="AL15" i="7"/>
  <c r="AO91" i="8"/>
  <c r="AO17" i="8"/>
  <c r="AO48" i="8"/>
  <c r="AL58" i="7"/>
  <c r="AL101" i="7"/>
  <c r="K15" i="7"/>
  <c r="N91" i="8"/>
  <c r="N48" i="8"/>
  <c r="N17" i="8"/>
  <c r="K58" i="7"/>
  <c r="K101" i="7"/>
  <c r="AJ16" i="7"/>
  <c r="AM92" i="8"/>
  <c r="AM49" i="8"/>
  <c r="AM18" i="8"/>
  <c r="AJ59" i="7"/>
  <c r="AJ102" i="7"/>
  <c r="M16" i="7"/>
  <c r="P92" i="8"/>
  <c r="P49" i="8"/>
  <c r="P18" i="8"/>
  <c r="M59" i="7"/>
  <c r="M102" i="7"/>
  <c r="BE16" i="7"/>
  <c r="BH92" i="8"/>
  <c r="BH49" i="8"/>
  <c r="BE102" i="7"/>
  <c r="BH18" i="8"/>
  <c r="BE59" i="7"/>
  <c r="AL16" i="7"/>
  <c r="AO92" i="8"/>
  <c r="AO49" i="8"/>
  <c r="AO18" i="8"/>
  <c r="AL102" i="7"/>
  <c r="AL59" i="7"/>
  <c r="O16" i="7"/>
  <c r="R92" i="8"/>
  <c r="R49" i="8"/>
  <c r="R18" i="8"/>
  <c r="O59" i="7"/>
  <c r="O102" i="7"/>
  <c r="AN17" i="7"/>
  <c r="AQ93" i="8"/>
  <c r="AQ50" i="8"/>
  <c r="AQ19" i="8"/>
  <c r="AN60" i="7"/>
  <c r="AN103" i="7"/>
  <c r="U17" i="7"/>
  <c r="X93" i="8"/>
  <c r="X50" i="8"/>
  <c r="X19" i="8"/>
  <c r="U103" i="7"/>
  <c r="U60" i="7"/>
  <c r="BI17" i="7"/>
  <c r="BL93" i="8"/>
  <c r="BL50" i="8"/>
  <c r="BL19" i="8"/>
  <c r="BI60" i="7"/>
  <c r="BI103" i="7"/>
  <c r="AP17" i="7"/>
  <c r="AS93" i="8"/>
  <c r="AS50" i="8"/>
  <c r="AS19" i="8"/>
  <c r="AP60" i="7"/>
  <c r="AP103" i="7"/>
  <c r="W17" i="7"/>
  <c r="Z93" i="8"/>
  <c r="Z50" i="8"/>
  <c r="Z19" i="8"/>
  <c r="W103" i="7"/>
  <c r="W60" i="7"/>
  <c r="AJ18" i="7"/>
  <c r="AM94" i="8"/>
  <c r="AM51" i="8"/>
  <c r="AM20" i="8"/>
  <c r="AJ104" i="7"/>
  <c r="AJ61" i="7"/>
  <c r="M18" i="7"/>
  <c r="P94" i="8"/>
  <c r="P51" i="8"/>
  <c r="P20" i="8"/>
  <c r="M104" i="7"/>
  <c r="M61" i="7"/>
  <c r="BE18" i="7"/>
  <c r="BH94" i="8"/>
  <c r="BH51" i="8"/>
  <c r="BH20" i="8"/>
  <c r="BE104" i="7"/>
  <c r="BE61" i="7"/>
  <c r="AL18" i="7"/>
  <c r="AO94" i="8"/>
  <c r="AO51" i="8"/>
  <c r="AO20" i="8"/>
  <c r="AL61" i="7"/>
  <c r="AL104" i="7"/>
  <c r="K18" i="7"/>
  <c r="N94" i="8"/>
  <c r="N51" i="8"/>
  <c r="N20" i="8"/>
  <c r="K61" i="7"/>
  <c r="K104" i="7"/>
  <c r="AJ19" i="7"/>
  <c r="AM95" i="8"/>
  <c r="AM21" i="8"/>
  <c r="AM52" i="8"/>
  <c r="AJ62" i="7"/>
  <c r="AJ105" i="7"/>
  <c r="P95" i="8"/>
  <c r="P21" i="8"/>
  <c r="P52" i="8"/>
  <c r="M105" i="7"/>
  <c r="M62" i="7"/>
  <c r="BE19" i="7"/>
  <c r="BH95" i="8"/>
  <c r="BH52" i="8"/>
  <c r="BH21" i="8"/>
  <c r="BE105" i="7"/>
  <c r="BE62" i="7"/>
  <c r="AL19" i="7"/>
  <c r="AO95" i="8"/>
  <c r="AO52" i="8"/>
  <c r="AL105" i="7"/>
  <c r="AL62" i="7"/>
  <c r="AO21" i="8"/>
  <c r="O19" i="7"/>
  <c r="R95" i="8"/>
  <c r="R52" i="8"/>
  <c r="R21" i="8"/>
  <c r="O62" i="7"/>
  <c r="O105" i="7"/>
  <c r="AN20" i="7"/>
  <c r="AQ96" i="8"/>
  <c r="AQ22" i="8"/>
  <c r="AQ53" i="8"/>
  <c r="AN63" i="7"/>
  <c r="AN106" i="7"/>
  <c r="U20" i="7"/>
  <c r="X96" i="8"/>
  <c r="X53" i="8"/>
  <c r="X22" i="8"/>
  <c r="U63" i="7"/>
  <c r="U106" i="7"/>
  <c r="BI20" i="7"/>
  <c r="BL96" i="8"/>
  <c r="BL53" i="8"/>
  <c r="BL22" i="8"/>
  <c r="BI106" i="7"/>
  <c r="BI63" i="7"/>
  <c r="AP20" i="7"/>
  <c r="AS96" i="8"/>
  <c r="AS22" i="8"/>
  <c r="AS53" i="8"/>
  <c r="AP106" i="7"/>
  <c r="AP63" i="7"/>
  <c r="W20" i="7"/>
  <c r="Z96" i="8"/>
  <c r="Z53" i="8"/>
  <c r="W63" i="7"/>
  <c r="W106" i="7"/>
  <c r="Z22" i="8"/>
  <c r="AR21" i="7"/>
  <c r="AU97" i="8"/>
  <c r="AU54" i="8"/>
  <c r="AU23" i="8"/>
  <c r="AR64" i="7"/>
  <c r="AR107" i="7"/>
  <c r="Y21" i="7"/>
  <c r="AB97" i="8"/>
  <c r="AB54" i="8"/>
  <c r="AB23" i="8"/>
  <c r="Y64" i="7"/>
  <c r="Y107" i="7"/>
  <c r="F21" i="7"/>
  <c r="I97" i="8"/>
  <c r="I54" i="8"/>
  <c r="I23" i="8"/>
  <c r="F107" i="7"/>
  <c r="F64" i="7"/>
  <c r="AT21" i="7"/>
  <c r="AW97" i="8"/>
  <c r="AW23" i="8"/>
  <c r="AW54" i="8"/>
  <c r="AT107" i="7"/>
  <c r="AT64" i="7"/>
  <c r="AA21" i="7"/>
  <c r="AD97" i="8"/>
  <c r="AD54" i="8"/>
  <c r="AD23" i="8"/>
  <c r="AA64" i="7"/>
  <c r="AA107" i="7"/>
  <c r="D22" i="7"/>
  <c r="G98" i="8"/>
  <c r="G24" i="8"/>
  <c r="G55" i="8"/>
  <c r="D65" i="7"/>
  <c r="D108" i="7"/>
  <c r="AZ22" i="7"/>
  <c r="BC98" i="8"/>
  <c r="BC55" i="8"/>
  <c r="BC24" i="8"/>
  <c r="AZ108" i="7"/>
  <c r="AZ65" i="7"/>
  <c r="AC22" i="7"/>
  <c r="AG22" i="7" s="1"/>
  <c r="AF98" i="8"/>
  <c r="AF55" i="8"/>
  <c r="AF24" i="8"/>
  <c r="AC65" i="7"/>
  <c r="AC108" i="7"/>
  <c r="J22" i="7"/>
  <c r="M98" i="8"/>
  <c r="M24" i="8"/>
  <c r="M55" i="8"/>
  <c r="J108" i="7"/>
  <c r="J65" i="7"/>
  <c r="BB22" i="7"/>
  <c r="BE98" i="8"/>
  <c r="BE55" i="8"/>
  <c r="BE24" i="8"/>
  <c r="BB65" i="7"/>
  <c r="BB108" i="7"/>
  <c r="AE22" i="7"/>
  <c r="AH98" i="8"/>
  <c r="AH55" i="8"/>
  <c r="AH24" i="8"/>
  <c r="AE65" i="7"/>
  <c r="AE108" i="7"/>
  <c r="AZ23" i="7"/>
  <c r="BC99" i="8"/>
  <c r="BC56" i="8"/>
  <c r="BC25" i="8"/>
  <c r="AZ109" i="7"/>
  <c r="AZ66" i="7"/>
  <c r="AC23" i="7"/>
  <c r="AF99" i="8"/>
  <c r="AF25" i="8"/>
  <c r="AF56" i="8"/>
  <c r="AC109" i="7"/>
  <c r="AC66" i="7"/>
  <c r="J23" i="7"/>
  <c r="M99" i="8"/>
  <c r="M56" i="8"/>
  <c r="M25" i="8"/>
  <c r="J66" i="7"/>
  <c r="J109" i="7"/>
  <c r="BB23" i="7"/>
  <c r="BE99" i="8"/>
  <c r="BE25" i="8"/>
  <c r="BB109" i="7"/>
  <c r="BB66" i="7"/>
  <c r="BE56" i="8"/>
  <c r="AE23" i="7"/>
  <c r="AH99" i="8"/>
  <c r="AH56" i="8"/>
  <c r="AH25" i="8"/>
  <c r="AE109" i="7"/>
  <c r="AE66" i="7"/>
  <c r="K100" i="8"/>
  <c r="K57" i="8"/>
  <c r="K26" i="8"/>
  <c r="H67" i="7"/>
  <c r="H110" i="7"/>
  <c r="BD24" i="7"/>
  <c r="BG100" i="8"/>
  <c r="BG57" i="8"/>
  <c r="BD110" i="7"/>
  <c r="BD67" i="7"/>
  <c r="BG26" i="8"/>
  <c r="AK24" i="7"/>
  <c r="AN100" i="8"/>
  <c r="AN57" i="8"/>
  <c r="AN26" i="8"/>
  <c r="AK110" i="7"/>
  <c r="AK67" i="7"/>
  <c r="N24" i="7"/>
  <c r="Q100" i="8"/>
  <c r="Q57" i="8"/>
  <c r="Q26" i="8"/>
  <c r="N110" i="7"/>
  <c r="N67" i="7"/>
  <c r="BF24" i="7"/>
  <c r="BI100" i="8"/>
  <c r="BI57" i="8"/>
  <c r="BI26" i="8"/>
  <c r="BF110" i="7"/>
  <c r="BF67" i="7"/>
  <c r="AM24" i="7"/>
  <c r="AY24" i="7" s="1"/>
  <c r="AP100" i="8"/>
  <c r="AP57" i="8"/>
  <c r="AP26" i="8"/>
  <c r="BB26" i="8" s="1"/>
  <c r="AM110" i="7"/>
  <c r="AM67" i="7"/>
  <c r="O101" i="8"/>
  <c r="O58" i="8"/>
  <c r="O27" i="8"/>
  <c r="L111" i="7"/>
  <c r="L68" i="7"/>
  <c r="BH25" i="7"/>
  <c r="BK101" i="8"/>
  <c r="BK58" i="8"/>
  <c r="BK27" i="8"/>
  <c r="BH111" i="7"/>
  <c r="BH68" i="7"/>
  <c r="AO25" i="7"/>
  <c r="AR101" i="8"/>
  <c r="AR27" i="8"/>
  <c r="AO111" i="7"/>
  <c r="AO68" i="7"/>
  <c r="AR58" i="8"/>
  <c r="V25" i="7"/>
  <c r="Y101" i="8"/>
  <c r="Y58" i="8"/>
  <c r="Y27" i="8"/>
  <c r="V111" i="7"/>
  <c r="V68" i="7"/>
  <c r="BJ25" i="7"/>
  <c r="BM101" i="8"/>
  <c r="BM58" i="8"/>
  <c r="BJ111" i="7"/>
  <c r="BJ68" i="7"/>
  <c r="BM27" i="8"/>
  <c r="T26" i="7"/>
  <c r="W102" i="8"/>
  <c r="W59" i="8"/>
  <c r="W28" i="8"/>
  <c r="T69" i="7"/>
  <c r="T112" i="7"/>
  <c r="E26" i="7"/>
  <c r="H102" i="8"/>
  <c r="H28" i="8"/>
  <c r="H59" i="8"/>
  <c r="E69" i="7"/>
  <c r="E112" i="7"/>
  <c r="AS26" i="7"/>
  <c r="AV102" i="8"/>
  <c r="AV59" i="8"/>
  <c r="AV28" i="8"/>
  <c r="AS69" i="7"/>
  <c r="AS112" i="7"/>
  <c r="Z26" i="7"/>
  <c r="AC59" i="8"/>
  <c r="AC102" i="8"/>
  <c r="AC28" i="8"/>
  <c r="Z112" i="7"/>
  <c r="Z69" i="7"/>
  <c r="J102" i="8"/>
  <c r="J59" i="8"/>
  <c r="J28" i="8"/>
  <c r="G69" i="7"/>
  <c r="G112" i="7"/>
  <c r="X27" i="7"/>
  <c r="AA103" i="8"/>
  <c r="DA103" i="8" s="1"/>
  <c r="AA60" i="8"/>
  <c r="AA29" i="8"/>
  <c r="X70" i="7"/>
  <c r="X113" i="7"/>
  <c r="L103" i="8"/>
  <c r="L60" i="8"/>
  <c r="L29" i="8"/>
  <c r="I70" i="7"/>
  <c r="I113" i="7"/>
  <c r="BA27" i="7"/>
  <c r="BD103" i="8"/>
  <c r="BD60" i="8"/>
  <c r="BD29" i="8"/>
  <c r="BA113" i="7"/>
  <c r="BA70" i="7"/>
  <c r="AD27" i="7"/>
  <c r="AG103" i="8"/>
  <c r="AG60" i="8"/>
  <c r="AG29" i="8"/>
  <c r="AD113" i="7"/>
  <c r="AD70" i="7"/>
  <c r="N103" i="8"/>
  <c r="N60" i="8"/>
  <c r="N29" i="8"/>
  <c r="K70" i="7"/>
  <c r="K113" i="7"/>
  <c r="X28" i="7"/>
  <c r="AA104" i="8"/>
  <c r="DA104" i="8" s="1"/>
  <c r="AA30" i="8"/>
  <c r="X114" i="7"/>
  <c r="AA61" i="8"/>
  <c r="X71" i="7"/>
  <c r="I28" i="7"/>
  <c r="L104" i="8"/>
  <c r="L61" i="8"/>
  <c r="L30" i="8"/>
  <c r="I114" i="7"/>
  <c r="I71" i="7"/>
  <c r="BA28" i="7"/>
  <c r="BD104" i="8"/>
  <c r="BD61" i="8"/>
  <c r="BD30" i="8"/>
  <c r="BA114" i="7"/>
  <c r="BA71" i="7"/>
  <c r="AD28" i="7"/>
  <c r="AG104" i="8"/>
  <c r="AG30" i="8"/>
  <c r="AG61" i="8"/>
  <c r="AD71" i="7"/>
  <c r="AD114" i="7"/>
  <c r="G28" i="7"/>
  <c r="J104" i="8"/>
  <c r="J61" i="8"/>
  <c r="J30" i="8"/>
  <c r="G71" i="7"/>
  <c r="G114" i="7"/>
  <c r="G115" i="8"/>
  <c r="G72" i="8"/>
  <c r="D82" i="7"/>
  <c r="D125" i="7"/>
  <c r="BD29" i="7"/>
  <c r="BG142" i="8"/>
  <c r="BG144" i="8" s="1"/>
  <c r="BG105" i="8"/>
  <c r="BG62" i="8"/>
  <c r="BD72" i="7"/>
  <c r="BD115" i="7"/>
  <c r="AK29" i="7"/>
  <c r="AN142" i="8"/>
  <c r="AN105" i="8"/>
  <c r="AN62" i="8"/>
  <c r="AK115" i="7"/>
  <c r="AK72" i="7"/>
  <c r="N29" i="7"/>
  <c r="Q142" i="8"/>
  <c r="Q105" i="8"/>
  <c r="Q62" i="8"/>
  <c r="N115" i="7"/>
  <c r="N72" i="7"/>
  <c r="BF29" i="7"/>
  <c r="BI142" i="8"/>
  <c r="BI105" i="8"/>
  <c r="BI62" i="8"/>
  <c r="BF72" i="7"/>
  <c r="BF115" i="7"/>
  <c r="AM29" i="7"/>
  <c r="AY29" i="7" s="1"/>
  <c r="AP105" i="8"/>
  <c r="AP142" i="8"/>
  <c r="BB142" i="8" s="1"/>
  <c r="AP62" i="8"/>
  <c r="AM72" i="7"/>
  <c r="AM115" i="7"/>
  <c r="BB30" i="7"/>
  <c r="BE143" i="8"/>
  <c r="BE106" i="8"/>
  <c r="BE63" i="8"/>
  <c r="BB116" i="7"/>
  <c r="BB73" i="7"/>
  <c r="AE30" i="7"/>
  <c r="AH106" i="8"/>
  <c r="AH143" i="8"/>
  <c r="AH63" i="8"/>
  <c r="AE73" i="7"/>
  <c r="AE116" i="7"/>
  <c r="X31" i="7"/>
  <c r="AA126" i="8"/>
  <c r="AA107" i="8"/>
  <c r="DA107" i="8" s="1"/>
  <c r="AA64" i="8"/>
  <c r="X74" i="7"/>
  <c r="X117" i="7"/>
  <c r="P126" i="8"/>
  <c r="P107" i="8"/>
  <c r="P64" i="8"/>
  <c r="M74" i="7"/>
  <c r="M117" i="7"/>
  <c r="BE31" i="7"/>
  <c r="BH126" i="8"/>
  <c r="BH107" i="8"/>
  <c r="BH64" i="8"/>
  <c r="BE117" i="7"/>
  <c r="BE74" i="7"/>
  <c r="AL31" i="7"/>
  <c r="AO126" i="8"/>
  <c r="AO107" i="8"/>
  <c r="AO64" i="8"/>
  <c r="AL117" i="7"/>
  <c r="AL74" i="7"/>
  <c r="O31" i="7"/>
  <c r="R126" i="8"/>
  <c r="R107" i="8"/>
  <c r="R64" i="8"/>
  <c r="O74" i="7"/>
  <c r="O117" i="7"/>
  <c r="H32" i="7"/>
  <c r="K108" i="8"/>
  <c r="K127" i="8"/>
  <c r="K65" i="8"/>
  <c r="H118" i="7"/>
  <c r="H75" i="7"/>
  <c r="BD32" i="7"/>
  <c r="BG127" i="8"/>
  <c r="BG108" i="8"/>
  <c r="BG65" i="8"/>
  <c r="BD118" i="7"/>
  <c r="BD75" i="7"/>
  <c r="AK32" i="7"/>
  <c r="AN127" i="8"/>
  <c r="AN108" i="8"/>
  <c r="AN65" i="8"/>
  <c r="AK118" i="7"/>
  <c r="AK75" i="7"/>
  <c r="N32" i="7"/>
  <c r="Q127" i="8"/>
  <c r="Q108" i="8"/>
  <c r="Q65" i="8"/>
  <c r="N75" i="7"/>
  <c r="N118" i="7"/>
  <c r="BF32" i="7"/>
  <c r="BI127" i="8"/>
  <c r="BI108" i="8"/>
  <c r="BI65" i="8"/>
  <c r="BF118" i="7"/>
  <c r="BF75" i="7"/>
  <c r="AM32" i="7"/>
  <c r="AY32" i="7" s="1"/>
  <c r="AP108" i="8"/>
  <c r="AP127" i="8"/>
  <c r="BB127" i="8" s="1"/>
  <c r="AP65" i="8"/>
  <c r="AM118" i="7"/>
  <c r="AM75" i="7"/>
  <c r="AN34" i="7"/>
  <c r="AQ110" i="8"/>
  <c r="AQ128" i="8"/>
  <c r="AQ67" i="8"/>
  <c r="AN77" i="7"/>
  <c r="AN120" i="7"/>
  <c r="U34" i="7"/>
  <c r="X128" i="8"/>
  <c r="X110" i="8"/>
  <c r="X67" i="8"/>
  <c r="U77" i="7"/>
  <c r="U120" i="7"/>
  <c r="BI34" i="7"/>
  <c r="BL128" i="8"/>
  <c r="BL110" i="8"/>
  <c r="BL67" i="8"/>
  <c r="BI120" i="7"/>
  <c r="BI77" i="7"/>
  <c r="AP34" i="7"/>
  <c r="AS110" i="8"/>
  <c r="AS128" i="8"/>
  <c r="AS67" i="8"/>
  <c r="AP120" i="7"/>
  <c r="AP77" i="7"/>
  <c r="W34" i="7"/>
  <c r="Z128" i="8"/>
  <c r="Z110" i="8"/>
  <c r="Z67" i="8"/>
  <c r="W77" i="7"/>
  <c r="W120" i="7"/>
  <c r="L35" i="7"/>
  <c r="O111" i="8"/>
  <c r="O129" i="8"/>
  <c r="O68" i="8"/>
  <c r="L121" i="7"/>
  <c r="L78" i="7"/>
  <c r="BH35" i="7"/>
  <c r="BK129" i="8"/>
  <c r="BK111" i="8"/>
  <c r="BK68" i="8"/>
  <c r="BH121" i="7"/>
  <c r="BH78" i="7"/>
  <c r="AO35" i="7"/>
  <c r="AR111" i="8"/>
  <c r="AR129" i="8"/>
  <c r="AR68" i="8"/>
  <c r="AO78" i="7"/>
  <c r="AO121" i="7"/>
  <c r="V35" i="7"/>
  <c r="Y111" i="8"/>
  <c r="Y129" i="8"/>
  <c r="Y68" i="8"/>
  <c r="V121" i="7"/>
  <c r="V78" i="7"/>
  <c r="BJ35" i="7"/>
  <c r="BM129" i="8"/>
  <c r="BM111" i="8"/>
  <c r="BM68" i="8"/>
  <c r="BJ121" i="7"/>
  <c r="BJ78" i="7"/>
  <c r="AL36" i="7"/>
  <c r="AO112" i="8"/>
  <c r="AO130" i="8"/>
  <c r="AO69" i="8"/>
  <c r="AL122" i="7"/>
  <c r="AL79" i="7"/>
  <c r="O36" i="7"/>
  <c r="R112" i="8"/>
  <c r="R130" i="8"/>
  <c r="R69" i="8"/>
  <c r="O79" i="7"/>
  <c r="O122" i="7"/>
  <c r="H37" i="7"/>
  <c r="K131" i="8"/>
  <c r="K113" i="8"/>
  <c r="K70" i="8"/>
  <c r="H123" i="7"/>
  <c r="H80" i="7"/>
  <c r="AD37" i="7"/>
  <c r="AG113" i="8"/>
  <c r="AG131" i="8"/>
  <c r="AG70" i="8"/>
  <c r="AD123" i="7"/>
  <c r="AD80" i="7"/>
  <c r="K37" i="7"/>
  <c r="N113" i="8"/>
  <c r="N131" i="8"/>
  <c r="N70" i="8"/>
  <c r="K80" i="7"/>
  <c r="K123" i="7"/>
  <c r="D38" i="7"/>
  <c r="G132" i="8"/>
  <c r="G114" i="8"/>
  <c r="G71" i="8"/>
  <c r="D124" i="7"/>
  <c r="D81" i="7"/>
  <c r="Z38" i="7"/>
  <c r="AC114" i="8"/>
  <c r="AC132" i="8"/>
  <c r="AC71" i="8"/>
  <c r="Z124" i="7"/>
  <c r="Z81" i="7"/>
  <c r="G38" i="7"/>
  <c r="J114" i="8"/>
  <c r="J132" i="8"/>
  <c r="J71" i="8"/>
  <c r="G81" i="7"/>
  <c r="G124" i="7"/>
  <c r="T40" i="7"/>
  <c r="W116" i="8"/>
  <c r="W133" i="8"/>
  <c r="W73" i="8"/>
  <c r="T83" i="7"/>
  <c r="T126" i="7"/>
  <c r="H116" i="8"/>
  <c r="H133" i="8"/>
  <c r="H73" i="8"/>
  <c r="E126" i="7"/>
  <c r="E83" i="7"/>
  <c r="AS40" i="7"/>
  <c r="AV116" i="8"/>
  <c r="AV133" i="8"/>
  <c r="AV73" i="8"/>
  <c r="AS83" i="7"/>
  <c r="AS126" i="7"/>
  <c r="Z40" i="7"/>
  <c r="AC116" i="8"/>
  <c r="AC133" i="8"/>
  <c r="AC73" i="8"/>
  <c r="Z126" i="7"/>
  <c r="Z83" i="7"/>
  <c r="G40" i="7"/>
  <c r="J116" i="8"/>
  <c r="J133" i="8"/>
  <c r="J73" i="8"/>
  <c r="G126" i="7"/>
  <c r="G83" i="7"/>
  <c r="O117" i="8"/>
  <c r="O134" i="8"/>
  <c r="O74" i="8"/>
  <c r="L127" i="7"/>
  <c r="L84" i="7"/>
  <c r="BH41" i="7"/>
  <c r="BK134" i="8"/>
  <c r="BK117" i="8"/>
  <c r="BK74" i="8"/>
  <c r="BH127" i="7"/>
  <c r="BH84" i="7"/>
  <c r="AO41" i="7"/>
  <c r="AR117" i="8"/>
  <c r="AR134" i="8"/>
  <c r="AR74" i="8"/>
  <c r="AO127" i="7"/>
  <c r="AO84" i="7"/>
  <c r="V41" i="7"/>
  <c r="Y117" i="8"/>
  <c r="Y134" i="8"/>
  <c r="Y74" i="8"/>
  <c r="V127" i="7"/>
  <c r="V84" i="7"/>
  <c r="BJ41" i="7"/>
  <c r="BM134" i="8"/>
  <c r="BM117" i="8"/>
  <c r="BJ127" i="7"/>
  <c r="BJ84" i="7"/>
  <c r="BM74" i="8"/>
  <c r="H41" i="7"/>
  <c r="G26" i="7"/>
  <c r="L25" i="7"/>
  <c r="M31" i="7"/>
  <c r="Z13" i="7"/>
  <c r="AE28" i="7"/>
  <c r="BA5" i="7"/>
  <c r="BD81" i="8"/>
  <c r="BD38" i="8"/>
  <c r="BA91" i="7"/>
  <c r="BD7" i="8"/>
  <c r="BA48" i="7"/>
  <c r="M6" i="7"/>
  <c r="P82" i="8"/>
  <c r="P39" i="8"/>
  <c r="M92" i="7"/>
  <c r="M49" i="7"/>
  <c r="P8" i="8"/>
  <c r="O6" i="7"/>
  <c r="R82" i="8"/>
  <c r="R39" i="8"/>
  <c r="R8" i="8"/>
  <c r="O49" i="7"/>
  <c r="O92" i="7"/>
  <c r="BA7" i="7"/>
  <c r="BD83" i="8"/>
  <c r="BD40" i="8"/>
  <c r="BD9" i="8"/>
  <c r="BA93" i="7"/>
  <c r="BA50" i="7"/>
  <c r="BJ8" i="7"/>
  <c r="BM84" i="8"/>
  <c r="BM41" i="8"/>
  <c r="BM10" i="8"/>
  <c r="BJ94" i="7"/>
  <c r="BJ51" i="7"/>
  <c r="AN5" i="7"/>
  <c r="AQ81" i="8"/>
  <c r="AQ38" i="8"/>
  <c r="AQ7" i="8"/>
  <c r="AN91" i="7"/>
  <c r="AN48" i="7"/>
  <c r="U5" i="7"/>
  <c r="X81" i="8"/>
  <c r="X38" i="8"/>
  <c r="X7" i="8"/>
  <c r="U91" i="7"/>
  <c r="U48" i="7"/>
  <c r="BI5" i="7"/>
  <c r="BL81" i="8"/>
  <c r="BL7" i="8"/>
  <c r="BL38" i="8"/>
  <c r="BI91" i="7"/>
  <c r="BI48" i="7"/>
  <c r="AP5" i="7"/>
  <c r="AS7" i="8"/>
  <c r="AS81" i="8"/>
  <c r="AS38" i="8"/>
  <c r="AP91" i="7"/>
  <c r="AP48" i="7"/>
  <c r="W5" i="7"/>
  <c r="Z81" i="8"/>
  <c r="Z38" i="8"/>
  <c r="Z7" i="8"/>
  <c r="W91" i="7"/>
  <c r="W48" i="7"/>
  <c r="AR6" i="7"/>
  <c r="AU82" i="8"/>
  <c r="AU39" i="8"/>
  <c r="AU8" i="8"/>
  <c r="AR92" i="7"/>
  <c r="AR49" i="7"/>
  <c r="Y6" i="7"/>
  <c r="AB82" i="8"/>
  <c r="AB39" i="8"/>
  <c r="AB8" i="8"/>
  <c r="Y92" i="7"/>
  <c r="Y49" i="7"/>
  <c r="F6" i="7"/>
  <c r="I82" i="8"/>
  <c r="I39" i="8"/>
  <c r="I8" i="8"/>
  <c r="F49" i="7"/>
  <c r="F92" i="7"/>
  <c r="AT6" i="7"/>
  <c r="AW82" i="8"/>
  <c r="AW39" i="8"/>
  <c r="AW8" i="8"/>
  <c r="AT92" i="7"/>
  <c r="AT49" i="7"/>
  <c r="AA6" i="7"/>
  <c r="AD82" i="8"/>
  <c r="AD39" i="8"/>
  <c r="AD8" i="8"/>
  <c r="AA92" i="7"/>
  <c r="AA49" i="7"/>
  <c r="AN7" i="7"/>
  <c r="AQ83" i="8"/>
  <c r="AQ40" i="8"/>
  <c r="AQ9" i="8"/>
  <c r="AN50" i="7"/>
  <c r="AN93" i="7"/>
  <c r="U7" i="7"/>
  <c r="X83" i="8"/>
  <c r="X40" i="8"/>
  <c r="X9" i="8"/>
  <c r="U93" i="7"/>
  <c r="U50" i="7"/>
  <c r="BI7" i="7"/>
  <c r="BL83" i="8"/>
  <c r="BL9" i="8"/>
  <c r="BL40" i="8"/>
  <c r="BI93" i="7"/>
  <c r="BI50" i="7"/>
  <c r="AP7" i="7"/>
  <c r="AS83" i="8"/>
  <c r="AS40" i="8"/>
  <c r="AP93" i="7"/>
  <c r="AP50" i="7"/>
  <c r="AS9" i="8"/>
  <c r="W7" i="7"/>
  <c r="Z83" i="8"/>
  <c r="Z40" i="8"/>
  <c r="W93" i="7"/>
  <c r="Z9" i="8"/>
  <c r="W50" i="7"/>
  <c r="BP12" i="6"/>
  <c r="AJ8" i="7"/>
  <c r="AM84" i="8"/>
  <c r="AM41" i="8"/>
  <c r="AM10" i="8"/>
  <c r="AJ94" i="7"/>
  <c r="AJ51" i="7"/>
  <c r="M8" i="7"/>
  <c r="P84" i="8"/>
  <c r="P41" i="8"/>
  <c r="P10" i="8"/>
  <c r="M51" i="7"/>
  <c r="M94" i="7"/>
  <c r="BE8" i="7"/>
  <c r="BH84" i="8"/>
  <c r="BH41" i="8"/>
  <c r="BE94" i="7"/>
  <c r="BH10" i="8"/>
  <c r="BE51" i="7"/>
  <c r="AL8" i="7"/>
  <c r="AO84" i="8"/>
  <c r="AO41" i="8"/>
  <c r="AO10" i="8"/>
  <c r="AL51" i="7"/>
  <c r="AL94" i="7"/>
  <c r="K8" i="7"/>
  <c r="N84" i="8"/>
  <c r="N10" i="8"/>
  <c r="N41" i="8"/>
  <c r="K51" i="7"/>
  <c r="K94" i="7"/>
  <c r="AJ9" i="7"/>
  <c r="AM85" i="8"/>
  <c r="AM42" i="8"/>
  <c r="AM11" i="8"/>
  <c r="AJ95" i="7"/>
  <c r="AJ52" i="7"/>
  <c r="M9" i="7"/>
  <c r="P85" i="8"/>
  <c r="P42" i="8"/>
  <c r="M95" i="7"/>
  <c r="P11" i="8"/>
  <c r="M52" i="7"/>
  <c r="BE9" i="7"/>
  <c r="BH85" i="8"/>
  <c r="BH42" i="8"/>
  <c r="BH11" i="8"/>
  <c r="BE52" i="7"/>
  <c r="BE95" i="7"/>
  <c r="AL9" i="7"/>
  <c r="AO85" i="8"/>
  <c r="AO11" i="8"/>
  <c r="AL95" i="7"/>
  <c r="AO42" i="8"/>
  <c r="AL52" i="7"/>
  <c r="O9" i="7"/>
  <c r="R85" i="8"/>
  <c r="R42" i="8"/>
  <c r="R11" i="8"/>
  <c r="O52" i="7"/>
  <c r="O95" i="7"/>
  <c r="AN10" i="7"/>
  <c r="AQ86" i="8"/>
  <c r="AQ43" i="8"/>
  <c r="AQ12" i="8"/>
  <c r="AN96" i="7"/>
  <c r="AN53" i="7"/>
  <c r="U10" i="7"/>
  <c r="X86" i="8"/>
  <c r="X43" i="8"/>
  <c r="U53" i="7"/>
  <c r="U96" i="7"/>
  <c r="X12" i="8"/>
  <c r="BE10" i="7"/>
  <c r="BH86" i="8"/>
  <c r="BH43" i="8"/>
  <c r="BE96" i="7"/>
  <c r="BH12" i="8"/>
  <c r="BE53" i="7"/>
  <c r="AL10" i="7"/>
  <c r="AO86" i="8"/>
  <c r="AO43" i="8"/>
  <c r="AO12" i="8"/>
  <c r="AL96" i="7"/>
  <c r="AL53" i="7"/>
  <c r="O10" i="7"/>
  <c r="R86" i="8"/>
  <c r="R43" i="8"/>
  <c r="O53" i="7"/>
  <c r="O96" i="7"/>
  <c r="R12" i="8"/>
  <c r="AN11" i="7"/>
  <c r="AQ87" i="8"/>
  <c r="AQ44" i="8"/>
  <c r="AQ13" i="8"/>
  <c r="AN97" i="7"/>
  <c r="AN54" i="7"/>
  <c r="U11" i="7"/>
  <c r="X87" i="8"/>
  <c r="X44" i="8"/>
  <c r="X13" i="8"/>
  <c r="U97" i="7"/>
  <c r="U54" i="7"/>
  <c r="BI11" i="7"/>
  <c r="BL87" i="8"/>
  <c r="BL44" i="8"/>
  <c r="BL13" i="8"/>
  <c r="BI97" i="7"/>
  <c r="BI54" i="7"/>
  <c r="AP11" i="7"/>
  <c r="AS87" i="8"/>
  <c r="AS44" i="8"/>
  <c r="AS13" i="8"/>
  <c r="AP54" i="7"/>
  <c r="AP97" i="7"/>
  <c r="O11" i="7"/>
  <c r="R87" i="8"/>
  <c r="R44" i="8"/>
  <c r="R13" i="8"/>
  <c r="O54" i="7"/>
  <c r="O97" i="7"/>
  <c r="AJ12" i="7"/>
  <c r="AM88" i="8"/>
  <c r="AM45" i="8"/>
  <c r="AJ98" i="7"/>
  <c r="AJ55" i="7"/>
  <c r="AM14" i="8"/>
  <c r="M12" i="7"/>
  <c r="P88" i="8"/>
  <c r="P45" i="8"/>
  <c r="P14" i="8"/>
  <c r="M55" i="7"/>
  <c r="M98" i="7"/>
  <c r="BE12" i="7"/>
  <c r="BH88" i="8"/>
  <c r="BH45" i="8"/>
  <c r="BH14" i="8"/>
  <c r="BE55" i="7"/>
  <c r="BE98" i="7"/>
  <c r="AL12" i="7"/>
  <c r="AO88" i="8"/>
  <c r="AO45" i="8"/>
  <c r="AO14" i="8"/>
  <c r="AL55" i="7"/>
  <c r="AL98" i="7"/>
  <c r="K12" i="7"/>
  <c r="N88" i="8"/>
  <c r="N45" i="8"/>
  <c r="N14" i="8"/>
  <c r="K55" i="7"/>
  <c r="K98" i="7"/>
  <c r="AJ13" i="7"/>
  <c r="AM89" i="8"/>
  <c r="AM15" i="8"/>
  <c r="AM46" i="8"/>
  <c r="AJ99" i="7"/>
  <c r="AJ56" i="7"/>
  <c r="M13" i="7"/>
  <c r="P89" i="8"/>
  <c r="P46" i="8"/>
  <c r="P15" i="8"/>
  <c r="M99" i="7"/>
  <c r="M56" i="7"/>
  <c r="BE13" i="7"/>
  <c r="BH89" i="8"/>
  <c r="BH46" i="8"/>
  <c r="BH15" i="8"/>
  <c r="BE99" i="7"/>
  <c r="BE56" i="7"/>
  <c r="AL13" i="7"/>
  <c r="AO89" i="8"/>
  <c r="AO46" i="8"/>
  <c r="AL99" i="7"/>
  <c r="AO15" i="8"/>
  <c r="AL56" i="7"/>
  <c r="O13" i="7"/>
  <c r="R89" i="8"/>
  <c r="R46" i="8"/>
  <c r="R15" i="8"/>
  <c r="O56" i="7"/>
  <c r="O99" i="7"/>
  <c r="AN14" i="7"/>
  <c r="AQ90" i="8"/>
  <c r="AQ47" i="8"/>
  <c r="AQ16" i="8"/>
  <c r="AN57" i="7"/>
  <c r="AN100" i="7"/>
  <c r="U14" i="7"/>
  <c r="X90" i="8"/>
  <c r="X47" i="8"/>
  <c r="X16" i="8"/>
  <c r="U57" i="7"/>
  <c r="U100" i="7"/>
  <c r="BI14" i="7"/>
  <c r="BL90" i="8"/>
  <c r="BL47" i="8"/>
  <c r="BI100" i="7"/>
  <c r="BL16" i="8"/>
  <c r="BI57" i="7"/>
  <c r="AP14" i="7"/>
  <c r="AS90" i="8"/>
  <c r="AS47" i="8"/>
  <c r="AS16" i="8"/>
  <c r="AP100" i="7"/>
  <c r="AP57" i="7"/>
  <c r="O14" i="7"/>
  <c r="R90" i="8"/>
  <c r="R47" i="8"/>
  <c r="R16" i="8"/>
  <c r="O57" i="7"/>
  <c r="O100" i="7"/>
  <c r="AN15" i="7"/>
  <c r="AQ91" i="8"/>
  <c r="AQ48" i="8"/>
  <c r="AQ17" i="8"/>
  <c r="AN101" i="7"/>
  <c r="AN58" i="7"/>
  <c r="U15" i="7"/>
  <c r="X91" i="8"/>
  <c r="X48" i="8"/>
  <c r="X17" i="8"/>
  <c r="U101" i="7"/>
  <c r="U58" i="7"/>
  <c r="BI15" i="7"/>
  <c r="BL91" i="8"/>
  <c r="BL17" i="8"/>
  <c r="BL48" i="8"/>
  <c r="BI101" i="7"/>
  <c r="BI58" i="7"/>
  <c r="AP15" i="7"/>
  <c r="AS91" i="8"/>
  <c r="AS48" i="8"/>
  <c r="AS17" i="8"/>
  <c r="AP101" i="7"/>
  <c r="AP58" i="7"/>
  <c r="O15" i="7"/>
  <c r="R91" i="8"/>
  <c r="R48" i="8"/>
  <c r="R17" i="8"/>
  <c r="O58" i="7"/>
  <c r="O101" i="7"/>
  <c r="AN16" i="7"/>
  <c r="AQ92" i="8"/>
  <c r="AQ49" i="8"/>
  <c r="AQ18" i="8"/>
  <c r="AN102" i="7"/>
  <c r="AN59" i="7"/>
  <c r="U16" i="7"/>
  <c r="X92" i="8"/>
  <c r="X49" i="8"/>
  <c r="X18" i="8"/>
  <c r="U59" i="7"/>
  <c r="U102" i="7"/>
  <c r="BI16" i="7"/>
  <c r="BL92" i="8"/>
  <c r="BL49" i="8"/>
  <c r="BI59" i="7"/>
  <c r="BI102" i="7"/>
  <c r="BL18" i="8"/>
  <c r="AP16" i="7"/>
  <c r="AS92" i="8"/>
  <c r="AS18" i="8"/>
  <c r="AP102" i="7"/>
  <c r="AP59" i="7"/>
  <c r="AS49" i="8"/>
  <c r="W16" i="7"/>
  <c r="Z92" i="8"/>
  <c r="Z49" i="8"/>
  <c r="Z18" i="8"/>
  <c r="W59" i="7"/>
  <c r="W102" i="7"/>
  <c r="AR17" i="7"/>
  <c r="AU93" i="8"/>
  <c r="AU50" i="8"/>
  <c r="AU19" i="8"/>
  <c r="AR103" i="7"/>
  <c r="AR60" i="7"/>
  <c r="Y17" i="7"/>
  <c r="AB93" i="8"/>
  <c r="AB50" i="8"/>
  <c r="AB19" i="8"/>
  <c r="Y60" i="7"/>
  <c r="Y103" i="7"/>
  <c r="F17" i="7"/>
  <c r="I93" i="8"/>
  <c r="I50" i="8"/>
  <c r="I19" i="8"/>
  <c r="F103" i="7"/>
  <c r="F60" i="7"/>
  <c r="AT17" i="7"/>
  <c r="AW93" i="8"/>
  <c r="AW50" i="8"/>
  <c r="AT103" i="7"/>
  <c r="AT60" i="7"/>
  <c r="AW19" i="8"/>
  <c r="AA17" i="7"/>
  <c r="AD93" i="8"/>
  <c r="AD50" i="8"/>
  <c r="AD19" i="8"/>
  <c r="AA60" i="7"/>
  <c r="AA103" i="7"/>
  <c r="AN18" i="7"/>
  <c r="AQ94" i="8"/>
  <c r="AQ20" i="8"/>
  <c r="AQ51" i="8"/>
  <c r="AN61" i="7"/>
  <c r="AN104" i="7"/>
  <c r="U18" i="7"/>
  <c r="X94" i="8"/>
  <c r="X51" i="8"/>
  <c r="X20" i="8"/>
  <c r="U61" i="7"/>
  <c r="U104" i="7"/>
  <c r="BI18" i="7"/>
  <c r="BL94" i="8"/>
  <c r="BL51" i="8"/>
  <c r="BL20" i="8"/>
  <c r="BI104" i="7"/>
  <c r="BI61" i="7"/>
  <c r="AP18" i="7"/>
  <c r="AS94" i="8"/>
  <c r="AS20" i="8"/>
  <c r="AS51" i="8"/>
  <c r="AP104" i="7"/>
  <c r="AP61" i="7"/>
  <c r="O18" i="7"/>
  <c r="R94" i="8"/>
  <c r="R51" i="8"/>
  <c r="R20" i="8"/>
  <c r="O61" i="7"/>
  <c r="O104" i="7"/>
  <c r="AN19" i="7"/>
  <c r="AQ95" i="8"/>
  <c r="AQ52" i="8"/>
  <c r="AQ21" i="8"/>
  <c r="AN105" i="7"/>
  <c r="AN62" i="7"/>
  <c r="U19" i="7"/>
  <c r="X95" i="8"/>
  <c r="X52" i="8"/>
  <c r="X21" i="8"/>
  <c r="U105" i="7"/>
  <c r="U62" i="7"/>
  <c r="BI19" i="7"/>
  <c r="BL95" i="8"/>
  <c r="BL21" i="8"/>
  <c r="BL52" i="8"/>
  <c r="BI62" i="7"/>
  <c r="BI105" i="7"/>
  <c r="AP19" i="7"/>
  <c r="AS95" i="8"/>
  <c r="AS52" i="8"/>
  <c r="AS21" i="8"/>
  <c r="AP105" i="7"/>
  <c r="AP62" i="7"/>
  <c r="W19" i="7"/>
  <c r="Z95" i="8"/>
  <c r="Z52" i="8"/>
  <c r="Z21" i="8"/>
  <c r="W105" i="7"/>
  <c r="W62" i="7"/>
  <c r="AR20" i="7"/>
  <c r="AU96" i="8"/>
  <c r="AU53" i="8"/>
  <c r="AR106" i="7"/>
  <c r="AU22" i="8"/>
  <c r="AR63" i="7"/>
  <c r="Y20" i="7"/>
  <c r="AB96" i="8"/>
  <c r="AB53" i="8"/>
  <c r="AB22" i="8"/>
  <c r="Y106" i="7"/>
  <c r="Y63" i="7"/>
  <c r="F20" i="7"/>
  <c r="I96" i="8"/>
  <c r="I53" i="8"/>
  <c r="I22" i="8"/>
  <c r="F63" i="7"/>
  <c r="F106" i="7"/>
  <c r="AT20" i="7"/>
  <c r="AW96" i="8"/>
  <c r="AW53" i="8"/>
  <c r="AW22" i="8"/>
  <c r="AT106" i="7"/>
  <c r="AT63" i="7"/>
  <c r="AA20" i="7"/>
  <c r="AD96" i="8"/>
  <c r="AD22" i="8"/>
  <c r="AD53" i="8"/>
  <c r="AA106" i="7"/>
  <c r="AA63" i="7"/>
  <c r="D21" i="7"/>
  <c r="G97" i="8"/>
  <c r="G54" i="8"/>
  <c r="G23" i="8"/>
  <c r="D107" i="7"/>
  <c r="D64" i="7"/>
  <c r="AZ21" i="7"/>
  <c r="BC97" i="8"/>
  <c r="BC54" i="8"/>
  <c r="BC23" i="8"/>
  <c r="AZ64" i="7"/>
  <c r="AZ107" i="7"/>
  <c r="AC21" i="7"/>
  <c r="AF97" i="8"/>
  <c r="AF54" i="8"/>
  <c r="AF23" i="8"/>
  <c r="AC107" i="7"/>
  <c r="AC64" i="7"/>
  <c r="J21" i="7"/>
  <c r="M97" i="8"/>
  <c r="M54" i="8"/>
  <c r="M23" i="8"/>
  <c r="J64" i="7"/>
  <c r="J107" i="7"/>
  <c r="BB21" i="7"/>
  <c r="BE97" i="8"/>
  <c r="BE54" i="8"/>
  <c r="BE23" i="8"/>
  <c r="BB107" i="7"/>
  <c r="BB64" i="7"/>
  <c r="AE21" i="7"/>
  <c r="AH97" i="8"/>
  <c r="AH54" i="8"/>
  <c r="AH23" i="8"/>
  <c r="AE107" i="7"/>
  <c r="AE64" i="7"/>
  <c r="H22" i="7"/>
  <c r="K98" i="8"/>
  <c r="K55" i="8"/>
  <c r="K24" i="8"/>
  <c r="H108" i="7"/>
  <c r="H65" i="7"/>
  <c r="BD22" i="7"/>
  <c r="BG98" i="8"/>
  <c r="BG24" i="8"/>
  <c r="BD108" i="7"/>
  <c r="BG55" i="8"/>
  <c r="BD65" i="7"/>
  <c r="AK22" i="7"/>
  <c r="AN98" i="8"/>
  <c r="AN55" i="8"/>
  <c r="AN24" i="8"/>
  <c r="AK108" i="7"/>
  <c r="AK65" i="7"/>
  <c r="N22" i="7"/>
  <c r="Q98" i="8"/>
  <c r="Q55" i="8"/>
  <c r="Q24" i="8"/>
  <c r="N65" i="7"/>
  <c r="N108" i="7"/>
  <c r="BF22" i="7"/>
  <c r="BI98" i="8"/>
  <c r="BI24" i="8"/>
  <c r="BI55" i="8"/>
  <c r="BF108" i="7"/>
  <c r="BF65" i="7"/>
  <c r="AM22" i="7"/>
  <c r="AY22" i="7" s="1"/>
  <c r="AP98" i="8"/>
  <c r="AP55" i="8"/>
  <c r="AM108" i="7"/>
  <c r="AM65" i="7"/>
  <c r="AP24" i="8"/>
  <c r="BB24" i="8" s="1"/>
  <c r="H23" i="7"/>
  <c r="K99" i="8"/>
  <c r="K25" i="8"/>
  <c r="K56" i="8"/>
  <c r="H109" i="7"/>
  <c r="H66" i="7"/>
  <c r="BD23" i="7"/>
  <c r="BG99" i="8"/>
  <c r="BG56" i="8"/>
  <c r="BG25" i="8"/>
  <c r="BD66" i="7"/>
  <c r="BD109" i="7"/>
  <c r="AK23" i="7"/>
  <c r="AN99" i="8"/>
  <c r="AN56" i="8"/>
  <c r="AN25" i="8"/>
  <c r="AK109" i="7"/>
  <c r="AK66" i="7"/>
  <c r="N23" i="7"/>
  <c r="Q99" i="8"/>
  <c r="Q56" i="8"/>
  <c r="Q25" i="8"/>
  <c r="N109" i="7"/>
  <c r="N66" i="7"/>
  <c r="BF23" i="7"/>
  <c r="BI99" i="8"/>
  <c r="BI56" i="8"/>
  <c r="BI25" i="8"/>
  <c r="BF109" i="7"/>
  <c r="BF66" i="7"/>
  <c r="AM23" i="7"/>
  <c r="AY23" i="7" s="1"/>
  <c r="AP99" i="8"/>
  <c r="AP56" i="8"/>
  <c r="AP25" i="8"/>
  <c r="BB25" i="8" s="1"/>
  <c r="AM109" i="7"/>
  <c r="AM66" i="7"/>
  <c r="L24" i="7"/>
  <c r="O100" i="8"/>
  <c r="O57" i="8"/>
  <c r="O26" i="8"/>
  <c r="L110" i="7"/>
  <c r="L67" i="7"/>
  <c r="BH24" i="7"/>
  <c r="BK100" i="8"/>
  <c r="BK57" i="8"/>
  <c r="BK26" i="8"/>
  <c r="BH110" i="7"/>
  <c r="BH67" i="7"/>
  <c r="AO24" i="7"/>
  <c r="AR100" i="8"/>
  <c r="AR57" i="8"/>
  <c r="AR26" i="8"/>
  <c r="AO110" i="7"/>
  <c r="AO67" i="7"/>
  <c r="V24" i="7"/>
  <c r="Y100" i="8"/>
  <c r="Y57" i="8"/>
  <c r="Y26" i="8"/>
  <c r="V67" i="7"/>
  <c r="V110" i="7"/>
  <c r="BJ24" i="7"/>
  <c r="BM100" i="8"/>
  <c r="BM57" i="8"/>
  <c r="BM26" i="8"/>
  <c r="BJ67" i="7"/>
  <c r="BJ110" i="7"/>
  <c r="T25" i="7"/>
  <c r="W101" i="8"/>
  <c r="W27" i="8"/>
  <c r="W58" i="8"/>
  <c r="T111" i="7"/>
  <c r="T68" i="7"/>
  <c r="E25" i="7"/>
  <c r="H101" i="8"/>
  <c r="H58" i="8"/>
  <c r="H27" i="8"/>
  <c r="E111" i="7"/>
  <c r="E68" i="7"/>
  <c r="AS25" i="7"/>
  <c r="AV101" i="8"/>
  <c r="AV58" i="8"/>
  <c r="AV27" i="8"/>
  <c r="AS111" i="7"/>
  <c r="AS68" i="7"/>
  <c r="Z25" i="7"/>
  <c r="AC101" i="8"/>
  <c r="AC58" i="8"/>
  <c r="AC27" i="8"/>
  <c r="Z111" i="7"/>
  <c r="Z68" i="7"/>
  <c r="G25" i="7"/>
  <c r="J101" i="8"/>
  <c r="J58" i="8"/>
  <c r="J27" i="8"/>
  <c r="G68" i="7"/>
  <c r="G111" i="7"/>
  <c r="X26" i="7"/>
  <c r="AA102" i="8"/>
  <c r="DA102" i="8" s="1"/>
  <c r="AA59" i="8"/>
  <c r="X112" i="7"/>
  <c r="X69" i="7"/>
  <c r="AA28" i="8"/>
  <c r="I26" i="7"/>
  <c r="L102" i="8"/>
  <c r="L59" i="8"/>
  <c r="L28" i="8"/>
  <c r="I112" i="7"/>
  <c r="I69" i="7"/>
  <c r="BA26" i="7"/>
  <c r="BD102" i="8"/>
  <c r="BD59" i="8"/>
  <c r="BD28" i="8"/>
  <c r="BA112" i="7"/>
  <c r="BA69" i="7"/>
  <c r="AD26" i="7"/>
  <c r="AG102" i="8"/>
  <c r="AG59" i="8"/>
  <c r="AG28" i="8"/>
  <c r="AD69" i="7"/>
  <c r="AD112" i="7"/>
  <c r="K26" i="7"/>
  <c r="N102" i="8"/>
  <c r="N59" i="8"/>
  <c r="N28" i="8"/>
  <c r="K69" i="7"/>
  <c r="K112" i="7"/>
  <c r="AJ27" i="7"/>
  <c r="AM103" i="8"/>
  <c r="AM60" i="8"/>
  <c r="AM29" i="8"/>
  <c r="AJ113" i="7"/>
  <c r="AJ70" i="7"/>
  <c r="M27" i="7"/>
  <c r="P103" i="8"/>
  <c r="P60" i="8"/>
  <c r="P29" i="8"/>
  <c r="M113" i="7"/>
  <c r="M70" i="7"/>
  <c r="BE27" i="7"/>
  <c r="BH103" i="8"/>
  <c r="BH60" i="8"/>
  <c r="BH29" i="8"/>
  <c r="BE113" i="7"/>
  <c r="BE70" i="7"/>
  <c r="AL27" i="7"/>
  <c r="AO103" i="8"/>
  <c r="AO60" i="8"/>
  <c r="AO29" i="8"/>
  <c r="AL113" i="7"/>
  <c r="AL70" i="7"/>
  <c r="O27" i="7"/>
  <c r="R103" i="8"/>
  <c r="R60" i="8"/>
  <c r="R29" i="8"/>
  <c r="O113" i="7"/>
  <c r="O70" i="7"/>
  <c r="AJ28" i="7"/>
  <c r="AM104" i="8"/>
  <c r="AM61" i="8"/>
  <c r="AM30" i="8"/>
  <c r="AJ114" i="7"/>
  <c r="AJ71" i="7"/>
  <c r="M28" i="7"/>
  <c r="P104" i="8"/>
  <c r="P61" i="8"/>
  <c r="P30" i="8"/>
  <c r="M114" i="7"/>
  <c r="M71" i="7"/>
  <c r="BE28" i="7"/>
  <c r="BH104" i="8"/>
  <c r="BH61" i="8"/>
  <c r="BH30" i="8"/>
  <c r="BE114" i="7"/>
  <c r="BE71" i="7"/>
  <c r="AL28" i="7"/>
  <c r="AO104" i="8"/>
  <c r="AO61" i="8"/>
  <c r="AL71" i="7"/>
  <c r="AL114" i="7"/>
  <c r="AO30" i="8"/>
  <c r="K28" i="7"/>
  <c r="N104" i="8"/>
  <c r="N61" i="8"/>
  <c r="N30" i="8"/>
  <c r="K114" i="7"/>
  <c r="K71" i="7"/>
  <c r="H39" i="7"/>
  <c r="K115" i="8"/>
  <c r="K72" i="8"/>
  <c r="H125" i="7"/>
  <c r="H82" i="7"/>
  <c r="D29" i="7"/>
  <c r="G142" i="8"/>
  <c r="G105" i="8"/>
  <c r="G62" i="8"/>
  <c r="D115" i="7"/>
  <c r="D72" i="7"/>
  <c r="BH29" i="7"/>
  <c r="BK142" i="8"/>
  <c r="BK144" i="8" s="1"/>
  <c r="BK62" i="8"/>
  <c r="BK105" i="8"/>
  <c r="BH115" i="7"/>
  <c r="BH72" i="7"/>
  <c r="AO29" i="7"/>
  <c r="AR142" i="8"/>
  <c r="AR144" i="8" s="1"/>
  <c r="AR105" i="8"/>
  <c r="AR62" i="8"/>
  <c r="AO115" i="7"/>
  <c r="AO72" i="7"/>
  <c r="V29" i="7"/>
  <c r="Y142" i="8"/>
  <c r="Y105" i="8"/>
  <c r="Y62" i="8"/>
  <c r="V115" i="7"/>
  <c r="V72" i="7"/>
  <c r="BJ29" i="7"/>
  <c r="BM142" i="8"/>
  <c r="BM105" i="8"/>
  <c r="BM62" i="8"/>
  <c r="BJ115" i="7"/>
  <c r="BJ72" i="7"/>
  <c r="N30" i="7"/>
  <c r="R30" i="7" s="1"/>
  <c r="Q143" i="8"/>
  <c r="Q106" i="8"/>
  <c r="CI106" i="8" s="1"/>
  <c r="Q63" i="8"/>
  <c r="N116" i="7"/>
  <c r="CF116" i="7" s="1"/>
  <c r="N73" i="7"/>
  <c r="BF30" i="7"/>
  <c r="BI143" i="8"/>
  <c r="BI106" i="8"/>
  <c r="BI63" i="8"/>
  <c r="BF116" i="7"/>
  <c r="BF73" i="7"/>
  <c r="AM30" i="7"/>
  <c r="AY30" i="7" s="1"/>
  <c r="AP143" i="8"/>
  <c r="BB143" i="8" s="1"/>
  <c r="AP106" i="8"/>
  <c r="AP63" i="8"/>
  <c r="AM116" i="7"/>
  <c r="AM73" i="7"/>
  <c r="AN31" i="7"/>
  <c r="AQ126" i="8"/>
  <c r="AQ107" i="8"/>
  <c r="AQ64" i="8"/>
  <c r="AN117" i="7"/>
  <c r="AN74" i="7"/>
  <c r="U31" i="7"/>
  <c r="X126" i="8"/>
  <c r="X107" i="8"/>
  <c r="X64" i="8"/>
  <c r="U117" i="7"/>
  <c r="U74" i="7"/>
  <c r="BI31" i="7"/>
  <c r="BL126" i="8"/>
  <c r="BL107" i="8"/>
  <c r="BL64" i="8"/>
  <c r="BI74" i="7"/>
  <c r="BI117" i="7"/>
  <c r="AP31" i="7"/>
  <c r="AS107" i="8"/>
  <c r="AS126" i="8"/>
  <c r="AS64" i="8"/>
  <c r="AP117" i="7"/>
  <c r="AP74" i="7"/>
  <c r="W31" i="7"/>
  <c r="Z126" i="8"/>
  <c r="Z107" i="8"/>
  <c r="Z64" i="8"/>
  <c r="W117" i="7"/>
  <c r="W74" i="7"/>
  <c r="L32" i="7"/>
  <c r="O127" i="8"/>
  <c r="O108" i="8"/>
  <c r="O65" i="8"/>
  <c r="L75" i="7"/>
  <c r="L118" i="7"/>
  <c r="BH32" i="7"/>
  <c r="BK127" i="8"/>
  <c r="BK108" i="8"/>
  <c r="BK65" i="8"/>
  <c r="BH118" i="7"/>
  <c r="BH75" i="7"/>
  <c r="AO32" i="7"/>
  <c r="AR127" i="8"/>
  <c r="AR108" i="8"/>
  <c r="AR65" i="8"/>
  <c r="AO118" i="7"/>
  <c r="AO75" i="7"/>
  <c r="V32" i="7"/>
  <c r="Y127" i="8"/>
  <c r="Y108" i="8"/>
  <c r="Y65" i="8"/>
  <c r="V75" i="7"/>
  <c r="V118" i="7"/>
  <c r="BJ32" i="7"/>
  <c r="BM108" i="8"/>
  <c r="BM127" i="8"/>
  <c r="BM65" i="8"/>
  <c r="BJ75" i="7"/>
  <c r="BJ118" i="7"/>
  <c r="AR34" i="7"/>
  <c r="AU128" i="8"/>
  <c r="AU110" i="8"/>
  <c r="AU67" i="8"/>
  <c r="AR120" i="7"/>
  <c r="AR77" i="7"/>
  <c r="Y34" i="7"/>
  <c r="AB110" i="8"/>
  <c r="AB128" i="8"/>
  <c r="AB67" i="8"/>
  <c r="Y120" i="7"/>
  <c r="Y77" i="7"/>
  <c r="F34" i="7"/>
  <c r="I128" i="8"/>
  <c r="I110" i="8"/>
  <c r="I67" i="8"/>
  <c r="F77" i="7"/>
  <c r="F120" i="7"/>
  <c r="AT34" i="7"/>
  <c r="AW110" i="8"/>
  <c r="AW128" i="8"/>
  <c r="AW67" i="8"/>
  <c r="AT120" i="7"/>
  <c r="AT77" i="7"/>
  <c r="AA34" i="7"/>
  <c r="AD110" i="8"/>
  <c r="AD128" i="8"/>
  <c r="AD67" i="8"/>
  <c r="AA120" i="7"/>
  <c r="AA77" i="7"/>
  <c r="T35" i="7"/>
  <c r="W129" i="8"/>
  <c r="W111" i="8"/>
  <c r="W68" i="8"/>
  <c r="T121" i="7"/>
  <c r="T78" i="7"/>
  <c r="E35" i="7"/>
  <c r="H129" i="8"/>
  <c r="H111" i="8"/>
  <c r="H68" i="8"/>
  <c r="E121" i="7"/>
  <c r="E78" i="7"/>
  <c r="AS35" i="7"/>
  <c r="AV129" i="8"/>
  <c r="AV111" i="8"/>
  <c r="AV68" i="8"/>
  <c r="AS121" i="7"/>
  <c r="AS78" i="7"/>
  <c r="Z35" i="7"/>
  <c r="AC129" i="8"/>
  <c r="AC111" i="8"/>
  <c r="AC68" i="8"/>
  <c r="Z78" i="7"/>
  <c r="Z121" i="7"/>
  <c r="G35" i="7"/>
  <c r="J111" i="8"/>
  <c r="J129" i="8"/>
  <c r="J68" i="8"/>
  <c r="G121" i="7"/>
  <c r="G78" i="7"/>
  <c r="AP36" i="7"/>
  <c r="AS130" i="8"/>
  <c r="AS112" i="8"/>
  <c r="AS69" i="8"/>
  <c r="AP122" i="7"/>
  <c r="AP79" i="7"/>
  <c r="W36" i="7"/>
  <c r="Z130" i="8"/>
  <c r="Z112" i="8"/>
  <c r="Z69" i="8"/>
  <c r="W79" i="7"/>
  <c r="W122" i="7"/>
  <c r="L37" i="7"/>
  <c r="O113" i="8"/>
  <c r="O131" i="8"/>
  <c r="O70" i="8"/>
  <c r="L123" i="7"/>
  <c r="L80" i="7"/>
  <c r="AL37" i="7"/>
  <c r="AO131" i="8"/>
  <c r="AO113" i="8"/>
  <c r="AO70" i="8"/>
  <c r="AL80" i="7"/>
  <c r="AL123" i="7"/>
  <c r="O37" i="7"/>
  <c r="R131" i="8"/>
  <c r="R113" i="8"/>
  <c r="R70" i="8"/>
  <c r="O80" i="7"/>
  <c r="O123" i="7"/>
  <c r="H38" i="7"/>
  <c r="K114" i="8"/>
  <c r="K132" i="8"/>
  <c r="K71" i="8"/>
  <c r="H81" i="7"/>
  <c r="H124" i="7"/>
  <c r="AD38" i="7"/>
  <c r="AG132" i="8"/>
  <c r="AG114" i="8"/>
  <c r="AG71" i="8"/>
  <c r="AD124" i="7"/>
  <c r="AD81" i="7"/>
  <c r="K38" i="7"/>
  <c r="N132" i="8"/>
  <c r="N114" i="8"/>
  <c r="N71" i="8"/>
  <c r="K124" i="7"/>
  <c r="K81" i="7"/>
  <c r="X40" i="7"/>
  <c r="AA133" i="8"/>
  <c r="AA116" i="8"/>
  <c r="DA116" i="8" s="1"/>
  <c r="AA73" i="8"/>
  <c r="X126" i="7"/>
  <c r="X83" i="7"/>
  <c r="I40" i="7"/>
  <c r="L133" i="8"/>
  <c r="L116" i="8"/>
  <c r="L73" i="8"/>
  <c r="I83" i="7"/>
  <c r="I126" i="7"/>
  <c r="BA40" i="7"/>
  <c r="BD116" i="8"/>
  <c r="BD133" i="8"/>
  <c r="BD73" i="8"/>
  <c r="BA126" i="7"/>
  <c r="BA83" i="7"/>
  <c r="AD40" i="7"/>
  <c r="AG133" i="8"/>
  <c r="AG116" i="8"/>
  <c r="AG73" i="8"/>
  <c r="AD83" i="7"/>
  <c r="AD126" i="7"/>
  <c r="K40" i="7"/>
  <c r="N116" i="8"/>
  <c r="N133" i="8"/>
  <c r="N73" i="8"/>
  <c r="K83" i="7"/>
  <c r="K126" i="7"/>
  <c r="T41" i="7"/>
  <c r="W117" i="8"/>
  <c r="W134" i="8"/>
  <c r="W74" i="8"/>
  <c r="T127" i="7"/>
  <c r="T84" i="7"/>
  <c r="E41" i="7"/>
  <c r="H134" i="8"/>
  <c r="H117" i="8"/>
  <c r="H74" i="8"/>
  <c r="E127" i="7"/>
  <c r="E84" i="7"/>
  <c r="AS41" i="7"/>
  <c r="AV134" i="8"/>
  <c r="AV117" i="8"/>
  <c r="AV74" i="8"/>
  <c r="AS127" i="7"/>
  <c r="AS84" i="7"/>
  <c r="Z41" i="7"/>
  <c r="AC134" i="8"/>
  <c r="AC117" i="8"/>
  <c r="AC74" i="8"/>
  <c r="Z127" i="7"/>
  <c r="Z84" i="7"/>
  <c r="G41" i="7"/>
  <c r="J134" i="8"/>
  <c r="J117" i="8"/>
  <c r="J74" i="8"/>
  <c r="G84" i="7"/>
  <c r="G127" i="7"/>
  <c r="X16" i="7"/>
  <c r="AR5" i="7"/>
  <c r="AU81" i="8"/>
  <c r="AU7" i="8"/>
  <c r="AU38" i="8"/>
  <c r="AR91" i="7"/>
  <c r="AR48" i="7"/>
  <c r="Y5" i="7"/>
  <c r="AB81" i="8"/>
  <c r="AB38" i="8"/>
  <c r="AB7" i="8"/>
  <c r="Y48" i="7"/>
  <c r="Y91" i="7"/>
  <c r="F5" i="7"/>
  <c r="I81" i="8"/>
  <c r="I38" i="8"/>
  <c r="I7" i="8"/>
  <c r="F91" i="7"/>
  <c r="F48" i="7"/>
  <c r="AT5" i="7"/>
  <c r="AW81" i="8"/>
  <c r="AW38" i="8"/>
  <c r="AT48" i="7"/>
  <c r="AT91" i="7"/>
  <c r="AA5" i="7"/>
  <c r="AD81" i="8"/>
  <c r="AD38" i="8"/>
  <c r="AA91" i="7"/>
  <c r="AA48" i="7"/>
  <c r="AD7" i="8"/>
  <c r="D6" i="7"/>
  <c r="G82" i="8"/>
  <c r="G39" i="8"/>
  <c r="G8" i="8"/>
  <c r="D49" i="7"/>
  <c r="D92" i="7"/>
  <c r="AZ6" i="7"/>
  <c r="BC82" i="8"/>
  <c r="BC39" i="8"/>
  <c r="BC8" i="8"/>
  <c r="AZ92" i="7"/>
  <c r="AZ49" i="7"/>
  <c r="AC6" i="7"/>
  <c r="AF82" i="8"/>
  <c r="AF39" i="8"/>
  <c r="AF8" i="8"/>
  <c r="AC49" i="7"/>
  <c r="AC92" i="7"/>
  <c r="J6" i="7"/>
  <c r="M82" i="8"/>
  <c r="M8" i="8"/>
  <c r="M39" i="8"/>
  <c r="J92" i="7"/>
  <c r="J49" i="7"/>
  <c r="BB6" i="7"/>
  <c r="BE82" i="8"/>
  <c r="BE39" i="8"/>
  <c r="BE8" i="8"/>
  <c r="BB49" i="7"/>
  <c r="BB92" i="7"/>
  <c r="AE6" i="7"/>
  <c r="AH82" i="8"/>
  <c r="AH39" i="8"/>
  <c r="AH8" i="8"/>
  <c r="AE49" i="7"/>
  <c r="AE92" i="7"/>
  <c r="AR7" i="7"/>
  <c r="AU83" i="8"/>
  <c r="AU40" i="8"/>
  <c r="AR93" i="7"/>
  <c r="AR50" i="7"/>
  <c r="AU9" i="8"/>
  <c r="Y7" i="7"/>
  <c r="AB83" i="8"/>
  <c r="AB40" i="8"/>
  <c r="AB9" i="8"/>
  <c r="Y50" i="7"/>
  <c r="Y93" i="7"/>
  <c r="F7" i="7"/>
  <c r="I83" i="8"/>
  <c r="I40" i="8"/>
  <c r="I9" i="8"/>
  <c r="F93" i="7"/>
  <c r="F50" i="7"/>
  <c r="AT7" i="7"/>
  <c r="AW83" i="8"/>
  <c r="AW40" i="8"/>
  <c r="AW9" i="8"/>
  <c r="AT93" i="7"/>
  <c r="AT50" i="7"/>
  <c r="AA7" i="7"/>
  <c r="AD83" i="8"/>
  <c r="AD9" i="8"/>
  <c r="AD40" i="8"/>
  <c r="AA93" i="7"/>
  <c r="AA50" i="7"/>
  <c r="AN8" i="7"/>
  <c r="AQ84" i="8"/>
  <c r="AN94" i="7"/>
  <c r="AQ41" i="8"/>
  <c r="AN51" i="7"/>
  <c r="AQ10" i="8"/>
  <c r="U8" i="7"/>
  <c r="X84" i="8"/>
  <c r="X41" i="8"/>
  <c r="X10" i="8"/>
  <c r="U51" i="7"/>
  <c r="U94" i="7"/>
  <c r="BI8" i="7"/>
  <c r="BL84" i="8"/>
  <c r="BL41" i="8"/>
  <c r="BI94" i="7"/>
  <c r="BL10" i="8"/>
  <c r="BI51" i="7"/>
  <c r="AP8" i="7"/>
  <c r="AS84" i="8"/>
  <c r="AS10" i="8"/>
  <c r="AS41" i="8"/>
  <c r="AP51" i="7"/>
  <c r="AP94" i="7"/>
  <c r="O8" i="7"/>
  <c r="R84" i="8"/>
  <c r="R41" i="8"/>
  <c r="R10" i="8"/>
  <c r="O51" i="7"/>
  <c r="O94" i="7"/>
  <c r="AN9" i="7"/>
  <c r="AQ85" i="8"/>
  <c r="AQ42" i="8"/>
  <c r="AQ11" i="8"/>
  <c r="AN52" i="7"/>
  <c r="AN95" i="7"/>
  <c r="U9" i="7"/>
  <c r="X85" i="8"/>
  <c r="X42" i="8"/>
  <c r="X11" i="8"/>
  <c r="U95" i="7"/>
  <c r="U52" i="7"/>
  <c r="BI9" i="7"/>
  <c r="BL85" i="8"/>
  <c r="BL42" i="8"/>
  <c r="BL11" i="8"/>
  <c r="BI95" i="7"/>
  <c r="BI52" i="7"/>
  <c r="AP9" i="7"/>
  <c r="AS85" i="8"/>
  <c r="AS42" i="8"/>
  <c r="AS11" i="8"/>
  <c r="AP95" i="7"/>
  <c r="AP52" i="7"/>
  <c r="W9" i="7"/>
  <c r="Z85" i="8"/>
  <c r="Z42" i="8"/>
  <c r="Z11" i="8"/>
  <c r="W95" i="7"/>
  <c r="W52" i="7"/>
  <c r="AR10" i="7"/>
  <c r="AU86" i="8"/>
  <c r="AU43" i="8"/>
  <c r="AU12" i="8"/>
  <c r="AR53" i="7"/>
  <c r="AR96" i="7"/>
  <c r="Y10" i="7"/>
  <c r="AB86" i="8"/>
  <c r="AB43" i="8"/>
  <c r="AB12" i="8"/>
  <c r="Y96" i="7"/>
  <c r="Y53" i="7"/>
  <c r="BI10" i="7"/>
  <c r="BL86" i="8"/>
  <c r="BL43" i="8"/>
  <c r="BL12" i="8"/>
  <c r="BI96" i="7"/>
  <c r="BI53" i="7"/>
  <c r="AP10" i="7"/>
  <c r="AS86" i="8"/>
  <c r="AS43" i="8"/>
  <c r="AP96" i="7"/>
  <c r="AP53" i="7"/>
  <c r="AS12" i="8"/>
  <c r="W10" i="7"/>
  <c r="Z86" i="8"/>
  <c r="Z43" i="8"/>
  <c r="Z12" i="8"/>
  <c r="W96" i="7"/>
  <c r="W53" i="7"/>
  <c r="AR11" i="7"/>
  <c r="AU87" i="8"/>
  <c r="AU13" i="8"/>
  <c r="AR97" i="7"/>
  <c r="AR54" i="7"/>
  <c r="AU44" i="8"/>
  <c r="Y11" i="7"/>
  <c r="AB44" i="8"/>
  <c r="AB13" i="8"/>
  <c r="AB87" i="8"/>
  <c r="Y54" i="7"/>
  <c r="Y97" i="7"/>
  <c r="F11" i="7"/>
  <c r="I87" i="8"/>
  <c r="I44" i="8"/>
  <c r="F97" i="7"/>
  <c r="I13" i="8"/>
  <c r="F54" i="7"/>
  <c r="AT11" i="7"/>
  <c r="AW87" i="8"/>
  <c r="AW44" i="8"/>
  <c r="AW13" i="8"/>
  <c r="AT97" i="7"/>
  <c r="AT54" i="7"/>
  <c r="W11" i="7"/>
  <c r="Z87" i="8"/>
  <c r="Z44" i="8"/>
  <c r="Z13" i="8"/>
  <c r="W97" i="7"/>
  <c r="W54" i="7"/>
  <c r="AN12" i="7"/>
  <c r="AQ88" i="8"/>
  <c r="AQ14" i="8"/>
  <c r="AQ45" i="8"/>
  <c r="AN98" i="7"/>
  <c r="AN55" i="7"/>
  <c r="X88" i="8"/>
  <c r="X45" i="8"/>
  <c r="X14" i="8"/>
  <c r="U55" i="7"/>
  <c r="U98" i="7"/>
  <c r="BI12" i="7"/>
  <c r="BL88" i="8"/>
  <c r="BL45" i="8"/>
  <c r="BI98" i="7"/>
  <c r="BL14" i="8"/>
  <c r="BI55" i="7"/>
  <c r="AP12" i="7"/>
  <c r="AS88" i="8"/>
  <c r="AS45" i="8"/>
  <c r="AS14" i="8"/>
  <c r="AP55" i="7"/>
  <c r="AP98" i="7"/>
  <c r="R45" i="8"/>
  <c r="R88" i="8"/>
  <c r="R14" i="8"/>
  <c r="O55" i="7"/>
  <c r="O98" i="7"/>
  <c r="AN13" i="7"/>
  <c r="AQ89" i="8"/>
  <c r="AQ46" i="8"/>
  <c r="AN99" i="7"/>
  <c r="AQ15" i="8"/>
  <c r="AN56" i="7"/>
  <c r="U13" i="7"/>
  <c r="X89" i="8"/>
  <c r="X46" i="8"/>
  <c r="X15" i="8"/>
  <c r="U99" i="7"/>
  <c r="U56" i="7"/>
  <c r="BI13" i="7"/>
  <c r="BL89" i="8"/>
  <c r="BL46" i="8"/>
  <c r="BL15" i="8"/>
  <c r="BI99" i="7"/>
  <c r="BI56" i="7"/>
  <c r="AP13" i="7"/>
  <c r="AS89" i="8"/>
  <c r="AS46" i="8"/>
  <c r="AS15" i="8"/>
  <c r="AP99" i="7"/>
  <c r="AP56" i="7"/>
  <c r="W13" i="7"/>
  <c r="Z89" i="8"/>
  <c r="Z46" i="8"/>
  <c r="Z15" i="8"/>
  <c r="W99" i="7"/>
  <c r="W56" i="7"/>
  <c r="AR14" i="7"/>
  <c r="AU90" i="8"/>
  <c r="AU47" i="8"/>
  <c r="AU16" i="8"/>
  <c r="AR57" i="7"/>
  <c r="AR100" i="7"/>
  <c r="Y14" i="7"/>
  <c r="AB47" i="8"/>
  <c r="AB90" i="8"/>
  <c r="AB16" i="8"/>
  <c r="Y100" i="7"/>
  <c r="Y57" i="7"/>
  <c r="F14" i="7"/>
  <c r="I90" i="8"/>
  <c r="I47" i="8"/>
  <c r="I16" i="8"/>
  <c r="F57" i="7"/>
  <c r="F100" i="7"/>
  <c r="AT14" i="7"/>
  <c r="AW90" i="8"/>
  <c r="AW47" i="8"/>
  <c r="AW16" i="8"/>
  <c r="AT100" i="7"/>
  <c r="AT57" i="7"/>
  <c r="W14" i="7"/>
  <c r="Z90" i="8"/>
  <c r="Z47" i="8"/>
  <c r="Z16" i="8"/>
  <c r="W57" i="7"/>
  <c r="W100" i="7"/>
  <c r="AR15" i="7"/>
  <c r="AU91" i="8"/>
  <c r="AU48" i="8"/>
  <c r="AU17" i="8"/>
  <c r="AR101" i="7"/>
  <c r="AR58" i="7"/>
  <c r="Y15" i="7"/>
  <c r="AB91" i="8"/>
  <c r="AB48" i="8"/>
  <c r="AB17" i="8"/>
  <c r="Y58" i="7"/>
  <c r="Y101" i="7"/>
  <c r="F15" i="7"/>
  <c r="I91" i="8"/>
  <c r="I17" i="8"/>
  <c r="I48" i="8"/>
  <c r="F101" i="7"/>
  <c r="F58" i="7"/>
  <c r="AT15" i="7"/>
  <c r="AW91" i="8"/>
  <c r="AW48" i="8"/>
  <c r="AW17" i="8"/>
  <c r="AT58" i="7"/>
  <c r="AT101" i="7"/>
  <c r="W15" i="7"/>
  <c r="Z91" i="8"/>
  <c r="Z48" i="8"/>
  <c r="W101" i="7"/>
  <c r="Z17" i="8"/>
  <c r="W58" i="7"/>
  <c r="AR16" i="7"/>
  <c r="AU92" i="8"/>
  <c r="AU49" i="8"/>
  <c r="AU18" i="8"/>
  <c r="AR102" i="7"/>
  <c r="AR59" i="7"/>
  <c r="Y16" i="7"/>
  <c r="AB92" i="8"/>
  <c r="AB49" i="8"/>
  <c r="AB18" i="8"/>
  <c r="Y102" i="7"/>
  <c r="Y59" i="7"/>
  <c r="F16" i="7"/>
  <c r="I92" i="8"/>
  <c r="I49" i="8"/>
  <c r="I18" i="8"/>
  <c r="F59" i="7"/>
  <c r="F102" i="7"/>
  <c r="AT16" i="7"/>
  <c r="AW92" i="8"/>
  <c r="AW49" i="8"/>
  <c r="AW18" i="8"/>
  <c r="AT59" i="7"/>
  <c r="AT102" i="7"/>
  <c r="AA16" i="7"/>
  <c r="AD92" i="8"/>
  <c r="AD49" i="8"/>
  <c r="AD18" i="8"/>
  <c r="AA102" i="7"/>
  <c r="AA59" i="7"/>
  <c r="D17" i="7"/>
  <c r="G93" i="8"/>
  <c r="G50" i="8"/>
  <c r="G19" i="8"/>
  <c r="D103" i="7"/>
  <c r="D60" i="7"/>
  <c r="AZ17" i="7"/>
  <c r="BC93" i="8"/>
  <c r="BC50" i="8"/>
  <c r="BC19" i="8"/>
  <c r="AZ103" i="7"/>
  <c r="AZ60" i="7"/>
  <c r="AC17" i="7"/>
  <c r="AF93" i="8"/>
  <c r="AF50" i="8"/>
  <c r="AF19" i="8"/>
  <c r="AC103" i="7"/>
  <c r="AC60" i="7"/>
  <c r="M93" i="8"/>
  <c r="M50" i="8"/>
  <c r="M19" i="8"/>
  <c r="J60" i="7"/>
  <c r="J103" i="7"/>
  <c r="BB17" i="7"/>
  <c r="BE93" i="8"/>
  <c r="BE50" i="8"/>
  <c r="BE19" i="8"/>
  <c r="BB103" i="7"/>
  <c r="BB60" i="7"/>
  <c r="AE17" i="7"/>
  <c r="AH93" i="8"/>
  <c r="AH50" i="8"/>
  <c r="AH19" i="8"/>
  <c r="AE103" i="7"/>
  <c r="AE60" i="7"/>
  <c r="AR18" i="7"/>
  <c r="AU94" i="8"/>
  <c r="AU51" i="8"/>
  <c r="AU20" i="8"/>
  <c r="AR104" i="7"/>
  <c r="AR61" i="7"/>
  <c r="Y18" i="7"/>
  <c r="AB94" i="8"/>
  <c r="AB51" i="8"/>
  <c r="AB20" i="8"/>
  <c r="Y104" i="7"/>
  <c r="Y61" i="7"/>
  <c r="F18" i="7"/>
  <c r="I94" i="8"/>
  <c r="I51" i="8"/>
  <c r="I20" i="8"/>
  <c r="F61" i="7"/>
  <c r="F104" i="7"/>
  <c r="AT18" i="7"/>
  <c r="AW94" i="8"/>
  <c r="AW51" i="8"/>
  <c r="AW20" i="8"/>
  <c r="AT104" i="7"/>
  <c r="AT61" i="7"/>
  <c r="W18" i="7"/>
  <c r="Z94" i="8"/>
  <c r="Z51" i="8"/>
  <c r="W61" i="7"/>
  <c r="Z20" i="8"/>
  <c r="W104" i="7"/>
  <c r="AR19" i="7"/>
  <c r="AU95" i="8"/>
  <c r="AU21" i="8"/>
  <c r="AU52" i="8"/>
  <c r="AR105" i="7"/>
  <c r="AR62" i="7"/>
  <c r="Y19" i="7"/>
  <c r="AB95" i="8"/>
  <c r="AB21" i="8"/>
  <c r="AB52" i="8"/>
  <c r="Y62" i="7"/>
  <c r="Y105" i="7"/>
  <c r="F19" i="7"/>
  <c r="I95" i="8"/>
  <c r="I52" i="8"/>
  <c r="I21" i="8"/>
  <c r="F105" i="7"/>
  <c r="F62" i="7"/>
  <c r="AT19" i="7"/>
  <c r="AW95" i="8"/>
  <c r="AW21" i="8"/>
  <c r="AW52" i="8"/>
  <c r="AT105" i="7"/>
  <c r="AT62" i="7"/>
  <c r="AA19" i="7"/>
  <c r="AD95" i="8"/>
  <c r="AD52" i="8"/>
  <c r="AD21" i="8"/>
  <c r="AA62" i="7"/>
  <c r="AA105" i="7"/>
  <c r="D20" i="7"/>
  <c r="G96" i="8"/>
  <c r="G53" i="8"/>
  <c r="G22" i="8"/>
  <c r="D63" i="7"/>
  <c r="D106" i="7"/>
  <c r="AZ20" i="7"/>
  <c r="BC96" i="8"/>
  <c r="BC53" i="8"/>
  <c r="AZ106" i="7"/>
  <c r="BC22" i="8"/>
  <c r="AZ63" i="7"/>
  <c r="AC20" i="7"/>
  <c r="AF96" i="8"/>
  <c r="AF53" i="8"/>
  <c r="AF22" i="8"/>
  <c r="AC63" i="7"/>
  <c r="AC106" i="7"/>
  <c r="J20" i="7"/>
  <c r="M96" i="8"/>
  <c r="M22" i="8"/>
  <c r="J106" i="7"/>
  <c r="M53" i="8"/>
  <c r="J63" i="7"/>
  <c r="BB20" i="7"/>
  <c r="BE96" i="8"/>
  <c r="BE53" i="8"/>
  <c r="BE22" i="8"/>
  <c r="BB106" i="7"/>
  <c r="BB63" i="7"/>
  <c r="AE20" i="7"/>
  <c r="AH96" i="8"/>
  <c r="AH53" i="8"/>
  <c r="AH22" i="8"/>
  <c r="AE63" i="7"/>
  <c r="AE106" i="7"/>
  <c r="K97" i="8"/>
  <c r="K54" i="8"/>
  <c r="K23" i="8"/>
  <c r="H64" i="7"/>
  <c r="H107" i="7"/>
  <c r="BD21" i="7"/>
  <c r="BG97" i="8"/>
  <c r="BG54" i="8"/>
  <c r="BG23" i="8"/>
  <c r="BD107" i="7"/>
  <c r="BD64" i="7"/>
  <c r="AK21" i="7"/>
  <c r="AN97" i="8"/>
  <c r="AN54" i="8"/>
  <c r="AN23" i="8"/>
  <c r="AK107" i="7"/>
  <c r="AK64" i="7"/>
  <c r="N21" i="7"/>
  <c r="Q97" i="8"/>
  <c r="Q23" i="8"/>
  <c r="Q54" i="8"/>
  <c r="N107" i="7"/>
  <c r="N64" i="7"/>
  <c r="BF21" i="7"/>
  <c r="BI97" i="8"/>
  <c r="BI54" i="8"/>
  <c r="BI23" i="8"/>
  <c r="BF107" i="7"/>
  <c r="BF64" i="7"/>
  <c r="AM21" i="7"/>
  <c r="AY21" i="7" s="1"/>
  <c r="AP97" i="8"/>
  <c r="AP54" i="8"/>
  <c r="AP23" i="8"/>
  <c r="BB23" i="8" s="1"/>
  <c r="AM107" i="7"/>
  <c r="AM64" i="7"/>
  <c r="L22" i="7"/>
  <c r="O98" i="8"/>
  <c r="O24" i="8"/>
  <c r="O55" i="8"/>
  <c r="L108" i="7"/>
  <c r="L65" i="7"/>
  <c r="BH22" i="7"/>
  <c r="BK98" i="8"/>
  <c r="BK24" i="8"/>
  <c r="BH108" i="7"/>
  <c r="BK55" i="8"/>
  <c r="BH65" i="7"/>
  <c r="AO22" i="7"/>
  <c r="AR98" i="8"/>
  <c r="AR55" i="8"/>
  <c r="AR24" i="8"/>
  <c r="AO65" i="7"/>
  <c r="AO108" i="7"/>
  <c r="Y98" i="8"/>
  <c r="Y55" i="8"/>
  <c r="Y24" i="8"/>
  <c r="V108" i="7"/>
  <c r="V65" i="7"/>
  <c r="BJ22" i="7"/>
  <c r="BM98" i="8"/>
  <c r="BM55" i="8"/>
  <c r="BM24" i="8"/>
  <c r="BJ108" i="7"/>
  <c r="BJ65" i="7"/>
  <c r="O99" i="8"/>
  <c r="O56" i="8"/>
  <c r="O25" i="8"/>
  <c r="L109" i="7"/>
  <c r="L66" i="7"/>
  <c r="BH23" i="7"/>
  <c r="BK56" i="8"/>
  <c r="BK99" i="8"/>
  <c r="BK25" i="8"/>
  <c r="BH66" i="7"/>
  <c r="BH109" i="7"/>
  <c r="AO23" i="7"/>
  <c r="AR99" i="8"/>
  <c r="AR25" i="8"/>
  <c r="AR56" i="8"/>
  <c r="AO66" i="7"/>
  <c r="AO109" i="7"/>
  <c r="V23" i="7"/>
  <c r="Y99" i="8"/>
  <c r="Y56" i="8"/>
  <c r="Y25" i="8"/>
  <c r="V109" i="7"/>
  <c r="V66" i="7"/>
  <c r="BJ23" i="7"/>
  <c r="BM99" i="8"/>
  <c r="BM56" i="8"/>
  <c r="BM25" i="8"/>
  <c r="BJ109" i="7"/>
  <c r="BJ66" i="7"/>
  <c r="T24" i="7"/>
  <c r="W100" i="8"/>
  <c r="W57" i="8"/>
  <c r="W26" i="8"/>
  <c r="T67" i="7"/>
  <c r="T110" i="7"/>
  <c r="E24" i="7"/>
  <c r="H100" i="8"/>
  <c r="H26" i="8"/>
  <c r="H57" i="8"/>
  <c r="E110" i="7"/>
  <c r="E67" i="7"/>
  <c r="AS24" i="7"/>
  <c r="AV100" i="8"/>
  <c r="AV26" i="8"/>
  <c r="AV57" i="8"/>
  <c r="AS110" i="7"/>
  <c r="AS67" i="7"/>
  <c r="Z24" i="7"/>
  <c r="AC100" i="8"/>
  <c r="AC57" i="8"/>
  <c r="AC26" i="8"/>
  <c r="Z110" i="7"/>
  <c r="Z67" i="7"/>
  <c r="G24" i="7"/>
  <c r="J100" i="8"/>
  <c r="J57" i="8"/>
  <c r="G67" i="7"/>
  <c r="J26" i="8"/>
  <c r="G110" i="7"/>
  <c r="X25" i="7"/>
  <c r="AA58" i="8"/>
  <c r="AA101" i="8"/>
  <c r="DA101" i="8" s="1"/>
  <c r="AA27" i="8"/>
  <c r="X68" i="7"/>
  <c r="X111" i="7"/>
  <c r="I25" i="7"/>
  <c r="L101" i="8"/>
  <c r="L27" i="8"/>
  <c r="L58" i="8"/>
  <c r="I68" i="7"/>
  <c r="I111" i="7"/>
  <c r="BA25" i="7"/>
  <c r="BD101" i="8"/>
  <c r="BD58" i="8"/>
  <c r="BD27" i="8"/>
  <c r="BA68" i="7"/>
  <c r="BA111" i="7"/>
  <c r="AD25" i="7"/>
  <c r="AG101" i="8"/>
  <c r="AG58" i="8"/>
  <c r="AG27" i="8"/>
  <c r="AD111" i="7"/>
  <c r="AD68" i="7"/>
  <c r="K25" i="7"/>
  <c r="N101" i="8"/>
  <c r="N58" i="8"/>
  <c r="N27" i="8"/>
  <c r="K68" i="7"/>
  <c r="K111" i="7"/>
  <c r="AJ26" i="7"/>
  <c r="AM102" i="8"/>
  <c r="AM28" i="8"/>
  <c r="AM59" i="8"/>
  <c r="AJ112" i="7"/>
  <c r="AJ69" i="7"/>
  <c r="M26" i="7"/>
  <c r="P102" i="8"/>
  <c r="P59" i="8"/>
  <c r="P28" i="8"/>
  <c r="M112" i="7"/>
  <c r="M69" i="7"/>
  <c r="BE26" i="7"/>
  <c r="BH102" i="8"/>
  <c r="BH59" i="8"/>
  <c r="BH28" i="8"/>
  <c r="BE69" i="7"/>
  <c r="BE112" i="7"/>
  <c r="AL26" i="7"/>
  <c r="AO102" i="8"/>
  <c r="AO59" i="8"/>
  <c r="AO28" i="8"/>
  <c r="AL69" i="7"/>
  <c r="AL112" i="7"/>
  <c r="O26" i="7"/>
  <c r="R102" i="8"/>
  <c r="R59" i="8"/>
  <c r="R28" i="8"/>
  <c r="O69" i="7"/>
  <c r="O112" i="7"/>
  <c r="AN27" i="7"/>
  <c r="AQ103" i="8"/>
  <c r="AQ60" i="8"/>
  <c r="AQ29" i="8"/>
  <c r="AN113" i="7"/>
  <c r="AN70" i="7"/>
  <c r="U27" i="7"/>
  <c r="X103" i="8"/>
  <c r="X60" i="8"/>
  <c r="U113" i="7"/>
  <c r="X29" i="8"/>
  <c r="U70" i="7"/>
  <c r="BL103" i="8"/>
  <c r="BL29" i="8"/>
  <c r="BL60" i="8"/>
  <c r="BI70" i="7"/>
  <c r="BI113" i="7"/>
  <c r="AP27" i="7"/>
  <c r="AS103" i="8"/>
  <c r="AS60" i="8"/>
  <c r="AS29" i="8"/>
  <c r="AP113" i="7"/>
  <c r="AP70" i="7"/>
  <c r="W27" i="7"/>
  <c r="Z103" i="8"/>
  <c r="Z60" i="8"/>
  <c r="Z29" i="8"/>
  <c r="W113" i="7"/>
  <c r="W70" i="7"/>
  <c r="AN28" i="7"/>
  <c r="AQ104" i="8"/>
  <c r="AQ61" i="8"/>
  <c r="AQ30" i="8"/>
  <c r="AN71" i="7"/>
  <c r="AN114" i="7"/>
  <c r="X104" i="8"/>
  <c r="X61" i="8"/>
  <c r="X30" i="8"/>
  <c r="U71" i="7"/>
  <c r="U114" i="7"/>
  <c r="BI28" i="7"/>
  <c r="BL61" i="8"/>
  <c r="BL104" i="8"/>
  <c r="BI114" i="7"/>
  <c r="BL30" i="8"/>
  <c r="BI71" i="7"/>
  <c r="AP28" i="7"/>
  <c r="AS104" i="8"/>
  <c r="AS30" i="8"/>
  <c r="AS61" i="8"/>
  <c r="AP114" i="7"/>
  <c r="AP71" i="7"/>
  <c r="R104" i="8"/>
  <c r="R61" i="8"/>
  <c r="R30" i="8"/>
  <c r="O71" i="7"/>
  <c r="O114" i="7"/>
  <c r="L39" i="7"/>
  <c r="O115" i="8"/>
  <c r="O72" i="8"/>
  <c r="L125" i="7"/>
  <c r="L82" i="7"/>
  <c r="H29" i="7"/>
  <c r="K142" i="8"/>
  <c r="K144" i="8" s="1"/>
  <c r="K105" i="8"/>
  <c r="K62" i="8"/>
  <c r="H115" i="7"/>
  <c r="H72" i="7"/>
  <c r="E29" i="7"/>
  <c r="H142" i="8"/>
  <c r="H105" i="8"/>
  <c r="H62" i="8"/>
  <c r="E115" i="7"/>
  <c r="E72" i="7"/>
  <c r="AS29" i="7"/>
  <c r="AV142" i="8"/>
  <c r="AV144" i="8" s="1"/>
  <c r="AV105" i="8"/>
  <c r="AV62" i="8"/>
  <c r="AS115" i="7"/>
  <c r="AS72" i="7"/>
  <c r="Z29" i="7"/>
  <c r="AC142" i="8"/>
  <c r="AC105" i="8"/>
  <c r="AC62" i="8"/>
  <c r="Z115" i="7"/>
  <c r="Z72" i="7"/>
  <c r="G29" i="7"/>
  <c r="J105" i="8"/>
  <c r="J142" i="8"/>
  <c r="J62" i="8"/>
  <c r="G115" i="7"/>
  <c r="G72" i="7"/>
  <c r="V30" i="7"/>
  <c r="Y143" i="8"/>
  <c r="Y106" i="8"/>
  <c r="Y63" i="8"/>
  <c r="V73" i="7"/>
  <c r="V116" i="7"/>
  <c r="BJ30" i="7"/>
  <c r="BM143" i="8"/>
  <c r="BM106" i="8"/>
  <c r="BM63" i="8"/>
  <c r="BJ116" i="7"/>
  <c r="BJ73" i="7"/>
  <c r="AR31" i="7"/>
  <c r="AU107" i="8"/>
  <c r="AU126" i="8"/>
  <c r="AU64" i="8"/>
  <c r="AR117" i="7"/>
  <c r="AR74" i="7"/>
  <c r="Y31" i="7"/>
  <c r="AB126" i="8"/>
  <c r="AB107" i="8"/>
  <c r="AB64" i="8"/>
  <c r="Y74" i="7"/>
  <c r="Y117" i="7"/>
  <c r="F31" i="7"/>
  <c r="I126" i="8"/>
  <c r="I107" i="8"/>
  <c r="I64" i="8"/>
  <c r="F117" i="7"/>
  <c r="F74" i="7"/>
  <c r="AT31" i="7"/>
  <c r="AW126" i="8"/>
  <c r="AW107" i="8"/>
  <c r="AW64" i="8"/>
  <c r="AT74" i="7"/>
  <c r="AT117" i="7"/>
  <c r="AA31" i="7"/>
  <c r="AD126" i="8"/>
  <c r="AD107" i="8"/>
  <c r="AD64" i="8"/>
  <c r="AA74" i="7"/>
  <c r="AA117" i="7"/>
  <c r="T32" i="7"/>
  <c r="W108" i="8"/>
  <c r="W127" i="8"/>
  <c r="W65" i="8"/>
  <c r="T75" i="7"/>
  <c r="T118" i="7"/>
  <c r="H127" i="8"/>
  <c r="H108" i="8"/>
  <c r="H65" i="8"/>
  <c r="E75" i="7"/>
  <c r="E118" i="7"/>
  <c r="AS32" i="7"/>
  <c r="AV127" i="8"/>
  <c r="AV108" i="8"/>
  <c r="AV65" i="8"/>
  <c r="AS75" i="7"/>
  <c r="AS118" i="7"/>
  <c r="Z32" i="7"/>
  <c r="AC127" i="8"/>
  <c r="AC108" i="8"/>
  <c r="AC65" i="8"/>
  <c r="Z118" i="7"/>
  <c r="Z75" i="7"/>
  <c r="G32" i="7"/>
  <c r="J127" i="8"/>
  <c r="J108" i="8"/>
  <c r="J65" i="8"/>
  <c r="G75" i="7"/>
  <c r="G118" i="7"/>
  <c r="D34" i="7"/>
  <c r="G128" i="8"/>
  <c r="G110" i="8"/>
  <c r="G67" i="8"/>
  <c r="D77" i="7"/>
  <c r="D120" i="7"/>
  <c r="AZ34" i="7"/>
  <c r="BC110" i="8"/>
  <c r="BC128" i="8"/>
  <c r="BC67" i="8"/>
  <c r="AZ120" i="7"/>
  <c r="AZ77" i="7"/>
  <c r="AC34" i="7"/>
  <c r="AF128" i="8"/>
  <c r="AF110" i="8"/>
  <c r="AF67" i="8"/>
  <c r="AC77" i="7"/>
  <c r="AC120" i="7"/>
  <c r="J34" i="7"/>
  <c r="M110" i="8"/>
  <c r="M128" i="8"/>
  <c r="M67" i="8"/>
  <c r="J120" i="7"/>
  <c r="J77" i="7"/>
  <c r="BB34" i="7"/>
  <c r="BE128" i="8"/>
  <c r="BE110" i="8"/>
  <c r="BE67" i="8"/>
  <c r="BB120" i="7"/>
  <c r="BB77" i="7"/>
  <c r="AH128" i="8"/>
  <c r="AH110" i="8"/>
  <c r="AH67" i="8"/>
  <c r="AE77" i="7"/>
  <c r="AE120" i="7"/>
  <c r="X35" i="7"/>
  <c r="AA111" i="8"/>
  <c r="DA111" i="8" s="1"/>
  <c r="AA129" i="8"/>
  <c r="AA68" i="8"/>
  <c r="X78" i="7"/>
  <c r="X121" i="7"/>
  <c r="I35" i="7"/>
  <c r="L111" i="8"/>
  <c r="L129" i="8"/>
  <c r="L68" i="8"/>
  <c r="I78" i="7"/>
  <c r="I121" i="7"/>
  <c r="BA35" i="7"/>
  <c r="BD129" i="8"/>
  <c r="BD111" i="8"/>
  <c r="BD68" i="8"/>
  <c r="BA121" i="7"/>
  <c r="BA78" i="7"/>
  <c r="AD35" i="7"/>
  <c r="AG111" i="8"/>
  <c r="AG129" i="8"/>
  <c r="AG68" i="8"/>
  <c r="AD121" i="7"/>
  <c r="AD78" i="7"/>
  <c r="K35" i="7"/>
  <c r="N111" i="8"/>
  <c r="N129" i="8"/>
  <c r="N68" i="8"/>
  <c r="K78" i="7"/>
  <c r="K121" i="7"/>
  <c r="D36" i="7"/>
  <c r="G112" i="8"/>
  <c r="G130" i="8"/>
  <c r="G69" i="8"/>
  <c r="D122" i="7"/>
  <c r="D79" i="7"/>
  <c r="AT36" i="7"/>
  <c r="AW112" i="8"/>
  <c r="AW130" i="8"/>
  <c r="AW69" i="8"/>
  <c r="AT122" i="7"/>
  <c r="AT79" i="7"/>
  <c r="AA36" i="7"/>
  <c r="AD112" i="8"/>
  <c r="AD130" i="8"/>
  <c r="AD69" i="8"/>
  <c r="AA122" i="7"/>
  <c r="AA79" i="7"/>
  <c r="W131" i="8"/>
  <c r="W113" i="8"/>
  <c r="W70" i="8"/>
  <c r="T123" i="7"/>
  <c r="T80" i="7"/>
  <c r="AP37" i="7"/>
  <c r="AS113" i="8"/>
  <c r="AS131" i="8"/>
  <c r="AS70" i="8"/>
  <c r="AP123" i="7"/>
  <c r="AP80" i="7"/>
  <c r="W37" i="7"/>
  <c r="Z113" i="8"/>
  <c r="Z131" i="8"/>
  <c r="Z70" i="8"/>
  <c r="W123" i="7"/>
  <c r="W80" i="7"/>
  <c r="L38" i="7"/>
  <c r="O132" i="8"/>
  <c r="O114" i="8"/>
  <c r="O71" i="8"/>
  <c r="L124" i="7"/>
  <c r="L81" i="7"/>
  <c r="AL38" i="7"/>
  <c r="AO114" i="8"/>
  <c r="AO132" i="8"/>
  <c r="AO71" i="8"/>
  <c r="AL124" i="7"/>
  <c r="AL81" i="7"/>
  <c r="O38" i="7"/>
  <c r="R114" i="8"/>
  <c r="R132" i="8"/>
  <c r="R71" i="8"/>
  <c r="O124" i="7"/>
  <c r="O81" i="7"/>
  <c r="AJ40" i="7"/>
  <c r="AM133" i="8"/>
  <c r="AM116" i="8"/>
  <c r="AM73" i="8"/>
  <c r="AJ126" i="7"/>
  <c r="AJ83" i="7"/>
  <c r="M40" i="7"/>
  <c r="P116" i="8"/>
  <c r="P133" i="8"/>
  <c r="P73" i="8"/>
  <c r="M83" i="7"/>
  <c r="M126" i="7"/>
  <c r="BE40" i="7"/>
  <c r="BH133" i="8"/>
  <c r="BH116" i="8"/>
  <c r="BH73" i="8"/>
  <c r="BE126" i="7"/>
  <c r="BE83" i="7"/>
  <c r="AO116" i="8"/>
  <c r="AO133" i="8"/>
  <c r="AO73" i="8"/>
  <c r="AL126" i="7"/>
  <c r="AL83" i="7"/>
  <c r="O40" i="7"/>
  <c r="R116" i="8"/>
  <c r="R133" i="8"/>
  <c r="R73" i="8"/>
  <c r="O83" i="7"/>
  <c r="O126" i="7"/>
  <c r="X41" i="7"/>
  <c r="AA117" i="8"/>
  <c r="DA117" i="8" s="1"/>
  <c r="AA134" i="8"/>
  <c r="AA74" i="8"/>
  <c r="X84" i="7"/>
  <c r="X127" i="7"/>
  <c r="I41" i="7"/>
  <c r="L117" i="8"/>
  <c r="L134" i="8"/>
  <c r="L74" i="8"/>
  <c r="I84" i="7"/>
  <c r="I127" i="7"/>
  <c r="BA41" i="7"/>
  <c r="BD134" i="8"/>
  <c r="BD117" i="8"/>
  <c r="BD74" i="8"/>
  <c r="BA127" i="7"/>
  <c r="BA84" i="7"/>
  <c r="AD41" i="7"/>
  <c r="AG117" i="8"/>
  <c r="AG74" i="8"/>
  <c r="AD127" i="7"/>
  <c r="AD84" i="7"/>
  <c r="AG134" i="8"/>
  <c r="K41" i="7"/>
  <c r="N117" i="8"/>
  <c r="N134" i="8"/>
  <c r="N74" i="8"/>
  <c r="K84" i="7"/>
  <c r="K127" i="7"/>
  <c r="H33" i="7"/>
  <c r="G10" i="7"/>
  <c r="S10" i="7" s="1"/>
  <c r="K19" i="7"/>
  <c r="M19" i="7"/>
  <c r="X18" i="7"/>
  <c r="AF18" i="7" s="1"/>
  <c r="BI27" i="7"/>
  <c r="AL40" i="7"/>
  <c r="D5" i="7"/>
  <c r="G81" i="8"/>
  <c r="G7" i="8"/>
  <c r="D91" i="7"/>
  <c r="G38" i="8"/>
  <c r="D48" i="7"/>
  <c r="AZ5" i="7"/>
  <c r="BC81" i="8"/>
  <c r="BC7" i="8"/>
  <c r="AZ91" i="7"/>
  <c r="BC38" i="8"/>
  <c r="AZ48" i="7"/>
  <c r="AF81" i="8"/>
  <c r="AF38" i="8"/>
  <c r="AF7" i="8"/>
  <c r="AC91" i="7"/>
  <c r="AC48" i="7"/>
  <c r="M81" i="8"/>
  <c r="M38" i="8"/>
  <c r="M7" i="8"/>
  <c r="J48" i="7"/>
  <c r="J91" i="7"/>
  <c r="BB5" i="7"/>
  <c r="BE81" i="8"/>
  <c r="BE38" i="8"/>
  <c r="BB91" i="7"/>
  <c r="BE7" i="8"/>
  <c r="BB48" i="7"/>
  <c r="AE5" i="7"/>
  <c r="AH81" i="8"/>
  <c r="AH38" i="8"/>
  <c r="AH7" i="8"/>
  <c r="AE91" i="7"/>
  <c r="AE48" i="7"/>
  <c r="H6" i="7"/>
  <c r="K82" i="8"/>
  <c r="K39" i="8"/>
  <c r="K8" i="8"/>
  <c r="H92" i="7"/>
  <c r="H49" i="7"/>
  <c r="BD6" i="7"/>
  <c r="BG82" i="8"/>
  <c r="BG8" i="8"/>
  <c r="BG39" i="8"/>
  <c r="BD92" i="7"/>
  <c r="BD49" i="7"/>
  <c r="AK6" i="7"/>
  <c r="AN82" i="8"/>
  <c r="AN39" i="8"/>
  <c r="AK92" i="7"/>
  <c r="AN8" i="8"/>
  <c r="AK49" i="7"/>
  <c r="N6" i="7"/>
  <c r="Q82" i="8"/>
  <c r="Q39" i="8"/>
  <c r="N49" i="7"/>
  <c r="Q8" i="8"/>
  <c r="N92" i="7"/>
  <c r="AM6" i="7"/>
  <c r="AY6" i="7" s="1"/>
  <c r="AP82" i="8"/>
  <c r="AP39" i="8"/>
  <c r="AP8" i="8"/>
  <c r="BB8" i="8" s="1"/>
  <c r="AM92" i="7"/>
  <c r="AM49" i="7"/>
  <c r="AZ7" i="7"/>
  <c r="BC83" i="8"/>
  <c r="BC40" i="8"/>
  <c r="BC9" i="8"/>
  <c r="AZ93" i="7"/>
  <c r="AZ50" i="7"/>
  <c r="AC7" i="7"/>
  <c r="AF83" i="8"/>
  <c r="AF40" i="8"/>
  <c r="AF9" i="8"/>
  <c r="AC93" i="7"/>
  <c r="AC50" i="7"/>
  <c r="J7" i="7"/>
  <c r="M83" i="8"/>
  <c r="M40" i="8"/>
  <c r="M9" i="8"/>
  <c r="J50" i="7"/>
  <c r="J93" i="7"/>
  <c r="BB7" i="7"/>
  <c r="BE83" i="8"/>
  <c r="BE40" i="8"/>
  <c r="BB93" i="7"/>
  <c r="BB50" i="7"/>
  <c r="BE9" i="8"/>
  <c r="AE7" i="7"/>
  <c r="AH40" i="8"/>
  <c r="AH83" i="8"/>
  <c r="AH9" i="8"/>
  <c r="AE93" i="7"/>
  <c r="AE50" i="7"/>
  <c r="BU12" i="6"/>
  <c r="AR8" i="7"/>
  <c r="AU84" i="8"/>
  <c r="AU41" i="8"/>
  <c r="AU10" i="8"/>
  <c r="AR94" i="7"/>
  <c r="AR51" i="7"/>
  <c r="Y8" i="7"/>
  <c r="AB84" i="8"/>
  <c r="AB41" i="8"/>
  <c r="Y94" i="7"/>
  <c r="Y51" i="7"/>
  <c r="AB10" i="8"/>
  <c r="F8" i="7"/>
  <c r="I84" i="8"/>
  <c r="I41" i="8"/>
  <c r="I10" i="8"/>
  <c r="F51" i="7"/>
  <c r="F94" i="7"/>
  <c r="AT8" i="7"/>
  <c r="AW84" i="8"/>
  <c r="AW41" i="8"/>
  <c r="AT94" i="7"/>
  <c r="AW10" i="8"/>
  <c r="AT51" i="7"/>
  <c r="W8" i="7"/>
  <c r="Z84" i="8"/>
  <c r="CZ84" i="8" s="1"/>
  <c r="Z41" i="8"/>
  <c r="Z10" i="8"/>
  <c r="AL10" i="8" s="1"/>
  <c r="W51" i="7"/>
  <c r="W94" i="7"/>
  <c r="AR9" i="7"/>
  <c r="AU85" i="8"/>
  <c r="AU11" i="8"/>
  <c r="AR95" i="7"/>
  <c r="AU42" i="8"/>
  <c r="AR52" i="7"/>
  <c r="Y9" i="7"/>
  <c r="AB85" i="8"/>
  <c r="AB42" i="8"/>
  <c r="AB11" i="8"/>
  <c r="Y52" i="7"/>
  <c r="Y95" i="7"/>
  <c r="F9" i="7"/>
  <c r="CF9" i="7" s="1"/>
  <c r="I85" i="8"/>
  <c r="I11" i="8"/>
  <c r="I42" i="8"/>
  <c r="F95" i="7"/>
  <c r="F52" i="7"/>
  <c r="AT9" i="7"/>
  <c r="AW85" i="8"/>
  <c r="AT95" i="7"/>
  <c r="AW42" i="8"/>
  <c r="AW11" i="8"/>
  <c r="AT52" i="7"/>
  <c r="AA9" i="7"/>
  <c r="AD85" i="8"/>
  <c r="AD42" i="8"/>
  <c r="AD11" i="8"/>
  <c r="AA95" i="7"/>
  <c r="AA52" i="7"/>
  <c r="D10" i="7"/>
  <c r="G86" i="8"/>
  <c r="G43" i="8"/>
  <c r="G12" i="8"/>
  <c r="D53" i="7"/>
  <c r="D96" i="7"/>
  <c r="AZ10" i="7"/>
  <c r="BC86" i="8"/>
  <c r="BC43" i="8"/>
  <c r="BC12" i="8"/>
  <c r="BO12" i="8" s="1"/>
  <c r="AZ53" i="7"/>
  <c r="AZ96" i="7"/>
  <c r="AC10" i="7"/>
  <c r="AF86" i="8"/>
  <c r="AF43" i="8"/>
  <c r="AF12" i="8"/>
  <c r="AC53" i="7"/>
  <c r="AC96" i="7"/>
  <c r="F10" i="7"/>
  <c r="I86" i="8"/>
  <c r="I43" i="8"/>
  <c r="I12" i="8"/>
  <c r="F53" i="7"/>
  <c r="F96" i="7"/>
  <c r="CF96" i="7" s="1"/>
  <c r="AT10" i="7"/>
  <c r="AW86" i="8"/>
  <c r="AW43" i="8"/>
  <c r="AW12" i="8"/>
  <c r="AT96" i="7"/>
  <c r="AT53" i="7"/>
  <c r="AA10" i="7"/>
  <c r="AD86" i="8"/>
  <c r="AD43" i="8"/>
  <c r="AD12" i="8"/>
  <c r="AA96" i="7"/>
  <c r="AA53" i="7"/>
  <c r="D11" i="7"/>
  <c r="G87" i="8"/>
  <c r="G44" i="8"/>
  <c r="G13" i="8"/>
  <c r="D97" i="7"/>
  <c r="CD97" i="7" s="1"/>
  <c r="D54" i="7"/>
  <c r="AZ11" i="7"/>
  <c r="BC87" i="8"/>
  <c r="BC44" i="8"/>
  <c r="AZ97" i="7"/>
  <c r="AZ54" i="7"/>
  <c r="BC13" i="8"/>
  <c r="AC11" i="7"/>
  <c r="AF87" i="8"/>
  <c r="AF44" i="8"/>
  <c r="AF13" i="8"/>
  <c r="AC97" i="7"/>
  <c r="AC54" i="7"/>
  <c r="J11" i="7"/>
  <c r="M87" i="8"/>
  <c r="M44" i="8"/>
  <c r="M13" i="8"/>
  <c r="J54" i="7"/>
  <c r="J97" i="7"/>
  <c r="BB11" i="7"/>
  <c r="BE87" i="8"/>
  <c r="BE44" i="8"/>
  <c r="BE13" i="8"/>
  <c r="BB54" i="7"/>
  <c r="BB97" i="7"/>
  <c r="AA11" i="7"/>
  <c r="AD87" i="8"/>
  <c r="AD44" i="8"/>
  <c r="AD13" i="8"/>
  <c r="AA54" i="7"/>
  <c r="AA97" i="7"/>
  <c r="AR12" i="7"/>
  <c r="AU88" i="8"/>
  <c r="AU45" i="8"/>
  <c r="AR98" i="7"/>
  <c r="AU14" i="8"/>
  <c r="AR55" i="7"/>
  <c r="Y12" i="7"/>
  <c r="AG12" i="7" s="1"/>
  <c r="AB88" i="8"/>
  <c r="AB45" i="8"/>
  <c r="AB14" i="8"/>
  <c r="Y98" i="7"/>
  <c r="Y55" i="7"/>
  <c r="F12" i="7"/>
  <c r="CF12" i="7" s="1"/>
  <c r="I88" i="8"/>
  <c r="CI88" i="8" s="1"/>
  <c r="I45" i="8"/>
  <c r="I14" i="8"/>
  <c r="F55" i="7"/>
  <c r="F98" i="7"/>
  <c r="AT12" i="7"/>
  <c r="AW45" i="8"/>
  <c r="AW14" i="8"/>
  <c r="AT55" i="7"/>
  <c r="AT98" i="7"/>
  <c r="AW88" i="8"/>
  <c r="W12" i="7"/>
  <c r="Z88" i="8"/>
  <c r="Z45" i="8"/>
  <c r="Z14" i="8"/>
  <c r="AL14" i="8" s="1"/>
  <c r="W55" i="7"/>
  <c r="W98" i="7"/>
  <c r="AR13" i="7"/>
  <c r="AU89" i="8"/>
  <c r="AU15" i="8"/>
  <c r="AU46" i="8"/>
  <c r="AR99" i="7"/>
  <c r="AR56" i="7"/>
  <c r="Y13" i="7"/>
  <c r="AB89" i="8"/>
  <c r="AB46" i="8"/>
  <c r="AB15" i="8"/>
  <c r="Y56" i="7"/>
  <c r="Y99" i="7"/>
  <c r="I89" i="8"/>
  <c r="I46" i="8"/>
  <c r="F99" i="7"/>
  <c r="F56" i="7"/>
  <c r="I15" i="8"/>
  <c r="AT13" i="7"/>
  <c r="AW89" i="8"/>
  <c r="AW15" i="8"/>
  <c r="AW46" i="8"/>
  <c r="AT99" i="7"/>
  <c r="AT56" i="7"/>
  <c r="AA13" i="7"/>
  <c r="AD89" i="8"/>
  <c r="AD46" i="8"/>
  <c r="AD15" i="8"/>
  <c r="AA56" i="7"/>
  <c r="AA99" i="7"/>
  <c r="D14" i="7"/>
  <c r="CD14" i="7" s="1"/>
  <c r="G90" i="8"/>
  <c r="G47" i="8"/>
  <c r="G16" i="8"/>
  <c r="D57" i="7"/>
  <c r="D100" i="7"/>
  <c r="AZ14" i="7"/>
  <c r="BC90" i="8"/>
  <c r="BC47" i="8"/>
  <c r="AZ57" i="7"/>
  <c r="AZ100" i="7"/>
  <c r="BC16" i="8"/>
  <c r="AC14" i="7"/>
  <c r="AF90" i="8"/>
  <c r="AF47" i="8"/>
  <c r="AF16" i="8"/>
  <c r="AC57" i="7"/>
  <c r="AC100" i="7"/>
  <c r="J14" i="7"/>
  <c r="M90" i="8"/>
  <c r="M16" i="8"/>
  <c r="M47" i="8"/>
  <c r="J100" i="7"/>
  <c r="J57" i="7"/>
  <c r="BB14" i="7"/>
  <c r="BE90" i="8"/>
  <c r="BE47" i="8"/>
  <c r="BE16" i="8"/>
  <c r="BB100" i="7"/>
  <c r="BB57" i="7"/>
  <c r="AA14" i="7"/>
  <c r="AD90" i="8"/>
  <c r="AD47" i="8"/>
  <c r="AD16" i="8"/>
  <c r="AA100" i="7"/>
  <c r="AA57" i="7"/>
  <c r="D15" i="7"/>
  <c r="G91" i="8"/>
  <c r="G17" i="8"/>
  <c r="G48" i="8"/>
  <c r="D101" i="7"/>
  <c r="D58" i="7"/>
  <c r="AZ15" i="7"/>
  <c r="BC91" i="8"/>
  <c r="BC48" i="8"/>
  <c r="BC17" i="8"/>
  <c r="AZ58" i="7"/>
  <c r="AZ101" i="7"/>
  <c r="AC15" i="7"/>
  <c r="AF91" i="8"/>
  <c r="AF48" i="8"/>
  <c r="AF17" i="8"/>
  <c r="AC101" i="7"/>
  <c r="AC58" i="7"/>
  <c r="J15" i="7"/>
  <c r="M91" i="8"/>
  <c r="M48" i="8"/>
  <c r="M17" i="8"/>
  <c r="J58" i="7"/>
  <c r="J101" i="7"/>
  <c r="BB15" i="7"/>
  <c r="BE91" i="8"/>
  <c r="BE48" i="8"/>
  <c r="BB101" i="7"/>
  <c r="BB58" i="7"/>
  <c r="BE17" i="8"/>
  <c r="AA15" i="7"/>
  <c r="AD91" i="8"/>
  <c r="AD48" i="8"/>
  <c r="AD17" i="8"/>
  <c r="AA58" i="7"/>
  <c r="AA101" i="7"/>
  <c r="D16" i="7"/>
  <c r="G92" i="8"/>
  <c r="G49" i="8"/>
  <c r="G18" i="8"/>
  <c r="D59" i="7"/>
  <c r="D102" i="7"/>
  <c r="AZ16" i="7"/>
  <c r="BC49" i="8"/>
  <c r="BC92" i="8"/>
  <c r="BC18" i="8"/>
  <c r="AZ102" i="7"/>
  <c r="AZ59" i="7"/>
  <c r="AC16" i="7"/>
  <c r="AF92" i="8"/>
  <c r="AF49" i="8"/>
  <c r="AF18" i="8"/>
  <c r="AC59" i="7"/>
  <c r="AC102" i="7"/>
  <c r="J16" i="7"/>
  <c r="M92" i="8"/>
  <c r="M18" i="8"/>
  <c r="M49" i="8"/>
  <c r="J102" i="7"/>
  <c r="J59" i="7"/>
  <c r="BB16" i="7"/>
  <c r="BE92" i="8"/>
  <c r="BE49" i="8"/>
  <c r="BB59" i="7"/>
  <c r="BB102" i="7"/>
  <c r="BE18" i="8"/>
  <c r="AE16" i="7"/>
  <c r="AH92" i="8"/>
  <c r="AH49" i="8"/>
  <c r="AH18" i="8"/>
  <c r="AE59" i="7"/>
  <c r="AE102" i="7"/>
  <c r="H17" i="7"/>
  <c r="K93" i="8"/>
  <c r="K50" i="8"/>
  <c r="K19" i="8"/>
  <c r="H60" i="7"/>
  <c r="H103" i="7"/>
  <c r="BD17" i="7"/>
  <c r="BG93" i="8"/>
  <c r="BG50" i="8"/>
  <c r="BG19" i="8"/>
  <c r="BD103" i="7"/>
  <c r="BD60" i="7"/>
  <c r="AN93" i="8"/>
  <c r="AN50" i="8"/>
  <c r="AN19" i="8"/>
  <c r="AK103" i="7"/>
  <c r="AK60" i="7"/>
  <c r="N17" i="7"/>
  <c r="Q93" i="8"/>
  <c r="Q50" i="8"/>
  <c r="Q19" i="8"/>
  <c r="N103" i="7"/>
  <c r="N60" i="7"/>
  <c r="BF17" i="7"/>
  <c r="BI93" i="8"/>
  <c r="BI19" i="8"/>
  <c r="BF103" i="7"/>
  <c r="BI50" i="8"/>
  <c r="BF60" i="7"/>
  <c r="AM17" i="7"/>
  <c r="AP93" i="8"/>
  <c r="AP50" i="8"/>
  <c r="AP19" i="8"/>
  <c r="BB19" i="8" s="1"/>
  <c r="AM60" i="7"/>
  <c r="AM103" i="7"/>
  <c r="D18" i="7"/>
  <c r="G94" i="8"/>
  <c r="G51" i="8"/>
  <c r="G20" i="8"/>
  <c r="D61" i="7"/>
  <c r="D104" i="7"/>
  <c r="AZ18" i="7"/>
  <c r="BC94" i="8"/>
  <c r="BC51" i="8"/>
  <c r="BC20" i="8"/>
  <c r="AZ61" i="7"/>
  <c r="AZ104" i="7"/>
  <c r="AC18" i="7"/>
  <c r="AF94" i="8"/>
  <c r="AF51" i="8"/>
  <c r="AF20" i="8"/>
  <c r="AC61" i="7"/>
  <c r="AC104" i="7"/>
  <c r="J18" i="7"/>
  <c r="M94" i="8"/>
  <c r="M20" i="8"/>
  <c r="M51" i="8"/>
  <c r="J104" i="7"/>
  <c r="J61" i="7"/>
  <c r="BB18" i="7"/>
  <c r="BE94" i="8"/>
  <c r="BE20" i="8"/>
  <c r="BE51" i="8"/>
  <c r="BB104" i="7"/>
  <c r="BB61" i="7"/>
  <c r="AA18" i="7"/>
  <c r="AD94" i="8"/>
  <c r="AD51" i="8"/>
  <c r="AD20" i="8"/>
  <c r="AA104" i="7"/>
  <c r="AA61" i="7"/>
  <c r="D19" i="7"/>
  <c r="G95" i="8"/>
  <c r="G52" i="8"/>
  <c r="G21" i="8"/>
  <c r="D105" i="7"/>
  <c r="D62" i="7"/>
  <c r="AZ19" i="7"/>
  <c r="BC95" i="8"/>
  <c r="BC52" i="8"/>
  <c r="BC21" i="8"/>
  <c r="AZ105" i="7"/>
  <c r="AZ62" i="7"/>
  <c r="AC19" i="7"/>
  <c r="AF95" i="8"/>
  <c r="AF52" i="8"/>
  <c r="AF21" i="8"/>
  <c r="AC105" i="7"/>
  <c r="AC62" i="7"/>
  <c r="J19" i="7"/>
  <c r="M95" i="8"/>
  <c r="M52" i="8"/>
  <c r="M21" i="8"/>
  <c r="J62" i="7"/>
  <c r="J105" i="7"/>
  <c r="BB19" i="7"/>
  <c r="BE95" i="8"/>
  <c r="BE52" i="8"/>
  <c r="BE21" i="8"/>
  <c r="BB105" i="7"/>
  <c r="BB62" i="7"/>
  <c r="AE19" i="7"/>
  <c r="AH52" i="8"/>
  <c r="AH95" i="8"/>
  <c r="AH21" i="8"/>
  <c r="AE105" i="7"/>
  <c r="AE62" i="7"/>
  <c r="H20" i="7"/>
  <c r="K96" i="8"/>
  <c r="K53" i="8"/>
  <c r="K22" i="8"/>
  <c r="H106" i="7"/>
  <c r="H63" i="7"/>
  <c r="BD20" i="7"/>
  <c r="BG96" i="8"/>
  <c r="BG22" i="8"/>
  <c r="BG53" i="8"/>
  <c r="BD106" i="7"/>
  <c r="BD63" i="7"/>
  <c r="AK20" i="7"/>
  <c r="AW20" i="7" s="1"/>
  <c r="AN96" i="8"/>
  <c r="AN22" i="8"/>
  <c r="AK106" i="7"/>
  <c r="AK63" i="7"/>
  <c r="AN53" i="8"/>
  <c r="N20" i="7"/>
  <c r="Q96" i="8"/>
  <c r="Q53" i="8"/>
  <c r="Q22" i="8"/>
  <c r="N63" i="7"/>
  <c r="N106" i="7"/>
  <c r="BF20" i="7"/>
  <c r="BI96" i="8"/>
  <c r="BI53" i="8"/>
  <c r="BI22" i="8"/>
  <c r="BF106" i="7"/>
  <c r="BF63" i="7"/>
  <c r="AM20" i="7"/>
  <c r="AY20" i="7" s="1"/>
  <c r="AP96" i="8"/>
  <c r="AP22" i="8"/>
  <c r="BB22" i="8" s="1"/>
  <c r="AP53" i="8"/>
  <c r="AM63" i="7"/>
  <c r="AM106" i="7"/>
  <c r="L21" i="7"/>
  <c r="O97" i="8"/>
  <c r="O54" i="8"/>
  <c r="O23" i="8"/>
  <c r="L107" i="7"/>
  <c r="L64" i="7"/>
  <c r="BH21" i="7"/>
  <c r="BK97" i="8"/>
  <c r="BK54" i="8"/>
  <c r="BK23" i="8"/>
  <c r="BH107" i="7"/>
  <c r="BH64" i="7"/>
  <c r="AO21" i="7"/>
  <c r="AR97" i="8"/>
  <c r="AR23" i="8"/>
  <c r="AO107" i="7"/>
  <c r="AO64" i="7"/>
  <c r="AR54" i="8"/>
  <c r="V21" i="7"/>
  <c r="Y97" i="8"/>
  <c r="Y54" i="8"/>
  <c r="Y23" i="8"/>
  <c r="V64" i="7"/>
  <c r="V107" i="7"/>
  <c r="BJ21" i="7"/>
  <c r="BM97" i="8"/>
  <c r="BM54" i="8"/>
  <c r="BM23" i="8"/>
  <c r="BJ107" i="7"/>
  <c r="BJ64" i="7"/>
  <c r="T22" i="7"/>
  <c r="W98" i="8"/>
  <c r="W55" i="8"/>
  <c r="W24" i="8"/>
  <c r="T65" i="7"/>
  <c r="T108" i="7"/>
  <c r="H98" i="8"/>
  <c r="H55" i="8"/>
  <c r="H24" i="8"/>
  <c r="E65" i="7"/>
  <c r="E108" i="7"/>
  <c r="AS22" i="7"/>
  <c r="AV98" i="8"/>
  <c r="AV55" i="8"/>
  <c r="AV24" i="8"/>
  <c r="AS108" i="7"/>
  <c r="AS65" i="7"/>
  <c r="Z22" i="7"/>
  <c r="AC98" i="8"/>
  <c r="AC55" i="8"/>
  <c r="AC24" i="8"/>
  <c r="Z108" i="7"/>
  <c r="Z65" i="7"/>
  <c r="G22" i="7"/>
  <c r="J98" i="8"/>
  <c r="J55" i="8"/>
  <c r="J24" i="8"/>
  <c r="G65" i="7"/>
  <c r="G108" i="7"/>
  <c r="T23" i="7"/>
  <c r="W99" i="8"/>
  <c r="W56" i="8"/>
  <c r="W25" i="8"/>
  <c r="T109" i="7"/>
  <c r="T66" i="7"/>
  <c r="E23" i="7"/>
  <c r="H99" i="8"/>
  <c r="H56" i="8"/>
  <c r="H25" i="8"/>
  <c r="E109" i="7"/>
  <c r="E66" i="7"/>
  <c r="AS23" i="7"/>
  <c r="AV56" i="8"/>
  <c r="AV99" i="8"/>
  <c r="AV25" i="8"/>
  <c r="AS66" i="7"/>
  <c r="AS109" i="7"/>
  <c r="Z23" i="7"/>
  <c r="AC99" i="8"/>
  <c r="AC25" i="8"/>
  <c r="AC56" i="8"/>
  <c r="Z109" i="7"/>
  <c r="Z66" i="7"/>
  <c r="G23" i="7"/>
  <c r="J99" i="8"/>
  <c r="J56" i="8"/>
  <c r="J25" i="8"/>
  <c r="G66" i="7"/>
  <c r="G109" i="7"/>
  <c r="CG109" i="7" s="1"/>
  <c r="X24" i="7"/>
  <c r="AA100" i="8"/>
  <c r="DA100" i="8" s="1"/>
  <c r="AA26" i="8"/>
  <c r="AA57" i="8"/>
  <c r="X110" i="7"/>
  <c r="X67" i="7"/>
  <c r="I24" i="7"/>
  <c r="L100" i="8"/>
  <c r="L57" i="8"/>
  <c r="L26" i="8"/>
  <c r="I110" i="7"/>
  <c r="I67" i="7"/>
  <c r="BA24" i="7"/>
  <c r="BD100" i="8"/>
  <c r="BD57" i="8"/>
  <c r="BD26" i="8"/>
  <c r="BA110" i="7"/>
  <c r="BA67" i="7"/>
  <c r="AD24" i="7"/>
  <c r="AG100" i="8"/>
  <c r="AG57" i="8"/>
  <c r="AG26" i="8"/>
  <c r="AD110" i="7"/>
  <c r="AD67" i="7"/>
  <c r="K24" i="7"/>
  <c r="N100" i="8"/>
  <c r="N57" i="8"/>
  <c r="N26" i="8"/>
  <c r="K67" i="7"/>
  <c r="K110" i="7"/>
  <c r="AJ25" i="7"/>
  <c r="AM101" i="8"/>
  <c r="AM58" i="8"/>
  <c r="AM27" i="8"/>
  <c r="AJ111" i="7"/>
  <c r="AJ68" i="7"/>
  <c r="M25" i="7"/>
  <c r="P101" i="8"/>
  <c r="P58" i="8"/>
  <c r="P27" i="8"/>
  <c r="M68" i="7"/>
  <c r="M111" i="7"/>
  <c r="BE25" i="7"/>
  <c r="BH101" i="8"/>
  <c r="BH58" i="8"/>
  <c r="BH27" i="8"/>
  <c r="BE111" i="7"/>
  <c r="BE68" i="7"/>
  <c r="AL25" i="7"/>
  <c r="AO101" i="8"/>
  <c r="AO27" i="8"/>
  <c r="AO58" i="8"/>
  <c r="AL111" i="7"/>
  <c r="AL68" i="7"/>
  <c r="O25" i="7"/>
  <c r="R101" i="8"/>
  <c r="R58" i="8"/>
  <c r="R27" i="8"/>
  <c r="O68" i="7"/>
  <c r="O111" i="7"/>
  <c r="AN26" i="7"/>
  <c r="AQ102" i="8"/>
  <c r="AQ59" i="8"/>
  <c r="AQ28" i="8"/>
  <c r="AN112" i="7"/>
  <c r="AN69" i="7"/>
  <c r="U26" i="7"/>
  <c r="X102" i="8"/>
  <c r="X59" i="8"/>
  <c r="U69" i="7"/>
  <c r="X28" i="8"/>
  <c r="U112" i="7"/>
  <c r="BI26" i="7"/>
  <c r="BL102" i="8"/>
  <c r="BL59" i="8"/>
  <c r="BL28" i="8"/>
  <c r="BI112" i="7"/>
  <c r="BI69" i="7"/>
  <c r="AP26" i="7"/>
  <c r="AS102" i="8"/>
  <c r="AS59" i="8"/>
  <c r="AS28" i="8"/>
  <c r="AP112" i="7"/>
  <c r="AP69" i="7"/>
  <c r="W26" i="7"/>
  <c r="Z102" i="8"/>
  <c r="Z59" i="8"/>
  <c r="Z28" i="8"/>
  <c r="W69" i="7"/>
  <c r="W112" i="7"/>
  <c r="AR27" i="7"/>
  <c r="AU103" i="8"/>
  <c r="AU60" i="8"/>
  <c r="AU29" i="8"/>
  <c r="AR113" i="7"/>
  <c r="AR70" i="7"/>
  <c r="Y27" i="7"/>
  <c r="AB103" i="8"/>
  <c r="AB60" i="8"/>
  <c r="AB29" i="8"/>
  <c r="Y70" i="7"/>
  <c r="Y113" i="7"/>
  <c r="F27" i="7"/>
  <c r="I103" i="8"/>
  <c r="I60" i="8"/>
  <c r="I29" i="8"/>
  <c r="F113" i="7"/>
  <c r="F70" i="7"/>
  <c r="AT27" i="7"/>
  <c r="AW103" i="8"/>
  <c r="AW29" i="8"/>
  <c r="AW60" i="8"/>
  <c r="AT113" i="7"/>
  <c r="AT70" i="7"/>
  <c r="AA27" i="7"/>
  <c r="AD103" i="8"/>
  <c r="AD60" i="8"/>
  <c r="AD29" i="8"/>
  <c r="AA70" i="7"/>
  <c r="AA113" i="7"/>
  <c r="BU32" i="6"/>
  <c r="AR28" i="7"/>
  <c r="AU104" i="8"/>
  <c r="AU61" i="8"/>
  <c r="AU30" i="8"/>
  <c r="AR114" i="7"/>
  <c r="AR71" i="7"/>
  <c r="Y28" i="7"/>
  <c r="AB104" i="8"/>
  <c r="AB61" i="8"/>
  <c r="Y114" i="7"/>
  <c r="Y71" i="7"/>
  <c r="AB30" i="8"/>
  <c r="F28" i="7"/>
  <c r="I104" i="8"/>
  <c r="I61" i="8"/>
  <c r="I30" i="8"/>
  <c r="F71" i="7"/>
  <c r="F114" i="7"/>
  <c r="AT28" i="7"/>
  <c r="AW104" i="8"/>
  <c r="AW61" i="8"/>
  <c r="AT114" i="7"/>
  <c r="AT71" i="7"/>
  <c r="AW30" i="8"/>
  <c r="W28" i="7"/>
  <c r="Z104" i="8"/>
  <c r="Z61" i="8"/>
  <c r="Z30" i="8"/>
  <c r="W71" i="7"/>
  <c r="W114" i="7"/>
  <c r="W115" i="8"/>
  <c r="W72" i="8"/>
  <c r="T125" i="7"/>
  <c r="T82" i="7"/>
  <c r="L29" i="7"/>
  <c r="O142" i="8"/>
  <c r="O144" i="8" s="1"/>
  <c r="O105" i="8"/>
  <c r="O62" i="8"/>
  <c r="L115" i="7"/>
  <c r="L72" i="7"/>
  <c r="I29" i="7"/>
  <c r="L142" i="8"/>
  <c r="L144" i="8" s="1"/>
  <c r="L105" i="8"/>
  <c r="L62" i="8"/>
  <c r="I115" i="7"/>
  <c r="I72" i="7"/>
  <c r="BA29" i="7"/>
  <c r="BD142" i="8"/>
  <c r="BD105" i="8"/>
  <c r="BD62" i="8"/>
  <c r="BA72" i="7"/>
  <c r="BA115" i="7"/>
  <c r="AD29" i="7"/>
  <c r="AG142" i="8"/>
  <c r="AG105" i="8"/>
  <c r="AG62" i="8"/>
  <c r="AD115" i="7"/>
  <c r="AD72" i="7"/>
  <c r="K29" i="7"/>
  <c r="N142" i="8"/>
  <c r="N105" i="8"/>
  <c r="N62" i="8"/>
  <c r="K72" i="7"/>
  <c r="K115" i="7"/>
  <c r="Z30" i="7"/>
  <c r="AC143" i="8"/>
  <c r="AC106" i="8"/>
  <c r="AC63" i="8"/>
  <c r="Z116" i="7"/>
  <c r="Z73" i="7"/>
  <c r="G30" i="7"/>
  <c r="J143" i="8"/>
  <c r="J106" i="8"/>
  <c r="J63" i="8"/>
  <c r="G116" i="7"/>
  <c r="G73" i="7"/>
  <c r="AZ31" i="7"/>
  <c r="BC126" i="8"/>
  <c r="BC107" i="8"/>
  <c r="BC64" i="8"/>
  <c r="AZ117" i="7"/>
  <c r="AZ74" i="7"/>
  <c r="AC31" i="7"/>
  <c r="AF126" i="8"/>
  <c r="AF107" i="8"/>
  <c r="AF64" i="8"/>
  <c r="AC117" i="7"/>
  <c r="AC74" i="7"/>
  <c r="J31" i="7"/>
  <c r="M126" i="8"/>
  <c r="M107" i="8"/>
  <c r="M64" i="8"/>
  <c r="J74" i="7"/>
  <c r="J117" i="7"/>
  <c r="BB31" i="7"/>
  <c r="BE126" i="8"/>
  <c r="BE107" i="8"/>
  <c r="BB117" i="7"/>
  <c r="BB74" i="7"/>
  <c r="BE64" i="8"/>
  <c r="AE31" i="7"/>
  <c r="AH126" i="8"/>
  <c r="AH107" i="8"/>
  <c r="AH64" i="8"/>
  <c r="AE117" i="7"/>
  <c r="AE74" i="7"/>
  <c r="X32" i="7"/>
  <c r="AA127" i="8"/>
  <c r="AA108" i="8"/>
  <c r="DA108" i="8" s="1"/>
  <c r="AA65" i="8"/>
  <c r="X118" i="7"/>
  <c r="X75" i="7"/>
  <c r="I32" i="7"/>
  <c r="L127" i="8"/>
  <c r="L108" i="8"/>
  <c r="L65" i="8"/>
  <c r="I118" i="7"/>
  <c r="I75" i="7"/>
  <c r="BA32" i="7"/>
  <c r="BD108" i="8"/>
  <c r="BD127" i="8"/>
  <c r="BD65" i="8"/>
  <c r="BA118" i="7"/>
  <c r="BA75" i="7"/>
  <c r="AD32" i="7"/>
  <c r="AG127" i="8"/>
  <c r="AG108" i="8"/>
  <c r="AG65" i="8"/>
  <c r="AD75" i="7"/>
  <c r="AD118" i="7"/>
  <c r="K32" i="7"/>
  <c r="N127" i="8"/>
  <c r="N108" i="8"/>
  <c r="N65" i="8"/>
  <c r="K75" i="7"/>
  <c r="K118" i="7"/>
  <c r="D33" i="7"/>
  <c r="G109" i="8"/>
  <c r="G66" i="8"/>
  <c r="D119" i="7"/>
  <c r="D76" i="7"/>
  <c r="H34" i="7"/>
  <c r="K110" i="8"/>
  <c r="K128" i="8"/>
  <c r="K67" i="8"/>
  <c r="H120" i="7"/>
  <c r="H77" i="7"/>
  <c r="BD34" i="7"/>
  <c r="BG128" i="8"/>
  <c r="BG110" i="8"/>
  <c r="BG67" i="8"/>
  <c r="BD77" i="7"/>
  <c r="BD120" i="7"/>
  <c r="AK34" i="7"/>
  <c r="AN110" i="8"/>
  <c r="AN128" i="8"/>
  <c r="AN67" i="8"/>
  <c r="AK120" i="7"/>
  <c r="AK77" i="7"/>
  <c r="N34" i="7"/>
  <c r="Q128" i="8"/>
  <c r="Q110" i="8"/>
  <c r="Q67" i="8"/>
  <c r="N77" i="7"/>
  <c r="N120" i="7"/>
  <c r="BF34" i="7"/>
  <c r="BI128" i="8"/>
  <c r="BI110" i="8"/>
  <c r="BI67" i="8"/>
  <c r="BF120" i="7"/>
  <c r="BF77" i="7"/>
  <c r="AM34" i="7"/>
  <c r="AY34" i="7" s="1"/>
  <c r="AP110" i="8"/>
  <c r="AP128" i="8"/>
  <c r="BB128" i="8" s="1"/>
  <c r="AP67" i="8"/>
  <c r="AM77" i="7"/>
  <c r="AM120" i="7"/>
  <c r="AJ35" i="7"/>
  <c r="AM111" i="8"/>
  <c r="AM129" i="8"/>
  <c r="AM68" i="8"/>
  <c r="AJ121" i="7"/>
  <c r="AJ78" i="7"/>
  <c r="M35" i="7"/>
  <c r="P129" i="8"/>
  <c r="P111" i="8"/>
  <c r="P68" i="8"/>
  <c r="M121" i="7"/>
  <c r="M78" i="7"/>
  <c r="BE35" i="7"/>
  <c r="BH111" i="8"/>
  <c r="BH129" i="8"/>
  <c r="BH68" i="8"/>
  <c r="BE121" i="7"/>
  <c r="BE78" i="7"/>
  <c r="AL35" i="7"/>
  <c r="AO129" i="8"/>
  <c r="AO111" i="8"/>
  <c r="AO68" i="8"/>
  <c r="AL121" i="7"/>
  <c r="AL78" i="7"/>
  <c r="O35" i="7"/>
  <c r="R111" i="8"/>
  <c r="R129" i="8"/>
  <c r="R68" i="8"/>
  <c r="O121" i="7"/>
  <c r="O78" i="7"/>
  <c r="K112" i="8"/>
  <c r="K130" i="8"/>
  <c r="K69" i="8"/>
  <c r="H122" i="7"/>
  <c r="H79" i="7"/>
  <c r="BB36" i="7"/>
  <c r="BE130" i="8"/>
  <c r="BE112" i="8"/>
  <c r="BE69" i="8"/>
  <c r="BB79" i="7"/>
  <c r="BB122" i="7"/>
  <c r="AE36" i="7"/>
  <c r="AH130" i="8"/>
  <c r="AH112" i="8"/>
  <c r="AH69" i="8"/>
  <c r="AE79" i="7"/>
  <c r="AE122" i="7"/>
  <c r="X37" i="7"/>
  <c r="AF37" i="7" s="1"/>
  <c r="AA113" i="8"/>
  <c r="DA113" i="8" s="1"/>
  <c r="DE113" i="8" s="1"/>
  <c r="DI113" i="8" s="1"/>
  <c r="DM113" i="8" s="1"/>
  <c r="AA131" i="8"/>
  <c r="AA70" i="8"/>
  <c r="X80" i="7"/>
  <c r="X123" i="7"/>
  <c r="AT37" i="7"/>
  <c r="AW131" i="8"/>
  <c r="AW113" i="8"/>
  <c r="AW70" i="8"/>
  <c r="AT123" i="7"/>
  <c r="AT80" i="7"/>
  <c r="AA37" i="7"/>
  <c r="AD131" i="8"/>
  <c r="AD113" i="8"/>
  <c r="AD70" i="8"/>
  <c r="AA80" i="7"/>
  <c r="AA123" i="7"/>
  <c r="T38" i="7"/>
  <c r="W114" i="8"/>
  <c r="W132" i="8"/>
  <c r="W71" i="8"/>
  <c r="T81" i="7"/>
  <c r="T124" i="7"/>
  <c r="AP38" i="7"/>
  <c r="AS132" i="8"/>
  <c r="AS114" i="8"/>
  <c r="AS71" i="8"/>
  <c r="AP124" i="7"/>
  <c r="AP81" i="7"/>
  <c r="W38" i="7"/>
  <c r="Z132" i="8"/>
  <c r="Z114" i="8"/>
  <c r="Z71" i="8"/>
  <c r="W81" i="7"/>
  <c r="W124" i="7"/>
  <c r="AN40" i="7"/>
  <c r="AQ116" i="8"/>
  <c r="AQ133" i="8"/>
  <c r="AQ73" i="8"/>
  <c r="AN126" i="7"/>
  <c r="AN83" i="7"/>
  <c r="U40" i="7"/>
  <c r="X133" i="8"/>
  <c r="X116" i="8"/>
  <c r="X73" i="8"/>
  <c r="U83" i="7"/>
  <c r="U126" i="7"/>
  <c r="BI40" i="7"/>
  <c r="BL116" i="8"/>
  <c r="BL133" i="8"/>
  <c r="BL73" i="8"/>
  <c r="BI126" i="7"/>
  <c r="BI83" i="7"/>
  <c r="AP40" i="7"/>
  <c r="AS133" i="8"/>
  <c r="AS116" i="8"/>
  <c r="AS73" i="8"/>
  <c r="AP83" i="7"/>
  <c r="AP126" i="7"/>
  <c r="W40" i="7"/>
  <c r="Z116" i="8"/>
  <c r="Z133" i="8"/>
  <c r="Z73" i="8"/>
  <c r="W83" i="7"/>
  <c r="W126" i="7"/>
  <c r="AJ41" i="7"/>
  <c r="AM117" i="8"/>
  <c r="AM134" i="8"/>
  <c r="AM74" i="8"/>
  <c r="AJ127" i="7"/>
  <c r="AJ84" i="7"/>
  <c r="M41" i="7"/>
  <c r="P134" i="8"/>
  <c r="P117" i="8"/>
  <c r="P74" i="8"/>
  <c r="M127" i="7"/>
  <c r="M84" i="7"/>
  <c r="BE41" i="7"/>
  <c r="BH117" i="8"/>
  <c r="BH134" i="8"/>
  <c r="BH74" i="8"/>
  <c r="BE127" i="7"/>
  <c r="BE84" i="7"/>
  <c r="AL41" i="7"/>
  <c r="AO134" i="8"/>
  <c r="AO117" i="8"/>
  <c r="AO74" i="8"/>
  <c r="AL127" i="7"/>
  <c r="AL84" i="7"/>
  <c r="O41" i="7"/>
  <c r="R134" i="8"/>
  <c r="R117" i="8"/>
  <c r="R74" i="8"/>
  <c r="O84" i="7"/>
  <c r="O127" i="7"/>
  <c r="H24" i="7"/>
  <c r="I27" i="7"/>
  <c r="K27" i="7"/>
  <c r="M17" i="7"/>
  <c r="W32" i="7"/>
  <c r="AE24" i="7"/>
  <c r="AE34" i="7"/>
  <c r="BJ38" i="7"/>
  <c r="BZ130" i="8"/>
  <c r="CL130" i="8"/>
  <c r="DC130" i="8" s="1"/>
  <c r="CK143" i="8"/>
  <c r="DB143" i="8" s="1"/>
  <c r="CL143" i="8"/>
  <c r="DC143" i="8" s="1"/>
  <c r="CL131" i="8"/>
  <c r="DC131" i="8" s="1"/>
  <c r="CL132" i="8"/>
  <c r="DC132" i="8" s="1"/>
  <c r="CC132" i="8"/>
  <c r="CC130" i="8"/>
  <c r="BZ132" i="8"/>
  <c r="BU130" i="8"/>
  <c r="BY68" i="8"/>
  <c r="CD65" i="8"/>
  <c r="BZ131" i="8"/>
  <c r="BZ69" i="8"/>
  <c r="BT71" i="8"/>
  <c r="CC131" i="8"/>
  <c r="BX67" i="8"/>
  <c r="BW65" i="8"/>
  <c r="CC143" i="8"/>
  <c r="BU64" i="8"/>
  <c r="CC69" i="8"/>
  <c r="BZ143" i="8"/>
  <c r="BW67" i="8"/>
  <c r="CB65" i="8"/>
  <c r="BV74" i="8"/>
  <c r="BT74" i="8"/>
  <c r="BT64" i="8"/>
  <c r="BV68" i="8"/>
  <c r="BZ68" i="8"/>
  <c r="CD66" i="8"/>
  <c r="BW69" i="8"/>
  <c r="CB71" i="8"/>
  <c r="BY74" i="8"/>
  <c r="BY64" i="8"/>
  <c r="CA71" i="8"/>
  <c r="CD71" i="8"/>
  <c r="BW143" i="8"/>
  <c r="BX74" i="8"/>
  <c r="BZ66" i="8"/>
  <c r="BW71" i="8"/>
  <c r="BZ74" i="8"/>
  <c r="BZ71" i="8"/>
  <c r="CA74" i="8"/>
  <c r="CC71" i="8"/>
  <c r="BT69" i="8"/>
  <c r="CB67" i="8"/>
  <c r="BY69" i="8"/>
  <c r="BX70" i="8"/>
  <c r="CD68" i="8"/>
  <c r="BW70" i="8"/>
  <c r="CC64" i="8"/>
  <c r="BX65" i="8"/>
  <c r="BZ67" i="8"/>
  <c r="CE69" i="8"/>
  <c r="BW66" i="8"/>
  <c r="BY70" i="8"/>
  <c r="BY67" i="8"/>
  <c r="BX72" i="8"/>
  <c r="BX73" i="8"/>
  <c r="CB72" i="8"/>
  <c r="CD69" i="8"/>
  <c r="CA67" i="8"/>
  <c r="CB70" i="8"/>
  <c r="BT143" i="8"/>
  <c r="BU66" i="8"/>
  <c r="BY73" i="8"/>
  <c r="BZ65" i="8"/>
  <c r="BV70" i="8"/>
  <c r="BV72" i="8"/>
  <c r="CA66" i="8"/>
  <c r="CA70" i="8"/>
  <c r="BW72" i="8"/>
  <c r="CD67" i="8"/>
  <c r="CA65" i="8"/>
  <c r="BW74" i="8"/>
  <c r="BX68" i="8"/>
  <c r="CB73" i="8"/>
  <c r="BU71" i="8"/>
  <c r="BW64" i="8"/>
  <c r="BV66" i="8"/>
  <c r="BV65" i="8"/>
  <c r="BY71" i="8"/>
  <c r="BZ64" i="8"/>
  <c r="BU74" i="8"/>
  <c r="CE67" i="8"/>
  <c r="BY65" i="8"/>
  <c r="CA73" i="8"/>
  <c r="BV64" i="8"/>
  <c r="CC67" i="8"/>
  <c r="BV63" i="8"/>
  <c r="BX64" i="8"/>
  <c r="BU68" i="8"/>
  <c r="BT68" i="8"/>
  <c r="BW73" i="8"/>
  <c r="BX69" i="8"/>
  <c r="BT63" i="8"/>
  <c r="CD74" i="8"/>
  <c r="CA69" i="8"/>
  <c r="CA72" i="8"/>
  <c r="BV73" i="8"/>
  <c r="CB69" i="8"/>
  <c r="BT73" i="8"/>
  <c r="CC74" i="8"/>
  <c r="CC73" i="8"/>
  <c r="CA68" i="8"/>
  <c r="CC68" i="8"/>
  <c r="BU73" i="8"/>
  <c r="BU69" i="8"/>
  <c r="BT70" i="8"/>
  <c r="BT72" i="8"/>
  <c r="CA63" i="8"/>
  <c r="CD64" i="8"/>
  <c r="BT67" i="8"/>
  <c r="CC65" i="8"/>
  <c r="BV67" i="8"/>
  <c r="BU67" i="8"/>
  <c r="CC72" i="8"/>
  <c r="BT65" i="8"/>
  <c r="BU70" i="8"/>
  <c r="CD73" i="8"/>
  <c r="CE64" i="8"/>
  <c r="BX71" i="8"/>
  <c r="CC70" i="8"/>
  <c r="BU65" i="8"/>
  <c r="CB68" i="8"/>
  <c r="BU63" i="8"/>
  <c r="BU72" i="8"/>
  <c r="CD72" i="8"/>
  <c r="CA64" i="8"/>
  <c r="BV71" i="8"/>
  <c r="CD70" i="8"/>
  <c r="BV69" i="8"/>
  <c r="CB64" i="8"/>
  <c r="CE33" i="7"/>
  <c r="CI33" i="7" s="1"/>
  <c r="CM33" i="7" s="1"/>
  <c r="CQ33" i="7" s="1"/>
  <c r="BN39" i="7"/>
  <c r="CB39" i="7" s="1"/>
  <c r="AY11" i="7"/>
  <c r="BM36" i="7"/>
  <c r="BZ36" i="7" s="1"/>
  <c r="BO42" i="7"/>
  <c r="BM39" i="7"/>
  <c r="BM33" i="7"/>
  <c r="AX33" i="7"/>
  <c r="BN33" i="7"/>
  <c r="CF26" i="7"/>
  <c r="AY33" i="7"/>
  <c r="BM38" i="7"/>
  <c r="AY10" i="7"/>
  <c r="AY18" i="7"/>
  <c r="BM30" i="7"/>
  <c r="BM37" i="7"/>
  <c r="AY7" i="7"/>
  <c r="AW38" i="7"/>
  <c r="AW39" i="7"/>
  <c r="AW30" i="7"/>
  <c r="AW37" i="7"/>
  <c r="AX39" i="7"/>
  <c r="AW33" i="7"/>
  <c r="AW36" i="7"/>
  <c r="AY39" i="7"/>
  <c r="AG38" i="7"/>
  <c r="AF30" i="7"/>
  <c r="AG30" i="7"/>
  <c r="AG37" i="7"/>
  <c r="AG33" i="7"/>
  <c r="AH33" i="7"/>
  <c r="AG39" i="7"/>
  <c r="AI33" i="7"/>
  <c r="AH39" i="7"/>
  <c r="AH7" i="7"/>
  <c r="CE30" i="7"/>
  <c r="CI30" i="7" s="1"/>
  <c r="CM30" i="7" s="1"/>
  <c r="CQ30" i="7" s="1"/>
  <c r="AG36" i="7"/>
  <c r="AI39" i="7"/>
  <c r="CE36" i="7"/>
  <c r="CI36" i="7" s="1"/>
  <c r="CM36" i="7" s="1"/>
  <c r="CQ36" i="7" s="1"/>
  <c r="CD30" i="7"/>
  <c r="CH30" i="7" s="1"/>
  <c r="CL30" i="7" s="1"/>
  <c r="CP30" i="7" s="1"/>
  <c r="CF39" i="7"/>
  <c r="CJ39" i="7" s="1"/>
  <c r="CN39" i="7" s="1"/>
  <c r="CR39" i="7" s="1"/>
  <c r="CG33" i="7"/>
  <c r="CK33" i="7" s="1"/>
  <c r="CO33" i="7" s="1"/>
  <c r="CS33" i="7" s="1"/>
  <c r="CF36" i="7"/>
  <c r="CE37" i="7"/>
  <c r="CI37" i="7" s="1"/>
  <c r="CM37" i="7" s="1"/>
  <c r="CQ37" i="7" s="1"/>
  <c r="CF33" i="7"/>
  <c r="CJ33" i="7" s="1"/>
  <c r="CN33" i="7" s="1"/>
  <c r="CR33" i="7" s="1"/>
  <c r="CE38" i="7"/>
  <c r="CI38" i="7" s="1"/>
  <c r="CM38" i="7" s="1"/>
  <c r="CQ38" i="7" s="1"/>
  <c r="CE39" i="7"/>
  <c r="CI39" i="7" s="1"/>
  <c r="CM39" i="7" s="1"/>
  <c r="CQ39" i="7" s="1"/>
  <c r="CG39" i="7"/>
  <c r="CK39" i="7" s="1"/>
  <c r="CO39" i="7" s="1"/>
  <c r="CS39" i="7" s="1"/>
  <c r="AQ50" i="6"/>
  <c r="FB50" i="6"/>
  <c r="AC5" i="7"/>
  <c r="GP50" i="6"/>
  <c r="J5" i="7"/>
  <c r="D39" i="7"/>
  <c r="X39" i="7"/>
  <c r="AF39" i="7" s="1"/>
  <c r="Q21" i="7"/>
  <c r="JM50" i="6"/>
  <c r="Q37" i="7"/>
  <c r="P30" i="7"/>
  <c r="Q30" i="7"/>
  <c r="Q38" i="7"/>
  <c r="Q39" i="7"/>
  <c r="Q36" i="7"/>
  <c r="R36" i="7"/>
  <c r="S33" i="7"/>
  <c r="R33" i="7"/>
  <c r="Q33" i="7"/>
  <c r="R39" i="7"/>
  <c r="S39" i="7"/>
  <c r="R26" i="7"/>
  <c r="AB42" i="7"/>
  <c r="AQ42" i="7"/>
  <c r="AV50" i="6"/>
  <c r="FG50" i="6"/>
  <c r="CE50" i="6"/>
  <c r="FL50" i="6"/>
  <c r="GZ50" i="6"/>
  <c r="II9" i="6"/>
  <c r="JW50" i="6"/>
  <c r="IE50" i="6"/>
  <c r="CJ50" i="6"/>
  <c r="R50" i="6"/>
  <c r="BF9" i="6"/>
  <c r="BF50" i="6" s="1"/>
  <c r="EC50" i="6"/>
  <c r="HE50" i="6"/>
  <c r="IN50" i="6"/>
  <c r="II10" i="6"/>
  <c r="BQ50" i="6"/>
  <c r="II22" i="6"/>
  <c r="DN50" i="6"/>
  <c r="BZ50" i="6"/>
  <c r="EH50" i="6"/>
  <c r="IS50" i="6"/>
  <c r="GA50" i="6"/>
  <c r="IA50" i="6"/>
  <c r="H50" i="6"/>
  <c r="DS50" i="6"/>
  <c r="GU50" i="6"/>
  <c r="JR50" i="6"/>
  <c r="IF50" i="6"/>
  <c r="M50" i="6"/>
  <c r="DX50" i="6"/>
  <c r="FV50" i="6"/>
  <c r="CY50" i="6"/>
  <c r="HO50" i="6"/>
  <c r="AG50" i="6"/>
  <c r="DD50" i="6"/>
  <c r="ER50" i="6"/>
  <c r="GF50" i="6"/>
  <c r="HT50" i="6"/>
  <c r="JC50" i="6"/>
  <c r="W50" i="6"/>
  <c r="FN50" i="6"/>
  <c r="BA50" i="6"/>
  <c r="CO50" i="6"/>
  <c r="HJ50" i="6"/>
  <c r="AB50" i="6"/>
  <c r="EM50" i="6"/>
  <c r="IX50" i="6"/>
  <c r="BL50" i="6"/>
  <c r="DI50" i="6"/>
  <c r="EW50" i="6"/>
  <c r="GK50" i="6"/>
  <c r="HY50" i="6"/>
  <c r="JH50" i="6"/>
  <c r="FQ11" i="6"/>
  <c r="BR50" i="6"/>
  <c r="AL50" i="6"/>
  <c r="ID50" i="6"/>
  <c r="BK50" i="6"/>
  <c r="BP9" i="6"/>
  <c r="BP11" i="6"/>
  <c r="BU11" i="6"/>
  <c r="AH50" i="6"/>
  <c r="BB50" i="6"/>
  <c r="HZ50" i="6"/>
  <c r="BG50" i="6"/>
  <c r="S5" i="7" l="1"/>
  <c r="AI25" i="7"/>
  <c r="CF13" i="7"/>
  <c r="BP26" i="8"/>
  <c r="S22" i="7"/>
  <c r="CG94" i="8"/>
  <c r="CK94" i="8" s="1"/>
  <c r="CO94" i="8" s="1"/>
  <c r="CS94" i="8" s="1"/>
  <c r="CD101" i="7"/>
  <c r="CH101" i="7" s="1"/>
  <c r="CL101" i="7" s="1"/>
  <c r="CP101" i="7" s="1"/>
  <c r="CD18" i="7"/>
  <c r="CH18" i="7" s="1"/>
  <c r="CL18" i="7" s="1"/>
  <c r="CP18" i="7" s="1"/>
  <c r="AF6" i="7"/>
  <c r="AF21" i="7"/>
  <c r="CD105" i="7"/>
  <c r="CH105" i="7" s="1"/>
  <c r="CL105" i="7" s="1"/>
  <c r="CP105" i="7" s="1"/>
  <c r="CF98" i="7"/>
  <c r="CJ98" i="7" s="1"/>
  <c r="CN98" i="7" s="1"/>
  <c r="CR98" i="7" s="1"/>
  <c r="CI84" i="8"/>
  <c r="AV24" i="7"/>
  <c r="BL16" i="7"/>
  <c r="CD102" i="7"/>
  <c r="CH102" i="7" s="1"/>
  <c r="CL102" i="7" s="1"/>
  <c r="CP102" i="7" s="1"/>
  <c r="CF8" i="7"/>
  <c r="CJ8" i="7" s="1"/>
  <c r="CN8" i="7" s="1"/>
  <c r="CR8" i="7" s="1"/>
  <c r="AF20" i="7"/>
  <c r="AF17" i="7"/>
  <c r="CJ98" i="8"/>
  <c r="CN98" i="8" s="1"/>
  <c r="CR98" i="8" s="1"/>
  <c r="CV98" i="8" s="1"/>
  <c r="CJ99" i="8"/>
  <c r="AG29" i="7"/>
  <c r="CF99" i="7"/>
  <c r="CJ99" i="7" s="1"/>
  <c r="CN99" i="7" s="1"/>
  <c r="CR99" i="7" s="1"/>
  <c r="AH28" i="7"/>
  <c r="BN41" i="7"/>
  <c r="CB41" i="7" s="1"/>
  <c r="AG32" i="7"/>
  <c r="AX30" i="7"/>
  <c r="BX73" i="7" s="1"/>
  <c r="AW11" i="7"/>
  <c r="AW15" i="7"/>
  <c r="AW6" i="7"/>
  <c r="R23" i="7"/>
  <c r="CE7" i="7"/>
  <c r="CI7" i="7" s="1"/>
  <c r="AH14" i="7"/>
  <c r="CF30" i="7"/>
  <c r="CJ30" i="7" s="1"/>
  <c r="CN30" i="7" s="1"/>
  <c r="CR30" i="7" s="1"/>
  <c r="AW12" i="7"/>
  <c r="CG17" i="7"/>
  <c r="CK17" i="7" s="1"/>
  <c r="CO17" i="7" s="1"/>
  <c r="CS17" i="7" s="1"/>
  <c r="R41" i="7"/>
  <c r="CJ106" i="8"/>
  <c r="CN106" i="8" s="1"/>
  <c r="CR106" i="8" s="1"/>
  <c r="CV106" i="8" s="1"/>
  <c r="BN7" i="7"/>
  <c r="CB7" i="7" s="1"/>
  <c r="AF22" i="7"/>
  <c r="BT65" i="7" s="1"/>
  <c r="AH38" i="7"/>
  <c r="AG24" i="7"/>
  <c r="R38" i="7"/>
  <c r="BR38" i="7" s="1"/>
  <c r="BM24" i="7"/>
  <c r="P13" i="7"/>
  <c r="CD27" i="7"/>
  <c r="AH17" i="7"/>
  <c r="BL12" i="7"/>
  <c r="AW14" i="7"/>
  <c r="CF37" i="7"/>
  <c r="CJ37" i="7" s="1"/>
  <c r="CN37" i="7" s="1"/>
  <c r="CR37" i="7" s="1"/>
  <c r="BN27" i="7"/>
  <c r="CB27" i="7" s="1"/>
  <c r="AZ128" i="8"/>
  <c r="CD119" i="7"/>
  <c r="CH119" i="7" s="1"/>
  <c r="CL119" i="7" s="1"/>
  <c r="CP119" i="7" s="1"/>
  <c r="BL5" i="7"/>
  <c r="AW17" i="7"/>
  <c r="AI36" i="7"/>
  <c r="BV36" i="7" s="1"/>
  <c r="CG5" i="7"/>
  <c r="CK5" i="7" s="1"/>
  <c r="CO5" i="7" s="1"/>
  <c r="CS5" i="7" s="1"/>
  <c r="AX25" i="7"/>
  <c r="BY68" i="7" s="1"/>
  <c r="CE108" i="7"/>
  <c r="CI108" i="7" s="1"/>
  <c r="CM108" i="7" s="1"/>
  <c r="CQ108" i="7" s="1"/>
  <c r="BN34" i="7"/>
  <c r="CB34" i="7" s="1"/>
  <c r="P34" i="7"/>
  <c r="AV25" i="7"/>
  <c r="P5" i="7"/>
  <c r="BL31" i="7"/>
  <c r="CJ12" i="7"/>
  <c r="CN12" i="7" s="1"/>
  <c r="CR12" i="7" s="1"/>
  <c r="AF16" i="7"/>
  <c r="BM31" i="7"/>
  <c r="BN12" i="7"/>
  <c r="CB12" i="7" s="1"/>
  <c r="AW9" i="7"/>
  <c r="CG6" i="7"/>
  <c r="CK6" i="7" s="1"/>
  <c r="CO6" i="7" s="1"/>
  <c r="CS6" i="7" s="1"/>
  <c r="BL13" i="7"/>
  <c r="CF40" i="7"/>
  <c r="CJ40" i="7" s="1"/>
  <c r="CN40" i="7" s="1"/>
  <c r="CR40" i="7" s="1"/>
  <c r="P35" i="7"/>
  <c r="BM23" i="7"/>
  <c r="S6" i="7"/>
  <c r="AX35" i="7"/>
  <c r="BY78" i="7" s="1"/>
  <c r="R13" i="7"/>
  <c r="AG13" i="7"/>
  <c r="CF114" i="7"/>
  <c r="CJ114" i="7" s="1"/>
  <c r="CN114" i="7" s="1"/>
  <c r="CR114" i="7" s="1"/>
  <c r="CG108" i="7"/>
  <c r="CK108" i="7" s="1"/>
  <c r="CO108" i="7" s="1"/>
  <c r="CS108" i="7" s="1"/>
  <c r="AI12" i="7"/>
  <c r="P10" i="7"/>
  <c r="CD23" i="7"/>
  <c r="CH23" i="7" s="1"/>
  <c r="CL23" i="7" s="1"/>
  <c r="CP23" i="7" s="1"/>
  <c r="BN38" i="7"/>
  <c r="CA81" i="7" s="1"/>
  <c r="CE23" i="7"/>
  <c r="CI23" i="7" s="1"/>
  <c r="CM23" i="7" s="1"/>
  <c r="CQ23" i="7" s="1"/>
  <c r="CD104" i="7"/>
  <c r="CH104" i="7" s="1"/>
  <c r="CL104" i="7" s="1"/>
  <c r="CP104" i="7" s="1"/>
  <c r="BN31" i="7"/>
  <c r="CB74" i="7" s="1"/>
  <c r="BL17" i="7"/>
  <c r="CF16" i="7"/>
  <c r="CJ16" i="7" s="1"/>
  <c r="CN16" i="7" s="1"/>
  <c r="CR16" i="7" s="1"/>
  <c r="BL15" i="7"/>
  <c r="AI7" i="7"/>
  <c r="BV50" i="7" s="1"/>
  <c r="BL7" i="7"/>
  <c r="AI40" i="7"/>
  <c r="BN36" i="7"/>
  <c r="CA79" i="7" s="1"/>
  <c r="AV6" i="7"/>
  <c r="BN17" i="7"/>
  <c r="CB17" i="7" s="1"/>
  <c r="AX15" i="7"/>
  <c r="BY58" i="7" s="1"/>
  <c r="AI13" i="7"/>
  <c r="BL6" i="7"/>
  <c r="Q11" i="7"/>
  <c r="AF19" i="7"/>
  <c r="Q22" i="7"/>
  <c r="CF24" i="7"/>
  <c r="CJ24" i="7" s="1"/>
  <c r="CN24" i="7" s="1"/>
  <c r="CR24" i="7" s="1"/>
  <c r="S34" i="7"/>
  <c r="Q29" i="7"/>
  <c r="CH97" i="7"/>
  <c r="CL97" i="7" s="1"/>
  <c r="CP97" i="7" s="1"/>
  <c r="S19" i="7"/>
  <c r="AF41" i="7"/>
  <c r="AI10" i="7"/>
  <c r="AI6" i="7"/>
  <c r="AH12" i="7"/>
  <c r="BU12" i="7" s="1"/>
  <c r="BN32" i="7"/>
  <c r="AW13" i="7"/>
  <c r="AH10" i="7"/>
  <c r="AF29" i="7"/>
  <c r="BN28" i="7"/>
  <c r="CB71" i="7" s="1"/>
  <c r="CE6" i="7"/>
  <c r="AW5" i="7"/>
  <c r="CE24" i="7"/>
  <c r="CI24" i="7" s="1"/>
  <c r="CM24" i="7" s="1"/>
  <c r="CQ24" i="7" s="1"/>
  <c r="AG17" i="7"/>
  <c r="BN35" i="7"/>
  <c r="CB35" i="7" s="1"/>
  <c r="AV41" i="7"/>
  <c r="BL11" i="7"/>
  <c r="AI41" i="7"/>
  <c r="AG40" i="7"/>
  <c r="AF38" i="7"/>
  <c r="BT81" i="7" s="1"/>
  <c r="AV35" i="7"/>
  <c r="AG26" i="7"/>
  <c r="CG23" i="7"/>
  <c r="CK23" i="7" s="1"/>
  <c r="CO23" i="7" s="1"/>
  <c r="CS23" i="7" s="1"/>
  <c r="AF23" i="7"/>
  <c r="AI14" i="7"/>
  <c r="Q19" i="7"/>
  <c r="CD21" i="7"/>
  <c r="CH21" i="7" s="1"/>
  <c r="AX18" i="7"/>
  <c r="BY61" i="7" s="1"/>
  <c r="AV17" i="7"/>
  <c r="Q8" i="7"/>
  <c r="AX6" i="7"/>
  <c r="BN40" i="7"/>
  <c r="CB40" i="7" s="1"/>
  <c r="P40" i="7"/>
  <c r="AI29" i="7"/>
  <c r="AW28" i="7"/>
  <c r="AH27" i="7"/>
  <c r="AG23" i="7"/>
  <c r="BM22" i="7"/>
  <c r="S20" i="7"/>
  <c r="AW18" i="7"/>
  <c r="Q35" i="7"/>
  <c r="BR35" i="7" s="1"/>
  <c r="CG24" i="7"/>
  <c r="P15" i="7"/>
  <c r="AI21" i="7"/>
  <c r="P27" i="7"/>
  <c r="BN13" i="7"/>
  <c r="CB56" i="7" s="1"/>
  <c r="AF7" i="7"/>
  <c r="AX23" i="7"/>
  <c r="CE21" i="7"/>
  <c r="CI21" i="7" s="1"/>
  <c r="CM21" i="7" s="1"/>
  <c r="CQ21" i="7" s="1"/>
  <c r="AW16" i="7"/>
  <c r="AI26" i="7"/>
  <c r="BN16" i="7"/>
  <c r="P16" i="7"/>
  <c r="CH14" i="7"/>
  <c r="CL14" i="7" s="1"/>
  <c r="CP14" i="7" s="1"/>
  <c r="CG25" i="7"/>
  <c r="CK25" i="7" s="1"/>
  <c r="CO25" i="7" s="1"/>
  <c r="CS25" i="7" s="1"/>
  <c r="AH37" i="7"/>
  <c r="BU80" i="7" s="1"/>
  <c r="CD25" i="7"/>
  <c r="CH25" i="7" s="1"/>
  <c r="CL25" i="7" s="1"/>
  <c r="CP25" i="7" s="1"/>
  <c r="BN19" i="7"/>
  <c r="AX32" i="7"/>
  <c r="CG31" i="7"/>
  <c r="CK31" i="7" s="1"/>
  <c r="CO31" i="7" s="1"/>
  <c r="CS31" i="7" s="1"/>
  <c r="CD31" i="7"/>
  <c r="CH31" i="7" s="1"/>
  <c r="CL31" i="7" s="1"/>
  <c r="CP31" i="7" s="1"/>
  <c r="AX29" i="7"/>
  <c r="BY72" i="7" s="1"/>
  <c r="AG25" i="7"/>
  <c r="BM21" i="7"/>
  <c r="AH20" i="7"/>
  <c r="AH16" i="7"/>
  <c r="BN10" i="7"/>
  <c r="CB53" i="7" s="1"/>
  <c r="CG116" i="7"/>
  <c r="CK116" i="7" s="1"/>
  <c r="CO116" i="7" s="1"/>
  <c r="CS116" i="7" s="1"/>
  <c r="CX102" i="8"/>
  <c r="DB102" i="8" s="1"/>
  <c r="DF102" i="8" s="1"/>
  <c r="DJ102" i="8" s="1"/>
  <c r="CF95" i="7"/>
  <c r="CJ95" i="7" s="1"/>
  <c r="CN95" i="7" s="1"/>
  <c r="CR95" i="7" s="1"/>
  <c r="AF35" i="7"/>
  <c r="AI28" i="7"/>
  <c r="AH21" i="7"/>
  <c r="CG20" i="7"/>
  <c r="CK20" i="7" s="1"/>
  <c r="CO20" i="7" s="1"/>
  <c r="CS20" i="7" s="1"/>
  <c r="CE31" i="7"/>
  <c r="CI31" i="7" s="1"/>
  <c r="CM31" i="7" s="1"/>
  <c r="CQ31" i="7" s="1"/>
  <c r="CG34" i="7"/>
  <c r="CK34" i="7" s="1"/>
  <c r="CO34" i="7" s="1"/>
  <c r="CS34" i="7" s="1"/>
  <c r="P21" i="7"/>
  <c r="BQ64" i="7" s="1"/>
  <c r="AV13" i="7"/>
  <c r="R24" i="7"/>
  <c r="AI24" i="7"/>
  <c r="R27" i="7"/>
  <c r="CD40" i="7"/>
  <c r="CH40" i="7" s="1"/>
  <c r="CL40" i="7" s="1"/>
  <c r="CP40" i="7" s="1"/>
  <c r="P23" i="7"/>
  <c r="AI32" i="7"/>
  <c r="BL19" i="7"/>
  <c r="BZ19" i="7" s="1"/>
  <c r="BN30" i="7"/>
  <c r="CA30" i="7" s="1"/>
  <c r="AW29" i="7"/>
  <c r="BW29" i="7" s="1"/>
  <c r="AV34" i="7"/>
  <c r="CG12" i="7"/>
  <c r="CK12" i="7" s="1"/>
  <c r="CO12" i="7" s="1"/>
  <c r="CS12" i="7" s="1"/>
  <c r="BL20" i="7"/>
  <c r="CF19" i="7"/>
  <c r="CJ19" i="7" s="1"/>
  <c r="CN19" i="7" s="1"/>
  <c r="CR19" i="7" s="1"/>
  <c r="CE5" i="7"/>
  <c r="CI5" i="7" s="1"/>
  <c r="CM5" i="7" s="1"/>
  <c r="CQ5" i="7" s="1"/>
  <c r="CE34" i="7"/>
  <c r="CI34" i="7" s="1"/>
  <c r="CM34" i="7" s="1"/>
  <c r="CQ34" i="7" s="1"/>
  <c r="AF15" i="7"/>
  <c r="AF31" i="7"/>
  <c r="BL26" i="7"/>
  <c r="AH34" i="7"/>
  <c r="CD100" i="7"/>
  <c r="CH100" i="7" s="1"/>
  <c r="CL100" i="7" s="1"/>
  <c r="CP100" i="7" s="1"/>
  <c r="P31" i="7"/>
  <c r="CG22" i="7"/>
  <c r="CK22" i="7" s="1"/>
  <c r="CO22" i="7" s="1"/>
  <c r="CS22" i="7" s="1"/>
  <c r="CJ9" i="7"/>
  <c r="CN9" i="7" s="1"/>
  <c r="CR9" i="7" s="1"/>
  <c r="Q7" i="7"/>
  <c r="CF23" i="7"/>
  <c r="CJ23" i="7" s="1"/>
  <c r="CN23" i="7" s="1"/>
  <c r="CR23" i="7" s="1"/>
  <c r="AX41" i="7"/>
  <c r="BY84" i="7" s="1"/>
  <c r="AV40" i="7"/>
  <c r="AI37" i="7"/>
  <c r="AH6" i="7"/>
  <c r="AX24" i="7"/>
  <c r="BY67" i="7" s="1"/>
  <c r="CD10" i="7"/>
  <c r="CH10" i="7" s="1"/>
  <c r="CL10" i="7" s="1"/>
  <c r="CP10" i="7" s="1"/>
  <c r="AX19" i="7"/>
  <c r="BY62" i="7" s="1"/>
  <c r="CE29" i="7"/>
  <c r="CI29" i="7" s="1"/>
  <c r="CM29" i="7" s="1"/>
  <c r="CQ29" i="7" s="1"/>
  <c r="BL22" i="7"/>
  <c r="CF21" i="7"/>
  <c r="CJ21" i="7" s="1"/>
  <c r="CN21" i="7" s="1"/>
  <c r="CR21" i="7" s="1"/>
  <c r="BM10" i="7"/>
  <c r="AI34" i="7"/>
  <c r="AF12" i="7"/>
  <c r="BT55" i="7" s="1"/>
  <c r="CG16" i="7"/>
  <c r="CK16" i="7" s="1"/>
  <c r="CO16" i="7" s="1"/>
  <c r="CS16" i="7" s="1"/>
  <c r="BN37" i="7"/>
  <c r="CA80" i="7" s="1"/>
  <c r="AG35" i="7"/>
  <c r="BM41" i="7"/>
  <c r="R19" i="7"/>
  <c r="CD5" i="7"/>
  <c r="CH5" i="7" s="1"/>
  <c r="CL5" i="7" s="1"/>
  <c r="CP5" i="7" s="1"/>
  <c r="AF25" i="7"/>
  <c r="BM18" i="7"/>
  <c r="S12" i="7"/>
  <c r="AH9" i="7"/>
  <c r="AF8" i="7"/>
  <c r="CE9" i="7"/>
  <c r="CI9" i="7" s="1"/>
  <c r="CM9" i="7" s="1"/>
  <c r="CQ9" i="7" s="1"/>
  <c r="AW35" i="7"/>
  <c r="P25" i="7"/>
  <c r="AX17" i="7"/>
  <c r="BM15" i="7"/>
  <c r="S13" i="7"/>
  <c r="BN26" i="7"/>
  <c r="CB26" i="7" s="1"/>
  <c r="CE22" i="7"/>
  <c r="CI22" i="7" s="1"/>
  <c r="CM22" i="7" s="1"/>
  <c r="CQ22" i="7" s="1"/>
  <c r="AX14" i="7"/>
  <c r="BL25" i="7"/>
  <c r="CE26" i="7"/>
  <c r="CI26" i="7" s="1"/>
  <c r="CM26" i="7" s="1"/>
  <c r="CQ26" i="7" s="1"/>
  <c r="AV10" i="7"/>
  <c r="S14" i="7"/>
  <c r="BM12" i="7"/>
  <c r="BM8" i="7"/>
  <c r="AX7" i="7"/>
  <c r="BY50" i="7" s="1"/>
  <c r="CD35" i="7"/>
  <c r="CH35" i="7" s="1"/>
  <c r="CL35" i="7" s="1"/>
  <c r="CP35" i="7" s="1"/>
  <c r="BM19" i="7"/>
  <c r="AF33" i="7"/>
  <c r="BT33" i="7" s="1"/>
  <c r="AX40" i="7"/>
  <c r="BY83" i="7" s="1"/>
  <c r="CD106" i="7"/>
  <c r="CH106" i="7" s="1"/>
  <c r="CL106" i="7" s="1"/>
  <c r="CP106" i="7" s="1"/>
  <c r="CF101" i="7"/>
  <c r="CJ101" i="7" s="1"/>
  <c r="CN101" i="7" s="1"/>
  <c r="AF13" i="7"/>
  <c r="BL41" i="7"/>
  <c r="AI30" i="7"/>
  <c r="CF29" i="7"/>
  <c r="AW25" i="7"/>
  <c r="S9" i="7"/>
  <c r="BL40" i="7"/>
  <c r="CD26" i="7"/>
  <c r="CH26" i="7" s="1"/>
  <c r="CL26" i="7" s="1"/>
  <c r="CP26" i="7" s="1"/>
  <c r="P36" i="7"/>
  <c r="BQ36" i="7" s="1"/>
  <c r="CG30" i="7"/>
  <c r="CK30" i="7" s="1"/>
  <c r="CO30" i="7" s="1"/>
  <c r="CS30" i="7" s="1"/>
  <c r="BM29" i="7"/>
  <c r="AI22" i="7"/>
  <c r="AV22" i="7"/>
  <c r="BM20" i="7"/>
  <c r="AH15" i="7"/>
  <c r="AF14" i="7"/>
  <c r="AF11" i="7"/>
  <c r="AF10" i="7"/>
  <c r="AW8" i="7"/>
  <c r="AF5" i="7"/>
  <c r="CD12" i="7"/>
  <c r="CH12" i="7" s="1"/>
  <c r="CL12" i="7" s="1"/>
  <c r="CP12" i="7" s="1"/>
  <c r="P41" i="7"/>
  <c r="CG36" i="7"/>
  <c r="CK36" i="7" s="1"/>
  <c r="CO36" i="7" s="1"/>
  <c r="CS36" i="7" s="1"/>
  <c r="AF34" i="7"/>
  <c r="AY27" i="8"/>
  <c r="AY129" i="8"/>
  <c r="AK23" i="8"/>
  <c r="BO20" i="8"/>
  <c r="CI86" i="8"/>
  <c r="CM86" i="8" s="1"/>
  <c r="CQ86" i="8" s="1"/>
  <c r="CU86" i="8" s="1"/>
  <c r="DE100" i="8"/>
  <c r="DI100" i="8" s="1"/>
  <c r="DM100" i="8" s="1"/>
  <c r="BO9" i="8"/>
  <c r="DE101" i="8"/>
  <c r="DI101" i="8" s="1"/>
  <c r="DM101" i="8" s="1"/>
  <c r="BQ13" i="8"/>
  <c r="CE44" i="8" s="1"/>
  <c r="CG95" i="8"/>
  <c r="CK95" i="8" s="1"/>
  <c r="CO95" i="8" s="1"/>
  <c r="CS95" i="8" s="1"/>
  <c r="BO13" i="8"/>
  <c r="CM88" i="8"/>
  <c r="CQ88" i="8" s="1"/>
  <c r="CU88" i="8" s="1"/>
  <c r="DD84" i="8"/>
  <c r="DH84" i="8" s="1"/>
  <c r="DL84" i="8" s="1"/>
  <c r="AI23" i="8"/>
  <c r="CY97" i="8"/>
  <c r="DC97" i="8" s="1"/>
  <c r="DG97" i="8" s="1"/>
  <c r="DK97" i="8" s="1"/>
  <c r="AY134" i="8"/>
  <c r="CX116" i="8"/>
  <c r="DB116" i="8" s="1"/>
  <c r="DF116" i="8" s="1"/>
  <c r="DJ116" i="8" s="1"/>
  <c r="AI132" i="8"/>
  <c r="BW132" i="8" s="1"/>
  <c r="BO18" i="8"/>
  <c r="CG92" i="8"/>
  <c r="CK92" i="8" s="1"/>
  <c r="CO92" i="8" s="1"/>
  <c r="CS92" i="8" s="1"/>
  <c r="CG90" i="8"/>
  <c r="CK90" i="8" s="1"/>
  <c r="CO90" i="8" s="1"/>
  <c r="CS90" i="8" s="1"/>
  <c r="BQ9" i="8"/>
  <c r="CE40" i="8" s="1"/>
  <c r="AY133" i="8"/>
  <c r="AU135" i="8"/>
  <c r="CM130" i="8"/>
  <c r="DD130" i="8" s="1"/>
  <c r="DE111" i="8"/>
  <c r="DI111" i="8" s="1"/>
  <c r="DM111" i="8" s="1"/>
  <c r="AI24" i="8"/>
  <c r="AZ8" i="8"/>
  <c r="BO21" i="8"/>
  <c r="BO16" i="8"/>
  <c r="BA7" i="8"/>
  <c r="AZ19" i="8"/>
  <c r="BA129" i="8"/>
  <c r="CB129" i="8" s="1"/>
  <c r="DE108" i="8"/>
  <c r="DI108" i="8" s="1"/>
  <c r="DM108" i="8" s="1"/>
  <c r="CZ102" i="8"/>
  <c r="DD102" i="8" s="1"/>
  <c r="DH102" i="8" s="1"/>
  <c r="DL102" i="8" s="1"/>
  <c r="AI25" i="8"/>
  <c r="CZ113" i="8"/>
  <c r="DD113" i="8" s="1"/>
  <c r="DH113" i="8" s="1"/>
  <c r="DL113" i="8" s="1"/>
  <c r="AS144" i="8"/>
  <c r="AX27" i="7"/>
  <c r="BY27" i="7" s="1"/>
  <c r="P26" i="7"/>
  <c r="S16" i="7"/>
  <c r="Q34" i="7"/>
  <c r="CD41" i="7"/>
  <c r="CH41" i="7" s="1"/>
  <c r="CL41" i="7" s="1"/>
  <c r="CP41" i="7" s="1"/>
  <c r="CF38" i="7"/>
  <c r="CJ38" i="7" s="1"/>
  <c r="CN38" i="7" s="1"/>
  <c r="CR38" i="7" s="1"/>
  <c r="CG14" i="7"/>
  <c r="CK14" i="7" s="1"/>
  <c r="CO14" i="7" s="1"/>
  <c r="CS14" i="7" s="1"/>
  <c r="CN99" i="8"/>
  <c r="CR99" i="8" s="1"/>
  <c r="CV99" i="8" s="1"/>
  <c r="CH98" i="8"/>
  <c r="CL98" i="8" s="1"/>
  <c r="CP98" i="8" s="1"/>
  <c r="CT98" i="8" s="1"/>
  <c r="CI89" i="8"/>
  <c r="CM89" i="8" s="1"/>
  <c r="CQ89" i="8" s="1"/>
  <c r="CU89" i="8" s="1"/>
  <c r="CF10" i="7"/>
  <c r="CJ10" i="7" s="1"/>
  <c r="CN10" i="7" s="1"/>
  <c r="CR10" i="7" s="1"/>
  <c r="AV16" i="7"/>
  <c r="AI23" i="7"/>
  <c r="CE11" i="7"/>
  <c r="CI11" i="7" s="1"/>
  <c r="CM11" i="7" s="1"/>
  <c r="CQ11" i="7" s="1"/>
  <c r="CD34" i="7"/>
  <c r="CH34" i="7" s="1"/>
  <c r="CL34" i="7" s="1"/>
  <c r="CP34" i="7" s="1"/>
  <c r="CG13" i="7"/>
  <c r="CK13" i="7" s="1"/>
  <c r="CO13" i="7" s="1"/>
  <c r="CS13" i="7" s="1"/>
  <c r="AW34" i="7"/>
  <c r="CG109" i="8"/>
  <c r="CK109" i="8" s="1"/>
  <c r="CO109" i="8" s="1"/>
  <c r="CS109" i="8" s="1"/>
  <c r="CZ104" i="8"/>
  <c r="DD104" i="8" s="1"/>
  <c r="DH104" i="8" s="1"/>
  <c r="DL104" i="8" s="1"/>
  <c r="BA27" i="8"/>
  <c r="CB27" i="8" s="1"/>
  <c r="BQ21" i="8"/>
  <c r="CE52" i="8" s="1"/>
  <c r="CZ88" i="8"/>
  <c r="DD88" i="8" s="1"/>
  <c r="DH88" i="8" s="1"/>
  <c r="DL88" i="8" s="1"/>
  <c r="CG86" i="8"/>
  <c r="CK86" i="8" s="1"/>
  <c r="CO86" i="8" s="1"/>
  <c r="CS86" i="8" s="1"/>
  <c r="CM84" i="8"/>
  <c r="CQ84" i="8" s="1"/>
  <c r="CU84" i="8" s="1"/>
  <c r="DE117" i="8"/>
  <c r="DI117" i="8" s="1"/>
  <c r="DM117" i="8" s="1"/>
  <c r="P12" i="7"/>
  <c r="Q17" i="7"/>
  <c r="BN14" i="7"/>
  <c r="CB57" i="7" s="1"/>
  <c r="Q5" i="7"/>
  <c r="CF35" i="7"/>
  <c r="CJ35" i="7" s="1"/>
  <c r="CN35" i="7" s="1"/>
  <c r="CR35" i="7" s="1"/>
  <c r="CM112" i="8"/>
  <c r="CQ112" i="8" s="1"/>
  <c r="CU112" i="8" s="1"/>
  <c r="BP127" i="8"/>
  <c r="CE32" i="7"/>
  <c r="CI32" i="7" s="1"/>
  <c r="CM32" i="7" s="1"/>
  <c r="CQ32" i="7" s="1"/>
  <c r="CH99" i="8"/>
  <c r="CL99" i="8" s="1"/>
  <c r="CP99" i="8" s="1"/>
  <c r="CT99" i="8" s="1"/>
  <c r="AZ22" i="8"/>
  <c r="BL18" i="7"/>
  <c r="BQ18" i="8"/>
  <c r="CE49" i="8" s="1"/>
  <c r="BO17" i="8"/>
  <c r="CG91" i="8"/>
  <c r="CK91" i="8" s="1"/>
  <c r="CO91" i="8" s="1"/>
  <c r="CS91" i="8" s="1"/>
  <c r="Q6" i="7"/>
  <c r="S36" i="7"/>
  <c r="BS36" i="7" s="1"/>
  <c r="P14" i="7"/>
  <c r="Q31" i="7"/>
  <c r="CD16" i="7"/>
  <c r="CH16" i="7" s="1"/>
  <c r="CL16" i="7" s="1"/>
  <c r="CP16" i="7" s="1"/>
  <c r="AI38" i="7"/>
  <c r="BM32" i="7"/>
  <c r="S30" i="7"/>
  <c r="BS73" i="7" s="1"/>
  <c r="AG28" i="7"/>
  <c r="AL28" i="8"/>
  <c r="CK109" i="7"/>
  <c r="CO109" i="7" s="1"/>
  <c r="CS109" i="7" s="1"/>
  <c r="P19" i="7"/>
  <c r="BQ16" i="8"/>
  <c r="CE47" i="8" s="1"/>
  <c r="R9" i="7"/>
  <c r="CD36" i="7"/>
  <c r="CH36" i="7" s="1"/>
  <c r="CL36" i="7" s="1"/>
  <c r="CP36" i="7" s="1"/>
  <c r="AV14" i="7"/>
  <c r="CJ96" i="7"/>
  <c r="CN96" i="7" s="1"/>
  <c r="CR96" i="7" s="1"/>
  <c r="BA134" i="8"/>
  <c r="CB134" i="8" s="1"/>
  <c r="CZ116" i="8"/>
  <c r="DD116" i="8" s="1"/>
  <c r="DH116" i="8" s="1"/>
  <c r="DL116" i="8" s="1"/>
  <c r="BQ130" i="8"/>
  <c r="CD130" i="8" s="1"/>
  <c r="AG144" i="8"/>
  <c r="CI104" i="8"/>
  <c r="CM104" i="8" s="1"/>
  <c r="CQ104" i="8" s="1"/>
  <c r="CU104" i="8" s="1"/>
  <c r="AJ28" i="8"/>
  <c r="AH22" i="7"/>
  <c r="CG87" i="8"/>
  <c r="CK87" i="8" s="1"/>
  <c r="CO87" i="8" s="1"/>
  <c r="CS87" i="8" s="1"/>
  <c r="CD96" i="7"/>
  <c r="CH96" i="7" s="1"/>
  <c r="CL96" i="7" s="1"/>
  <c r="CP96" i="7" s="1"/>
  <c r="CF94" i="7"/>
  <c r="CJ94" i="7" s="1"/>
  <c r="CN94" i="7" s="1"/>
  <c r="CR94" i="7" s="1"/>
  <c r="BN24" i="7"/>
  <c r="CA24" i="7" s="1"/>
  <c r="AG21" i="7"/>
  <c r="AX20" i="7"/>
  <c r="BY20" i="7" s="1"/>
  <c r="R25" i="7"/>
  <c r="AH19" i="7"/>
  <c r="S18" i="7"/>
  <c r="CE17" i="7"/>
  <c r="CI17" i="7" s="1"/>
  <c r="CM17" i="7" s="1"/>
  <c r="CQ17" i="7" s="1"/>
  <c r="CD15" i="7"/>
  <c r="CH15" i="7" s="1"/>
  <c r="CL15" i="7" s="1"/>
  <c r="CP15" i="7" s="1"/>
  <c r="CE27" i="7"/>
  <c r="CI27" i="7" s="1"/>
  <c r="CM27" i="7" s="1"/>
  <c r="CQ27" i="7" s="1"/>
  <c r="M135" i="8"/>
  <c r="CF113" i="7"/>
  <c r="CJ113" i="7" s="1"/>
  <c r="CN113" i="7" s="1"/>
  <c r="CR113" i="7" s="1"/>
  <c r="R15" i="7"/>
  <c r="N42" i="7"/>
  <c r="CE40" i="7"/>
  <c r="CI40" i="7" s="1"/>
  <c r="CM40" i="7" s="1"/>
  <c r="CQ40" i="7" s="1"/>
  <c r="CD38" i="7"/>
  <c r="CH38" i="7" s="1"/>
  <c r="CL38" i="7" s="1"/>
  <c r="CP38" i="7" s="1"/>
  <c r="AB135" i="8"/>
  <c r="CF105" i="7"/>
  <c r="CJ105" i="7" s="1"/>
  <c r="CN105" i="7" s="1"/>
  <c r="CR105" i="7" s="1"/>
  <c r="CZ89" i="8"/>
  <c r="DD89" i="8" s="1"/>
  <c r="DH89" i="8" s="1"/>
  <c r="DL89" i="8" s="1"/>
  <c r="AL13" i="8"/>
  <c r="AH40" i="7"/>
  <c r="S38" i="7"/>
  <c r="AX37" i="7"/>
  <c r="BX37" i="7" s="1"/>
  <c r="CY108" i="8"/>
  <c r="DC108" i="8" s="1"/>
  <c r="DG108" i="8" s="1"/>
  <c r="DK108" i="8" s="1"/>
  <c r="AW32" i="7"/>
  <c r="AX31" i="7"/>
  <c r="BY31" i="7" s="1"/>
  <c r="AX5" i="7"/>
  <c r="CG114" i="8"/>
  <c r="CK114" i="8" s="1"/>
  <c r="CO114" i="8" s="1"/>
  <c r="CS114" i="8" s="1"/>
  <c r="CD125" i="7"/>
  <c r="CH125" i="7" s="1"/>
  <c r="CL125" i="7" s="1"/>
  <c r="CP125" i="7" s="1"/>
  <c r="CJ104" i="8"/>
  <c r="CN104" i="8" s="1"/>
  <c r="CR104" i="8" s="1"/>
  <c r="CV104" i="8" s="1"/>
  <c r="AH26" i="7"/>
  <c r="BN25" i="7"/>
  <c r="CB25" i="7" s="1"/>
  <c r="E42" i="7"/>
  <c r="DE105" i="8"/>
  <c r="DI105" i="8" s="1"/>
  <c r="DM105" i="8" s="1"/>
  <c r="CZ114" i="8"/>
  <c r="DD114" i="8" s="1"/>
  <c r="DH114" i="8" s="1"/>
  <c r="DL114" i="8" s="1"/>
  <c r="S41" i="7"/>
  <c r="AF32" i="7"/>
  <c r="S29" i="7"/>
  <c r="CF25" i="7"/>
  <c r="CJ25" i="7" s="1"/>
  <c r="CN25" i="7" s="1"/>
  <c r="CR25" i="7" s="1"/>
  <c r="AX13" i="7"/>
  <c r="CD6" i="7"/>
  <c r="CH6" i="7" s="1"/>
  <c r="CL6" i="7" s="1"/>
  <c r="CP6" i="7" s="1"/>
  <c r="BM40" i="7"/>
  <c r="P20" i="7"/>
  <c r="CE35" i="7"/>
  <c r="CI35" i="7" s="1"/>
  <c r="CM35" i="7" s="1"/>
  <c r="CQ35" i="7" s="1"/>
  <c r="CF34" i="7"/>
  <c r="CJ34" i="7" s="1"/>
  <c r="CN34" i="7" s="1"/>
  <c r="CR34" i="7" s="1"/>
  <c r="BM7" i="7"/>
  <c r="AH13" i="7"/>
  <c r="AX34" i="7"/>
  <c r="BL32" i="7"/>
  <c r="AF26" i="7"/>
  <c r="AG20" i="7"/>
  <c r="BL29" i="7"/>
  <c r="Q28" i="7"/>
  <c r="AW27" i="7"/>
  <c r="AW26" i="7"/>
  <c r="CF22" i="7"/>
  <c r="CJ22" i="7" s="1"/>
  <c r="CN22" i="7" s="1"/>
  <c r="CR22" i="7" s="1"/>
  <c r="AV20" i="7"/>
  <c r="BW20" i="7" s="1"/>
  <c r="BM16" i="7"/>
  <c r="Q24" i="7"/>
  <c r="AW21" i="7"/>
  <c r="AV18" i="7"/>
  <c r="Q9" i="7"/>
  <c r="BN23" i="7"/>
  <c r="R29" i="7"/>
  <c r="CG9" i="7"/>
  <c r="CK9" i="7" s="1"/>
  <c r="CO9" i="7" s="1"/>
  <c r="CS9" i="7" s="1"/>
  <c r="AH31" i="7"/>
  <c r="Q23" i="7"/>
  <c r="R34" i="7"/>
  <c r="R22" i="7"/>
  <c r="CJ13" i="7"/>
  <c r="CN13" i="7" s="1"/>
  <c r="CR13" i="7" s="1"/>
  <c r="CG10" i="7"/>
  <c r="CK10" i="7" s="1"/>
  <c r="CO10" i="7" s="1"/>
  <c r="CS10" i="7" s="1"/>
  <c r="S27" i="7"/>
  <c r="BS70" i="7" s="1"/>
  <c r="CG41" i="7"/>
  <c r="CK41" i="7" s="1"/>
  <c r="CO41" i="7" s="1"/>
  <c r="CS41" i="7" s="1"/>
  <c r="AG31" i="7"/>
  <c r="BN20" i="7"/>
  <c r="CB63" i="7" s="1"/>
  <c r="CD20" i="7"/>
  <c r="CH20" i="7" s="1"/>
  <c r="CL20" i="7" s="1"/>
  <c r="CP20" i="7" s="1"/>
  <c r="AG19" i="7"/>
  <c r="AI11" i="7"/>
  <c r="AH41" i="7"/>
  <c r="S40" i="7"/>
  <c r="AH35" i="7"/>
  <c r="AV31" i="7"/>
  <c r="Q26" i="7"/>
  <c r="BR26" i="7" s="1"/>
  <c r="BN21" i="7"/>
  <c r="CB21" i="7" s="1"/>
  <c r="AG15" i="7"/>
  <c r="CF14" i="7"/>
  <c r="CJ14" i="7" s="1"/>
  <c r="CN14" i="7" s="1"/>
  <c r="CR14" i="7" s="1"/>
  <c r="CF11" i="7"/>
  <c r="CJ11" i="7" s="1"/>
  <c r="CN11" i="7" s="1"/>
  <c r="CR11" i="7" s="1"/>
  <c r="AX10" i="7"/>
  <c r="BY10" i="7" s="1"/>
  <c r="AI9" i="7"/>
  <c r="AV9" i="7"/>
  <c r="AG8" i="7"/>
  <c r="R7" i="7"/>
  <c r="P6" i="7"/>
  <c r="CE28" i="7"/>
  <c r="CI28" i="7" s="1"/>
  <c r="CM28" i="7" s="1"/>
  <c r="CQ28" i="7" s="1"/>
  <c r="BM27" i="7"/>
  <c r="BZ27" i="7" s="1"/>
  <c r="AV23" i="7"/>
  <c r="AJ15" i="8"/>
  <c r="CZ86" i="8"/>
  <c r="DD86" i="8" s="1"/>
  <c r="DH86" i="8" s="1"/>
  <c r="DL86" i="8" s="1"/>
  <c r="P32" i="7"/>
  <c r="AX21" i="7"/>
  <c r="CD19" i="7"/>
  <c r="CH19" i="7" s="1"/>
  <c r="CL19" i="7" s="1"/>
  <c r="CP19" i="7" s="1"/>
  <c r="Q41" i="7"/>
  <c r="AX38" i="7"/>
  <c r="BY38" i="7" s="1"/>
  <c r="P33" i="7"/>
  <c r="BQ33" i="7" s="1"/>
  <c r="CF31" i="7"/>
  <c r="CJ31" i="7" s="1"/>
  <c r="CN31" i="7" s="1"/>
  <c r="CR31" i="7" s="1"/>
  <c r="AI18" i="7"/>
  <c r="CG19" i="7"/>
  <c r="CK19" i="7" s="1"/>
  <c r="CO19" i="7" s="1"/>
  <c r="CS19" i="7" s="1"/>
  <c r="CD29" i="7"/>
  <c r="CH29" i="7" s="1"/>
  <c r="CL29" i="7" s="1"/>
  <c r="CP29" i="7" s="1"/>
  <c r="AX28" i="7"/>
  <c r="BY28" i="7" s="1"/>
  <c r="AG27" i="7"/>
  <c r="AF24" i="7"/>
  <c r="CD17" i="7"/>
  <c r="CH17" i="7" s="1"/>
  <c r="CL17" i="7" s="1"/>
  <c r="CP17" i="7" s="1"/>
  <c r="AG16" i="7"/>
  <c r="AX11" i="7"/>
  <c r="BY11" i="7" s="1"/>
  <c r="AG9" i="7"/>
  <c r="F42" i="7"/>
  <c r="AW22" i="7"/>
  <c r="AI17" i="7"/>
  <c r="BM11" i="7"/>
  <c r="AI130" i="8"/>
  <c r="BW130" i="8" s="1"/>
  <c r="S24" i="7"/>
  <c r="R21" i="7"/>
  <c r="BR64" i="7" s="1"/>
  <c r="BM35" i="7"/>
  <c r="AX26" i="7"/>
  <c r="BY26" i="7" s="1"/>
  <c r="S25" i="7"/>
  <c r="R16" i="7"/>
  <c r="CI114" i="8"/>
  <c r="CM114" i="8" s="1"/>
  <c r="CQ114" i="8" s="1"/>
  <c r="CU114" i="8" s="1"/>
  <c r="CG21" i="7"/>
  <c r="CK21" i="7" s="1"/>
  <c r="CO21" i="7" s="1"/>
  <c r="CS21" i="7" s="1"/>
  <c r="AW19" i="7"/>
  <c r="CD13" i="7"/>
  <c r="CH13" i="7" s="1"/>
  <c r="CL13" i="7" s="1"/>
  <c r="CP13" i="7" s="1"/>
  <c r="AI16" i="7"/>
  <c r="R10" i="7"/>
  <c r="BS53" i="7" s="1"/>
  <c r="AI31" i="7"/>
  <c r="BC118" i="8"/>
  <c r="CG118" i="7"/>
  <c r="CK118" i="7" s="1"/>
  <c r="CO118" i="7" s="1"/>
  <c r="CS118" i="7" s="1"/>
  <c r="CG115" i="7"/>
  <c r="CK115" i="7" s="1"/>
  <c r="CO115" i="7" s="1"/>
  <c r="CS115" i="7" s="1"/>
  <c r="AJ29" i="8"/>
  <c r="AV26" i="7"/>
  <c r="Q25" i="7"/>
  <c r="AW24" i="7"/>
  <c r="AH23" i="7"/>
  <c r="CZ94" i="8"/>
  <c r="DD94" i="8" s="1"/>
  <c r="DH94" i="8" s="1"/>
  <c r="DL94" i="8" s="1"/>
  <c r="CF104" i="7"/>
  <c r="CJ104" i="7" s="1"/>
  <c r="CN104" i="7" s="1"/>
  <c r="AI15" i="7"/>
  <c r="AJ14" i="8"/>
  <c r="AV12" i="7"/>
  <c r="AG11" i="7"/>
  <c r="AN42" i="7"/>
  <c r="AG7" i="7"/>
  <c r="BU7" i="7" s="1"/>
  <c r="AV5" i="7"/>
  <c r="R11" i="7"/>
  <c r="AV27" i="7"/>
  <c r="AT42" i="7"/>
  <c r="W42" i="7"/>
  <c r="R31" i="7"/>
  <c r="P17" i="7"/>
  <c r="P29" i="7"/>
  <c r="CG29" i="7"/>
  <c r="CK29" i="7" s="1"/>
  <c r="CO29" i="7" s="1"/>
  <c r="CS29" i="7" s="1"/>
  <c r="CG40" i="7"/>
  <c r="CK40" i="7" s="1"/>
  <c r="CO40" i="7" s="1"/>
  <c r="CS40" i="7" s="1"/>
  <c r="CG27" i="7"/>
  <c r="CK27" i="7" s="1"/>
  <c r="CO27" i="7" s="1"/>
  <c r="CS27" i="7" s="1"/>
  <c r="CF7" i="7"/>
  <c r="CJ7" i="7" s="1"/>
  <c r="CN7" i="7" s="1"/>
  <c r="CR7" i="7" s="1"/>
  <c r="AE42" i="7"/>
  <c r="CX103" i="8"/>
  <c r="DB103" i="8" s="1"/>
  <c r="DF103" i="8" s="1"/>
  <c r="DJ103" i="8" s="1"/>
  <c r="BA28" i="8"/>
  <c r="CB59" i="8" s="1"/>
  <c r="CJ100" i="8"/>
  <c r="CN100" i="8" s="1"/>
  <c r="CR100" i="8" s="1"/>
  <c r="CV100" i="8" s="1"/>
  <c r="BO22" i="8"/>
  <c r="BO19" i="8"/>
  <c r="CG93" i="8"/>
  <c r="CK93" i="8" s="1"/>
  <c r="CO93" i="8" s="1"/>
  <c r="CS93" i="8" s="1"/>
  <c r="CI91" i="8"/>
  <c r="CM91" i="8" s="1"/>
  <c r="CQ91" i="8" s="1"/>
  <c r="DE116" i="8"/>
  <c r="DI116" i="8" s="1"/>
  <c r="DM116" i="8" s="1"/>
  <c r="AG34" i="7"/>
  <c r="BO23" i="8"/>
  <c r="CG97" i="8"/>
  <c r="CK97" i="8" s="1"/>
  <c r="CO97" i="8" s="1"/>
  <c r="CS97" i="8" s="1"/>
  <c r="AK134" i="8"/>
  <c r="CJ116" i="8"/>
  <c r="CN116" i="8" s="1"/>
  <c r="CR116" i="8" s="1"/>
  <c r="CV116" i="8" s="1"/>
  <c r="AF40" i="7"/>
  <c r="CG37" i="7"/>
  <c r="CK37" i="7" s="1"/>
  <c r="CO37" i="7" s="1"/>
  <c r="CS37" i="7" s="1"/>
  <c r="BL23" i="7"/>
  <c r="AI20" i="7"/>
  <c r="AY20" i="8"/>
  <c r="DE85" i="8"/>
  <c r="DI85" i="8" s="1"/>
  <c r="DM85" i="8" s="1"/>
  <c r="BM25" i="7"/>
  <c r="AH24" i="7"/>
  <c r="R8" i="7"/>
  <c r="Q32" i="7"/>
  <c r="CF5" i="7"/>
  <c r="CJ5" i="7" s="1"/>
  <c r="CN5" i="7" s="1"/>
  <c r="P18" i="7"/>
  <c r="AI8" i="7"/>
  <c r="AG5" i="7"/>
  <c r="R14" i="7"/>
  <c r="BP129" i="8"/>
  <c r="CX104" i="8"/>
  <c r="DB104" i="8" s="1"/>
  <c r="DF104" i="8" s="1"/>
  <c r="DJ104" i="8" s="1"/>
  <c r="CZ91" i="8"/>
  <c r="DD91" i="8" s="1"/>
  <c r="DH91" i="8" s="1"/>
  <c r="DL91" i="8" s="1"/>
  <c r="CF97" i="7"/>
  <c r="CJ97" i="7" s="1"/>
  <c r="CN97" i="7" s="1"/>
  <c r="CR97" i="7" s="1"/>
  <c r="AJ10" i="8"/>
  <c r="CZ95" i="8"/>
  <c r="DD95" i="8" s="1"/>
  <c r="DH95" i="8" s="1"/>
  <c r="DL95" i="8" s="1"/>
  <c r="CN122" i="7"/>
  <c r="CR122" i="7" s="1"/>
  <c r="CX111" i="8"/>
  <c r="DB111" i="8" s="1"/>
  <c r="DF111" i="8" s="1"/>
  <c r="DJ111" i="8" s="1"/>
  <c r="BO15" i="8"/>
  <c r="CY110" i="8"/>
  <c r="DC110" i="8" s="1"/>
  <c r="DG110" i="8" s="1"/>
  <c r="DK110" i="8" s="1"/>
  <c r="CE13" i="7"/>
  <c r="CI13" i="7" s="1"/>
  <c r="CM13" i="7" s="1"/>
  <c r="CQ13" i="7" s="1"/>
  <c r="CE12" i="7"/>
  <c r="CI12" i="7" s="1"/>
  <c r="CM12" i="7" s="1"/>
  <c r="CQ12" i="7" s="1"/>
  <c r="CG96" i="7"/>
  <c r="CK96" i="7" s="1"/>
  <c r="CO96" i="7" s="1"/>
  <c r="CS96" i="7" s="1"/>
  <c r="R32" i="7"/>
  <c r="CG108" i="8"/>
  <c r="CK108" i="8" s="1"/>
  <c r="CO108" i="8" s="1"/>
  <c r="CS108" i="8" s="1"/>
  <c r="S31" i="7"/>
  <c r="AF28" i="7"/>
  <c r="CY102" i="8"/>
  <c r="DC102" i="8" s="1"/>
  <c r="DG102" i="8" s="1"/>
  <c r="DK102" i="8" s="1"/>
  <c r="CF109" i="7"/>
  <c r="CJ109" i="7" s="1"/>
  <c r="CN109" i="7" s="1"/>
  <c r="CR109" i="7" s="1"/>
  <c r="BP21" i="8"/>
  <c r="CG104" i="7"/>
  <c r="CK104" i="7" s="1"/>
  <c r="CO104" i="7" s="1"/>
  <c r="CS104" i="7" s="1"/>
  <c r="CJ90" i="8"/>
  <c r="CN90" i="8" s="1"/>
  <c r="CR90" i="8" s="1"/>
  <c r="CV90" i="8" s="1"/>
  <c r="DE90" i="8"/>
  <c r="DI90" i="8" s="1"/>
  <c r="DM90" i="8" s="1"/>
  <c r="CE8" i="7"/>
  <c r="CI8" i="7" s="1"/>
  <c r="CM8" i="7" s="1"/>
  <c r="CQ8" i="7" s="1"/>
  <c r="CD126" i="7"/>
  <c r="CH126" i="7" s="1"/>
  <c r="CL126" i="7" s="1"/>
  <c r="CP126" i="7" s="1"/>
  <c r="AZ30" i="8"/>
  <c r="CF123" i="7"/>
  <c r="CJ123" i="7" s="1"/>
  <c r="CN123" i="7" s="1"/>
  <c r="CR123" i="7" s="1"/>
  <c r="BQ30" i="8"/>
  <c r="CE61" i="8" s="1"/>
  <c r="CH94" i="8"/>
  <c r="CL94" i="8" s="1"/>
  <c r="CP94" i="8" s="1"/>
  <c r="CT94" i="8" s="1"/>
  <c r="CE102" i="7"/>
  <c r="CI102" i="7" s="1"/>
  <c r="CM102" i="7" s="1"/>
  <c r="CQ102" i="7" s="1"/>
  <c r="CH90" i="8"/>
  <c r="CL90" i="8" s="1"/>
  <c r="CP90" i="8" s="1"/>
  <c r="CT90" i="8" s="1"/>
  <c r="AK15" i="8"/>
  <c r="CH87" i="8"/>
  <c r="CL87" i="8" s="1"/>
  <c r="CP87" i="8" s="1"/>
  <c r="CT87" i="8" s="1"/>
  <c r="AK12" i="8"/>
  <c r="CH86" i="8"/>
  <c r="CL86" i="8" s="1"/>
  <c r="CY84" i="8"/>
  <c r="DC84" i="8" s="1"/>
  <c r="DG84" i="8" s="1"/>
  <c r="DK84" i="8" s="1"/>
  <c r="CJ83" i="8"/>
  <c r="CN83" i="8" s="1"/>
  <c r="CR83" i="8" s="1"/>
  <c r="CV83" i="8" s="1"/>
  <c r="AI9" i="8"/>
  <c r="DE82" i="8"/>
  <c r="DI82" i="8" s="1"/>
  <c r="DM82" i="8" s="1"/>
  <c r="BA25" i="8"/>
  <c r="CB56" i="8" s="1"/>
  <c r="AZ18" i="8"/>
  <c r="BO11" i="8"/>
  <c r="CG85" i="8"/>
  <c r="CK85" i="8" s="1"/>
  <c r="CO85" i="8" s="1"/>
  <c r="CS85" i="8" s="1"/>
  <c r="CD111" i="7"/>
  <c r="CH111" i="7" s="1"/>
  <c r="CL111" i="7" s="1"/>
  <c r="CP111" i="7" s="1"/>
  <c r="AI22" i="8"/>
  <c r="CZ100" i="8"/>
  <c r="DD100" i="8" s="1"/>
  <c r="DH100" i="8" s="1"/>
  <c r="DL100" i="8" s="1"/>
  <c r="CF112" i="7"/>
  <c r="CJ112" i="7" s="1"/>
  <c r="CN112" i="7" s="1"/>
  <c r="CR112" i="7" s="1"/>
  <c r="CF124" i="7"/>
  <c r="CJ124" i="7" s="1"/>
  <c r="CN124" i="7" s="1"/>
  <c r="CR124" i="7" s="1"/>
  <c r="BL135" i="8"/>
  <c r="AV28" i="7"/>
  <c r="BM26" i="7"/>
  <c r="AH25" i="7"/>
  <c r="BV68" i="7" s="1"/>
  <c r="CE111" i="7"/>
  <c r="CI111" i="7" s="1"/>
  <c r="CM111" i="7" s="1"/>
  <c r="CQ111" i="7" s="1"/>
  <c r="AI27" i="8"/>
  <c r="BN22" i="7"/>
  <c r="CB65" i="7" s="1"/>
  <c r="CD107" i="7"/>
  <c r="CH107" i="7" s="1"/>
  <c r="CL107" i="7" s="1"/>
  <c r="CP107" i="7" s="1"/>
  <c r="AG18" i="7"/>
  <c r="BT61" i="7" s="1"/>
  <c r="AX12" i="7"/>
  <c r="BY12" i="7" s="1"/>
  <c r="BA11" i="8"/>
  <c r="CB42" i="8" s="1"/>
  <c r="CZ83" i="8"/>
  <c r="DD83" i="8" s="1"/>
  <c r="DH83" i="8" s="1"/>
  <c r="DL83" i="8" s="1"/>
  <c r="AJ9" i="8"/>
  <c r="BA128" i="7"/>
  <c r="CJ114" i="8"/>
  <c r="CN114" i="8" s="1"/>
  <c r="CR114" i="8" s="1"/>
  <c r="CV114" i="8" s="1"/>
  <c r="AJ128" i="8"/>
  <c r="BW128" i="8" s="1"/>
  <c r="BM28" i="7"/>
  <c r="CY101" i="8"/>
  <c r="DC101" i="8" s="1"/>
  <c r="DG101" i="8" s="1"/>
  <c r="DK101" i="8" s="1"/>
  <c r="BL24" i="7"/>
  <c r="BO25" i="8"/>
  <c r="CI97" i="8"/>
  <c r="CM97" i="8" s="1"/>
  <c r="CQ97" i="8" s="1"/>
  <c r="CU97" i="8" s="1"/>
  <c r="CE18" i="7"/>
  <c r="CI18" i="7" s="1"/>
  <c r="CM18" i="7" s="1"/>
  <c r="CQ18" i="7" s="1"/>
  <c r="AV15" i="7"/>
  <c r="BA16" i="8"/>
  <c r="CB47" i="8" s="1"/>
  <c r="AH8" i="7"/>
  <c r="AG6" i="7"/>
  <c r="CY116" i="8"/>
  <c r="DC116" i="8" s="1"/>
  <c r="DG116" i="8" s="1"/>
  <c r="DK116" i="8" s="1"/>
  <c r="BL35" i="7"/>
  <c r="BM34" i="7"/>
  <c r="CE114" i="7"/>
  <c r="CI114" i="7" s="1"/>
  <c r="CM114" i="7" s="1"/>
  <c r="CQ114" i="7" s="1"/>
  <c r="AI30" i="8"/>
  <c r="CJ103" i="8"/>
  <c r="CN103" i="8" s="1"/>
  <c r="CR103" i="8" s="1"/>
  <c r="CV103" i="8" s="1"/>
  <c r="CX97" i="8"/>
  <c r="DB97" i="8" s="1"/>
  <c r="DF97" i="8" s="1"/>
  <c r="DJ97" i="8" s="1"/>
  <c r="BA22" i="8"/>
  <c r="BP20" i="8"/>
  <c r="BP18" i="8"/>
  <c r="DE92" i="8"/>
  <c r="DI92" i="8" s="1"/>
  <c r="DM92" i="8" s="1"/>
  <c r="BM14" i="7"/>
  <c r="BA8" i="8"/>
  <c r="CB8" i="8" s="1"/>
  <c r="AY8" i="8"/>
  <c r="CE120" i="7"/>
  <c r="CI120" i="7" s="1"/>
  <c r="CM120" i="7" s="1"/>
  <c r="CQ120" i="7" s="1"/>
  <c r="CD33" i="7"/>
  <c r="CH33" i="7" s="1"/>
  <c r="CL33" i="7" s="1"/>
  <c r="CP33" i="7" s="1"/>
  <c r="BO28" i="8"/>
  <c r="CG102" i="8"/>
  <c r="CK102" i="8" s="1"/>
  <c r="CO102" i="8" s="1"/>
  <c r="CS102" i="8" s="1"/>
  <c r="AG41" i="7"/>
  <c r="R40" i="7"/>
  <c r="R37" i="7"/>
  <c r="BR80" i="7" s="1"/>
  <c r="AI35" i="7"/>
  <c r="AJ129" i="8"/>
  <c r="BL34" i="7"/>
  <c r="AV32" i="7"/>
  <c r="AW31" i="7"/>
  <c r="CD117" i="7"/>
  <c r="CH117" i="7" s="1"/>
  <c r="CL117" i="7" s="1"/>
  <c r="CP117" i="7" s="1"/>
  <c r="AH30" i="7"/>
  <c r="BL28" i="7"/>
  <c r="AX22" i="7"/>
  <c r="BY22" i="7" s="1"/>
  <c r="AV21" i="7"/>
  <c r="BP22" i="8"/>
  <c r="Q20" i="7"/>
  <c r="AH18" i="7"/>
  <c r="CE104" i="7"/>
  <c r="CI104" i="7" s="1"/>
  <c r="CM104" i="7" s="1"/>
  <c r="CQ104" i="7" s="1"/>
  <c r="AI20" i="8"/>
  <c r="S17" i="7"/>
  <c r="CE16" i="7"/>
  <c r="CI16" i="7" s="1"/>
  <c r="CM16" i="7" s="1"/>
  <c r="CQ16" i="7" s="1"/>
  <c r="CE100" i="7"/>
  <c r="CI100" i="7" s="1"/>
  <c r="CM100" i="7" s="1"/>
  <c r="CQ100" i="7" s="1"/>
  <c r="AI16" i="8"/>
  <c r="AK14" i="8"/>
  <c r="AH11" i="7"/>
  <c r="CE97" i="7"/>
  <c r="CI97" i="7" s="1"/>
  <c r="CM97" i="7" s="1"/>
  <c r="CQ97" i="7" s="1"/>
  <c r="BL8" i="7"/>
  <c r="BM6" i="7"/>
  <c r="BL9" i="7"/>
  <c r="CE92" i="7"/>
  <c r="CI92" i="7" s="1"/>
  <c r="CM92" i="7" s="1"/>
  <c r="CQ92" i="7" s="1"/>
  <c r="BL10" i="7"/>
  <c r="CD95" i="7"/>
  <c r="CH95" i="7" s="1"/>
  <c r="CL95" i="7" s="1"/>
  <c r="CP95" i="7" s="1"/>
  <c r="BQ134" i="8"/>
  <c r="CF41" i="7"/>
  <c r="CJ41" i="7" s="1"/>
  <c r="CN41" i="7" s="1"/>
  <c r="CR41" i="7" s="1"/>
  <c r="AZ133" i="8"/>
  <c r="AF36" i="7"/>
  <c r="BT79" i="7" s="1"/>
  <c r="CD121" i="7"/>
  <c r="CH121" i="7" s="1"/>
  <c r="CL121" i="7" s="1"/>
  <c r="CP121" i="7" s="1"/>
  <c r="DE110" i="8"/>
  <c r="DI110" i="8" s="1"/>
  <c r="DM110" i="8" s="1"/>
  <c r="CZ106" i="8"/>
  <c r="DD106" i="8" s="1"/>
  <c r="DH106" i="8" s="1"/>
  <c r="DL106" i="8" s="1"/>
  <c r="AL29" i="8"/>
  <c r="AX9" i="7"/>
  <c r="BY52" i="7" s="1"/>
  <c r="F128" i="7"/>
  <c r="CF91" i="7"/>
  <c r="CJ91" i="7" s="1"/>
  <c r="CN91" i="7" s="1"/>
  <c r="CF120" i="7"/>
  <c r="CJ120" i="7" s="1"/>
  <c r="CN120" i="7" s="1"/>
  <c r="CR120" i="7" s="1"/>
  <c r="CG28" i="7"/>
  <c r="CK28" i="7" s="1"/>
  <c r="CO28" i="7" s="1"/>
  <c r="CS28" i="7" s="1"/>
  <c r="S28" i="7"/>
  <c r="P24" i="7"/>
  <c r="L42" i="7"/>
  <c r="AL42" i="7"/>
  <c r="CI8" i="8"/>
  <c r="U8" i="8"/>
  <c r="AS75" i="8"/>
  <c r="BL118" i="8"/>
  <c r="CG26" i="7"/>
  <c r="CK26" i="7" s="1"/>
  <c r="CO26" i="7" s="1"/>
  <c r="CS26" i="7" s="1"/>
  <c r="S26" i="7"/>
  <c r="BS69" i="7" s="1"/>
  <c r="R135" i="8"/>
  <c r="AV19" i="7"/>
  <c r="Q14" i="7"/>
  <c r="CE14" i="7"/>
  <c r="CI14" i="7" s="1"/>
  <c r="CM14" i="7" s="1"/>
  <c r="CQ14" i="7" s="1"/>
  <c r="BM13" i="7"/>
  <c r="S11" i="7"/>
  <c r="K42" i="7"/>
  <c r="AV11" i="7"/>
  <c r="Y42" i="7"/>
  <c r="S23" i="7"/>
  <c r="P38" i="7"/>
  <c r="BQ81" i="7" s="1"/>
  <c r="CF15" i="7"/>
  <c r="CJ15" i="7" s="1"/>
  <c r="CN15" i="7" s="1"/>
  <c r="CD24" i="7"/>
  <c r="CH24" i="7" s="1"/>
  <c r="CL24" i="7" s="1"/>
  <c r="CP24" i="7" s="1"/>
  <c r="AX8" i="7"/>
  <c r="BY51" i="7" s="1"/>
  <c r="R28" i="7"/>
  <c r="CF28" i="7"/>
  <c r="CJ28" i="7" s="1"/>
  <c r="CN28" i="7" s="1"/>
  <c r="CR28" i="7" s="1"/>
  <c r="AC128" i="7"/>
  <c r="BI42" i="7"/>
  <c r="S8" i="7"/>
  <c r="CG8" i="7"/>
  <c r="CK8" i="7" s="1"/>
  <c r="CO8" i="7" s="1"/>
  <c r="CS8" i="7" s="1"/>
  <c r="AA42" i="7"/>
  <c r="CH134" i="8"/>
  <c r="T134" i="8"/>
  <c r="AW23" i="7"/>
  <c r="AK42" i="7"/>
  <c r="P22" i="7"/>
  <c r="CD22" i="7"/>
  <c r="CH22" i="7" s="1"/>
  <c r="CL22" i="7" s="1"/>
  <c r="CP22" i="7" s="1"/>
  <c r="CF17" i="7"/>
  <c r="CJ17" i="7" s="1"/>
  <c r="CN17" i="7" s="1"/>
  <c r="CR17" i="7" s="1"/>
  <c r="R17" i="7"/>
  <c r="AG14" i="7"/>
  <c r="AG10" i="7"/>
  <c r="W85" i="7"/>
  <c r="AN85" i="7"/>
  <c r="CG126" i="7"/>
  <c r="CK126" i="7" s="1"/>
  <c r="CO126" i="7" s="1"/>
  <c r="CS126" i="7" s="1"/>
  <c r="AP144" i="8"/>
  <c r="BB144" i="8" s="1"/>
  <c r="AX16" i="7"/>
  <c r="BX16" i="7" s="1"/>
  <c r="S15" i="7"/>
  <c r="R12" i="7"/>
  <c r="BL21" i="7"/>
  <c r="BH42" i="7"/>
  <c r="R18" i="7"/>
  <c r="CF18" i="7"/>
  <c r="CJ18" i="7" s="1"/>
  <c r="CN18" i="7" s="1"/>
  <c r="AB75" i="8"/>
  <c r="CG17" i="8"/>
  <c r="S17" i="8"/>
  <c r="AF118" i="8"/>
  <c r="BA132" i="8"/>
  <c r="CA132" i="8" s="1"/>
  <c r="CJ108" i="8"/>
  <c r="CN108" i="8" s="1"/>
  <c r="CR108" i="8" s="1"/>
  <c r="CV108" i="8" s="1"/>
  <c r="CJ105" i="8"/>
  <c r="CN105" i="8" s="1"/>
  <c r="CR105" i="8" s="1"/>
  <c r="CV105" i="8" s="1"/>
  <c r="AI27" i="7"/>
  <c r="AR85" i="7"/>
  <c r="CG35" i="7"/>
  <c r="CK35" i="7" s="1"/>
  <c r="CO35" i="7" s="1"/>
  <c r="CS35" i="7" s="1"/>
  <c r="Q27" i="7"/>
  <c r="CG15" i="7"/>
  <c r="CK15" i="7" s="1"/>
  <c r="CO15" i="7" s="1"/>
  <c r="CS15" i="7" s="1"/>
  <c r="BE118" i="8"/>
  <c r="CE25" i="7"/>
  <c r="CI25" i="7" s="1"/>
  <c r="CM25" i="7" s="1"/>
  <c r="CQ25" i="7" s="1"/>
  <c r="AI5" i="7"/>
  <c r="CG21" i="8"/>
  <c r="S21" i="8"/>
  <c r="CJ116" i="7"/>
  <c r="CN116" i="7" s="1"/>
  <c r="CR116" i="7" s="1"/>
  <c r="CG105" i="8"/>
  <c r="CK105" i="8" s="1"/>
  <c r="CO105" i="8" s="1"/>
  <c r="CS105" i="8" s="1"/>
  <c r="BJ42" i="7"/>
  <c r="S35" i="7"/>
  <c r="BS78" i="7" s="1"/>
  <c r="CH24" i="8"/>
  <c r="T24" i="8"/>
  <c r="CD11" i="7"/>
  <c r="CH11" i="7" s="1"/>
  <c r="CL11" i="7" s="1"/>
  <c r="CP11" i="7" s="1"/>
  <c r="P11" i="7"/>
  <c r="AH31" i="8"/>
  <c r="CJ26" i="8"/>
  <c r="V26" i="8"/>
  <c r="AD31" i="8"/>
  <c r="CI81" i="8"/>
  <c r="CM81" i="8" s="1"/>
  <c r="CQ81" i="8" s="1"/>
  <c r="I118" i="8"/>
  <c r="CH111" i="8"/>
  <c r="CL111" i="8" s="1"/>
  <c r="CP111" i="8" s="1"/>
  <c r="CT111" i="8" s="1"/>
  <c r="CI110" i="8"/>
  <c r="CM110" i="8" s="1"/>
  <c r="CQ110" i="8" s="1"/>
  <c r="CU110" i="8" s="1"/>
  <c r="CZ107" i="8"/>
  <c r="DD107" i="8" s="1"/>
  <c r="DH107" i="8" s="1"/>
  <c r="DL107" i="8" s="1"/>
  <c r="AH29" i="7"/>
  <c r="AX36" i="7"/>
  <c r="BX79" i="7" s="1"/>
  <c r="AD42" i="7"/>
  <c r="Q40" i="7"/>
  <c r="CE19" i="7"/>
  <c r="CI19" i="7" s="1"/>
  <c r="CM19" i="7" s="1"/>
  <c r="CQ19" i="7" s="1"/>
  <c r="CG38" i="7"/>
  <c r="CK38" i="7" s="1"/>
  <c r="CO38" i="7" s="1"/>
  <c r="CS38" i="7" s="1"/>
  <c r="AM42" i="7"/>
  <c r="AY42" i="7" s="1"/>
  <c r="AY17" i="7"/>
  <c r="BN11" i="7"/>
  <c r="BB42" i="7"/>
  <c r="AR42" i="7"/>
  <c r="AZ42" i="7"/>
  <c r="BL14" i="7"/>
  <c r="J85" i="7"/>
  <c r="AH32" i="7"/>
  <c r="AZ23" i="8"/>
  <c r="CF20" i="7"/>
  <c r="CJ20" i="7" s="1"/>
  <c r="CN20" i="7" s="1"/>
  <c r="CR20" i="7" s="1"/>
  <c r="R20" i="7"/>
  <c r="U18" i="8"/>
  <c r="CI18" i="8"/>
  <c r="AL16" i="8"/>
  <c r="CX85" i="8"/>
  <c r="DB85" i="8" s="1"/>
  <c r="DF85" i="8" s="1"/>
  <c r="DJ85" i="8" s="1"/>
  <c r="AW75" i="8"/>
  <c r="BI82" i="8"/>
  <c r="BI39" i="8"/>
  <c r="BF92" i="7"/>
  <c r="BF49" i="7"/>
  <c r="BI8" i="8"/>
  <c r="BQ8" i="8" s="1"/>
  <c r="AP42" i="7"/>
  <c r="Q18" i="7"/>
  <c r="CG11" i="7"/>
  <c r="CK11" i="7" s="1"/>
  <c r="CO11" i="7" s="1"/>
  <c r="CS11" i="7" s="1"/>
  <c r="V25" i="8"/>
  <c r="CJ25" i="8"/>
  <c r="CD103" i="7"/>
  <c r="CH103" i="7" s="1"/>
  <c r="CL103" i="7" s="1"/>
  <c r="CP103" i="7" s="1"/>
  <c r="AV8" i="7"/>
  <c r="AI19" i="7"/>
  <c r="M42" i="7"/>
  <c r="CE10" i="7"/>
  <c r="CI10" i="7" s="1"/>
  <c r="Q10" i="7"/>
  <c r="BM9" i="7"/>
  <c r="CA9" i="7" s="1"/>
  <c r="S7" i="7"/>
  <c r="CG7" i="7"/>
  <c r="CK7" i="7" s="1"/>
  <c r="CO7" i="7" s="1"/>
  <c r="CS7" i="7" s="1"/>
  <c r="O42" i="7"/>
  <c r="AV7" i="7"/>
  <c r="AJ42" i="7"/>
  <c r="U42" i="7"/>
  <c r="R75" i="8"/>
  <c r="AO75" i="8"/>
  <c r="BE42" i="7"/>
  <c r="AM31" i="8"/>
  <c r="AY7" i="8"/>
  <c r="CH15" i="8"/>
  <c r="T15" i="8"/>
  <c r="T14" i="8"/>
  <c r="CH14" i="8"/>
  <c r="AS10" i="7"/>
  <c r="AW10" i="7" s="1"/>
  <c r="AV86" i="8"/>
  <c r="AV43" i="8"/>
  <c r="AV12" i="8"/>
  <c r="AZ12" i="8" s="1"/>
  <c r="AS96" i="7"/>
  <c r="AS53" i="7"/>
  <c r="AF9" i="7"/>
  <c r="T42" i="7"/>
  <c r="AD128" i="7"/>
  <c r="AA75" i="8"/>
  <c r="AW40" i="7"/>
  <c r="P37" i="7"/>
  <c r="BQ80" i="7" s="1"/>
  <c r="CD37" i="7"/>
  <c r="CH37" i="7" s="1"/>
  <c r="CL37" i="7" s="1"/>
  <c r="CP37" i="7" s="1"/>
  <c r="AG135" i="8"/>
  <c r="CH29" i="8"/>
  <c r="T29" i="8"/>
  <c r="AF27" i="7"/>
  <c r="BM17" i="7"/>
  <c r="AO42" i="7"/>
  <c r="Q12" i="7"/>
  <c r="CF32" i="7"/>
  <c r="CJ32" i="7" s="1"/>
  <c r="CN32" i="7" s="1"/>
  <c r="CR32" i="7" s="1"/>
  <c r="CK24" i="7"/>
  <c r="CO24" i="7" s="1"/>
  <c r="CS24" i="7" s="1"/>
  <c r="S32" i="7"/>
  <c r="U22" i="8"/>
  <c r="CI22" i="8"/>
  <c r="R6" i="7"/>
  <c r="AQ75" i="8"/>
  <c r="BM5" i="7"/>
  <c r="DE104" i="8"/>
  <c r="DI104" i="8" s="1"/>
  <c r="DM104" i="8" s="1"/>
  <c r="V28" i="8"/>
  <c r="CJ28" i="8"/>
  <c r="AJ19" i="8"/>
  <c r="DE89" i="8"/>
  <c r="DI89" i="8" s="1"/>
  <c r="DM89" i="8" s="1"/>
  <c r="BE85" i="7"/>
  <c r="CJ113" i="8"/>
  <c r="CN113" i="8" s="1"/>
  <c r="CR113" i="8" s="1"/>
  <c r="CV113" i="8" s="1"/>
  <c r="I42" i="7"/>
  <c r="Z75" i="8"/>
  <c r="BQ143" i="8"/>
  <c r="AW41" i="7"/>
  <c r="V42" i="7"/>
  <c r="AK26" i="8"/>
  <c r="U128" i="7"/>
  <c r="CZ93" i="8"/>
  <c r="DD93" i="8" s="1"/>
  <c r="DH93" i="8" s="1"/>
  <c r="DL93" i="8" s="1"/>
  <c r="AY16" i="8"/>
  <c r="AY12" i="8"/>
  <c r="P31" i="8"/>
  <c r="AG118" i="8"/>
  <c r="BN29" i="7"/>
  <c r="CB29" i="7" s="1"/>
  <c r="AV83" i="8"/>
  <c r="AV40" i="8"/>
  <c r="AV9" i="8"/>
  <c r="AZ9" i="8" s="1"/>
  <c r="AS50" i="7"/>
  <c r="AS93" i="7"/>
  <c r="S37" i="7"/>
  <c r="S21" i="7"/>
  <c r="Q13" i="7"/>
  <c r="BD42" i="7"/>
  <c r="CE20" i="7"/>
  <c r="CI20" i="7" s="1"/>
  <c r="CM20" i="7" s="1"/>
  <c r="CQ20" i="7" s="1"/>
  <c r="CJ36" i="7"/>
  <c r="CN36" i="7" s="1"/>
  <c r="CR36" i="7" s="1"/>
  <c r="CD32" i="7"/>
  <c r="CH32" i="7" s="1"/>
  <c r="CL32" i="7" s="1"/>
  <c r="CP32" i="7" s="1"/>
  <c r="CE41" i="7"/>
  <c r="CI41" i="7" s="1"/>
  <c r="CM41" i="7" s="1"/>
  <c r="CQ41" i="7" s="1"/>
  <c r="AY29" i="8"/>
  <c r="CH101" i="8"/>
  <c r="CL101" i="8" s="1"/>
  <c r="CP101" i="8" s="1"/>
  <c r="CT101" i="8" s="1"/>
  <c r="CX92" i="8"/>
  <c r="DB92" i="8" s="1"/>
  <c r="DF92" i="8" s="1"/>
  <c r="DJ92" i="8" s="1"/>
  <c r="AJ12" i="8"/>
  <c r="AZ142" i="8"/>
  <c r="AN144" i="8"/>
  <c r="AZ144" i="8" s="1"/>
  <c r="R118" i="8"/>
  <c r="AM118" i="8"/>
  <c r="G83" i="8"/>
  <c r="CG83" i="8" s="1"/>
  <c r="CK83" i="8" s="1"/>
  <c r="CO83" i="8" s="1"/>
  <c r="CS83" i="8" s="1"/>
  <c r="G40" i="8"/>
  <c r="G9" i="8"/>
  <c r="D93" i="7"/>
  <c r="CD93" i="7" s="1"/>
  <c r="CH93" i="7" s="1"/>
  <c r="CL93" i="7" s="1"/>
  <c r="CP93" i="7" s="1"/>
  <c r="D50" i="7"/>
  <c r="BF5" i="7"/>
  <c r="BN5" i="7" s="1"/>
  <c r="CB48" i="7" s="1"/>
  <c r="BI81" i="8"/>
  <c r="BI7" i="8"/>
  <c r="BQ7" i="8" s="1"/>
  <c r="BI38" i="8"/>
  <c r="BF48" i="7"/>
  <c r="BF91" i="7"/>
  <c r="U29" i="8"/>
  <c r="CI29" i="8"/>
  <c r="Q16" i="7"/>
  <c r="CI6" i="7"/>
  <c r="CM6" i="7" s="1"/>
  <c r="CQ6" i="7" s="1"/>
  <c r="CF27" i="7"/>
  <c r="CJ27" i="7" s="1"/>
  <c r="CN27" i="7" s="1"/>
  <c r="CR27" i="7" s="1"/>
  <c r="CF6" i="7"/>
  <c r="CJ6" i="7" s="1"/>
  <c r="CN6" i="7" s="1"/>
  <c r="DE102" i="8"/>
  <c r="DI102" i="8" s="1"/>
  <c r="DM102" i="8" s="1"/>
  <c r="BA42" i="7"/>
  <c r="AH135" i="8"/>
  <c r="BC135" i="8"/>
  <c r="BO126" i="8"/>
  <c r="CG20" i="8"/>
  <c r="S20" i="8"/>
  <c r="U12" i="8"/>
  <c r="CI12" i="8"/>
  <c r="AE128" i="7"/>
  <c r="BE75" i="8"/>
  <c r="AC85" i="7"/>
  <c r="BO7" i="8"/>
  <c r="BC31" i="8"/>
  <c r="BP134" i="8"/>
  <c r="AL131" i="8"/>
  <c r="BO128" i="8"/>
  <c r="AW135" i="8"/>
  <c r="CG18" i="7"/>
  <c r="CK18" i="7" s="1"/>
  <c r="CO18" i="7" s="1"/>
  <c r="CS18" i="7" s="1"/>
  <c r="G42" i="7"/>
  <c r="CE15" i="7"/>
  <c r="CI15" i="7" s="1"/>
  <c r="CM15" i="7" s="1"/>
  <c r="CQ15" i="7" s="1"/>
  <c r="Q15" i="7"/>
  <c r="CJ85" i="8"/>
  <c r="CN85" i="8" s="1"/>
  <c r="CR85" i="8" s="1"/>
  <c r="CV85" i="8" s="1"/>
  <c r="CH10" i="8"/>
  <c r="T10" i="8"/>
  <c r="N118" i="8"/>
  <c r="CI132" i="8"/>
  <c r="U132" i="8"/>
  <c r="BU132" i="8" s="1"/>
  <c r="CI129" i="8"/>
  <c r="U129" i="8"/>
  <c r="AK126" i="8"/>
  <c r="Y135" i="8"/>
  <c r="CE96" i="7"/>
  <c r="CI96" i="7" s="1"/>
  <c r="AI12" i="8"/>
  <c r="P9" i="7"/>
  <c r="CD9" i="7"/>
  <c r="CH9" i="7" s="1"/>
  <c r="CL9" i="7" s="1"/>
  <c r="CP9" i="7" s="1"/>
  <c r="J75" i="8"/>
  <c r="AH5" i="7"/>
  <c r="Z42" i="7"/>
  <c r="CE91" i="7"/>
  <c r="CI91" i="7" s="1"/>
  <c r="CM91" i="7" s="1"/>
  <c r="CQ91" i="7" s="1"/>
  <c r="E128" i="7"/>
  <c r="W75" i="8"/>
  <c r="Y75" i="8"/>
  <c r="BN8" i="7"/>
  <c r="CG134" i="8"/>
  <c r="S134" i="8"/>
  <c r="CJ130" i="8"/>
  <c r="V130" i="8"/>
  <c r="BV130" i="8" s="1"/>
  <c r="U127" i="8"/>
  <c r="CI127" i="8"/>
  <c r="AC135" i="8"/>
  <c r="U142" i="8"/>
  <c r="I144" i="8"/>
  <c r="CI142" i="8"/>
  <c r="AF135" i="8"/>
  <c r="N144" i="8"/>
  <c r="AL30" i="8"/>
  <c r="CE109" i="7"/>
  <c r="CI109" i="7" s="1"/>
  <c r="CM109" i="7" s="1"/>
  <c r="CQ109" i="7" s="1"/>
  <c r="CG12" i="8"/>
  <c r="S12" i="8"/>
  <c r="U10" i="8"/>
  <c r="CI10" i="8"/>
  <c r="D8" i="7"/>
  <c r="G84" i="8"/>
  <c r="CG84" i="8" s="1"/>
  <c r="CK84" i="8" s="1"/>
  <c r="CO84" i="8" s="1"/>
  <c r="CS84" i="8" s="1"/>
  <c r="G41" i="8"/>
  <c r="G10" i="8"/>
  <c r="D51" i="7"/>
  <c r="D94" i="7"/>
  <c r="CD94" i="7" s="1"/>
  <c r="CH94" i="7" s="1"/>
  <c r="CL94" i="7" s="1"/>
  <c r="CP94" i="7" s="1"/>
  <c r="AH75" i="8"/>
  <c r="AF31" i="8"/>
  <c r="AD135" i="8"/>
  <c r="AC144" i="8"/>
  <c r="AI26" i="8"/>
  <c r="CG19" i="8"/>
  <c r="S19" i="8"/>
  <c r="CF102" i="7"/>
  <c r="CJ102" i="7" s="1"/>
  <c r="CN102" i="7" s="1"/>
  <c r="CR102" i="7" s="1"/>
  <c r="CI90" i="8"/>
  <c r="CM90" i="8" s="1"/>
  <c r="CQ90" i="8" s="1"/>
  <c r="CU90" i="8" s="1"/>
  <c r="AL15" i="8"/>
  <c r="CI87" i="8"/>
  <c r="CM87" i="8" s="1"/>
  <c r="CQ87" i="8" s="1"/>
  <c r="CU87" i="8" s="1"/>
  <c r="AL12" i="8"/>
  <c r="CZ85" i="8"/>
  <c r="DD85" i="8" s="1"/>
  <c r="DH85" i="8" s="1"/>
  <c r="DL85" i="8" s="1"/>
  <c r="AJ11" i="8"/>
  <c r="CX84" i="8"/>
  <c r="DB84" i="8" s="1"/>
  <c r="DF84" i="8" s="1"/>
  <c r="DJ84" i="8" s="1"/>
  <c r="CI83" i="8"/>
  <c r="CM83" i="8" s="1"/>
  <c r="CQ83" i="8" s="1"/>
  <c r="CU83" i="8" s="1"/>
  <c r="BO8" i="8"/>
  <c r="CG82" i="8"/>
  <c r="CK82" i="8" s="1"/>
  <c r="CO82" i="8" s="1"/>
  <c r="CS82" i="8" s="1"/>
  <c r="AT128" i="7"/>
  <c r="I31" i="8"/>
  <c r="CI7" i="8"/>
  <c r="U7" i="8"/>
  <c r="AB118" i="8"/>
  <c r="CJ129" i="8"/>
  <c r="V129" i="8"/>
  <c r="CE121" i="7"/>
  <c r="CI121" i="7" s="1"/>
  <c r="CM121" i="7" s="1"/>
  <c r="CQ121" i="7" s="1"/>
  <c r="AS135" i="8"/>
  <c r="CY105" i="8"/>
  <c r="DC105" i="8" s="1"/>
  <c r="DG105" i="8" s="1"/>
  <c r="DK105" i="8" s="1"/>
  <c r="CD115" i="7"/>
  <c r="CH115" i="7" s="1"/>
  <c r="CL115" i="7" s="1"/>
  <c r="CP115" i="7" s="1"/>
  <c r="BA30" i="8"/>
  <c r="CB30" i="8" s="1"/>
  <c r="BA29" i="8"/>
  <c r="CB29" i="8" s="1"/>
  <c r="CJ101" i="8"/>
  <c r="CN101" i="8" s="1"/>
  <c r="CR101" i="8" s="1"/>
  <c r="CV101" i="8" s="1"/>
  <c r="T27" i="8"/>
  <c r="CH27" i="8"/>
  <c r="AZ24" i="8"/>
  <c r="BQ23" i="8"/>
  <c r="CG23" i="8"/>
  <c r="S23" i="8"/>
  <c r="CF106" i="7"/>
  <c r="CJ106" i="7" s="1"/>
  <c r="CN106" i="7" s="1"/>
  <c r="CR106" i="7" s="1"/>
  <c r="CX95" i="8"/>
  <c r="DB95" i="8" s="1"/>
  <c r="DF95" i="8" s="1"/>
  <c r="DJ95" i="8" s="1"/>
  <c r="CZ92" i="8"/>
  <c r="DD92" i="8" s="1"/>
  <c r="DH92" i="8" s="1"/>
  <c r="DL92" i="8" s="1"/>
  <c r="AJ18" i="8"/>
  <c r="CX91" i="8"/>
  <c r="DB91" i="8" s="1"/>
  <c r="DF91" i="8" s="1"/>
  <c r="DJ91" i="8" s="1"/>
  <c r="CX87" i="8"/>
  <c r="DB87" i="8" s="1"/>
  <c r="DF87" i="8" s="1"/>
  <c r="DJ87" i="8" s="1"/>
  <c r="BA12" i="8"/>
  <c r="CB12" i="8" s="1"/>
  <c r="AY11" i="8"/>
  <c r="W128" i="7"/>
  <c r="AS118" i="8"/>
  <c r="AN128" i="7"/>
  <c r="BD75" i="8"/>
  <c r="AI133" i="8"/>
  <c r="CD124" i="7"/>
  <c r="CH124" i="7" s="1"/>
  <c r="CL124" i="7" s="1"/>
  <c r="CP124" i="7" s="1"/>
  <c r="BA130" i="8"/>
  <c r="CA130" i="8" s="1"/>
  <c r="V30" i="8"/>
  <c r="CJ30" i="8"/>
  <c r="CG112" i="7"/>
  <c r="CK112" i="7" s="1"/>
  <c r="CO112" i="7" s="1"/>
  <c r="CS112" i="7" s="1"/>
  <c r="BA20" i="8"/>
  <c r="CB20" i="8" s="1"/>
  <c r="AL19" i="8"/>
  <c r="CJ88" i="8"/>
  <c r="CN88" i="8" s="1"/>
  <c r="CR88" i="8" s="1"/>
  <c r="CV88" i="8" s="1"/>
  <c r="DE88" i="8"/>
  <c r="DI88" i="8" s="1"/>
  <c r="DM88" i="8" s="1"/>
  <c r="CJ84" i="8"/>
  <c r="CN84" i="8" s="1"/>
  <c r="CR84" i="8" s="1"/>
  <c r="CV84" i="8" s="1"/>
  <c r="BP10" i="8"/>
  <c r="DE84" i="8"/>
  <c r="DI84" i="8" s="1"/>
  <c r="DM84" i="8" s="1"/>
  <c r="O85" i="7"/>
  <c r="AO118" i="8"/>
  <c r="M85" i="7"/>
  <c r="AJ128" i="7"/>
  <c r="CH85" i="8"/>
  <c r="CL85" i="8" s="1"/>
  <c r="CP85" i="8" s="1"/>
  <c r="CT85" i="8" s="1"/>
  <c r="AG31" i="8"/>
  <c r="DA81" i="8"/>
  <c r="DE81" i="8" s="1"/>
  <c r="DI81" i="8" s="1"/>
  <c r="DM81" i="8" s="1"/>
  <c r="AA118" i="8"/>
  <c r="DA118" i="8" s="1"/>
  <c r="AK133" i="8"/>
  <c r="CG123" i="7"/>
  <c r="CK123" i="7" s="1"/>
  <c r="CO123" i="7" s="1"/>
  <c r="CS123" i="7" s="1"/>
  <c r="DC112" i="8"/>
  <c r="DG112" i="8" s="1"/>
  <c r="DK112" i="8" s="1"/>
  <c r="AZ129" i="8"/>
  <c r="BA128" i="8"/>
  <c r="CD118" i="7"/>
  <c r="CH118" i="7" s="1"/>
  <c r="CL118" i="7" s="1"/>
  <c r="CP118" i="7" s="1"/>
  <c r="N135" i="8"/>
  <c r="AK28" i="8"/>
  <c r="CD110" i="7"/>
  <c r="CH110" i="7" s="1"/>
  <c r="CL110" i="7" s="1"/>
  <c r="CP110" i="7" s="1"/>
  <c r="CF108" i="7"/>
  <c r="CJ108" i="7" s="1"/>
  <c r="CN108" i="7" s="1"/>
  <c r="CR108" i="7" s="1"/>
  <c r="AY22" i="8"/>
  <c r="DE95" i="8"/>
  <c r="DI95" i="8" s="1"/>
  <c r="DM95" i="8" s="1"/>
  <c r="AY19" i="8"/>
  <c r="CG101" i="7"/>
  <c r="CK101" i="7" s="1"/>
  <c r="CO101" i="7" s="1"/>
  <c r="CS101" i="7" s="1"/>
  <c r="CJ16" i="8"/>
  <c r="V16" i="8"/>
  <c r="CJ89" i="8"/>
  <c r="CN89" i="8" s="1"/>
  <c r="CR89" i="8" s="1"/>
  <c r="CV89" i="8" s="1"/>
  <c r="V128" i="8"/>
  <c r="CJ128" i="8"/>
  <c r="BQ131" i="8"/>
  <c r="CD131" i="8" s="1"/>
  <c r="Q135" i="8"/>
  <c r="BQ29" i="8"/>
  <c r="CZ98" i="8"/>
  <c r="DD98" i="8" s="1"/>
  <c r="DH98" i="8" s="1"/>
  <c r="DL98" i="8" s="1"/>
  <c r="AJ24" i="8"/>
  <c r="CJ21" i="8"/>
  <c r="V21" i="8"/>
  <c r="AI21" i="8"/>
  <c r="T20" i="8"/>
  <c r="CH20" i="8"/>
  <c r="BP19" i="8"/>
  <c r="CG102" i="7"/>
  <c r="CK102" i="7" s="1"/>
  <c r="CO102" i="7" s="1"/>
  <c r="CS102" i="7" s="1"/>
  <c r="AI17" i="8"/>
  <c r="CH16" i="8"/>
  <c r="T16" i="8"/>
  <c r="CY88" i="8"/>
  <c r="DC88" i="8" s="1"/>
  <c r="DG88" i="8" s="1"/>
  <c r="DK88" i="8" s="1"/>
  <c r="CH13" i="8"/>
  <c r="T13" i="8"/>
  <c r="CH12" i="8"/>
  <c r="T12" i="8"/>
  <c r="AK11" i="8"/>
  <c r="AK10" i="8"/>
  <c r="J118" i="8"/>
  <c r="CJ81" i="8"/>
  <c r="CN81" i="8" s="1"/>
  <c r="CR81" i="8" s="1"/>
  <c r="CV81" i="8" s="1"/>
  <c r="T7" i="8"/>
  <c r="CH7" i="8"/>
  <c r="H31" i="8"/>
  <c r="W118" i="8"/>
  <c r="CY83" i="8"/>
  <c r="DC83" i="8" s="1"/>
  <c r="DG83" i="8" s="1"/>
  <c r="DK83" i="8" s="1"/>
  <c r="Y118" i="8"/>
  <c r="CY81" i="8"/>
  <c r="DC81" i="8" s="1"/>
  <c r="CG88" i="8"/>
  <c r="CK88" i="8" s="1"/>
  <c r="CO88" i="8" s="1"/>
  <c r="CS88" i="8" s="1"/>
  <c r="CG11" i="8"/>
  <c r="S11" i="8"/>
  <c r="BD85" i="7"/>
  <c r="CG117" i="8"/>
  <c r="CK117" i="8" s="1"/>
  <c r="CO117" i="8" s="1"/>
  <c r="CS117" i="8" s="1"/>
  <c r="CJ112" i="8"/>
  <c r="CN112" i="8" s="1"/>
  <c r="CR112" i="8" s="1"/>
  <c r="CV112" i="8" s="1"/>
  <c r="CJ107" i="8"/>
  <c r="CN107" i="8" s="1"/>
  <c r="CR107" i="8" s="1"/>
  <c r="CV107" i="8" s="1"/>
  <c r="CE117" i="7"/>
  <c r="CI117" i="7" s="1"/>
  <c r="CM117" i="7" s="1"/>
  <c r="CQ117" i="7" s="1"/>
  <c r="AW144" i="8"/>
  <c r="BP23" i="8"/>
  <c r="AK18" i="8"/>
  <c r="CY91" i="8"/>
  <c r="DC91" i="8" s="1"/>
  <c r="AZ11" i="8"/>
  <c r="CJ8" i="8"/>
  <c r="V8" i="8"/>
  <c r="BJ85" i="7"/>
  <c r="AR31" i="8"/>
  <c r="O118" i="8"/>
  <c r="AL26" i="8"/>
  <c r="CJ97" i="8"/>
  <c r="CN97" i="8" s="1"/>
  <c r="CR97" i="8" s="1"/>
  <c r="CV97" i="8" s="1"/>
  <c r="CY96" i="8"/>
  <c r="DC96" i="8" s="1"/>
  <c r="DG96" i="8" s="1"/>
  <c r="DK96" i="8" s="1"/>
  <c r="CY82" i="8"/>
  <c r="DC82" i="8" s="1"/>
  <c r="AP75" i="8"/>
  <c r="Q118" i="8"/>
  <c r="H128" i="7"/>
  <c r="CZ101" i="8"/>
  <c r="DD101" i="8" s="1"/>
  <c r="DH101" i="8" s="1"/>
  <c r="DL101" i="8" s="1"/>
  <c r="S25" i="8"/>
  <c r="CG25" i="8"/>
  <c r="T25" i="8"/>
  <c r="CH25" i="8"/>
  <c r="AH118" i="8"/>
  <c r="J128" i="7"/>
  <c r="AF75" i="8"/>
  <c r="CD122" i="7"/>
  <c r="CH122" i="7" s="1"/>
  <c r="CL122" i="7" s="1"/>
  <c r="CP122" i="7" s="1"/>
  <c r="CD120" i="7"/>
  <c r="CH120" i="7" s="1"/>
  <c r="CL120" i="7" s="1"/>
  <c r="CP120" i="7" s="1"/>
  <c r="CE118" i="7"/>
  <c r="CI118" i="7" s="1"/>
  <c r="CM118" i="7" s="1"/>
  <c r="CQ118" i="7" s="1"/>
  <c r="AI127" i="8"/>
  <c r="CF117" i="7"/>
  <c r="CJ117" i="7" s="1"/>
  <c r="CN117" i="7" s="1"/>
  <c r="CR117" i="7" s="1"/>
  <c r="J144" i="8"/>
  <c r="V142" i="8"/>
  <c r="CJ142" i="8"/>
  <c r="CE115" i="7"/>
  <c r="CI115" i="7" s="1"/>
  <c r="CM115" i="7" s="1"/>
  <c r="CQ115" i="7" s="1"/>
  <c r="CZ103" i="8"/>
  <c r="DD103" i="8" s="1"/>
  <c r="DH103" i="8" s="1"/>
  <c r="DL103" i="8" s="1"/>
  <c r="CE110" i="7"/>
  <c r="CI110" i="7" s="1"/>
  <c r="CM110" i="7" s="1"/>
  <c r="CQ110" i="7" s="1"/>
  <c r="AK24" i="8"/>
  <c r="BQ22" i="8"/>
  <c r="CG22" i="8"/>
  <c r="S22" i="8"/>
  <c r="CI20" i="8"/>
  <c r="U20" i="8"/>
  <c r="BQ19" i="8"/>
  <c r="CI17" i="8"/>
  <c r="U17" i="8"/>
  <c r="CX88" i="8"/>
  <c r="DB88" i="8" s="1"/>
  <c r="DF88" i="8" s="1"/>
  <c r="DJ88" i="8" s="1"/>
  <c r="AT85" i="7"/>
  <c r="I75" i="8"/>
  <c r="CG127" i="7"/>
  <c r="CK127" i="7" s="1"/>
  <c r="CO127" i="7" s="1"/>
  <c r="CS127" i="7" s="1"/>
  <c r="BA131" i="8"/>
  <c r="CA131" i="8" s="1"/>
  <c r="CJ111" i="8"/>
  <c r="CN111" i="8" s="1"/>
  <c r="CR111" i="8" s="1"/>
  <c r="CV111" i="8" s="1"/>
  <c r="AI129" i="8"/>
  <c r="AK142" i="8"/>
  <c r="Y144" i="8"/>
  <c r="AY15" i="8"/>
  <c r="CX83" i="8"/>
  <c r="CI82" i="8"/>
  <c r="CM82" i="8" s="1"/>
  <c r="CQ82" i="8" s="1"/>
  <c r="Z31" i="8"/>
  <c r="AL7" i="8"/>
  <c r="AS31" i="8"/>
  <c r="U85" i="7"/>
  <c r="AQ31" i="8"/>
  <c r="BD118" i="8"/>
  <c r="CJ133" i="8"/>
  <c r="V133" i="8"/>
  <c r="CE126" i="7"/>
  <c r="CI126" i="7" s="1"/>
  <c r="CM126" i="7" s="1"/>
  <c r="CQ126" i="7" s="1"/>
  <c r="P135" i="8"/>
  <c r="BP29" i="8"/>
  <c r="CE112" i="7"/>
  <c r="CI112" i="7" s="1"/>
  <c r="CM112" i="7" s="1"/>
  <c r="CQ112" i="7" s="1"/>
  <c r="AI28" i="8"/>
  <c r="CD108" i="7"/>
  <c r="CH108" i="7" s="1"/>
  <c r="CL108" i="7" s="1"/>
  <c r="CP108" i="7" s="1"/>
  <c r="CZ96" i="8"/>
  <c r="DD96" i="8" s="1"/>
  <c r="DH96" i="8" s="1"/>
  <c r="DL96" i="8" s="1"/>
  <c r="AJ22" i="8"/>
  <c r="BA21" i="8"/>
  <c r="CB21" i="8" s="1"/>
  <c r="BA13" i="8"/>
  <c r="CB13" i="8" s="1"/>
  <c r="AL8" i="8"/>
  <c r="R31" i="8"/>
  <c r="M128" i="7"/>
  <c r="AM75" i="8"/>
  <c r="CH89" i="8"/>
  <c r="CL89" i="8" s="1"/>
  <c r="CP89" i="8" s="1"/>
  <c r="CT89" i="8" s="1"/>
  <c r="CH88" i="8"/>
  <c r="CL88" i="8" s="1"/>
  <c r="CP88" i="8" s="1"/>
  <c r="CT88" i="8" s="1"/>
  <c r="CG97" i="7"/>
  <c r="CK97" i="7" s="1"/>
  <c r="CO97" i="7" s="1"/>
  <c r="CS97" i="7" s="1"/>
  <c r="AG75" i="8"/>
  <c r="AZ134" i="8"/>
  <c r="AY128" i="8"/>
  <c r="W135" i="8"/>
  <c r="AI126" i="8"/>
  <c r="BE144" i="8"/>
  <c r="BQ142" i="8"/>
  <c r="T30" i="8"/>
  <c r="CH30" i="8"/>
  <c r="CH103" i="8"/>
  <c r="CL103" i="8" s="1"/>
  <c r="CP103" i="8" s="1"/>
  <c r="CT103" i="8" s="1"/>
  <c r="BQ26" i="8"/>
  <c r="CI24" i="8"/>
  <c r="U24" i="8"/>
  <c r="CH84" i="8"/>
  <c r="CL84" i="8" s="1"/>
  <c r="CP84" i="8" s="1"/>
  <c r="CT84" i="8" s="1"/>
  <c r="I85" i="7"/>
  <c r="BQ132" i="8"/>
  <c r="CD132" i="8" s="1"/>
  <c r="CJ110" i="8"/>
  <c r="CN110" i="8" s="1"/>
  <c r="CR110" i="8" s="1"/>
  <c r="CV110" i="8" s="1"/>
  <c r="BM135" i="8"/>
  <c r="K135" i="8"/>
  <c r="CG107" i="8"/>
  <c r="CK107" i="8" s="1"/>
  <c r="CO107" i="8" s="1"/>
  <c r="CS107" i="8" s="1"/>
  <c r="CE105" i="7"/>
  <c r="CI105" i="7" s="1"/>
  <c r="CM105" i="7" s="1"/>
  <c r="CQ105" i="7" s="1"/>
  <c r="CE101" i="7"/>
  <c r="CI101" i="7" s="1"/>
  <c r="CM101" i="7" s="1"/>
  <c r="CQ101" i="7" s="1"/>
  <c r="CJ9" i="8"/>
  <c r="V9" i="8"/>
  <c r="H75" i="8"/>
  <c r="T8" i="8"/>
  <c r="CH8" i="8"/>
  <c r="BG31" i="8"/>
  <c r="AK131" i="8"/>
  <c r="BX131" i="8" s="1"/>
  <c r="BQ129" i="8"/>
  <c r="S129" i="8"/>
  <c r="CG129" i="8"/>
  <c r="V126" i="8"/>
  <c r="CJ126" i="8"/>
  <c r="J135" i="8"/>
  <c r="O135" i="8"/>
  <c r="AK29" i="8"/>
  <c r="CZ99" i="8"/>
  <c r="DD99" i="8" s="1"/>
  <c r="DH99" i="8" s="1"/>
  <c r="DL99" i="8" s="1"/>
  <c r="CJ22" i="8"/>
  <c r="V22" i="8"/>
  <c r="CE106" i="7"/>
  <c r="CI106" i="7" s="1"/>
  <c r="CM106" i="7" s="1"/>
  <c r="CQ106" i="7" s="1"/>
  <c r="CY92" i="8"/>
  <c r="DC92" i="8" s="1"/>
  <c r="DG92" i="8" s="1"/>
  <c r="DK92" i="8" s="1"/>
  <c r="BM31" i="8"/>
  <c r="AR75" i="8"/>
  <c r="CE107" i="7"/>
  <c r="CI107" i="7" s="1"/>
  <c r="CM107" i="7" s="1"/>
  <c r="CQ107" i="7" s="1"/>
  <c r="CD99" i="7"/>
  <c r="CH99" i="7" s="1"/>
  <c r="CL99" i="7" s="1"/>
  <c r="CP99" i="7" s="1"/>
  <c r="BO14" i="8"/>
  <c r="BQ12" i="8"/>
  <c r="AP118" i="8"/>
  <c r="H85" i="7"/>
  <c r="CD113" i="7"/>
  <c r="CH113" i="7" s="1"/>
  <c r="CL113" i="7" s="1"/>
  <c r="CP113" i="7" s="1"/>
  <c r="AJ27" i="8"/>
  <c r="S26" i="8"/>
  <c r="CG26" i="8"/>
  <c r="V17" i="8"/>
  <c r="CJ17" i="8"/>
  <c r="I128" i="7"/>
  <c r="CH128" i="8"/>
  <c r="T128" i="8"/>
  <c r="CZ105" i="8"/>
  <c r="DD105" i="8" s="1"/>
  <c r="DH105" i="8" s="1"/>
  <c r="DL105" i="8" s="1"/>
  <c r="AK128" i="8"/>
  <c r="BI135" i="8"/>
  <c r="S126" i="8"/>
  <c r="G135" i="8"/>
  <c r="CG126" i="8"/>
  <c r="AO144" i="8"/>
  <c r="BA142" i="8"/>
  <c r="CX98" i="8"/>
  <c r="DB98" i="8" s="1"/>
  <c r="DF98" i="8" s="1"/>
  <c r="DJ98" i="8" s="1"/>
  <c r="CJ95" i="8"/>
  <c r="CN95" i="8" s="1"/>
  <c r="CR95" i="8" s="1"/>
  <c r="CV95" i="8" s="1"/>
  <c r="CJ18" i="8"/>
  <c r="V18" i="8"/>
  <c r="CH17" i="8"/>
  <c r="T17" i="8"/>
  <c r="Z128" i="7"/>
  <c r="H118" i="8"/>
  <c r="CH81" i="8"/>
  <c r="CL81" i="8" s="1"/>
  <c r="CP81" i="8" s="1"/>
  <c r="CT81" i="8" s="1"/>
  <c r="BH85" i="7"/>
  <c r="AK19" i="8"/>
  <c r="BQ15" i="8"/>
  <c r="BD128" i="7"/>
  <c r="BO134" i="8"/>
  <c r="CY113" i="8"/>
  <c r="DC113" i="8" s="1"/>
  <c r="DG113" i="8" s="1"/>
  <c r="DK113" i="8" s="1"/>
  <c r="CG111" i="8"/>
  <c r="CK111" i="8" s="1"/>
  <c r="CO111" i="8" s="1"/>
  <c r="CS111" i="8" s="1"/>
  <c r="CH107" i="8"/>
  <c r="CL107" i="8" s="1"/>
  <c r="CP107" i="8" s="1"/>
  <c r="CT107" i="8" s="1"/>
  <c r="AJ25" i="8"/>
  <c r="CG103" i="7"/>
  <c r="CK103" i="7" s="1"/>
  <c r="CO103" i="7" s="1"/>
  <c r="CS103" i="7" s="1"/>
  <c r="AZ10" i="8"/>
  <c r="CJ82" i="8"/>
  <c r="CN82" i="8" s="1"/>
  <c r="CR82" i="8" s="1"/>
  <c r="CV82" i="8" s="1"/>
  <c r="BJ128" i="7"/>
  <c r="AR118" i="8"/>
  <c r="BP24" i="8"/>
  <c r="CH23" i="8"/>
  <c r="T23" i="8"/>
  <c r="AP31" i="8"/>
  <c r="BB31" i="8" s="1"/>
  <c r="AK128" i="7"/>
  <c r="K31" i="8"/>
  <c r="CG29" i="8"/>
  <c r="S29" i="8"/>
  <c r="CX101" i="8"/>
  <c r="DB101" i="8" s="1"/>
  <c r="DF101" i="8" s="1"/>
  <c r="DJ101" i="8" s="1"/>
  <c r="BA26" i="8"/>
  <c r="CB26" i="8" s="1"/>
  <c r="CG99" i="8"/>
  <c r="CK99" i="8" s="1"/>
  <c r="CO99" i="8" s="1"/>
  <c r="CS99" i="8" s="1"/>
  <c r="V127" i="8"/>
  <c r="CJ127" i="8"/>
  <c r="CI107" i="8"/>
  <c r="CM107" i="8" s="1"/>
  <c r="CQ107" i="8" s="1"/>
  <c r="CU107" i="8" s="1"/>
  <c r="CY106" i="8"/>
  <c r="DC106" i="8" s="1"/>
  <c r="DG106" i="8" s="1"/>
  <c r="DK106" i="8" s="1"/>
  <c r="CH105" i="8"/>
  <c r="CL105" i="8" s="1"/>
  <c r="CP105" i="8" s="1"/>
  <c r="CT105" i="8" s="1"/>
  <c r="T26" i="8"/>
  <c r="CH26" i="8"/>
  <c r="CY98" i="8"/>
  <c r="DC98" i="8" s="1"/>
  <c r="DG98" i="8" s="1"/>
  <c r="DK98" i="8" s="1"/>
  <c r="CG96" i="8"/>
  <c r="CK96" i="8" s="1"/>
  <c r="CO96" i="8" s="1"/>
  <c r="CS96" i="8" s="1"/>
  <c r="CI21" i="8"/>
  <c r="U21" i="8"/>
  <c r="CI94" i="8"/>
  <c r="CM94" i="8" s="1"/>
  <c r="CQ94" i="8" s="1"/>
  <c r="AL17" i="8"/>
  <c r="AA85" i="7"/>
  <c r="AW31" i="8"/>
  <c r="AR128" i="7"/>
  <c r="CH129" i="8"/>
  <c r="T129" i="8"/>
  <c r="CI128" i="8"/>
  <c r="U128" i="8"/>
  <c r="AK127" i="8"/>
  <c r="AL126" i="8"/>
  <c r="Z135" i="8"/>
  <c r="AQ135" i="8"/>
  <c r="AY126" i="8"/>
  <c r="BM144" i="8"/>
  <c r="S142" i="8"/>
  <c r="G144" i="8"/>
  <c r="CG142" i="8"/>
  <c r="CF103" i="7"/>
  <c r="CJ103" i="7" s="1"/>
  <c r="CN103" i="7" s="1"/>
  <c r="CR103" i="7" s="1"/>
  <c r="Z118" i="8"/>
  <c r="CZ81" i="8"/>
  <c r="DD81" i="8" s="1"/>
  <c r="DH81" i="8" s="1"/>
  <c r="DL81" i="8" s="1"/>
  <c r="BI85" i="7"/>
  <c r="X31" i="8"/>
  <c r="AJ7" i="8"/>
  <c r="AQ118" i="8"/>
  <c r="CY117" i="8"/>
  <c r="DC117" i="8" s="1"/>
  <c r="DG117" i="8" s="1"/>
  <c r="DK117" i="8" s="1"/>
  <c r="T133" i="8"/>
  <c r="CH133" i="8"/>
  <c r="CG124" i="7"/>
  <c r="CK124" i="7" s="1"/>
  <c r="CO124" i="7" s="1"/>
  <c r="CS124" i="7" s="1"/>
  <c r="S132" i="8"/>
  <c r="BT132" i="8" s="1"/>
  <c r="CG132" i="8"/>
  <c r="CK132" i="8" s="1"/>
  <c r="CO132" i="8" s="1"/>
  <c r="BH135" i="8"/>
  <c r="BQ24" i="8"/>
  <c r="CX96" i="8"/>
  <c r="DB96" i="8" s="1"/>
  <c r="DF96" i="8" s="1"/>
  <c r="DJ96" i="8" s="1"/>
  <c r="BA17" i="8"/>
  <c r="CB17" i="8" s="1"/>
  <c r="BP14" i="8"/>
  <c r="BA9" i="8"/>
  <c r="CB9" i="8" s="1"/>
  <c r="BE128" i="7"/>
  <c r="P75" i="8"/>
  <c r="V13" i="8"/>
  <c r="CJ13" i="8"/>
  <c r="V131" i="8"/>
  <c r="CJ131" i="8"/>
  <c r="CD123" i="7"/>
  <c r="CH123" i="7" s="1"/>
  <c r="CL123" i="7" s="1"/>
  <c r="CP123" i="7" s="1"/>
  <c r="BQ127" i="8"/>
  <c r="CG127" i="8"/>
  <c r="S127" i="8"/>
  <c r="L135" i="8"/>
  <c r="AH144" i="8"/>
  <c r="BC144" i="8"/>
  <c r="BO144" i="8" s="1"/>
  <c r="BO142" i="8"/>
  <c r="CH104" i="8"/>
  <c r="CL104" i="8" s="1"/>
  <c r="CP104" i="8" s="1"/>
  <c r="CT104" i="8" s="1"/>
  <c r="AZ27" i="8"/>
  <c r="BO26" i="8"/>
  <c r="CG100" i="8"/>
  <c r="CK100" i="8" s="1"/>
  <c r="CO100" i="8" s="1"/>
  <c r="CS100" i="8" s="1"/>
  <c r="CI98" i="8"/>
  <c r="CM98" i="8" s="1"/>
  <c r="CQ98" i="8" s="1"/>
  <c r="CU98" i="8" s="1"/>
  <c r="AL23" i="8"/>
  <c r="CG95" i="7"/>
  <c r="CK95" i="7" s="1"/>
  <c r="CO95" i="7" s="1"/>
  <c r="CS95" i="7" s="1"/>
  <c r="K128" i="7"/>
  <c r="L31" i="8"/>
  <c r="CF127" i="7"/>
  <c r="CJ127" i="7" s="1"/>
  <c r="CN127" i="7" s="1"/>
  <c r="CR127" i="7" s="1"/>
  <c r="CH110" i="8"/>
  <c r="CL110" i="8" s="1"/>
  <c r="CP110" i="8" s="1"/>
  <c r="CT110" i="8" s="1"/>
  <c r="CZ108" i="8"/>
  <c r="DD108" i="8" s="1"/>
  <c r="DH108" i="8" s="1"/>
  <c r="DL108" i="8" s="1"/>
  <c r="BK135" i="8"/>
  <c r="AL142" i="8"/>
  <c r="Z144" i="8"/>
  <c r="AL134" i="8"/>
  <c r="CF126" i="7"/>
  <c r="CJ126" i="7" s="1"/>
  <c r="CN126" i="7" s="1"/>
  <c r="CR126" i="7" s="1"/>
  <c r="AJ133" i="8"/>
  <c r="R144" i="8"/>
  <c r="BO30" i="8"/>
  <c r="BA23" i="8"/>
  <c r="CB23" i="8" s="1"/>
  <c r="CH21" i="8"/>
  <c r="T21" i="8"/>
  <c r="AI18" i="8"/>
  <c r="CE93" i="7"/>
  <c r="CI93" i="7" s="1"/>
  <c r="AC75" i="8"/>
  <c r="CH82" i="8"/>
  <c r="CL82" i="8" s="1"/>
  <c r="CP82" i="8" s="1"/>
  <c r="CT82" i="8" s="1"/>
  <c r="BH128" i="7"/>
  <c r="BQ10" i="8"/>
  <c r="BG75" i="8"/>
  <c r="BP128" i="8"/>
  <c r="CF118" i="7"/>
  <c r="CJ118" i="7" s="1"/>
  <c r="CN118" i="7" s="1"/>
  <c r="CR118" i="7" s="1"/>
  <c r="CH126" i="8"/>
  <c r="T126" i="8"/>
  <c r="H135" i="8"/>
  <c r="AD144" i="8"/>
  <c r="AU144" i="8"/>
  <c r="AY144" i="8" s="1"/>
  <c r="AY142" i="8"/>
  <c r="CY103" i="8"/>
  <c r="DC103" i="8" s="1"/>
  <c r="DG103" i="8" s="1"/>
  <c r="DK103" i="8" s="1"/>
  <c r="BQ27" i="8"/>
  <c r="S27" i="8"/>
  <c r="CG27" i="8"/>
  <c r="CX99" i="8"/>
  <c r="DB99" i="8" s="1"/>
  <c r="DF99" i="8" s="1"/>
  <c r="DJ99" i="8" s="1"/>
  <c r="BA24" i="8"/>
  <c r="CB24" i="8" s="1"/>
  <c r="CJ96" i="8"/>
  <c r="CN96" i="8" s="1"/>
  <c r="CR96" i="8" s="1"/>
  <c r="CV96" i="8" s="1"/>
  <c r="CH22" i="8"/>
  <c r="T22" i="8"/>
  <c r="AK20" i="8"/>
  <c r="AI19" i="8"/>
  <c r="BF15" i="7"/>
  <c r="BN15" i="7" s="1"/>
  <c r="BI91" i="8"/>
  <c r="BI48" i="8"/>
  <c r="BF101" i="7"/>
  <c r="BF58" i="7"/>
  <c r="BI17" i="8"/>
  <c r="BQ17" i="8" s="1"/>
  <c r="BM75" i="8"/>
  <c r="AZ16" i="8"/>
  <c r="S15" i="8"/>
  <c r="CG15" i="8"/>
  <c r="AK85" i="7"/>
  <c r="K75" i="8"/>
  <c r="BO29" i="8"/>
  <c r="M31" i="8"/>
  <c r="AI131" i="8"/>
  <c r="BW131" i="8" s="1"/>
  <c r="CG130" i="8"/>
  <c r="S130" i="8"/>
  <c r="BT130" i="8" s="1"/>
  <c r="CG32" i="7"/>
  <c r="CK32" i="7" s="1"/>
  <c r="CO32" i="7" s="1"/>
  <c r="CS32" i="7" s="1"/>
  <c r="CL21" i="7"/>
  <c r="CP21" i="7" s="1"/>
  <c r="CH27" i="7"/>
  <c r="CL27" i="7" s="1"/>
  <c r="CP27" i="7" s="1"/>
  <c r="AL132" i="8"/>
  <c r="BQ126" i="8"/>
  <c r="BE135" i="8"/>
  <c r="V143" i="8"/>
  <c r="CJ143" i="8"/>
  <c r="BD144" i="8"/>
  <c r="BP144" i="8" s="1"/>
  <c r="BP142" i="8"/>
  <c r="CI30" i="8"/>
  <c r="U30" i="8"/>
  <c r="D28" i="7"/>
  <c r="G104" i="8"/>
  <c r="CG104" i="8" s="1"/>
  <c r="CK104" i="8" s="1"/>
  <c r="CO104" i="8" s="1"/>
  <c r="CS104" i="8" s="1"/>
  <c r="G61" i="8"/>
  <c r="G30" i="8"/>
  <c r="D114" i="7"/>
  <c r="CD114" i="7" s="1"/>
  <c r="CH114" i="7" s="1"/>
  <c r="CL114" i="7" s="1"/>
  <c r="CP114" i="7" s="1"/>
  <c r="D71" i="7"/>
  <c r="U14" i="8"/>
  <c r="CI14" i="8"/>
  <c r="CG13" i="8"/>
  <c r="S13" i="8"/>
  <c r="CI85" i="8"/>
  <c r="CM85" i="8" s="1"/>
  <c r="CQ85" i="8" s="1"/>
  <c r="CU85" i="8" s="1"/>
  <c r="BE31" i="8"/>
  <c r="M75" i="8"/>
  <c r="BC75" i="8"/>
  <c r="CG7" i="8"/>
  <c r="S7" i="8"/>
  <c r="CG112" i="8"/>
  <c r="CK112" i="8" s="1"/>
  <c r="CO112" i="8" s="1"/>
  <c r="CS112" i="8" s="1"/>
  <c r="CG110" i="8"/>
  <c r="CK110" i="8" s="1"/>
  <c r="CO110" i="8" s="1"/>
  <c r="CS110" i="8" s="1"/>
  <c r="CH108" i="8"/>
  <c r="CL108" i="8" s="1"/>
  <c r="CP108" i="8" s="1"/>
  <c r="CT108" i="8" s="1"/>
  <c r="I135" i="8"/>
  <c r="CI126" i="8"/>
  <c r="U126" i="8"/>
  <c r="AK143" i="8"/>
  <c r="BX143" i="8" s="1"/>
  <c r="CH142" i="8"/>
  <c r="H144" i="8"/>
  <c r="T142" i="8"/>
  <c r="AJ30" i="8"/>
  <c r="CH100" i="8"/>
  <c r="CL100" i="8" s="1"/>
  <c r="CP100" i="8" s="1"/>
  <c r="CT100" i="8" s="1"/>
  <c r="AK25" i="8"/>
  <c r="AL20" i="8"/>
  <c r="CI92" i="8"/>
  <c r="CM92" i="8" s="1"/>
  <c r="CQ92" i="8" s="1"/>
  <c r="CU92" i="8" s="1"/>
  <c r="CZ90" i="8"/>
  <c r="DD90" i="8" s="1"/>
  <c r="DH90" i="8" s="1"/>
  <c r="DL90" i="8" s="1"/>
  <c r="CF100" i="7"/>
  <c r="CJ100" i="7" s="1"/>
  <c r="CN100" i="7" s="1"/>
  <c r="CR100" i="7" s="1"/>
  <c r="CX89" i="8"/>
  <c r="DB89" i="8" s="1"/>
  <c r="DF89" i="8" s="1"/>
  <c r="DJ89" i="8" s="1"/>
  <c r="CZ87" i="8"/>
  <c r="DD87" i="8" s="1"/>
  <c r="DH87" i="8" s="1"/>
  <c r="DL87" i="8" s="1"/>
  <c r="CD92" i="7"/>
  <c r="CH92" i="7" s="1"/>
  <c r="CL92" i="7" s="1"/>
  <c r="CP92" i="7" s="1"/>
  <c r="AA128" i="7"/>
  <c r="AW118" i="8"/>
  <c r="Y128" i="7"/>
  <c r="AU75" i="8"/>
  <c r="CJ117" i="8"/>
  <c r="CN117" i="8" s="1"/>
  <c r="CR117" i="8" s="1"/>
  <c r="CV117" i="8" s="1"/>
  <c r="CE127" i="7"/>
  <c r="CI127" i="7" s="1"/>
  <c r="CM127" i="7" s="1"/>
  <c r="CQ127" i="7" s="1"/>
  <c r="AI134" i="8"/>
  <c r="CZ112" i="8"/>
  <c r="DD112" i="8" s="1"/>
  <c r="DH112" i="8" s="1"/>
  <c r="DL112" i="8" s="1"/>
  <c r="CX107" i="8"/>
  <c r="DB107" i="8" s="1"/>
  <c r="DF107" i="8" s="1"/>
  <c r="DJ107" i="8" s="1"/>
  <c r="CM106" i="8"/>
  <c r="CQ106" i="8" s="1"/>
  <c r="CU106" i="8" s="1"/>
  <c r="AY30" i="8"/>
  <c r="BP28" i="8"/>
  <c r="CG111" i="7"/>
  <c r="CK111" i="7" s="1"/>
  <c r="CO111" i="7" s="1"/>
  <c r="CS111" i="7" s="1"/>
  <c r="CY100" i="8"/>
  <c r="DC100" i="8" s="1"/>
  <c r="DG100" i="8" s="1"/>
  <c r="DK100" i="8" s="1"/>
  <c r="AZ25" i="8"/>
  <c r="CI96" i="8"/>
  <c r="CM96" i="8" s="1"/>
  <c r="CQ96" i="8" s="1"/>
  <c r="CU96" i="8" s="1"/>
  <c r="AL21" i="8"/>
  <c r="AJ20" i="8"/>
  <c r="CI19" i="8"/>
  <c r="U19" i="8"/>
  <c r="AJ16" i="8"/>
  <c r="BA14" i="8"/>
  <c r="CB14" i="8" s="1"/>
  <c r="AY14" i="8"/>
  <c r="BA10" i="8"/>
  <c r="CB10" i="8" s="1"/>
  <c r="AL9" i="8"/>
  <c r="BI128" i="7"/>
  <c r="X75" i="8"/>
  <c r="CH116" i="8"/>
  <c r="CL116" i="8" s="1"/>
  <c r="CP116" i="8" s="1"/>
  <c r="CT116" i="8" s="1"/>
  <c r="AK129" i="8"/>
  <c r="CZ110" i="8"/>
  <c r="DD110" i="8" s="1"/>
  <c r="DH110" i="8" s="1"/>
  <c r="DL110" i="8" s="1"/>
  <c r="Q144" i="8"/>
  <c r="BP30" i="8"/>
  <c r="CJ102" i="8"/>
  <c r="CN102" i="8" s="1"/>
  <c r="CR102" i="8" s="1"/>
  <c r="CV102" i="8" s="1"/>
  <c r="CH28" i="8"/>
  <c r="T28" i="8"/>
  <c r="S24" i="8"/>
  <c r="CG24" i="8"/>
  <c r="CF107" i="7"/>
  <c r="CJ107" i="7" s="1"/>
  <c r="CN107" i="7" s="1"/>
  <c r="CR107" i="7" s="1"/>
  <c r="CX93" i="8"/>
  <c r="DB93" i="8" s="1"/>
  <c r="DF93" i="8" s="1"/>
  <c r="DJ93" i="8" s="1"/>
  <c r="BA18" i="8"/>
  <c r="CB18" i="8" s="1"/>
  <c r="BP15" i="8"/>
  <c r="CG98" i="7"/>
  <c r="CK98" i="7" s="1"/>
  <c r="CO98" i="7" s="1"/>
  <c r="CS98" i="7" s="1"/>
  <c r="AY13" i="8"/>
  <c r="BP12" i="8"/>
  <c r="BP11" i="8"/>
  <c r="CG94" i="7"/>
  <c r="CK94" i="7" s="1"/>
  <c r="CO94" i="7" s="1"/>
  <c r="CS94" i="7" s="1"/>
  <c r="CZ82" i="8"/>
  <c r="DD82" i="8" s="1"/>
  <c r="DH82" i="8" s="1"/>
  <c r="DL82" i="8" s="1"/>
  <c r="AJ8" i="8"/>
  <c r="AL85" i="7"/>
  <c r="BH31" i="8"/>
  <c r="P118" i="8"/>
  <c r="V12" i="8"/>
  <c r="CJ12" i="8"/>
  <c r="DE86" i="8"/>
  <c r="DI86" i="8" s="1"/>
  <c r="DM86" i="8" s="1"/>
  <c r="AI11" i="8"/>
  <c r="X128" i="7"/>
  <c r="CY114" i="8"/>
  <c r="DC114" i="8" s="1"/>
  <c r="DG114" i="8" s="1"/>
  <c r="DK114" i="8" s="1"/>
  <c r="BO127" i="8"/>
  <c r="CG113" i="7"/>
  <c r="CK113" i="7" s="1"/>
  <c r="CO113" i="7" s="1"/>
  <c r="CS113" i="7" s="1"/>
  <c r="AI29" i="8"/>
  <c r="U25" i="8"/>
  <c r="CI25" i="8"/>
  <c r="CJ20" i="8"/>
  <c r="V20" i="8"/>
  <c r="CJ91" i="8"/>
  <c r="CN91" i="8" s="1"/>
  <c r="CR91" i="8" s="1"/>
  <c r="CV91" i="8" s="1"/>
  <c r="DE91" i="8"/>
  <c r="DI91" i="8" s="1"/>
  <c r="DM91" i="8" s="1"/>
  <c r="CG99" i="7"/>
  <c r="CK99" i="7" s="1"/>
  <c r="CO99" i="7" s="1"/>
  <c r="CS99" i="7" s="1"/>
  <c r="BP13" i="8"/>
  <c r="K85" i="7"/>
  <c r="L75" i="8"/>
  <c r="CG116" i="8"/>
  <c r="CK116" i="8" s="1"/>
  <c r="CO116" i="8" s="1"/>
  <c r="CS116" i="8" s="1"/>
  <c r="CF121" i="7"/>
  <c r="CJ121" i="7" s="1"/>
  <c r="CN121" i="7" s="1"/>
  <c r="CR121" i="7" s="1"/>
  <c r="AL127" i="8"/>
  <c r="CX108" i="8"/>
  <c r="DB108" i="8" s="1"/>
  <c r="DF108" i="8" s="1"/>
  <c r="DJ108" i="8" s="1"/>
  <c r="CX105" i="8"/>
  <c r="DB105" i="8" s="1"/>
  <c r="DF105" i="8" s="1"/>
  <c r="DJ105" i="8" s="1"/>
  <c r="CD112" i="7"/>
  <c r="CH112" i="7" s="1"/>
  <c r="CL112" i="7" s="1"/>
  <c r="CP112" i="7" s="1"/>
  <c r="CZ117" i="8"/>
  <c r="DD117" i="8" s="1"/>
  <c r="DH117" i="8" s="1"/>
  <c r="DL117" i="8" s="1"/>
  <c r="BA127" i="8"/>
  <c r="CB127" i="8" s="1"/>
  <c r="AP135" i="8"/>
  <c r="BB135" i="8" s="1"/>
  <c r="BG135" i="8"/>
  <c r="W144" i="8"/>
  <c r="AI144" i="8" s="1"/>
  <c r="AI142" i="8"/>
  <c r="AY23" i="8"/>
  <c r="DE96" i="8"/>
  <c r="DI96" i="8" s="1"/>
  <c r="DM96" i="8" s="1"/>
  <c r="CH95" i="8"/>
  <c r="CL95" i="8" s="1"/>
  <c r="CP95" i="8" s="1"/>
  <c r="CT95" i="8" s="1"/>
  <c r="CJ92" i="8"/>
  <c r="CN92" i="8" s="1"/>
  <c r="CR92" i="8" s="1"/>
  <c r="CV92" i="8" s="1"/>
  <c r="T18" i="8"/>
  <c r="CH18" i="8"/>
  <c r="CH91" i="8"/>
  <c r="CL91" i="8" s="1"/>
  <c r="CP91" i="8" s="1"/>
  <c r="CT91" i="8" s="1"/>
  <c r="CY89" i="8"/>
  <c r="DC89" i="8" s="1"/>
  <c r="DG89" i="8" s="1"/>
  <c r="DK89" i="8" s="1"/>
  <c r="CY86" i="8"/>
  <c r="DC86" i="8" s="1"/>
  <c r="DG86" i="8" s="1"/>
  <c r="DK86" i="8" s="1"/>
  <c r="CY85" i="8"/>
  <c r="DC85" i="8" s="1"/>
  <c r="DG85" i="8" s="1"/>
  <c r="DK85" i="8" s="1"/>
  <c r="T9" i="8"/>
  <c r="CH9" i="8"/>
  <c r="CG91" i="7"/>
  <c r="CK91" i="7" s="1"/>
  <c r="CO91" i="7" s="1"/>
  <c r="CS91" i="7" s="1"/>
  <c r="G128" i="7"/>
  <c r="Z85" i="7"/>
  <c r="T85" i="7"/>
  <c r="V85" i="7"/>
  <c r="BK31" i="8"/>
  <c r="AJ26" i="8"/>
  <c r="CY93" i="8"/>
  <c r="DC93" i="8" s="1"/>
  <c r="DG93" i="8" s="1"/>
  <c r="DK93" i="8" s="1"/>
  <c r="AZ17" i="8"/>
  <c r="CD98" i="7"/>
  <c r="CH98" i="7" s="1"/>
  <c r="CL98" i="7" s="1"/>
  <c r="CP98" i="7" s="1"/>
  <c r="BG118" i="8"/>
  <c r="CG122" i="7"/>
  <c r="CK122" i="7" s="1"/>
  <c r="CO122" i="7" s="1"/>
  <c r="CS122" i="7" s="1"/>
  <c r="BO129" i="8"/>
  <c r="CF115" i="7"/>
  <c r="CJ115" i="7" s="1"/>
  <c r="CN115" i="7" s="1"/>
  <c r="CR115" i="7" s="1"/>
  <c r="AK30" i="8"/>
  <c r="AZ28" i="8"/>
  <c r="BO27" i="8"/>
  <c r="CF110" i="7"/>
  <c r="CJ110" i="7" s="1"/>
  <c r="CN110" i="7" s="1"/>
  <c r="CR110" i="7" s="1"/>
  <c r="V19" i="8"/>
  <c r="CJ19" i="8"/>
  <c r="CE103" i="7"/>
  <c r="CI103" i="7" s="1"/>
  <c r="CM103" i="7" s="1"/>
  <c r="CQ103" i="7" s="1"/>
  <c r="AZ14" i="8"/>
  <c r="AK13" i="8"/>
  <c r="BM118" i="8"/>
  <c r="L85" i="7"/>
  <c r="CF111" i="7"/>
  <c r="CJ111" i="7" s="1"/>
  <c r="CN111" i="7" s="1"/>
  <c r="CR111" i="7" s="1"/>
  <c r="CG107" i="7"/>
  <c r="CK107" i="7" s="1"/>
  <c r="CO107" i="7" s="1"/>
  <c r="CS107" i="7" s="1"/>
  <c r="CH97" i="8"/>
  <c r="CL97" i="8" s="1"/>
  <c r="CP97" i="8" s="1"/>
  <c r="CT97" i="8" s="1"/>
  <c r="CG89" i="8"/>
  <c r="CK89" i="8" s="1"/>
  <c r="CO89" i="8" s="1"/>
  <c r="CS89" i="8" s="1"/>
  <c r="BO10" i="8"/>
  <c r="N85" i="7"/>
  <c r="AN31" i="8"/>
  <c r="AZ7" i="8"/>
  <c r="K118" i="8"/>
  <c r="CG103" i="8"/>
  <c r="CK103" i="8" s="1"/>
  <c r="CO103" i="8" s="1"/>
  <c r="CS103" i="8" s="1"/>
  <c r="U28" i="8"/>
  <c r="CI28" i="8"/>
  <c r="DE99" i="8"/>
  <c r="DI99" i="8" s="1"/>
  <c r="DM99" i="8" s="1"/>
  <c r="BQ14" i="8"/>
  <c r="CI11" i="8"/>
  <c r="U11" i="8"/>
  <c r="BB85" i="7"/>
  <c r="AZ85" i="7"/>
  <c r="CD91" i="7"/>
  <c r="CH91" i="7" s="1"/>
  <c r="CL91" i="7" s="1"/>
  <c r="CP91" i="7" s="1"/>
  <c r="BF18" i="7"/>
  <c r="BN18" i="7" s="1"/>
  <c r="CB18" i="7" s="1"/>
  <c r="BI94" i="8"/>
  <c r="BI51" i="8"/>
  <c r="BI20" i="8"/>
  <c r="BQ20" i="8" s="1"/>
  <c r="BF104" i="7"/>
  <c r="BF61" i="7"/>
  <c r="CJ29" i="7"/>
  <c r="CN29" i="7" s="1"/>
  <c r="CR29" i="7" s="1"/>
  <c r="CJ26" i="7"/>
  <c r="CN26" i="7" s="1"/>
  <c r="CR26" i="7" s="1"/>
  <c r="AL133" i="8"/>
  <c r="CI103" i="8"/>
  <c r="CM103" i="8" s="1"/>
  <c r="CQ103" i="8" s="1"/>
  <c r="CU103" i="8" s="1"/>
  <c r="CJ24" i="8"/>
  <c r="V24" i="8"/>
  <c r="CG18" i="8"/>
  <c r="S18" i="8"/>
  <c r="CG16" i="8"/>
  <c r="S16" i="8"/>
  <c r="CI15" i="8"/>
  <c r="U15" i="8"/>
  <c r="AE85" i="7"/>
  <c r="BB128" i="7"/>
  <c r="M118" i="8"/>
  <c r="AZ128" i="7"/>
  <c r="CG81" i="8"/>
  <c r="CK81" i="8" s="1"/>
  <c r="CO81" i="8" s="1"/>
  <c r="CS81" i="8" s="1"/>
  <c r="BA133" i="8"/>
  <c r="BQ128" i="8"/>
  <c r="CG128" i="8"/>
  <c r="S128" i="8"/>
  <c r="T127" i="8"/>
  <c r="CH127" i="8"/>
  <c r="AY28" i="8"/>
  <c r="CI95" i="8"/>
  <c r="CM95" i="8" s="1"/>
  <c r="CQ95" i="8" s="1"/>
  <c r="CU95" i="8" s="1"/>
  <c r="U13" i="8"/>
  <c r="CI13" i="8"/>
  <c r="CF93" i="7"/>
  <c r="CJ93" i="7" s="1"/>
  <c r="CN93" i="7" s="1"/>
  <c r="CR93" i="7" s="1"/>
  <c r="AD75" i="8"/>
  <c r="Y85" i="7"/>
  <c r="AU31" i="8"/>
  <c r="CJ134" i="8"/>
  <c r="V134" i="8"/>
  <c r="AL130" i="8"/>
  <c r="BY130" i="8" s="1"/>
  <c r="X135" i="8"/>
  <c r="AJ126" i="8"/>
  <c r="U143" i="8"/>
  <c r="BU143" i="8" s="1"/>
  <c r="CI143" i="8"/>
  <c r="BA15" i="8"/>
  <c r="CB15" i="8" s="1"/>
  <c r="CF92" i="7"/>
  <c r="CJ92" i="7" s="1"/>
  <c r="CN92" i="7" s="1"/>
  <c r="AP85" i="7"/>
  <c r="BL75" i="8"/>
  <c r="CX81" i="8"/>
  <c r="DB81" i="8" s="1"/>
  <c r="DF81" i="8" s="1"/>
  <c r="DJ81" i="8" s="1"/>
  <c r="X118" i="8"/>
  <c r="BP9" i="8"/>
  <c r="BA85" i="7"/>
  <c r="CY111" i="8"/>
  <c r="DC111" i="8" s="1"/>
  <c r="DG111" i="8" s="1"/>
  <c r="DK111" i="8" s="1"/>
  <c r="AL128" i="8"/>
  <c r="AZ127" i="8"/>
  <c r="AO135" i="8"/>
  <c r="BA126" i="8"/>
  <c r="CB126" i="8" s="1"/>
  <c r="DE107" i="8"/>
  <c r="DI107" i="8" s="1"/>
  <c r="DM107" i="8" s="1"/>
  <c r="CG115" i="8"/>
  <c r="CK115" i="8" s="1"/>
  <c r="CO115" i="8" s="1"/>
  <c r="CS115" i="8" s="1"/>
  <c r="CH102" i="8"/>
  <c r="CL102" i="8" s="1"/>
  <c r="CP102" i="8" s="1"/>
  <c r="CT102" i="8" s="1"/>
  <c r="AK27" i="8"/>
  <c r="BO24" i="8"/>
  <c r="CG98" i="8"/>
  <c r="CK98" i="8" s="1"/>
  <c r="CO98" i="8" s="1"/>
  <c r="CS98" i="8" s="1"/>
  <c r="CI23" i="8"/>
  <c r="U23" i="8"/>
  <c r="AL22" i="8"/>
  <c r="AY21" i="8"/>
  <c r="AY17" i="8"/>
  <c r="AY9" i="8"/>
  <c r="AL128" i="7"/>
  <c r="BH75" i="8"/>
  <c r="AI15" i="8"/>
  <c r="CE98" i="7"/>
  <c r="CI98" i="7" s="1"/>
  <c r="CM98" i="7" s="1"/>
  <c r="CQ98" i="7" s="1"/>
  <c r="CJ87" i="8"/>
  <c r="CN87" i="8" s="1"/>
  <c r="CR87" i="8" s="1"/>
  <c r="CV87" i="8" s="1"/>
  <c r="CE95" i="7"/>
  <c r="CI95" i="7" s="1"/>
  <c r="CM95" i="7" s="1"/>
  <c r="CQ95" i="7" s="1"/>
  <c r="X85" i="7"/>
  <c r="AK132" i="8"/>
  <c r="BX132" i="8" s="1"/>
  <c r="CG131" i="8"/>
  <c r="CK131" i="8" s="1"/>
  <c r="CO131" i="8" s="1"/>
  <c r="S131" i="8"/>
  <c r="BT131" i="8" s="1"/>
  <c r="BP126" i="8"/>
  <c r="BD135" i="8"/>
  <c r="CJ29" i="8"/>
  <c r="V29" i="8"/>
  <c r="CI99" i="8"/>
  <c r="CM99" i="8" s="1"/>
  <c r="CQ99" i="8" s="1"/>
  <c r="CU99" i="8" s="1"/>
  <c r="CZ97" i="8"/>
  <c r="DD97" i="8" s="1"/>
  <c r="DH97" i="8" s="1"/>
  <c r="DL97" i="8" s="1"/>
  <c r="DE94" i="8"/>
  <c r="DI94" i="8" s="1"/>
  <c r="DM94" i="8" s="1"/>
  <c r="BP16" i="8"/>
  <c r="DE87" i="8"/>
  <c r="DI87" i="8" s="1"/>
  <c r="DM87" i="8" s="1"/>
  <c r="CJ11" i="8"/>
  <c r="V11" i="8"/>
  <c r="CE94" i="7"/>
  <c r="CI94" i="7" s="1"/>
  <c r="CM94" i="7" s="1"/>
  <c r="CQ94" i="7" s="1"/>
  <c r="N31" i="8"/>
  <c r="L118" i="8"/>
  <c r="CI117" i="8"/>
  <c r="CM117" i="8" s="1"/>
  <c r="CQ117" i="8" s="1"/>
  <c r="CU117" i="8" s="1"/>
  <c r="BQ133" i="8"/>
  <c r="S133" i="8"/>
  <c r="CG133" i="8"/>
  <c r="CG120" i="7"/>
  <c r="CK120" i="7" s="1"/>
  <c r="CO120" i="7" s="1"/>
  <c r="CS120" i="7" s="1"/>
  <c r="AJ127" i="8"/>
  <c r="AR135" i="8"/>
  <c r="BA143" i="8"/>
  <c r="AJ142" i="8"/>
  <c r="X144" i="8"/>
  <c r="AJ144" i="8" s="1"/>
  <c r="S28" i="8"/>
  <c r="CG28" i="8"/>
  <c r="AJ134" i="8"/>
  <c r="CI133" i="8"/>
  <c r="U133" i="8"/>
  <c r="U131" i="8"/>
  <c r="BU131" i="8" s="1"/>
  <c r="CI131" i="8"/>
  <c r="AL129" i="8"/>
  <c r="BP8" i="8"/>
  <c r="G85" i="7"/>
  <c r="AC31" i="8"/>
  <c r="T128" i="7"/>
  <c r="V128" i="7"/>
  <c r="BK75" i="8"/>
  <c r="CD127" i="7"/>
  <c r="CH127" i="7" s="1"/>
  <c r="CL127" i="7" s="1"/>
  <c r="CP127" i="7" s="1"/>
  <c r="AV135" i="8"/>
  <c r="CY104" i="8"/>
  <c r="DC104" i="8" s="1"/>
  <c r="DG104" i="8" s="1"/>
  <c r="DK104" i="8" s="1"/>
  <c r="CG101" i="8"/>
  <c r="CK101" i="8" s="1"/>
  <c r="CO101" i="8" s="1"/>
  <c r="CS101" i="8" s="1"/>
  <c r="CI26" i="8"/>
  <c r="U26" i="8"/>
  <c r="DE97" i="8"/>
  <c r="DI97" i="8" s="1"/>
  <c r="DM97" i="8" s="1"/>
  <c r="CH96" i="8"/>
  <c r="CL96" i="8" s="1"/>
  <c r="CP96" i="8" s="1"/>
  <c r="CT96" i="8" s="1"/>
  <c r="AK21" i="8"/>
  <c r="CY94" i="8"/>
  <c r="DC94" i="8" s="1"/>
  <c r="T19" i="8"/>
  <c r="CH19" i="8"/>
  <c r="AK16" i="8"/>
  <c r="AI8" i="8"/>
  <c r="L128" i="7"/>
  <c r="CI27" i="8"/>
  <c r="U27" i="8"/>
  <c r="AZ21" i="8"/>
  <c r="N128" i="7"/>
  <c r="AN75" i="8"/>
  <c r="AY26" i="8"/>
  <c r="BP27" i="8"/>
  <c r="CG110" i="7"/>
  <c r="CK110" i="7" s="1"/>
  <c r="CO110" i="7" s="1"/>
  <c r="CS110" i="7" s="1"/>
  <c r="CY99" i="8"/>
  <c r="DC99" i="8" s="1"/>
  <c r="DG99" i="8" s="1"/>
  <c r="DK99" i="8" s="1"/>
  <c r="CI16" i="8"/>
  <c r="U16" i="8"/>
  <c r="AL11" i="8"/>
  <c r="U9" i="8"/>
  <c r="CI9" i="8"/>
  <c r="CG8" i="8"/>
  <c r="S8" i="8"/>
  <c r="AD118" i="8"/>
  <c r="F85" i="7"/>
  <c r="AB31" i="8"/>
  <c r="AU118" i="8"/>
  <c r="CH117" i="8"/>
  <c r="CL117" i="8" s="1"/>
  <c r="CP117" i="8" s="1"/>
  <c r="CT117" i="8" s="1"/>
  <c r="BP133" i="8"/>
  <c r="CG121" i="7"/>
  <c r="CK121" i="7" s="1"/>
  <c r="CO121" i="7" s="1"/>
  <c r="CS121" i="7" s="1"/>
  <c r="CJ27" i="8"/>
  <c r="V27" i="8"/>
  <c r="AJ21" i="8"/>
  <c r="CX94" i="8"/>
  <c r="DB94" i="8" s="1"/>
  <c r="DF94" i="8" s="1"/>
  <c r="DJ94" i="8" s="1"/>
  <c r="CI93" i="8"/>
  <c r="CM93" i="8" s="1"/>
  <c r="CQ93" i="8" s="1"/>
  <c r="CU93" i="8" s="1"/>
  <c r="AL18" i="8"/>
  <c r="AJ17" i="8"/>
  <c r="CX90" i="8"/>
  <c r="DB90" i="8" s="1"/>
  <c r="DF90" i="8" s="1"/>
  <c r="DJ90" i="8" s="1"/>
  <c r="AJ13" i="8"/>
  <c r="CX86" i="8"/>
  <c r="AY10" i="8"/>
  <c r="AP128" i="7"/>
  <c r="BL31" i="8"/>
  <c r="BP7" i="8"/>
  <c r="BD31" i="8"/>
  <c r="CJ132" i="8"/>
  <c r="V132" i="8"/>
  <c r="CX110" i="8"/>
  <c r="DB110" i="8" s="1"/>
  <c r="DF110" i="8" s="1"/>
  <c r="DJ110" i="8" s="1"/>
  <c r="AA135" i="8"/>
  <c r="BI144" i="8"/>
  <c r="CG114" i="7"/>
  <c r="CK114" i="7" s="1"/>
  <c r="CO114" i="7" s="1"/>
  <c r="CS114" i="7" s="1"/>
  <c r="DE103" i="8"/>
  <c r="DI103" i="8" s="1"/>
  <c r="DM103" i="8" s="1"/>
  <c r="AZ26" i="8"/>
  <c r="BQ25" i="8"/>
  <c r="AY18" i="8"/>
  <c r="CJ14" i="8"/>
  <c r="V14" i="8"/>
  <c r="CJ10" i="8"/>
  <c r="V10" i="8"/>
  <c r="CX82" i="8"/>
  <c r="DB82" i="8" s="1"/>
  <c r="DF82" i="8" s="1"/>
  <c r="DJ82" i="8" s="1"/>
  <c r="O128" i="7"/>
  <c r="AO31" i="8"/>
  <c r="BH118" i="8"/>
  <c r="AJ85" i="7"/>
  <c r="CE99" i="7"/>
  <c r="CI99" i="7" s="1"/>
  <c r="CM99" i="7" s="1"/>
  <c r="CQ99" i="7" s="1"/>
  <c r="AI14" i="8"/>
  <c r="CJ86" i="8"/>
  <c r="CN86" i="8" s="1"/>
  <c r="CR86" i="8" s="1"/>
  <c r="CV86" i="8" s="1"/>
  <c r="CH11" i="8"/>
  <c r="T11" i="8"/>
  <c r="AI10" i="8"/>
  <c r="DE83" i="8"/>
  <c r="DI83" i="8" s="1"/>
  <c r="DM83" i="8" s="1"/>
  <c r="AD85" i="7"/>
  <c r="AA31" i="8"/>
  <c r="CG113" i="8"/>
  <c r="CK113" i="8" s="1"/>
  <c r="CO113" i="8" s="1"/>
  <c r="CS113" i="8" s="1"/>
  <c r="CE113" i="7"/>
  <c r="CI113" i="7" s="1"/>
  <c r="CM113" i="7" s="1"/>
  <c r="CQ113" i="7" s="1"/>
  <c r="AJ23" i="8"/>
  <c r="CJ94" i="8"/>
  <c r="CN94" i="8" s="1"/>
  <c r="CR94" i="8" s="1"/>
  <c r="CV94" i="8" s="1"/>
  <c r="BA19" i="8"/>
  <c r="CB19" i="8" s="1"/>
  <c r="BP17" i="8"/>
  <c r="CG100" i="7"/>
  <c r="CK100" i="7" s="1"/>
  <c r="CO100" i="7" s="1"/>
  <c r="CS100" i="7" s="1"/>
  <c r="CJ15" i="8"/>
  <c r="V15" i="8"/>
  <c r="N75" i="8"/>
  <c r="U134" i="8"/>
  <c r="CI134" i="8"/>
  <c r="BO133" i="8"/>
  <c r="CI111" i="8"/>
  <c r="CM111" i="8" s="1"/>
  <c r="CQ111" i="8" s="1"/>
  <c r="CU111" i="8" s="1"/>
  <c r="CY107" i="8"/>
  <c r="DC107" i="8" s="1"/>
  <c r="DG107" i="8" s="1"/>
  <c r="DK107" i="8" s="1"/>
  <c r="AZ29" i="8"/>
  <c r="BQ28" i="8"/>
  <c r="CX117" i="8"/>
  <c r="DB117" i="8" s="1"/>
  <c r="DF117" i="8" s="1"/>
  <c r="DJ117" i="8" s="1"/>
  <c r="CI116" i="8"/>
  <c r="CM116" i="8" s="1"/>
  <c r="CQ116" i="8" s="1"/>
  <c r="CU116" i="8" s="1"/>
  <c r="CI113" i="8"/>
  <c r="CM113" i="8" s="1"/>
  <c r="CQ113" i="8" s="1"/>
  <c r="CU113" i="8" s="1"/>
  <c r="CZ111" i="8"/>
  <c r="DD111" i="8" s="1"/>
  <c r="DH111" i="8" s="1"/>
  <c r="DL111" i="8" s="1"/>
  <c r="AY127" i="8"/>
  <c r="AM135" i="8"/>
  <c r="AN135" i="8"/>
  <c r="AZ126" i="8"/>
  <c r="AL24" i="8"/>
  <c r="CG105" i="7"/>
  <c r="CK105" i="7" s="1"/>
  <c r="CO105" i="7" s="1"/>
  <c r="CS105" i="7" s="1"/>
  <c r="DE93" i="8"/>
  <c r="DI93" i="8" s="1"/>
  <c r="DM93" i="8" s="1"/>
  <c r="CH92" i="8"/>
  <c r="CL92" i="8" s="1"/>
  <c r="CP92" i="8" s="1"/>
  <c r="CT92" i="8" s="1"/>
  <c r="AI13" i="8"/>
  <c r="CG93" i="7"/>
  <c r="CK93" i="7" s="1"/>
  <c r="CO93" i="7" s="1"/>
  <c r="CS93" i="7" s="1"/>
  <c r="CH83" i="8"/>
  <c r="CL83" i="8" s="1"/>
  <c r="CJ7" i="8"/>
  <c r="CN7" i="8" s="1"/>
  <c r="CR7" i="8" s="1"/>
  <c r="J31" i="8"/>
  <c r="V7" i="8"/>
  <c r="AC118" i="8"/>
  <c r="E85" i="7"/>
  <c r="W31" i="8"/>
  <c r="AI7" i="8"/>
  <c r="AK9" i="8"/>
  <c r="Y31" i="8"/>
  <c r="AK7" i="8"/>
  <c r="BK118" i="8"/>
  <c r="CX100" i="8"/>
  <c r="DB100" i="8" s="1"/>
  <c r="DF100" i="8" s="1"/>
  <c r="DJ100" i="8" s="1"/>
  <c r="DE98" i="8"/>
  <c r="DI98" i="8" s="1"/>
  <c r="DM98" i="8" s="1"/>
  <c r="S14" i="8"/>
  <c r="CG14" i="8"/>
  <c r="CI108" i="8"/>
  <c r="CM108" i="8" s="1"/>
  <c r="CQ108" i="8" s="1"/>
  <c r="CU108" i="8" s="1"/>
  <c r="CG117" i="7"/>
  <c r="CK117" i="7" s="1"/>
  <c r="CO117" i="7" s="1"/>
  <c r="CS117" i="7" s="1"/>
  <c r="AL143" i="8"/>
  <c r="CI105" i="8"/>
  <c r="CM105" i="8" s="1"/>
  <c r="CQ105" i="8" s="1"/>
  <c r="CU105" i="8" s="1"/>
  <c r="AY24" i="8"/>
  <c r="CJ93" i="8"/>
  <c r="CN93" i="8" s="1"/>
  <c r="CR93" i="8" s="1"/>
  <c r="CV93" i="8" s="1"/>
  <c r="AK17" i="8"/>
  <c r="CY90" i="8"/>
  <c r="DC90" i="8" s="1"/>
  <c r="DG90" i="8" s="1"/>
  <c r="DK90" i="8" s="1"/>
  <c r="AZ15" i="8"/>
  <c r="CY87" i="8"/>
  <c r="DC87" i="8" s="1"/>
  <c r="DG87" i="8" s="1"/>
  <c r="DK87" i="8" s="1"/>
  <c r="CG92" i="7"/>
  <c r="CK92" i="7" s="1"/>
  <c r="CO92" i="7" s="1"/>
  <c r="CS92" i="7" s="1"/>
  <c r="AO85" i="7"/>
  <c r="O31" i="8"/>
  <c r="AY25" i="8"/>
  <c r="AK22" i="8"/>
  <c r="AZ20" i="8"/>
  <c r="AZ13" i="8"/>
  <c r="BQ11" i="8"/>
  <c r="AM85" i="7"/>
  <c r="Q31" i="8"/>
  <c r="AN118" i="8"/>
  <c r="CI102" i="8"/>
  <c r="CM102" i="8" s="1"/>
  <c r="CQ102" i="8" s="1"/>
  <c r="CU102" i="8" s="1"/>
  <c r="AL27" i="8"/>
  <c r="CI100" i="8"/>
  <c r="CM100" i="8" s="1"/>
  <c r="CQ100" i="8" s="1"/>
  <c r="CU100" i="8" s="1"/>
  <c r="AL25" i="8"/>
  <c r="CG106" i="7"/>
  <c r="CK106" i="7" s="1"/>
  <c r="CO106" i="7" s="1"/>
  <c r="CS106" i="7" s="1"/>
  <c r="CY95" i="8"/>
  <c r="DC95" i="8" s="1"/>
  <c r="DG95" i="8" s="1"/>
  <c r="DK95" i="8" s="1"/>
  <c r="CH93" i="8"/>
  <c r="CL93" i="8" s="1"/>
  <c r="CP93" i="8" s="1"/>
  <c r="CT93" i="8" s="1"/>
  <c r="AO128" i="7"/>
  <c r="O75" i="8"/>
  <c r="CI101" i="8"/>
  <c r="CM101" i="8" s="1"/>
  <c r="CQ101" i="8" s="1"/>
  <c r="CU101" i="8" s="1"/>
  <c r="V23" i="8"/>
  <c r="CJ23" i="8"/>
  <c r="AK8" i="8"/>
  <c r="AM128" i="7"/>
  <c r="Q75" i="8"/>
  <c r="BP25" i="8"/>
  <c r="CD109" i="7"/>
  <c r="CH109" i="7" s="1"/>
  <c r="CL109" i="7" s="1"/>
  <c r="CP109" i="7" s="1"/>
  <c r="CP130" i="8"/>
  <c r="DG130" i="8" s="1"/>
  <c r="CP132" i="8"/>
  <c r="DG132" i="8" s="1"/>
  <c r="CP143" i="8"/>
  <c r="DG143" i="8" s="1"/>
  <c r="CP131" i="8"/>
  <c r="DG131" i="8" s="1"/>
  <c r="CO143" i="8"/>
  <c r="DF143" i="8" s="1"/>
  <c r="BY21" i="7"/>
  <c r="BV82" i="7"/>
  <c r="BR79" i="7"/>
  <c r="BR82" i="7"/>
  <c r="BV76" i="7"/>
  <c r="BR73" i="7"/>
  <c r="BU76" i="7"/>
  <c r="CB82" i="7"/>
  <c r="CA82" i="7"/>
  <c r="CA39" i="7"/>
  <c r="BZ79" i="7"/>
  <c r="BX76" i="7"/>
  <c r="BY64" i="7"/>
  <c r="BU79" i="7"/>
  <c r="BT82" i="7"/>
  <c r="BW37" i="7"/>
  <c r="BW80" i="7"/>
  <c r="BZ30" i="7"/>
  <c r="BZ73" i="7"/>
  <c r="BW30" i="7"/>
  <c r="BW73" i="7"/>
  <c r="BY33" i="7"/>
  <c r="CB52" i="7"/>
  <c r="CB9" i="7"/>
  <c r="CA33" i="7"/>
  <c r="CA76" i="7"/>
  <c r="CB33" i="7"/>
  <c r="CB76" i="7"/>
  <c r="BY39" i="7"/>
  <c r="BY82" i="7"/>
  <c r="BZ38" i="7"/>
  <c r="BZ81" i="7"/>
  <c r="BS76" i="7"/>
  <c r="BT37" i="7"/>
  <c r="BT80" i="7"/>
  <c r="BW36" i="7"/>
  <c r="BW79" i="7"/>
  <c r="BY76" i="7"/>
  <c r="BZ33" i="7"/>
  <c r="BZ76" i="7"/>
  <c r="BR76" i="7"/>
  <c r="BT73" i="7"/>
  <c r="BW33" i="7"/>
  <c r="BW76" i="7"/>
  <c r="BW39" i="7"/>
  <c r="BW82" i="7"/>
  <c r="BS39" i="7"/>
  <c r="BS82" i="7"/>
  <c r="BQ73" i="7"/>
  <c r="BU65" i="7"/>
  <c r="BU82" i="7"/>
  <c r="BX82" i="7"/>
  <c r="BW38" i="7"/>
  <c r="BW81" i="7"/>
  <c r="BZ80" i="7"/>
  <c r="BZ37" i="7"/>
  <c r="CB36" i="7"/>
  <c r="BZ82" i="7"/>
  <c r="BZ39" i="7"/>
  <c r="BX33" i="7"/>
  <c r="BU33" i="7"/>
  <c r="BX39" i="7"/>
  <c r="BT30" i="7"/>
  <c r="BU39" i="7"/>
  <c r="BR36" i="7"/>
  <c r="BT39" i="7"/>
  <c r="BU36" i="7"/>
  <c r="BV33" i="7"/>
  <c r="BV39" i="7"/>
  <c r="BV22" i="7"/>
  <c r="BR39" i="7"/>
  <c r="BQ30" i="7"/>
  <c r="BR33" i="7"/>
  <c r="BR30" i="7"/>
  <c r="P39" i="7"/>
  <c r="BQ39" i="7" s="1"/>
  <c r="CD39" i="7"/>
  <c r="CH39" i="7" s="1"/>
  <c r="CL39" i="7" s="1"/>
  <c r="CP39" i="7" s="1"/>
  <c r="BS33" i="7"/>
  <c r="J42" i="7"/>
  <c r="AC42" i="7"/>
  <c r="X42" i="7"/>
  <c r="H42" i="7"/>
  <c r="R5" i="7"/>
  <c r="FQ50" i="6"/>
  <c r="AS7" i="7"/>
  <c r="AW7" i="7" s="1"/>
  <c r="II50" i="6"/>
  <c r="BF6" i="7"/>
  <c r="BN6" i="7" s="1"/>
  <c r="BU50" i="6"/>
  <c r="D7" i="7"/>
  <c r="BP50" i="6"/>
  <c r="BW15" i="7" l="1"/>
  <c r="BS65" i="7"/>
  <c r="BQ56" i="7"/>
  <c r="BV65" i="7"/>
  <c r="BU72" i="7"/>
  <c r="BT19" i="7"/>
  <c r="BW67" i="7"/>
  <c r="BV40" i="7"/>
  <c r="BS23" i="7"/>
  <c r="BX20" i="7"/>
  <c r="CA32" i="7"/>
  <c r="BW49" i="7"/>
  <c r="BQ48" i="7"/>
  <c r="BZ16" i="7"/>
  <c r="BU14" i="7"/>
  <c r="BU55" i="7"/>
  <c r="BR21" i="7"/>
  <c r="BU71" i="7"/>
  <c r="CA50" i="7"/>
  <c r="BV25" i="7"/>
  <c r="BW17" i="7"/>
  <c r="BX17" i="7"/>
  <c r="CB84" i="7"/>
  <c r="BU83" i="7"/>
  <c r="BV83" i="7"/>
  <c r="BW60" i="7"/>
  <c r="BU40" i="7"/>
  <c r="BV79" i="7"/>
  <c r="BU22" i="7"/>
  <c r="CB50" i="7"/>
  <c r="CB64" i="7"/>
  <c r="BW34" i="7"/>
  <c r="BX6" i="7"/>
  <c r="BV12" i="7"/>
  <c r="BW57" i="7"/>
  <c r="BV81" i="7"/>
  <c r="BQ19" i="7"/>
  <c r="BU28" i="7"/>
  <c r="BT60" i="7"/>
  <c r="BX49" i="7"/>
  <c r="BT22" i="7"/>
  <c r="BU57" i="7"/>
  <c r="BT6" i="7"/>
  <c r="BT21" i="7"/>
  <c r="BU62" i="7"/>
  <c r="BU81" i="7"/>
  <c r="BT72" i="7"/>
  <c r="BU19" i="7"/>
  <c r="BS7" i="7"/>
  <c r="BU25" i="7"/>
  <c r="BV53" i="7"/>
  <c r="BY49" i="7"/>
  <c r="BY65" i="7"/>
  <c r="BW14" i="7"/>
  <c r="BT32" i="7"/>
  <c r="BY73" i="7"/>
  <c r="BQ79" i="7"/>
  <c r="CB83" i="7"/>
  <c r="CA78" i="7"/>
  <c r="BZ23" i="7"/>
  <c r="BW55" i="7"/>
  <c r="BZ63" i="7"/>
  <c r="BV10" i="7"/>
  <c r="BU75" i="7"/>
  <c r="CA66" i="7"/>
  <c r="BU38" i="7"/>
  <c r="BQ5" i="7"/>
  <c r="BY25" i="7"/>
  <c r="BW59" i="7"/>
  <c r="BV64" i="7"/>
  <c r="BR54" i="7"/>
  <c r="BZ67" i="7"/>
  <c r="BR41" i="7"/>
  <c r="BX15" i="7"/>
  <c r="BY30" i="7"/>
  <c r="BT75" i="7"/>
  <c r="BX30" i="7"/>
  <c r="CB13" i="7"/>
  <c r="BY6" i="7"/>
  <c r="BR6" i="7"/>
  <c r="BZ68" i="7"/>
  <c r="BV60" i="7"/>
  <c r="BQ77" i="7"/>
  <c r="BT53" i="7"/>
  <c r="BV28" i="7"/>
  <c r="BV57" i="7"/>
  <c r="BX11" i="7"/>
  <c r="BR37" i="7"/>
  <c r="BT84" i="7"/>
  <c r="CA77" i="7"/>
  <c r="BQ34" i="7"/>
  <c r="CA38" i="7"/>
  <c r="CB55" i="7"/>
  <c r="BS38" i="7"/>
  <c r="BR84" i="7"/>
  <c r="BR81" i="7"/>
  <c r="BY59" i="7"/>
  <c r="BX59" i="7"/>
  <c r="BX54" i="7"/>
  <c r="BW54" i="7"/>
  <c r="BT40" i="7"/>
  <c r="BW9" i="7"/>
  <c r="BW6" i="7"/>
  <c r="CB69" i="7"/>
  <c r="BW72" i="7"/>
  <c r="BY7" i="7"/>
  <c r="BY35" i="7"/>
  <c r="CA128" i="8"/>
  <c r="BU9" i="7"/>
  <c r="BZ24" i="7"/>
  <c r="CA55" i="7"/>
  <c r="BR78" i="7"/>
  <c r="BT10" i="7"/>
  <c r="CB28" i="7"/>
  <c r="BX78" i="7"/>
  <c r="BX35" i="7"/>
  <c r="BT67" i="7"/>
  <c r="BU35" i="7"/>
  <c r="BS41" i="7"/>
  <c r="BX50" i="7"/>
  <c r="CB81" i="7"/>
  <c r="CB38" i="7"/>
  <c r="BZ128" i="8"/>
  <c r="BV38" i="7"/>
  <c r="CB77" i="7"/>
  <c r="CB37" i="7"/>
  <c r="CB80" i="7"/>
  <c r="CA37" i="7"/>
  <c r="BX14" i="7"/>
  <c r="BZ74" i="7"/>
  <c r="BS63" i="7"/>
  <c r="BR28" i="7"/>
  <c r="BV55" i="7"/>
  <c r="BU77" i="7"/>
  <c r="BT56" i="7"/>
  <c r="CA40" i="7"/>
  <c r="BW32" i="7"/>
  <c r="BX75" i="7"/>
  <c r="CB10" i="7"/>
  <c r="BW75" i="7"/>
  <c r="BR11" i="7"/>
  <c r="BV49" i="7"/>
  <c r="CA35" i="7"/>
  <c r="BR29" i="7"/>
  <c r="BQ78" i="7"/>
  <c r="BZ31" i="7"/>
  <c r="CB70" i="7"/>
  <c r="BQ58" i="7"/>
  <c r="BU20" i="7"/>
  <c r="BT23" i="7"/>
  <c r="BT38" i="7"/>
  <c r="BW63" i="7"/>
  <c r="BZ7" i="7"/>
  <c r="BZ8" i="7"/>
  <c r="BV21" i="7"/>
  <c r="CA74" i="7"/>
  <c r="BQ65" i="7"/>
  <c r="BQ29" i="7"/>
  <c r="BW66" i="7"/>
  <c r="BX5" i="7"/>
  <c r="BS9" i="7"/>
  <c r="BW25" i="7"/>
  <c r="CA53" i="7"/>
  <c r="BS34" i="7"/>
  <c r="BY18" i="7"/>
  <c r="BY75" i="7"/>
  <c r="BY29" i="7"/>
  <c r="BQ21" i="7"/>
  <c r="BX58" i="7"/>
  <c r="BS84" i="7"/>
  <c r="BY32" i="7"/>
  <c r="BZ48" i="7"/>
  <c r="BY57" i="7"/>
  <c r="BX13" i="7"/>
  <c r="BT13" i="7"/>
  <c r="CA36" i="7"/>
  <c r="BU56" i="7"/>
  <c r="BQ35" i="7"/>
  <c r="CB67" i="7"/>
  <c r="CB79" i="7"/>
  <c r="CB24" i="7"/>
  <c r="CA67" i="7"/>
  <c r="BX72" i="7"/>
  <c r="BX57" i="7"/>
  <c r="CB78" i="7"/>
  <c r="CR104" i="7"/>
  <c r="BS58" i="7"/>
  <c r="BV78" i="7"/>
  <c r="BY15" i="7"/>
  <c r="BX32" i="7"/>
  <c r="BT35" i="7"/>
  <c r="BT76" i="7"/>
  <c r="BS79" i="7"/>
  <c r="CA5" i="7"/>
  <c r="BU68" i="7"/>
  <c r="BU32" i="7"/>
  <c r="BQ26" i="7"/>
  <c r="CR101" i="7"/>
  <c r="CA16" i="7"/>
  <c r="BW35" i="7"/>
  <c r="CA10" i="7"/>
  <c r="BY5" i="7"/>
  <c r="CB60" i="7"/>
  <c r="BT34" i="7"/>
  <c r="BZ22" i="7"/>
  <c r="BU60" i="7"/>
  <c r="BZ50" i="8"/>
  <c r="CA17" i="7"/>
  <c r="BZ53" i="7"/>
  <c r="BZ35" i="7"/>
  <c r="BT52" i="7"/>
  <c r="BT14" i="7"/>
  <c r="BX64" i="7"/>
  <c r="BS21" i="7"/>
  <c r="BW22" i="7"/>
  <c r="BQ66" i="7"/>
  <c r="BQ24" i="7"/>
  <c r="BX128" i="8"/>
  <c r="BS50" i="7"/>
  <c r="BR31" i="7"/>
  <c r="BS71" i="7"/>
  <c r="BZ62" i="7"/>
  <c r="BW78" i="7"/>
  <c r="CA31" i="7"/>
  <c r="CB16" i="7"/>
  <c r="BT62" i="7"/>
  <c r="CB31" i="7"/>
  <c r="BY54" i="7"/>
  <c r="CB59" i="7"/>
  <c r="BV27" i="7"/>
  <c r="BS8" i="7"/>
  <c r="BS15" i="7"/>
  <c r="BZ65" i="7"/>
  <c r="BZ58" i="7"/>
  <c r="BR24" i="7"/>
  <c r="BW18" i="7"/>
  <c r="BV14" i="7"/>
  <c r="BQ10" i="7"/>
  <c r="BZ49" i="7"/>
  <c r="BS24" i="7"/>
  <c r="BT66" i="7"/>
  <c r="BY48" i="7"/>
  <c r="BX63" i="7"/>
  <c r="BY63" i="7"/>
  <c r="BU53" i="7"/>
  <c r="BS30" i="7"/>
  <c r="BT63" i="7"/>
  <c r="BT77" i="7"/>
  <c r="BW11" i="7"/>
  <c r="CA57" i="7"/>
  <c r="BU26" i="7"/>
  <c r="BZ41" i="7"/>
  <c r="BS31" i="7"/>
  <c r="BV7" i="7"/>
  <c r="BT29" i="7"/>
  <c r="BR71" i="7"/>
  <c r="BQ23" i="7"/>
  <c r="BT12" i="7"/>
  <c r="BT20" i="7"/>
  <c r="BR74" i="7"/>
  <c r="BR66" i="7"/>
  <c r="BS74" i="7"/>
  <c r="BT64" i="7"/>
  <c r="BQ83" i="7"/>
  <c r="BR23" i="7"/>
  <c r="BX48" i="7"/>
  <c r="BU63" i="7"/>
  <c r="CA60" i="7"/>
  <c r="BS28" i="7"/>
  <c r="BU34" i="7"/>
  <c r="BU10" i="7"/>
  <c r="BZ10" i="7"/>
  <c r="BZ78" i="7"/>
  <c r="BR55" i="7"/>
  <c r="BQ67" i="7"/>
  <c r="BY8" i="7"/>
  <c r="CA83" i="7"/>
  <c r="CA73" i="7"/>
  <c r="BZ21" i="7"/>
  <c r="BX23" i="7"/>
  <c r="BQ63" i="7"/>
  <c r="CA69" i="7"/>
  <c r="BV23" i="7"/>
  <c r="BS13" i="7"/>
  <c r="BV84" i="7"/>
  <c r="BQ54" i="7"/>
  <c r="BV6" i="7"/>
  <c r="BQ13" i="7"/>
  <c r="BY13" i="7"/>
  <c r="CA56" i="7"/>
  <c r="CA22" i="7"/>
  <c r="BR12" i="7"/>
  <c r="CA8" i="7"/>
  <c r="BQ72" i="7"/>
  <c r="BW5" i="7"/>
  <c r="BV52" i="7"/>
  <c r="BQ49" i="7"/>
  <c r="BZ32" i="7"/>
  <c r="BQ84" i="7"/>
  <c r="BS52" i="7"/>
  <c r="BR67" i="7"/>
  <c r="CA21" i="7"/>
  <c r="BX66" i="7"/>
  <c r="BX18" i="7"/>
  <c r="BS19" i="7"/>
  <c r="BW13" i="7"/>
  <c r="BW74" i="7"/>
  <c r="BX26" i="7"/>
  <c r="BQ17" i="7"/>
  <c r="BX51" i="7"/>
  <c r="BZ29" i="7"/>
  <c r="BV32" i="7"/>
  <c r="BR8" i="7"/>
  <c r="BT69" i="7"/>
  <c r="CA75" i="7"/>
  <c r="BS77" i="7"/>
  <c r="AG42" i="7"/>
  <c r="BT26" i="7"/>
  <c r="BU29" i="7"/>
  <c r="BU21" i="7"/>
  <c r="BY66" i="7"/>
  <c r="BX8" i="7"/>
  <c r="CB73" i="7"/>
  <c r="BV70" i="7"/>
  <c r="CA64" i="7"/>
  <c r="BZ84" i="7"/>
  <c r="BV80" i="7"/>
  <c r="BQ20" i="7"/>
  <c r="BU37" i="7"/>
  <c r="BV66" i="7"/>
  <c r="CA59" i="7"/>
  <c r="BQ60" i="7"/>
  <c r="CB30" i="7"/>
  <c r="BR51" i="7"/>
  <c r="BY14" i="7"/>
  <c r="BW16" i="7"/>
  <c r="BQ59" i="7"/>
  <c r="BR63" i="7"/>
  <c r="BZ54" i="7"/>
  <c r="BS62" i="7"/>
  <c r="BZ51" i="7"/>
  <c r="CA26" i="7"/>
  <c r="CA41" i="7"/>
  <c r="BX41" i="7"/>
  <c r="BS29" i="7"/>
  <c r="BZ75" i="7"/>
  <c r="BU66" i="7"/>
  <c r="BX61" i="7"/>
  <c r="BU17" i="7"/>
  <c r="BW61" i="7"/>
  <c r="BU64" i="7"/>
  <c r="BV71" i="7"/>
  <c r="BS67" i="7"/>
  <c r="BX74" i="7"/>
  <c r="CB32" i="7"/>
  <c r="BY74" i="7"/>
  <c r="BY23" i="7"/>
  <c r="BZ59" i="7"/>
  <c r="BV75" i="7"/>
  <c r="BX60" i="7"/>
  <c r="BU23" i="7"/>
  <c r="BX31" i="7"/>
  <c r="CB75" i="7"/>
  <c r="BY41" i="7"/>
  <c r="BU5" i="7"/>
  <c r="BR77" i="7"/>
  <c r="BR17" i="7"/>
  <c r="BT17" i="7"/>
  <c r="CA84" i="7"/>
  <c r="BZ25" i="7"/>
  <c r="BR14" i="7"/>
  <c r="BV30" i="7"/>
  <c r="BT5" i="7"/>
  <c r="BX29" i="7"/>
  <c r="BU52" i="7"/>
  <c r="BX21" i="7"/>
  <c r="BR7" i="7"/>
  <c r="BZ69" i="7"/>
  <c r="BW77" i="7"/>
  <c r="BS27" i="7"/>
  <c r="BU59" i="7"/>
  <c r="CA19" i="7"/>
  <c r="BW28" i="7"/>
  <c r="BQ69" i="7"/>
  <c r="BQ41" i="7"/>
  <c r="BZ20" i="7"/>
  <c r="BS57" i="7"/>
  <c r="BT31" i="7"/>
  <c r="BR60" i="7"/>
  <c r="BS25" i="7"/>
  <c r="BU70" i="7"/>
  <c r="BW31" i="7"/>
  <c r="BV34" i="7"/>
  <c r="BQ52" i="7"/>
  <c r="BQ74" i="7"/>
  <c r="BT78" i="7"/>
  <c r="BS68" i="7"/>
  <c r="BW56" i="7"/>
  <c r="BZ26" i="7"/>
  <c r="BZ17" i="7"/>
  <c r="BW27" i="7"/>
  <c r="BZ18" i="7"/>
  <c r="BT68" i="7"/>
  <c r="BZ15" i="7"/>
  <c r="CA70" i="7"/>
  <c r="BR34" i="7"/>
  <c r="BR19" i="7"/>
  <c r="BV16" i="7"/>
  <c r="BS20" i="7"/>
  <c r="BV37" i="7"/>
  <c r="CB66" i="7"/>
  <c r="BS60" i="7"/>
  <c r="BT9" i="7"/>
  <c r="BV59" i="7"/>
  <c r="BZ60" i="7"/>
  <c r="BX83" i="7"/>
  <c r="BS51" i="7"/>
  <c r="BV67" i="7"/>
  <c r="BS17" i="7"/>
  <c r="CB19" i="7"/>
  <c r="BR50" i="7"/>
  <c r="BY81" i="7"/>
  <c r="BY40" i="7"/>
  <c r="BX40" i="7"/>
  <c r="BR62" i="7"/>
  <c r="CA58" i="7"/>
  <c r="BR20" i="7"/>
  <c r="DB86" i="8"/>
  <c r="DF86" i="8" s="1"/>
  <c r="DJ86" i="8" s="1"/>
  <c r="CR92" i="7"/>
  <c r="CD49" i="8"/>
  <c r="BU16" i="7"/>
  <c r="BQ11" i="7"/>
  <c r="BS14" i="7"/>
  <c r="BX38" i="7"/>
  <c r="CA62" i="7"/>
  <c r="BQ62" i="7"/>
  <c r="BW52" i="7"/>
  <c r="BZ72" i="7"/>
  <c r="CA29" i="7"/>
  <c r="CB62" i="7"/>
  <c r="BQ31" i="7"/>
  <c r="BV17" i="7"/>
  <c r="BR70" i="7"/>
  <c r="BW21" i="7"/>
  <c r="BV20" i="7"/>
  <c r="BS10" i="7"/>
  <c r="BT25" i="7"/>
  <c r="BZ61" i="7"/>
  <c r="BV9" i="7"/>
  <c r="CB14" i="7"/>
  <c r="BY24" i="7"/>
  <c r="BW10" i="7"/>
  <c r="BY79" i="7"/>
  <c r="BT74" i="7"/>
  <c r="BR22" i="7"/>
  <c r="BZ50" i="7"/>
  <c r="R42" i="7"/>
  <c r="BS22" i="7"/>
  <c r="BQ38" i="7"/>
  <c r="BU78" i="7"/>
  <c r="BS81" i="7"/>
  <c r="BT48" i="7"/>
  <c r="BW65" i="7"/>
  <c r="BY71" i="7"/>
  <c r="BQ14" i="7"/>
  <c r="BX28" i="7"/>
  <c r="BQ57" i="7"/>
  <c r="BX69" i="7"/>
  <c r="BT15" i="7"/>
  <c r="BR65" i="7"/>
  <c r="BX68" i="7"/>
  <c r="BV35" i="7"/>
  <c r="BX65" i="7"/>
  <c r="CA7" i="7"/>
  <c r="BV77" i="7"/>
  <c r="BR9" i="7"/>
  <c r="BQ9" i="7"/>
  <c r="BY36" i="7"/>
  <c r="BX22" i="7"/>
  <c r="BW70" i="7"/>
  <c r="BW68" i="7"/>
  <c r="BT71" i="7"/>
  <c r="BR52" i="7"/>
  <c r="BX25" i="7"/>
  <c r="BX71" i="7"/>
  <c r="BT127" i="8"/>
  <c r="BS32" i="7"/>
  <c r="BR25" i="7"/>
  <c r="BS16" i="7"/>
  <c r="BQ75" i="7"/>
  <c r="BT8" i="7"/>
  <c r="BS72" i="7"/>
  <c r="BX77" i="7"/>
  <c r="BV15" i="7"/>
  <c r="BZ40" i="7"/>
  <c r="BS12" i="7"/>
  <c r="BY19" i="7"/>
  <c r="BZ55" i="7"/>
  <c r="BX62" i="7"/>
  <c r="BY77" i="7"/>
  <c r="BZ34" i="7"/>
  <c r="BR69" i="7"/>
  <c r="CA12" i="7"/>
  <c r="CB68" i="7"/>
  <c r="BT24" i="7"/>
  <c r="BT51" i="7"/>
  <c r="BS55" i="7"/>
  <c r="BS56" i="7"/>
  <c r="BZ12" i="7"/>
  <c r="BX70" i="7"/>
  <c r="BX19" i="7"/>
  <c r="BZ83" i="7"/>
  <c r="BW83" i="7"/>
  <c r="BT41" i="7"/>
  <c r="BQ32" i="7"/>
  <c r="BV58" i="7"/>
  <c r="BU84" i="7"/>
  <c r="BU8" i="7"/>
  <c r="BX56" i="7"/>
  <c r="BY70" i="7"/>
  <c r="CA11" i="7"/>
  <c r="CR18" i="7"/>
  <c r="BZ11" i="7"/>
  <c r="CA61" i="7"/>
  <c r="BT83" i="7"/>
  <c r="BY34" i="7"/>
  <c r="BY56" i="7"/>
  <c r="BY17" i="7"/>
  <c r="BU67" i="7"/>
  <c r="BZ64" i="7"/>
  <c r="BX27" i="7"/>
  <c r="BW84" i="7"/>
  <c r="BX34" i="7"/>
  <c r="BR72" i="7"/>
  <c r="CA34" i="7"/>
  <c r="BS59" i="7"/>
  <c r="BW41" i="7"/>
  <c r="BQ12" i="7"/>
  <c r="BW8" i="7"/>
  <c r="BV73" i="7"/>
  <c r="BX24" i="7"/>
  <c r="BZ129" i="8"/>
  <c r="BW29" i="8"/>
  <c r="BV48" i="7"/>
  <c r="BS49" i="7"/>
  <c r="AJ135" i="8"/>
  <c r="BZ28" i="7"/>
  <c r="BV29" i="7"/>
  <c r="BV72" i="7"/>
  <c r="BU133" i="8"/>
  <c r="CM96" i="7"/>
  <c r="CQ96" i="7" s="1"/>
  <c r="BT57" i="7"/>
  <c r="BT11" i="7"/>
  <c r="BV31" i="7"/>
  <c r="BS18" i="7"/>
  <c r="DI7" i="8"/>
  <c r="CV7" i="8"/>
  <c r="CA14" i="7"/>
  <c r="D85" i="7"/>
  <c r="BW62" i="7"/>
  <c r="BU134" i="8"/>
  <c r="AV118" i="8"/>
  <c r="BW46" i="8"/>
  <c r="CA133" i="8"/>
  <c r="BY134" i="8"/>
  <c r="CC49" i="8"/>
  <c r="CD9" i="8"/>
  <c r="BW126" i="8"/>
  <c r="BZ13" i="8"/>
  <c r="BY133" i="8"/>
  <c r="CA59" i="8"/>
  <c r="BY128" i="8"/>
  <c r="BX15" i="8"/>
  <c r="CB58" i="8"/>
  <c r="BZ133" i="8"/>
  <c r="BX45" i="8"/>
  <c r="CQ130" i="8"/>
  <c r="DH130" i="8" s="1"/>
  <c r="CB133" i="8"/>
  <c r="BV132" i="8"/>
  <c r="CB28" i="8"/>
  <c r="CB132" i="8"/>
  <c r="CB130" i="8"/>
  <c r="CD18" i="8"/>
  <c r="CP86" i="8"/>
  <c r="CT86" i="8" s="1"/>
  <c r="BY143" i="8"/>
  <c r="AV75" i="8"/>
  <c r="CA22" i="8"/>
  <c r="CB25" i="8"/>
  <c r="CB131" i="8"/>
  <c r="CB128" i="8"/>
  <c r="CA7" i="8"/>
  <c r="CB22" i="8"/>
  <c r="CC127" i="8"/>
  <c r="CD127" i="8"/>
  <c r="BV127" i="8"/>
  <c r="CA11" i="8"/>
  <c r="CB7" i="8"/>
  <c r="CB11" i="8"/>
  <c r="BW59" i="8"/>
  <c r="BX46" i="8"/>
  <c r="CD52" i="8"/>
  <c r="CB16" i="8"/>
  <c r="BW144" i="8"/>
  <c r="CC142" i="8"/>
  <c r="CC144" i="8"/>
  <c r="BZ77" i="7"/>
  <c r="BS11" i="7"/>
  <c r="AS128" i="7"/>
  <c r="AS85" i="7"/>
  <c r="CE42" i="7"/>
  <c r="CI42" i="7" s="1"/>
  <c r="CA68" i="7"/>
  <c r="BV62" i="7"/>
  <c r="BV18" i="7"/>
  <c r="BU41" i="7"/>
  <c r="AI31" i="8"/>
  <c r="BW142" i="8"/>
  <c r="BT142" i="8"/>
  <c r="BS64" i="7"/>
  <c r="BX14" i="8"/>
  <c r="AX42" i="7"/>
  <c r="BY42" i="7" s="1"/>
  <c r="CC18" i="8"/>
  <c r="BQ6" i="7"/>
  <c r="BW26" i="7"/>
  <c r="BU69" i="7"/>
  <c r="CD128" i="8"/>
  <c r="BR53" i="7"/>
  <c r="BS35" i="7"/>
  <c r="BU27" i="7"/>
  <c r="BQ40" i="7"/>
  <c r="BV13" i="7"/>
  <c r="BX80" i="7"/>
  <c r="BX67" i="7"/>
  <c r="AH42" i="7"/>
  <c r="CC53" i="8"/>
  <c r="AI42" i="7"/>
  <c r="Q42" i="7"/>
  <c r="BU31" i="7"/>
  <c r="BU15" i="7"/>
  <c r="BW24" i="7"/>
  <c r="BZ66" i="7"/>
  <c r="BY69" i="7"/>
  <c r="BV56" i="7"/>
  <c r="BY80" i="7"/>
  <c r="BV51" i="7"/>
  <c r="G75" i="8"/>
  <c r="BU129" i="8"/>
  <c r="BR18" i="7"/>
  <c r="BU13" i="7"/>
  <c r="CB23" i="7"/>
  <c r="BV26" i="7"/>
  <c r="BT18" i="7"/>
  <c r="CA23" i="7"/>
  <c r="BT54" i="7"/>
  <c r="BU74" i="7"/>
  <c r="BT58" i="7"/>
  <c r="BY37" i="7"/>
  <c r="BR57" i="7"/>
  <c r="BW69" i="7"/>
  <c r="BU51" i="7"/>
  <c r="BV8" i="7"/>
  <c r="BV69" i="7"/>
  <c r="BU58" i="7"/>
  <c r="BW9" i="8"/>
  <c r="BT126" i="8"/>
  <c r="BT70" i="7"/>
  <c r="BW23" i="7"/>
  <c r="CA13" i="7"/>
  <c r="BR13" i="7"/>
  <c r="BQ22" i="7"/>
  <c r="BV41" i="7"/>
  <c r="BT7" i="7"/>
  <c r="BT28" i="7"/>
  <c r="BQ55" i="7"/>
  <c r="BW64" i="7"/>
  <c r="BT50" i="7"/>
  <c r="BR56" i="7"/>
  <c r="CC128" i="8"/>
  <c r="BW129" i="8"/>
  <c r="BS80" i="7"/>
  <c r="BZ9" i="7"/>
  <c r="BZ5" i="7"/>
  <c r="BY60" i="7"/>
  <c r="BU24" i="7"/>
  <c r="BV5" i="7"/>
  <c r="BT36" i="7"/>
  <c r="BV24" i="7"/>
  <c r="BX36" i="7"/>
  <c r="BX12" i="7"/>
  <c r="BT16" i="7"/>
  <c r="BU50" i="7"/>
  <c r="BQ76" i="7"/>
  <c r="BZ70" i="7"/>
  <c r="CB8" i="7"/>
  <c r="BU48" i="7"/>
  <c r="CB22" i="7"/>
  <c r="CA27" i="7"/>
  <c r="CA20" i="7"/>
  <c r="BX81" i="7"/>
  <c r="BZ6" i="7"/>
  <c r="BW127" i="8"/>
  <c r="CC129" i="8"/>
  <c r="BY142" i="8"/>
  <c r="BV11" i="7"/>
  <c r="BS40" i="7"/>
  <c r="BR75" i="7"/>
  <c r="BY53" i="7"/>
  <c r="CB54" i="7"/>
  <c r="BY55" i="7"/>
  <c r="BX55" i="7"/>
  <c r="BX129" i="8"/>
  <c r="CA142" i="8"/>
  <c r="BM42" i="7"/>
  <c r="BU6" i="7"/>
  <c r="BW58" i="7"/>
  <c r="BW19" i="7"/>
  <c r="BQ27" i="7"/>
  <c r="CB51" i="7"/>
  <c r="CA65" i="7"/>
  <c r="CA63" i="7"/>
  <c r="CD129" i="8"/>
  <c r="CG42" i="7"/>
  <c r="CK42" i="7" s="1"/>
  <c r="CO42" i="7" s="1"/>
  <c r="CS42" i="7" s="1"/>
  <c r="AV42" i="7"/>
  <c r="BV61" i="7"/>
  <c r="CA127" i="8"/>
  <c r="AL135" i="8"/>
  <c r="BT59" i="7"/>
  <c r="CC133" i="8"/>
  <c r="BW71" i="7"/>
  <c r="CA28" i="7"/>
  <c r="CA51" i="7"/>
  <c r="BZ71" i="7"/>
  <c r="BP135" i="8"/>
  <c r="CE128" i="7"/>
  <c r="CI128" i="7" s="1"/>
  <c r="CA53" i="8"/>
  <c r="BT27" i="7"/>
  <c r="CA71" i="7"/>
  <c r="CB72" i="7"/>
  <c r="CB20" i="7"/>
  <c r="BA135" i="8"/>
  <c r="CB135" i="8" s="1"/>
  <c r="BL42" i="7"/>
  <c r="CB53" i="8"/>
  <c r="CU81" i="8"/>
  <c r="BR61" i="7"/>
  <c r="CC22" i="8"/>
  <c r="AK31" i="8"/>
  <c r="BZ126" i="8"/>
  <c r="AV31" i="8"/>
  <c r="CT34" i="8" s="1"/>
  <c r="BQ25" i="7"/>
  <c r="CP83" i="8"/>
  <c r="CT83" i="8" s="1"/>
  <c r="AZ135" i="8"/>
  <c r="BW45" i="8"/>
  <c r="CM93" i="7"/>
  <c r="CQ93" i="7" s="1"/>
  <c r="CZ118" i="8"/>
  <c r="DD118" i="8" s="1"/>
  <c r="DH118" i="8" s="1"/>
  <c r="DL118" i="8" s="1"/>
  <c r="BT128" i="8"/>
  <c r="AL31" i="8"/>
  <c r="CC52" i="8"/>
  <c r="CC21" i="8"/>
  <c r="BU54" i="7"/>
  <c r="BY45" i="8"/>
  <c r="BY14" i="8"/>
  <c r="BS6" i="7"/>
  <c r="BY16" i="7"/>
  <c r="BV19" i="7"/>
  <c r="CB15" i="7"/>
  <c r="BU11" i="7"/>
  <c r="BR49" i="7"/>
  <c r="BX84" i="7"/>
  <c r="BS37" i="7"/>
  <c r="CA72" i="7"/>
  <c r="BS61" i="7"/>
  <c r="BQ68" i="7"/>
  <c r="BT49" i="7"/>
  <c r="CA25" i="7"/>
  <c r="BQ16" i="7"/>
  <c r="BW40" i="7"/>
  <c r="CA15" i="7"/>
  <c r="BQ53" i="7"/>
  <c r="BR59" i="7"/>
  <c r="AY135" i="8"/>
  <c r="BW134" i="8"/>
  <c r="BW60" i="8"/>
  <c r="CC20" i="8"/>
  <c r="CC51" i="8"/>
  <c r="BR32" i="7"/>
  <c r="BR83" i="7"/>
  <c r="BV54" i="7"/>
  <c r="BS54" i="7"/>
  <c r="BX52" i="7"/>
  <c r="BU73" i="7"/>
  <c r="BR16" i="7"/>
  <c r="BR68" i="7"/>
  <c r="BS66" i="7"/>
  <c r="BU61" i="7"/>
  <c r="BV63" i="7"/>
  <c r="CB11" i="7"/>
  <c r="BZ13" i="7"/>
  <c r="BX9" i="7"/>
  <c r="BU49" i="7"/>
  <c r="BW12" i="7"/>
  <c r="BV74" i="7"/>
  <c r="CC126" i="8"/>
  <c r="BZ57" i="7"/>
  <c r="CD21" i="8"/>
  <c r="BW40" i="8"/>
  <c r="BY132" i="8"/>
  <c r="BQ37" i="7"/>
  <c r="BU30" i="7"/>
  <c r="CB58" i="7"/>
  <c r="D128" i="7"/>
  <c r="CD128" i="7" s="1"/>
  <c r="CH128" i="7" s="1"/>
  <c r="CL128" i="7" s="1"/>
  <c r="CP128" i="7" s="1"/>
  <c r="BS75" i="7"/>
  <c r="BW48" i="7"/>
  <c r="BR10" i="7"/>
  <c r="BS83" i="7"/>
  <c r="BU18" i="7"/>
  <c r="CA54" i="7"/>
  <c r="BZ56" i="7"/>
  <c r="CB61" i="7"/>
  <c r="BY127" i="8"/>
  <c r="BZ144" i="8"/>
  <c r="CR91" i="7"/>
  <c r="BZ39" i="8"/>
  <c r="BZ8" i="8"/>
  <c r="CA126" i="8"/>
  <c r="DB83" i="8"/>
  <c r="DF83" i="8" s="1"/>
  <c r="DJ83" i="8" s="1"/>
  <c r="AF42" i="7"/>
  <c r="BQ18" i="7"/>
  <c r="BR40" i="7"/>
  <c r="BY9" i="7"/>
  <c r="CA18" i="7"/>
  <c r="CU91" i="8"/>
  <c r="BY131" i="8"/>
  <c r="S42" i="7"/>
  <c r="CB39" i="8"/>
  <c r="CA8" i="8"/>
  <c r="CA39" i="8"/>
  <c r="CE48" i="8"/>
  <c r="CD48" i="8"/>
  <c r="CD17" i="8"/>
  <c r="CD51" i="8"/>
  <c r="CD20" i="8"/>
  <c r="CE51" i="8"/>
  <c r="BX22" i="8"/>
  <c r="BX53" i="8"/>
  <c r="BV45" i="8"/>
  <c r="BV14" i="8"/>
  <c r="CX28" i="8"/>
  <c r="CK28" i="8"/>
  <c r="BU54" i="8"/>
  <c r="BU23" i="8"/>
  <c r="CB5" i="7"/>
  <c r="BZ14" i="7"/>
  <c r="CA52" i="7"/>
  <c r="BW53" i="7"/>
  <c r="DA23" i="8"/>
  <c r="CN23" i="8"/>
  <c r="BY25" i="8"/>
  <c r="BY56" i="8"/>
  <c r="BZ46" i="8"/>
  <c r="BZ15" i="8"/>
  <c r="BX40" i="8"/>
  <c r="BX9" i="8"/>
  <c r="BZ60" i="8"/>
  <c r="BZ29" i="8"/>
  <c r="BV15" i="8"/>
  <c r="BV46" i="8"/>
  <c r="BV10" i="8"/>
  <c r="BV41" i="8"/>
  <c r="BU9" i="8"/>
  <c r="BU40" i="8"/>
  <c r="BU26" i="8"/>
  <c r="BU57" i="8"/>
  <c r="CZ133" i="8"/>
  <c r="CM133" i="8"/>
  <c r="BV60" i="8"/>
  <c r="BV29" i="8"/>
  <c r="CC40" i="8"/>
  <c r="CC9" i="8"/>
  <c r="CE45" i="8"/>
  <c r="CD14" i="8"/>
  <c r="CD45" i="8"/>
  <c r="BX13" i="8"/>
  <c r="BX44" i="8"/>
  <c r="BX61" i="8"/>
  <c r="BX30" i="8"/>
  <c r="BW57" i="8"/>
  <c r="BW26" i="8"/>
  <c r="CY9" i="8"/>
  <c r="CL9" i="8"/>
  <c r="DA20" i="8"/>
  <c r="CN20" i="8"/>
  <c r="CA56" i="8"/>
  <c r="BZ56" i="8"/>
  <c r="BZ25" i="8"/>
  <c r="CA25" i="8"/>
  <c r="BW30" i="8"/>
  <c r="BW61" i="8"/>
  <c r="BU61" i="8"/>
  <c r="BU30" i="8"/>
  <c r="CX27" i="8"/>
  <c r="CK27" i="8"/>
  <c r="CC57" i="8"/>
  <c r="CC26" i="8"/>
  <c r="CX127" i="8"/>
  <c r="CK127" i="8"/>
  <c r="CY129" i="8"/>
  <c r="CL129" i="8"/>
  <c r="DA127" i="8"/>
  <c r="CN127" i="8"/>
  <c r="CH118" i="8"/>
  <c r="CL118" i="8" s="1"/>
  <c r="BT48" i="8"/>
  <c r="BT17" i="8"/>
  <c r="CD43" i="8"/>
  <c r="CD12" i="8"/>
  <c r="CE43" i="8"/>
  <c r="BV53" i="8"/>
  <c r="BV22" i="8"/>
  <c r="CX129" i="8"/>
  <c r="CK129" i="8"/>
  <c r="CA134" i="8"/>
  <c r="BZ134" i="8"/>
  <c r="BY39" i="8"/>
  <c r="BY8" i="8"/>
  <c r="CC29" i="8"/>
  <c r="CC60" i="8"/>
  <c r="CZ17" i="8"/>
  <c r="CM17" i="8"/>
  <c r="BY57" i="8"/>
  <c r="BY26" i="8"/>
  <c r="BX18" i="8"/>
  <c r="BX49" i="8"/>
  <c r="CY7" i="8"/>
  <c r="CL7" i="8"/>
  <c r="CY12" i="8"/>
  <c r="CL12" i="8"/>
  <c r="CC50" i="8"/>
  <c r="CC19" i="8"/>
  <c r="CE60" i="8"/>
  <c r="CD60" i="8"/>
  <c r="CD29" i="8"/>
  <c r="DA16" i="8"/>
  <c r="CN16" i="8"/>
  <c r="CC10" i="8"/>
  <c r="CC41" i="8"/>
  <c r="BV61" i="8"/>
  <c r="BV30" i="8"/>
  <c r="CB61" i="8"/>
  <c r="CA30" i="8"/>
  <c r="CA61" i="8"/>
  <c r="BU7" i="8"/>
  <c r="BU38" i="8"/>
  <c r="BW42" i="8"/>
  <c r="BW11" i="8"/>
  <c r="CX19" i="8"/>
  <c r="CK19" i="8"/>
  <c r="CG10" i="8"/>
  <c r="S10" i="8"/>
  <c r="BT41" i="8" s="1"/>
  <c r="CI144" i="8"/>
  <c r="U144" i="8"/>
  <c r="DA130" i="8"/>
  <c r="CN130" i="8"/>
  <c r="AK135" i="8"/>
  <c r="CY10" i="8"/>
  <c r="CL10" i="8"/>
  <c r="BI31" i="8"/>
  <c r="BQ31" i="8" s="1"/>
  <c r="CD143" i="8"/>
  <c r="CE143" i="8"/>
  <c r="BW50" i="8"/>
  <c r="BW19" i="8"/>
  <c r="CZ22" i="8"/>
  <c r="CM22" i="8"/>
  <c r="AY31" i="8"/>
  <c r="CA28" i="8"/>
  <c r="CY134" i="8"/>
  <c r="CL134" i="8"/>
  <c r="BW14" i="8"/>
  <c r="CA129" i="8"/>
  <c r="DA11" i="8"/>
  <c r="CN11" i="8"/>
  <c r="CH144" i="8"/>
  <c r="T144" i="8"/>
  <c r="BZ52" i="7"/>
  <c r="BQ70" i="7"/>
  <c r="CA48" i="7"/>
  <c r="BW51" i="7"/>
  <c r="BQ61" i="7"/>
  <c r="BR58" i="7"/>
  <c r="BV54" i="8"/>
  <c r="BV23" i="8"/>
  <c r="BZ20" i="8"/>
  <c r="BZ51" i="8"/>
  <c r="CX14" i="8"/>
  <c r="CK14" i="8"/>
  <c r="DA15" i="8"/>
  <c r="CN15" i="8"/>
  <c r="DA10" i="8"/>
  <c r="CN10" i="8"/>
  <c r="BY42" i="8"/>
  <c r="BY11" i="8"/>
  <c r="BX47" i="8"/>
  <c r="BX16" i="8"/>
  <c r="CZ26" i="8"/>
  <c r="CM26" i="8"/>
  <c r="BV11" i="8"/>
  <c r="BV42" i="8"/>
  <c r="DA29" i="8"/>
  <c r="CN29" i="8"/>
  <c r="BY22" i="8"/>
  <c r="BY53" i="8"/>
  <c r="CX118" i="8"/>
  <c r="CX128" i="8"/>
  <c r="CK128" i="8"/>
  <c r="BV24" i="8"/>
  <c r="BV55" i="8"/>
  <c r="BZ14" i="8"/>
  <c r="BZ45" i="8"/>
  <c r="CZ25" i="8"/>
  <c r="CM25" i="8"/>
  <c r="CA14" i="8"/>
  <c r="CA45" i="8"/>
  <c r="CB45" i="8"/>
  <c r="CD7" i="8"/>
  <c r="CE38" i="8"/>
  <c r="CD38" i="8"/>
  <c r="CZ30" i="8"/>
  <c r="CM30" i="8"/>
  <c r="CX130" i="8"/>
  <c r="CK130" i="8"/>
  <c r="BZ16" i="8"/>
  <c r="BZ47" i="8"/>
  <c r="CY126" i="8"/>
  <c r="CL126" i="8"/>
  <c r="BZ58" i="8"/>
  <c r="BZ27" i="8"/>
  <c r="CB40" i="8"/>
  <c r="CA40" i="8"/>
  <c r="CA9" i="8"/>
  <c r="CY17" i="8"/>
  <c r="CL17" i="8"/>
  <c r="BA144" i="8"/>
  <c r="CA144" i="8" s="1"/>
  <c r="DA22" i="8"/>
  <c r="CN22" i="8"/>
  <c r="BV9" i="8"/>
  <c r="BV40" i="8"/>
  <c r="CY30" i="8"/>
  <c r="CL30" i="8"/>
  <c r="CA44" i="8"/>
  <c r="CB44" i="8"/>
  <c r="CA13" i="8"/>
  <c r="BY7" i="8"/>
  <c r="BY38" i="8"/>
  <c r="CD50" i="8"/>
  <c r="CE50" i="8"/>
  <c r="CD19" i="8"/>
  <c r="CC54" i="8"/>
  <c r="CC23" i="8"/>
  <c r="CX11" i="8"/>
  <c r="CK11" i="8"/>
  <c r="BT7" i="8"/>
  <c r="BT38" i="8"/>
  <c r="BT13" i="8"/>
  <c r="BT44" i="8"/>
  <c r="CY20" i="8"/>
  <c r="CL20" i="8"/>
  <c r="CB43" i="8"/>
  <c r="CA12" i="8"/>
  <c r="CA43" i="8"/>
  <c r="CX23" i="8"/>
  <c r="CK23" i="8"/>
  <c r="CZ7" i="8"/>
  <c r="CM7" i="8"/>
  <c r="CQ7" i="8" s="1"/>
  <c r="BU142" i="8"/>
  <c r="BX126" i="8"/>
  <c r="CZ12" i="8"/>
  <c r="CM12" i="8"/>
  <c r="BO135" i="8"/>
  <c r="CZ29" i="8"/>
  <c r="CM29" i="8"/>
  <c r="BI118" i="8"/>
  <c r="DA28" i="8"/>
  <c r="CN28" i="8"/>
  <c r="BU22" i="8"/>
  <c r="BU53" i="8"/>
  <c r="CZ18" i="8"/>
  <c r="CM18" i="8"/>
  <c r="CI118" i="8"/>
  <c r="CM118" i="8" s="1"/>
  <c r="CQ118" i="8" s="1"/>
  <c r="BV26" i="8"/>
  <c r="BV57" i="8"/>
  <c r="CD40" i="8"/>
  <c r="BX17" i="8"/>
  <c r="BX48" i="8"/>
  <c r="BW52" i="8"/>
  <c r="BW21" i="8"/>
  <c r="CX24" i="8"/>
  <c r="CK24" i="8"/>
  <c r="BZ41" i="8"/>
  <c r="BZ10" i="8"/>
  <c r="BU51" i="8"/>
  <c r="BU20" i="8"/>
  <c r="U31" i="8"/>
  <c r="CI31" i="8"/>
  <c r="BU12" i="8"/>
  <c r="BU43" i="8"/>
  <c r="BV59" i="8"/>
  <c r="BV28" i="8"/>
  <c r="BU49" i="8"/>
  <c r="BU18" i="8"/>
  <c r="DA26" i="8"/>
  <c r="CN26" i="8"/>
  <c r="BX53" i="7"/>
  <c r="CC48" i="8"/>
  <c r="CC17" i="8"/>
  <c r="DA14" i="8"/>
  <c r="CN14" i="8"/>
  <c r="BV58" i="8"/>
  <c r="BV27" i="8"/>
  <c r="BU47" i="8"/>
  <c r="BU16" i="8"/>
  <c r="BT50" i="8"/>
  <c r="BT19" i="8"/>
  <c r="CC39" i="8"/>
  <c r="CC8" i="8"/>
  <c r="CZ23" i="8"/>
  <c r="CM23" i="8"/>
  <c r="BU44" i="8"/>
  <c r="BU13" i="8"/>
  <c r="CZ15" i="8"/>
  <c r="CM15" i="8"/>
  <c r="BU28" i="8"/>
  <c r="BU59" i="8"/>
  <c r="DA19" i="8"/>
  <c r="CN19" i="8"/>
  <c r="CC44" i="8"/>
  <c r="CC13" i="8"/>
  <c r="CD44" i="8"/>
  <c r="CD13" i="8"/>
  <c r="BV12" i="8"/>
  <c r="BV43" i="8"/>
  <c r="CC43" i="8"/>
  <c r="CC12" i="8"/>
  <c r="BU19" i="8"/>
  <c r="BU50" i="8"/>
  <c r="CC59" i="8"/>
  <c r="CC28" i="8"/>
  <c r="CY142" i="8"/>
  <c r="CL142" i="8"/>
  <c r="BT53" i="8"/>
  <c r="BT22" i="8"/>
  <c r="DA131" i="8"/>
  <c r="CN131" i="8"/>
  <c r="CA48" i="8"/>
  <c r="CA17" i="8"/>
  <c r="CB48" i="8"/>
  <c r="BT133" i="8"/>
  <c r="BY126" i="8"/>
  <c r="BT57" i="8"/>
  <c r="BT26" i="8"/>
  <c r="CA57" i="8"/>
  <c r="CA26" i="8"/>
  <c r="CB57" i="8"/>
  <c r="BZ40" i="8"/>
  <c r="BZ9" i="8"/>
  <c r="BV49" i="8"/>
  <c r="BV18" i="8"/>
  <c r="S135" i="8"/>
  <c r="CG135" i="8"/>
  <c r="CY128" i="8"/>
  <c r="CL128" i="8"/>
  <c r="BX29" i="8"/>
  <c r="BX60" i="8"/>
  <c r="CD142" i="8"/>
  <c r="CE142" i="8"/>
  <c r="BW22" i="8"/>
  <c r="BW53" i="8"/>
  <c r="BV133" i="8"/>
  <c r="CU82" i="8"/>
  <c r="CZ20" i="8"/>
  <c r="CM20" i="8"/>
  <c r="DA142" i="8"/>
  <c r="CN142" i="8"/>
  <c r="CY25" i="8"/>
  <c r="CL25" i="8"/>
  <c r="DG81" i="8"/>
  <c r="DK81" i="8" s="1"/>
  <c r="BW133" i="8"/>
  <c r="BZ24" i="8"/>
  <c r="BZ55" i="8"/>
  <c r="CD8" i="7"/>
  <c r="CH8" i="7" s="1"/>
  <c r="CL8" i="7" s="1"/>
  <c r="CP8" i="7" s="1"/>
  <c r="P8" i="7"/>
  <c r="CZ127" i="8"/>
  <c r="CM127" i="8"/>
  <c r="CZ129" i="8"/>
  <c r="CM129" i="8"/>
  <c r="BO31" i="8"/>
  <c r="BZ19" i="8"/>
  <c r="BZ142" i="8"/>
  <c r="CY29" i="8"/>
  <c r="CL29" i="8"/>
  <c r="CY14" i="8"/>
  <c r="CL14" i="8"/>
  <c r="BW15" i="8"/>
  <c r="CX21" i="8"/>
  <c r="CK21" i="8"/>
  <c r="CA42" i="8"/>
  <c r="CB142" i="8"/>
  <c r="CF128" i="7"/>
  <c r="CJ128" i="7" s="1"/>
  <c r="CN128" i="7" s="1"/>
  <c r="CX133" i="8"/>
  <c r="CK133" i="8"/>
  <c r="CZ13" i="8"/>
  <c r="CM13" i="8"/>
  <c r="BU46" i="8"/>
  <c r="BU15" i="8"/>
  <c r="CZ28" i="8"/>
  <c r="CM28" i="8"/>
  <c r="DA12" i="8"/>
  <c r="CN12" i="8"/>
  <c r="CB52" i="8"/>
  <c r="CA21" i="8"/>
  <c r="CA52" i="8"/>
  <c r="BT51" i="8"/>
  <c r="BT20" i="8"/>
  <c r="BY12" i="8"/>
  <c r="BY43" i="8"/>
  <c r="CD134" i="8"/>
  <c r="CC134" i="8"/>
  <c r="CS44" i="7"/>
  <c r="BR27" i="7"/>
  <c r="BS26" i="7"/>
  <c r="BX10" i="7"/>
  <c r="CC56" i="8"/>
  <c r="CC25" i="8"/>
  <c r="CA19" i="8"/>
  <c r="CB50" i="8"/>
  <c r="CA50" i="8"/>
  <c r="BW10" i="8"/>
  <c r="BW41" i="8"/>
  <c r="BA31" i="8"/>
  <c r="CB75" i="8" s="1"/>
  <c r="BZ18" i="8"/>
  <c r="BZ49" i="8"/>
  <c r="BW44" i="8"/>
  <c r="BW13" i="8"/>
  <c r="DA27" i="8"/>
  <c r="CN27" i="8"/>
  <c r="CZ16" i="8"/>
  <c r="CM16" i="8"/>
  <c r="BZ52" i="8"/>
  <c r="BZ21" i="8"/>
  <c r="DG94" i="8"/>
  <c r="DK94" i="8" s="1"/>
  <c r="BY129" i="8"/>
  <c r="CD133" i="8"/>
  <c r="CD16" i="8"/>
  <c r="CC47" i="8"/>
  <c r="CC16" i="8"/>
  <c r="CD47" i="8"/>
  <c r="BZ127" i="8"/>
  <c r="BV134" i="8"/>
  <c r="G118" i="8"/>
  <c r="CG118" i="8" s="1"/>
  <c r="CK118" i="8" s="1"/>
  <c r="CO118" i="8" s="1"/>
  <c r="CS118" i="8" s="1"/>
  <c r="BV50" i="8"/>
  <c r="BV19" i="8"/>
  <c r="BZ44" i="8"/>
  <c r="BT28" i="8"/>
  <c r="BT59" i="8"/>
  <c r="CZ19" i="8"/>
  <c r="CM19" i="8"/>
  <c r="BZ30" i="8"/>
  <c r="BZ61" i="8"/>
  <c r="G31" i="8"/>
  <c r="S30" i="8"/>
  <c r="BT30" i="8" s="1"/>
  <c r="CG30" i="8"/>
  <c r="DA143" i="8"/>
  <c r="CN143" i="8"/>
  <c r="CY22" i="8"/>
  <c r="CL22" i="8"/>
  <c r="BT21" i="8"/>
  <c r="BT52" i="8"/>
  <c r="AL144" i="8"/>
  <c r="BV131" i="8"/>
  <c r="CX142" i="8"/>
  <c r="CK142" i="8"/>
  <c r="BX127" i="8"/>
  <c r="BY17" i="8"/>
  <c r="BY48" i="8"/>
  <c r="BT23" i="8"/>
  <c r="BT54" i="8"/>
  <c r="BW56" i="8"/>
  <c r="BW25" i="8"/>
  <c r="CE46" i="8"/>
  <c r="CD46" i="8"/>
  <c r="CD15" i="8"/>
  <c r="DA18" i="8"/>
  <c r="CN18" i="8"/>
  <c r="BW27" i="8"/>
  <c r="BW58" i="8"/>
  <c r="BQ144" i="8"/>
  <c r="DA133" i="8"/>
  <c r="CN133" i="8"/>
  <c r="BV142" i="8"/>
  <c r="BT56" i="8"/>
  <c r="BT25" i="8"/>
  <c r="DG82" i="8"/>
  <c r="DK82" i="8" s="1"/>
  <c r="BV39" i="8"/>
  <c r="BV8" i="8"/>
  <c r="CY118" i="8"/>
  <c r="DC118" i="8" s="1"/>
  <c r="CJ118" i="8"/>
  <c r="CN118" i="8" s="1"/>
  <c r="CR118" i="8" s="1"/>
  <c r="CV118" i="8" s="1"/>
  <c r="BT47" i="8"/>
  <c r="BT16" i="8"/>
  <c r="BV21" i="8"/>
  <c r="BV52" i="8"/>
  <c r="DA128" i="8"/>
  <c r="CN128" i="8"/>
  <c r="BZ22" i="8"/>
  <c r="BZ53" i="8"/>
  <c r="BY19" i="8"/>
  <c r="BY50" i="8"/>
  <c r="BW49" i="8"/>
  <c r="BW18" i="8"/>
  <c r="CY27" i="8"/>
  <c r="CL27" i="8"/>
  <c r="BY46" i="8"/>
  <c r="BY15" i="8"/>
  <c r="CZ10" i="8"/>
  <c r="CM10" i="8"/>
  <c r="BY30" i="8"/>
  <c r="BY61" i="8"/>
  <c r="BU127" i="8"/>
  <c r="BX134" i="8"/>
  <c r="BT45" i="8"/>
  <c r="BT14" i="8"/>
  <c r="CM10" i="7"/>
  <c r="CQ10" i="7" s="1"/>
  <c r="CA58" i="8"/>
  <c r="BY13" i="8"/>
  <c r="CX17" i="8"/>
  <c r="CK17" i="8"/>
  <c r="CR15" i="7"/>
  <c r="CY19" i="8"/>
  <c r="CL19" i="8"/>
  <c r="DA24" i="8"/>
  <c r="CN24" i="8"/>
  <c r="BU56" i="8"/>
  <c r="BU25" i="8"/>
  <c r="BW16" i="8"/>
  <c r="BW47" i="8"/>
  <c r="BX20" i="8"/>
  <c r="BX51" i="8"/>
  <c r="CX126" i="8"/>
  <c r="CK126" i="8"/>
  <c r="CX26" i="8"/>
  <c r="CK26" i="8"/>
  <c r="DA9" i="8"/>
  <c r="CN9" i="8"/>
  <c r="CE54" i="8"/>
  <c r="CD23" i="8"/>
  <c r="CD54" i="8"/>
  <c r="BV38" i="8"/>
  <c r="BV7" i="8"/>
  <c r="CZ134" i="8"/>
  <c r="CM134" i="8"/>
  <c r="BT42" i="8"/>
  <c r="BT11" i="8"/>
  <c r="CB38" i="8"/>
  <c r="CA38" i="8"/>
  <c r="CE56" i="8"/>
  <c r="CD56" i="8"/>
  <c r="CD25" i="8"/>
  <c r="DA132" i="8"/>
  <c r="CN132" i="8"/>
  <c r="CX8" i="8"/>
  <c r="CK8" i="8"/>
  <c r="BU27" i="8"/>
  <c r="BU58" i="8"/>
  <c r="BX52" i="8"/>
  <c r="BX21" i="8"/>
  <c r="CZ131" i="8"/>
  <c r="CM131" i="8"/>
  <c r="DA134" i="8"/>
  <c r="CN134" i="8"/>
  <c r="CX16" i="8"/>
  <c r="CK16" i="8"/>
  <c r="CY28" i="8"/>
  <c r="CL28" i="8"/>
  <c r="BW51" i="8"/>
  <c r="BW20" i="8"/>
  <c r="BY20" i="8"/>
  <c r="BY51" i="8"/>
  <c r="BU126" i="8"/>
  <c r="CX7" i="8"/>
  <c r="CK7" i="8"/>
  <c r="CX13" i="8"/>
  <c r="CK13" i="8"/>
  <c r="BV143" i="8"/>
  <c r="CE41" i="8"/>
  <c r="CD41" i="8"/>
  <c r="CD10" i="8"/>
  <c r="CY21" i="8"/>
  <c r="CL21" i="8"/>
  <c r="BY54" i="8"/>
  <c r="BY23" i="8"/>
  <c r="DA13" i="8"/>
  <c r="CN13" i="8"/>
  <c r="CE55" i="8"/>
  <c r="CD55" i="8"/>
  <c r="CD24" i="8"/>
  <c r="CG144" i="8"/>
  <c r="S144" i="8"/>
  <c r="BU128" i="8"/>
  <c r="CU94" i="8"/>
  <c r="CY23" i="8"/>
  <c r="CL23" i="8"/>
  <c r="BX19" i="8"/>
  <c r="BX50" i="8"/>
  <c r="CJ135" i="8"/>
  <c r="V135" i="8"/>
  <c r="CY8" i="8"/>
  <c r="CL8" i="8"/>
  <c r="BU55" i="8"/>
  <c r="BU24" i="8"/>
  <c r="CX22" i="8"/>
  <c r="CK22" i="8"/>
  <c r="CJ144" i="8"/>
  <c r="V144" i="8"/>
  <c r="BZ43" i="8"/>
  <c r="BZ12" i="8"/>
  <c r="DA8" i="8"/>
  <c r="CN8" i="8"/>
  <c r="BX10" i="8"/>
  <c r="BY10" i="8"/>
  <c r="BY41" i="8"/>
  <c r="BX41" i="8"/>
  <c r="CY16" i="8"/>
  <c r="CL16" i="8"/>
  <c r="DA21" i="8"/>
  <c r="CN21" i="8"/>
  <c r="BV128" i="8"/>
  <c r="CA51" i="8"/>
  <c r="CA20" i="8"/>
  <c r="CB51" i="8"/>
  <c r="BT58" i="8"/>
  <c r="BT27" i="8"/>
  <c r="BV129" i="8"/>
  <c r="BU41" i="8"/>
  <c r="BU10" i="8"/>
  <c r="CZ132" i="8"/>
  <c r="CM132" i="8"/>
  <c r="CX20" i="8"/>
  <c r="CK20" i="8"/>
  <c r="BF128" i="7"/>
  <c r="S9" i="8"/>
  <c r="BT40" i="8" s="1"/>
  <c r="CG9" i="8"/>
  <c r="BX43" i="8"/>
  <c r="BX12" i="8"/>
  <c r="BW12" i="8"/>
  <c r="BW43" i="8"/>
  <c r="BT46" i="8"/>
  <c r="BT15" i="8"/>
  <c r="DA25" i="8"/>
  <c r="CN25" i="8"/>
  <c r="BZ23" i="8"/>
  <c r="BZ54" i="8"/>
  <c r="CA27" i="8"/>
  <c r="BY44" i="8"/>
  <c r="BY29" i="8"/>
  <c r="BY60" i="8"/>
  <c r="BY58" i="8"/>
  <c r="BY27" i="8"/>
  <c r="CC11" i="8"/>
  <c r="CC42" i="8"/>
  <c r="CE58" i="8"/>
  <c r="CD58" i="8"/>
  <c r="CD27" i="8"/>
  <c r="CC45" i="8"/>
  <c r="CC14" i="8"/>
  <c r="CY133" i="8"/>
  <c r="CL133" i="8"/>
  <c r="CY26" i="8"/>
  <c r="CL26" i="8"/>
  <c r="CY13" i="8"/>
  <c r="CL13" i="8"/>
  <c r="CX134" i="8"/>
  <c r="CK134" i="8"/>
  <c r="BU60" i="8"/>
  <c r="BU29" i="8"/>
  <c r="BT29" i="8"/>
  <c r="BT60" i="8"/>
  <c r="BR15" i="7"/>
  <c r="CR5" i="7"/>
  <c r="BX7" i="8"/>
  <c r="BX38" i="8"/>
  <c r="CJ31" i="8"/>
  <c r="CV34" i="8"/>
  <c r="V31" i="8"/>
  <c r="BY55" i="8"/>
  <c r="BY24" i="8"/>
  <c r="BW23" i="8"/>
  <c r="BX54" i="8"/>
  <c r="BW54" i="8"/>
  <c r="BX23" i="8"/>
  <c r="CY11" i="8"/>
  <c r="CL11" i="8"/>
  <c r="BZ26" i="8"/>
  <c r="BZ57" i="8"/>
  <c r="BP31" i="8"/>
  <c r="BW48" i="8"/>
  <c r="BW17" i="8"/>
  <c r="CD39" i="8"/>
  <c r="CD8" i="8"/>
  <c r="CE39" i="8"/>
  <c r="CZ27" i="8"/>
  <c r="CM27" i="8"/>
  <c r="CB143" i="8"/>
  <c r="CA143" i="8"/>
  <c r="BX58" i="8"/>
  <c r="BX27" i="8"/>
  <c r="CB46" i="8"/>
  <c r="CA46" i="8"/>
  <c r="CA15" i="8"/>
  <c r="CY127" i="8"/>
  <c r="CL127" i="8"/>
  <c r="BU42" i="8"/>
  <c r="BU11" i="8"/>
  <c r="BZ38" i="8"/>
  <c r="BZ7" i="8"/>
  <c r="BZ17" i="8"/>
  <c r="BZ48" i="8"/>
  <c r="CG128" i="7"/>
  <c r="CK128" i="7" s="1"/>
  <c r="CO128" i="7" s="1"/>
  <c r="CS128" i="7" s="1"/>
  <c r="CY18" i="8"/>
  <c r="CL18" i="8"/>
  <c r="CC46" i="8"/>
  <c r="CC15" i="8"/>
  <c r="BY9" i="8"/>
  <c r="BY40" i="8"/>
  <c r="BY52" i="8"/>
  <c r="BY21" i="8"/>
  <c r="BX25" i="8"/>
  <c r="BX56" i="8"/>
  <c r="CZ126" i="8"/>
  <c r="CM126" i="8"/>
  <c r="CZ14" i="8"/>
  <c r="CM14" i="8"/>
  <c r="BQ135" i="8"/>
  <c r="CA55" i="8"/>
  <c r="CA24" i="8"/>
  <c r="CB55" i="8"/>
  <c r="CB54" i="8"/>
  <c r="CA23" i="8"/>
  <c r="CA54" i="8"/>
  <c r="BV13" i="8"/>
  <c r="BV44" i="8"/>
  <c r="BW38" i="8"/>
  <c r="BW7" i="8"/>
  <c r="CZ128" i="8"/>
  <c r="CM128" i="8"/>
  <c r="BU21" i="8"/>
  <c r="BU52" i="8"/>
  <c r="CC24" i="8"/>
  <c r="CC55" i="8"/>
  <c r="DA17" i="8"/>
  <c r="CN17" i="8"/>
  <c r="DA126" i="8"/>
  <c r="CN126" i="8"/>
  <c r="BT8" i="8"/>
  <c r="BT39" i="8"/>
  <c r="CZ24" i="8"/>
  <c r="CM24" i="8"/>
  <c r="AI135" i="8"/>
  <c r="BW135" i="8" s="1"/>
  <c r="AK144" i="8"/>
  <c r="BX144" i="8" s="1"/>
  <c r="CE53" i="8"/>
  <c r="CD53" i="8"/>
  <c r="CD22" i="8"/>
  <c r="CX25" i="8"/>
  <c r="CK25" i="8"/>
  <c r="BZ11" i="8"/>
  <c r="BZ42" i="8"/>
  <c r="BX11" i="8"/>
  <c r="BX42" i="8"/>
  <c r="BW55" i="8"/>
  <c r="BW24" i="8"/>
  <c r="BX133" i="8"/>
  <c r="DA129" i="8"/>
  <c r="CN129" i="8"/>
  <c r="BW28" i="8"/>
  <c r="BF85" i="7"/>
  <c r="CY15" i="8"/>
  <c r="CL15" i="8"/>
  <c r="CA47" i="8"/>
  <c r="BV25" i="8"/>
  <c r="BV56" i="8"/>
  <c r="BT24" i="8"/>
  <c r="BT55" i="8"/>
  <c r="BU39" i="8"/>
  <c r="BU8" i="8"/>
  <c r="BQ15" i="7"/>
  <c r="BX39" i="8"/>
  <c r="BX8" i="8"/>
  <c r="CE42" i="8"/>
  <c r="CD11" i="8"/>
  <c r="CD42" i="8"/>
  <c r="DA7" i="8"/>
  <c r="DE7" i="8"/>
  <c r="CE59" i="8"/>
  <c r="CD59" i="8"/>
  <c r="CD28" i="8"/>
  <c r="CC38" i="8"/>
  <c r="CC7" i="8"/>
  <c r="BY49" i="8"/>
  <c r="BY18" i="8"/>
  <c r="CZ9" i="8"/>
  <c r="CM9" i="8"/>
  <c r="CC58" i="8"/>
  <c r="CC27" i="8"/>
  <c r="CZ143" i="8"/>
  <c r="CM143" i="8"/>
  <c r="CX18" i="8"/>
  <c r="CK18" i="8"/>
  <c r="CZ11" i="8"/>
  <c r="CM11" i="8"/>
  <c r="BZ28" i="8"/>
  <c r="BZ59" i="8"/>
  <c r="BT49" i="8"/>
  <c r="BT18" i="8"/>
  <c r="BV51" i="8"/>
  <c r="BV20" i="8"/>
  <c r="BW8" i="8"/>
  <c r="BW39" i="8"/>
  <c r="CA49" i="8"/>
  <c r="CB49" i="8"/>
  <c r="CA18" i="8"/>
  <c r="CD61" i="8"/>
  <c r="CC61" i="8"/>
  <c r="CD30" i="8"/>
  <c r="CC30" i="8"/>
  <c r="CA41" i="8"/>
  <c r="CB41" i="8"/>
  <c r="CA10" i="8"/>
  <c r="CI135" i="8"/>
  <c r="U135" i="8"/>
  <c r="BU14" i="8"/>
  <c r="BU45" i="8"/>
  <c r="P28" i="7"/>
  <c r="CD28" i="7"/>
  <c r="CH28" i="7" s="1"/>
  <c r="CL28" i="7" s="1"/>
  <c r="CP28" i="7" s="1"/>
  <c r="CD126" i="8"/>
  <c r="CX15" i="8"/>
  <c r="CK15" i="8"/>
  <c r="CH135" i="8"/>
  <c r="T135" i="8"/>
  <c r="AJ31" i="8"/>
  <c r="BT129" i="8"/>
  <c r="CZ21" i="8"/>
  <c r="CM21" i="8"/>
  <c r="CX29" i="8"/>
  <c r="CK29" i="8"/>
  <c r="BV48" i="8"/>
  <c r="BV17" i="8"/>
  <c r="BV126" i="8"/>
  <c r="CD57" i="8"/>
  <c r="CD26" i="8"/>
  <c r="CE57" i="8"/>
  <c r="BX142" i="8"/>
  <c r="BU17" i="8"/>
  <c r="BU48" i="8"/>
  <c r="BX24" i="8"/>
  <c r="BX55" i="8"/>
  <c r="DG91" i="8"/>
  <c r="DK91" i="8" s="1"/>
  <c r="T31" i="8"/>
  <c r="CH31" i="8"/>
  <c r="BT43" i="8"/>
  <c r="BT12" i="8"/>
  <c r="BV47" i="8"/>
  <c r="BV16" i="8"/>
  <c r="BX28" i="8"/>
  <c r="BY59" i="8"/>
  <c r="BY28" i="8"/>
  <c r="BX59" i="8"/>
  <c r="DE118" i="8"/>
  <c r="DI118" i="8" s="1"/>
  <c r="DM118" i="8" s="1"/>
  <c r="DA30" i="8"/>
  <c r="CN30" i="8"/>
  <c r="CA29" i="8"/>
  <c r="CA60" i="8"/>
  <c r="CB60" i="8"/>
  <c r="CX12" i="8"/>
  <c r="CK12" i="8"/>
  <c r="CZ142" i="8"/>
  <c r="CM142" i="8"/>
  <c r="BI75" i="8"/>
  <c r="BX26" i="8"/>
  <c r="BX57" i="8"/>
  <c r="BY16" i="8"/>
  <c r="BY47" i="8"/>
  <c r="CY24" i="8"/>
  <c r="CL24" i="8"/>
  <c r="BT134" i="8"/>
  <c r="CZ8" i="8"/>
  <c r="CM8" i="8"/>
  <c r="CA16" i="8"/>
  <c r="CT130" i="8"/>
  <c r="DK130" i="8" s="1"/>
  <c r="CS132" i="8"/>
  <c r="CT132" i="8"/>
  <c r="DK132" i="8" s="1"/>
  <c r="CS131" i="8"/>
  <c r="CS143" i="8"/>
  <c r="DJ143" i="8" s="1"/>
  <c r="CT131" i="8"/>
  <c r="DK131" i="8" s="1"/>
  <c r="CT143" i="8"/>
  <c r="DK143" i="8" s="1"/>
  <c r="BQ82" i="7"/>
  <c r="BR5" i="7"/>
  <c r="BR48" i="7"/>
  <c r="CR6" i="7"/>
  <c r="BS48" i="7"/>
  <c r="CA6" i="7"/>
  <c r="CA49" i="7"/>
  <c r="CB6" i="7"/>
  <c r="CB49" i="7"/>
  <c r="BW7" i="7"/>
  <c r="BW50" i="7"/>
  <c r="CM7" i="7"/>
  <c r="CQ7" i="7" s="1"/>
  <c r="BX7" i="7"/>
  <c r="BS5" i="7"/>
  <c r="P7" i="7"/>
  <c r="CD7" i="7"/>
  <c r="CH7" i="7" s="1"/>
  <c r="CL7" i="7" s="1"/>
  <c r="CP7" i="7" s="1"/>
  <c r="CF42" i="7"/>
  <c r="CJ42" i="7" s="1"/>
  <c r="CN42" i="7" s="1"/>
  <c r="AS42" i="7"/>
  <c r="AW42" i="7" s="1"/>
  <c r="BF42" i="7"/>
  <c r="BN42" i="7" s="1"/>
  <c r="D42" i="7"/>
  <c r="CP44" i="7" s="1"/>
  <c r="BT42" i="7" l="1"/>
  <c r="BU42" i="7"/>
  <c r="BR85" i="7"/>
  <c r="CP118" i="8"/>
  <c r="CT118" i="8" s="1"/>
  <c r="BV85" i="7"/>
  <c r="BV42" i="7"/>
  <c r="BU85" i="7"/>
  <c r="BR42" i="7"/>
  <c r="DB118" i="8"/>
  <c r="DF118" i="8" s="1"/>
  <c r="DJ118" i="8" s="1"/>
  <c r="BX135" i="8"/>
  <c r="BZ42" i="7"/>
  <c r="CU130" i="8"/>
  <c r="DL130" i="8" s="1"/>
  <c r="BS42" i="7"/>
  <c r="AZ31" i="8"/>
  <c r="CA75" i="8" s="1"/>
  <c r="CM128" i="7"/>
  <c r="CQ128" i="7" s="1"/>
  <c r="BZ85" i="7"/>
  <c r="BY85" i="7"/>
  <c r="CH149" i="8"/>
  <c r="CJ149" i="8"/>
  <c r="CI149" i="8"/>
  <c r="DH7" i="8"/>
  <c r="CU7" i="8"/>
  <c r="BX31" i="8"/>
  <c r="CY135" i="8"/>
  <c r="DE24" i="8"/>
  <c r="CR24" i="8"/>
  <c r="DE130" i="8"/>
  <c r="CR130" i="8"/>
  <c r="DE25" i="8"/>
  <c r="CR25" i="8"/>
  <c r="DE21" i="8"/>
  <c r="CR21" i="8"/>
  <c r="DE13" i="8"/>
  <c r="CR13" i="8"/>
  <c r="DE132" i="8"/>
  <c r="CR132" i="8"/>
  <c r="DE9" i="8"/>
  <c r="CR9" i="8"/>
  <c r="DE128" i="8"/>
  <c r="CR128" i="8"/>
  <c r="DE26" i="8"/>
  <c r="CR26" i="8"/>
  <c r="DE10" i="8"/>
  <c r="CR10" i="8"/>
  <c r="DE127" i="8"/>
  <c r="CR127" i="8"/>
  <c r="DE28" i="8"/>
  <c r="CR28" i="8"/>
  <c r="DE12" i="8"/>
  <c r="CR12" i="8"/>
  <c r="DE16" i="8"/>
  <c r="CR16" i="8"/>
  <c r="DE17" i="8"/>
  <c r="CR17" i="8"/>
  <c r="DE19" i="8"/>
  <c r="CR19" i="8"/>
  <c r="DE8" i="8"/>
  <c r="CR8" i="8"/>
  <c r="DE134" i="8"/>
  <c r="CR134" i="8"/>
  <c r="DE29" i="8"/>
  <c r="CR29" i="8"/>
  <c r="DE30" i="8"/>
  <c r="CR30" i="8"/>
  <c r="DE15" i="8"/>
  <c r="CR15" i="8"/>
  <c r="DE11" i="8"/>
  <c r="CR11" i="8"/>
  <c r="DE20" i="8"/>
  <c r="CR20" i="8"/>
  <c r="DE23" i="8"/>
  <c r="CR23" i="8"/>
  <c r="DE133" i="8"/>
  <c r="CR133" i="8"/>
  <c r="DE126" i="8"/>
  <c r="CR126" i="8"/>
  <c r="DE131" i="8"/>
  <c r="CR131" i="8"/>
  <c r="DE129" i="8"/>
  <c r="CR129" i="8"/>
  <c r="DE18" i="8"/>
  <c r="CR18" i="8"/>
  <c r="DE27" i="8"/>
  <c r="CR27" i="8"/>
  <c r="DE14" i="8"/>
  <c r="CR14" i="8"/>
  <c r="DE22" i="8"/>
  <c r="CR22" i="8"/>
  <c r="BY75" i="8"/>
  <c r="BU135" i="8"/>
  <c r="BY144" i="8"/>
  <c r="CC135" i="8"/>
  <c r="CA135" i="8"/>
  <c r="BT85" i="7"/>
  <c r="BS85" i="7"/>
  <c r="BW85" i="7"/>
  <c r="BY31" i="8"/>
  <c r="BT10" i="8"/>
  <c r="BZ135" i="8"/>
  <c r="CR128" i="7"/>
  <c r="BT9" i="8"/>
  <c r="BV144" i="8"/>
  <c r="CU34" i="8"/>
  <c r="CE75" i="8"/>
  <c r="CE31" i="8"/>
  <c r="CD75" i="8"/>
  <c r="CD31" i="8"/>
  <c r="DD24" i="8"/>
  <c r="CQ24" i="8"/>
  <c r="DA144" i="8"/>
  <c r="CN144" i="8"/>
  <c r="DC20" i="8"/>
  <c r="CP20" i="8"/>
  <c r="DC24" i="8"/>
  <c r="CP24" i="8"/>
  <c r="BT135" i="8"/>
  <c r="DB18" i="8"/>
  <c r="CO18" i="8"/>
  <c r="DC127" i="8"/>
  <c r="CP127" i="8"/>
  <c r="CC75" i="8"/>
  <c r="CC31" i="8"/>
  <c r="DC13" i="8"/>
  <c r="CP13" i="8"/>
  <c r="DB20" i="8"/>
  <c r="CO20" i="8"/>
  <c r="DB13" i="8"/>
  <c r="CO13" i="8"/>
  <c r="DC27" i="8"/>
  <c r="CP27" i="8"/>
  <c r="CE144" i="8"/>
  <c r="CD144" i="8"/>
  <c r="DB133" i="8"/>
  <c r="CO133" i="8"/>
  <c r="DC14" i="8"/>
  <c r="CP14" i="8"/>
  <c r="DD15" i="8"/>
  <c r="CQ15" i="8"/>
  <c r="DB11" i="8"/>
  <c r="CO11" i="8"/>
  <c r="DD30" i="8"/>
  <c r="CQ30" i="8"/>
  <c r="DD25" i="8"/>
  <c r="CQ25" i="8"/>
  <c r="DB128" i="8"/>
  <c r="CO128" i="8"/>
  <c r="BT144" i="8"/>
  <c r="DC7" i="8"/>
  <c r="CP7" i="8"/>
  <c r="DB27" i="8"/>
  <c r="CO27" i="8"/>
  <c r="DD142" i="8"/>
  <c r="CQ142" i="8"/>
  <c r="CL135" i="8"/>
  <c r="DD27" i="8"/>
  <c r="CQ27" i="8"/>
  <c r="BV135" i="8"/>
  <c r="DC28" i="8"/>
  <c r="CP28" i="8"/>
  <c r="DD134" i="8"/>
  <c r="CQ134" i="8"/>
  <c r="DB17" i="8"/>
  <c r="CO17" i="8"/>
  <c r="CX30" i="8"/>
  <c r="CK30" i="8"/>
  <c r="DD16" i="8"/>
  <c r="CQ16" i="8"/>
  <c r="DD127" i="8"/>
  <c r="CQ127" i="8"/>
  <c r="DC25" i="8"/>
  <c r="CP25" i="8"/>
  <c r="CX135" i="8"/>
  <c r="CK135" i="8"/>
  <c r="DD26" i="8"/>
  <c r="CQ26" i="8"/>
  <c r="CL144" i="8"/>
  <c r="CY144" i="8"/>
  <c r="DC10" i="8"/>
  <c r="CP10" i="8"/>
  <c r="CX10" i="8"/>
  <c r="CK10" i="8"/>
  <c r="CB144" i="8"/>
  <c r="DB15" i="8"/>
  <c r="CO15" i="8"/>
  <c r="DA135" i="8"/>
  <c r="CN135" i="8"/>
  <c r="DB26" i="8"/>
  <c r="CO26" i="8"/>
  <c r="DD28" i="8"/>
  <c r="CQ28" i="8"/>
  <c r="DB19" i="8"/>
  <c r="CO19" i="8"/>
  <c r="DC129" i="8"/>
  <c r="CP129" i="8"/>
  <c r="DB25" i="8"/>
  <c r="CO25" i="8"/>
  <c r="DD14" i="8"/>
  <c r="CQ14" i="8"/>
  <c r="DC11" i="8"/>
  <c r="CP11" i="8"/>
  <c r="BV31" i="8"/>
  <c r="BV75" i="8"/>
  <c r="DB22" i="8"/>
  <c r="CO22" i="8"/>
  <c r="DB16" i="8"/>
  <c r="CO16" i="8"/>
  <c r="S31" i="8"/>
  <c r="BT31" i="8" s="1"/>
  <c r="CG31" i="8"/>
  <c r="CG149" i="8" s="1"/>
  <c r="CS34" i="8"/>
  <c r="BQ51" i="7"/>
  <c r="BQ8" i="7"/>
  <c r="DE142" i="8"/>
  <c r="CR142" i="8"/>
  <c r="CU118" i="8"/>
  <c r="DD29" i="8"/>
  <c r="CQ29" i="8"/>
  <c r="DD7" i="8"/>
  <c r="DC17" i="8"/>
  <c r="CP17" i="8"/>
  <c r="DB14" i="8"/>
  <c r="CO14" i="8"/>
  <c r="DB29" i="8"/>
  <c r="CO29" i="8"/>
  <c r="DD132" i="8"/>
  <c r="CQ132" i="8"/>
  <c r="CK144" i="8"/>
  <c r="CX144" i="8"/>
  <c r="DC29" i="8"/>
  <c r="CP29" i="8"/>
  <c r="DB24" i="8"/>
  <c r="CO24" i="8"/>
  <c r="CY31" i="8"/>
  <c r="CL31" i="8"/>
  <c r="DD21" i="8"/>
  <c r="CQ21" i="8"/>
  <c r="DC133" i="8"/>
  <c r="CP133" i="8"/>
  <c r="DB126" i="8"/>
  <c r="CO126" i="8"/>
  <c r="DD10" i="8"/>
  <c r="CQ10" i="8"/>
  <c r="DD23" i="8"/>
  <c r="CQ23" i="8"/>
  <c r="CZ31" i="8"/>
  <c r="CM31" i="8"/>
  <c r="DD18" i="8"/>
  <c r="CQ18" i="8"/>
  <c r="DC30" i="8"/>
  <c r="CP30" i="8"/>
  <c r="DB127" i="8"/>
  <c r="CO127" i="8"/>
  <c r="DD133" i="8"/>
  <c r="CQ133" i="8"/>
  <c r="DC26" i="8"/>
  <c r="CP26" i="8"/>
  <c r="DC21" i="8"/>
  <c r="CP21" i="8"/>
  <c r="DC126" i="8"/>
  <c r="CP126" i="8"/>
  <c r="DD22" i="8"/>
  <c r="CQ22" i="8"/>
  <c r="DB12" i="8"/>
  <c r="CO12" i="8"/>
  <c r="DD8" i="8"/>
  <c r="CQ8" i="8"/>
  <c r="DD126" i="8"/>
  <c r="CQ126" i="8"/>
  <c r="DA31" i="8"/>
  <c r="CN31" i="8"/>
  <c r="CX9" i="8"/>
  <c r="CK9" i="8"/>
  <c r="DC23" i="8"/>
  <c r="CP23" i="8"/>
  <c r="DB8" i="8"/>
  <c r="CO8" i="8"/>
  <c r="DC22" i="8"/>
  <c r="CP22" i="8"/>
  <c r="DB21" i="8"/>
  <c r="CO21" i="8"/>
  <c r="DD20" i="8"/>
  <c r="CQ20" i="8"/>
  <c r="DC142" i="8"/>
  <c r="CP142" i="8"/>
  <c r="BU75" i="8"/>
  <c r="BU31" i="8"/>
  <c r="DB23" i="8"/>
  <c r="CO23" i="8"/>
  <c r="DC9" i="8"/>
  <c r="CP9" i="8"/>
  <c r="CZ135" i="8"/>
  <c r="CM135" i="8"/>
  <c r="CE135" i="8"/>
  <c r="CD135" i="8"/>
  <c r="DB7" i="8"/>
  <c r="CO7" i="8"/>
  <c r="BQ71" i="7"/>
  <c r="BQ28" i="7"/>
  <c r="DD11" i="8"/>
  <c r="CQ11" i="8"/>
  <c r="DD9" i="8"/>
  <c r="CQ9" i="8"/>
  <c r="DC15" i="8"/>
  <c r="CP15" i="8"/>
  <c r="DD128" i="8"/>
  <c r="CQ128" i="8"/>
  <c r="DB134" i="8"/>
  <c r="CO134" i="8"/>
  <c r="DC19" i="8"/>
  <c r="CP19" i="8"/>
  <c r="DD19" i="8"/>
  <c r="CQ19" i="8"/>
  <c r="BT61" i="8"/>
  <c r="DD13" i="8"/>
  <c r="CQ13" i="8"/>
  <c r="DD12" i="8"/>
  <c r="CQ12" i="8"/>
  <c r="DB130" i="8"/>
  <c r="CO130" i="8"/>
  <c r="DC134" i="8"/>
  <c r="CP134" i="8"/>
  <c r="BU144" i="8"/>
  <c r="DC12" i="8"/>
  <c r="CP12" i="8"/>
  <c r="DD17" i="8"/>
  <c r="CQ17" i="8"/>
  <c r="DB129" i="8"/>
  <c r="CO129" i="8"/>
  <c r="CB31" i="8"/>
  <c r="DD143" i="8"/>
  <c r="CQ143" i="8"/>
  <c r="BW31" i="8"/>
  <c r="BW75" i="8"/>
  <c r="BX75" i="8"/>
  <c r="DC18" i="8"/>
  <c r="CP18" i="8"/>
  <c r="DC16" i="8"/>
  <c r="CP16" i="8"/>
  <c r="DC8" i="8"/>
  <c r="CP8" i="8"/>
  <c r="DD131" i="8"/>
  <c r="CQ131" i="8"/>
  <c r="DG118" i="8"/>
  <c r="DK118" i="8" s="1"/>
  <c r="DB142" i="8"/>
  <c r="CO142" i="8"/>
  <c r="DE143" i="8"/>
  <c r="CR143" i="8"/>
  <c r="DD129" i="8"/>
  <c r="CQ129" i="8"/>
  <c r="DC128" i="8"/>
  <c r="CP128" i="8"/>
  <c r="CM144" i="8"/>
  <c r="CZ144" i="8"/>
  <c r="DB28" i="8"/>
  <c r="CO28" i="8"/>
  <c r="BY135" i="8"/>
  <c r="CR42" i="7"/>
  <c r="BX85" i="7"/>
  <c r="BQ7" i="7"/>
  <c r="BQ50" i="7"/>
  <c r="CA85" i="7"/>
  <c r="CA42" i="7"/>
  <c r="CB85" i="7"/>
  <c r="CB42" i="7"/>
  <c r="BW42" i="7"/>
  <c r="BX42" i="7"/>
  <c r="CM42" i="7"/>
  <c r="CQ42" i="7" s="1"/>
  <c r="P42" i="7"/>
  <c r="CD42" i="7"/>
  <c r="CH42" i="7" s="1"/>
  <c r="CL42" i="7" s="1"/>
  <c r="CP42" i="7" s="1"/>
  <c r="CQ44" i="7"/>
  <c r="CR44" i="7"/>
  <c r="CA31" i="8" l="1"/>
  <c r="DM34" i="8" s="1"/>
  <c r="BZ31" i="8"/>
  <c r="BZ75" i="8"/>
  <c r="CM149" i="8"/>
  <c r="CN149" i="8"/>
  <c r="DE149" i="8" s="1"/>
  <c r="CL149" i="8"/>
  <c r="DC149" i="8" s="1"/>
  <c r="DI22" i="8"/>
  <c r="CV22" i="8"/>
  <c r="DI129" i="8"/>
  <c r="CV129" i="8"/>
  <c r="DI23" i="8"/>
  <c r="CV23" i="8"/>
  <c r="DI30" i="8"/>
  <c r="CV30" i="8"/>
  <c r="DI19" i="8"/>
  <c r="CV19" i="8"/>
  <c r="DI28" i="8"/>
  <c r="CV28" i="8"/>
  <c r="DI128" i="8"/>
  <c r="CV128" i="8"/>
  <c r="DI21" i="8"/>
  <c r="CV21" i="8"/>
  <c r="DI14" i="8"/>
  <c r="CV14" i="8"/>
  <c r="DI131" i="8"/>
  <c r="CV131" i="8"/>
  <c r="DI20" i="8"/>
  <c r="CV20" i="8"/>
  <c r="DI29" i="8"/>
  <c r="CV29" i="8"/>
  <c r="DI17" i="8"/>
  <c r="CV17" i="8"/>
  <c r="DI127" i="8"/>
  <c r="CV127" i="8"/>
  <c r="DI9" i="8"/>
  <c r="CV9" i="8"/>
  <c r="DI25" i="8"/>
  <c r="CV25" i="8"/>
  <c r="DI27" i="8"/>
  <c r="CV27" i="8"/>
  <c r="DI126" i="8"/>
  <c r="CV126" i="8"/>
  <c r="DI11" i="8"/>
  <c r="CV11" i="8"/>
  <c r="DI134" i="8"/>
  <c r="CV134" i="8"/>
  <c r="DI16" i="8"/>
  <c r="CV16" i="8"/>
  <c r="DI10" i="8"/>
  <c r="CV10" i="8"/>
  <c r="DI132" i="8"/>
  <c r="CV132" i="8"/>
  <c r="DI130" i="8"/>
  <c r="CV130" i="8"/>
  <c r="DI18" i="8"/>
  <c r="CV18" i="8"/>
  <c r="DI133" i="8"/>
  <c r="CV133" i="8"/>
  <c r="DI15" i="8"/>
  <c r="CV15" i="8"/>
  <c r="DI8" i="8"/>
  <c r="CV8" i="8"/>
  <c r="DI12" i="8"/>
  <c r="CV12" i="8"/>
  <c r="DI26" i="8"/>
  <c r="CV26" i="8"/>
  <c r="DI13" i="8"/>
  <c r="CV13" i="8"/>
  <c r="DI24" i="8"/>
  <c r="CV24" i="8"/>
  <c r="CX149" i="8"/>
  <c r="DD149" i="8"/>
  <c r="CZ149" i="8"/>
  <c r="CY149" i="8"/>
  <c r="BT75" i="8"/>
  <c r="DA149" i="8"/>
  <c r="CR135" i="8"/>
  <c r="DE135" i="8"/>
  <c r="DE31" i="8"/>
  <c r="CR31" i="8"/>
  <c r="CV31" i="8" s="1"/>
  <c r="CV142" i="8"/>
  <c r="DI142" i="8"/>
  <c r="CV143" i="8"/>
  <c r="DI143" i="8"/>
  <c r="DK34" i="8"/>
  <c r="DJ34" i="8"/>
  <c r="DL34" i="8"/>
  <c r="DD144" i="8"/>
  <c r="CQ144" i="8"/>
  <c r="DG18" i="8"/>
  <c r="CT18" i="8"/>
  <c r="DK18" i="8" s="1"/>
  <c r="DF129" i="8"/>
  <c r="CS129" i="8"/>
  <c r="DJ129" i="8" s="1"/>
  <c r="DH19" i="8"/>
  <c r="CU19" i="8"/>
  <c r="DL19" i="8" s="1"/>
  <c r="DG15" i="8"/>
  <c r="CT15" i="8"/>
  <c r="DK15" i="8" s="1"/>
  <c r="DF7" i="8"/>
  <c r="CS7" i="8"/>
  <c r="DJ7" i="8" s="1"/>
  <c r="DF23" i="8"/>
  <c r="CS23" i="8"/>
  <c r="DJ23" i="8" s="1"/>
  <c r="DF21" i="8"/>
  <c r="CS21" i="8"/>
  <c r="DJ21" i="8" s="1"/>
  <c r="DB9" i="8"/>
  <c r="CO9" i="8"/>
  <c r="DG126" i="8"/>
  <c r="CT126" i="8"/>
  <c r="DK126" i="8" s="1"/>
  <c r="DF127" i="8"/>
  <c r="CS127" i="8"/>
  <c r="DJ127" i="8" s="1"/>
  <c r="DH23" i="8"/>
  <c r="CU23" i="8"/>
  <c r="DL23" i="8" s="1"/>
  <c r="DH21" i="8"/>
  <c r="CU21" i="8"/>
  <c r="DL21" i="8" s="1"/>
  <c r="DG17" i="8"/>
  <c r="CT17" i="8"/>
  <c r="DK17" i="8" s="1"/>
  <c r="DF22" i="8"/>
  <c r="CS22" i="8"/>
  <c r="DJ22" i="8" s="1"/>
  <c r="DF25" i="8"/>
  <c r="CS25" i="8"/>
  <c r="DJ25" i="8" s="1"/>
  <c r="DF26" i="8"/>
  <c r="CS26" i="8"/>
  <c r="DJ26" i="8" s="1"/>
  <c r="DF27" i="8"/>
  <c r="CS27" i="8"/>
  <c r="DJ27" i="8" s="1"/>
  <c r="DE144" i="8"/>
  <c r="CR144" i="8"/>
  <c r="DG10" i="8"/>
  <c r="CT10" i="8"/>
  <c r="DK10" i="8" s="1"/>
  <c r="DG25" i="8"/>
  <c r="CT25" i="8"/>
  <c r="DK25" i="8" s="1"/>
  <c r="DB30" i="8"/>
  <c r="CO30" i="8"/>
  <c r="DH30" i="8"/>
  <c r="CU30" i="8"/>
  <c r="DL30" i="8" s="1"/>
  <c r="DF133" i="8"/>
  <c r="CS133" i="8"/>
  <c r="DJ133" i="8" s="1"/>
  <c r="DF20" i="8"/>
  <c r="CS20" i="8"/>
  <c r="DJ20" i="8" s="1"/>
  <c r="DF18" i="8"/>
  <c r="CS18" i="8"/>
  <c r="DJ18" i="8" s="1"/>
  <c r="DB144" i="8"/>
  <c r="CO144" i="8"/>
  <c r="DG19" i="8"/>
  <c r="CT19" i="8"/>
  <c r="DK19" i="8" s="1"/>
  <c r="DH8" i="8"/>
  <c r="CU8" i="8"/>
  <c r="DL8" i="8" s="1"/>
  <c r="DF17" i="8"/>
  <c r="CS17" i="8"/>
  <c r="DJ17" i="8" s="1"/>
  <c r="DF11" i="8"/>
  <c r="CS11" i="8"/>
  <c r="DJ11" i="8" s="1"/>
  <c r="DG13" i="8"/>
  <c r="CT13" i="8"/>
  <c r="DK13" i="8" s="1"/>
  <c r="DG128" i="8"/>
  <c r="CT128" i="8"/>
  <c r="DK128" i="8" s="1"/>
  <c r="DF130" i="8"/>
  <c r="CS130" i="8"/>
  <c r="DJ130" i="8" s="1"/>
  <c r="DG30" i="8"/>
  <c r="CT30" i="8"/>
  <c r="DK30" i="8" s="1"/>
  <c r="DH12" i="8"/>
  <c r="CU12" i="8"/>
  <c r="DL12" i="8" s="1"/>
  <c r="DH127" i="8"/>
  <c r="CU127" i="8"/>
  <c r="DL127" i="8" s="1"/>
  <c r="DF134" i="8"/>
  <c r="CS134" i="8"/>
  <c r="DJ134" i="8" s="1"/>
  <c r="DH11" i="8"/>
  <c r="CU11" i="8"/>
  <c r="DL11" i="8" s="1"/>
  <c r="DD135" i="8"/>
  <c r="CQ135" i="8"/>
  <c r="DG142" i="8"/>
  <c r="CT142" i="8"/>
  <c r="DK142" i="8" s="1"/>
  <c r="DF8" i="8"/>
  <c r="CS8" i="8"/>
  <c r="DJ8" i="8" s="1"/>
  <c r="DH126" i="8"/>
  <c r="CU126" i="8"/>
  <c r="DL126" i="8" s="1"/>
  <c r="DF12" i="8"/>
  <c r="CS12" i="8"/>
  <c r="DJ12" i="8" s="1"/>
  <c r="DG26" i="8"/>
  <c r="CT26" i="8"/>
  <c r="DK26" i="8" s="1"/>
  <c r="DH18" i="8"/>
  <c r="CU18" i="8"/>
  <c r="DL18" i="8" s="1"/>
  <c r="DF126" i="8"/>
  <c r="CS126" i="8"/>
  <c r="DJ126" i="8" s="1"/>
  <c r="DF24" i="8"/>
  <c r="CS24" i="8"/>
  <c r="DJ24" i="8" s="1"/>
  <c r="DF29" i="8"/>
  <c r="CS29" i="8"/>
  <c r="DJ29" i="8" s="1"/>
  <c r="DH29" i="8"/>
  <c r="CU29" i="8"/>
  <c r="DL29" i="8" s="1"/>
  <c r="CX31" i="8"/>
  <c r="CK31" i="8"/>
  <c r="CK149" i="8" s="1"/>
  <c r="DG11" i="8"/>
  <c r="CT11" i="8"/>
  <c r="DK11" i="8" s="1"/>
  <c r="DF19" i="8"/>
  <c r="CS19" i="8"/>
  <c r="DJ19" i="8" s="1"/>
  <c r="DF15" i="8"/>
  <c r="CS15" i="8"/>
  <c r="DJ15" i="8" s="1"/>
  <c r="DC144" i="8"/>
  <c r="CP144" i="8"/>
  <c r="DC135" i="8"/>
  <c r="CP135" i="8"/>
  <c r="DG24" i="8"/>
  <c r="CT24" i="8"/>
  <c r="DK24" i="8" s="1"/>
  <c r="DG22" i="8"/>
  <c r="CT22" i="8"/>
  <c r="DK22" i="8" s="1"/>
  <c r="DH10" i="8"/>
  <c r="CU10" i="8"/>
  <c r="DL10" i="8" s="1"/>
  <c r="DG8" i="8"/>
  <c r="CT8" i="8"/>
  <c r="DK8" i="8" s="1"/>
  <c r="DF28" i="8"/>
  <c r="CS28" i="8"/>
  <c r="DJ28" i="8" s="1"/>
  <c r="DH143" i="8"/>
  <c r="CU143" i="8"/>
  <c r="DL143" i="8" s="1"/>
  <c r="DH13" i="8"/>
  <c r="CU13" i="8"/>
  <c r="DL13" i="8" s="1"/>
  <c r="DH26" i="8"/>
  <c r="CU26" i="8"/>
  <c r="DL26" i="8" s="1"/>
  <c r="DH134" i="8"/>
  <c r="CU134" i="8"/>
  <c r="DL134" i="8" s="1"/>
  <c r="DF128" i="8"/>
  <c r="CS128" i="8"/>
  <c r="DJ128" i="8" s="1"/>
  <c r="DH15" i="8"/>
  <c r="CU15" i="8"/>
  <c r="DL15" i="8" s="1"/>
  <c r="DG27" i="8"/>
  <c r="CT27" i="8"/>
  <c r="DK27" i="8" s="1"/>
  <c r="DH131" i="8"/>
  <c r="CU131" i="8"/>
  <c r="DL131" i="8" s="1"/>
  <c r="DH9" i="8"/>
  <c r="CU9" i="8"/>
  <c r="DL9" i="8" s="1"/>
  <c r="DG21" i="8"/>
  <c r="CT21" i="8"/>
  <c r="DK21" i="8" s="1"/>
  <c r="DH132" i="8"/>
  <c r="CU132" i="8"/>
  <c r="DL132" i="8" s="1"/>
  <c r="DG7" i="8"/>
  <c r="CT7" i="8"/>
  <c r="DK7" i="8" s="1"/>
  <c r="DH24" i="8"/>
  <c r="CU24" i="8"/>
  <c r="DL24" i="8" s="1"/>
  <c r="DH129" i="8"/>
  <c r="CU129" i="8"/>
  <c r="DL129" i="8" s="1"/>
  <c r="DG12" i="8"/>
  <c r="CT12" i="8"/>
  <c r="DK12" i="8" s="1"/>
  <c r="DG16" i="8"/>
  <c r="CT16" i="8"/>
  <c r="DK16" i="8" s="1"/>
  <c r="DH128" i="8"/>
  <c r="CU128" i="8"/>
  <c r="DL128" i="8" s="1"/>
  <c r="DG9" i="8"/>
  <c r="CT9" i="8"/>
  <c r="DK9" i="8" s="1"/>
  <c r="DH20" i="8"/>
  <c r="CU20" i="8"/>
  <c r="DL20" i="8" s="1"/>
  <c r="DG23" i="8"/>
  <c r="CT23" i="8"/>
  <c r="DK23" i="8" s="1"/>
  <c r="DH22" i="8"/>
  <c r="CU22" i="8"/>
  <c r="DL22" i="8" s="1"/>
  <c r="DH133" i="8"/>
  <c r="CU133" i="8"/>
  <c r="DL133" i="8" s="1"/>
  <c r="DD31" i="8"/>
  <c r="CQ31" i="8"/>
  <c r="DG133" i="8"/>
  <c r="CT133" i="8"/>
  <c r="DK133" i="8" s="1"/>
  <c r="DG29" i="8"/>
  <c r="CT29" i="8"/>
  <c r="DK29" i="8" s="1"/>
  <c r="DF14" i="8"/>
  <c r="CS14" i="8"/>
  <c r="DJ14" i="8" s="1"/>
  <c r="DF16" i="8"/>
  <c r="CS16" i="8"/>
  <c r="DJ16" i="8" s="1"/>
  <c r="DH14" i="8"/>
  <c r="CU14" i="8"/>
  <c r="DL14" i="8" s="1"/>
  <c r="DH28" i="8"/>
  <c r="CU28" i="8"/>
  <c r="DL28" i="8" s="1"/>
  <c r="DH142" i="8"/>
  <c r="CU142" i="8"/>
  <c r="DL142" i="8" s="1"/>
  <c r="DG20" i="8"/>
  <c r="CT20" i="8"/>
  <c r="DK20" i="8" s="1"/>
  <c r="DH17" i="8"/>
  <c r="CU17" i="8"/>
  <c r="DL17" i="8" s="1"/>
  <c r="DC31" i="8"/>
  <c r="CP31" i="8"/>
  <c r="DG129" i="8"/>
  <c r="CT129" i="8"/>
  <c r="DK129" i="8" s="1"/>
  <c r="DH27" i="8"/>
  <c r="CU27" i="8"/>
  <c r="DL27" i="8" s="1"/>
  <c r="DF142" i="8"/>
  <c r="CS142" i="8"/>
  <c r="DJ142" i="8" s="1"/>
  <c r="DG134" i="8"/>
  <c r="CT134" i="8"/>
  <c r="DK134" i="8" s="1"/>
  <c r="DB10" i="8"/>
  <c r="CO10" i="8"/>
  <c r="DB135" i="8"/>
  <c r="CO135" i="8"/>
  <c r="DH16" i="8"/>
  <c r="CU16" i="8"/>
  <c r="DL16" i="8" s="1"/>
  <c r="DG28" i="8"/>
  <c r="CT28" i="8"/>
  <c r="DK28" i="8" s="1"/>
  <c r="DH25" i="8"/>
  <c r="CU25" i="8"/>
  <c r="DL25" i="8" s="1"/>
  <c r="DG14" i="8"/>
  <c r="CT14" i="8"/>
  <c r="DK14" i="8" s="1"/>
  <c r="DF13" i="8"/>
  <c r="CS13" i="8"/>
  <c r="DJ13" i="8" s="1"/>
  <c r="DG127" i="8"/>
  <c r="CT127" i="8"/>
  <c r="DK127" i="8" s="1"/>
  <c r="BQ42" i="7"/>
  <c r="BQ85" i="7"/>
  <c r="CP149" i="8" l="1"/>
  <c r="CQ149" i="8"/>
  <c r="CR149" i="8"/>
  <c r="CV135" i="8"/>
  <c r="DI149" i="8"/>
  <c r="CU135" i="8"/>
  <c r="DH149" i="8"/>
  <c r="DI135" i="8"/>
  <c r="CV144" i="8"/>
  <c r="DI144" i="8"/>
  <c r="DG144" i="8"/>
  <c r="CT144" i="8"/>
  <c r="DB31" i="8"/>
  <c r="CO31" i="8"/>
  <c r="CO149" i="8" s="1"/>
  <c r="DG31" i="8"/>
  <c r="CT31" i="8"/>
  <c r="DK31" i="8" s="1"/>
  <c r="DF30" i="8"/>
  <c r="CS30" i="8"/>
  <c r="DJ30" i="8" s="1"/>
  <c r="DG135" i="8"/>
  <c r="CT135" i="8"/>
  <c r="DH135" i="8"/>
  <c r="DF9" i="8"/>
  <c r="CS9" i="8"/>
  <c r="DJ9" i="8" s="1"/>
  <c r="DH144" i="8"/>
  <c r="CU144" i="8"/>
  <c r="DF10" i="8"/>
  <c r="CS10" i="8"/>
  <c r="DJ10" i="8" s="1"/>
  <c r="DF144" i="8"/>
  <c r="CS144" i="8"/>
  <c r="DF135" i="8"/>
  <c r="CS135" i="8"/>
  <c r="DH31" i="8"/>
  <c r="CU31" i="8"/>
  <c r="DL31" i="8" s="1"/>
  <c r="CV149" i="8" l="1"/>
  <c r="CL154" i="8" s="1"/>
  <c r="CL155" i="8" s="1"/>
  <c r="CU149" i="8"/>
  <c r="CJ154" i="8" s="1"/>
  <c r="CJ155" i="8" s="1"/>
  <c r="DL135" i="8"/>
  <c r="CT149" i="8"/>
  <c r="DK149" i="8" s="1"/>
  <c r="DJ135" i="8"/>
  <c r="DK135" i="8"/>
  <c r="DG149" i="8"/>
  <c r="DL144" i="8"/>
  <c r="DJ144" i="8"/>
  <c r="DF31" i="8"/>
  <c r="CS31" i="8"/>
  <c r="DJ31" i="8" s="1"/>
  <c r="DK144" i="8"/>
  <c r="CI154" i="8" l="1"/>
  <c r="CI155" i="8" s="1"/>
  <c r="CS149" i="8"/>
  <c r="DL149" i="8"/>
  <c r="CF33" i="8"/>
  <c r="CF33" i="8" a="1"/>
  <c r="CF33" i="9"/>
  <c r="CF33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<sst xmlns="http://schemas.openxmlformats.org/spreadsheetml/2006/main" count="1074" uniqueCount="104">
  <si>
    <r>
      <t>POLIMA FOREST BINTULU SDN. BHD.</t>
    </r>
    <r>
      <rPr>
        <b/>
        <sz val="12"/>
        <color theme="1"/>
        <rFont val="Aptos Display"/>
        <family val="2"/>
      </rPr>
      <t xml:space="preserve">  (Company No. 749886-W)</t>
    </r>
  </si>
  <si>
    <t xml:space="preserve"> 4.4 Harvesting Round Record of  2025</t>
  </si>
  <si>
    <t>MONTH OF JULY</t>
  </si>
  <si>
    <t xml:space="preserve">BLOCK </t>
  </si>
  <si>
    <t>HA</t>
  </si>
  <si>
    <t>DECEMBER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</si>
  <si>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</si>
  <si>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</si>
  <si>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</si>
  <si>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</si>
  <si>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</si>
  <si>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</si>
  <si>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</si>
  <si>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</si>
  <si>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</si>
  <si>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</si>
  <si>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</si>
  <si>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1ST ROUND</t>
  </si>
  <si>
    <t>2ND ROUND</t>
  </si>
  <si>
    <t>3RD ROUND</t>
  </si>
  <si>
    <t>4TH ROUND</t>
  </si>
  <si>
    <t>OP2010</t>
  </si>
  <si>
    <t>OP2011</t>
  </si>
  <si>
    <t>OP2012</t>
  </si>
  <si>
    <t>OP/T2014</t>
  </si>
  <si>
    <t>PHASE 4,5,6</t>
  </si>
  <si>
    <t>OP2014</t>
  </si>
  <si>
    <t>OP2008</t>
  </si>
  <si>
    <t>OP/T2015</t>
  </si>
  <si>
    <t>26A</t>
  </si>
  <si>
    <t>26B</t>
  </si>
  <si>
    <t>OP/T2016</t>
  </si>
  <si>
    <t>33A</t>
  </si>
  <si>
    <t>Remarks:-</t>
  </si>
  <si>
    <t>Block 8 &amp; Block 39 - Gang Nu Azani &amp; Gang Wendelinus</t>
  </si>
  <si>
    <t>1. Sick leave taken since raining when they worked.</t>
  </si>
  <si>
    <t>2. GT54 vehicle down since clucth lining on 21/10/2023 and they using GT53 at the same time.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</si>
  <si>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</si>
  <si>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</si>
  <si>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</si>
  <si>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</si>
  <si>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</si>
  <si>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</si>
  <si>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</si>
  <si>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</si>
  <si>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</si>
  <si>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</si>
  <si>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</si>
  <si>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2023 VS 2022</t>
  </si>
  <si>
    <t>2024 VS 2023</t>
  </si>
  <si>
    <t>2025 VS 2024</t>
  </si>
  <si>
    <t>4TH QUARTER COMPARISON BY YIELD TO DATE</t>
  </si>
  <si>
    <t>4TH QUARTER COMPARISON BY VARIANCE</t>
  </si>
  <si>
    <t>4TH QUARTER COMPARISON BY YEAR</t>
  </si>
  <si>
    <t>3RD QUARTER COMPARISON BY YIELD TO DATE</t>
  </si>
  <si>
    <t>3RD QUARTER COMPARISON BY VARIANCE</t>
  </si>
  <si>
    <t>3RD QUARTER COMPARISON BY YEAR</t>
  </si>
  <si>
    <t>2ND QUARTER COMPARISON BY YIELD TO DATE</t>
  </si>
  <si>
    <t>2ND QUARTER COMPARISON BY VARIANCE</t>
  </si>
  <si>
    <t>2ND QUARTER COMPARISON BY YEAR</t>
  </si>
  <si>
    <t>1ST QUARTER COMPARISON BY YIELD TO DATE</t>
  </si>
  <si>
    <t>1ST QUARTER COMPARISON BY VARIANCE</t>
  </si>
  <si>
    <t>1ST QUARTER COMPARISON BY YEAR</t>
  </si>
  <si>
    <t>1ST QUARTER COMPARISON BY YIELD PER HA</t>
  </si>
  <si>
    <t>4TH QUARTER COMPARISON BY YIELD PER HA</t>
  </si>
  <si>
    <t>3RD QUARTER COMPARISON BY YIELD PER HA</t>
  </si>
  <si>
    <t>2ND QUARTER COMPARISON BY YIELD PER HA</t>
  </si>
  <si>
    <t>HA
(2025)</t>
  </si>
  <si>
    <t>HA
(2022)</t>
  </si>
  <si>
    <t>HA
(2023)</t>
  </si>
  <si>
    <t>HA
(2024)</t>
  </si>
  <si>
    <t>Year</t>
  </si>
  <si>
    <t>FFB Production</t>
  </si>
  <si>
    <t>Yield / Ha</t>
  </si>
  <si>
    <t>Ha</t>
  </si>
  <si>
    <t>MATURED OIL PALM TREE</t>
  </si>
  <si>
    <t>IMMATURE OIL PALM TREE</t>
  </si>
  <si>
    <t>EXCLUDED BLOCKS</t>
  </si>
  <si>
    <t>SEPT</t>
  </si>
  <si>
    <t>QUARTERLY COMPARISON REPORT BETWEEN THE YEAR 2022 TO YEAR 2025 (AS OF SEPT 2025)</t>
  </si>
  <si>
    <t>TOTAL OIL PALM TREE</t>
  </si>
  <si>
    <t>MATURE + IMMATURE OIL PALM</t>
  </si>
  <si>
    <t>PRODUCTION BY YEAR</t>
  </si>
  <si>
    <t>YEAR</t>
  </si>
  <si>
    <t>TOTAL MT</t>
  </si>
  <si>
    <t>TOTAL MT / HA</t>
  </si>
  <si>
    <t>AUG TOTAL</t>
  </si>
  <si>
    <t>SEPT TOTAL</t>
  </si>
  <si>
    <t>JUL TOTAL</t>
  </si>
  <si>
    <t>JUN TOTAL</t>
  </si>
  <si>
    <t>MAY TOTAL</t>
  </si>
  <si>
    <t>APR TOTAL</t>
  </si>
  <si>
    <t>MAR TOTAL</t>
  </si>
  <si>
    <t>FEB TOTAL</t>
  </si>
  <si>
    <t>JAN TOTAL</t>
  </si>
  <si>
    <t>OCT TOTAL</t>
  </si>
  <si>
    <t>NOV TOTAL</t>
  </si>
  <si>
    <t>DEC TOTAL</t>
  </si>
  <si>
    <t>YIELD TO DATE (MT)</t>
  </si>
  <si>
    <t>YIELD PER HECTARE (MT/HA)</t>
  </si>
  <si>
    <t xml:space="preserve">*0.30MT from OP2014 &amp; OP2008 excluded from the total amount </t>
  </si>
  <si>
    <t>YIELD TO DATE COMPARISON FOR YEAR 2024 VS YEAR 2025 (AS OF 25/11/2025)</t>
  </si>
  <si>
    <t/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</si>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</sst>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#,##0.000"/>
    <numFmt numFmtId="166" formatCode="#,##0.00;[Red]#,##0.00"/>
    <numFmt numFmtId="167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Aptos Display"/>
      <family val="2"/>
    </font>
    <font>
      <b/>
      <sz val="12"/>
      <color theme="1"/>
      <name val="Aptos Display"/>
      <family val="2"/>
    </font>
    <font>
      <sz val="11"/>
      <color theme="1"/>
      <name val="Aptos Display"/>
      <family val="2"/>
    </font>
    <font>
      <sz val="11"/>
      <color rgb="FFFF0000"/>
      <name val="Aptos Display"/>
      <family val="2"/>
    </font>
    <font>
      <u/>
      <sz val="12"/>
      <color theme="1"/>
      <name val="Aptos Display"/>
      <family val="2"/>
    </font>
    <font>
      <b/>
      <sz val="16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Times New Roman"/>
      <family val="1"/>
    </font>
    <font>
      <sz val="11"/>
      <name val="Aptos Display"/>
      <family val="2"/>
    </font>
    <font>
      <sz val="12"/>
      <color theme="1"/>
      <name val="Aptos Display"/>
      <family val="2"/>
    </font>
    <font>
      <b/>
      <i/>
      <u/>
      <sz val="11"/>
      <color theme="1"/>
      <name val="Aptos Display"/>
      <family val="2"/>
    </font>
    <font>
      <sz val="8"/>
      <name val="Calibri"/>
      <family val="2"/>
      <scheme val="minor"/>
    </font>
    <font>
      <b/>
      <sz val="16"/>
      <color rgb="FFFF0000"/>
      <name val="Aptos Display"/>
      <family val="2"/>
    </font>
    <font>
      <b/>
      <sz val="12"/>
      <color rgb="FFFF0000"/>
      <name val="Aptos Display"/>
      <family val="2"/>
    </font>
    <font>
      <b/>
      <sz val="11"/>
      <color rgb="FFFF0000"/>
      <name val="Aptos Display"/>
      <family val="2"/>
    </font>
    <font>
      <sz val="11"/>
      <name val="Calibri"/>
      <family val="2"/>
      <scheme val="minor"/>
    </font>
    <font>
      <sz val="12"/>
      <color theme="1"/>
      <name val="Times New Roman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darkTrellis">
        <fgColor theme="7" tint="0.39994506668294322"/>
        <bgColor theme="1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7">
    <xf numFmtId="0" fontId="0" fillId="0" borderId="0"/>
    <xf numFmtId="0" fontId="1" fillId="0" borderId="0"/>
    <xf numFmtId="0" fontId="10" fillId="0" borderId="0">
      <alignment vertical="center"/>
    </xf>
    <xf numFmtId="0" fontId="1" fillId="0" borderId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3" borderId="0"/>
    <xf numFmtId="0" fontId="1" fillId="13" borderId="0"/>
    <xf numFmtId="0" fontId="1" fillId="13" borderId="0"/>
    <xf numFmtId="0" fontId="1" fillId="13" borderId="0"/>
    <xf numFmtId="0" fontId="21" fillId="0" borderId="0">
      <alignment wrapText="1"/>
    </xf>
    <xf numFmtId="0" fontId="10" fillId="0" borderId="0">
      <alignment vertical="center"/>
    </xf>
    <xf numFmtId="0" fontId="1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>
      <alignment vertical="center"/>
    </xf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1" fillId="0" borderId="0"/>
    <xf numFmtId="0" fontId="19" fillId="0" borderId="0"/>
    <xf numFmtId="43" fontId="1" fillId="0" borderId="0" applyFont="0" applyFill="0" applyBorder="0" applyAlignment="0" applyProtection="0"/>
  </cellStyleXfs>
  <cellXfs count="612">
    <xf numFmtId="0" fontId="0" fillId="0" borderId="0" xfId="0"/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right"/>
    </xf>
    <xf numFmtId="0" fontId="7" fillId="0" borderId="0" xfId="1" applyFont="1" applyAlignment="1">
      <alignment vertical="center"/>
    </xf>
    <xf numFmtId="0" fontId="8" fillId="0" borderId="0" xfId="1" applyFont="1"/>
    <xf numFmtId="0" fontId="9" fillId="0" borderId="0" xfId="1" applyFont="1"/>
    <xf numFmtId="0" fontId="5" fillId="4" borderId="35" xfId="1" applyFont="1" applyFill="1" applyBorder="1" applyAlignment="1">
      <alignment horizontal="center" vertical="center"/>
    </xf>
    <xf numFmtId="0" fontId="5" fillId="5" borderId="36" xfId="1" applyFont="1" applyFill="1" applyBorder="1" applyAlignment="1">
      <alignment horizontal="center" vertical="center"/>
    </xf>
    <xf numFmtId="0" fontId="5" fillId="6" borderId="36" xfId="1" applyFont="1" applyFill="1" applyBorder="1" applyAlignment="1">
      <alignment horizontal="center" vertical="center"/>
    </xf>
    <xf numFmtId="0" fontId="5" fillId="7" borderId="37" xfId="1" applyFont="1" applyFill="1" applyBorder="1" applyAlignment="1">
      <alignment horizontal="center" vertical="center"/>
    </xf>
    <xf numFmtId="0" fontId="11" fillId="4" borderId="38" xfId="2" applyFont="1" applyFill="1" applyBorder="1" applyAlignment="1">
      <alignment horizontal="center" vertical="center"/>
    </xf>
    <xf numFmtId="0" fontId="11" fillId="5" borderId="36" xfId="2" applyFont="1" applyFill="1" applyBorder="1" applyAlignment="1">
      <alignment horizontal="center" vertical="center"/>
    </xf>
    <xf numFmtId="0" fontId="11" fillId="6" borderId="36" xfId="2" applyFont="1" applyFill="1" applyBorder="1" applyAlignment="1">
      <alignment horizontal="center" vertical="center"/>
    </xf>
    <xf numFmtId="0" fontId="11" fillId="4" borderId="30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11" fillId="6" borderId="3" xfId="2" applyFont="1" applyFill="1" applyBorder="1" applyAlignment="1">
      <alignment horizontal="center" vertical="center"/>
    </xf>
    <xf numFmtId="0" fontId="11" fillId="7" borderId="25" xfId="2" applyFont="1" applyFill="1" applyBorder="1" applyAlignment="1">
      <alignment horizontal="center" vertical="center"/>
    </xf>
    <xf numFmtId="0" fontId="11" fillId="7" borderId="20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5" fillId="0" borderId="32" xfId="1" applyFont="1" applyBorder="1" applyAlignment="1">
      <alignment horizontal="center"/>
    </xf>
    <xf numFmtId="2" fontId="5" fillId="0" borderId="32" xfId="1" applyNumberFormat="1" applyFont="1" applyBorder="1" applyAlignment="1">
      <alignment horizontal="center"/>
    </xf>
    <xf numFmtId="2" fontId="12" fillId="0" borderId="5" xfId="1" applyNumberFormat="1" applyFont="1" applyBorder="1" applyAlignment="1">
      <alignment horizontal="center"/>
    </xf>
    <xf numFmtId="2" fontId="12" fillId="0" borderId="2" xfId="1" applyNumberFormat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164" fontId="12" fillId="0" borderId="32" xfId="1" applyNumberFormat="1" applyFont="1" applyBorder="1" applyAlignment="1">
      <alignment horizontal="center"/>
    </xf>
    <xf numFmtId="2" fontId="5" fillId="0" borderId="42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2" fontId="11" fillId="0" borderId="42" xfId="2" applyNumberFormat="1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43" xfId="2" applyFont="1" applyBorder="1" applyAlignment="1">
      <alignment horizontal="center" vertical="center"/>
    </xf>
    <xf numFmtId="2" fontId="11" fillId="0" borderId="12" xfId="2" applyNumberFormat="1" applyFont="1" applyBorder="1" applyAlignment="1">
      <alignment horizontal="center" vertical="center"/>
    </xf>
    <xf numFmtId="2" fontId="11" fillId="0" borderId="43" xfId="2" applyNumberFormat="1" applyFont="1" applyBorder="1" applyAlignment="1">
      <alignment horizontal="center" vertical="center"/>
    </xf>
    <xf numFmtId="164" fontId="5" fillId="0" borderId="44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21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32" xfId="1" applyNumberFormat="1" applyFont="1" applyBorder="1" applyAlignment="1">
      <alignment horizontal="center" vertical="center"/>
    </xf>
    <xf numFmtId="164" fontId="5" fillId="0" borderId="45" xfId="1" applyNumberFormat="1" applyFont="1" applyBorder="1" applyAlignment="1">
      <alignment horizontal="center" vertical="center"/>
    </xf>
    <xf numFmtId="164" fontId="5" fillId="0" borderId="22" xfId="1" applyNumberFormat="1" applyFont="1" applyBorder="1" applyAlignment="1">
      <alignment horizontal="center" vertical="center"/>
    </xf>
    <xf numFmtId="164" fontId="5" fillId="0" borderId="20" xfId="1" applyNumberFormat="1" applyFont="1" applyBorder="1" applyAlignment="1">
      <alignment horizontal="center" vertical="center"/>
    </xf>
    <xf numFmtId="164" fontId="5" fillId="0" borderId="46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164" fontId="5" fillId="0" borderId="13" xfId="1" applyNumberFormat="1" applyFont="1" applyBorder="1" applyAlignment="1">
      <alignment horizontal="center" vertical="center"/>
    </xf>
    <xf numFmtId="2" fontId="5" fillId="0" borderId="44" xfId="1" applyNumberFormat="1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2" fontId="5" fillId="0" borderId="4" xfId="1" applyNumberFormat="1" applyFont="1" applyBorder="1" applyAlignment="1">
      <alignment horizontal="center" vertical="center"/>
    </xf>
    <xf numFmtId="0" fontId="5" fillId="0" borderId="47" xfId="1" applyFont="1" applyBorder="1" applyAlignment="1">
      <alignment horizontal="center"/>
    </xf>
    <xf numFmtId="2" fontId="5" fillId="0" borderId="47" xfId="1" applyNumberFormat="1" applyFont="1" applyBorder="1" applyAlignment="1">
      <alignment horizontal="center"/>
    </xf>
    <xf numFmtId="2" fontId="12" fillId="0" borderId="48" xfId="1" applyNumberFormat="1" applyFont="1" applyBorder="1" applyAlignment="1">
      <alignment horizontal="center"/>
    </xf>
    <xf numFmtId="2" fontId="12" fillId="0" borderId="7" xfId="1" applyNumberFormat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164" fontId="12" fillId="0" borderId="47" xfId="1" applyNumberFormat="1" applyFont="1" applyBorder="1" applyAlignment="1">
      <alignment horizontal="center"/>
    </xf>
    <xf numFmtId="2" fontId="5" fillId="0" borderId="48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2" fontId="11" fillId="0" borderId="48" xfId="2" applyNumberFormat="1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2" fontId="11" fillId="0" borderId="17" xfId="2" applyNumberFormat="1" applyFont="1" applyBorder="1" applyAlignment="1">
      <alignment horizontal="center" vertical="center"/>
    </xf>
    <xf numFmtId="164" fontId="5" fillId="0" borderId="15" xfId="1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5" fillId="0" borderId="47" xfId="1" applyNumberFormat="1" applyFont="1" applyBorder="1" applyAlignment="1">
      <alignment horizontal="center" vertical="center"/>
    </xf>
    <xf numFmtId="164" fontId="5" fillId="0" borderId="49" xfId="1" applyNumberFormat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2" fontId="5" fillId="0" borderId="15" xfId="1" applyNumberFormat="1" applyFont="1" applyBorder="1" applyAlignment="1">
      <alignment horizontal="center" vertical="center"/>
    </xf>
    <xf numFmtId="2" fontId="5" fillId="0" borderId="7" xfId="1" applyNumberFormat="1" applyFont="1" applyBorder="1" applyAlignment="1">
      <alignment horizontal="center" vertical="center"/>
    </xf>
    <xf numFmtId="2" fontId="5" fillId="0" borderId="9" xfId="1" applyNumberFormat="1" applyFont="1" applyBorder="1" applyAlignment="1">
      <alignment horizontal="center" vertical="center"/>
    </xf>
    <xf numFmtId="164" fontId="5" fillId="2" borderId="7" xfId="1" applyNumberFormat="1" applyFont="1" applyFill="1" applyBorder="1" applyAlignment="1">
      <alignment horizontal="center" vertical="center"/>
    </xf>
    <xf numFmtId="2" fontId="5" fillId="5" borderId="7" xfId="1" applyNumberFormat="1" applyFont="1" applyFill="1" applyBorder="1" applyAlignment="1">
      <alignment horizontal="center" vertical="center"/>
    </xf>
    <xf numFmtId="4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5" fillId="0" borderId="40" xfId="1" applyFont="1" applyBorder="1" applyAlignment="1">
      <alignment horizontal="center"/>
    </xf>
    <xf numFmtId="2" fontId="5" fillId="0" borderId="40" xfId="1" applyNumberFormat="1" applyFont="1" applyBorder="1" applyAlignment="1">
      <alignment horizontal="center"/>
    </xf>
    <xf numFmtId="0" fontId="5" fillId="0" borderId="43" xfId="1" applyFont="1" applyBorder="1" applyAlignment="1">
      <alignment horizontal="center"/>
    </xf>
    <xf numFmtId="2" fontId="5" fillId="0" borderId="43" xfId="1" applyNumberFormat="1" applyFont="1" applyBorder="1" applyAlignment="1">
      <alignment horizontal="center"/>
    </xf>
    <xf numFmtId="2" fontId="11" fillId="0" borderId="7" xfId="2" applyNumberFormat="1" applyFont="1" applyBorder="1" applyAlignment="1">
      <alignment horizontal="center" vertical="center"/>
    </xf>
    <xf numFmtId="0" fontId="5" fillId="0" borderId="41" xfId="1" applyFont="1" applyBorder="1" applyAlignment="1">
      <alignment horizontal="center"/>
    </xf>
    <xf numFmtId="0" fontId="5" fillId="0" borderId="29" xfId="1" applyFont="1" applyBorder="1" applyAlignment="1">
      <alignment horizontal="center" vertical="center"/>
    </xf>
    <xf numFmtId="2" fontId="5" fillId="0" borderId="29" xfId="1" applyNumberFormat="1" applyFont="1" applyBorder="1" applyAlignment="1">
      <alignment horizontal="center"/>
    </xf>
    <xf numFmtId="0" fontId="5" fillId="0" borderId="23" xfId="1" applyFont="1" applyBorder="1" applyAlignment="1">
      <alignment vertical="center"/>
    </xf>
    <xf numFmtId="2" fontId="12" fillId="0" borderId="50" xfId="1" applyNumberFormat="1" applyFont="1" applyBorder="1" applyAlignment="1">
      <alignment horizontal="center" vertical="center"/>
    </xf>
    <xf numFmtId="2" fontId="12" fillId="0" borderId="8" xfId="1" applyNumberFormat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2" fontId="11" fillId="0" borderId="15" xfId="2" applyNumberFormat="1" applyFont="1" applyBorder="1" applyAlignment="1">
      <alignment horizontal="center" vertical="center"/>
    </xf>
    <xf numFmtId="0" fontId="5" fillId="0" borderId="29" xfId="1" applyFont="1" applyBorder="1" applyAlignment="1">
      <alignment vertical="center"/>
    </xf>
    <xf numFmtId="2" fontId="5" fillId="0" borderId="41" xfId="1" applyNumberFormat="1" applyFont="1" applyBorder="1" applyAlignment="1">
      <alignment horizontal="center"/>
    </xf>
    <xf numFmtId="2" fontId="12" fillId="0" borderId="51" xfId="1" applyNumberFormat="1" applyFont="1" applyBorder="1" applyAlignment="1">
      <alignment horizontal="center" vertical="center"/>
    </xf>
    <xf numFmtId="2" fontId="12" fillId="0" borderId="10" xfId="1" applyNumberFormat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52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/>
    </xf>
    <xf numFmtId="164" fontId="12" fillId="0" borderId="41" xfId="1" applyNumberFormat="1" applyFont="1" applyBorder="1" applyAlignment="1">
      <alignment horizontal="center"/>
    </xf>
    <xf numFmtId="2" fontId="5" fillId="0" borderId="51" xfId="1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2" fontId="11" fillId="0" borderId="51" xfId="2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52" xfId="2" applyFont="1" applyBorder="1" applyAlignment="1">
      <alignment horizontal="center" vertical="center"/>
    </xf>
    <xf numFmtId="2" fontId="11" fillId="0" borderId="27" xfId="2" applyNumberFormat="1" applyFont="1" applyBorder="1" applyAlignment="1">
      <alignment horizontal="center" vertical="center"/>
    </xf>
    <xf numFmtId="164" fontId="5" fillId="0" borderId="53" xfId="1" applyNumberFormat="1" applyFont="1" applyBorder="1" applyAlignment="1">
      <alignment horizontal="center" vertical="center"/>
    </xf>
    <xf numFmtId="164" fontId="5" fillId="0" borderId="10" xfId="1" applyNumberFormat="1" applyFont="1" applyBorder="1" applyAlignment="1">
      <alignment horizontal="center" vertical="center"/>
    </xf>
    <xf numFmtId="164" fontId="5" fillId="0" borderId="14" xfId="1" applyNumberFormat="1" applyFont="1" applyBorder="1" applyAlignment="1">
      <alignment horizontal="center" vertical="center"/>
    </xf>
    <xf numFmtId="164" fontId="5" fillId="0" borderId="52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horizontal="center"/>
    </xf>
    <xf numFmtId="2" fontId="5" fillId="0" borderId="53" xfId="1" applyNumberFormat="1" applyFont="1" applyBorder="1" applyAlignment="1">
      <alignment horizontal="center" vertical="center"/>
    </xf>
    <xf numFmtId="2" fontId="11" fillId="0" borderId="53" xfId="2" applyNumberFormat="1" applyFont="1" applyBorder="1" applyAlignment="1">
      <alignment horizontal="center" vertical="center"/>
    </xf>
    <xf numFmtId="2" fontId="11" fillId="0" borderId="29" xfId="2" applyNumberFormat="1" applyFont="1" applyBorder="1" applyAlignment="1">
      <alignment horizontal="center" vertical="center"/>
    </xf>
    <xf numFmtId="2" fontId="5" fillId="8" borderId="15" xfId="1" applyNumberFormat="1" applyFont="1" applyFill="1" applyBorder="1" applyAlignment="1">
      <alignment horizontal="center" vertical="center"/>
    </xf>
    <xf numFmtId="2" fontId="5" fillId="8" borderId="7" xfId="1" applyNumberFormat="1" applyFont="1" applyFill="1" applyBorder="1" applyAlignment="1">
      <alignment horizontal="center" vertical="center"/>
    </xf>
    <xf numFmtId="2" fontId="5" fillId="8" borderId="9" xfId="1" applyNumberFormat="1" applyFont="1" applyFill="1" applyBorder="1" applyAlignment="1">
      <alignment horizontal="center" vertical="center"/>
    </xf>
    <xf numFmtId="0" fontId="5" fillId="0" borderId="54" xfId="1" applyFont="1" applyBorder="1" applyAlignment="1">
      <alignment vertical="center"/>
    </xf>
    <xf numFmtId="164" fontId="12" fillId="0" borderId="29" xfId="1" applyNumberFormat="1" applyFont="1" applyBorder="1" applyAlignment="1">
      <alignment horizontal="center"/>
    </xf>
    <xf numFmtId="2" fontId="5" fillId="0" borderId="55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2" fontId="11" fillId="0" borderId="55" xfId="2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56" xfId="2" applyFont="1" applyBorder="1" applyAlignment="1">
      <alignment horizontal="center" vertical="center"/>
    </xf>
    <xf numFmtId="0" fontId="11" fillId="0" borderId="57" xfId="2" applyFont="1" applyBorder="1" applyAlignment="1">
      <alignment horizontal="center" vertical="center"/>
    </xf>
    <xf numFmtId="164" fontId="5" fillId="0" borderId="43" xfId="1" applyNumberFormat="1" applyFont="1" applyBorder="1" applyAlignment="1">
      <alignment horizontal="center" vertical="center"/>
    </xf>
    <xf numFmtId="2" fontId="5" fillId="0" borderId="15" xfId="1" applyNumberFormat="1" applyFont="1" applyBorder="1" applyAlignment="1">
      <alignment horizontal="center"/>
    </xf>
    <xf numFmtId="2" fontId="11" fillId="0" borderId="7" xfId="1" applyNumberFormat="1" applyFont="1" applyBorder="1" applyAlignment="1">
      <alignment horizontal="center" vertical="center"/>
    </xf>
    <xf numFmtId="164" fontId="11" fillId="0" borderId="7" xfId="1" applyNumberFormat="1" applyFont="1" applyBorder="1" applyAlignment="1">
      <alignment horizontal="center" vertical="center"/>
    </xf>
    <xf numFmtId="164" fontId="11" fillId="2" borderId="7" xfId="1" applyNumberFormat="1" applyFont="1" applyFill="1" applyBorder="1" applyAlignment="1">
      <alignment horizontal="center" vertical="center"/>
    </xf>
    <xf numFmtId="2" fontId="5" fillId="0" borderId="34" xfId="1" applyNumberFormat="1" applyFont="1" applyBorder="1" applyAlignment="1">
      <alignment horizontal="center"/>
    </xf>
    <xf numFmtId="2" fontId="12" fillId="0" borderId="48" xfId="1" applyNumberFormat="1" applyFont="1" applyBorder="1" applyAlignment="1">
      <alignment horizontal="center" vertical="center"/>
    </xf>
    <xf numFmtId="2" fontId="12" fillId="0" borderId="7" xfId="1" applyNumberFormat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1" fillId="0" borderId="58" xfId="2" applyFont="1" applyBorder="1" applyAlignment="1">
      <alignment horizontal="center" vertical="center"/>
    </xf>
    <xf numFmtId="2" fontId="11" fillId="0" borderId="58" xfId="2" applyNumberFormat="1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2" fontId="11" fillId="0" borderId="47" xfId="2" applyNumberFormat="1" applyFont="1" applyBorder="1" applyAlignment="1">
      <alignment horizontal="center" vertical="center"/>
    </xf>
    <xf numFmtId="164" fontId="5" fillId="0" borderId="58" xfId="1" applyNumberFormat="1" applyFont="1" applyBorder="1" applyAlignment="1">
      <alignment horizontal="center" vertical="center"/>
    </xf>
    <xf numFmtId="164" fontId="5" fillId="0" borderId="11" xfId="1" applyNumberFormat="1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2" fontId="11" fillId="0" borderId="41" xfId="2" applyNumberFormat="1" applyFont="1" applyBorder="1" applyAlignment="1">
      <alignment horizontal="center" vertical="center"/>
    </xf>
    <xf numFmtId="164" fontId="5" fillId="0" borderId="55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16" xfId="1" applyNumberFormat="1" applyFont="1" applyBorder="1" applyAlignment="1">
      <alignment horizontal="center" vertical="center"/>
    </xf>
    <xf numFmtId="164" fontId="5" fillId="0" borderId="29" xfId="1" applyNumberFormat="1" applyFont="1" applyBorder="1" applyAlignment="1">
      <alignment horizontal="center" vertical="center"/>
    </xf>
    <xf numFmtId="164" fontId="5" fillId="0" borderId="28" xfId="1" applyNumberFormat="1" applyFont="1" applyBorder="1" applyAlignment="1">
      <alignment horizontal="center" vertical="center"/>
    </xf>
    <xf numFmtId="2" fontId="5" fillId="0" borderId="10" xfId="1" applyNumberFormat="1" applyFont="1" applyBorder="1" applyAlignment="1">
      <alignment horizontal="center" vertical="center"/>
    </xf>
    <xf numFmtId="2" fontId="5" fillId="0" borderId="52" xfId="1" applyNumberFormat="1" applyFont="1" applyBorder="1" applyAlignment="1">
      <alignment horizontal="center" vertical="center"/>
    </xf>
    <xf numFmtId="164" fontId="5" fillId="0" borderId="40" xfId="1" applyNumberFormat="1" applyFont="1" applyBorder="1" applyAlignment="1">
      <alignment horizontal="center" vertical="center"/>
    </xf>
    <xf numFmtId="164" fontId="5" fillId="2" borderId="10" xfId="1" applyNumberFormat="1" applyFont="1" applyFill="1" applyBorder="1" applyAlignment="1">
      <alignment horizontal="center" vertical="center"/>
    </xf>
    <xf numFmtId="4" fontId="4" fillId="0" borderId="54" xfId="1" applyNumberFormat="1" applyFont="1" applyBorder="1" applyAlignment="1">
      <alignment horizontal="center"/>
    </xf>
    <xf numFmtId="4" fontId="4" fillId="0" borderId="35" xfId="1" applyNumberFormat="1" applyFont="1" applyBorder="1" applyAlignment="1">
      <alignment horizontal="center" vertical="center"/>
    </xf>
    <xf numFmtId="4" fontId="4" fillId="0" borderId="36" xfId="1" applyNumberFormat="1" applyFont="1" applyBorder="1" applyAlignment="1">
      <alignment horizontal="center" vertical="center"/>
    </xf>
    <xf numFmtId="4" fontId="4" fillId="0" borderId="37" xfId="1" applyNumberFormat="1" applyFont="1" applyBorder="1" applyAlignment="1">
      <alignment horizontal="center" vertical="center"/>
    </xf>
    <xf numFmtId="4" fontId="4" fillId="0" borderId="38" xfId="1" applyNumberFormat="1" applyFont="1" applyBorder="1" applyAlignment="1">
      <alignment horizontal="center" vertical="center"/>
    </xf>
    <xf numFmtId="4" fontId="4" fillId="0" borderId="54" xfId="1" applyNumberFormat="1" applyFont="1" applyBorder="1" applyAlignment="1">
      <alignment horizontal="center" vertical="center"/>
    </xf>
    <xf numFmtId="4" fontId="4" fillId="0" borderId="38" xfId="2" applyNumberFormat="1" applyFont="1" applyBorder="1" applyAlignment="1">
      <alignment horizontal="center" vertical="center"/>
    </xf>
    <xf numFmtId="4" fontId="4" fillId="0" borderId="36" xfId="2" applyNumberFormat="1" applyFont="1" applyBorder="1" applyAlignment="1">
      <alignment horizontal="center" vertical="center"/>
    </xf>
    <xf numFmtId="4" fontId="4" fillId="0" borderId="25" xfId="2" applyNumberFormat="1" applyFont="1" applyBorder="1" applyAlignment="1">
      <alignment horizontal="center" vertical="center"/>
    </xf>
    <xf numFmtId="4" fontId="4" fillId="0" borderId="24" xfId="1" applyNumberFormat="1" applyFont="1" applyBorder="1" applyAlignment="1">
      <alignment horizontal="center" vertical="center"/>
    </xf>
    <xf numFmtId="4" fontId="4" fillId="0" borderId="26" xfId="1" applyNumberFormat="1" applyFont="1" applyBorder="1" applyAlignment="1">
      <alignment horizontal="center" vertical="center"/>
    </xf>
    <xf numFmtId="4" fontId="9" fillId="0" borderId="38" xfId="1" applyNumberFormat="1" applyFont="1" applyBorder="1" applyAlignment="1">
      <alignment horizontal="center" vertical="center"/>
    </xf>
    <xf numFmtId="4" fontId="9" fillId="0" borderId="36" xfId="1" applyNumberFormat="1" applyFont="1" applyBorder="1" applyAlignment="1">
      <alignment horizontal="center" vertical="center"/>
    </xf>
    <xf numFmtId="4" fontId="9" fillId="0" borderId="25" xfId="1" applyNumberFormat="1" applyFont="1" applyBorder="1" applyAlignment="1">
      <alignment horizontal="center" vertical="center"/>
    </xf>
    <xf numFmtId="4" fontId="9" fillId="0" borderId="24" xfId="1" applyNumberFormat="1" applyFont="1" applyBorder="1" applyAlignment="1">
      <alignment horizontal="center" vertical="center"/>
    </xf>
    <xf numFmtId="4" fontId="9" fillId="0" borderId="26" xfId="1" applyNumberFormat="1" applyFont="1" applyBorder="1" applyAlignment="1">
      <alignment horizontal="center" vertical="center"/>
    </xf>
    <xf numFmtId="4" fontId="9" fillId="0" borderId="37" xfId="1" applyNumberFormat="1" applyFont="1" applyBorder="1" applyAlignment="1">
      <alignment horizontal="center" vertical="center"/>
    </xf>
    <xf numFmtId="4" fontId="9" fillId="0" borderId="59" xfId="1" applyNumberFormat="1" applyFont="1" applyBorder="1" applyAlignment="1">
      <alignment horizontal="center" vertical="center"/>
    </xf>
    <xf numFmtId="4" fontId="9" fillId="0" borderId="54" xfId="1" applyNumberFormat="1" applyFont="1" applyBorder="1" applyAlignment="1">
      <alignment horizontal="center" vertical="center"/>
    </xf>
    <xf numFmtId="165" fontId="9" fillId="0" borderId="38" xfId="1" applyNumberFormat="1" applyFont="1" applyBorder="1" applyAlignment="1">
      <alignment horizontal="center" vertical="center"/>
    </xf>
    <xf numFmtId="165" fontId="9" fillId="0" borderId="36" xfId="1" applyNumberFormat="1" applyFont="1" applyBorder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center"/>
    </xf>
    <xf numFmtId="166" fontId="5" fillId="0" borderId="0" xfId="1" applyNumberFormat="1" applyFont="1"/>
    <xf numFmtId="0" fontId="13" fillId="0" borderId="0" xfId="1" applyFont="1"/>
    <xf numFmtId="0" fontId="4" fillId="0" borderId="26" xfId="1" applyFont="1" applyBorder="1"/>
    <xf numFmtId="0" fontId="4" fillId="0" borderId="25" xfId="1" applyFont="1" applyBorder="1"/>
    <xf numFmtId="0" fontId="5" fillId="0" borderId="21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34" xfId="1" applyFont="1" applyBorder="1" applyAlignment="1">
      <alignment vertical="center"/>
    </xf>
    <xf numFmtId="0" fontId="4" fillId="0" borderId="30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31" xfId="1" applyFont="1" applyBorder="1" applyAlignment="1">
      <alignment vertical="center"/>
    </xf>
    <xf numFmtId="0" fontId="9" fillId="0" borderId="23" xfId="1" applyFont="1" applyBorder="1" applyAlignment="1">
      <alignment vertical="center"/>
    </xf>
    <xf numFmtId="0" fontId="9" fillId="0" borderId="34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4" fillId="3" borderId="0" xfId="1" applyFont="1" applyFill="1" applyAlignment="1">
      <alignment vertical="center"/>
    </xf>
    <xf numFmtId="0" fontId="9" fillId="0" borderId="22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9" fillId="0" borderId="28" xfId="1" applyFont="1" applyBorder="1" applyAlignment="1">
      <alignment vertical="center"/>
    </xf>
    <xf numFmtId="0" fontId="9" fillId="0" borderId="18" xfId="1" applyFont="1" applyBorder="1" applyAlignment="1">
      <alignment vertical="center"/>
    </xf>
    <xf numFmtId="0" fontId="9" fillId="0" borderId="33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26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5" fillId="0" borderId="0" xfId="1" applyFont="1"/>
    <xf numFmtId="0" fontId="15" fillId="0" borderId="0" xfId="1" applyFont="1" applyAlignment="1">
      <alignment horizontal="center" vertical="center"/>
    </xf>
    <xf numFmtId="0" fontId="16" fillId="3" borderId="0" xfId="1" applyFont="1" applyFill="1" applyAlignment="1">
      <alignment vertical="center"/>
    </xf>
    <xf numFmtId="0" fontId="16" fillId="0" borderId="30" xfId="1" applyFont="1" applyBorder="1" applyAlignment="1">
      <alignment vertical="center"/>
    </xf>
    <xf numFmtId="0" fontId="16" fillId="0" borderId="3" xfId="1" applyFont="1" applyBorder="1" applyAlignment="1">
      <alignment vertical="center"/>
    </xf>
    <xf numFmtId="0" fontId="16" fillId="0" borderId="31" xfId="1" applyFont="1" applyBorder="1" applyAlignment="1">
      <alignment vertical="center"/>
    </xf>
    <xf numFmtId="0" fontId="6" fillId="4" borderId="30" xfId="2" applyFont="1" applyFill="1" applyBorder="1" applyAlignment="1">
      <alignment horizontal="center" vertical="center"/>
    </xf>
    <xf numFmtId="0" fontId="6" fillId="6" borderId="3" xfId="2" applyFont="1" applyFill="1" applyBorder="1" applyAlignment="1">
      <alignment horizontal="center" vertical="center"/>
    </xf>
    <xf numFmtId="0" fontId="6" fillId="7" borderId="20" xfId="2" applyFont="1" applyFill="1" applyBorder="1" applyAlignment="1">
      <alignment horizontal="center" vertical="center"/>
    </xf>
    <xf numFmtId="164" fontId="6" fillId="0" borderId="32" xfId="1" applyNumberFormat="1" applyFont="1" applyBorder="1" applyAlignment="1">
      <alignment horizontal="center" vertical="center"/>
    </xf>
    <xf numFmtId="164" fontId="6" fillId="0" borderId="46" xfId="1" applyNumberFormat="1" applyFont="1" applyBorder="1" applyAlignment="1">
      <alignment horizontal="center" vertical="center"/>
    </xf>
    <xf numFmtId="164" fontId="6" fillId="0" borderId="12" xfId="1" applyNumberFormat="1" applyFont="1" applyBorder="1" applyAlignment="1">
      <alignment horizontal="center" vertical="center"/>
    </xf>
    <xf numFmtId="164" fontId="6" fillId="0" borderId="1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2" fontId="6" fillId="0" borderId="44" xfId="1" applyNumberFormat="1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2" fontId="6" fillId="0" borderId="32" xfId="1" applyNumberFormat="1" applyFont="1" applyBorder="1" applyAlignment="1">
      <alignment horizontal="center" vertical="center"/>
    </xf>
    <xf numFmtId="164" fontId="6" fillId="0" borderId="47" xfId="1" applyNumberFormat="1" applyFont="1" applyBorder="1" applyAlignment="1">
      <alignment horizontal="center" vertical="center"/>
    </xf>
    <xf numFmtId="164" fontId="6" fillId="0" borderId="15" xfId="1" applyNumberFormat="1" applyFont="1" applyBorder="1" applyAlignment="1">
      <alignment horizontal="center" vertical="center"/>
    </xf>
    <xf numFmtId="164" fontId="6" fillId="0" borderId="7" xfId="1" applyNumberFormat="1" applyFont="1" applyBorder="1" applyAlignment="1">
      <alignment horizontal="center" vertical="center"/>
    </xf>
    <xf numFmtId="164" fontId="6" fillId="0" borderId="9" xfId="1" applyNumberFormat="1" applyFont="1" applyBorder="1" applyAlignment="1">
      <alignment horizontal="center" vertical="center"/>
    </xf>
    <xf numFmtId="164" fontId="6" fillId="0" borderId="6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2" fontId="6" fillId="0" borderId="15" xfId="1" applyNumberFormat="1" applyFont="1" applyBorder="1" applyAlignment="1">
      <alignment horizontal="center" vertical="center"/>
    </xf>
    <xf numFmtId="2" fontId="6" fillId="0" borderId="7" xfId="1" applyNumberFormat="1" applyFont="1" applyBorder="1" applyAlignment="1">
      <alignment horizontal="center" vertical="center"/>
    </xf>
    <xf numFmtId="2" fontId="6" fillId="0" borderId="9" xfId="1" applyNumberFormat="1" applyFont="1" applyBorder="1" applyAlignment="1">
      <alignment horizontal="center" vertical="center"/>
    </xf>
    <xf numFmtId="2" fontId="6" fillId="0" borderId="47" xfId="1" applyNumberFormat="1" applyFont="1" applyBorder="1" applyAlignment="1">
      <alignment horizontal="center" vertical="center"/>
    </xf>
    <xf numFmtId="164" fontId="6" fillId="0" borderId="53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  <xf numFmtId="164" fontId="6" fillId="0" borderId="52" xfId="1" applyNumberFormat="1" applyFont="1" applyBorder="1" applyAlignment="1">
      <alignment horizontal="center" vertical="center"/>
    </xf>
    <xf numFmtId="0" fontId="6" fillId="0" borderId="53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2" fontId="6" fillId="0" borderId="53" xfId="1" applyNumberFormat="1" applyFont="1" applyBorder="1" applyAlignment="1">
      <alignment horizontal="center" vertical="center"/>
    </xf>
    <xf numFmtId="2" fontId="6" fillId="0" borderId="10" xfId="1" applyNumberFormat="1" applyFont="1" applyBorder="1" applyAlignment="1">
      <alignment horizontal="center" vertical="center"/>
    </xf>
    <xf numFmtId="2" fontId="6" fillId="0" borderId="52" xfId="1" applyNumberFormat="1" applyFont="1" applyBorder="1" applyAlignment="1">
      <alignment horizontal="center" vertical="center"/>
    </xf>
    <xf numFmtId="2" fontId="6" fillId="0" borderId="40" xfId="1" applyNumberFormat="1" applyFont="1" applyBorder="1" applyAlignment="1">
      <alignment horizontal="center" vertical="center"/>
    </xf>
    <xf numFmtId="4" fontId="17" fillId="0" borderId="54" xfId="1" applyNumberFormat="1" applyFont="1" applyBorder="1" applyAlignment="1">
      <alignment horizontal="center" vertical="center"/>
    </xf>
    <xf numFmtId="4" fontId="17" fillId="0" borderId="26" xfId="1" applyNumberFormat="1" applyFont="1" applyBorder="1" applyAlignment="1">
      <alignment horizontal="center" vertical="center"/>
    </xf>
    <xf numFmtId="4" fontId="17" fillId="0" borderId="37" xfId="1" applyNumberFormat="1" applyFont="1" applyBorder="1" applyAlignment="1">
      <alignment horizontal="center" vertical="center"/>
    </xf>
    <xf numFmtId="4" fontId="17" fillId="0" borderId="59" xfId="1" applyNumberFormat="1" applyFont="1" applyBorder="1" applyAlignment="1">
      <alignment horizontal="center" vertical="center"/>
    </xf>
    <xf numFmtId="4" fontId="17" fillId="0" borderId="38" xfId="1" applyNumberFormat="1" applyFont="1" applyBorder="1" applyAlignment="1">
      <alignment horizontal="center" vertical="center"/>
    </xf>
    <xf numFmtId="4" fontId="17" fillId="0" borderId="36" xfId="1" applyNumberFormat="1" applyFont="1" applyBorder="1" applyAlignment="1">
      <alignment horizontal="center" vertical="center"/>
    </xf>
    <xf numFmtId="2" fontId="6" fillId="5" borderId="7" xfId="1" applyNumberFormat="1" applyFont="1" applyFill="1" applyBorder="1" applyAlignment="1">
      <alignment horizontal="center" vertical="center"/>
    </xf>
    <xf numFmtId="4" fontId="6" fillId="0" borderId="0" xfId="1" applyNumberFormat="1" applyFont="1" applyAlignment="1">
      <alignment horizontal="center"/>
    </xf>
    <xf numFmtId="2" fontId="6" fillId="5" borderId="10" xfId="1" applyNumberFormat="1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164" fontId="6" fillId="0" borderId="44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2" fontId="6" fillId="2" borderId="7" xfId="1" applyNumberFormat="1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2" fontId="6" fillId="8" borderId="15" xfId="1" applyNumberFormat="1" applyFont="1" applyFill="1" applyBorder="1" applyAlignment="1">
      <alignment horizontal="center" vertical="center"/>
    </xf>
    <xf numFmtId="2" fontId="6" fillId="8" borderId="7" xfId="1" applyNumberFormat="1" applyFont="1" applyFill="1" applyBorder="1" applyAlignment="1">
      <alignment horizontal="center" vertical="center"/>
    </xf>
    <xf numFmtId="2" fontId="6" fillId="8" borderId="9" xfId="1" applyNumberFormat="1" applyFont="1" applyFill="1" applyBorder="1" applyAlignment="1">
      <alignment horizontal="center" vertical="center"/>
    </xf>
    <xf numFmtId="2" fontId="6" fillId="5" borderId="53" xfId="1" applyNumberFormat="1" applyFont="1" applyFill="1" applyBorder="1" applyAlignment="1">
      <alignment horizontal="center" vertical="center"/>
    </xf>
    <xf numFmtId="2" fontId="6" fillId="2" borderId="10" xfId="1" applyNumberFormat="1" applyFont="1" applyFill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17" fillId="0" borderId="38" xfId="1" applyNumberFormat="1" applyFont="1" applyBorder="1" applyAlignment="1">
      <alignment horizontal="center" vertical="center"/>
    </xf>
    <xf numFmtId="165" fontId="17" fillId="0" borderId="36" xfId="1" applyNumberFormat="1" applyFont="1" applyBorder="1" applyAlignment="1">
      <alignment horizontal="center" vertical="center"/>
    </xf>
    <xf numFmtId="0" fontId="18" fillId="0" borderId="0" xfId="0" applyFont="1"/>
    <xf numFmtId="0" fontId="18" fillId="0" borderId="15" xfId="0" applyFont="1" applyBorder="1"/>
    <xf numFmtId="0" fontId="18" fillId="0" borderId="7" xfId="0" applyFont="1" applyBorder="1"/>
    <xf numFmtId="0" fontId="18" fillId="0" borderId="11" xfId="0" applyFont="1" applyBorder="1"/>
    <xf numFmtId="0" fontId="18" fillId="0" borderId="9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9" fillId="0" borderId="0" xfId="1" applyFont="1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18" fillId="0" borderId="47" xfId="0" applyFont="1" applyBorder="1"/>
    <xf numFmtId="0" fontId="2" fillId="0" borderId="61" xfId="0" applyFont="1" applyBorder="1"/>
    <xf numFmtId="0" fontId="2" fillId="0" borderId="62" xfId="0" applyFont="1" applyBorder="1"/>
    <xf numFmtId="0" fontId="2" fillId="0" borderId="19" xfId="0" applyFont="1" applyBorder="1"/>
    <xf numFmtId="0" fontId="2" fillId="0" borderId="40" xfId="0" applyFont="1" applyBorder="1"/>
    <xf numFmtId="0" fontId="18" fillId="0" borderId="53" xfId="0" applyFont="1" applyBorder="1"/>
    <xf numFmtId="0" fontId="18" fillId="0" borderId="10" xfId="0" applyFont="1" applyBorder="1"/>
    <xf numFmtId="0" fontId="18" fillId="0" borderId="63" xfId="0" applyFont="1" applyBorder="1"/>
    <xf numFmtId="0" fontId="18" fillId="0" borderId="52" xfId="0" applyFont="1" applyBorder="1"/>
    <xf numFmtId="0" fontId="4" fillId="0" borderId="54" xfId="1" applyFont="1" applyBorder="1"/>
    <xf numFmtId="0" fontId="2" fillId="0" borderId="38" xfId="0" applyFont="1" applyBorder="1"/>
    <xf numFmtId="0" fontId="2" fillId="0" borderId="36" xfId="0" applyFont="1" applyBorder="1"/>
    <xf numFmtId="0" fontId="2" fillId="0" borderId="59" xfId="0" applyFont="1" applyBorder="1"/>
    <xf numFmtId="0" fontId="2" fillId="0" borderId="37" xfId="0" applyFont="1" applyBorder="1"/>
    <xf numFmtId="0" fontId="2" fillId="0" borderId="24" xfId="0" applyFont="1" applyBorder="1"/>
    <xf numFmtId="0" fontId="2" fillId="0" borderId="64" xfId="0" applyFont="1" applyBorder="1"/>
    <xf numFmtId="0" fontId="2" fillId="0" borderId="34" xfId="0" applyFont="1" applyBorder="1"/>
    <xf numFmtId="0" fontId="4" fillId="0" borderId="0" xfId="1" applyFont="1"/>
    <xf numFmtId="4" fontId="4" fillId="0" borderId="0" xfId="1" applyNumberFormat="1" applyFont="1" applyAlignment="1">
      <alignment horizontal="center"/>
    </xf>
    <xf numFmtId="2" fontId="2" fillId="0" borderId="0" xfId="0" applyNumberFormat="1" applyFont="1"/>
    <xf numFmtId="2" fontId="2" fillId="0" borderId="15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18" fillId="0" borderId="15" xfId="0" applyNumberFormat="1" applyFont="1" applyBorder="1"/>
    <xf numFmtId="2" fontId="18" fillId="0" borderId="0" xfId="0" applyNumberFormat="1" applyFont="1"/>
    <xf numFmtId="2" fontId="18" fillId="0" borderId="47" xfId="0" applyNumberFormat="1" applyFont="1" applyBorder="1"/>
    <xf numFmtId="2" fontId="2" fillId="0" borderId="61" xfId="0" applyNumberFormat="1" applyFont="1" applyBorder="1"/>
    <xf numFmtId="2" fontId="2" fillId="0" borderId="40" xfId="0" applyNumberFormat="1" applyFont="1" applyBorder="1"/>
    <xf numFmtId="1" fontId="2" fillId="0" borderId="15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8" fillId="12" borderId="11" xfId="0" applyFont="1" applyFill="1" applyBorder="1"/>
    <xf numFmtId="0" fontId="2" fillId="12" borderId="59" xfId="0" applyFont="1" applyFill="1" applyBorder="1"/>
    <xf numFmtId="4" fontId="18" fillId="0" borderId="15" xfId="0" applyNumberFormat="1" applyFont="1" applyBorder="1"/>
    <xf numFmtId="4" fontId="18" fillId="0" borderId="7" xfId="0" applyNumberFormat="1" applyFont="1" applyBorder="1"/>
    <xf numFmtId="4" fontId="18" fillId="0" borderId="11" xfId="0" applyNumberFormat="1" applyFont="1" applyBorder="1"/>
    <xf numFmtId="4" fontId="18" fillId="12" borderId="11" xfId="0" applyNumberFormat="1" applyFont="1" applyFill="1" applyBorder="1"/>
    <xf numFmtId="4" fontId="2" fillId="0" borderId="38" xfId="0" applyNumberFormat="1" applyFont="1" applyBorder="1"/>
    <xf numFmtId="4" fontId="2" fillId="0" borderId="36" xfId="0" applyNumberFormat="1" applyFont="1" applyBorder="1"/>
    <xf numFmtId="4" fontId="2" fillId="0" borderId="59" xfId="0" applyNumberFormat="1" applyFont="1" applyBorder="1"/>
    <xf numFmtId="4" fontId="2" fillId="12" borderId="59" xfId="0" applyNumberFormat="1" applyFont="1" applyFill="1" applyBorder="1"/>
    <xf numFmtId="4" fontId="18" fillId="0" borderId="9" xfId="0" applyNumberFormat="1" applyFont="1" applyBorder="1"/>
    <xf numFmtId="4" fontId="18" fillId="0" borderId="0" xfId="0" applyNumberFormat="1" applyFont="1"/>
    <xf numFmtId="4" fontId="2" fillId="0" borderId="37" xfId="0" applyNumberFormat="1" applyFont="1" applyBorder="1"/>
    <xf numFmtId="4" fontId="2" fillId="0" borderId="24" xfId="0" applyNumberFormat="1" applyFont="1" applyBorder="1"/>
    <xf numFmtId="0" fontId="18" fillId="12" borderId="63" xfId="0" applyFont="1" applyFill="1" applyBorder="1"/>
    <xf numFmtId="4" fontId="18" fillId="0" borderId="48" xfId="0" applyNumberFormat="1" applyFont="1" applyBorder="1"/>
    <xf numFmtId="0" fontId="2" fillId="0" borderId="48" xfId="0" applyFont="1" applyBorder="1" applyAlignment="1">
      <alignment horizontal="center"/>
    </xf>
    <xf numFmtId="4" fontId="18" fillId="0" borderId="53" xfId="0" applyNumberFormat="1" applyFont="1" applyBorder="1"/>
    <xf numFmtId="4" fontId="18" fillId="0" borderId="10" xfId="0" applyNumberFormat="1" applyFont="1" applyBorder="1"/>
    <xf numFmtId="4" fontId="18" fillId="0" borderId="63" xfId="0" applyNumberFormat="1" applyFont="1" applyBorder="1"/>
    <xf numFmtId="4" fontId="18" fillId="0" borderId="51" xfId="0" applyNumberFormat="1" applyFont="1" applyBorder="1"/>
    <xf numFmtId="4" fontId="2" fillId="0" borderId="35" xfId="0" applyNumberFormat="1" applyFont="1" applyBorder="1"/>
    <xf numFmtId="4" fontId="2" fillId="0" borderId="54" xfId="0" applyNumberFormat="1" applyFont="1" applyBorder="1"/>
    <xf numFmtId="0" fontId="5" fillId="14" borderId="23" xfId="1" applyFont="1" applyFill="1" applyBorder="1" applyAlignment="1">
      <alignment vertical="center"/>
    </xf>
    <xf numFmtId="0" fontId="5" fillId="14" borderId="23" xfId="1" applyFont="1" applyFill="1" applyBorder="1" applyAlignment="1">
      <alignment horizontal="center"/>
    </xf>
    <xf numFmtId="0" fontId="18" fillId="14" borderId="15" xfId="0" applyFont="1" applyFill="1" applyBorder="1"/>
    <xf numFmtId="0" fontId="18" fillId="14" borderId="7" xfId="0" applyFont="1" applyFill="1" applyBorder="1"/>
    <xf numFmtId="0" fontId="18" fillId="14" borderId="11" xfId="0" applyFont="1" applyFill="1" applyBorder="1"/>
    <xf numFmtId="0" fontId="18" fillId="14" borderId="9" xfId="0" applyFont="1" applyFill="1" applyBorder="1"/>
    <xf numFmtId="0" fontId="18" fillId="14" borderId="0" xfId="0" applyFont="1" applyFill="1"/>
    <xf numFmtId="4" fontId="18" fillId="14" borderId="15" xfId="0" applyNumberFormat="1" applyFont="1" applyFill="1" applyBorder="1"/>
    <xf numFmtId="4" fontId="18" fillId="14" borderId="7" xfId="0" applyNumberFormat="1" applyFont="1" applyFill="1" applyBorder="1"/>
    <xf numFmtId="4" fontId="18" fillId="14" borderId="11" xfId="0" applyNumberFormat="1" applyFont="1" applyFill="1" applyBorder="1"/>
    <xf numFmtId="0" fontId="5" fillId="14" borderId="41" xfId="1" applyFont="1" applyFill="1" applyBorder="1" applyAlignment="1">
      <alignment horizontal="center"/>
    </xf>
    <xf numFmtId="0" fontId="18" fillId="14" borderId="53" xfId="0" applyFont="1" applyFill="1" applyBorder="1"/>
    <xf numFmtId="0" fontId="18" fillId="14" borderId="10" xfId="0" applyFont="1" applyFill="1" applyBorder="1"/>
    <xf numFmtId="0" fontId="18" fillId="14" borderId="63" xfId="0" applyFont="1" applyFill="1" applyBorder="1"/>
    <xf numFmtId="0" fontId="18" fillId="14" borderId="52" xfId="0" applyFont="1" applyFill="1" applyBorder="1"/>
    <xf numFmtId="4" fontId="18" fillId="14" borderId="53" xfId="0" applyNumberFormat="1" applyFont="1" applyFill="1" applyBorder="1"/>
    <xf numFmtId="4" fontId="18" fillId="14" borderId="10" xfId="0" applyNumberFormat="1" applyFont="1" applyFill="1" applyBorder="1"/>
    <xf numFmtId="4" fontId="18" fillId="14" borderId="63" xfId="0" applyNumberFormat="1" applyFont="1" applyFill="1" applyBorder="1"/>
    <xf numFmtId="4" fontId="2" fillId="0" borderId="0" xfId="0" applyNumberFormat="1" applyFont="1"/>
    <xf numFmtId="4" fontId="9" fillId="0" borderId="0" xfId="1" applyNumberFormat="1" applyFont="1" applyAlignment="1">
      <alignment vertical="center"/>
    </xf>
    <xf numFmtId="4" fontId="5" fillId="0" borderId="32" xfId="1" applyNumberFormat="1" applyFont="1" applyBorder="1" applyAlignment="1">
      <alignment horizontal="center"/>
    </xf>
    <xf numFmtId="4" fontId="5" fillId="0" borderId="47" xfId="1" applyNumberFormat="1" applyFont="1" applyBorder="1" applyAlignment="1">
      <alignment horizontal="center"/>
    </xf>
    <xf numFmtId="4" fontId="5" fillId="0" borderId="40" xfId="1" applyNumberFormat="1" applyFont="1" applyBorder="1" applyAlignment="1">
      <alignment horizontal="center"/>
    </xf>
    <xf numFmtId="4" fontId="5" fillId="0" borderId="43" xfId="1" applyNumberFormat="1" applyFont="1" applyBorder="1" applyAlignment="1">
      <alignment horizontal="center"/>
    </xf>
    <xf numFmtId="4" fontId="5" fillId="0" borderId="41" xfId="1" applyNumberFormat="1" applyFont="1" applyBorder="1" applyAlignment="1">
      <alignment horizontal="center"/>
    </xf>
    <xf numFmtId="4" fontId="4" fillId="0" borderId="0" xfId="1" applyNumberFormat="1" applyFont="1"/>
    <xf numFmtId="4" fontId="9" fillId="0" borderId="22" xfId="1" applyNumberFormat="1" applyFont="1" applyBorder="1" applyAlignment="1">
      <alignment horizontal="center" vertical="center"/>
    </xf>
    <xf numFmtId="4" fontId="9" fillId="0" borderId="33" xfId="1" applyNumberFormat="1" applyFont="1" applyBorder="1" applyAlignment="1">
      <alignment horizontal="center" vertical="center"/>
    </xf>
    <xf numFmtId="4" fontId="5" fillId="0" borderId="29" xfId="1" applyNumberFormat="1" applyFont="1" applyBorder="1" applyAlignment="1">
      <alignment horizontal="center"/>
    </xf>
    <xf numFmtId="4" fontId="5" fillId="0" borderId="6" xfId="1" applyNumberFormat="1" applyFont="1" applyBorder="1" applyAlignment="1">
      <alignment horizontal="center"/>
    </xf>
    <xf numFmtId="4" fontId="5" fillId="0" borderId="15" xfId="1" applyNumberFormat="1" applyFont="1" applyBorder="1" applyAlignment="1">
      <alignment horizontal="center"/>
    </xf>
    <xf numFmtId="4" fontId="5" fillId="0" borderId="34" xfId="1" applyNumberFormat="1" applyFont="1" applyBorder="1" applyAlignment="1">
      <alignment horizontal="center"/>
    </xf>
    <xf numFmtId="4" fontId="4" fillId="0" borderId="25" xfId="1" applyNumberFormat="1" applyFont="1" applyBorder="1"/>
    <xf numFmtId="4" fontId="4" fillId="0" borderId="25" xfId="1" applyNumberFormat="1" applyFont="1" applyBorder="1" applyAlignment="1">
      <alignment horizontal="center"/>
    </xf>
    <xf numFmtId="4" fontId="5" fillId="14" borderId="29" xfId="1" applyNumberFormat="1" applyFont="1" applyFill="1" applyBorder="1" applyAlignment="1">
      <alignment horizontal="center"/>
    </xf>
    <xf numFmtId="4" fontId="5" fillId="14" borderId="41" xfId="1" applyNumberFormat="1" applyFont="1" applyFill="1" applyBorder="1" applyAlignment="1">
      <alignment horizontal="center"/>
    </xf>
    <xf numFmtId="4" fontId="5" fillId="12" borderId="6" xfId="1" applyNumberFormat="1" applyFont="1" applyFill="1" applyBorder="1" applyAlignment="1">
      <alignment horizontal="center"/>
    </xf>
    <xf numFmtId="4" fontId="5" fillId="12" borderId="65" xfId="1" applyNumberFormat="1" applyFont="1" applyFill="1" applyBorder="1" applyAlignment="1">
      <alignment horizontal="center"/>
    </xf>
    <xf numFmtId="4" fontId="5" fillId="0" borderId="65" xfId="1" applyNumberFormat="1" applyFont="1" applyBorder="1" applyAlignment="1">
      <alignment horizontal="center"/>
    </xf>
    <xf numFmtId="4" fontId="5" fillId="12" borderId="29" xfId="1" applyNumberFormat="1" applyFont="1" applyFill="1" applyBorder="1" applyAlignment="1">
      <alignment horizontal="center"/>
    </xf>
    <xf numFmtId="4" fontId="5" fillId="12" borderId="41" xfId="1" applyNumberFormat="1" applyFont="1" applyFill="1" applyBorder="1" applyAlignment="1">
      <alignment horizontal="center"/>
    </xf>
    <xf numFmtId="0" fontId="22" fillId="0" borderId="0" xfId="0" applyFont="1"/>
    <xf numFmtId="4" fontId="22" fillId="0" borderId="0" xfId="0" applyNumberFormat="1" applyFont="1"/>
    <xf numFmtId="2" fontId="22" fillId="0" borderId="0" xfId="0" applyNumberFormat="1" applyFont="1"/>
    <xf numFmtId="0" fontId="23" fillId="0" borderId="0" xfId="0" applyFont="1"/>
    <xf numFmtId="4" fontId="18" fillId="12" borderId="15" xfId="0" applyNumberFormat="1" applyFont="1" applyFill="1" applyBorder="1"/>
    <xf numFmtId="4" fontId="18" fillId="12" borderId="48" xfId="0" applyNumberFormat="1" applyFont="1" applyFill="1" applyBorder="1"/>
    <xf numFmtId="0" fontId="2" fillId="0" borderId="7" xfId="0" applyFont="1" applyBorder="1"/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2" fillId="0" borderId="7" xfId="0" applyFont="1" applyBorder="1" applyAlignment="1">
      <alignment wrapText="1"/>
    </xf>
    <xf numFmtId="4" fontId="18" fillId="12" borderId="63" xfId="0" applyNumberFormat="1" applyFont="1" applyFill="1" applyBorder="1"/>
    <xf numFmtId="4" fontId="2" fillId="12" borderId="54" xfId="0" applyNumberFormat="1" applyFont="1" applyFill="1" applyBorder="1"/>
    <xf numFmtId="0" fontId="2" fillId="0" borderId="0" xfId="0" applyFont="1" applyAlignment="1">
      <alignment wrapText="1"/>
    </xf>
    <xf numFmtId="4" fontId="2" fillId="0" borderId="7" xfId="0" applyNumberFormat="1" applyFont="1" applyBorder="1"/>
    <xf numFmtId="2" fontId="2" fillId="0" borderId="0" xfId="0" applyNumberFormat="1" applyFont="1" applyAlignment="1">
      <alignment wrapText="1"/>
    </xf>
    <xf numFmtId="4" fontId="2" fillId="0" borderId="40" xfId="0" applyNumberFormat="1" applyFont="1" applyBorder="1" applyAlignment="1">
      <alignment wrapText="1"/>
    </xf>
    <xf numFmtId="4" fontId="2" fillId="0" borderId="9" xfId="0" applyNumberFormat="1" applyFont="1" applyBorder="1"/>
    <xf numFmtId="0" fontId="2" fillId="0" borderId="9" xfId="0" applyFont="1" applyBorder="1" applyAlignment="1">
      <alignment wrapText="1"/>
    </xf>
    <xf numFmtId="4" fontId="2" fillId="0" borderId="56" xfId="0" applyNumberFormat="1" applyFont="1" applyBorder="1"/>
    <xf numFmtId="4" fontId="2" fillId="0" borderId="67" xfId="0" applyNumberFormat="1" applyFont="1" applyBorder="1" applyAlignment="1">
      <alignment wrapText="1"/>
    </xf>
    <xf numFmtId="0" fontId="2" fillId="0" borderId="5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wrapText="1"/>
    </xf>
    <xf numFmtId="4" fontId="2" fillId="12" borderId="40" xfId="0" applyNumberFormat="1" applyFont="1" applyFill="1" applyBorder="1" applyAlignment="1">
      <alignment wrapText="1"/>
    </xf>
    <xf numFmtId="4" fontId="2" fillId="12" borderId="56" xfId="0" applyNumberFormat="1" applyFont="1" applyFill="1" applyBorder="1"/>
    <xf numFmtId="0" fontId="2" fillId="0" borderId="0" xfId="0" applyFont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5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8" fillId="0" borderId="19" xfId="0" applyFont="1" applyBorder="1"/>
    <xf numFmtId="4" fontId="18" fillId="0" borderId="46" xfId="0" applyNumberFormat="1" applyFont="1" applyBorder="1"/>
    <xf numFmtId="4" fontId="18" fillId="0" borderId="68" xfId="0" applyNumberFormat="1" applyFont="1" applyBorder="1"/>
    <xf numFmtId="0" fontId="2" fillId="0" borderId="5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1" fontId="2" fillId="0" borderId="53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63" xfId="0" applyNumberFormat="1" applyFont="1" applyBorder="1" applyAlignment="1">
      <alignment horizontal="center"/>
    </xf>
    <xf numFmtId="4" fontId="4" fillId="0" borderId="34" xfId="1" applyNumberFormat="1" applyFont="1" applyBorder="1" applyAlignment="1">
      <alignment horizontal="center"/>
    </xf>
    <xf numFmtId="4" fontId="2" fillId="0" borderId="64" xfId="0" applyNumberFormat="1" applyFont="1" applyBorder="1"/>
    <xf numFmtId="4" fontId="2" fillId="0" borderId="69" xfId="0" applyNumberFormat="1" applyFont="1" applyBorder="1"/>
    <xf numFmtId="4" fontId="2" fillId="0" borderId="70" xfId="0" applyNumberFormat="1" applyFont="1" applyBorder="1"/>
    <xf numFmtId="4" fontId="2" fillId="0" borderId="71" xfId="0" applyNumberFormat="1" applyFont="1" applyBorder="1"/>
    <xf numFmtId="4" fontId="2" fillId="12" borderId="70" xfId="0" applyNumberFormat="1" applyFont="1" applyFill="1" applyBorder="1"/>
    <xf numFmtId="4" fontId="2" fillId="0" borderId="39" xfId="0" applyNumberFormat="1" applyFont="1" applyBorder="1"/>
    <xf numFmtId="0" fontId="2" fillId="12" borderId="70" xfId="0" applyFont="1" applyFill="1" applyBorder="1"/>
    <xf numFmtId="4" fontId="18" fillId="0" borderId="44" xfId="0" applyNumberFormat="1" applyFont="1" applyBorder="1"/>
    <xf numFmtId="4" fontId="18" fillId="0" borderId="2" xfId="0" applyNumberFormat="1" applyFont="1" applyBorder="1"/>
    <xf numFmtId="4" fontId="18" fillId="0" borderId="60" xfId="0" applyNumberFormat="1" applyFont="1" applyBorder="1"/>
    <xf numFmtId="4" fontId="18" fillId="0" borderId="4" xfId="0" applyNumberFormat="1" applyFont="1" applyBorder="1"/>
    <xf numFmtId="4" fontId="18" fillId="12" borderId="60" xfId="0" applyNumberFormat="1" applyFont="1" applyFill="1" applyBorder="1"/>
    <xf numFmtId="4" fontId="18" fillId="0" borderId="20" xfId="0" applyNumberFormat="1" applyFont="1" applyBorder="1"/>
    <xf numFmtId="0" fontId="18" fillId="12" borderId="60" xfId="0" applyFont="1" applyFill="1" applyBorder="1"/>
    <xf numFmtId="0" fontId="18" fillId="0" borderId="20" xfId="0" applyFont="1" applyBorder="1"/>
    <xf numFmtId="4" fontId="18" fillId="0" borderId="61" xfId="0" applyNumberFormat="1" applyFont="1" applyBorder="1"/>
    <xf numFmtId="4" fontId="18" fillId="0" borderId="62" xfId="0" applyNumberFormat="1" applyFont="1" applyBorder="1"/>
    <xf numFmtId="4" fontId="18" fillId="0" borderId="19" xfId="0" applyNumberFormat="1" applyFont="1" applyBorder="1"/>
    <xf numFmtId="4" fontId="18" fillId="0" borderId="72" xfId="0" applyNumberFormat="1" applyFont="1" applyBorder="1"/>
    <xf numFmtId="4" fontId="18" fillId="12" borderId="19" xfId="0" applyNumberFormat="1" applyFont="1" applyFill="1" applyBorder="1"/>
    <xf numFmtId="4" fontId="18" fillId="0" borderId="39" xfId="0" applyNumberFormat="1" applyFont="1" applyBorder="1"/>
    <xf numFmtId="0" fontId="18" fillId="12" borderId="19" xfId="0" applyFont="1" applyFill="1" applyBorder="1"/>
    <xf numFmtId="0" fontId="18" fillId="0" borderId="39" xfId="0" applyFont="1" applyBorder="1"/>
    <xf numFmtId="0" fontId="2" fillId="0" borderId="51" xfId="0" applyFont="1" applyBorder="1" applyAlignment="1">
      <alignment horizontal="center"/>
    </xf>
    <xf numFmtId="0" fontId="18" fillId="0" borderId="44" xfId="0" applyFont="1" applyBorder="1"/>
    <xf numFmtId="0" fontId="18" fillId="0" borderId="2" xfId="0" applyFont="1" applyBorder="1"/>
    <xf numFmtId="0" fontId="18" fillId="0" borderId="60" xfId="0" applyFont="1" applyBorder="1"/>
    <xf numFmtId="0" fontId="18" fillId="0" borderId="4" xfId="0" applyFont="1" applyBorder="1"/>
    <xf numFmtId="4" fontId="18" fillId="0" borderId="5" xfId="0" applyNumberFormat="1" applyFont="1" applyBorder="1"/>
    <xf numFmtId="0" fontId="18" fillId="0" borderId="61" xfId="0" applyFont="1" applyBorder="1"/>
    <xf numFmtId="0" fontId="18" fillId="0" borderId="62" xfId="0" applyFont="1" applyBorder="1"/>
    <xf numFmtId="0" fontId="18" fillId="0" borderId="72" xfId="0" applyFont="1" applyBorder="1"/>
    <xf numFmtId="4" fontId="18" fillId="12" borderId="61" xfId="0" applyNumberFormat="1" applyFont="1" applyFill="1" applyBorder="1"/>
    <xf numFmtId="4" fontId="18" fillId="12" borderId="73" xfId="0" applyNumberFormat="1" applyFont="1" applyFill="1" applyBorder="1"/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4" fontId="18" fillId="0" borderId="70" xfId="0" applyNumberFormat="1" applyFont="1" applyBorder="1"/>
    <xf numFmtId="1" fontId="2" fillId="0" borderId="0" xfId="0" applyNumberFormat="1" applyFont="1" applyAlignment="1">
      <alignment horizontal="center"/>
    </xf>
    <xf numFmtId="4" fontId="2" fillId="0" borderId="61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wrapText="1"/>
    </xf>
    <xf numFmtId="4" fontId="5" fillId="0" borderId="0" xfId="1" applyNumberFormat="1" applyFont="1"/>
    <xf numFmtId="4" fontId="8" fillId="0" borderId="0" xfId="1" applyNumberFormat="1" applyFont="1"/>
    <xf numFmtId="4" fontId="9" fillId="0" borderId="0" xfId="1" applyNumberFormat="1" applyFont="1"/>
    <xf numFmtId="4" fontId="11" fillId="4" borderId="30" xfId="2" applyNumberFormat="1" applyFont="1" applyFill="1" applyBorder="1" applyAlignment="1">
      <alignment horizontal="center" vertical="center"/>
    </xf>
    <xf numFmtId="4" fontId="11" fillId="2" borderId="3" xfId="2" applyNumberFormat="1" applyFont="1" applyFill="1" applyBorder="1" applyAlignment="1">
      <alignment horizontal="center" vertical="center"/>
    </xf>
    <xf numFmtId="4" fontId="5" fillId="0" borderId="44" xfId="1" applyNumberFormat="1" applyFont="1" applyBorder="1" applyAlignment="1">
      <alignment horizontal="center" vertical="center"/>
    </xf>
    <xf numFmtId="4" fontId="5" fillId="0" borderId="2" xfId="1" applyNumberFormat="1" applyFont="1" applyBorder="1" applyAlignment="1">
      <alignment horizontal="center" vertical="center"/>
    </xf>
    <xf numFmtId="4" fontId="5" fillId="0" borderId="15" xfId="1" applyNumberFormat="1" applyFont="1" applyBorder="1" applyAlignment="1">
      <alignment horizontal="center" vertical="center"/>
    </xf>
    <xf numFmtId="4" fontId="5" fillId="0" borderId="7" xfId="1" applyNumberFormat="1" applyFont="1" applyBorder="1" applyAlignment="1">
      <alignment horizontal="center" vertical="center"/>
    </xf>
    <xf numFmtId="4" fontId="11" fillId="0" borderId="7" xfId="1" applyNumberFormat="1" applyFont="1" applyBorder="1" applyAlignment="1">
      <alignment horizontal="center" vertical="center"/>
    </xf>
    <xf numFmtId="4" fontId="5" fillId="0" borderId="53" xfId="1" applyNumberFormat="1" applyFont="1" applyBorder="1" applyAlignment="1">
      <alignment horizontal="center" vertical="center"/>
    </xf>
    <xf numFmtId="4" fontId="5" fillId="0" borderId="10" xfId="1" applyNumberFormat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9" borderId="44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2" fillId="9" borderId="60" xfId="0" applyFont="1" applyFill="1" applyBorder="1" applyAlignment="1">
      <alignment horizontal="center" vertical="top" wrapText="1"/>
    </xf>
    <xf numFmtId="0" fontId="2" fillId="9" borderId="15" xfId="0" applyFont="1" applyFill="1" applyBorder="1" applyAlignment="1">
      <alignment horizontal="center" vertical="top" wrapText="1"/>
    </xf>
    <xf numFmtId="0" fontId="2" fillId="9" borderId="7" xfId="0" applyFont="1" applyFill="1" applyBorder="1" applyAlignment="1">
      <alignment horizontal="center" vertical="top" wrapText="1"/>
    </xf>
    <xf numFmtId="0" fontId="2" fillId="9" borderId="11" xfId="0" applyFont="1" applyFill="1" applyBorder="1" applyAlignment="1">
      <alignment horizontal="center" vertical="top" wrapText="1"/>
    </xf>
    <xf numFmtId="0" fontId="2" fillId="3" borderId="4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60" xfId="0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2" fillId="10" borderId="44" xfId="0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center" vertical="top" wrapText="1"/>
    </xf>
    <xf numFmtId="0" fontId="2" fillId="10" borderId="60" xfId="0" applyFont="1" applyFill="1" applyBorder="1" applyAlignment="1">
      <alignment horizontal="center" vertical="top" wrapText="1"/>
    </xf>
    <xf numFmtId="0" fontId="2" fillId="10" borderId="15" xfId="0" applyFont="1" applyFill="1" applyBorder="1" applyAlignment="1">
      <alignment horizontal="center" vertical="top" wrapText="1"/>
    </xf>
    <xf numFmtId="0" fontId="2" fillId="10" borderId="7" xfId="0" applyFont="1" applyFill="1" applyBorder="1" applyAlignment="1">
      <alignment horizontal="center" vertical="top" wrapText="1"/>
    </xf>
    <xf numFmtId="0" fontId="2" fillId="10" borderId="11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/>
    </xf>
    <xf numFmtId="0" fontId="5" fillId="0" borderId="23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60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4" fontId="9" fillId="0" borderId="23" xfId="1" applyNumberFormat="1" applyFont="1" applyBorder="1" applyAlignment="1">
      <alignment horizontal="center" vertical="center" wrapText="1"/>
    </xf>
    <xf numFmtId="4" fontId="9" fillId="0" borderId="34" xfId="1" applyNumberFormat="1" applyFont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top" wrapText="1"/>
    </xf>
    <xf numFmtId="0" fontId="2" fillId="10" borderId="20" xfId="0" applyFont="1" applyFill="1" applyBorder="1" applyAlignment="1">
      <alignment horizontal="center" vertical="top" wrapText="1"/>
    </xf>
    <xf numFmtId="0" fontId="2" fillId="10" borderId="22" xfId="0" applyFont="1" applyFill="1" applyBorder="1" applyAlignment="1">
      <alignment horizontal="center" vertical="top" wrapText="1"/>
    </xf>
    <xf numFmtId="0" fontId="2" fillId="10" borderId="17" xfId="0" applyFont="1" applyFill="1" applyBorder="1" applyAlignment="1">
      <alignment horizontal="center" vertical="top" wrapText="1"/>
    </xf>
    <xf numFmtId="0" fontId="2" fillId="10" borderId="66" xfId="0" applyFont="1" applyFill="1" applyBorder="1" applyAlignment="1">
      <alignment horizontal="center" vertical="top" wrapText="1"/>
    </xf>
    <xf numFmtId="0" fontId="2" fillId="10" borderId="56" xfId="0" applyFont="1" applyFill="1" applyBorder="1" applyAlignment="1">
      <alignment horizontal="center" vertical="top" wrapText="1"/>
    </xf>
    <xf numFmtId="4" fontId="9" fillId="0" borderId="23" xfId="1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66" xfId="0" applyFont="1" applyBorder="1" applyAlignment="1">
      <alignment horizontal="center" vertical="top" wrapText="1"/>
    </xf>
    <xf numFmtId="0" fontId="2" fillId="0" borderId="56" xfId="0" applyFont="1" applyBorder="1" applyAlignment="1">
      <alignment horizontal="center" vertical="top" wrapText="1"/>
    </xf>
    <xf numFmtId="4" fontId="4" fillId="0" borderId="26" xfId="1" applyNumberFormat="1" applyFont="1" applyBorder="1" applyAlignment="1">
      <alignment horizontal="center"/>
    </xf>
    <xf numFmtId="4" fontId="4" fillId="0" borderId="25" xfId="1" applyNumberFormat="1" applyFont="1" applyBorder="1" applyAlignment="1">
      <alignment horizontal="center"/>
    </xf>
    <xf numFmtId="0" fontId="4" fillId="0" borderId="26" xfId="1" applyFont="1" applyBorder="1" applyAlignment="1">
      <alignment horizontal="center"/>
    </xf>
    <xf numFmtId="0" fontId="4" fillId="0" borderId="25" xfId="1" applyFont="1" applyBorder="1" applyAlignment="1">
      <alignment horizontal="center"/>
    </xf>
    <xf numFmtId="2" fontId="2" fillId="11" borderId="44" xfId="0" applyNumberFormat="1" applyFont="1" applyFill="1" applyBorder="1" applyAlignment="1">
      <alignment horizontal="center" vertical="top" wrapText="1"/>
    </xf>
    <xf numFmtId="2" fontId="2" fillId="11" borderId="2" xfId="0" applyNumberFormat="1" applyFont="1" applyFill="1" applyBorder="1" applyAlignment="1">
      <alignment horizontal="center" vertical="top" wrapText="1"/>
    </xf>
    <xf numFmtId="2" fontId="2" fillId="11" borderId="60" xfId="0" applyNumberFormat="1" applyFont="1" applyFill="1" applyBorder="1" applyAlignment="1">
      <alignment horizontal="center" vertical="top" wrapText="1"/>
    </xf>
    <xf numFmtId="2" fontId="2" fillId="11" borderId="15" xfId="0" applyNumberFormat="1" applyFont="1" applyFill="1" applyBorder="1" applyAlignment="1">
      <alignment horizontal="center" vertical="top" wrapText="1"/>
    </xf>
    <xf numFmtId="2" fontId="2" fillId="11" borderId="7" xfId="0" applyNumberFormat="1" applyFont="1" applyFill="1" applyBorder="1" applyAlignment="1">
      <alignment horizontal="center" vertical="top" wrapText="1"/>
    </xf>
    <xf numFmtId="2" fontId="2" fillId="11" borderId="11" xfId="0" applyNumberFormat="1" applyFont="1" applyFill="1" applyBorder="1" applyAlignment="1">
      <alignment horizontal="center" vertical="top" wrapText="1"/>
    </xf>
    <xf numFmtId="0" fontId="2" fillId="11" borderId="44" xfId="0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horizontal="center" vertical="top" wrapText="1"/>
    </xf>
    <xf numFmtId="0" fontId="2" fillId="11" borderId="60" xfId="0" applyFont="1" applyFill="1" applyBorder="1" applyAlignment="1">
      <alignment horizontal="center" vertical="top" wrapText="1"/>
    </xf>
    <xf numFmtId="0" fontId="2" fillId="11" borderId="15" xfId="0" applyFont="1" applyFill="1" applyBorder="1" applyAlignment="1">
      <alignment horizontal="center" vertical="top" wrapText="1"/>
    </xf>
    <xf numFmtId="0" fontId="2" fillId="11" borderId="7" xfId="0" applyFont="1" applyFill="1" applyBorder="1" applyAlignment="1">
      <alignment horizontal="center" vertical="top" wrapText="1"/>
    </xf>
    <xf numFmtId="0" fontId="2" fillId="11" borderId="11" xfId="0" applyFont="1" applyFill="1" applyBorder="1" applyAlignment="1">
      <alignment horizontal="center" vertical="top" wrapText="1"/>
    </xf>
    <xf numFmtId="2" fontId="2" fillId="0" borderId="44" xfId="0" applyNumberFormat="1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wrapText="1"/>
    </xf>
    <xf numFmtId="2" fontId="2" fillId="0" borderId="60" xfId="0" applyNumberFormat="1" applyFont="1" applyBorder="1" applyAlignment="1">
      <alignment horizontal="center" vertical="top" wrapText="1"/>
    </xf>
    <xf numFmtId="2" fontId="2" fillId="0" borderId="15" xfId="0" applyNumberFormat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 vertical="top" wrapText="1"/>
    </xf>
    <xf numFmtId="2" fontId="2" fillId="0" borderId="11" xfId="0" applyNumberFormat="1" applyFont="1" applyBorder="1" applyAlignment="1">
      <alignment horizontal="center" vertical="top" wrapText="1"/>
    </xf>
    <xf numFmtId="0" fontId="2" fillId="10" borderId="4" xfId="0" applyFont="1" applyFill="1" applyBorder="1" applyAlignment="1">
      <alignment horizontal="center" vertical="top" wrapText="1"/>
    </xf>
    <xf numFmtId="0" fontId="2" fillId="10" borderId="9" xfId="0" applyFont="1" applyFill="1" applyBorder="1" applyAlignment="1">
      <alignment horizontal="center" vertical="top" wrapText="1"/>
    </xf>
    <xf numFmtId="0" fontId="2" fillId="11" borderId="5" xfId="0" applyFont="1" applyFill="1" applyBorder="1" applyAlignment="1">
      <alignment horizontal="center" vertical="top" wrapText="1"/>
    </xf>
    <xf numFmtId="0" fontId="2" fillId="11" borderId="48" xfId="0" applyFont="1" applyFill="1" applyBorder="1" applyAlignment="1">
      <alignment horizontal="center" vertical="top" wrapText="1"/>
    </xf>
    <xf numFmtId="4" fontId="2" fillId="0" borderId="43" xfId="0" applyNumberFormat="1" applyFont="1" applyBorder="1" applyAlignment="1">
      <alignment horizontal="center" vertical="center"/>
    </xf>
    <xf numFmtId="4" fontId="2" fillId="0" borderId="40" xfId="0" applyNumberFormat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4" fontId="9" fillId="0" borderId="29" xfId="1" applyNumberFormat="1" applyFont="1" applyBorder="1" applyAlignment="1">
      <alignment horizontal="center" vertical="center"/>
    </xf>
    <xf numFmtId="0" fontId="4" fillId="0" borderId="18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1" fontId="2" fillId="0" borderId="60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left" wrapText="1"/>
    </xf>
    <xf numFmtId="4" fontId="2" fillId="0" borderId="0" xfId="0" applyNumberFormat="1" applyFont="1" applyAlignment="1">
      <alignment horizontal="left" wrapText="1"/>
    </xf>
    <xf numFmtId="0" fontId="22" fillId="0" borderId="0" xfId="0" applyFont="1" applyFill="1"/>
    <xf numFmtId="0" fontId="2" fillId="0" borderId="0" xfId="0" applyFont="1" applyFill="1"/>
    <xf numFmtId="0" fontId="2" fillId="0" borderId="63" xfId="0" applyFont="1" applyFill="1" applyBorder="1" applyAlignment="1">
      <alignment horizontal="center"/>
    </xf>
    <xf numFmtId="4" fontId="18" fillId="0" borderId="60" xfId="0" applyNumberFormat="1" applyFont="1" applyFill="1" applyBorder="1"/>
    <xf numFmtId="4" fontId="18" fillId="0" borderId="11" xfId="0" applyNumberFormat="1" applyFont="1" applyFill="1" applyBorder="1"/>
    <xf numFmtId="4" fontId="18" fillId="0" borderId="19" xfId="0" applyNumberFormat="1" applyFont="1" applyFill="1" applyBorder="1"/>
    <xf numFmtId="0" fontId="18" fillId="0" borderId="0" xfId="0" applyFont="1" applyFill="1"/>
    <xf numFmtId="0" fontId="2" fillId="0" borderId="11" xfId="0" applyFont="1" applyFill="1" applyBorder="1" applyAlignment="1">
      <alignment horizontal="center"/>
    </xf>
    <xf numFmtId="0" fontId="18" fillId="0" borderId="11" xfId="0" applyFont="1" applyFill="1" applyBorder="1"/>
    <xf numFmtId="0" fontId="2" fillId="0" borderId="19" xfId="0" applyFont="1" applyFill="1" applyBorder="1"/>
    <xf numFmtId="0" fontId="18" fillId="0" borderId="60" xfId="0" applyFont="1" applyFill="1" applyBorder="1"/>
    <xf numFmtId="0" fontId="18" fillId="0" borderId="19" xfId="0" applyFont="1" applyFill="1" applyBorder="1"/>
    <xf numFmtId="0" fontId="18" fillId="0" borderId="63" xfId="0" applyFont="1" applyFill="1" applyBorder="1"/>
    <xf numFmtId="0" fontId="2" fillId="0" borderId="59" xfId="0" applyFont="1" applyFill="1" applyBorder="1"/>
    <xf numFmtId="4" fontId="2" fillId="0" borderId="59" xfId="0" applyNumberFormat="1" applyFont="1" applyFill="1" applyBorder="1"/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wrapText="1"/>
    </xf>
    <xf numFmtId="4" fontId="2" fillId="0" borderId="11" xfId="0" applyNumberFormat="1" applyFont="1" applyBorder="1" applyAlignment="1">
      <alignment horizontal="center"/>
    </xf>
    <xf numFmtId="4" fontId="18" fillId="0" borderId="47" xfId="0" applyNumberFormat="1" applyFont="1" applyBorder="1"/>
    <xf numFmtId="4" fontId="2" fillId="0" borderId="40" xfId="0" applyNumberFormat="1" applyFont="1" applyBorder="1"/>
    <xf numFmtId="43" fontId="2" fillId="0" borderId="59" xfId="76" applyFont="1" applyBorder="1"/>
  </cellXfs>
  <cellStyles count="77">
    <cellStyle name="Comma" xfId="76" builtinId="3"/>
    <cellStyle name="Comma [0] 2" xfId="4" xr:uid="{79998472-5D80-4065-A24C-08005702F6CB}"/>
    <cellStyle name="Comma [0] 3" xfId="5" xr:uid="{A7C90EE9-1336-4DC5-A107-178ED0F6E1BC}"/>
    <cellStyle name="Comma [0] 4" xfId="6" xr:uid="{B1F2A2DA-0DA2-4F2B-BECD-75B43D91EFF1}"/>
    <cellStyle name="Comma 10" xfId="7" xr:uid="{ED62B8A5-F4E4-423C-AB9E-05BE7BA5A038}"/>
    <cellStyle name="Comma 10 2" xfId="8" xr:uid="{783752F4-C7A2-4744-AEEF-AF48129BFCD7}"/>
    <cellStyle name="Comma 11" xfId="9" xr:uid="{EF5E179E-5B79-46E7-936F-0743E4068B00}"/>
    <cellStyle name="Comma 12" xfId="10" xr:uid="{CB85D10E-E17E-4F1A-BCAE-7A0E0F11FBB5}"/>
    <cellStyle name="Comma 13" xfId="11" xr:uid="{5A316B8E-F432-4083-98EF-2F46CBD9C04F}"/>
    <cellStyle name="Comma 14" xfId="12" xr:uid="{63E79221-33AB-4C98-9023-61DDAF4263BC}"/>
    <cellStyle name="Comma 15" xfId="13" xr:uid="{B49536BD-0B16-47AC-AD2C-4216D4C52DBC}"/>
    <cellStyle name="Comma 16" xfId="14" xr:uid="{001448B8-5949-4361-8E53-035DAEB3EE43}"/>
    <cellStyle name="Comma 17" xfId="15" xr:uid="{09E5E292-80D6-4D28-8C20-204EDD105E20}"/>
    <cellStyle name="Comma 18" xfId="16" xr:uid="{F99E9A3D-1F56-430E-B75D-C0CE4B4E447E}"/>
    <cellStyle name="Comma 19" xfId="17" xr:uid="{309E276C-3BF8-4623-AC93-D0D20BEC80BE}"/>
    <cellStyle name="Comma 2" xfId="18" xr:uid="{E18540DB-841D-4021-B178-87BBA156D352}"/>
    <cellStyle name="Comma 20" xfId="19" xr:uid="{49C8470C-B2C5-4725-8532-EFA0A0F9CC03}"/>
    <cellStyle name="Comma 21" xfId="20" xr:uid="{E72C43D1-7222-4105-9CD9-B9D7F83E4E3A}"/>
    <cellStyle name="Comma 22" xfId="21" xr:uid="{5FFFB4C6-7105-4DAE-84EE-713701482E3E}"/>
    <cellStyle name="Comma 23" xfId="22" xr:uid="{FF799470-E1A2-4FBA-9F61-554056352D7D}"/>
    <cellStyle name="Comma 24" xfId="23" xr:uid="{E5B47ED6-6BA6-4424-9EFB-EEFCB9EF911F}"/>
    <cellStyle name="Comma 25" xfId="24" xr:uid="{88097BFC-DBBA-41D9-B804-45FA5B42D198}"/>
    <cellStyle name="Comma 26" xfId="25" xr:uid="{AD9E6B10-8828-4ABC-8EF8-303FADADE700}"/>
    <cellStyle name="Comma 27" xfId="26" xr:uid="{E8D4249A-558C-4FC2-9EE2-740F5D3134BE}"/>
    <cellStyle name="Comma 28" xfId="27" xr:uid="{3675DFBF-939E-4160-A6B2-F7A273185D87}"/>
    <cellStyle name="Comma 3" xfId="28" xr:uid="{1A10DD2F-1BC2-4B8D-B9DE-A0B9DDA21C33}"/>
    <cellStyle name="Comma 4" xfId="29" xr:uid="{685EA13D-AC79-45CD-A79B-FF3990DD280E}"/>
    <cellStyle name="Comma 5" xfId="30" xr:uid="{6A43236F-C2A1-4D28-8282-3F20A3D466C3}"/>
    <cellStyle name="Comma 6" xfId="31" xr:uid="{12A3FA5B-91AA-4B4A-9971-E326D832AC61}"/>
    <cellStyle name="Comma 7" xfId="32" xr:uid="{DEE54AF2-C226-4E3B-8D41-6006C5E8C036}"/>
    <cellStyle name="Comma 8" xfId="33" xr:uid="{A9AFFC4C-B4B6-44A2-8F12-D616E9B97A37}"/>
    <cellStyle name="Comma 9" xfId="34" xr:uid="{C23590B8-1763-4961-AEB1-DC30BE3F81B8}"/>
    <cellStyle name="Comma 9 2" xfId="35" xr:uid="{BD0F95F1-2439-4AE1-B655-951BF4E0C639}"/>
    <cellStyle name="Comma 9 2 2" xfId="36" xr:uid="{CAB5B3C3-780D-4B1B-920B-B3C033DF968E}"/>
    <cellStyle name="Comma 9 3" xfId="37" xr:uid="{7D95A551-F886-43F1-9123-1A9B8B57B3A2}"/>
    <cellStyle name="flooded" xfId="38" xr:uid="{2C4F6332-2FBC-40C4-AA38-21711D36C6B8}"/>
    <cellStyle name="flooded 2" xfId="39" xr:uid="{AC91F1DC-11CF-4068-ADAF-C40F9DC63F8E}"/>
    <cellStyle name="flooded 2 2" xfId="40" xr:uid="{9A562A1B-2902-4A49-87CB-E8F005E6DDDF}"/>
    <cellStyle name="flooded 3" xfId="41" xr:uid="{65667B28-33C1-45A7-A577-8E976C4ED8F8}"/>
    <cellStyle name="Normal" xfId="0" builtinId="0"/>
    <cellStyle name="Normal 10" xfId="42" xr:uid="{C174F861-C2F8-42BD-B69D-014F6F120D7D}"/>
    <cellStyle name="Normal 10 2" xfId="2" xr:uid="{8EC64D5A-2C35-476B-9E1C-7F1D1A65D46B}"/>
    <cellStyle name="Normal 11" xfId="1" xr:uid="{8C81D426-BC0E-41D3-BC96-2FA4B07CB769}"/>
    <cellStyle name="Normal 12" xfId="43" xr:uid="{B0514EBB-0A32-48D4-87AD-7107AE1A5A97}"/>
    <cellStyle name="Normal 13" xfId="73" xr:uid="{607173FE-BD73-40C7-BF56-58DADEADD9F8}"/>
    <cellStyle name="Normal 14" xfId="74" xr:uid="{0FDDC3F1-4FB6-4417-857F-2F3844AC6826}"/>
    <cellStyle name="Normal 15" xfId="75" xr:uid="{991207AB-CAFC-4FD8-9C59-D8325AFE1B77}"/>
    <cellStyle name="Normal 2" xfId="44" xr:uid="{F05AB5AD-A6EE-4F11-B156-F1017F34714D}"/>
    <cellStyle name="Normal 2 2" xfId="45" xr:uid="{A75BFAA7-BB24-4BFB-9461-57150EDFA264}"/>
    <cellStyle name="Normal 2 2 2" xfId="46" xr:uid="{AA28CB2B-E7D7-4BEC-A244-73F2FD3F025B}"/>
    <cellStyle name="Normal 2 2 2 2" xfId="47" xr:uid="{9A1930A9-57A2-495D-8DE8-0A233B4D873B}"/>
    <cellStyle name="Normal 2 2 3" xfId="48" xr:uid="{1702C467-4CCD-4DC8-BDF0-F148C2657BF0}"/>
    <cellStyle name="Normal 3" xfId="3" xr:uid="{25F55C36-6B15-4178-B3B3-01A41B97D55D}"/>
    <cellStyle name="Normal 3 2" xfId="49" xr:uid="{E4BB9578-020F-45A2-B6AE-D8DFF649D094}"/>
    <cellStyle name="Normal 3 2 2" xfId="50" xr:uid="{14B5090A-B3EA-43A6-B00C-568DBDD9F041}"/>
    <cellStyle name="Normal 3 3" xfId="51" xr:uid="{15E26A56-20E5-4782-97BC-52C5B2C49990}"/>
    <cellStyle name="Normal 4" xfId="52" xr:uid="{837D133B-6F83-494A-BFA1-B49838ACCFAF}"/>
    <cellStyle name="Normal 5" xfId="53" xr:uid="{218F77C4-0011-4DB0-9216-2A07F1DCA6C3}"/>
    <cellStyle name="Normal 5 2" xfId="54" xr:uid="{17D3F50E-955D-480A-9FA6-9F09E90B0F25}"/>
    <cellStyle name="Normal 5 2 2" xfId="55" xr:uid="{AD13A6AD-42A6-458B-9DDD-D1528C38AF47}"/>
    <cellStyle name="Normal 5 3" xfId="56" xr:uid="{06FCD1A5-F312-49DE-8783-357DE7851963}"/>
    <cellStyle name="Normal 6" xfId="57" xr:uid="{BA546B92-75E0-4D07-AB2B-52473DE9E2B7}"/>
    <cellStyle name="Normal 6 2" xfId="58" xr:uid="{BF131710-6DB1-4F7E-A7AB-AF84D6CDD080}"/>
    <cellStyle name="Normal 6 2 2" xfId="59" xr:uid="{5E22708C-9C4A-4D36-98E9-467565D9D1B9}"/>
    <cellStyle name="Normal 6 3" xfId="60" xr:uid="{F8119C4F-B229-43CF-B8B6-739A55AA5B96}"/>
    <cellStyle name="Normal 7" xfId="61" xr:uid="{6D01AA23-6632-4CC3-A863-E8D3DD17E7A2}"/>
    <cellStyle name="Normal 7 2" xfId="62" xr:uid="{95228CE4-3226-4624-8777-D6D5CAD37DE8}"/>
    <cellStyle name="Normal 7 2 2" xfId="63" xr:uid="{F26F8F97-8428-463C-82BC-8CDC7D47B577}"/>
    <cellStyle name="Normal 7 3" xfId="64" xr:uid="{C21B23DB-609B-406E-94B6-7215A7D5EB81}"/>
    <cellStyle name="Normal 7 4" xfId="65" xr:uid="{A116C6B5-5B56-466F-B737-A5C73F80B530}"/>
    <cellStyle name="Normal 8" xfId="66" xr:uid="{21607A7E-9A34-4EE4-AA0C-478071AD7966}"/>
    <cellStyle name="Normal 8 2" xfId="67" xr:uid="{9F8D0A0D-F7CF-4484-B59C-EC45CB23F19C}"/>
    <cellStyle name="Normal 8 3" xfId="68" xr:uid="{98C2ED93-093A-4E36-9627-A04B2FDE6105}"/>
    <cellStyle name="Normal 9" xfId="69" xr:uid="{C3D32886-4601-4775-A138-2EC99CE80BC9}"/>
    <cellStyle name="Percent 2" xfId="70" xr:uid="{F93AB04C-A989-4DBC-8154-0EE84DA342E5}"/>
    <cellStyle name="Percent 3" xfId="71" xr:uid="{3D700635-CF69-45D6-AE29-144526498BE9}"/>
    <cellStyle name="Percent 3 2" xfId="72" xr:uid="{FCAEB454-9146-4662-A3FA-55EB6A424D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5B2B-31A3-442B-861E-D0E0205B12FE}">
  <sheetPr>
    <tabColor theme="1"/>
    <pageSetUpPr fitToPage="1"/>
  </sheetPr>
  <dimension ref="A1:KV55"/>
  <sheetViews>
    <sheetView showRuler="0" view="pageBreakPreview" topLeftCell="FG17" zoomScale="83" zoomScaleNormal="83" zoomScaleSheetLayoutView="83" zoomScalePageLayoutView="70" workbookViewId="0">
      <selection activeCell="KV9" sqref="B9:KV9"/>
    </sheetView>
  </sheetViews>
  <sheetFormatPr defaultRowHeight="15" outlineLevelRow="1" outlineLevelCol="2" x14ac:dyDescent="0.25"/>
  <cols>
    <col min="1" max="1" width="9.5703125" style="4" customWidth="1"/>
    <col min="2" max="2" width="6.5703125" style="2" customWidth="1"/>
    <col min="3" max="3" width="10.5703125" style="2" bestFit="1" customWidth="1"/>
    <col min="4" max="4" width="11" style="3" hidden="1" customWidth="1" outlineLevel="1"/>
    <col min="5" max="5" width="11.7109375" style="3" hidden="1" customWidth="1" outlineLevel="1"/>
    <col min="6" max="6" width="11.42578125" style="3" hidden="1" customWidth="1" outlineLevel="1"/>
    <col min="7" max="7" width="11.28515625" style="3" hidden="1" customWidth="1" outlineLevel="1"/>
    <col min="8" max="8" width="11.7109375" style="3" hidden="1" customWidth="1" outlineLevel="1" collapsed="1"/>
    <col min="9" max="9" width="10.85546875" style="4" hidden="1" customWidth="1" outlineLevel="2"/>
    <col min="10" max="10" width="12.140625" style="4" hidden="1" customWidth="1" outlineLevel="2"/>
    <col min="11" max="11" width="12" style="4" hidden="1" customWidth="1" outlineLevel="2"/>
    <col min="12" max="12" width="11.5703125" style="4" hidden="1" customWidth="1" outlineLevel="2"/>
    <col min="13" max="13" width="9.140625" style="4" hidden="1" customWidth="1" outlineLevel="1"/>
    <col min="14" max="14" width="11.5703125" style="4" hidden="1" customWidth="1" outlineLevel="2"/>
    <col min="15" max="15" width="11.85546875" style="4" hidden="1" customWidth="1" outlineLevel="2"/>
    <col min="16" max="16" width="11.5703125" style="4" hidden="1" customWidth="1" outlineLevel="2"/>
    <col min="17" max="17" width="11.42578125" style="4" hidden="1" customWidth="1" outlineLevel="2"/>
    <col min="18" max="18" width="9.28515625" style="4" hidden="1" customWidth="1" outlineLevel="1"/>
    <col min="19" max="19" width="11.28515625" style="4" hidden="1" customWidth="1" outlineLevel="2"/>
    <col min="20" max="20" width="12" style="4" hidden="1" customWidth="1" outlineLevel="2"/>
    <col min="21" max="21" width="11.7109375" style="4" hidden="1" customWidth="1" outlineLevel="2"/>
    <col min="22" max="22" width="11.5703125" style="4" hidden="1" customWidth="1" outlineLevel="2"/>
    <col min="23" max="23" width="9.42578125" style="4" hidden="1" customWidth="1" outlineLevel="1"/>
    <col min="24" max="24" width="11.28515625" style="4" hidden="1" customWidth="1" outlineLevel="2"/>
    <col min="25" max="25" width="12" style="4" hidden="1" customWidth="1" outlineLevel="2"/>
    <col min="26" max="26" width="11.7109375" style="4" hidden="1" customWidth="1" outlineLevel="2"/>
    <col min="27" max="27" width="11.5703125" style="4" hidden="1" customWidth="1" outlineLevel="2"/>
    <col min="28" max="28" width="9.85546875" style="4" hidden="1" customWidth="1" outlineLevel="1"/>
    <col min="29" max="29" width="11" style="4" hidden="1" customWidth="1" outlineLevel="2"/>
    <col min="30" max="30" width="11.7109375" style="4" hidden="1" customWidth="1" outlineLevel="2"/>
    <col min="31" max="31" width="11.42578125" style="4" hidden="1" customWidth="1" outlineLevel="2"/>
    <col min="32" max="32" width="11.28515625" style="4" hidden="1" customWidth="1" outlineLevel="2"/>
    <col min="33" max="33" width="11.28515625" style="4" hidden="1" customWidth="1" outlineLevel="1"/>
    <col min="34" max="34" width="11" style="4" hidden="1" customWidth="1" outlineLevel="2"/>
    <col min="35" max="35" width="11.7109375" style="4" hidden="1" customWidth="1" outlineLevel="2"/>
    <col min="36" max="36" width="11.42578125" style="4" hidden="1" customWidth="1" outlineLevel="2"/>
    <col min="37" max="37" width="11.28515625" style="4" hidden="1" customWidth="1" outlineLevel="2"/>
    <col min="38" max="38" width="10.140625" style="4" hidden="1" customWidth="1" outlineLevel="1"/>
    <col min="39" max="39" width="12" style="4" hidden="1" customWidth="1" outlineLevel="2"/>
    <col min="40" max="40" width="12.85546875" style="4" hidden="1" customWidth="1" outlineLevel="2"/>
    <col min="41" max="41" width="12.7109375" style="4" hidden="1" customWidth="1" outlineLevel="2"/>
    <col min="42" max="42" width="12.42578125" style="4" hidden="1" customWidth="1" outlineLevel="2"/>
    <col min="43" max="43" width="10.28515625" style="4" hidden="1" customWidth="1" outlineLevel="1"/>
    <col min="44" max="44" width="11.140625" style="4" hidden="1" customWidth="1" outlineLevel="2"/>
    <col min="45" max="45" width="11.85546875" style="4" hidden="1" customWidth="1" outlineLevel="2"/>
    <col min="46" max="46" width="11.5703125" style="4" hidden="1" customWidth="1" outlineLevel="2"/>
    <col min="47" max="47" width="11.42578125" style="4" hidden="1" customWidth="1" outlineLevel="2"/>
    <col min="48" max="48" width="10.140625" style="4" hidden="1" customWidth="1" outlineLevel="1"/>
    <col min="49" max="49" width="11" style="4" hidden="1" customWidth="1" outlineLevel="2"/>
    <col min="50" max="50" width="11.7109375" style="4" hidden="1" customWidth="1" outlineLevel="2"/>
    <col min="51" max="51" width="11.42578125" style="4" hidden="1" customWidth="1" outlineLevel="2"/>
    <col min="52" max="52" width="11.28515625" style="4" hidden="1" customWidth="1" outlineLevel="2"/>
    <col min="53" max="53" width="9.140625" style="4" hidden="1" customWidth="1" outlineLevel="1"/>
    <col min="54" max="57" width="12.28515625" style="4" hidden="1" customWidth="1" outlineLevel="2"/>
    <col min="58" max="58" width="9.140625" style="4" hidden="1" customWidth="1" outlineLevel="1"/>
    <col min="59" max="62" width="12.7109375" style="4" hidden="1" customWidth="1" outlineLevel="2"/>
    <col min="63" max="63" width="9.140625" style="4" hidden="1" customWidth="1" outlineLevel="1"/>
    <col min="64" max="67" width="12.5703125" style="4" hidden="1" customWidth="1" outlineLevel="2"/>
    <col min="68" max="68" width="9.140625" style="4" hidden="1" customWidth="1" outlineLevel="1"/>
    <col min="69" max="72" width="12.42578125" style="4" hidden="1" customWidth="1" outlineLevel="2"/>
    <col min="73" max="73" width="9.28515625" style="5" hidden="1" customWidth="1" outlineLevel="1"/>
    <col min="74" max="77" width="12" style="5" hidden="1" customWidth="1" outlineLevel="2"/>
    <col min="78" max="78" width="9.140625" style="5" hidden="1" customWidth="1" outlineLevel="1"/>
    <col min="79" max="82" width="12" style="209" hidden="1" customWidth="1" outlineLevel="2"/>
    <col min="83" max="83" width="9.140625" style="5" hidden="1" customWidth="1" outlineLevel="1"/>
    <col min="84" max="84" width="11" style="5" hidden="1" customWidth="1" outlineLevel="2"/>
    <col min="85" max="85" width="11.7109375" style="5" hidden="1" customWidth="1" outlineLevel="2"/>
    <col min="86" max="86" width="11.42578125" style="5" hidden="1" customWidth="1" outlineLevel="2"/>
    <col min="87" max="87" width="11.28515625" style="5" hidden="1" customWidth="1" outlineLevel="2"/>
    <col min="88" max="88" width="9.140625" style="5" hidden="1" customWidth="1" outlineLevel="1"/>
    <col min="89" max="92" width="10.7109375" style="5" hidden="1" customWidth="1" outlineLevel="2"/>
    <col min="93" max="93" width="9.140625" style="5" hidden="1" customWidth="1" outlineLevel="1"/>
    <col min="94" max="94" width="10.5703125" style="5" hidden="1" customWidth="1" outlineLevel="2"/>
    <col min="95" max="95" width="11" style="5" hidden="1" customWidth="1" outlineLevel="2"/>
    <col min="96" max="96" width="10.85546875" style="5" hidden="1" customWidth="1" outlineLevel="2"/>
    <col min="97" max="97" width="10.7109375" style="5" hidden="1" customWidth="1" outlineLevel="2"/>
    <col min="98" max="98" width="8.140625" style="5" hidden="1" customWidth="1" outlineLevel="1"/>
    <col min="99" max="99" width="11" style="5" hidden="1" customWidth="1" outlineLevel="2"/>
    <col min="100" max="100" width="11.7109375" style="5" hidden="1" customWidth="1" outlineLevel="2"/>
    <col min="101" max="101" width="11.42578125" style="5" hidden="1" customWidth="1" outlineLevel="2"/>
    <col min="102" max="102" width="11.28515625" style="5" hidden="1" customWidth="1" outlineLevel="2"/>
    <col min="103" max="103" width="9.140625" style="5" hidden="1" customWidth="1" outlineLevel="1"/>
    <col min="104" max="104" width="11.28515625" style="5" hidden="1" customWidth="1" outlineLevel="2"/>
    <col min="105" max="105" width="11.85546875" style="5" hidden="1" customWidth="1" outlineLevel="2"/>
    <col min="106" max="106" width="11.7109375" style="5" hidden="1" customWidth="1" outlineLevel="2"/>
    <col min="107" max="107" width="11.5703125" style="5" hidden="1" customWidth="1" outlineLevel="2"/>
    <col min="108" max="108" width="9.140625" style="5" hidden="1" customWidth="1" outlineLevel="1"/>
    <col min="109" max="109" width="11.28515625" style="5" hidden="1" customWidth="1" outlineLevel="2"/>
    <col min="110" max="110" width="11.85546875" style="5" hidden="1" customWidth="1" outlineLevel="2"/>
    <col min="111" max="111" width="11.7109375" style="5" hidden="1" customWidth="1" outlineLevel="2"/>
    <col min="112" max="112" width="11.5703125" style="5" hidden="1" customWidth="1" outlineLevel="2"/>
    <col min="113" max="113" width="9.140625" style="5" hidden="1" customWidth="1" outlineLevel="1"/>
    <col min="114" max="114" width="11.28515625" style="5" hidden="1" customWidth="1" outlineLevel="2"/>
    <col min="115" max="115" width="11.85546875" style="5" hidden="1" customWidth="1" outlineLevel="2"/>
    <col min="116" max="116" width="11.7109375" style="5" hidden="1" customWidth="1" outlineLevel="2"/>
    <col min="117" max="117" width="11.5703125" style="5" hidden="1" customWidth="1" outlineLevel="2"/>
    <col min="118" max="118" width="9.140625" style="5" hidden="1" customWidth="1" outlineLevel="1"/>
    <col min="119" max="122" width="11.5703125" style="5" hidden="1" customWidth="1" outlineLevel="2"/>
    <col min="123" max="123" width="8.140625" style="5" hidden="1" customWidth="1" outlineLevel="1"/>
    <col min="124" max="124" width="11" style="5" hidden="1" customWidth="1" outlineLevel="2"/>
    <col min="125" max="125" width="11.7109375" style="5" hidden="1" customWidth="1" outlineLevel="2"/>
    <col min="126" max="126" width="11.42578125" style="5" hidden="1" customWidth="1" outlineLevel="2"/>
    <col min="127" max="127" width="11.28515625" style="5" hidden="1" customWidth="1" outlineLevel="2"/>
    <col min="128" max="128" width="9.140625" style="5" hidden="1" customWidth="1" outlineLevel="1"/>
    <col min="129" max="129" width="12.7109375" style="4" hidden="1" customWidth="1" outlineLevel="1"/>
    <col min="130" max="130" width="13.5703125" style="4" hidden="1" customWidth="1" outlineLevel="1"/>
    <col min="131" max="131" width="13.42578125" style="4" hidden="1" customWidth="1" outlineLevel="1"/>
    <col min="132" max="132" width="13.28515625" style="4" hidden="1" customWidth="1" outlineLevel="1"/>
    <col min="133" max="133" width="9.140625" style="5" customWidth="1" collapsed="1"/>
    <col min="134" max="134" width="12.7109375" style="5" hidden="1" customWidth="1" outlineLevel="1"/>
    <col min="135" max="135" width="13.5703125" style="5" hidden="1" customWidth="1" outlineLevel="1"/>
    <col min="136" max="136" width="13.42578125" style="5" hidden="1" customWidth="1" outlineLevel="1"/>
    <col min="137" max="137" width="13.28515625" style="5" hidden="1" customWidth="1" outlineLevel="1"/>
    <col min="138" max="138" width="9.140625" style="5" customWidth="1" collapsed="1"/>
    <col min="139" max="139" width="12.7109375" style="5" hidden="1" customWidth="1" outlineLevel="1" collapsed="1"/>
    <col min="140" max="140" width="13.5703125" style="5" hidden="1" customWidth="1" outlineLevel="1"/>
    <col min="141" max="141" width="13.42578125" style="5" hidden="1" customWidth="1" outlineLevel="1"/>
    <col min="142" max="142" width="13.28515625" style="5" hidden="1" customWidth="1" outlineLevel="1"/>
    <col min="143" max="143" width="9" style="5" customWidth="1" collapsed="1"/>
    <col min="144" max="144" width="13" style="5" hidden="1" customWidth="1" outlineLevel="1" collapsed="1"/>
    <col min="145" max="147" width="13" style="5" hidden="1" customWidth="1" outlineLevel="1"/>
    <col min="148" max="148" width="9.42578125" style="5" customWidth="1" collapsed="1"/>
    <col min="149" max="149" width="13" style="5" hidden="1" customWidth="1" outlineLevel="1" collapsed="1"/>
    <col min="150" max="150" width="13.7109375" style="5" hidden="1" customWidth="1" outlineLevel="1"/>
    <col min="151" max="152" width="13.5703125" style="5" hidden="1" customWidth="1" outlineLevel="1"/>
    <col min="153" max="153" width="9.42578125" style="5" customWidth="1" collapsed="1"/>
    <col min="154" max="154" width="12.7109375" style="5" hidden="1" customWidth="1" outlineLevel="1" collapsed="1"/>
    <col min="155" max="155" width="13.5703125" style="5" hidden="1" customWidth="1" outlineLevel="1"/>
    <col min="156" max="156" width="13.42578125" style="5" hidden="1" customWidth="1" outlineLevel="1"/>
    <col min="157" max="157" width="13.28515625" style="5" hidden="1" customWidth="1" outlineLevel="1"/>
    <col min="158" max="158" width="9.28515625" style="5" customWidth="1" collapsed="1"/>
    <col min="159" max="159" width="13.28515625" style="5" hidden="1" customWidth="1" outlineLevel="1" collapsed="1"/>
    <col min="160" max="160" width="14" style="5" hidden="1" customWidth="1" outlineLevel="1"/>
    <col min="161" max="162" width="13.85546875" style="5" hidden="1" customWidth="1" outlineLevel="1"/>
    <col min="163" max="163" width="10.28515625" style="5" customWidth="1" collapsed="1"/>
    <col min="164" max="164" width="12.7109375" style="5" hidden="1" customWidth="1" outlineLevel="1" collapsed="1"/>
    <col min="165" max="165" width="13.5703125" style="5" hidden="1" customWidth="1" outlineLevel="1"/>
    <col min="166" max="166" width="13.42578125" style="5" hidden="1" customWidth="1" outlineLevel="1"/>
    <col min="167" max="167" width="13.28515625" style="5" hidden="1" customWidth="1" outlineLevel="1"/>
    <col min="168" max="168" width="10.28515625" style="5" customWidth="1" collapsed="1"/>
    <col min="169" max="169" width="12.7109375" style="5" hidden="1" customWidth="1" outlineLevel="1" collapsed="1"/>
    <col min="170" max="170" width="13.5703125" style="5" hidden="1" customWidth="1" outlineLevel="1"/>
    <col min="171" max="171" width="13.42578125" style="5" hidden="1" customWidth="1" outlineLevel="1"/>
    <col min="172" max="172" width="13.28515625" style="5" hidden="1" customWidth="1" outlineLevel="1"/>
    <col min="173" max="173" width="9" style="5" customWidth="1" collapsed="1"/>
    <col min="174" max="174" width="12.7109375" style="5" hidden="1" customWidth="1" outlineLevel="1" collapsed="1"/>
    <col min="175" max="175" width="13.42578125" style="5" hidden="1" customWidth="1" outlineLevel="1"/>
    <col min="176" max="176" width="13.28515625" style="5" hidden="1" customWidth="1" outlineLevel="1"/>
    <col min="177" max="177" width="13.140625" style="5" hidden="1" customWidth="1" outlineLevel="1"/>
    <col min="178" max="178" width="10.28515625" style="5" customWidth="1" collapsed="1"/>
    <col min="179" max="179" width="12.7109375" style="5" hidden="1" customWidth="1" outlineLevel="1"/>
    <col min="180" max="180" width="13.42578125" style="5" hidden="1" customWidth="1" outlineLevel="1"/>
    <col min="181" max="181" width="13.28515625" style="5" hidden="1" customWidth="1" outlineLevel="1"/>
    <col min="182" max="182" width="13.140625" style="5" hidden="1" customWidth="1" outlineLevel="1"/>
    <col min="183" max="183" width="10.28515625" style="5" customWidth="1" collapsed="1"/>
    <col min="184" max="184" width="12.7109375" style="5" hidden="1" customWidth="1" outlineLevel="1" collapsed="1"/>
    <col min="185" max="185" width="13.42578125" style="5" hidden="1" customWidth="1" outlineLevel="1"/>
    <col min="186" max="186" width="13.28515625" style="5" hidden="1" customWidth="1" outlineLevel="1"/>
    <col min="187" max="187" width="13.140625" style="5" hidden="1" customWidth="1" outlineLevel="1"/>
    <col min="188" max="188" width="9" style="5" customWidth="1" collapsed="1"/>
    <col min="189" max="189" width="12.7109375" style="4" hidden="1" customWidth="1" outlineLevel="1" collapsed="1"/>
    <col min="190" max="190" width="13.42578125" style="4" hidden="1" customWidth="1" outlineLevel="1"/>
    <col min="191" max="191" width="13.28515625" style="4" hidden="1" customWidth="1" outlineLevel="1"/>
    <col min="192" max="192" width="13.140625" style="4" hidden="1" customWidth="1" outlineLevel="1"/>
    <col min="193" max="193" width="11.5703125" style="5" customWidth="1" collapsed="1"/>
    <col min="194" max="194" width="12.7109375" style="5" hidden="1" customWidth="1" outlineLevel="1" collapsed="1"/>
    <col min="195" max="195" width="13.42578125" style="5" hidden="1" customWidth="1" outlineLevel="1"/>
    <col min="196" max="196" width="13.28515625" style="5" hidden="1" customWidth="1" outlineLevel="1"/>
    <col min="197" max="197" width="13.140625" style="5" hidden="1" customWidth="1" outlineLevel="1"/>
    <col min="198" max="198" width="11.5703125" style="5" customWidth="1" collapsed="1"/>
    <col min="199" max="199" width="12.5703125" style="5" hidden="1" customWidth="1" outlineLevel="1" collapsed="1"/>
    <col min="200" max="201" width="13.140625" style="5" hidden="1" customWidth="1" outlineLevel="1"/>
    <col min="202" max="202" width="13" style="5" hidden="1" customWidth="1" outlineLevel="1"/>
    <col min="203" max="203" width="7.7109375" style="5" customWidth="1" collapsed="1"/>
    <col min="204" max="204" width="11.7109375" style="5" hidden="1" customWidth="1" outlineLevel="1" collapsed="1"/>
    <col min="205" max="205" width="12.42578125" style="5" hidden="1" customWidth="1" outlineLevel="1"/>
    <col min="206" max="206" width="12.28515625" style="5" hidden="1" customWidth="1" outlineLevel="1"/>
    <col min="207" max="207" width="12" style="5" hidden="1" customWidth="1" outlineLevel="1"/>
    <col min="208" max="208" width="9" style="5" customWidth="1" collapsed="1"/>
    <col min="209" max="209" width="11.7109375" style="5" hidden="1" customWidth="1" outlineLevel="1" collapsed="1"/>
    <col min="210" max="210" width="12.42578125" style="5" hidden="1" customWidth="1" outlineLevel="1"/>
    <col min="211" max="211" width="12.28515625" style="5" hidden="1" customWidth="1" outlineLevel="1"/>
    <col min="212" max="212" width="12" style="5" hidden="1" customWidth="1" outlineLevel="1"/>
    <col min="213" max="213" width="9" style="5" customWidth="1" collapsed="1"/>
    <col min="214" max="214" width="11.7109375" style="5" hidden="1" customWidth="1" outlineLevel="1" collapsed="1"/>
    <col min="215" max="215" width="12.42578125" style="5" hidden="1" customWidth="1" outlineLevel="1"/>
    <col min="216" max="216" width="12.28515625" style="5" hidden="1" customWidth="1" outlineLevel="1"/>
    <col min="217" max="217" width="12" style="5" hidden="1" customWidth="1" outlineLevel="1"/>
    <col min="218" max="218" width="9.140625" style="5" customWidth="1" collapsed="1"/>
    <col min="219" max="219" width="12.5703125" style="5" hidden="1" customWidth="1" outlineLevel="1" collapsed="1"/>
    <col min="220" max="221" width="13.140625" style="5" hidden="1" customWidth="1" outlineLevel="1"/>
    <col min="222" max="222" width="13" style="5" hidden="1" customWidth="1" outlineLevel="1"/>
    <col min="223" max="223" width="11.5703125" style="5" customWidth="1" collapsed="1"/>
    <col min="224" max="224" width="11.7109375" style="5" hidden="1" customWidth="1" outlineLevel="1" collapsed="1"/>
    <col min="225" max="225" width="12.42578125" style="5" hidden="1" customWidth="1" outlineLevel="1"/>
    <col min="226" max="226" width="12.28515625" style="5" hidden="1" customWidth="1" outlineLevel="1"/>
    <col min="227" max="227" width="12" style="5" hidden="1" customWidth="1" outlineLevel="1"/>
    <col min="228" max="228" width="9.140625" style="5" customWidth="1" collapsed="1"/>
    <col min="229" max="229" width="13.42578125" style="5" hidden="1" customWidth="1" outlineLevel="1" collapsed="1"/>
    <col min="230" max="231" width="14.42578125" style="5" hidden="1" customWidth="1" outlineLevel="1"/>
    <col min="232" max="232" width="13.85546875" style="5" hidden="1" customWidth="1" outlineLevel="1"/>
    <col min="233" max="233" width="12.5703125" style="5" customWidth="1" collapsed="1"/>
    <col min="234" max="234" width="12.5703125" style="5" hidden="1" customWidth="1" outlineLevel="1" collapsed="1"/>
    <col min="235" max="236" width="13.140625" style="5" hidden="1" customWidth="1" outlineLevel="1"/>
    <col min="237" max="237" width="13" style="5" hidden="1" customWidth="1" outlineLevel="1"/>
    <col min="238" max="238" width="11.5703125" style="5" customWidth="1" collapsed="1"/>
    <col min="239" max="239" width="12.5703125" style="5" hidden="1" customWidth="1" outlineLevel="1" collapsed="1"/>
    <col min="240" max="241" width="13.140625" style="5" hidden="1" customWidth="1" outlineLevel="1"/>
    <col min="242" max="242" width="13" style="5" hidden="1" customWidth="1" outlineLevel="1"/>
    <col min="243" max="243" width="12" style="5" customWidth="1" collapsed="1"/>
    <col min="244" max="244" width="12.5703125" style="5" hidden="1" customWidth="1" outlineLevel="1" collapsed="1"/>
    <col min="245" max="246" width="13.140625" style="5" hidden="1" customWidth="1" outlineLevel="1"/>
    <col min="247" max="247" width="13" style="5" hidden="1" customWidth="1" outlineLevel="1"/>
    <col min="248" max="248" width="12" style="5" customWidth="1" collapsed="1"/>
    <col min="249" max="249" width="11.7109375" style="4" hidden="1" customWidth="1" outlineLevel="1" collapsed="1"/>
    <col min="250" max="250" width="12.42578125" style="4" hidden="1" customWidth="1" outlineLevel="1"/>
    <col min="251" max="251" width="12.28515625" style="4" hidden="1" customWidth="1" outlineLevel="1"/>
    <col min="252" max="252" width="12" style="4" hidden="1" customWidth="1" outlineLevel="1"/>
    <col min="253" max="253" width="9.140625" style="4" customWidth="1" collapsed="1"/>
    <col min="254" max="254" width="13.7109375" style="4" hidden="1" customWidth="1" outlineLevel="1" collapsed="1"/>
    <col min="255" max="256" width="14.42578125" style="4" hidden="1" customWidth="1" outlineLevel="1"/>
    <col min="257" max="257" width="13.85546875" style="4" hidden="1" customWidth="1" outlineLevel="1"/>
    <col min="258" max="258" width="12.140625" style="4" customWidth="1" collapsed="1"/>
    <col min="259" max="259" width="13.42578125" style="4" hidden="1" customWidth="1" outlineLevel="1" collapsed="1"/>
    <col min="260" max="261" width="14.42578125" style="4" hidden="1" customWidth="1" outlineLevel="1"/>
    <col min="262" max="262" width="13.85546875" style="4" hidden="1" customWidth="1" outlineLevel="1"/>
    <col min="263" max="263" width="12.5703125" style="4" customWidth="1" collapsed="1"/>
    <col min="264" max="264" width="13.42578125" style="4" hidden="1" customWidth="1" outlineLevel="1" collapsed="1"/>
    <col min="265" max="266" width="14.42578125" style="4" hidden="1" customWidth="1" outlineLevel="1"/>
    <col min="267" max="267" width="13.85546875" style="4" hidden="1" customWidth="1" outlineLevel="1"/>
    <col min="268" max="268" width="12.5703125" style="4" customWidth="1" collapsed="1"/>
    <col min="269" max="269" width="12.5703125" style="4" hidden="1" customWidth="1" outlineLevel="1"/>
    <col min="270" max="271" width="13.140625" style="4" hidden="1" customWidth="1" outlineLevel="1"/>
    <col min="272" max="272" width="13" style="4" hidden="1" customWidth="1" outlineLevel="1"/>
    <col min="273" max="273" width="9" style="4" customWidth="1" collapsed="1"/>
    <col min="274" max="274" width="12.5703125" style="4" hidden="1" customWidth="1" outlineLevel="1"/>
    <col min="275" max="276" width="13.140625" style="4" hidden="1" customWidth="1" outlineLevel="1"/>
    <col min="277" max="277" width="13" style="4" hidden="1" customWidth="1" outlineLevel="1"/>
    <col min="278" max="278" width="9.140625" style="4" customWidth="1" collapsed="1"/>
    <col min="279" max="279" width="12.5703125" style="4" hidden="1" customWidth="1" outlineLevel="1"/>
    <col min="280" max="281" width="13.140625" style="4" hidden="1" customWidth="1" outlineLevel="1"/>
    <col min="282" max="282" width="13" style="4" hidden="1" customWidth="1" outlineLevel="1"/>
    <col min="283" max="283" width="11.5703125" style="4" customWidth="1" collapsed="1"/>
    <col min="284" max="284" width="11.7109375" style="4" hidden="1" customWidth="1" outlineLevel="1"/>
    <col min="285" max="285" width="12.42578125" style="4" hidden="1" customWidth="1" outlineLevel="1"/>
    <col min="286" max="286" width="12.28515625" style="4" hidden="1" customWidth="1" outlineLevel="1"/>
    <col min="287" max="287" width="12" style="4" hidden="1" customWidth="1" outlineLevel="1"/>
    <col min="288" max="288" width="9.140625" style="4" customWidth="1" collapsed="1"/>
    <col min="289" max="289" width="11.7109375" style="4" hidden="1" customWidth="1" outlineLevel="1"/>
    <col min="290" max="290" width="12.42578125" style="4" hidden="1" customWidth="1" outlineLevel="1"/>
    <col min="291" max="291" width="12.28515625" style="4" hidden="1" customWidth="1" outlineLevel="1"/>
    <col min="292" max="292" width="12" style="4" hidden="1" customWidth="1" outlineLevel="1"/>
    <col min="293" max="293" width="9.140625" style="4" customWidth="1" collapsed="1"/>
    <col min="294" max="294" width="11.7109375" style="4" hidden="1" customWidth="1" outlineLevel="1"/>
    <col min="295" max="295" width="12.42578125" style="4" hidden="1" customWidth="1" outlineLevel="1"/>
    <col min="296" max="296" width="12.28515625" style="4" hidden="1" customWidth="1" outlineLevel="1"/>
    <col min="297" max="297" width="12" style="4" hidden="1" customWidth="1" outlineLevel="1"/>
    <col min="298" max="298" width="9.140625" style="4" customWidth="1" collapsed="1"/>
    <col min="299" max="299" width="11.7109375" style="472" hidden="1" customWidth="1" outlineLevel="1"/>
    <col min="300" max="300" width="12.42578125" style="472" hidden="1" customWidth="1" outlineLevel="1"/>
    <col min="301" max="301" width="12.28515625" style="4" hidden="1" customWidth="1" outlineLevel="1"/>
    <col min="302" max="302" width="12" style="4" hidden="1" customWidth="1" outlineLevel="1"/>
    <col min="303" max="303" width="9.140625" style="4" collapsed="1"/>
    <col min="304" max="304" width="11.7109375" style="4" hidden="1" customWidth="1" outlineLevel="1"/>
    <col min="305" max="305" width="12.42578125" style="4" hidden="1" customWidth="1" outlineLevel="1"/>
    <col min="306" max="306" width="12.28515625" style="4" hidden="1" customWidth="1" outlineLevel="1"/>
    <col min="307" max="307" width="12" style="4" hidden="1" customWidth="1" outlineLevel="1"/>
    <col min="308" max="308" width="9.140625" style="4" collapsed="1"/>
    <col min="309" max="16384" width="9.140625" style="4"/>
  </cols>
  <sheetData>
    <row r="1" spans="1:308" ht="18.75" x14ac:dyDescent="0.25">
      <c r="A1" s="1" t="s">
        <v>0</v>
      </c>
    </row>
    <row r="2" spans="1:308" ht="18.75" x14ac:dyDescent="0.25">
      <c r="A2" s="1"/>
      <c r="ER2" s="6"/>
    </row>
    <row r="3" spans="1:308" s="8" customFormat="1" ht="21" x14ac:dyDescent="0.3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BU3" s="210"/>
      <c r="BV3" s="210"/>
      <c r="BW3" s="210"/>
      <c r="BX3" s="210"/>
      <c r="BY3" s="210"/>
      <c r="BZ3" s="210"/>
      <c r="CA3" s="211"/>
      <c r="CB3" s="211"/>
      <c r="CC3" s="211"/>
      <c r="CD3" s="211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K3" s="210"/>
      <c r="GL3" s="210"/>
      <c r="GM3" s="210"/>
      <c r="GN3" s="210"/>
      <c r="GO3" s="210"/>
      <c r="GP3" s="210"/>
      <c r="GQ3" s="210"/>
      <c r="GR3" s="210"/>
      <c r="GS3" s="210"/>
      <c r="GT3" s="210"/>
      <c r="GU3" s="210"/>
      <c r="GV3" s="210"/>
      <c r="GW3" s="210"/>
      <c r="GX3" s="210"/>
      <c r="GY3" s="210"/>
      <c r="GZ3" s="210"/>
      <c r="HA3" s="210"/>
      <c r="HB3" s="210"/>
      <c r="HC3" s="210"/>
      <c r="HD3" s="210"/>
      <c r="HE3" s="210"/>
      <c r="HF3" s="210"/>
      <c r="HG3" s="210"/>
      <c r="HH3" s="210"/>
      <c r="HI3" s="210"/>
      <c r="HJ3" s="210"/>
      <c r="HK3" s="210"/>
      <c r="HL3" s="210"/>
      <c r="HM3" s="210"/>
      <c r="HN3" s="210"/>
      <c r="HO3" s="210"/>
      <c r="HP3" s="210"/>
      <c r="HQ3" s="210"/>
      <c r="HR3" s="210"/>
      <c r="HS3" s="210"/>
      <c r="HT3" s="210"/>
      <c r="HU3" s="210"/>
      <c r="HV3" s="210"/>
      <c r="HW3" s="210"/>
      <c r="HX3" s="210"/>
      <c r="HY3" s="210"/>
      <c r="HZ3" s="210"/>
      <c r="IA3" s="210"/>
      <c r="IB3" s="210"/>
      <c r="IC3" s="210"/>
      <c r="ID3" s="210"/>
      <c r="IE3" s="210"/>
      <c r="IF3" s="210"/>
      <c r="IG3" s="210"/>
      <c r="IH3" s="210"/>
      <c r="II3" s="210"/>
      <c r="IJ3" s="210"/>
      <c r="IK3" s="210"/>
      <c r="IL3" s="210"/>
      <c r="IM3" s="210"/>
      <c r="IN3" s="210"/>
      <c r="KM3" s="473"/>
      <c r="KN3" s="473"/>
    </row>
    <row r="4" spans="1:308" s="9" customFormat="1" ht="15.75" x14ac:dyDescent="0.25">
      <c r="A4" s="197" t="s">
        <v>2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  <c r="DP4" s="212"/>
      <c r="DQ4" s="212"/>
      <c r="DR4" s="212"/>
      <c r="DS4" s="212"/>
      <c r="DT4" s="212"/>
      <c r="DU4" s="212"/>
      <c r="DV4" s="212"/>
      <c r="DW4" s="212"/>
      <c r="DX4" s="212"/>
      <c r="DY4" s="197"/>
      <c r="DZ4" s="197"/>
      <c r="EA4" s="197"/>
      <c r="EB4" s="197"/>
      <c r="EC4" s="212"/>
      <c r="ED4" s="212"/>
      <c r="EE4" s="212"/>
      <c r="EF4" s="212"/>
      <c r="EG4" s="212"/>
      <c r="EH4" s="212"/>
      <c r="EI4" s="212"/>
      <c r="EJ4" s="212"/>
      <c r="EK4" s="212"/>
      <c r="EL4" s="212"/>
      <c r="EM4" s="212"/>
      <c r="EN4" s="212"/>
      <c r="EO4" s="212"/>
      <c r="EP4" s="212"/>
      <c r="EQ4" s="212"/>
      <c r="ER4" s="212"/>
      <c r="ES4" s="212"/>
      <c r="ET4" s="212"/>
      <c r="EU4" s="212"/>
      <c r="EV4" s="212"/>
      <c r="EW4" s="212"/>
      <c r="EX4" s="212"/>
      <c r="EY4" s="212"/>
      <c r="EZ4" s="212"/>
      <c r="FA4" s="212"/>
      <c r="FB4" s="212"/>
      <c r="FC4" s="212"/>
      <c r="FD4" s="212"/>
      <c r="FE4" s="212"/>
      <c r="FF4" s="212"/>
      <c r="FG4" s="212"/>
      <c r="FH4" s="212"/>
      <c r="FI4" s="212"/>
      <c r="FJ4" s="212"/>
      <c r="FK4" s="212"/>
      <c r="FL4" s="212"/>
      <c r="FM4" s="212"/>
      <c r="FN4" s="212"/>
      <c r="FO4" s="212"/>
      <c r="FP4" s="212"/>
      <c r="FQ4" s="212"/>
      <c r="FR4" s="212"/>
      <c r="FS4" s="212"/>
      <c r="FT4" s="212"/>
      <c r="FU4" s="212"/>
      <c r="FV4" s="212"/>
      <c r="FW4" s="212"/>
      <c r="FX4" s="212"/>
      <c r="FY4" s="212"/>
      <c r="FZ4" s="212"/>
      <c r="GA4" s="212"/>
      <c r="GB4" s="212"/>
      <c r="GC4" s="212"/>
      <c r="GD4" s="212"/>
      <c r="GE4" s="212"/>
      <c r="GF4" s="212"/>
      <c r="GG4" s="197"/>
      <c r="GH4" s="197"/>
      <c r="GI4" s="197"/>
      <c r="GJ4" s="197"/>
      <c r="GK4" s="212"/>
      <c r="GL4" s="212"/>
      <c r="GM4" s="212"/>
      <c r="GN4" s="212"/>
      <c r="GO4" s="212"/>
      <c r="GP4" s="212"/>
      <c r="GQ4" s="212"/>
      <c r="GR4" s="212"/>
      <c r="GS4" s="212"/>
      <c r="GT4" s="212"/>
      <c r="GU4" s="212"/>
      <c r="GV4" s="212"/>
      <c r="GW4" s="212"/>
      <c r="GX4" s="212"/>
      <c r="GY4" s="212"/>
      <c r="GZ4" s="212"/>
      <c r="HA4" s="212"/>
      <c r="HB4" s="212"/>
      <c r="HC4" s="212"/>
      <c r="HD4" s="212"/>
      <c r="HE4" s="212"/>
      <c r="HF4" s="212"/>
      <c r="HG4" s="212"/>
      <c r="HH4" s="212"/>
      <c r="HI4" s="212"/>
      <c r="HJ4" s="212"/>
      <c r="HK4" s="212"/>
      <c r="HL4" s="212"/>
      <c r="HM4" s="212"/>
      <c r="HN4" s="212"/>
      <c r="HO4" s="212"/>
      <c r="HP4" s="212"/>
      <c r="HQ4" s="212"/>
      <c r="HR4" s="212"/>
      <c r="HS4" s="212"/>
      <c r="HT4" s="212"/>
      <c r="HU4" s="212"/>
      <c r="HV4" s="212"/>
      <c r="HW4" s="212"/>
      <c r="HX4" s="212"/>
      <c r="HY4" s="212"/>
      <c r="HZ4" s="212"/>
      <c r="IA4" s="212"/>
      <c r="IB4" s="212"/>
      <c r="IC4" s="212"/>
      <c r="ID4" s="212"/>
      <c r="IE4" s="212"/>
      <c r="IF4" s="212"/>
      <c r="IG4" s="212"/>
      <c r="IH4" s="212"/>
      <c r="II4" s="212"/>
      <c r="IJ4" s="212"/>
      <c r="IK4" s="212"/>
      <c r="IL4" s="212"/>
      <c r="IM4" s="212"/>
      <c r="IN4" s="212"/>
      <c r="IO4" s="197"/>
      <c r="IP4" s="197"/>
      <c r="IQ4" s="197"/>
      <c r="IR4" s="197"/>
      <c r="IS4" s="197"/>
      <c r="IT4" s="197"/>
      <c r="IU4" s="197"/>
      <c r="IV4" s="197"/>
      <c r="IW4" s="197"/>
      <c r="IX4" s="197"/>
      <c r="IY4" s="197"/>
      <c r="IZ4" s="197"/>
      <c r="JA4" s="197"/>
      <c r="JB4" s="197"/>
      <c r="JC4" s="197"/>
      <c r="JD4" s="197"/>
      <c r="JE4" s="197"/>
      <c r="JF4" s="197"/>
      <c r="JG4" s="197"/>
      <c r="JH4" s="197"/>
      <c r="JI4" s="197"/>
      <c r="JJ4" s="197"/>
      <c r="JK4" s="197"/>
      <c r="JL4" s="197"/>
      <c r="JM4" s="197"/>
      <c r="JN4" s="197"/>
      <c r="JO4" s="197"/>
      <c r="JP4" s="197"/>
      <c r="JQ4" s="197"/>
      <c r="JR4" s="197"/>
      <c r="JS4" s="197"/>
      <c r="JT4" s="197"/>
      <c r="JU4" s="197"/>
      <c r="JV4" s="197"/>
      <c r="JW4" s="197"/>
      <c r="KM4" s="474"/>
      <c r="KN4" s="474"/>
    </row>
    <row r="5" spans="1:308" ht="15.75" thickBot="1" x14ac:dyDescent="0.3"/>
    <row r="6" spans="1:308" ht="27" customHeight="1" thickBot="1" x14ac:dyDescent="0.3">
      <c r="A6" s="196" t="s">
        <v>3</v>
      </c>
      <c r="B6" s="198"/>
      <c r="C6" s="194" t="s">
        <v>4</v>
      </c>
      <c r="D6" s="484">
        <v>2020</v>
      </c>
      <c r="E6" s="485"/>
      <c r="F6" s="485"/>
      <c r="G6" s="485"/>
      <c r="H6" s="486"/>
      <c r="I6" s="487">
        <v>2021</v>
      </c>
      <c r="J6" s="488"/>
      <c r="K6" s="488"/>
      <c r="L6" s="488"/>
      <c r="M6" s="488"/>
      <c r="N6" s="488"/>
      <c r="O6" s="488"/>
      <c r="P6" s="488"/>
      <c r="Q6" s="488"/>
      <c r="R6" s="488"/>
      <c r="S6" s="488"/>
      <c r="T6" s="488"/>
      <c r="U6" s="488"/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8"/>
      <c r="AI6" s="488"/>
      <c r="AJ6" s="488"/>
      <c r="AK6" s="488"/>
      <c r="AL6" s="488"/>
      <c r="AM6" s="488"/>
      <c r="AN6" s="488"/>
      <c r="AO6" s="488"/>
      <c r="AP6" s="488"/>
      <c r="AQ6" s="488"/>
      <c r="AR6" s="488"/>
      <c r="AS6" s="488"/>
      <c r="AT6" s="488"/>
      <c r="AU6" s="488"/>
      <c r="AV6" s="488"/>
      <c r="AW6" s="488"/>
      <c r="AX6" s="488"/>
      <c r="AY6" s="488"/>
      <c r="AZ6" s="488"/>
      <c r="BA6" s="488"/>
      <c r="BB6" s="488"/>
      <c r="BC6" s="488"/>
      <c r="BD6" s="488"/>
      <c r="BE6" s="488"/>
      <c r="BF6" s="488"/>
      <c r="BG6" s="488"/>
      <c r="BH6" s="488"/>
      <c r="BI6" s="488"/>
      <c r="BJ6" s="488"/>
      <c r="BK6" s="488"/>
      <c r="BL6" s="488"/>
      <c r="BM6" s="488"/>
      <c r="BN6" s="488"/>
      <c r="BO6" s="488"/>
      <c r="BP6" s="489"/>
      <c r="BQ6" s="487">
        <v>2022</v>
      </c>
      <c r="BR6" s="488"/>
      <c r="BS6" s="488"/>
      <c r="BT6" s="488"/>
      <c r="BU6" s="488"/>
      <c r="BV6" s="488"/>
      <c r="BW6" s="488"/>
      <c r="BX6" s="488"/>
      <c r="BY6" s="488"/>
      <c r="BZ6" s="488"/>
      <c r="CA6" s="488"/>
      <c r="CB6" s="488"/>
      <c r="CC6" s="488"/>
      <c r="CD6" s="488"/>
      <c r="CE6" s="488"/>
      <c r="CF6" s="488"/>
      <c r="CG6" s="488"/>
      <c r="CH6" s="488"/>
      <c r="CI6" s="488"/>
      <c r="CJ6" s="488"/>
      <c r="CK6" s="488"/>
      <c r="CL6" s="488"/>
      <c r="CM6" s="488"/>
      <c r="CN6" s="488"/>
      <c r="CO6" s="488"/>
      <c r="CP6" s="488"/>
      <c r="CQ6" s="488"/>
      <c r="CR6" s="488"/>
      <c r="CS6" s="488"/>
      <c r="CT6" s="488"/>
      <c r="CU6" s="488"/>
      <c r="CV6" s="488"/>
      <c r="CW6" s="488"/>
      <c r="CX6" s="488"/>
      <c r="CY6" s="488"/>
      <c r="CZ6" s="488"/>
      <c r="DA6" s="488"/>
      <c r="DB6" s="488"/>
      <c r="DC6" s="488"/>
      <c r="DD6" s="488"/>
      <c r="DE6" s="488"/>
      <c r="DF6" s="488"/>
      <c r="DG6" s="488"/>
      <c r="DH6" s="488"/>
      <c r="DI6" s="488"/>
      <c r="DJ6" s="488"/>
      <c r="DK6" s="488"/>
      <c r="DL6" s="488"/>
      <c r="DM6" s="488"/>
      <c r="DN6" s="488"/>
      <c r="DO6" s="488"/>
      <c r="DP6" s="488"/>
      <c r="DQ6" s="488"/>
      <c r="DR6" s="488"/>
      <c r="DS6" s="488"/>
      <c r="DT6" s="488"/>
      <c r="DU6" s="488"/>
      <c r="DV6" s="488"/>
      <c r="DW6" s="488"/>
      <c r="DX6" s="488"/>
      <c r="DY6" s="487">
        <v>2023</v>
      </c>
      <c r="DZ6" s="488"/>
      <c r="EA6" s="488"/>
      <c r="EB6" s="488"/>
      <c r="EC6" s="488"/>
      <c r="ED6" s="488"/>
      <c r="EE6" s="488"/>
      <c r="EF6" s="488"/>
      <c r="EG6" s="488"/>
      <c r="EH6" s="488"/>
      <c r="EI6" s="488"/>
      <c r="EJ6" s="488"/>
      <c r="EK6" s="488"/>
      <c r="EL6" s="488"/>
      <c r="EM6" s="488"/>
      <c r="EN6" s="488"/>
      <c r="EO6" s="488"/>
      <c r="EP6" s="488"/>
      <c r="EQ6" s="488"/>
      <c r="ER6" s="488"/>
      <c r="ES6" s="488"/>
      <c r="ET6" s="488"/>
      <c r="EU6" s="488"/>
      <c r="EV6" s="488"/>
      <c r="EW6" s="488"/>
      <c r="EX6" s="488"/>
      <c r="EY6" s="488"/>
      <c r="EZ6" s="488"/>
      <c r="FA6" s="488"/>
      <c r="FB6" s="488"/>
      <c r="FC6" s="488"/>
      <c r="FD6" s="488"/>
      <c r="FE6" s="488"/>
      <c r="FF6" s="488"/>
      <c r="FG6" s="488"/>
      <c r="FH6" s="488"/>
      <c r="FI6" s="488"/>
      <c r="FJ6" s="488"/>
      <c r="FK6" s="488"/>
      <c r="FL6" s="488"/>
      <c r="FM6" s="488"/>
      <c r="FN6" s="488"/>
      <c r="FO6" s="488"/>
      <c r="FP6" s="488"/>
      <c r="FQ6" s="488"/>
      <c r="FR6" s="488"/>
      <c r="FS6" s="488"/>
      <c r="FT6" s="488"/>
      <c r="FU6" s="488"/>
      <c r="FV6" s="488"/>
      <c r="FW6" s="488"/>
      <c r="FX6" s="488"/>
      <c r="FY6" s="488"/>
      <c r="FZ6" s="488"/>
      <c r="GA6" s="488"/>
      <c r="GB6" s="488"/>
      <c r="GC6" s="488"/>
      <c r="GD6" s="488"/>
      <c r="GE6" s="488"/>
      <c r="GF6" s="489"/>
      <c r="GG6" s="487">
        <v>2024</v>
      </c>
      <c r="GH6" s="488"/>
      <c r="GI6" s="488"/>
      <c r="GJ6" s="488"/>
      <c r="GK6" s="488"/>
      <c r="GL6" s="488"/>
      <c r="GM6" s="488"/>
      <c r="GN6" s="488"/>
      <c r="GO6" s="488"/>
      <c r="GP6" s="488"/>
      <c r="GQ6" s="488"/>
      <c r="GR6" s="488"/>
      <c r="GS6" s="488"/>
      <c r="GT6" s="488"/>
      <c r="GU6" s="488"/>
      <c r="GV6" s="488"/>
      <c r="GW6" s="488"/>
      <c r="GX6" s="488"/>
      <c r="GY6" s="488"/>
      <c r="GZ6" s="488"/>
      <c r="HA6" s="488"/>
      <c r="HB6" s="488"/>
      <c r="HC6" s="488"/>
      <c r="HD6" s="488"/>
      <c r="HE6" s="488"/>
      <c r="HF6" s="488"/>
      <c r="HG6" s="488"/>
      <c r="HH6" s="488"/>
      <c r="HI6" s="488"/>
      <c r="HJ6" s="488"/>
      <c r="HK6" s="488"/>
      <c r="HL6" s="488"/>
      <c r="HM6" s="488"/>
      <c r="HN6" s="488"/>
      <c r="HO6" s="488"/>
      <c r="HP6" s="488"/>
      <c r="HQ6" s="488"/>
      <c r="HR6" s="488"/>
      <c r="HS6" s="488"/>
      <c r="HT6" s="488"/>
      <c r="HU6" s="488"/>
      <c r="HV6" s="488"/>
      <c r="HW6" s="488"/>
      <c r="HX6" s="488"/>
      <c r="HY6" s="488"/>
      <c r="HZ6" s="488"/>
      <c r="IA6" s="488"/>
      <c r="IB6" s="488"/>
      <c r="IC6" s="488"/>
      <c r="ID6" s="488"/>
      <c r="IE6" s="488"/>
      <c r="IF6" s="488"/>
      <c r="IG6" s="488"/>
      <c r="IH6" s="488"/>
      <c r="II6" s="488"/>
      <c r="IJ6" s="488"/>
      <c r="IK6" s="488"/>
      <c r="IL6" s="488"/>
      <c r="IM6" s="488"/>
      <c r="IN6" s="488"/>
      <c r="IO6" s="497">
        <v>2025</v>
      </c>
      <c r="IP6" s="497"/>
      <c r="IQ6" s="497"/>
      <c r="IR6" s="497"/>
      <c r="IS6" s="497"/>
      <c r="IT6" s="497"/>
      <c r="IU6" s="497"/>
      <c r="IV6" s="497"/>
      <c r="IW6" s="497"/>
      <c r="IX6" s="497"/>
      <c r="IY6" s="497"/>
      <c r="IZ6" s="497"/>
      <c r="JA6" s="497"/>
      <c r="JB6" s="497"/>
      <c r="JC6" s="497"/>
      <c r="JD6" s="497"/>
      <c r="JE6" s="497"/>
      <c r="JF6" s="497"/>
      <c r="JG6" s="497"/>
      <c r="JH6" s="497"/>
      <c r="JI6" s="497"/>
      <c r="JJ6" s="497"/>
      <c r="JK6" s="497"/>
      <c r="JL6" s="497"/>
      <c r="JM6" s="497"/>
      <c r="JN6" s="497"/>
      <c r="JO6" s="497"/>
      <c r="JP6" s="497"/>
      <c r="JQ6" s="497"/>
      <c r="JR6" s="497"/>
      <c r="JS6" s="497"/>
      <c r="JT6" s="497"/>
      <c r="JU6" s="497"/>
      <c r="JV6" s="497"/>
      <c r="JW6" s="497"/>
      <c r="JX6" s="497"/>
      <c r="JY6" s="497"/>
      <c r="JZ6" s="497"/>
      <c r="KA6" s="497"/>
      <c r="KB6" s="497"/>
    </row>
    <row r="7" spans="1:308" s="3" customFormat="1" ht="21.75" customHeight="1" thickBot="1" x14ac:dyDescent="0.3">
      <c r="A7" s="199"/>
      <c r="B7" s="200"/>
      <c r="C7" s="203"/>
      <c r="D7" s="205" t="s">
        <v>5</v>
      </c>
      <c r="E7" s="206"/>
      <c r="F7" s="206"/>
      <c r="G7" s="207"/>
      <c r="H7" s="492" t="s">
        <v>97</v>
      </c>
      <c r="I7" s="208" t="s">
        <v>7</v>
      </c>
      <c r="J7" s="204"/>
      <c r="K7" s="204"/>
      <c r="L7" s="204"/>
      <c r="M7" s="490" t="s">
        <v>94</v>
      </c>
      <c r="N7" s="191" t="s">
        <v>8</v>
      </c>
      <c r="O7" s="192"/>
      <c r="P7" s="192"/>
      <c r="Q7" s="193"/>
      <c r="R7" s="490" t="s">
        <v>93</v>
      </c>
      <c r="S7" s="191" t="s">
        <v>9</v>
      </c>
      <c r="T7" s="192"/>
      <c r="U7" s="192"/>
      <c r="V7" s="193"/>
      <c r="W7" s="490" t="s">
        <v>92</v>
      </c>
      <c r="X7" s="191" t="s">
        <v>10</v>
      </c>
      <c r="Y7" s="192"/>
      <c r="Z7" s="192"/>
      <c r="AA7" s="193"/>
      <c r="AB7" s="490" t="s">
        <v>91</v>
      </c>
      <c r="AC7" s="191" t="s">
        <v>11</v>
      </c>
      <c r="AD7" s="192"/>
      <c r="AE7" s="192"/>
      <c r="AF7" s="193"/>
      <c r="AG7" s="490" t="s">
        <v>90</v>
      </c>
      <c r="AH7" s="191" t="s">
        <v>12</v>
      </c>
      <c r="AI7" s="192"/>
      <c r="AJ7" s="192"/>
      <c r="AK7" s="193"/>
      <c r="AL7" s="490" t="s">
        <v>89</v>
      </c>
      <c r="AM7" s="191" t="s">
        <v>13</v>
      </c>
      <c r="AN7" s="192"/>
      <c r="AO7" s="192"/>
      <c r="AP7" s="193"/>
      <c r="AQ7" s="490" t="s">
        <v>88</v>
      </c>
      <c r="AR7" s="494" t="s">
        <v>14</v>
      </c>
      <c r="AS7" s="495"/>
      <c r="AT7" s="495"/>
      <c r="AU7" s="496"/>
      <c r="AV7" s="490" t="s">
        <v>86</v>
      </c>
      <c r="AW7" s="494" t="s">
        <v>78</v>
      </c>
      <c r="AX7" s="495"/>
      <c r="AY7" s="495"/>
      <c r="AZ7" s="496"/>
      <c r="BA7" s="490" t="s">
        <v>87</v>
      </c>
      <c r="BB7" s="213" t="s">
        <v>15</v>
      </c>
      <c r="BC7" s="214"/>
      <c r="BD7" s="214"/>
      <c r="BE7" s="215"/>
      <c r="BF7" s="490" t="s">
        <v>95</v>
      </c>
      <c r="BG7" s="213" t="s">
        <v>16</v>
      </c>
      <c r="BH7" s="214"/>
      <c r="BI7" s="214"/>
      <c r="BJ7" s="215"/>
      <c r="BK7" s="490" t="s">
        <v>96</v>
      </c>
      <c r="BL7" s="213" t="s">
        <v>5</v>
      </c>
      <c r="BM7" s="214"/>
      <c r="BN7" s="214"/>
      <c r="BO7" s="215"/>
      <c r="BP7" s="492" t="s">
        <v>97</v>
      </c>
      <c r="BQ7" s="191" t="s">
        <v>7</v>
      </c>
      <c r="BR7" s="192"/>
      <c r="BS7" s="192"/>
      <c r="BT7" s="193"/>
      <c r="BU7" s="490" t="s">
        <v>94</v>
      </c>
      <c r="BV7" s="191" t="s">
        <v>8</v>
      </c>
      <c r="BW7" s="192"/>
      <c r="BX7" s="192"/>
      <c r="BY7" s="193"/>
      <c r="BZ7" s="490" t="s">
        <v>93</v>
      </c>
      <c r="CA7" s="191" t="s">
        <v>9</v>
      </c>
      <c r="CB7" s="192"/>
      <c r="CC7" s="192"/>
      <c r="CD7" s="193"/>
      <c r="CE7" s="490" t="s">
        <v>92</v>
      </c>
      <c r="CF7" s="191" t="s">
        <v>10</v>
      </c>
      <c r="CG7" s="192"/>
      <c r="CH7" s="192"/>
      <c r="CI7" s="193"/>
      <c r="CJ7" s="490" t="s">
        <v>91</v>
      </c>
      <c r="CK7" s="191" t="s">
        <v>11</v>
      </c>
      <c r="CL7" s="192"/>
      <c r="CM7" s="192"/>
      <c r="CN7" s="193"/>
      <c r="CO7" s="490" t="s">
        <v>90</v>
      </c>
      <c r="CP7" s="191" t="s">
        <v>12</v>
      </c>
      <c r="CQ7" s="192"/>
      <c r="CR7" s="192"/>
      <c r="CS7" s="193"/>
      <c r="CT7" s="490" t="s">
        <v>89</v>
      </c>
      <c r="CU7" s="191" t="s">
        <v>13</v>
      </c>
      <c r="CV7" s="192"/>
      <c r="CW7" s="192"/>
      <c r="CX7" s="193"/>
      <c r="CY7" s="490" t="s">
        <v>88</v>
      </c>
      <c r="CZ7" s="494" t="s">
        <v>14</v>
      </c>
      <c r="DA7" s="495"/>
      <c r="DB7" s="495"/>
      <c r="DC7" s="496"/>
      <c r="DD7" s="490" t="s">
        <v>86</v>
      </c>
      <c r="DE7" s="494" t="s">
        <v>78</v>
      </c>
      <c r="DF7" s="495"/>
      <c r="DG7" s="495"/>
      <c r="DH7" s="496"/>
      <c r="DI7" s="490" t="s">
        <v>87</v>
      </c>
      <c r="DJ7" s="213" t="s">
        <v>15</v>
      </c>
      <c r="DK7" s="214"/>
      <c r="DL7" s="214"/>
      <c r="DM7" s="215"/>
      <c r="DN7" s="490" t="s">
        <v>95</v>
      </c>
      <c r="DO7" s="213" t="s">
        <v>16</v>
      </c>
      <c r="DP7" s="214"/>
      <c r="DQ7" s="214"/>
      <c r="DR7" s="215"/>
      <c r="DS7" s="490" t="s">
        <v>96</v>
      </c>
      <c r="DT7" s="213" t="s">
        <v>5</v>
      </c>
      <c r="DU7" s="214"/>
      <c r="DV7" s="214"/>
      <c r="DW7" s="215"/>
      <c r="DX7" s="492" t="s">
        <v>97</v>
      </c>
      <c r="DY7" s="191" t="s">
        <v>7</v>
      </c>
      <c r="DZ7" s="192"/>
      <c r="EA7" s="192"/>
      <c r="EB7" s="193"/>
      <c r="EC7" s="490" t="s">
        <v>94</v>
      </c>
      <c r="ED7" s="191" t="s">
        <v>8</v>
      </c>
      <c r="EE7" s="192"/>
      <c r="EF7" s="192"/>
      <c r="EG7" s="193"/>
      <c r="EH7" s="490" t="s">
        <v>93</v>
      </c>
      <c r="EI7" s="191" t="s">
        <v>9</v>
      </c>
      <c r="EJ7" s="192"/>
      <c r="EK7" s="192"/>
      <c r="EL7" s="193"/>
      <c r="EM7" s="490" t="s">
        <v>92</v>
      </c>
      <c r="EN7" s="191" t="s">
        <v>10</v>
      </c>
      <c r="EO7" s="192"/>
      <c r="EP7" s="192"/>
      <c r="EQ7" s="193"/>
      <c r="ER7" s="490" t="s">
        <v>91</v>
      </c>
      <c r="ES7" s="191" t="s">
        <v>11</v>
      </c>
      <c r="ET7" s="192"/>
      <c r="EU7" s="192"/>
      <c r="EV7" s="193"/>
      <c r="EW7" s="490" t="s">
        <v>90</v>
      </c>
      <c r="EX7" s="191" t="s">
        <v>12</v>
      </c>
      <c r="EY7" s="192"/>
      <c r="EZ7" s="192"/>
      <c r="FA7" s="193"/>
      <c r="FB7" s="490" t="s">
        <v>89</v>
      </c>
      <c r="FC7" s="191" t="s">
        <v>13</v>
      </c>
      <c r="FD7" s="192"/>
      <c r="FE7" s="192"/>
      <c r="FF7" s="193"/>
      <c r="FG7" s="490" t="s">
        <v>88</v>
      </c>
      <c r="FH7" s="494" t="s">
        <v>14</v>
      </c>
      <c r="FI7" s="495"/>
      <c r="FJ7" s="495"/>
      <c r="FK7" s="496"/>
      <c r="FL7" s="490" t="s">
        <v>86</v>
      </c>
      <c r="FM7" s="494" t="s">
        <v>78</v>
      </c>
      <c r="FN7" s="495"/>
      <c r="FO7" s="495"/>
      <c r="FP7" s="496"/>
      <c r="FQ7" s="490" t="s">
        <v>87</v>
      </c>
      <c r="FR7" s="213" t="s">
        <v>15</v>
      </c>
      <c r="FS7" s="214"/>
      <c r="FT7" s="214"/>
      <c r="FU7" s="215"/>
      <c r="FV7" s="490" t="s">
        <v>95</v>
      </c>
      <c r="FW7" s="213" t="s">
        <v>16</v>
      </c>
      <c r="FX7" s="214"/>
      <c r="FY7" s="214"/>
      <c r="FZ7" s="215"/>
      <c r="GA7" s="490" t="s">
        <v>96</v>
      </c>
      <c r="GB7" s="213" t="s">
        <v>5</v>
      </c>
      <c r="GC7" s="214"/>
      <c r="GD7" s="214"/>
      <c r="GE7" s="215"/>
      <c r="GF7" s="492" t="s">
        <v>97</v>
      </c>
      <c r="GG7" s="191" t="s">
        <v>7</v>
      </c>
      <c r="GH7" s="192"/>
      <c r="GI7" s="192"/>
      <c r="GJ7" s="193"/>
      <c r="GK7" s="490" t="s">
        <v>94</v>
      </c>
      <c r="GL7" s="191" t="s">
        <v>8</v>
      </c>
      <c r="GM7" s="192"/>
      <c r="GN7" s="192"/>
      <c r="GO7" s="193"/>
      <c r="GP7" s="490" t="s">
        <v>93</v>
      </c>
      <c r="GQ7" s="191" t="s">
        <v>9</v>
      </c>
      <c r="GR7" s="192"/>
      <c r="GS7" s="192"/>
      <c r="GT7" s="193"/>
      <c r="GU7" s="490" t="s">
        <v>92</v>
      </c>
      <c r="GV7" s="191" t="s">
        <v>10</v>
      </c>
      <c r="GW7" s="192"/>
      <c r="GX7" s="192"/>
      <c r="GY7" s="193"/>
      <c r="GZ7" s="490" t="s">
        <v>91</v>
      </c>
      <c r="HA7" s="191" t="s">
        <v>11</v>
      </c>
      <c r="HB7" s="192"/>
      <c r="HC7" s="192"/>
      <c r="HD7" s="193"/>
      <c r="HE7" s="490" t="s">
        <v>90</v>
      </c>
      <c r="HF7" s="191" t="s">
        <v>12</v>
      </c>
      <c r="HG7" s="192"/>
      <c r="HH7" s="192"/>
      <c r="HI7" s="193"/>
      <c r="HJ7" s="490" t="s">
        <v>89</v>
      </c>
      <c r="HK7" s="191" t="s">
        <v>13</v>
      </c>
      <c r="HL7" s="192"/>
      <c r="HM7" s="192"/>
      <c r="HN7" s="193"/>
      <c r="HO7" s="490" t="s">
        <v>88</v>
      </c>
      <c r="HP7" s="494" t="s">
        <v>14</v>
      </c>
      <c r="HQ7" s="495"/>
      <c r="HR7" s="495"/>
      <c r="HS7" s="496"/>
      <c r="HT7" s="490" t="s">
        <v>86</v>
      </c>
      <c r="HU7" s="494" t="s">
        <v>78</v>
      </c>
      <c r="HV7" s="495"/>
      <c r="HW7" s="495"/>
      <c r="HX7" s="496"/>
      <c r="HY7" s="490" t="s">
        <v>87</v>
      </c>
      <c r="HZ7" s="213" t="s">
        <v>15</v>
      </c>
      <c r="IA7" s="214"/>
      <c r="IB7" s="214"/>
      <c r="IC7" s="215"/>
      <c r="ID7" s="490" t="s">
        <v>95</v>
      </c>
      <c r="IE7" s="213" t="s">
        <v>16</v>
      </c>
      <c r="IF7" s="214"/>
      <c r="IG7" s="214"/>
      <c r="IH7" s="215"/>
      <c r="II7" s="490" t="s">
        <v>96</v>
      </c>
      <c r="IJ7" s="213" t="s">
        <v>5</v>
      </c>
      <c r="IK7" s="214"/>
      <c r="IL7" s="214"/>
      <c r="IM7" s="215"/>
      <c r="IN7" s="492" t="s">
        <v>97</v>
      </c>
      <c r="IO7" s="191" t="s">
        <v>7</v>
      </c>
      <c r="IP7" s="192"/>
      <c r="IQ7" s="192"/>
      <c r="IR7" s="193"/>
      <c r="IS7" s="490" t="s">
        <v>94</v>
      </c>
      <c r="IT7" s="191" t="s">
        <v>8</v>
      </c>
      <c r="IU7" s="192"/>
      <c r="IV7" s="192"/>
      <c r="IW7" s="193"/>
      <c r="IX7" s="490" t="s">
        <v>93</v>
      </c>
      <c r="IY7" s="191" t="s">
        <v>9</v>
      </c>
      <c r="IZ7" s="192"/>
      <c r="JA7" s="192"/>
      <c r="JB7" s="193"/>
      <c r="JC7" s="490" t="s">
        <v>92</v>
      </c>
      <c r="JD7" s="191" t="s">
        <v>10</v>
      </c>
      <c r="JE7" s="192"/>
      <c r="JF7" s="192"/>
      <c r="JG7" s="193"/>
      <c r="JH7" s="490" t="s">
        <v>91</v>
      </c>
      <c r="JI7" s="191" t="s">
        <v>11</v>
      </c>
      <c r="JJ7" s="192"/>
      <c r="JK7" s="192"/>
      <c r="JL7" s="193"/>
      <c r="JM7" s="490" t="s">
        <v>90</v>
      </c>
      <c r="JN7" s="191" t="s">
        <v>12</v>
      </c>
      <c r="JO7" s="192"/>
      <c r="JP7" s="192"/>
      <c r="JQ7" s="193"/>
      <c r="JR7" s="490" t="s">
        <v>89</v>
      </c>
      <c r="JS7" s="191" t="s">
        <v>13</v>
      </c>
      <c r="JT7" s="192"/>
      <c r="JU7" s="192"/>
      <c r="JV7" s="193"/>
      <c r="JW7" s="490" t="s">
        <v>88</v>
      </c>
      <c r="JX7" s="494" t="s">
        <v>14</v>
      </c>
      <c r="JY7" s="495"/>
      <c r="JZ7" s="495"/>
      <c r="KA7" s="496"/>
      <c r="KB7" s="490" t="s">
        <v>86</v>
      </c>
      <c r="KC7" s="494" t="s">
        <v>78</v>
      </c>
      <c r="KD7" s="495"/>
      <c r="KE7" s="495"/>
      <c r="KF7" s="496"/>
      <c r="KG7" s="490" t="s">
        <v>87</v>
      </c>
      <c r="KH7" s="494" t="s">
        <v>45</v>
      </c>
      <c r="KI7" s="495"/>
      <c r="KJ7" s="495"/>
      <c r="KK7" s="496"/>
      <c r="KL7" s="490" t="s">
        <v>95</v>
      </c>
      <c r="KM7" s="494" t="s">
        <v>46</v>
      </c>
      <c r="KN7" s="495"/>
      <c r="KO7" s="495"/>
      <c r="KP7" s="496"/>
      <c r="KQ7" s="490" t="s">
        <v>96</v>
      </c>
      <c r="KR7" s="494" t="s">
        <v>47</v>
      </c>
      <c r="KS7" s="495"/>
      <c r="KT7" s="495"/>
      <c r="KU7" s="496"/>
      <c r="KV7" s="490" t="s">
        <v>97</v>
      </c>
    </row>
    <row r="8" spans="1:308" ht="15.75" customHeight="1" thickBot="1" x14ac:dyDescent="0.3">
      <c r="A8" s="201"/>
      <c r="B8" s="202"/>
      <c r="C8" s="195"/>
      <c r="D8" s="10" t="s">
        <v>17</v>
      </c>
      <c r="E8" s="11" t="s">
        <v>18</v>
      </c>
      <c r="F8" s="12" t="s">
        <v>19</v>
      </c>
      <c r="G8" s="13" t="s">
        <v>20</v>
      </c>
      <c r="H8" s="493"/>
      <c r="I8" s="10" t="s">
        <v>17</v>
      </c>
      <c r="J8" s="11" t="s">
        <v>18</v>
      </c>
      <c r="K8" s="12" t="s">
        <v>19</v>
      </c>
      <c r="L8" s="13" t="s">
        <v>20</v>
      </c>
      <c r="M8" s="491"/>
      <c r="N8" s="17" t="s">
        <v>17</v>
      </c>
      <c r="O8" s="22" t="s">
        <v>18</v>
      </c>
      <c r="P8" s="19" t="s">
        <v>19</v>
      </c>
      <c r="Q8" s="21" t="s">
        <v>20</v>
      </c>
      <c r="R8" s="491"/>
      <c r="S8" s="17" t="s">
        <v>17</v>
      </c>
      <c r="T8" s="22" t="s">
        <v>18</v>
      </c>
      <c r="U8" s="19" t="s">
        <v>19</v>
      </c>
      <c r="V8" s="21" t="s">
        <v>20</v>
      </c>
      <c r="W8" s="491"/>
      <c r="X8" s="17" t="s">
        <v>17</v>
      </c>
      <c r="Y8" s="22" t="s">
        <v>18</v>
      </c>
      <c r="Z8" s="19" t="s">
        <v>19</v>
      </c>
      <c r="AA8" s="21" t="s">
        <v>20</v>
      </c>
      <c r="AB8" s="491"/>
      <c r="AC8" s="17" t="s">
        <v>17</v>
      </c>
      <c r="AD8" s="22" t="s">
        <v>18</v>
      </c>
      <c r="AE8" s="19" t="s">
        <v>19</v>
      </c>
      <c r="AF8" s="21" t="s">
        <v>20</v>
      </c>
      <c r="AG8" s="491"/>
      <c r="AH8" s="17" t="s">
        <v>17</v>
      </c>
      <c r="AI8" s="22" t="s">
        <v>18</v>
      </c>
      <c r="AJ8" s="19" t="s">
        <v>19</v>
      </c>
      <c r="AK8" s="21" t="s">
        <v>20</v>
      </c>
      <c r="AL8" s="491"/>
      <c r="AM8" s="17" t="s">
        <v>17</v>
      </c>
      <c r="AN8" s="22" t="s">
        <v>18</v>
      </c>
      <c r="AO8" s="19" t="s">
        <v>19</v>
      </c>
      <c r="AP8" s="21" t="s">
        <v>20</v>
      </c>
      <c r="AQ8" s="491"/>
      <c r="AR8" s="17" t="s">
        <v>17</v>
      </c>
      <c r="AS8" s="22" t="s">
        <v>18</v>
      </c>
      <c r="AT8" s="19" t="s">
        <v>19</v>
      </c>
      <c r="AU8" s="21" t="s">
        <v>20</v>
      </c>
      <c r="AV8" s="491"/>
      <c r="AW8" s="17" t="s">
        <v>17</v>
      </c>
      <c r="AX8" s="22" t="s">
        <v>18</v>
      </c>
      <c r="AY8" s="19" t="s">
        <v>19</v>
      </c>
      <c r="AZ8" s="21" t="s">
        <v>20</v>
      </c>
      <c r="BA8" s="491"/>
      <c r="BB8" s="216" t="s">
        <v>17</v>
      </c>
      <c r="BC8" s="265" t="s">
        <v>18</v>
      </c>
      <c r="BD8" s="217" t="s">
        <v>19</v>
      </c>
      <c r="BE8" s="218" t="s">
        <v>20</v>
      </c>
      <c r="BF8" s="491"/>
      <c r="BG8" s="216" t="s">
        <v>17</v>
      </c>
      <c r="BH8" s="265" t="s">
        <v>18</v>
      </c>
      <c r="BI8" s="217" t="s">
        <v>19</v>
      </c>
      <c r="BJ8" s="218" t="s">
        <v>20</v>
      </c>
      <c r="BK8" s="491"/>
      <c r="BL8" s="216" t="s">
        <v>17</v>
      </c>
      <c r="BM8" s="265" t="s">
        <v>18</v>
      </c>
      <c r="BN8" s="217" t="s">
        <v>19</v>
      </c>
      <c r="BO8" s="218" t="s">
        <v>20</v>
      </c>
      <c r="BP8" s="493"/>
      <c r="BQ8" s="14" t="s">
        <v>17</v>
      </c>
      <c r="BR8" s="15" t="s">
        <v>18</v>
      </c>
      <c r="BS8" s="16" t="s">
        <v>19</v>
      </c>
      <c r="BT8" s="20" t="s">
        <v>20</v>
      </c>
      <c r="BU8" s="491"/>
      <c r="BV8" s="17" t="s">
        <v>17</v>
      </c>
      <c r="BW8" s="22" t="s">
        <v>18</v>
      </c>
      <c r="BX8" s="19" t="s">
        <v>19</v>
      </c>
      <c r="BY8" s="21" t="s">
        <v>20</v>
      </c>
      <c r="BZ8" s="491"/>
      <c r="CA8" s="17" t="s">
        <v>17</v>
      </c>
      <c r="CB8" s="22" t="s">
        <v>18</v>
      </c>
      <c r="CC8" s="19" t="s">
        <v>19</v>
      </c>
      <c r="CD8" s="21" t="s">
        <v>20</v>
      </c>
      <c r="CE8" s="491"/>
      <c r="CF8" s="17" t="s">
        <v>17</v>
      </c>
      <c r="CG8" s="22" t="s">
        <v>18</v>
      </c>
      <c r="CH8" s="19" t="s">
        <v>19</v>
      </c>
      <c r="CI8" s="21" t="s">
        <v>20</v>
      </c>
      <c r="CJ8" s="491"/>
      <c r="CK8" s="17" t="s">
        <v>17</v>
      </c>
      <c r="CL8" s="22" t="s">
        <v>18</v>
      </c>
      <c r="CM8" s="19" t="s">
        <v>19</v>
      </c>
      <c r="CN8" s="21" t="s">
        <v>20</v>
      </c>
      <c r="CO8" s="491"/>
      <c r="CP8" s="17" t="s">
        <v>17</v>
      </c>
      <c r="CQ8" s="22" t="s">
        <v>18</v>
      </c>
      <c r="CR8" s="19" t="s">
        <v>19</v>
      </c>
      <c r="CS8" s="21" t="s">
        <v>20</v>
      </c>
      <c r="CT8" s="491"/>
      <c r="CU8" s="17" t="s">
        <v>17</v>
      </c>
      <c r="CV8" s="22" t="s">
        <v>18</v>
      </c>
      <c r="CW8" s="19" t="s">
        <v>19</v>
      </c>
      <c r="CX8" s="21" t="s">
        <v>20</v>
      </c>
      <c r="CY8" s="491"/>
      <c r="CZ8" s="17" t="s">
        <v>17</v>
      </c>
      <c r="DA8" s="22" t="s">
        <v>18</v>
      </c>
      <c r="DB8" s="19" t="s">
        <v>19</v>
      </c>
      <c r="DC8" s="21" t="s">
        <v>20</v>
      </c>
      <c r="DD8" s="491"/>
      <c r="DE8" s="17" t="s">
        <v>17</v>
      </c>
      <c r="DF8" s="22" t="s">
        <v>18</v>
      </c>
      <c r="DG8" s="19" t="s">
        <v>19</v>
      </c>
      <c r="DH8" s="21" t="s">
        <v>20</v>
      </c>
      <c r="DI8" s="491"/>
      <c r="DJ8" s="216" t="s">
        <v>17</v>
      </c>
      <c r="DK8" s="265" t="s">
        <v>18</v>
      </c>
      <c r="DL8" s="217" t="s">
        <v>19</v>
      </c>
      <c r="DM8" s="218" t="s">
        <v>20</v>
      </c>
      <c r="DN8" s="491"/>
      <c r="DO8" s="216" t="s">
        <v>17</v>
      </c>
      <c r="DP8" s="265" t="s">
        <v>18</v>
      </c>
      <c r="DQ8" s="217" t="s">
        <v>19</v>
      </c>
      <c r="DR8" s="218" t="s">
        <v>20</v>
      </c>
      <c r="DS8" s="491"/>
      <c r="DT8" s="216" t="s">
        <v>17</v>
      </c>
      <c r="DU8" s="265" t="s">
        <v>18</v>
      </c>
      <c r="DV8" s="217" t="s">
        <v>19</v>
      </c>
      <c r="DW8" s="218" t="s">
        <v>20</v>
      </c>
      <c r="DX8" s="493"/>
      <c r="DY8" s="17" t="s">
        <v>17</v>
      </c>
      <c r="DZ8" s="18" t="s">
        <v>18</v>
      </c>
      <c r="EA8" s="19" t="s">
        <v>19</v>
      </c>
      <c r="EB8" s="21" t="s">
        <v>20</v>
      </c>
      <c r="EC8" s="491"/>
      <c r="ED8" s="17" t="s">
        <v>17</v>
      </c>
      <c r="EE8" s="22" t="s">
        <v>18</v>
      </c>
      <c r="EF8" s="19" t="s">
        <v>19</v>
      </c>
      <c r="EG8" s="21" t="s">
        <v>20</v>
      </c>
      <c r="EH8" s="491"/>
      <c r="EI8" s="17" t="s">
        <v>17</v>
      </c>
      <c r="EJ8" s="22" t="s">
        <v>18</v>
      </c>
      <c r="EK8" s="19" t="s">
        <v>19</v>
      </c>
      <c r="EL8" s="21" t="s">
        <v>20</v>
      </c>
      <c r="EM8" s="491"/>
      <c r="EN8" s="17" t="s">
        <v>17</v>
      </c>
      <c r="EO8" s="22" t="s">
        <v>18</v>
      </c>
      <c r="EP8" s="19" t="s">
        <v>19</v>
      </c>
      <c r="EQ8" s="21" t="s">
        <v>20</v>
      </c>
      <c r="ER8" s="491"/>
      <c r="ES8" s="17" t="s">
        <v>17</v>
      </c>
      <c r="ET8" s="22" t="s">
        <v>18</v>
      </c>
      <c r="EU8" s="19" t="s">
        <v>19</v>
      </c>
      <c r="EV8" s="21" t="s">
        <v>20</v>
      </c>
      <c r="EW8" s="491"/>
      <c r="EX8" s="17" t="s">
        <v>17</v>
      </c>
      <c r="EY8" s="22" t="s">
        <v>18</v>
      </c>
      <c r="EZ8" s="19" t="s">
        <v>19</v>
      </c>
      <c r="FA8" s="21" t="s">
        <v>20</v>
      </c>
      <c r="FB8" s="491"/>
      <c r="FC8" s="17" t="s">
        <v>17</v>
      </c>
      <c r="FD8" s="22" t="s">
        <v>18</v>
      </c>
      <c r="FE8" s="19" t="s">
        <v>19</v>
      </c>
      <c r="FF8" s="21" t="s">
        <v>20</v>
      </c>
      <c r="FG8" s="491"/>
      <c r="FH8" s="17" t="s">
        <v>17</v>
      </c>
      <c r="FI8" s="22" t="s">
        <v>18</v>
      </c>
      <c r="FJ8" s="19" t="s">
        <v>19</v>
      </c>
      <c r="FK8" s="21" t="s">
        <v>20</v>
      </c>
      <c r="FL8" s="491"/>
      <c r="FM8" s="17" t="s">
        <v>17</v>
      </c>
      <c r="FN8" s="22" t="s">
        <v>18</v>
      </c>
      <c r="FO8" s="19" t="s">
        <v>19</v>
      </c>
      <c r="FP8" s="21" t="s">
        <v>20</v>
      </c>
      <c r="FQ8" s="491"/>
      <c r="FR8" s="216" t="s">
        <v>17</v>
      </c>
      <c r="FS8" s="265" t="s">
        <v>18</v>
      </c>
      <c r="FT8" s="217" t="s">
        <v>19</v>
      </c>
      <c r="FU8" s="218" t="s">
        <v>20</v>
      </c>
      <c r="FV8" s="491"/>
      <c r="FW8" s="216" t="s">
        <v>17</v>
      </c>
      <c r="FX8" s="265" t="s">
        <v>18</v>
      </c>
      <c r="FY8" s="217" t="s">
        <v>19</v>
      </c>
      <c r="FZ8" s="218" t="s">
        <v>20</v>
      </c>
      <c r="GA8" s="491"/>
      <c r="GB8" s="216" t="s">
        <v>17</v>
      </c>
      <c r="GC8" s="265" t="s">
        <v>18</v>
      </c>
      <c r="GD8" s="217" t="s">
        <v>19</v>
      </c>
      <c r="GE8" s="218" t="s">
        <v>20</v>
      </c>
      <c r="GF8" s="493"/>
      <c r="GG8" s="17" t="s">
        <v>17</v>
      </c>
      <c r="GH8" s="18" t="s">
        <v>18</v>
      </c>
      <c r="GI8" s="19" t="s">
        <v>19</v>
      </c>
      <c r="GJ8" s="21" t="s">
        <v>20</v>
      </c>
      <c r="GK8" s="491"/>
      <c r="GL8" s="17" t="s">
        <v>17</v>
      </c>
      <c r="GM8" s="22" t="s">
        <v>18</v>
      </c>
      <c r="GN8" s="19" t="s">
        <v>19</v>
      </c>
      <c r="GO8" s="21" t="s">
        <v>20</v>
      </c>
      <c r="GP8" s="491"/>
      <c r="GQ8" s="17" t="s">
        <v>17</v>
      </c>
      <c r="GR8" s="22" t="s">
        <v>18</v>
      </c>
      <c r="GS8" s="19" t="s">
        <v>19</v>
      </c>
      <c r="GT8" s="21" t="s">
        <v>20</v>
      </c>
      <c r="GU8" s="491"/>
      <c r="GV8" s="17" t="s">
        <v>17</v>
      </c>
      <c r="GW8" s="22" t="s">
        <v>18</v>
      </c>
      <c r="GX8" s="19" t="s">
        <v>19</v>
      </c>
      <c r="GY8" s="21" t="s">
        <v>20</v>
      </c>
      <c r="GZ8" s="491"/>
      <c r="HA8" s="17" t="s">
        <v>17</v>
      </c>
      <c r="HB8" s="22" t="s">
        <v>18</v>
      </c>
      <c r="HC8" s="19" t="s">
        <v>19</v>
      </c>
      <c r="HD8" s="21" t="s">
        <v>20</v>
      </c>
      <c r="HE8" s="491"/>
      <c r="HF8" s="17" t="s">
        <v>17</v>
      </c>
      <c r="HG8" s="22" t="s">
        <v>18</v>
      </c>
      <c r="HH8" s="19" t="s">
        <v>19</v>
      </c>
      <c r="HI8" s="21" t="s">
        <v>20</v>
      </c>
      <c r="HJ8" s="491"/>
      <c r="HK8" s="17" t="s">
        <v>17</v>
      </c>
      <c r="HL8" s="22" t="s">
        <v>18</v>
      </c>
      <c r="HM8" s="19" t="s">
        <v>19</v>
      </c>
      <c r="HN8" s="21" t="s">
        <v>20</v>
      </c>
      <c r="HO8" s="491"/>
      <c r="HP8" s="17" t="s">
        <v>17</v>
      </c>
      <c r="HQ8" s="22" t="s">
        <v>18</v>
      </c>
      <c r="HR8" s="19" t="s">
        <v>19</v>
      </c>
      <c r="HS8" s="21" t="s">
        <v>20</v>
      </c>
      <c r="HT8" s="491"/>
      <c r="HU8" s="17" t="s">
        <v>17</v>
      </c>
      <c r="HV8" s="22" t="s">
        <v>18</v>
      </c>
      <c r="HW8" s="19" t="s">
        <v>19</v>
      </c>
      <c r="HX8" s="21" t="s">
        <v>20</v>
      </c>
      <c r="HY8" s="491"/>
      <c r="HZ8" s="216" t="s">
        <v>17</v>
      </c>
      <c r="IA8" s="265" t="s">
        <v>18</v>
      </c>
      <c r="IB8" s="217" t="s">
        <v>19</v>
      </c>
      <c r="IC8" s="218" t="s">
        <v>20</v>
      </c>
      <c r="ID8" s="491"/>
      <c r="IE8" s="216" t="s">
        <v>17</v>
      </c>
      <c r="IF8" s="265" t="s">
        <v>18</v>
      </c>
      <c r="IG8" s="217" t="s">
        <v>19</v>
      </c>
      <c r="IH8" s="218" t="s">
        <v>20</v>
      </c>
      <c r="II8" s="491"/>
      <c r="IJ8" s="216" t="s">
        <v>17</v>
      </c>
      <c r="IK8" s="265" t="s">
        <v>18</v>
      </c>
      <c r="IL8" s="217" t="s">
        <v>19</v>
      </c>
      <c r="IM8" s="218" t="s">
        <v>20</v>
      </c>
      <c r="IN8" s="493"/>
      <c r="IO8" s="17" t="s">
        <v>17</v>
      </c>
      <c r="IP8" s="22" t="s">
        <v>18</v>
      </c>
      <c r="IQ8" s="19" t="s">
        <v>19</v>
      </c>
      <c r="IR8" s="21" t="s">
        <v>20</v>
      </c>
      <c r="IS8" s="491"/>
      <c r="IT8" s="17" t="s">
        <v>17</v>
      </c>
      <c r="IU8" s="22" t="s">
        <v>18</v>
      </c>
      <c r="IV8" s="19" t="s">
        <v>19</v>
      </c>
      <c r="IW8" s="21" t="s">
        <v>20</v>
      </c>
      <c r="IX8" s="491"/>
      <c r="IY8" s="17" t="s">
        <v>17</v>
      </c>
      <c r="IZ8" s="22" t="s">
        <v>18</v>
      </c>
      <c r="JA8" s="19" t="s">
        <v>19</v>
      </c>
      <c r="JB8" s="21" t="s">
        <v>20</v>
      </c>
      <c r="JC8" s="491"/>
      <c r="JD8" s="17" t="s">
        <v>17</v>
      </c>
      <c r="JE8" s="22" t="s">
        <v>18</v>
      </c>
      <c r="JF8" s="19" t="s">
        <v>19</v>
      </c>
      <c r="JG8" s="21" t="s">
        <v>20</v>
      </c>
      <c r="JH8" s="491"/>
      <c r="JI8" s="17" t="s">
        <v>17</v>
      </c>
      <c r="JJ8" s="22" t="s">
        <v>18</v>
      </c>
      <c r="JK8" s="19" t="s">
        <v>19</v>
      </c>
      <c r="JL8" s="21" t="s">
        <v>20</v>
      </c>
      <c r="JM8" s="491"/>
      <c r="JN8" s="17" t="s">
        <v>17</v>
      </c>
      <c r="JO8" s="22" t="s">
        <v>18</v>
      </c>
      <c r="JP8" s="19" t="s">
        <v>19</v>
      </c>
      <c r="JQ8" s="21" t="s">
        <v>20</v>
      </c>
      <c r="JR8" s="491"/>
      <c r="JS8" s="17" t="s">
        <v>17</v>
      </c>
      <c r="JT8" s="22" t="s">
        <v>18</v>
      </c>
      <c r="JU8" s="19" t="s">
        <v>19</v>
      </c>
      <c r="JV8" s="21" t="s">
        <v>20</v>
      </c>
      <c r="JW8" s="491"/>
      <c r="JX8" s="17" t="s">
        <v>17</v>
      </c>
      <c r="JY8" s="22" t="s">
        <v>18</v>
      </c>
      <c r="JZ8" s="19" t="s">
        <v>19</v>
      </c>
      <c r="KA8" s="21" t="s">
        <v>20</v>
      </c>
      <c r="KB8" s="491"/>
      <c r="KC8" s="17" t="s">
        <v>17</v>
      </c>
      <c r="KD8" s="22" t="s">
        <v>18</v>
      </c>
      <c r="KE8" s="19" t="s">
        <v>19</v>
      </c>
      <c r="KF8" s="21" t="s">
        <v>20</v>
      </c>
      <c r="KG8" s="491"/>
      <c r="KH8" s="17" t="s">
        <v>17</v>
      </c>
      <c r="KI8" s="22" t="s">
        <v>18</v>
      </c>
      <c r="KJ8" s="19" t="s">
        <v>19</v>
      </c>
      <c r="KK8" s="21" t="s">
        <v>20</v>
      </c>
      <c r="KL8" s="491"/>
      <c r="KM8" s="475" t="s">
        <v>17</v>
      </c>
      <c r="KN8" s="476" t="s">
        <v>18</v>
      </c>
      <c r="KO8" s="19" t="s">
        <v>19</v>
      </c>
      <c r="KP8" s="21" t="s">
        <v>20</v>
      </c>
      <c r="KQ8" s="491"/>
      <c r="KR8" s="17" t="s">
        <v>17</v>
      </c>
      <c r="KS8" s="22" t="s">
        <v>18</v>
      </c>
      <c r="KT8" s="19" t="s">
        <v>19</v>
      </c>
      <c r="KU8" s="21" t="s">
        <v>20</v>
      </c>
      <c r="KV8" s="491"/>
    </row>
    <row r="9" spans="1:308" ht="15.75" x14ac:dyDescent="0.25">
      <c r="A9" s="187" t="s">
        <v>21</v>
      </c>
      <c r="B9" s="23">
        <v>1</v>
      </c>
      <c r="C9" s="24">
        <v>53.2</v>
      </c>
      <c r="D9" s="25">
        <v>53.66</v>
      </c>
      <c r="E9" s="26">
        <v>46.92</v>
      </c>
      <c r="F9" s="27"/>
      <c r="G9" s="28"/>
      <c r="H9" s="29">
        <f>D9+E9+F9+G9</f>
        <v>100.58</v>
      </c>
      <c r="I9" s="30">
        <v>50.85</v>
      </c>
      <c r="J9" s="31"/>
      <c r="K9" s="31"/>
      <c r="L9" s="32"/>
      <c r="M9" s="33">
        <f>SUM(I9:L9)</f>
        <v>50.85</v>
      </c>
      <c r="N9" s="30">
        <v>7.73</v>
      </c>
      <c r="O9" s="31"/>
      <c r="P9" s="31"/>
      <c r="Q9" s="32"/>
      <c r="R9" s="33">
        <f t="shared" ref="R9:R37" si="0">SUM(N9:Q9)</f>
        <v>7.73</v>
      </c>
      <c r="S9" s="30">
        <v>68.930000000000007</v>
      </c>
      <c r="T9" s="31">
        <v>43.32</v>
      </c>
      <c r="U9" s="31"/>
      <c r="V9" s="32"/>
      <c r="W9" s="33">
        <f t="shared" ref="W9:W37" si="1">SUM(S9:V9)</f>
        <v>112.25</v>
      </c>
      <c r="X9" s="30">
        <v>33.43</v>
      </c>
      <c r="Y9" s="31"/>
      <c r="Z9" s="31"/>
      <c r="AA9" s="32"/>
      <c r="AB9" s="33">
        <f>SUM(X9:AA9)</f>
        <v>33.43</v>
      </c>
      <c r="AC9" s="34">
        <v>46.94</v>
      </c>
      <c r="AD9" s="35"/>
      <c r="AE9" s="35"/>
      <c r="AF9" s="36"/>
      <c r="AG9" s="37">
        <f>SUM(AC9:AF9)</f>
        <v>46.94</v>
      </c>
      <c r="AH9" s="34">
        <v>64.41</v>
      </c>
      <c r="AI9" s="38">
        <v>38.43</v>
      </c>
      <c r="AJ9" s="35"/>
      <c r="AK9" s="36"/>
      <c r="AL9" s="39">
        <f>SUM(AH9:AK9)</f>
        <v>102.84</v>
      </c>
      <c r="AM9" s="40">
        <v>37.4</v>
      </c>
      <c r="AN9" s="41">
        <v>26.225000000000001</v>
      </c>
      <c r="AO9" s="41"/>
      <c r="AP9" s="42"/>
      <c r="AQ9" s="43">
        <f>SUM(AM9:AP9)</f>
        <v>63.625</v>
      </c>
      <c r="AR9" s="40">
        <v>55.44</v>
      </c>
      <c r="AS9" s="41">
        <v>30.84</v>
      </c>
      <c r="AT9" s="41"/>
      <c r="AU9" s="44"/>
      <c r="AV9" s="45">
        <f>SUM(AR9:AU9)</f>
        <v>86.28</v>
      </c>
      <c r="AW9" s="40">
        <v>63.43</v>
      </c>
      <c r="AX9" s="41"/>
      <c r="AY9" s="41"/>
      <c r="AZ9" s="44"/>
      <c r="BA9" s="45">
        <f>SUM(AW9:AZ9)</f>
        <v>63.43</v>
      </c>
      <c r="BB9" s="40">
        <f>82.13+2</f>
        <v>84.13</v>
      </c>
      <c r="BC9" s="41">
        <f>40.7+0.73</f>
        <v>41.43</v>
      </c>
      <c r="BD9" s="41"/>
      <c r="BE9" s="44"/>
      <c r="BF9" s="45">
        <f>SUM(BB9:BE9)</f>
        <v>125.56</v>
      </c>
      <c r="BG9" s="40">
        <f>34.91+2.44</f>
        <v>37.349999999999994</v>
      </c>
      <c r="BH9" s="41">
        <f>39.43+1.84</f>
        <v>41.27</v>
      </c>
      <c r="BI9" s="41"/>
      <c r="BJ9" s="46"/>
      <c r="BK9" s="47">
        <f>SUM(BG9:BJ9)</f>
        <v>78.62</v>
      </c>
      <c r="BL9" s="40">
        <f>62.91+6.19</f>
        <v>69.099999999999994</v>
      </c>
      <c r="BM9" s="41">
        <v>12.88</v>
      </c>
      <c r="BN9" s="41"/>
      <c r="BO9" s="46"/>
      <c r="BP9" s="48">
        <f>SUM(BL9:BO9)</f>
        <v>81.97999999999999</v>
      </c>
      <c r="BQ9" s="49">
        <v>25.48</v>
      </c>
      <c r="BR9" s="50">
        <f>32.62+3.99</f>
        <v>36.61</v>
      </c>
      <c r="BS9" s="50"/>
      <c r="BT9" s="51"/>
      <c r="BU9" s="219">
        <f>SUM(BQ9:BT9)</f>
        <v>62.09</v>
      </c>
      <c r="BV9" s="220">
        <v>36.17</v>
      </c>
      <c r="BW9" s="221">
        <v>19.55</v>
      </c>
      <c r="BX9" s="221"/>
      <c r="BY9" s="222"/>
      <c r="BZ9" s="223">
        <f>SUM(BV9:BY9)</f>
        <v>55.72</v>
      </c>
      <c r="CA9" s="224">
        <v>43.06</v>
      </c>
      <c r="CB9" s="225"/>
      <c r="CC9" s="225"/>
      <c r="CD9" s="226"/>
      <c r="CE9" s="227">
        <f>SUM(CA9:CD9)</f>
        <v>43.06</v>
      </c>
      <c r="CF9" s="224">
        <v>40.049999999999997</v>
      </c>
      <c r="CG9" s="225">
        <v>47.32</v>
      </c>
      <c r="CH9" s="225"/>
      <c r="CI9" s="226"/>
      <c r="CJ9" s="227">
        <f>SUM(CF9:CI9)</f>
        <v>87.37</v>
      </c>
      <c r="CK9" s="224">
        <v>52.38</v>
      </c>
      <c r="CL9" s="225"/>
      <c r="CM9" s="225"/>
      <c r="CN9" s="226"/>
      <c r="CO9" s="227">
        <f>SUM(CK9:CN9)</f>
        <v>52.38</v>
      </c>
      <c r="CP9" s="228">
        <v>31.88</v>
      </c>
      <c r="CQ9" s="229">
        <v>23.01</v>
      </c>
      <c r="CR9" s="229"/>
      <c r="CS9" s="230"/>
      <c r="CT9" s="231">
        <v>54.89</v>
      </c>
      <c r="CU9" s="228">
        <v>25.75</v>
      </c>
      <c r="CV9" s="229">
        <v>41.85</v>
      </c>
      <c r="CW9" s="229"/>
      <c r="CX9" s="230"/>
      <c r="CY9" s="231">
        <f t="shared" ref="CY9:CY32" si="2">SUM(CU9:CX9)</f>
        <v>67.599999999999994</v>
      </c>
      <c r="CZ9" s="228">
        <v>45.84</v>
      </c>
      <c r="DA9" s="229"/>
      <c r="DB9" s="229"/>
      <c r="DC9" s="230"/>
      <c r="DD9" s="231">
        <f t="shared" ref="DD9:DD32" si="3">SUM(CZ9:DC9)</f>
        <v>45.84</v>
      </c>
      <c r="DE9" s="228">
        <v>70.95</v>
      </c>
      <c r="DF9" s="229"/>
      <c r="DG9" s="229"/>
      <c r="DH9" s="230"/>
      <c r="DI9" s="231">
        <f t="shared" ref="DI9:DI32" si="4">SUM(DE9:DH9)</f>
        <v>70.95</v>
      </c>
      <c r="DJ9" s="228">
        <v>62.57</v>
      </c>
      <c r="DK9" s="229">
        <v>9.1</v>
      </c>
      <c r="DL9" s="229"/>
      <c r="DM9" s="230"/>
      <c r="DN9" s="231">
        <f>SUM(DJ9:DM9)</f>
        <v>71.67</v>
      </c>
      <c r="DO9" s="228">
        <v>65.84</v>
      </c>
      <c r="DP9" s="229"/>
      <c r="DQ9" s="229"/>
      <c r="DR9" s="230"/>
      <c r="DS9" s="231">
        <f>SUM(DO9:DR9)</f>
        <v>65.84</v>
      </c>
      <c r="DT9" s="228">
        <v>88.84</v>
      </c>
      <c r="DU9" s="229">
        <v>9.32</v>
      </c>
      <c r="DV9" s="229"/>
      <c r="DW9" s="230"/>
      <c r="DX9" s="231">
        <f>SUM(DT9:DW9)</f>
        <v>98.16</v>
      </c>
      <c r="DY9" s="52">
        <v>57.64</v>
      </c>
      <c r="DZ9" s="53">
        <v>35.53</v>
      </c>
      <c r="EA9" s="53"/>
      <c r="EB9" s="54"/>
      <c r="EC9" s="231">
        <f>SUM(DY9:EB9)</f>
        <v>93.17</v>
      </c>
      <c r="ED9" s="228">
        <v>16.05</v>
      </c>
      <c r="EE9" s="229">
        <v>40.229999999999997</v>
      </c>
      <c r="EF9" s="229"/>
      <c r="EG9" s="230"/>
      <c r="EH9" s="231">
        <f>SUM(ED9:EG9)</f>
        <v>56.28</v>
      </c>
      <c r="EI9" s="228">
        <v>31.12</v>
      </c>
      <c r="EJ9" s="229"/>
      <c r="EK9" s="229"/>
      <c r="EL9" s="230"/>
      <c r="EM9" s="231">
        <f>SUM(EI9:EL9)</f>
        <v>31.12</v>
      </c>
      <c r="EN9" s="228">
        <v>26.91</v>
      </c>
      <c r="EO9" s="229">
        <v>9.16</v>
      </c>
      <c r="EP9" s="229"/>
      <c r="EQ9" s="230"/>
      <c r="ER9" s="231">
        <f>SUM(EN9:EQ9)</f>
        <v>36.07</v>
      </c>
      <c r="ES9" s="228">
        <v>41.81</v>
      </c>
      <c r="ET9" s="229">
        <v>8.7100000000000009</v>
      </c>
      <c r="EU9" s="229"/>
      <c r="EV9" s="230"/>
      <c r="EW9" s="231">
        <f>SUM(ES9:EV9)</f>
        <v>50.52</v>
      </c>
      <c r="EX9" s="228">
        <v>29.16</v>
      </c>
      <c r="EY9" s="229">
        <v>26.2</v>
      </c>
      <c r="EZ9" s="229"/>
      <c r="FA9" s="230"/>
      <c r="FB9" s="231">
        <f>SUM(EX9:FA9)</f>
        <v>55.36</v>
      </c>
      <c r="FC9" s="228">
        <v>23.18</v>
      </c>
      <c r="FD9" s="229">
        <v>23.61</v>
      </c>
      <c r="FE9" s="229"/>
      <c r="FF9" s="230"/>
      <c r="FG9" s="231">
        <f>SUM(FC9:FF9)</f>
        <v>46.79</v>
      </c>
      <c r="FH9" s="228">
        <v>34.08</v>
      </c>
      <c r="FI9" s="229">
        <v>20.62</v>
      </c>
      <c r="FJ9" s="229"/>
      <c r="FK9" s="230"/>
      <c r="FL9" s="231">
        <f>SUM(FH9:FK9)</f>
        <v>54.7</v>
      </c>
      <c r="FM9" s="228">
        <v>36.590000000000003</v>
      </c>
      <c r="FN9" s="229">
        <v>29.91</v>
      </c>
      <c r="FO9" s="229"/>
      <c r="FP9" s="230"/>
      <c r="FQ9" s="231">
        <f>SUM(FM9:FP9)</f>
        <v>66.5</v>
      </c>
      <c r="FR9" s="228">
        <v>16.72</v>
      </c>
      <c r="FS9" s="229">
        <v>57.33</v>
      </c>
      <c r="FT9" s="229"/>
      <c r="FU9" s="230"/>
      <c r="FV9" s="231">
        <f>SUM(FR9:FU9)</f>
        <v>74.05</v>
      </c>
      <c r="FW9" s="228">
        <v>39.32</v>
      </c>
      <c r="FX9" s="229">
        <v>44.45</v>
      </c>
      <c r="FY9" s="229"/>
      <c r="FZ9" s="230"/>
      <c r="GA9" s="231">
        <f>SUM(FW9:FZ9)</f>
        <v>83.77000000000001</v>
      </c>
      <c r="GB9" s="228">
        <v>31.67</v>
      </c>
      <c r="GC9" s="229">
        <v>25.34</v>
      </c>
      <c r="GD9" s="229"/>
      <c r="GE9" s="230"/>
      <c r="GF9" s="231">
        <f>SUM(GB9:GE9)</f>
        <v>57.010000000000005</v>
      </c>
      <c r="GG9" s="52">
        <v>9.77</v>
      </c>
      <c r="GH9" s="53">
        <v>27.17</v>
      </c>
      <c r="GI9" s="53"/>
      <c r="GJ9" s="54"/>
      <c r="GK9" s="231">
        <f>SUM(GG9:GJ9)</f>
        <v>36.94</v>
      </c>
      <c r="GL9" s="228">
        <v>15.36</v>
      </c>
      <c r="GM9" s="229">
        <v>24.08</v>
      </c>
      <c r="GN9" s="229"/>
      <c r="GO9" s="230"/>
      <c r="GP9" s="231">
        <f>SUM(GL9:GO9)</f>
        <v>39.44</v>
      </c>
      <c r="GQ9" s="228">
        <v>15.14</v>
      </c>
      <c r="GR9" s="229">
        <v>7.87</v>
      </c>
      <c r="GS9" s="229">
        <v>4.54</v>
      </c>
      <c r="GT9" s="230"/>
      <c r="GU9" s="231">
        <f>SUM(GQ9:GT9)</f>
        <v>27.55</v>
      </c>
      <c r="GV9" s="228">
        <v>20.25</v>
      </c>
      <c r="GW9" s="229">
        <v>13.88</v>
      </c>
      <c r="GX9" s="229"/>
      <c r="GY9" s="230"/>
      <c r="GZ9" s="231">
        <f>SUM(GV9:GY9)</f>
        <v>34.130000000000003</v>
      </c>
      <c r="HA9" s="228">
        <v>45.97</v>
      </c>
      <c r="HB9" s="229">
        <v>12.94</v>
      </c>
      <c r="HC9" s="229"/>
      <c r="HD9" s="230"/>
      <c r="HE9" s="231">
        <f>SUM(HA9:HD9)</f>
        <v>58.91</v>
      </c>
      <c r="HF9" s="228">
        <v>40.75</v>
      </c>
      <c r="HG9" s="229">
        <v>13.29</v>
      </c>
      <c r="HH9" s="229"/>
      <c r="HI9" s="230"/>
      <c r="HJ9" s="231">
        <f>SUM(HF9:HI9)</f>
        <v>54.04</v>
      </c>
      <c r="HK9" s="228">
        <v>28.57</v>
      </c>
      <c r="HL9" s="229">
        <v>16.23</v>
      </c>
      <c r="HM9" s="229"/>
      <c r="HN9" s="230"/>
      <c r="HO9" s="231">
        <f>SUM(HK9:HN9)</f>
        <v>44.8</v>
      </c>
      <c r="HP9" s="228">
        <v>33.31</v>
      </c>
      <c r="HQ9" s="229">
        <v>32.630000000000003</v>
      </c>
      <c r="HR9" s="229"/>
      <c r="HS9" s="230"/>
      <c r="HT9" s="231">
        <f>SUM(HP9:HS9)</f>
        <v>65.94</v>
      </c>
      <c r="HU9" s="228">
        <v>24.71</v>
      </c>
      <c r="HV9" s="229">
        <v>26.41</v>
      </c>
      <c r="HW9" s="229"/>
      <c r="HX9" s="230"/>
      <c r="HY9" s="231">
        <f>SUM(HU9:HX9)</f>
        <v>51.120000000000005</v>
      </c>
      <c r="HZ9" s="228">
        <v>68.66</v>
      </c>
      <c r="IA9" s="229">
        <v>39.69</v>
      </c>
      <c r="IB9" s="229"/>
      <c r="IC9" s="230"/>
      <c r="ID9" s="231">
        <f>SUM(HZ9:IC9)</f>
        <v>108.35</v>
      </c>
      <c r="IE9" s="266">
        <v>40.619999999999997</v>
      </c>
      <c r="IF9" s="267">
        <v>9.34</v>
      </c>
      <c r="IG9" s="267">
        <f>50.41+3.48</f>
        <v>53.889999999999993</v>
      </c>
      <c r="IH9" s="268"/>
      <c r="II9" s="219">
        <f>SUM(IE9:IH9)</f>
        <v>103.85</v>
      </c>
      <c r="IJ9" s="266">
        <v>65.930000000000007</v>
      </c>
      <c r="IK9" s="267">
        <v>16.14</v>
      </c>
      <c r="IL9" s="267"/>
      <c r="IM9" s="268"/>
      <c r="IN9" s="219">
        <f>SUM(IJ9:IM9)</f>
        <v>82.070000000000007</v>
      </c>
      <c r="IO9" s="40">
        <v>48.17</v>
      </c>
      <c r="IP9" s="41">
        <v>21.25</v>
      </c>
      <c r="IQ9" s="41"/>
      <c r="IR9" s="44"/>
      <c r="IS9" s="45">
        <f>SUM(IO9:IR9)</f>
        <v>69.42</v>
      </c>
      <c r="IT9" s="40">
        <v>19.239999999999998</v>
      </c>
      <c r="IU9" s="41">
        <v>23.96</v>
      </c>
      <c r="IV9" s="41"/>
      <c r="IW9" s="44"/>
      <c r="IX9" s="45">
        <f>SUM(IT9:IW9)</f>
        <v>43.2</v>
      </c>
      <c r="IY9" s="40">
        <v>31.79</v>
      </c>
      <c r="IZ9" s="41">
        <v>22.9</v>
      </c>
      <c r="JA9" s="41">
        <v>17.21</v>
      </c>
      <c r="JB9" s="44"/>
      <c r="JC9" s="45">
        <f>SUM(IY9:JB9)</f>
        <v>71.900000000000006</v>
      </c>
      <c r="JD9" s="40">
        <v>42.9</v>
      </c>
      <c r="JE9" s="41">
        <v>39.590000000000003</v>
      </c>
      <c r="JF9" s="41"/>
      <c r="JG9" s="44"/>
      <c r="JH9" s="45">
        <f>SUM(JD9:JG9)</f>
        <v>82.490000000000009</v>
      </c>
      <c r="JI9" s="40">
        <v>34.11</v>
      </c>
      <c r="JJ9" s="41">
        <v>50.02</v>
      </c>
      <c r="JK9" s="41"/>
      <c r="JL9" s="44"/>
      <c r="JM9" s="45">
        <f>SUM(JI9:JL9)</f>
        <v>84.13</v>
      </c>
      <c r="JN9" s="40">
        <v>13.38</v>
      </c>
      <c r="JO9" s="41">
        <v>39.14</v>
      </c>
      <c r="JP9" s="41"/>
      <c r="JQ9" s="44"/>
      <c r="JR9" s="45">
        <f>SUM(JN9:JQ9)</f>
        <v>52.52</v>
      </c>
      <c r="JS9" s="40">
        <v>20.11</v>
      </c>
      <c r="JT9" s="41">
        <v>25.43</v>
      </c>
      <c r="JU9" s="41"/>
      <c r="JV9" s="44"/>
      <c r="JW9" s="45">
        <f>SUM(JS9:JV9)</f>
        <v>45.54</v>
      </c>
      <c r="JX9" s="40">
        <v>35.979999999999997</v>
      </c>
      <c r="JY9" s="41">
        <v>29</v>
      </c>
      <c r="JZ9" s="41"/>
      <c r="KA9" s="44"/>
      <c r="KB9" s="45">
        <v>64.97999999999999</v>
      </c>
      <c r="KC9" s="40">
        <v>42.38</v>
      </c>
      <c r="KD9" s="41">
        <v>33.93</v>
      </c>
      <c r="KE9" s="41">
        <v>0</v>
      </c>
      <c r="KF9" s="44">
        <v>0</v>
      </c>
      <c r="KG9" s="45">
        <v>76.31</v>
      </c>
      <c r="KH9" s="40">
        <v>71.430000000000007</v>
      </c>
      <c r="KI9" s="41">
        <v>17.89</v>
      </c>
      <c r="KJ9" s="41"/>
      <c r="KK9" s="44"/>
      <c r="KL9" s="45">
        <v>89.320000000000007</v>
      </c>
      <c r="KM9" s="477">
        <v>56.32</v>
      </c>
      <c r="KN9" s="478">
        <v>67.010000000000005</v>
      </c>
      <c r="KO9" s="41">
        <v>0</v>
      </c>
      <c r="KP9" s="44">
        <v>0</v>
      </c>
      <c r="KQ9" s="45">
        <f>SUM(KM9:KP9)</f>
        <v>123.33000000000001</v>
      </c>
      <c r="KR9" s="40">
        <v>45.47</v>
      </c>
      <c r="KS9" s="41">
        <v>61.180000000000007</v>
      </c>
      <c r="KT9" s="41">
        <v>0</v>
      </c>
      <c r="KU9" s="44">
        <v>0</v>
      </c>
      <c r="KV9" s="45">
        <f>SUM(KR9:KU9)</f>
        <v>106.65</v>
      </c>
    </row>
    <row r="10" spans="1:308" ht="15.75" x14ac:dyDescent="0.25">
      <c r="A10" s="188"/>
      <c r="B10" s="55">
        <v>2</v>
      </c>
      <c r="C10" s="56">
        <v>60.4</v>
      </c>
      <c r="D10" s="57">
        <v>78.739999999999995</v>
      </c>
      <c r="E10" s="58"/>
      <c r="F10" s="59"/>
      <c r="G10" s="60"/>
      <c r="H10" s="61">
        <f t="shared" ref="H10:H37" si="5">D10+E10+F10+G10</f>
        <v>78.739999999999995</v>
      </c>
      <c r="I10" s="62">
        <v>50.07</v>
      </c>
      <c r="J10" s="63"/>
      <c r="K10" s="63"/>
      <c r="L10" s="64"/>
      <c r="M10" s="33">
        <f t="shared" ref="M10:M37" si="6">SUM(I10:L10)</f>
        <v>50.07</v>
      </c>
      <c r="N10" s="62">
        <v>26.08</v>
      </c>
      <c r="O10" s="63">
        <v>2.71</v>
      </c>
      <c r="P10" s="63"/>
      <c r="Q10" s="64"/>
      <c r="R10" s="33">
        <f t="shared" si="0"/>
        <v>28.79</v>
      </c>
      <c r="S10" s="62">
        <v>25.91</v>
      </c>
      <c r="T10" s="63">
        <v>40.549999999999997</v>
      </c>
      <c r="U10" s="63"/>
      <c r="V10" s="64"/>
      <c r="W10" s="33">
        <f t="shared" si="1"/>
        <v>66.459999999999994</v>
      </c>
      <c r="X10" s="62">
        <v>12.75</v>
      </c>
      <c r="Y10" s="63">
        <v>45.59</v>
      </c>
      <c r="Z10" s="63"/>
      <c r="AA10" s="64"/>
      <c r="AB10" s="33">
        <f t="shared" ref="AB10:AB37" si="7">SUM(X10:AA10)</f>
        <v>58.34</v>
      </c>
      <c r="AC10" s="65">
        <v>35.31</v>
      </c>
      <c r="AD10" s="66">
        <v>6.71</v>
      </c>
      <c r="AE10" s="66"/>
      <c r="AF10" s="67"/>
      <c r="AG10" s="37">
        <f t="shared" ref="AG10:AG32" si="8">SUM(AC10:AF10)</f>
        <v>42.02</v>
      </c>
      <c r="AH10" s="65">
        <v>52.27</v>
      </c>
      <c r="AI10" s="66"/>
      <c r="AJ10" s="66"/>
      <c r="AK10" s="67"/>
      <c r="AL10" s="68">
        <f>SUM(AH10:AK10)</f>
        <v>52.27</v>
      </c>
      <c r="AM10" s="69">
        <v>50.41</v>
      </c>
      <c r="AN10" s="70"/>
      <c r="AO10" s="70"/>
      <c r="AP10" s="71"/>
      <c r="AQ10" s="72">
        <f>SUM(AM10:AP10)</f>
        <v>50.41</v>
      </c>
      <c r="AR10" s="69">
        <v>37.552</v>
      </c>
      <c r="AS10" s="70">
        <v>46.25</v>
      </c>
      <c r="AT10" s="70"/>
      <c r="AU10" s="71"/>
      <c r="AV10" s="73">
        <f>SUM(AR10:AU10)</f>
        <v>83.801999999999992</v>
      </c>
      <c r="AW10" s="69">
        <v>57.12</v>
      </c>
      <c r="AX10" s="70"/>
      <c r="AY10" s="70"/>
      <c r="AZ10" s="71"/>
      <c r="BA10" s="73">
        <f>SUM(AW10:AZ10)</f>
        <v>57.12</v>
      </c>
      <c r="BB10" s="69">
        <f>89.54+2.14</f>
        <v>91.68</v>
      </c>
      <c r="BC10" s="70">
        <v>74.52</v>
      </c>
      <c r="BD10" s="70"/>
      <c r="BE10" s="71"/>
      <c r="BF10" s="73">
        <f>SUM(BB10:BE10)</f>
        <v>166.2</v>
      </c>
      <c r="BG10" s="69">
        <v>62.85</v>
      </c>
      <c r="BH10" s="70">
        <v>46.69</v>
      </c>
      <c r="BI10" s="70"/>
      <c r="BJ10" s="74"/>
      <c r="BK10" s="73">
        <f>SUM(BG10:BJ10)</f>
        <v>109.53999999999999</v>
      </c>
      <c r="BL10" s="69">
        <v>47.52</v>
      </c>
      <c r="BM10" s="70">
        <v>33.24</v>
      </c>
      <c r="BN10" s="70"/>
      <c r="BO10" s="74"/>
      <c r="BP10" s="72">
        <f>SUM(BL10:BO10)</f>
        <v>80.760000000000005</v>
      </c>
      <c r="BQ10" s="69">
        <v>26.97</v>
      </c>
      <c r="BR10" s="70">
        <v>25.02</v>
      </c>
      <c r="BS10" s="70"/>
      <c r="BT10" s="71"/>
      <c r="BU10" s="232">
        <f t="shared" ref="BU10:BU47" si="9">SUM(BQ10:BT10)</f>
        <v>51.989999999999995</v>
      </c>
      <c r="BV10" s="233">
        <v>19.309999999999999</v>
      </c>
      <c r="BW10" s="234">
        <v>24.49</v>
      </c>
      <c r="BX10" s="234"/>
      <c r="BY10" s="235"/>
      <c r="BZ10" s="236">
        <f t="shared" ref="BZ10:BZ47" si="10">SUM(BV10:BY10)</f>
        <v>43.8</v>
      </c>
      <c r="CA10" s="237">
        <v>25.72</v>
      </c>
      <c r="CB10" s="238">
        <v>19.440000000000001</v>
      </c>
      <c r="CC10" s="238">
        <v>20.149999999999999</v>
      </c>
      <c r="CD10" s="239"/>
      <c r="CE10" s="240">
        <f>SUM(CA10:CD10)</f>
        <v>65.31</v>
      </c>
      <c r="CF10" s="237">
        <v>28.48</v>
      </c>
      <c r="CG10" s="238">
        <v>23.09</v>
      </c>
      <c r="CH10" s="238"/>
      <c r="CI10" s="239"/>
      <c r="CJ10" s="240">
        <f>SUM(CF10:CI10)</f>
        <v>51.57</v>
      </c>
      <c r="CK10" s="237">
        <v>34.07</v>
      </c>
      <c r="CL10" s="238">
        <v>10.93</v>
      </c>
      <c r="CM10" s="238"/>
      <c r="CN10" s="239"/>
      <c r="CO10" s="240">
        <f>SUM(CK10:CN10)</f>
        <v>45</v>
      </c>
      <c r="CP10" s="241">
        <v>18.86</v>
      </c>
      <c r="CQ10" s="242">
        <v>14.12</v>
      </c>
      <c r="CR10" s="242">
        <v>16.920000000000002</v>
      </c>
      <c r="CS10" s="243"/>
      <c r="CT10" s="244">
        <v>49.9</v>
      </c>
      <c r="CU10" s="241">
        <v>20.86</v>
      </c>
      <c r="CV10" s="242">
        <v>19.309999999999999</v>
      </c>
      <c r="CW10" s="242"/>
      <c r="CX10" s="243"/>
      <c r="CY10" s="244">
        <f t="shared" si="2"/>
        <v>40.17</v>
      </c>
      <c r="CZ10" s="241">
        <v>32.299999999999997</v>
      </c>
      <c r="DA10" s="242">
        <v>25.31</v>
      </c>
      <c r="DB10" s="242"/>
      <c r="DC10" s="243"/>
      <c r="DD10" s="244">
        <f t="shared" si="3"/>
        <v>57.61</v>
      </c>
      <c r="DE10" s="241">
        <v>21.84</v>
      </c>
      <c r="DF10" s="242">
        <v>23.63</v>
      </c>
      <c r="DG10" s="242"/>
      <c r="DH10" s="243"/>
      <c r="DI10" s="244">
        <f t="shared" si="4"/>
        <v>45.47</v>
      </c>
      <c r="DJ10" s="241">
        <v>44.7</v>
      </c>
      <c r="DK10" s="242">
        <v>40.97</v>
      </c>
      <c r="DL10" s="242"/>
      <c r="DM10" s="243"/>
      <c r="DN10" s="244">
        <f t="shared" ref="DN10:DN32" si="11">SUM(DJ10:DM10)</f>
        <v>85.67</v>
      </c>
      <c r="DO10" s="241">
        <v>33.86</v>
      </c>
      <c r="DP10" s="242">
        <v>25.93</v>
      </c>
      <c r="DQ10" s="242"/>
      <c r="DR10" s="243"/>
      <c r="DS10" s="244">
        <f t="shared" ref="DS10:DS32" si="12">SUM(DO10:DR10)</f>
        <v>59.79</v>
      </c>
      <c r="DT10" s="241">
        <v>32.770000000000003</v>
      </c>
      <c r="DU10" s="242">
        <v>34.25</v>
      </c>
      <c r="DV10" s="242"/>
      <c r="DW10" s="243"/>
      <c r="DX10" s="244">
        <f t="shared" ref="DX10:DX32" si="13">SUM(DT10:DW10)</f>
        <v>67.02000000000001</v>
      </c>
      <c r="DY10" s="76">
        <v>32.68</v>
      </c>
      <c r="DZ10" s="77">
        <v>28.27</v>
      </c>
      <c r="EA10" s="77"/>
      <c r="EB10" s="78"/>
      <c r="EC10" s="244">
        <f t="shared" ref="EC10:EC32" si="14">SUM(DY10:EB10)</f>
        <v>60.95</v>
      </c>
      <c r="ED10" s="241">
        <v>36.5</v>
      </c>
      <c r="EE10" s="242">
        <v>28.35</v>
      </c>
      <c r="EF10" s="242"/>
      <c r="EG10" s="243"/>
      <c r="EH10" s="244">
        <f t="shared" ref="EH10:EH32" si="15">SUM(ED10:EG10)</f>
        <v>64.849999999999994</v>
      </c>
      <c r="EI10" s="241">
        <v>29.41</v>
      </c>
      <c r="EJ10" s="242">
        <v>29.28</v>
      </c>
      <c r="EK10" s="242"/>
      <c r="EL10" s="243"/>
      <c r="EM10" s="244">
        <f t="shared" ref="EM10:EM32" si="16">SUM(EI10:EL10)</f>
        <v>58.69</v>
      </c>
      <c r="EN10" s="241">
        <v>19.989999999999998</v>
      </c>
      <c r="EO10" s="242">
        <v>20.73</v>
      </c>
      <c r="EP10" s="242"/>
      <c r="EQ10" s="243"/>
      <c r="ER10" s="244">
        <f t="shared" ref="ER10:ER32" si="17">SUM(EN10:EQ10)</f>
        <v>40.72</v>
      </c>
      <c r="ES10" s="241">
        <v>24.25</v>
      </c>
      <c r="ET10" s="242">
        <v>20.2</v>
      </c>
      <c r="EU10" s="242"/>
      <c r="EV10" s="243"/>
      <c r="EW10" s="244">
        <f t="shared" ref="EW10:EW32" si="18">SUM(ES10:EV10)</f>
        <v>44.45</v>
      </c>
      <c r="EX10" s="241">
        <v>18.02</v>
      </c>
      <c r="EY10" s="242">
        <v>19.93</v>
      </c>
      <c r="EZ10" s="242"/>
      <c r="FA10" s="243"/>
      <c r="FB10" s="244">
        <f t="shared" ref="FB10:FB32" si="19">SUM(EX10:FA10)</f>
        <v>37.950000000000003</v>
      </c>
      <c r="FC10" s="241">
        <v>20.76</v>
      </c>
      <c r="FD10" s="242">
        <v>26.08</v>
      </c>
      <c r="FE10" s="242"/>
      <c r="FF10" s="243"/>
      <c r="FG10" s="244">
        <f t="shared" ref="FG10:FG32" si="20">SUM(FC10:FF10)</f>
        <v>46.84</v>
      </c>
      <c r="FH10" s="241">
        <v>23.41</v>
      </c>
      <c r="FI10" s="242">
        <v>29.48</v>
      </c>
      <c r="FJ10" s="242"/>
      <c r="FK10" s="243"/>
      <c r="FL10" s="244">
        <f t="shared" ref="FL10:FL32" si="21">SUM(FH10:FK10)</f>
        <v>52.89</v>
      </c>
      <c r="FM10" s="241">
        <v>32.32</v>
      </c>
      <c r="FN10" s="242">
        <v>31.6</v>
      </c>
      <c r="FO10" s="242"/>
      <c r="FP10" s="243"/>
      <c r="FQ10" s="244">
        <f t="shared" ref="FQ10:FQ32" si="22">SUM(FM10:FP10)</f>
        <v>63.92</v>
      </c>
      <c r="FR10" s="241">
        <v>35.909999999999997</v>
      </c>
      <c r="FS10" s="242">
        <v>31.67</v>
      </c>
      <c r="FT10" s="242"/>
      <c r="FU10" s="243"/>
      <c r="FV10" s="244">
        <f t="shared" ref="FV10:FV32" si="23">SUM(FR10:FU10)</f>
        <v>67.58</v>
      </c>
      <c r="FW10" s="241">
        <v>39.83</v>
      </c>
      <c r="FX10" s="242">
        <v>33.97</v>
      </c>
      <c r="FY10" s="242"/>
      <c r="FZ10" s="243"/>
      <c r="GA10" s="244">
        <f t="shared" ref="GA10:GA32" si="24">SUM(FW10:FZ10)</f>
        <v>73.8</v>
      </c>
      <c r="GB10" s="241">
        <v>51.75</v>
      </c>
      <c r="GC10" s="242">
        <v>37.47</v>
      </c>
      <c r="GD10" s="242"/>
      <c r="GE10" s="243"/>
      <c r="GF10" s="244">
        <f t="shared" ref="GF10:GF32" si="25">SUM(GB10:GE10)</f>
        <v>89.22</v>
      </c>
      <c r="GG10" s="76">
        <v>38.19</v>
      </c>
      <c r="GH10" s="77">
        <v>34.75</v>
      </c>
      <c r="GI10" s="77"/>
      <c r="GJ10" s="78"/>
      <c r="GK10" s="244">
        <f t="shared" ref="GK10:GK32" si="26">SUM(GG10:GJ10)</f>
        <v>72.94</v>
      </c>
      <c r="GL10" s="241">
        <v>25.49</v>
      </c>
      <c r="GM10" s="242">
        <v>10.77</v>
      </c>
      <c r="GN10" s="242"/>
      <c r="GO10" s="243"/>
      <c r="GP10" s="244">
        <f t="shared" ref="GP10:GP32" si="27">SUM(GL10:GO10)</f>
        <v>36.26</v>
      </c>
      <c r="GQ10" s="241">
        <v>8.17</v>
      </c>
      <c r="GR10" s="242">
        <v>17.47</v>
      </c>
      <c r="GS10" s="242">
        <v>13.67</v>
      </c>
      <c r="GT10" s="243"/>
      <c r="GU10" s="244">
        <f t="shared" ref="GU10:GU32" si="28">SUM(GQ10:GT10)</f>
        <v>39.31</v>
      </c>
      <c r="GV10" s="241">
        <v>31.68</v>
      </c>
      <c r="GW10" s="242">
        <v>24.06</v>
      </c>
      <c r="GX10" s="242"/>
      <c r="GY10" s="243"/>
      <c r="GZ10" s="244">
        <f t="shared" ref="GZ10:GZ32" si="29">SUM(GV10:GY10)</f>
        <v>55.739999999999995</v>
      </c>
      <c r="HA10" s="241">
        <v>42.84</v>
      </c>
      <c r="HB10" s="242">
        <v>22.4</v>
      </c>
      <c r="HC10" s="242">
        <v>10.51</v>
      </c>
      <c r="HD10" s="243"/>
      <c r="HE10" s="244">
        <f t="shared" ref="HE10:HE32" si="30">SUM(HA10:HD10)</f>
        <v>75.750000000000014</v>
      </c>
      <c r="HF10" s="241">
        <v>31.64</v>
      </c>
      <c r="HG10" s="242">
        <v>32.270000000000003</v>
      </c>
      <c r="HH10" s="242"/>
      <c r="HI10" s="243"/>
      <c r="HJ10" s="244">
        <f t="shared" ref="HJ10:HJ32" si="31">SUM(HF10:HI10)</f>
        <v>63.910000000000004</v>
      </c>
      <c r="HK10" s="241">
        <v>30.86</v>
      </c>
      <c r="HL10" s="242">
        <v>20.6</v>
      </c>
      <c r="HM10" s="242"/>
      <c r="HN10" s="243"/>
      <c r="HO10" s="244">
        <f t="shared" ref="HO10:HO32" si="32">SUM(HK10:HN10)</f>
        <v>51.46</v>
      </c>
      <c r="HP10" s="241">
        <v>40.74</v>
      </c>
      <c r="HQ10" s="242">
        <v>66.56</v>
      </c>
      <c r="HR10" s="242"/>
      <c r="HS10" s="243"/>
      <c r="HT10" s="244">
        <f t="shared" ref="HT10:HT32" si="33">SUM(HP10:HS10)</f>
        <v>107.30000000000001</v>
      </c>
      <c r="HU10" s="241">
        <v>75.03</v>
      </c>
      <c r="HV10" s="269"/>
      <c r="HW10" s="242"/>
      <c r="HX10" s="243"/>
      <c r="HY10" s="244">
        <f t="shared" ref="HY10:HY32" si="34">SUM(HU10:HX10)</f>
        <v>75.03</v>
      </c>
      <c r="HZ10" s="241">
        <f>52.94+2.07</f>
        <v>55.01</v>
      </c>
      <c r="IA10" s="242">
        <v>29.3</v>
      </c>
      <c r="IB10" s="242"/>
      <c r="IC10" s="243"/>
      <c r="ID10" s="244">
        <f t="shared" ref="ID10:ID32" si="35">SUM(HZ10:IC10)</f>
        <v>84.31</v>
      </c>
      <c r="IE10" s="233">
        <f>55.54+3.834</f>
        <v>59.374000000000002</v>
      </c>
      <c r="IF10" s="234">
        <v>36.340000000000003</v>
      </c>
      <c r="IG10" s="234"/>
      <c r="IH10" s="235"/>
      <c r="II10" s="232">
        <f t="shared" ref="II10:II32" si="36">SUM(IE10:IH10)</f>
        <v>95.713999999999999</v>
      </c>
      <c r="IJ10" s="233">
        <v>62.25</v>
      </c>
      <c r="IK10" s="234">
        <v>8.74</v>
      </c>
      <c r="IL10" s="234"/>
      <c r="IM10" s="235"/>
      <c r="IN10" s="232">
        <f t="shared" ref="IN10:IN32" si="37">SUM(IJ10:IM10)</f>
        <v>70.989999999999995</v>
      </c>
      <c r="IO10" s="69">
        <v>26.95</v>
      </c>
      <c r="IP10" s="70">
        <v>37.409999999999997</v>
      </c>
      <c r="IQ10" s="70"/>
      <c r="IR10" s="71"/>
      <c r="IS10" s="73">
        <f t="shared" ref="IS10:IS32" si="38">SUM(IO10:IR10)</f>
        <v>64.36</v>
      </c>
      <c r="IT10" s="69">
        <v>48.71</v>
      </c>
      <c r="IU10" s="70">
        <v>31.2</v>
      </c>
      <c r="IV10" s="70"/>
      <c r="IW10" s="71"/>
      <c r="IX10" s="73">
        <f t="shared" ref="IX10:IX32" si="39">SUM(IT10:IW10)</f>
        <v>79.91</v>
      </c>
      <c r="IY10" s="69">
        <v>33.68</v>
      </c>
      <c r="IZ10" s="70">
        <v>57.36</v>
      </c>
      <c r="JA10" s="70"/>
      <c r="JB10" s="71"/>
      <c r="JC10" s="73">
        <f t="shared" ref="JC10:JC32" si="40">SUM(IY10:JB10)</f>
        <v>91.039999999999992</v>
      </c>
      <c r="JD10" s="69">
        <v>74.37</v>
      </c>
      <c r="JE10" s="79"/>
      <c r="JF10" s="70"/>
      <c r="JG10" s="71"/>
      <c r="JH10" s="73">
        <f t="shared" ref="JH10:JH32" si="41">SUM(JD10:JG10)</f>
        <v>74.37</v>
      </c>
      <c r="JI10" s="69">
        <v>17.75</v>
      </c>
      <c r="JJ10" s="70">
        <v>40.67</v>
      </c>
      <c r="JK10" s="70">
        <v>34.630000000000003</v>
      </c>
      <c r="JL10" s="71"/>
      <c r="JM10" s="73">
        <f t="shared" ref="JM10:JM32" si="42">SUM(JI10:JL10)</f>
        <v>93.050000000000011</v>
      </c>
      <c r="JN10" s="69">
        <v>27.43</v>
      </c>
      <c r="JO10" s="70">
        <v>12.13</v>
      </c>
      <c r="JP10" s="70"/>
      <c r="JQ10" s="71"/>
      <c r="JR10" s="73">
        <f t="shared" ref="JR10:JR32" si="43">SUM(JN10:JQ10)</f>
        <v>39.56</v>
      </c>
      <c r="JS10" s="69">
        <v>32.85</v>
      </c>
      <c r="JT10" s="70">
        <v>12.23</v>
      </c>
      <c r="JU10" s="70">
        <v>12.76</v>
      </c>
      <c r="JV10" s="71"/>
      <c r="JW10" s="73">
        <f t="shared" ref="JW10:JW32" si="44">SUM(JS10:JV10)</f>
        <v>57.839999999999996</v>
      </c>
      <c r="JX10" s="69">
        <v>25.4</v>
      </c>
      <c r="JY10" s="70">
        <v>25.76</v>
      </c>
      <c r="JZ10" s="70"/>
      <c r="KA10" s="71"/>
      <c r="KB10" s="73">
        <v>51.16</v>
      </c>
      <c r="KC10" s="69">
        <v>26.67</v>
      </c>
      <c r="KD10" s="70">
        <v>31.8</v>
      </c>
      <c r="KE10" s="70">
        <v>17.78</v>
      </c>
      <c r="KF10" s="71">
        <v>0</v>
      </c>
      <c r="KG10" s="73">
        <v>76.25</v>
      </c>
      <c r="KH10" s="69">
        <v>63.76</v>
      </c>
      <c r="KI10" s="70">
        <v>16.78</v>
      </c>
      <c r="KJ10" s="70"/>
      <c r="KK10" s="71"/>
      <c r="KL10" s="73">
        <v>80.539999999999992</v>
      </c>
      <c r="KM10" s="479">
        <v>52.18</v>
      </c>
      <c r="KN10" s="480">
        <v>72</v>
      </c>
      <c r="KO10" s="70">
        <v>0</v>
      </c>
      <c r="KP10" s="71">
        <v>0</v>
      </c>
      <c r="KQ10" s="73">
        <f t="shared" ref="KQ10:KQ49" si="45">SUM(KM10:KP10)</f>
        <v>124.18</v>
      </c>
      <c r="KR10" s="69">
        <v>57.309999999999995</v>
      </c>
      <c r="KS10" s="70">
        <v>0</v>
      </c>
      <c r="KT10" s="70">
        <v>0</v>
      </c>
      <c r="KU10" s="71">
        <v>0</v>
      </c>
      <c r="KV10" s="73">
        <f t="shared" ref="KV10:KV49" si="46">SUM(KR10:KU10)</f>
        <v>57.309999999999995</v>
      </c>
    </row>
    <row r="11" spans="1:308" ht="15.75" x14ac:dyDescent="0.25">
      <c r="A11" s="188"/>
      <c r="B11" s="55">
        <v>3</v>
      </c>
      <c r="C11" s="56">
        <v>69.2</v>
      </c>
      <c r="D11" s="57">
        <v>19.86</v>
      </c>
      <c r="E11" s="58">
        <v>58.7</v>
      </c>
      <c r="F11" s="59"/>
      <c r="G11" s="60"/>
      <c r="H11" s="61">
        <f t="shared" si="5"/>
        <v>78.56</v>
      </c>
      <c r="I11" s="62">
        <v>18.22</v>
      </c>
      <c r="J11" s="63">
        <v>46.94</v>
      </c>
      <c r="K11" s="63"/>
      <c r="L11" s="64"/>
      <c r="M11" s="33">
        <f t="shared" si="6"/>
        <v>65.16</v>
      </c>
      <c r="N11" s="62">
        <v>73.16</v>
      </c>
      <c r="O11" s="63"/>
      <c r="P11" s="63"/>
      <c r="Q11" s="64"/>
      <c r="R11" s="33">
        <f t="shared" si="0"/>
        <v>73.16</v>
      </c>
      <c r="S11" s="62">
        <v>36.97</v>
      </c>
      <c r="T11" s="63">
        <v>34.78</v>
      </c>
      <c r="U11" s="63"/>
      <c r="V11" s="64"/>
      <c r="W11" s="33">
        <f t="shared" si="1"/>
        <v>71.75</v>
      </c>
      <c r="X11" s="62">
        <v>59.15</v>
      </c>
      <c r="Y11" s="63">
        <v>42.75</v>
      </c>
      <c r="Z11" s="63"/>
      <c r="AA11" s="64"/>
      <c r="AB11" s="33">
        <f t="shared" si="7"/>
        <v>101.9</v>
      </c>
      <c r="AC11" s="65">
        <v>23.12</v>
      </c>
      <c r="AD11" s="66">
        <v>66.27</v>
      </c>
      <c r="AE11" s="66"/>
      <c r="AF11" s="67"/>
      <c r="AG11" s="37">
        <f t="shared" si="8"/>
        <v>89.39</v>
      </c>
      <c r="AH11" s="65">
        <v>59.51</v>
      </c>
      <c r="AI11" s="66"/>
      <c r="AJ11" s="66"/>
      <c r="AK11" s="67"/>
      <c r="AL11" s="68">
        <f t="shared" ref="AL11:AL32" si="47">SUM(AH11:AK11)</f>
        <v>59.51</v>
      </c>
      <c r="AM11" s="69">
        <v>48.94</v>
      </c>
      <c r="AN11" s="70">
        <v>27.100999999999999</v>
      </c>
      <c r="AO11" s="70">
        <v>5.12</v>
      </c>
      <c r="AP11" s="71"/>
      <c r="AQ11" s="72">
        <f t="shared" ref="AQ11:AQ37" si="48">SUM(AM11:AP11)</f>
        <v>81.161000000000001</v>
      </c>
      <c r="AR11" s="69">
        <v>85.59</v>
      </c>
      <c r="AS11" s="70"/>
      <c r="AT11" s="70"/>
      <c r="AU11" s="71"/>
      <c r="AV11" s="73">
        <f t="shared" ref="AV11:AV37" si="49">SUM(AR11:AU11)</f>
        <v>85.59</v>
      </c>
      <c r="AW11" s="69">
        <v>81.739999999999995</v>
      </c>
      <c r="AX11" s="70">
        <v>68.459999999999994</v>
      </c>
      <c r="AY11" s="70"/>
      <c r="AZ11" s="71"/>
      <c r="BA11" s="73">
        <f t="shared" ref="BA11:BA37" si="50">SUM(AW11:AZ11)</f>
        <v>150.19999999999999</v>
      </c>
      <c r="BB11" s="69">
        <f>23.01+2.32</f>
        <v>25.330000000000002</v>
      </c>
      <c r="BC11" s="70">
        <f>68.52+1.16</f>
        <v>69.679999999999993</v>
      </c>
      <c r="BD11" s="70">
        <v>24.97</v>
      </c>
      <c r="BE11" s="71"/>
      <c r="BF11" s="73">
        <f>SUM(BB11:BE11)</f>
        <v>119.97999999999999</v>
      </c>
      <c r="BG11" s="69">
        <f>93.57+4.76</f>
        <v>98.33</v>
      </c>
      <c r="BH11" s="70"/>
      <c r="BI11" s="70"/>
      <c r="BJ11" s="74"/>
      <c r="BK11" s="73">
        <f t="shared" ref="BK11:BK48" si="51">SUM(BG11:BJ11)</f>
        <v>98.33</v>
      </c>
      <c r="BL11" s="69">
        <f>39.95+0.6</f>
        <v>40.550000000000004</v>
      </c>
      <c r="BM11" s="70">
        <f>63.62+1.74</f>
        <v>65.36</v>
      </c>
      <c r="BN11" s="70"/>
      <c r="BO11" s="74"/>
      <c r="BP11" s="72">
        <f t="shared" ref="BP11:BP48" si="52">SUM(BL11:BO11)</f>
        <v>105.91</v>
      </c>
      <c r="BQ11" s="69">
        <f>46.33+1.27</f>
        <v>47.6</v>
      </c>
      <c r="BR11" s="70"/>
      <c r="BS11" s="70"/>
      <c r="BT11" s="71"/>
      <c r="BU11" s="232">
        <f t="shared" si="9"/>
        <v>47.6</v>
      </c>
      <c r="BV11" s="233">
        <v>24.87</v>
      </c>
      <c r="BW11" s="234">
        <v>15.33</v>
      </c>
      <c r="BX11" s="234"/>
      <c r="BY11" s="235"/>
      <c r="BZ11" s="236">
        <f t="shared" si="10"/>
        <v>40.200000000000003</v>
      </c>
      <c r="CA11" s="237">
        <v>35.93</v>
      </c>
      <c r="CB11" s="238">
        <v>40.61</v>
      </c>
      <c r="CC11" s="238"/>
      <c r="CD11" s="239"/>
      <c r="CE11" s="240">
        <f t="shared" ref="CE11:CE49" si="53">SUM(CA11:CD11)</f>
        <v>76.539999999999992</v>
      </c>
      <c r="CF11" s="237">
        <v>52.65</v>
      </c>
      <c r="CG11" s="238"/>
      <c r="CH11" s="238"/>
      <c r="CI11" s="239"/>
      <c r="CJ11" s="240">
        <f t="shared" ref="CJ11:CJ49" si="54">SUM(CF11:CI11)</f>
        <v>52.65</v>
      </c>
      <c r="CK11" s="237">
        <v>57.81</v>
      </c>
      <c r="CL11" s="238">
        <v>23.47</v>
      </c>
      <c r="CM11" s="238"/>
      <c r="CN11" s="239"/>
      <c r="CO11" s="240">
        <f t="shared" ref="CO11:CO49" si="55">SUM(CK11:CN11)</f>
        <v>81.28</v>
      </c>
      <c r="CP11" s="241">
        <v>23.1</v>
      </c>
      <c r="CQ11" s="242">
        <v>21.13</v>
      </c>
      <c r="CR11" s="242">
        <v>18.72</v>
      </c>
      <c r="CS11" s="243"/>
      <c r="CT11" s="244">
        <v>62.95</v>
      </c>
      <c r="CU11" s="241">
        <v>48.72</v>
      </c>
      <c r="CV11" s="242">
        <v>7.52</v>
      </c>
      <c r="CW11" s="242"/>
      <c r="CX11" s="243"/>
      <c r="CY11" s="244">
        <f t="shared" si="2"/>
        <v>56.239999999999995</v>
      </c>
      <c r="CZ11" s="241">
        <v>42.24</v>
      </c>
      <c r="DA11" s="242">
        <v>53.28</v>
      </c>
      <c r="DB11" s="242"/>
      <c r="DC11" s="243"/>
      <c r="DD11" s="244">
        <f t="shared" si="3"/>
        <v>95.52000000000001</v>
      </c>
      <c r="DE11" s="241">
        <v>31.88</v>
      </c>
      <c r="DF11" s="242">
        <v>87.68</v>
      </c>
      <c r="DG11" s="242"/>
      <c r="DH11" s="243"/>
      <c r="DI11" s="244">
        <f t="shared" si="4"/>
        <v>119.56</v>
      </c>
      <c r="DJ11" s="241">
        <v>43.2</v>
      </c>
      <c r="DK11" s="242">
        <v>123.5</v>
      </c>
      <c r="DL11" s="242"/>
      <c r="DM11" s="243"/>
      <c r="DN11" s="244">
        <f t="shared" si="11"/>
        <v>166.7</v>
      </c>
      <c r="DO11" s="241">
        <v>83.02</v>
      </c>
      <c r="DP11" s="242"/>
      <c r="DQ11" s="242"/>
      <c r="DR11" s="243"/>
      <c r="DS11" s="244">
        <f t="shared" si="12"/>
        <v>83.02</v>
      </c>
      <c r="DT11" s="241">
        <v>106.95</v>
      </c>
      <c r="DU11" s="242"/>
      <c r="DV11" s="242"/>
      <c r="DW11" s="243"/>
      <c r="DX11" s="244">
        <f t="shared" si="13"/>
        <v>106.95</v>
      </c>
      <c r="DY11" s="76">
        <v>58.34</v>
      </c>
      <c r="DZ11" s="77"/>
      <c r="EA11" s="77"/>
      <c r="EB11" s="78"/>
      <c r="EC11" s="244">
        <f t="shared" si="14"/>
        <v>58.34</v>
      </c>
      <c r="ED11" s="241">
        <v>61.71</v>
      </c>
      <c r="EE11" s="242"/>
      <c r="EF11" s="242"/>
      <c r="EG11" s="243"/>
      <c r="EH11" s="244">
        <f t="shared" si="15"/>
        <v>61.71</v>
      </c>
      <c r="EI11" s="241">
        <v>41.08</v>
      </c>
      <c r="EJ11" s="242">
        <v>38.770000000000003</v>
      </c>
      <c r="EK11" s="242"/>
      <c r="EL11" s="243"/>
      <c r="EM11" s="244">
        <f t="shared" si="16"/>
        <v>79.849999999999994</v>
      </c>
      <c r="EN11" s="241">
        <v>26.12</v>
      </c>
      <c r="EO11" s="242">
        <v>6.86</v>
      </c>
      <c r="EP11" s="242"/>
      <c r="EQ11" s="243"/>
      <c r="ER11" s="244">
        <f t="shared" si="17"/>
        <v>32.980000000000004</v>
      </c>
      <c r="ES11" s="241">
        <v>52.55</v>
      </c>
      <c r="ET11" s="242">
        <v>7.46</v>
      </c>
      <c r="EU11" s="242"/>
      <c r="EV11" s="243"/>
      <c r="EW11" s="244">
        <f t="shared" si="18"/>
        <v>60.01</v>
      </c>
      <c r="EX11" s="241">
        <v>52.89</v>
      </c>
      <c r="EY11" s="242">
        <v>4.59</v>
      </c>
      <c r="EZ11" s="242"/>
      <c r="FA11" s="243"/>
      <c r="FB11" s="244">
        <f t="shared" si="19"/>
        <v>57.480000000000004</v>
      </c>
      <c r="FC11" s="241">
        <v>42.44</v>
      </c>
      <c r="FD11" s="242">
        <v>34.299999999999997</v>
      </c>
      <c r="FE11" s="242"/>
      <c r="FF11" s="243"/>
      <c r="FG11" s="244">
        <f t="shared" si="20"/>
        <v>76.739999999999995</v>
      </c>
      <c r="FH11" s="241">
        <v>60.32</v>
      </c>
      <c r="FI11" s="242">
        <v>13.51</v>
      </c>
      <c r="FJ11" s="242"/>
      <c r="FK11" s="243"/>
      <c r="FL11" s="244">
        <f t="shared" si="21"/>
        <v>73.83</v>
      </c>
      <c r="FM11" s="241">
        <v>95.18</v>
      </c>
      <c r="FN11" s="242">
        <f>13.35+0.9</f>
        <v>14.25</v>
      </c>
      <c r="FO11" s="242"/>
      <c r="FP11" s="243"/>
      <c r="FQ11" s="244">
        <f t="shared" si="22"/>
        <v>109.43</v>
      </c>
      <c r="FR11" s="241">
        <v>55.11</v>
      </c>
      <c r="FS11" s="242">
        <v>58.79</v>
      </c>
      <c r="FT11" s="242"/>
      <c r="FU11" s="243"/>
      <c r="FV11" s="244">
        <f t="shared" si="23"/>
        <v>113.9</v>
      </c>
      <c r="FW11" s="241">
        <v>55.6</v>
      </c>
      <c r="FX11" s="242">
        <v>16.32</v>
      </c>
      <c r="FY11" s="242"/>
      <c r="FZ11" s="243"/>
      <c r="GA11" s="244">
        <f t="shared" si="24"/>
        <v>71.92</v>
      </c>
      <c r="GB11" s="241">
        <v>31.92</v>
      </c>
      <c r="GC11" s="242">
        <v>21.08</v>
      </c>
      <c r="GD11" s="242"/>
      <c r="GE11" s="243"/>
      <c r="GF11" s="244">
        <f t="shared" si="25"/>
        <v>53</v>
      </c>
      <c r="GG11" s="76">
        <v>51.04</v>
      </c>
      <c r="GH11" s="77">
        <v>20.2</v>
      </c>
      <c r="GI11" s="77"/>
      <c r="GJ11" s="78"/>
      <c r="GK11" s="244">
        <f t="shared" si="26"/>
        <v>71.239999999999995</v>
      </c>
      <c r="GL11" s="241">
        <v>14.17</v>
      </c>
      <c r="GM11" s="242">
        <v>24.44</v>
      </c>
      <c r="GN11" s="242"/>
      <c r="GO11" s="243"/>
      <c r="GP11" s="244">
        <f t="shared" si="27"/>
        <v>38.61</v>
      </c>
      <c r="GQ11" s="241">
        <v>12.73</v>
      </c>
      <c r="GR11" s="242">
        <v>2.87</v>
      </c>
      <c r="GS11" s="242"/>
      <c r="GT11" s="243"/>
      <c r="GU11" s="244">
        <f t="shared" si="28"/>
        <v>15.600000000000001</v>
      </c>
      <c r="GV11" s="241">
        <v>34.22</v>
      </c>
      <c r="GW11" s="242">
        <v>15.52</v>
      </c>
      <c r="GX11" s="242"/>
      <c r="GY11" s="243"/>
      <c r="GZ11" s="244">
        <f t="shared" si="29"/>
        <v>49.739999999999995</v>
      </c>
      <c r="HA11" s="241">
        <v>49.54</v>
      </c>
      <c r="HB11" s="242">
        <v>11.01</v>
      </c>
      <c r="HC11" s="242"/>
      <c r="HD11" s="243"/>
      <c r="HE11" s="244">
        <f t="shared" si="30"/>
        <v>60.55</v>
      </c>
      <c r="HF11" s="241">
        <v>47.06</v>
      </c>
      <c r="HG11" s="242">
        <v>10.6</v>
      </c>
      <c r="HH11" s="242"/>
      <c r="HI11" s="243"/>
      <c r="HJ11" s="244">
        <f t="shared" si="31"/>
        <v>57.660000000000004</v>
      </c>
      <c r="HK11" s="241">
        <v>49.22</v>
      </c>
      <c r="HL11" s="242">
        <v>16.170000000000002</v>
      </c>
      <c r="HM11" s="242"/>
      <c r="HN11" s="243"/>
      <c r="HO11" s="244">
        <f t="shared" si="32"/>
        <v>65.39</v>
      </c>
      <c r="HP11" s="241">
        <v>82.38</v>
      </c>
      <c r="HQ11" s="242">
        <v>31.87</v>
      </c>
      <c r="HR11" s="242"/>
      <c r="HS11" s="243"/>
      <c r="HT11" s="244">
        <f t="shared" si="33"/>
        <v>114.25</v>
      </c>
      <c r="HU11" s="241">
        <v>53.67</v>
      </c>
      <c r="HV11" s="242">
        <v>40.25</v>
      </c>
      <c r="HW11" s="242"/>
      <c r="HX11" s="243"/>
      <c r="HY11" s="244">
        <f t="shared" si="34"/>
        <v>93.92</v>
      </c>
      <c r="HZ11" s="241">
        <f>121.01+9.7</f>
        <v>130.71</v>
      </c>
      <c r="IA11" s="242">
        <v>16.11</v>
      </c>
      <c r="IB11" s="242"/>
      <c r="IC11" s="243"/>
      <c r="ID11" s="244">
        <f t="shared" si="35"/>
        <v>146.82</v>
      </c>
      <c r="IE11" s="233">
        <v>23.8</v>
      </c>
      <c r="IF11" s="234">
        <v>37.81</v>
      </c>
      <c r="IG11" s="234"/>
      <c r="IH11" s="235"/>
      <c r="II11" s="232">
        <f t="shared" si="36"/>
        <v>61.61</v>
      </c>
      <c r="IJ11" s="233">
        <v>111.05</v>
      </c>
      <c r="IK11" s="234">
        <v>40.630000000000003</v>
      </c>
      <c r="IL11" s="234"/>
      <c r="IM11" s="235"/>
      <c r="IN11" s="232">
        <f t="shared" si="37"/>
        <v>151.68</v>
      </c>
      <c r="IO11" s="69">
        <v>38.020000000000003</v>
      </c>
      <c r="IP11" s="70">
        <v>15.83</v>
      </c>
      <c r="IQ11" s="70"/>
      <c r="IR11" s="71"/>
      <c r="IS11" s="73">
        <f t="shared" si="38"/>
        <v>53.85</v>
      </c>
      <c r="IT11" s="69">
        <v>64.25</v>
      </c>
      <c r="IU11" s="70">
        <v>14.98</v>
      </c>
      <c r="IV11" s="70"/>
      <c r="IW11" s="71"/>
      <c r="IX11" s="73">
        <f t="shared" si="39"/>
        <v>79.23</v>
      </c>
      <c r="IY11" s="69">
        <v>44.27</v>
      </c>
      <c r="IZ11" s="70">
        <v>14.88</v>
      </c>
      <c r="JA11" s="70"/>
      <c r="JB11" s="71"/>
      <c r="JC11" s="73">
        <f t="shared" si="40"/>
        <v>59.150000000000006</v>
      </c>
      <c r="JD11" s="69">
        <v>80.72</v>
      </c>
      <c r="JE11" s="70">
        <v>24.15</v>
      </c>
      <c r="JF11" s="70"/>
      <c r="JG11" s="71"/>
      <c r="JH11" s="73">
        <f t="shared" si="41"/>
        <v>104.87</v>
      </c>
      <c r="JI11" s="69">
        <v>56.42</v>
      </c>
      <c r="JJ11" s="70">
        <v>17.350000000000001</v>
      </c>
      <c r="JK11" s="70"/>
      <c r="JL11" s="71"/>
      <c r="JM11" s="73">
        <f t="shared" si="42"/>
        <v>73.77000000000001</v>
      </c>
      <c r="JN11" s="69">
        <v>43.87</v>
      </c>
      <c r="JO11" s="70">
        <v>19.059999999999999</v>
      </c>
      <c r="JP11" s="70">
        <v>2.64</v>
      </c>
      <c r="JQ11" s="71"/>
      <c r="JR11" s="73">
        <f t="shared" si="43"/>
        <v>65.569999999999993</v>
      </c>
      <c r="JS11" s="69">
        <v>57.23</v>
      </c>
      <c r="JT11" s="70">
        <v>18.57</v>
      </c>
      <c r="JU11" s="70"/>
      <c r="JV11" s="71"/>
      <c r="JW11" s="73">
        <f t="shared" si="44"/>
        <v>75.8</v>
      </c>
      <c r="JX11" s="69">
        <v>66.540000000000006</v>
      </c>
      <c r="JY11" s="70">
        <v>25.79</v>
      </c>
      <c r="JZ11" s="70"/>
      <c r="KA11" s="71"/>
      <c r="KB11" s="73">
        <v>92.330000000000013</v>
      </c>
      <c r="KC11" s="69">
        <v>64.739999999999995</v>
      </c>
      <c r="KD11" s="70">
        <v>27.73</v>
      </c>
      <c r="KE11" s="70">
        <v>0</v>
      </c>
      <c r="KF11" s="71">
        <v>0</v>
      </c>
      <c r="KG11" s="73">
        <v>92.47</v>
      </c>
      <c r="KH11" s="69">
        <v>91.87</v>
      </c>
      <c r="KI11" s="70">
        <v>94.73</v>
      </c>
      <c r="KJ11" s="70"/>
      <c r="KK11" s="71"/>
      <c r="KL11" s="73">
        <v>186.60000000000002</v>
      </c>
      <c r="KM11" s="479">
        <v>77.78</v>
      </c>
      <c r="KN11" s="480">
        <v>44.32</v>
      </c>
      <c r="KO11" s="70">
        <v>0</v>
      </c>
      <c r="KP11" s="71">
        <v>0</v>
      </c>
      <c r="KQ11" s="73">
        <f t="shared" si="45"/>
        <v>122.1</v>
      </c>
      <c r="KR11" s="69">
        <v>15.21</v>
      </c>
      <c r="KS11" s="70">
        <v>64.8</v>
      </c>
      <c r="KT11" s="70">
        <v>0</v>
      </c>
      <c r="KU11" s="71">
        <v>0</v>
      </c>
      <c r="KV11" s="73">
        <f t="shared" si="46"/>
        <v>80.009999999999991</v>
      </c>
    </row>
    <row r="12" spans="1:308" ht="15.75" x14ac:dyDescent="0.25">
      <c r="A12" s="188"/>
      <c r="B12" s="55">
        <v>4</v>
      </c>
      <c r="C12" s="56">
        <v>70.599999999999994</v>
      </c>
      <c r="D12" s="57">
        <v>75.28</v>
      </c>
      <c r="E12" s="58"/>
      <c r="F12" s="59"/>
      <c r="G12" s="60"/>
      <c r="H12" s="61">
        <f t="shared" si="5"/>
        <v>75.28</v>
      </c>
      <c r="I12" s="62">
        <v>76.510000000000005</v>
      </c>
      <c r="J12" s="63"/>
      <c r="K12" s="63"/>
      <c r="L12" s="64"/>
      <c r="M12" s="33">
        <f t="shared" si="6"/>
        <v>76.510000000000005</v>
      </c>
      <c r="N12" s="62">
        <v>45.87</v>
      </c>
      <c r="O12" s="63">
        <v>36.99</v>
      </c>
      <c r="P12" s="63"/>
      <c r="Q12" s="64"/>
      <c r="R12" s="33">
        <f t="shared" si="0"/>
        <v>82.86</v>
      </c>
      <c r="S12" s="62">
        <v>45.71</v>
      </c>
      <c r="T12" s="63">
        <v>47.76</v>
      </c>
      <c r="U12" s="63"/>
      <c r="V12" s="64"/>
      <c r="W12" s="33">
        <f t="shared" si="1"/>
        <v>93.47</v>
      </c>
      <c r="X12" s="62">
        <v>52.55</v>
      </c>
      <c r="Y12" s="63"/>
      <c r="Z12" s="63"/>
      <c r="AA12" s="64"/>
      <c r="AB12" s="33">
        <f t="shared" si="7"/>
        <v>52.55</v>
      </c>
      <c r="AC12" s="65">
        <v>69.510000000000005</v>
      </c>
      <c r="AD12" s="66">
        <v>48.24</v>
      </c>
      <c r="AE12" s="66"/>
      <c r="AF12" s="67"/>
      <c r="AG12" s="37">
        <f t="shared" si="8"/>
        <v>117.75</v>
      </c>
      <c r="AH12" s="65">
        <v>39.92</v>
      </c>
      <c r="AI12" s="66">
        <v>35.380000000000003</v>
      </c>
      <c r="AJ12" s="66"/>
      <c r="AK12" s="67"/>
      <c r="AL12" s="68">
        <f t="shared" si="47"/>
        <v>75.300000000000011</v>
      </c>
      <c r="AM12" s="69">
        <v>18.440000000000001</v>
      </c>
      <c r="AN12" s="70">
        <v>59.09</v>
      </c>
      <c r="AO12" s="70"/>
      <c r="AP12" s="71"/>
      <c r="AQ12" s="72">
        <f t="shared" si="48"/>
        <v>77.53</v>
      </c>
      <c r="AR12" s="69">
        <v>83.54</v>
      </c>
      <c r="AS12" s="70">
        <v>35.880000000000003</v>
      </c>
      <c r="AT12" s="70"/>
      <c r="AU12" s="71"/>
      <c r="AV12" s="73">
        <f t="shared" si="49"/>
        <v>119.42000000000002</v>
      </c>
      <c r="AW12" s="69">
        <v>84.63</v>
      </c>
      <c r="AX12" s="70"/>
      <c r="AY12" s="70"/>
      <c r="AZ12" s="71"/>
      <c r="BA12" s="73">
        <f t="shared" si="50"/>
        <v>84.63</v>
      </c>
      <c r="BB12" s="69">
        <f>82.56+0.89</f>
        <v>83.45</v>
      </c>
      <c r="BC12" s="70">
        <v>44.73</v>
      </c>
      <c r="BD12" s="70"/>
      <c r="BE12" s="71"/>
      <c r="BF12" s="73">
        <f>SUM(BB12:BE12)</f>
        <v>128.18</v>
      </c>
      <c r="BG12" s="69">
        <f>76.16+8.04</f>
        <v>84.199999999999989</v>
      </c>
      <c r="BH12" s="70">
        <v>59.52</v>
      </c>
      <c r="BI12" s="70"/>
      <c r="BJ12" s="74"/>
      <c r="BK12" s="73">
        <f t="shared" si="51"/>
        <v>143.72</v>
      </c>
      <c r="BL12" s="69">
        <f>64.48+6.7</f>
        <v>71.180000000000007</v>
      </c>
      <c r="BM12" s="70">
        <f>67.14+1.07</f>
        <v>68.209999999999994</v>
      </c>
      <c r="BN12" s="70"/>
      <c r="BO12" s="74"/>
      <c r="BP12" s="72">
        <f t="shared" si="52"/>
        <v>139.38999999999999</v>
      </c>
      <c r="BQ12" s="69">
        <f>27.79+8.17</f>
        <v>35.96</v>
      </c>
      <c r="BR12" s="70">
        <f>52.86+3.87</f>
        <v>56.73</v>
      </c>
      <c r="BS12" s="70"/>
      <c r="BT12" s="71"/>
      <c r="BU12" s="232">
        <f t="shared" si="9"/>
        <v>92.69</v>
      </c>
      <c r="BV12" s="233">
        <v>29.54</v>
      </c>
      <c r="BW12" s="234">
        <v>15.56</v>
      </c>
      <c r="BX12" s="234">
        <v>8.82</v>
      </c>
      <c r="BY12" s="235"/>
      <c r="BZ12" s="236">
        <f t="shared" si="10"/>
        <v>53.92</v>
      </c>
      <c r="CA12" s="237">
        <v>22.67</v>
      </c>
      <c r="CB12" s="238">
        <v>41.21</v>
      </c>
      <c r="CC12" s="238"/>
      <c r="CD12" s="239"/>
      <c r="CE12" s="240">
        <f t="shared" si="53"/>
        <v>63.88</v>
      </c>
      <c r="CF12" s="237">
        <v>48.08</v>
      </c>
      <c r="CG12" s="238">
        <v>55.16</v>
      </c>
      <c r="CH12" s="238"/>
      <c r="CI12" s="239"/>
      <c r="CJ12" s="240">
        <f t="shared" si="54"/>
        <v>103.24</v>
      </c>
      <c r="CK12" s="237">
        <v>45.69</v>
      </c>
      <c r="CL12" s="238">
        <v>35.74</v>
      </c>
      <c r="CM12" s="238"/>
      <c r="CN12" s="239"/>
      <c r="CO12" s="240">
        <f t="shared" si="55"/>
        <v>81.430000000000007</v>
      </c>
      <c r="CP12" s="241">
        <v>31.2</v>
      </c>
      <c r="CQ12" s="242">
        <v>25.5</v>
      </c>
      <c r="CR12" s="242"/>
      <c r="CS12" s="243"/>
      <c r="CT12" s="244">
        <v>56.7</v>
      </c>
      <c r="CU12" s="241">
        <v>25.47</v>
      </c>
      <c r="CV12" s="242">
        <v>34.14</v>
      </c>
      <c r="CW12" s="242">
        <v>11.42</v>
      </c>
      <c r="CX12" s="243"/>
      <c r="CY12" s="244">
        <f t="shared" si="2"/>
        <v>71.03</v>
      </c>
      <c r="CZ12" s="241">
        <v>71.13</v>
      </c>
      <c r="DA12" s="242">
        <v>6.96</v>
      </c>
      <c r="DB12" s="242"/>
      <c r="DC12" s="243"/>
      <c r="DD12" s="244">
        <f t="shared" si="3"/>
        <v>78.089999999999989</v>
      </c>
      <c r="DE12" s="241">
        <v>79.38</v>
      </c>
      <c r="DF12" s="242">
        <v>92.71</v>
      </c>
      <c r="DG12" s="242"/>
      <c r="DH12" s="243"/>
      <c r="DI12" s="244">
        <f t="shared" si="4"/>
        <v>172.08999999999997</v>
      </c>
      <c r="DJ12" s="241">
        <v>115.32</v>
      </c>
      <c r="DK12" s="242"/>
      <c r="DL12" s="242"/>
      <c r="DM12" s="243"/>
      <c r="DN12" s="244">
        <f t="shared" si="11"/>
        <v>115.32</v>
      </c>
      <c r="DO12" s="241">
        <v>109.25</v>
      </c>
      <c r="DP12" s="242"/>
      <c r="DQ12" s="242"/>
      <c r="DR12" s="243"/>
      <c r="DS12" s="244">
        <f t="shared" si="12"/>
        <v>109.25</v>
      </c>
      <c r="DT12" s="241">
        <v>82.56</v>
      </c>
      <c r="DU12" s="242"/>
      <c r="DV12" s="242"/>
      <c r="DW12" s="243"/>
      <c r="DX12" s="244">
        <f t="shared" si="13"/>
        <v>82.56</v>
      </c>
      <c r="DY12" s="76">
        <v>115.94</v>
      </c>
      <c r="DZ12" s="77"/>
      <c r="EA12" s="77"/>
      <c r="EB12" s="78"/>
      <c r="EC12" s="244">
        <f t="shared" si="14"/>
        <v>115.94</v>
      </c>
      <c r="ED12" s="241">
        <v>57.12</v>
      </c>
      <c r="EE12" s="242"/>
      <c r="EF12" s="242"/>
      <c r="EG12" s="243"/>
      <c r="EH12" s="244">
        <f t="shared" si="15"/>
        <v>57.12</v>
      </c>
      <c r="EI12" s="241">
        <v>67.13</v>
      </c>
      <c r="EJ12" s="242"/>
      <c r="EK12" s="242"/>
      <c r="EL12" s="243"/>
      <c r="EM12" s="244">
        <f t="shared" si="16"/>
        <v>67.13</v>
      </c>
      <c r="EN12" s="241">
        <v>46.25</v>
      </c>
      <c r="EO12" s="242">
        <v>47.43</v>
      </c>
      <c r="EP12" s="242"/>
      <c r="EQ12" s="243"/>
      <c r="ER12" s="244">
        <f t="shared" si="17"/>
        <v>93.68</v>
      </c>
      <c r="ES12" s="241">
        <v>34.99</v>
      </c>
      <c r="ET12" s="242">
        <v>16.38</v>
      </c>
      <c r="EU12" s="242"/>
      <c r="EV12" s="243"/>
      <c r="EW12" s="244">
        <f t="shared" si="18"/>
        <v>51.370000000000005</v>
      </c>
      <c r="EX12" s="241">
        <v>54.17</v>
      </c>
      <c r="EY12" s="242">
        <v>4.0599999999999996</v>
      </c>
      <c r="EZ12" s="242"/>
      <c r="FA12" s="243"/>
      <c r="FB12" s="244">
        <f t="shared" si="19"/>
        <v>58.230000000000004</v>
      </c>
      <c r="FC12" s="241">
        <v>18.57</v>
      </c>
      <c r="FD12" s="242">
        <v>39.270000000000003</v>
      </c>
      <c r="FE12" s="242">
        <v>10.11</v>
      </c>
      <c r="FF12" s="243"/>
      <c r="FG12" s="244">
        <f t="shared" si="20"/>
        <v>67.95</v>
      </c>
      <c r="FH12" s="241">
        <v>26.83</v>
      </c>
      <c r="FI12" s="242">
        <v>45.68</v>
      </c>
      <c r="FJ12" s="242"/>
      <c r="FK12" s="243"/>
      <c r="FL12" s="244">
        <f t="shared" si="21"/>
        <v>72.509999999999991</v>
      </c>
      <c r="FM12" s="241">
        <v>42.95</v>
      </c>
      <c r="FN12" s="242">
        <f>36.16+0.64</f>
        <v>36.799999999999997</v>
      </c>
      <c r="FO12" s="242"/>
      <c r="FP12" s="243"/>
      <c r="FQ12" s="244">
        <f t="shared" si="22"/>
        <v>79.75</v>
      </c>
      <c r="FR12" s="241">
        <v>47.65</v>
      </c>
      <c r="FS12" s="242">
        <v>41.7</v>
      </c>
      <c r="FT12" s="242"/>
      <c r="FU12" s="243"/>
      <c r="FV12" s="244">
        <f t="shared" si="23"/>
        <v>89.35</v>
      </c>
      <c r="FW12" s="241">
        <v>50</v>
      </c>
      <c r="FX12" s="242">
        <v>41.68</v>
      </c>
      <c r="FY12" s="242"/>
      <c r="FZ12" s="243"/>
      <c r="GA12" s="244">
        <f t="shared" si="24"/>
        <v>91.68</v>
      </c>
      <c r="GB12" s="241">
        <v>60.49</v>
      </c>
      <c r="GC12" s="262"/>
      <c r="GD12" s="242"/>
      <c r="GE12" s="243"/>
      <c r="GF12" s="244">
        <f t="shared" si="25"/>
        <v>60.49</v>
      </c>
      <c r="GG12" s="76">
        <v>72.989999999999995</v>
      </c>
      <c r="GH12" s="77">
        <v>3.85</v>
      </c>
      <c r="GI12" s="77"/>
      <c r="GJ12" s="78"/>
      <c r="GK12" s="244">
        <f t="shared" si="26"/>
        <v>76.839999999999989</v>
      </c>
      <c r="GL12" s="241">
        <v>29.59</v>
      </c>
      <c r="GM12" s="242">
        <v>20.75</v>
      </c>
      <c r="GN12" s="242">
        <v>5.37</v>
      </c>
      <c r="GO12" s="243"/>
      <c r="GP12" s="244">
        <f t="shared" si="27"/>
        <v>55.71</v>
      </c>
      <c r="GQ12" s="241">
        <v>16.07</v>
      </c>
      <c r="GR12" s="242">
        <v>4.2300000000000004</v>
      </c>
      <c r="GS12" s="242"/>
      <c r="GT12" s="243"/>
      <c r="GU12" s="244">
        <f t="shared" si="28"/>
        <v>20.3</v>
      </c>
      <c r="GV12" s="241">
        <v>27.87</v>
      </c>
      <c r="GW12" s="242">
        <v>27.01</v>
      </c>
      <c r="GX12" s="242"/>
      <c r="GY12" s="243"/>
      <c r="GZ12" s="244">
        <f t="shared" si="29"/>
        <v>54.88</v>
      </c>
      <c r="HA12" s="241">
        <v>58.79</v>
      </c>
      <c r="HB12" s="242">
        <v>18.04</v>
      </c>
      <c r="HC12" s="242"/>
      <c r="HD12" s="243"/>
      <c r="HE12" s="244">
        <f t="shared" si="30"/>
        <v>76.83</v>
      </c>
      <c r="HF12" s="241">
        <v>33.64</v>
      </c>
      <c r="HG12" s="242">
        <v>31.44</v>
      </c>
      <c r="HH12" s="242"/>
      <c r="HI12" s="243"/>
      <c r="HJ12" s="244">
        <f t="shared" si="31"/>
        <v>65.08</v>
      </c>
      <c r="HK12" s="241">
        <v>71.55</v>
      </c>
      <c r="HL12" s="242">
        <v>31.87</v>
      </c>
      <c r="HM12" s="242"/>
      <c r="HN12" s="243"/>
      <c r="HO12" s="244">
        <f t="shared" si="32"/>
        <v>103.42</v>
      </c>
      <c r="HP12" s="241">
        <v>21.19</v>
      </c>
      <c r="HQ12" s="242">
        <v>73.38</v>
      </c>
      <c r="HR12" s="242"/>
      <c r="HS12" s="243"/>
      <c r="HT12" s="244">
        <f t="shared" si="33"/>
        <v>94.57</v>
      </c>
      <c r="HU12" s="241">
        <v>104.9</v>
      </c>
      <c r="HV12" s="242">
        <v>22.65</v>
      </c>
      <c r="HW12" s="242"/>
      <c r="HX12" s="243"/>
      <c r="HY12" s="244">
        <f t="shared" si="34"/>
        <v>127.55000000000001</v>
      </c>
      <c r="HZ12" s="241">
        <v>66.59</v>
      </c>
      <c r="IA12" s="242">
        <v>77.31</v>
      </c>
      <c r="IB12" s="242"/>
      <c r="IC12" s="243"/>
      <c r="ID12" s="244">
        <f t="shared" si="35"/>
        <v>143.9</v>
      </c>
      <c r="IE12" s="233">
        <f>63.4+3.116</f>
        <v>66.516000000000005</v>
      </c>
      <c r="IF12" s="234">
        <f>69.12+2.187</f>
        <v>71.307000000000002</v>
      </c>
      <c r="IG12" s="234"/>
      <c r="IH12" s="235"/>
      <c r="II12" s="232">
        <f t="shared" si="36"/>
        <v>137.82300000000001</v>
      </c>
      <c r="IJ12" s="233">
        <v>70.53</v>
      </c>
      <c r="IK12" s="270"/>
      <c r="IL12" s="234"/>
      <c r="IM12" s="235"/>
      <c r="IN12" s="232">
        <f t="shared" si="37"/>
        <v>70.53</v>
      </c>
      <c r="IO12" s="69">
        <v>68.61</v>
      </c>
      <c r="IP12" s="70">
        <v>37.5</v>
      </c>
      <c r="IQ12" s="70"/>
      <c r="IR12" s="71"/>
      <c r="IS12" s="73">
        <f t="shared" si="38"/>
        <v>106.11</v>
      </c>
      <c r="IT12" s="69">
        <v>20.99</v>
      </c>
      <c r="IU12" s="70">
        <v>43.02</v>
      </c>
      <c r="IV12" s="70"/>
      <c r="IW12" s="71"/>
      <c r="IX12" s="73">
        <f t="shared" si="39"/>
        <v>64.010000000000005</v>
      </c>
      <c r="IY12" s="69">
        <v>20.55</v>
      </c>
      <c r="IZ12" s="70">
        <v>45.15</v>
      </c>
      <c r="JA12" s="70">
        <v>45.38</v>
      </c>
      <c r="JB12" s="71"/>
      <c r="JC12" s="73">
        <f t="shared" si="40"/>
        <v>111.08000000000001</v>
      </c>
      <c r="JD12" s="69">
        <v>28.81</v>
      </c>
      <c r="JE12" s="70">
        <v>86.31</v>
      </c>
      <c r="JF12" s="70"/>
      <c r="JG12" s="71"/>
      <c r="JH12" s="73">
        <f t="shared" si="41"/>
        <v>115.12</v>
      </c>
      <c r="JI12" s="69">
        <v>45.73</v>
      </c>
      <c r="JJ12" s="70">
        <v>9.3000000000000007</v>
      </c>
      <c r="JK12" s="70">
        <v>48.8</v>
      </c>
      <c r="JL12" s="71"/>
      <c r="JM12" s="73">
        <f t="shared" si="42"/>
        <v>103.83</v>
      </c>
      <c r="JN12" s="69">
        <v>43.59</v>
      </c>
      <c r="JO12" s="70">
        <v>15.65</v>
      </c>
      <c r="JP12" s="70"/>
      <c r="JQ12" s="71"/>
      <c r="JR12" s="73">
        <f t="shared" si="43"/>
        <v>59.24</v>
      </c>
      <c r="JS12" s="69">
        <v>34.049999999999997</v>
      </c>
      <c r="JT12" s="70">
        <v>19.71</v>
      </c>
      <c r="JU12" s="70"/>
      <c r="JV12" s="71"/>
      <c r="JW12" s="73">
        <f t="shared" si="44"/>
        <v>53.76</v>
      </c>
      <c r="JX12" s="69">
        <v>54.33</v>
      </c>
      <c r="JY12" s="70">
        <v>7.52</v>
      </c>
      <c r="JZ12" s="70"/>
      <c r="KA12" s="71"/>
      <c r="KB12" s="73">
        <v>61.849999999999994</v>
      </c>
      <c r="KC12" s="69">
        <v>53.14</v>
      </c>
      <c r="KD12" s="70">
        <v>16.54</v>
      </c>
      <c r="KE12" s="70">
        <v>0</v>
      </c>
      <c r="KF12" s="71">
        <v>0</v>
      </c>
      <c r="KG12" s="73">
        <v>69.680000000000007</v>
      </c>
      <c r="KH12" s="69">
        <v>33.520000000000003</v>
      </c>
      <c r="KI12" s="70">
        <v>83.13</v>
      </c>
      <c r="KJ12" s="70"/>
      <c r="KK12" s="71"/>
      <c r="KL12" s="73">
        <v>116.65</v>
      </c>
      <c r="KM12" s="479">
        <v>68.02</v>
      </c>
      <c r="KN12" s="480">
        <v>69.180000000000007</v>
      </c>
      <c r="KO12" s="70">
        <v>0</v>
      </c>
      <c r="KP12" s="71">
        <v>0</v>
      </c>
      <c r="KQ12" s="73">
        <f t="shared" si="45"/>
        <v>137.19999999999999</v>
      </c>
      <c r="KR12" s="69">
        <v>65.040000000000006</v>
      </c>
      <c r="KS12" s="70">
        <v>0</v>
      </c>
      <c r="KT12" s="70">
        <v>0</v>
      </c>
      <c r="KU12" s="71">
        <v>0</v>
      </c>
      <c r="KV12" s="73">
        <f t="shared" si="46"/>
        <v>65.040000000000006</v>
      </c>
    </row>
    <row r="13" spans="1:308" ht="15.75" x14ac:dyDescent="0.25">
      <c r="A13" s="188"/>
      <c r="B13" s="55">
        <v>5</v>
      </c>
      <c r="C13" s="56">
        <v>50.4</v>
      </c>
      <c r="D13" s="57">
        <v>67.209999999999994</v>
      </c>
      <c r="E13" s="58"/>
      <c r="F13" s="59"/>
      <c r="G13" s="60"/>
      <c r="H13" s="61">
        <f t="shared" si="5"/>
        <v>67.209999999999994</v>
      </c>
      <c r="I13" s="62">
        <v>67.25</v>
      </c>
      <c r="J13" s="63"/>
      <c r="K13" s="63"/>
      <c r="L13" s="64"/>
      <c r="M13" s="33">
        <f t="shared" si="6"/>
        <v>67.25</v>
      </c>
      <c r="N13" s="62">
        <v>55.45</v>
      </c>
      <c r="O13" s="63"/>
      <c r="P13" s="63"/>
      <c r="Q13" s="64"/>
      <c r="R13" s="33">
        <f t="shared" si="0"/>
        <v>55.45</v>
      </c>
      <c r="S13" s="62">
        <v>32.72</v>
      </c>
      <c r="T13" s="63"/>
      <c r="U13" s="63"/>
      <c r="V13" s="64"/>
      <c r="W13" s="33">
        <f t="shared" si="1"/>
        <v>32.72</v>
      </c>
      <c r="X13" s="62">
        <v>76.88</v>
      </c>
      <c r="Y13" s="63"/>
      <c r="Z13" s="63"/>
      <c r="AA13" s="64"/>
      <c r="AB13" s="33">
        <f t="shared" si="7"/>
        <v>76.88</v>
      </c>
      <c r="AC13" s="65">
        <v>56.78</v>
      </c>
      <c r="AD13" s="66"/>
      <c r="AE13" s="66"/>
      <c r="AF13" s="67"/>
      <c r="AG13" s="37">
        <f t="shared" si="8"/>
        <v>56.78</v>
      </c>
      <c r="AH13" s="65">
        <v>27.69</v>
      </c>
      <c r="AI13" s="66">
        <v>32.503999999999998</v>
      </c>
      <c r="AJ13" s="66"/>
      <c r="AK13" s="67"/>
      <c r="AL13" s="68">
        <f t="shared" si="47"/>
        <v>60.194000000000003</v>
      </c>
      <c r="AM13" s="69">
        <v>49.6</v>
      </c>
      <c r="AN13" s="70"/>
      <c r="AO13" s="70"/>
      <c r="AP13" s="71"/>
      <c r="AQ13" s="72">
        <f t="shared" si="48"/>
        <v>49.6</v>
      </c>
      <c r="AR13" s="69">
        <v>59.33</v>
      </c>
      <c r="AS13" s="70">
        <v>38.03</v>
      </c>
      <c r="AT13" s="70"/>
      <c r="AU13" s="71"/>
      <c r="AV13" s="73">
        <f t="shared" si="49"/>
        <v>97.36</v>
      </c>
      <c r="AW13" s="69">
        <v>40.1</v>
      </c>
      <c r="AX13" s="70">
        <v>12.56</v>
      </c>
      <c r="AY13" s="70"/>
      <c r="AZ13" s="71"/>
      <c r="BA13" s="73">
        <f>SUM(AW13:AZ13)</f>
        <v>52.660000000000004</v>
      </c>
      <c r="BB13" s="69">
        <f>46.5+3.28</f>
        <v>49.78</v>
      </c>
      <c r="BC13" s="70">
        <v>69.180000000000007</v>
      </c>
      <c r="BD13" s="70"/>
      <c r="BE13" s="71"/>
      <c r="BF13" s="73">
        <f>SUM(BB13:BE13)</f>
        <v>118.96000000000001</v>
      </c>
      <c r="BG13" s="69">
        <f>87.59+5.27</f>
        <v>92.86</v>
      </c>
      <c r="BH13" s="70"/>
      <c r="BI13" s="70"/>
      <c r="BJ13" s="74"/>
      <c r="BK13" s="73">
        <f t="shared" si="51"/>
        <v>92.86</v>
      </c>
      <c r="BL13" s="69">
        <f>66.87+3.75</f>
        <v>70.62</v>
      </c>
      <c r="BM13" s="70"/>
      <c r="BN13" s="70"/>
      <c r="BO13" s="74"/>
      <c r="BP13" s="72">
        <f t="shared" si="52"/>
        <v>70.62</v>
      </c>
      <c r="BQ13" s="69">
        <f>42.35+3.55</f>
        <v>45.9</v>
      </c>
      <c r="BR13" s="70">
        <v>17.739999999999998</v>
      </c>
      <c r="BS13" s="70"/>
      <c r="BT13" s="71"/>
      <c r="BU13" s="232">
        <f t="shared" si="9"/>
        <v>63.64</v>
      </c>
      <c r="BV13" s="233">
        <v>17.600000000000001</v>
      </c>
      <c r="BW13" s="234">
        <v>15.09</v>
      </c>
      <c r="BX13" s="234"/>
      <c r="BY13" s="235"/>
      <c r="BZ13" s="236">
        <f t="shared" si="10"/>
        <v>32.69</v>
      </c>
      <c r="CA13" s="237">
        <v>26.4</v>
      </c>
      <c r="CB13" s="238">
        <v>25.15</v>
      </c>
      <c r="CC13" s="238"/>
      <c r="CD13" s="239"/>
      <c r="CE13" s="240">
        <f t="shared" si="53"/>
        <v>51.55</v>
      </c>
      <c r="CF13" s="237">
        <v>42.08</v>
      </c>
      <c r="CG13" s="238"/>
      <c r="CH13" s="238"/>
      <c r="CI13" s="239"/>
      <c r="CJ13" s="240">
        <f t="shared" si="54"/>
        <v>42.08</v>
      </c>
      <c r="CK13" s="237">
        <v>39.090000000000003</v>
      </c>
      <c r="CL13" s="238">
        <v>25.3</v>
      </c>
      <c r="CM13" s="238">
        <v>3.73</v>
      </c>
      <c r="CN13" s="239"/>
      <c r="CO13" s="240">
        <f t="shared" si="55"/>
        <v>68.12</v>
      </c>
      <c r="CP13" s="241">
        <v>15.2</v>
      </c>
      <c r="CQ13" s="242">
        <v>28.96</v>
      </c>
      <c r="CR13" s="242">
        <v>11.82</v>
      </c>
      <c r="CS13" s="243"/>
      <c r="CT13" s="244">
        <v>55.98</v>
      </c>
      <c r="CU13" s="241">
        <v>33.36</v>
      </c>
      <c r="CV13" s="242">
        <v>21.87</v>
      </c>
      <c r="CW13" s="242"/>
      <c r="CX13" s="243"/>
      <c r="CY13" s="244">
        <f t="shared" si="2"/>
        <v>55.230000000000004</v>
      </c>
      <c r="CZ13" s="241">
        <v>30.77</v>
      </c>
      <c r="DA13" s="242">
        <v>50.14</v>
      </c>
      <c r="DB13" s="242"/>
      <c r="DC13" s="243"/>
      <c r="DD13" s="244">
        <f t="shared" si="3"/>
        <v>80.91</v>
      </c>
      <c r="DE13" s="241">
        <v>69.92</v>
      </c>
      <c r="DF13" s="242"/>
      <c r="DG13" s="242"/>
      <c r="DH13" s="243"/>
      <c r="DI13" s="244">
        <f t="shared" si="4"/>
        <v>69.92</v>
      </c>
      <c r="DJ13" s="241">
        <v>93.72</v>
      </c>
      <c r="DK13" s="242"/>
      <c r="DL13" s="242"/>
      <c r="DM13" s="243"/>
      <c r="DN13" s="244">
        <f t="shared" si="11"/>
        <v>93.72</v>
      </c>
      <c r="DO13" s="241">
        <v>83.75</v>
      </c>
      <c r="DP13" s="242"/>
      <c r="DQ13" s="242"/>
      <c r="DR13" s="243"/>
      <c r="DS13" s="244">
        <f t="shared" si="12"/>
        <v>83.75</v>
      </c>
      <c r="DT13" s="241">
        <v>60.63</v>
      </c>
      <c r="DU13" s="242">
        <v>43.72</v>
      </c>
      <c r="DV13" s="242"/>
      <c r="DW13" s="243"/>
      <c r="DX13" s="244">
        <f t="shared" si="13"/>
        <v>104.35</v>
      </c>
      <c r="DY13" s="76">
        <v>39.22</v>
      </c>
      <c r="DZ13" s="77"/>
      <c r="EA13" s="77"/>
      <c r="EB13" s="78"/>
      <c r="EC13" s="244">
        <f t="shared" si="14"/>
        <v>39.22</v>
      </c>
      <c r="ED13" s="241">
        <v>37.86</v>
      </c>
      <c r="EE13" s="242"/>
      <c r="EG13" s="243"/>
      <c r="EH13" s="244">
        <f t="shared" si="15"/>
        <v>37.86</v>
      </c>
      <c r="EI13" s="241">
        <v>44.35</v>
      </c>
      <c r="EJ13" s="242"/>
      <c r="EL13" s="243"/>
      <c r="EM13" s="244">
        <f t="shared" si="16"/>
        <v>44.35</v>
      </c>
      <c r="EN13" s="241">
        <v>46.8</v>
      </c>
      <c r="EO13" s="242">
        <v>35.03</v>
      </c>
      <c r="EQ13" s="243"/>
      <c r="ER13" s="244">
        <f t="shared" si="17"/>
        <v>81.83</v>
      </c>
      <c r="ES13" s="241">
        <v>31.14</v>
      </c>
      <c r="ET13" s="242">
        <v>14.74</v>
      </c>
      <c r="EV13" s="243"/>
      <c r="EW13" s="244">
        <f t="shared" si="18"/>
        <v>45.88</v>
      </c>
      <c r="EX13" s="241">
        <v>38.81</v>
      </c>
      <c r="EY13" s="242">
        <v>14.52</v>
      </c>
      <c r="FA13" s="243"/>
      <c r="FB13" s="244">
        <f t="shared" si="19"/>
        <v>53.33</v>
      </c>
      <c r="FC13" s="241">
        <v>43.48</v>
      </c>
      <c r="FD13" s="242">
        <v>25.04</v>
      </c>
      <c r="FF13" s="243"/>
      <c r="FG13" s="244">
        <f t="shared" si="20"/>
        <v>68.52</v>
      </c>
      <c r="FH13" s="241">
        <v>43.2</v>
      </c>
      <c r="FI13" s="242">
        <v>3.56</v>
      </c>
      <c r="FK13" s="243"/>
      <c r="FL13" s="244">
        <f t="shared" si="21"/>
        <v>46.760000000000005</v>
      </c>
      <c r="FM13" s="241">
        <v>34.97</v>
      </c>
      <c r="FN13" s="242">
        <f>29.74+0.78</f>
        <v>30.52</v>
      </c>
      <c r="FO13" s="263">
        <v>8.9</v>
      </c>
      <c r="FP13" s="243"/>
      <c r="FQ13" s="244">
        <f t="shared" si="22"/>
        <v>74.39</v>
      </c>
      <c r="FR13" s="241">
        <v>47.26</v>
      </c>
      <c r="FS13" s="242">
        <v>29.34</v>
      </c>
      <c r="FT13" s="263"/>
      <c r="FU13" s="243"/>
      <c r="FV13" s="244">
        <f t="shared" si="23"/>
        <v>76.599999999999994</v>
      </c>
      <c r="FW13" s="241">
        <v>30.13</v>
      </c>
      <c r="FX13" s="242">
        <v>36.1</v>
      </c>
      <c r="FY13" s="263"/>
      <c r="FZ13" s="243"/>
      <c r="GA13" s="244">
        <f t="shared" si="24"/>
        <v>66.23</v>
      </c>
      <c r="GB13" s="241">
        <v>34.19</v>
      </c>
      <c r="GC13" s="242">
        <v>35.39</v>
      </c>
      <c r="GD13" s="263"/>
      <c r="GE13" s="243"/>
      <c r="GF13" s="244">
        <f t="shared" si="25"/>
        <v>69.58</v>
      </c>
      <c r="GG13" s="76">
        <v>45.32</v>
      </c>
      <c r="GH13" s="80"/>
      <c r="GI13" s="81"/>
      <c r="GJ13" s="78"/>
      <c r="GK13" s="244">
        <f t="shared" si="26"/>
        <v>45.32</v>
      </c>
      <c r="GL13" s="241">
        <v>13.96</v>
      </c>
      <c r="GM13" s="242">
        <v>12.2</v>
      </c>
      <c r="GN13" s="263"/>
      <c r="GO13" s="243"/>
      <c r="GP13" s="244">
        <f t="shared" si="27"/>
        <v>26.16</v>
      </c>
      <c r="GQ13" s="241">
        <v>18.850000000000001</v>
      </c>
      <c r="GR13" s="242">
        <v>3.69</v>
      </c>
      <c r="GS13" s="263">
        <v>2.31</v>
      </c>
      <c r="GT13" s="243"/>
      <c r="GU13" s="244">
        <f t="shared" si="28"/>
        <v>24.85</v>
      </c>
      <c r="GV13" s="241">
        <v>20.49</v>
      </c>
      <c r="GW13" s="242">
        <v>24.39</v>
      </c>
      <c r="GX13" s="263"/>
      <c r="GY13" s="243"/>
      <c r="GZ13" s="244">
        <f t="shared" si="29"/>
        <v>44.879999999999995</v>
      </c>
      <c r="HA13" s="241">
        <v>41.45</v>
      </c>
      <c r="HB13" s="242">
        <v>24.85</v>
      </c>
      <c r="HC13" s="263"/>
      <c r="HD13" s="243"/>
      <c r="HE13" s="244">
        <f t="shared" si="30"/>
        <v>66.300000000000011</v>
      </c>
      <c r="HF13" s="241">
        <v>12.08</v>
      </c>
      <c r="HG13" s="242">
        <v>24.44</v>
      </c>
      <c r="HH13" s="263"/>
      <c r="HI13" s="243"/>
      <c r="HJ13" s="244">
        <f t="shared" si="31"/>
        <v>36.520000000000003</v>
      </c>
      <c r="HK13" s="241">
        <v>40.9</v>
      </c>
      <c r="HL13" s="242">
        <v>43.42</v>
      </c>
      <c r="HM13" s="263"/>
      <c r="HN13" s="243"/>
      <c r="HO13" s="244">
        <f t="shared" si="32"/>
        <v>84.32</v>
      </c>
      <c r="HP13" s="241">
        <v>49.93</v>
      </c>
      <c r="HQ13" s="242">
        <v>13.46</v>
      </c>
      <c r="HR13" s="263"/>
      <c r="HS13" s="243"/>
      <c r="HT13" s="244">
        <f t="shared" si="33"/>
        <v>63.39</v>
      </c>
      <c r="HU13" s="241">
        <v>72.42</v>
      </c>
      <c r="HV13" s="242">
        <v>41.96</v>
      </c>
      <c r="HW13" s="263"/>
      <c r="HX13" s="243"/>
      <c r="HY13" s="244">
        <f t="shared" si="34"/>
        <v>114.38</v>
      </c>
      <c r="HZ13" s="241">
        <f>90.27+14.85</f>
        <v>105.11999999999999</v>
      </c>
      <c r="IA13" s="269"/>
      <c r="IB13" s="263"/>
      <c r="IC13" s="243"/>
      <c r="ID13" s="244">
        <f t="shared" si="35"/>
        <v>105.11999999999999</v>
      </c>
      <c r="IE13" s="233">
        <v>40.94</v>
      </c>
      <c r="IF13" s="234">
        <v>53.29</v>
      </c>
      <c r="IG13" s="271"/>
      <c r="IH13" s="235"/>
      <c r="II13" s="232">
        <f t="shared" si="36"/>
        <v>94.22999999999999</v>
      </c>
      <c r="IJ13" s="233">
        <v>37.130000000000003</v>
      </c>
      <c r="IK13" s="234">
        <v>39.159999999999997</v>
      </c>
      <c r="IL13" s="271"/>
      <c r="IM13" s="235"/>
      <c r="IN13" s="232">
        <f t="shared" si="37"/>
        <v>76.289999999999992</v>
      </c>
      <c r="IO13" s="69">
        <v>50.88</v>
      </c>
      <c r="IP13" s="79"/>
      <c r="IQ13" s="82"/>
      <c r="IR13" s="71"/>
      <c r="IS13" s="73">
        <f t="shared" si="38"/>
        <v>50.88</v>
      </c>
      <c r="IT13" s="69">
        <v>48.78</v>
      </c>
      <c r="IU13" s="70">
        <v>2.36</v>
      </c>
      <c r="IV13" s="82"/>
      <c r="IW13" s="71"/>
      <c r="IX13" s="73">
        <f t="shared" si="39"/>
        <v>51.14</v>
      </c>
      <c r="IY13" s="69">
        <v>38.85</v>
      </c>
      <c r="IZ13" s="70">
        <v>18.57</v>
      </c>
      <c r="JA13" s="82"/>
      <c r="JB13" s="71"/>
      <c r="JC13" s="73">
        <f t="shared" si="40"/>
        <v>57.42</v>
      </c>
      <c r="JD13" s="69">
        <v>80.61</v>
      </c>
      <c r="JE13" s="70">
        <v>11.94</v>
      </c>
      <c r="JF13" s="82"/>
      <c r="JG13" s="71"/>
      <c r="JH13" s="73">
        <f t="shared" si="41"/>
        <v>92.55</v>
      </c>
      <c r="JI13" s="69">
        <v>61.07</v>
      </c>
      <c r="JJ13" s="70">
        <v>7.95</v>
      </c>
      <c r="JK13" s="82"/>
      <c r="JL13" s="71"/>
      <c r="JM13" s="73">
        <f t="shared" si="42"/>
        <v>69.02</v>
      </c>
      <c r="JN13" s="69">
        <v>70.069999999999993</v>
      </c>
      <c r="JO13" s="70">
        <v>9</v>
      </c>
      <c r="JP13" s="82"/>
      <c r="JQ13" s="71"/>
      <c r="JR13" s="73">
        <f t="shared" si="43"/>
        <v>79.069999999999993</v>
      </c>
      <c r="JS13" s="69">
        <v>38.32</v>
      </c>
      <c r="JT13" s="70">
        <v>19.940000000000001</v>
      </c>
      <c r="JU13" s="82"/>
      <c r="JV13" s="71"/>
      <c r="JW13" s="73">
        <f t="shared" si="44"/>
        <v>58.260000000000005</v>
      </c>
      <c r="JX13" s="69">
        <v>41.18</v>
      </c>
      <c r="JY13" s="70">
        <v>25.46</v>
      </c>
      <c r="JZ13" s="82"/>
      <c r="KA13" s="71"/>
      <c r="KB13" s="73">
        <v>66.64</v>
      </c>
      <c r="KC13" s="69">
        <v>27.13</v>
      </c>
      <c r="KD13" s="70">
        <v>36.700000000000003</v>
      </c>
      <c r="KE13" s="82">
        <v>0</v>
      </c>
      <c r="KF13" s="71">
        <v>0</v>
      </c>
      <c r="KG13" s="73">
        <v>63.83</v>
      </c>
      <c r="KH13" s="69">
        <v>64.44</v>
      </c>
      <c r="KI13" s="70"/>
      <c r="KJ13" s="82"/>
      <c r="KK13" s="71"/>
      <c r="KL13" s="73">
        <v>64.44</v>
      </c>
      <c r="KM13" s="479">
        <v>53.04</v>
      </c>
      <c r="KN13" s="480">
        <v>49.47</v>
      </c>
      <c r="KO13" s="82">
        <v>0</v>
      </c>
      <c r="KP13" s="71">
        <v>0</v>
      </c>
      <c r="KQ13" s="73">
        <f t="shared" si="45"/>
        <v>102.50999999999999</v>
      </c>
      <c r="KR13" s="69">
        <v>47.44</v>
      </c>
      <c r="KS13" s="70">
        <v>32.090000000000003</v>
      </c>
      <c r="KT13" s="82">
        <v>0</v>
      </c>
      <c r="KU13" s="71">
        <v>0</v>
      </c>
      <c r="KV13" s="73">
        <f t="shared" si="46"/>
        <v>79.53</v>
      </c>
    </row>
    <row r="14" spans="1:308" ht="15.75" x14ac:dyDescent="0.25">
      <c r="A14" s="188"/>
      <c r="B14" s="55">
        <v>6</v>
      </c>
      <c r="C14" s="56">
        <v>58.6</v>
      </c>
      <c r="D14" s="57">
        <v>46</v>
      </c>
      <c r="E14" s="58"/>
      <c r="F14" s="59"/>
      <c r="G14" s="60"/>
      <c r="H14" s="61">
        <f t="shared" si="5"/>
        <v>46</v>
      </c>
      <c r="I14" s="62">
        <v>90</v>
      </c>
      <c r="J14" s="63"/>
      <c r="K14" s="63"/>
      <c r="L14" s="64"/>
      <c r="M14" s="33">
        <f t="shared" si="6"/>
        <v>90</v>
      </c>
      <c r="N14" s="62">
        <v>70.97</v>
      </c>
      <c r="O14" s="63"/>
      <c r="P14" s="63"/>
      <c r="Q14" s="64"/>
      <c r="R14" s="33">
        <f t="shared" si="0"/>
        <v>70.97</v>
      </c>
      <c r="S14" s="62">
        <v>44.38</v>
      </c>
      <c r="T14" s="63"/>
      <c r="U14" s="63"/>
      <c r="V14" s="64"/>
      <c r="W14" s="33">
        <f t="shared" si="1"/>
        <v>44.38</v>
      </c>
      <c r="X14" s="62">
        <v>73.88</v>
      </c>
      <c r="Y14" s="63"/>
      <c r="Z14" s="63"/>
      <c r="AA14" s="64"/>
      <c r="AB14" s="33">
        <f t="shared" si="7"/>
        <v>73.88</v>
      </c>
      <c r="AC14" s="65">
        <v>73.81</v>
      </c>
      <c r="AD14" s="66"/>
      <c r="AE14" s="66"/>
      <c r="AF14" s="67"/>
      <c r="AG14" s="37">
        <f t="shared" si="8"/>
        <v>73.81</v>
      </c>
      <c r="AH14" s="65">
        <v>41.54</v>
      </c>
      <c r="AI14" s="66">
        <v>31.725999999999999</v>
      </c>
      <c r="AJ14" s="66"/>
      <c r="AK14" s="67"/>
      <c r="AL14" s="68">
        <f t="shared" si="47"/>
        <v>73.265999999999991</v>
      </c>
      <c r="AM14" s="69">
        <v>52.38</v>
      </c>
      <c r="AN14" s="70">
        <v>28.09</v>
      </c>
      <c r="AO14" s="70"/>
      <c r="AP14" s="71"/>
      <c r="AQ14" s="72">
        <f t="shared" si="48"/>
        <v>80.47</v>
      </c>
      <c r="AR14" s="69">
        <v>40.805999999999997</v>
      </c>
      <c r="AS14" s="70">
        <v>60.54</v>
      </c>
      <c r="AT14" s="70"/>
      <c r="AU14" s="71"/>
      <c r="AV14" s="73">
        <f t="shared" si="49"/>
        <v>101.346</v>
      </c>
      <c r="AW14" s="69">
        <v>49.87</v>
      </c>
      <c r="AX14" s="70">
        <v>67.64</v>
      </c>
      <c r="AY14" s="70"/>
      <c r="AZ14" s="71"/>
      <c r="BA14" s="73">
        <f t="shared" si="50"/>
        <v>117.50999999999999</v>
      </c>
      <c r="BB14" s="69">
        <f>87.31+6.43</f>
        <v>93.740000000000009</v>
      </c>
      <c r="BC14" s="70"/>
      <c r="BD14" s="70"/>
      <c r="BE14" s="71"/>
      <c r="BF14" s="73">
        <f t="shared" ref="BF14:BF23" si="56">SUM(BB14:BE14)</f>
        <v>93.740000000000009</v>
      </c>
      <c r="BG14" s="69">
        <v>98.1</v>
      </c>
      <c r="BH14" s="70"/>
      <c r="BI14" s="70"/>
      <c r="BJ14" s="74"/>
      <c r="BK14" s="73">
        <f t="shared" si="51"/>
        <v>98.1</v>
      </c>
      <c r="BL14" s="69">
        <f>82.13+9.12</f>
        <v>91.25</v>
      </c>
      <c r="BM14" s="70"/>
      <c r="BN14" s="70"/>
      <c r="BO14" s="74"/>
      <c r="BP14" s="72">
        <f t="shared" si="52"/>
        <v>91.25</v>
      </c>
      <c r="BQ14" s="69">
        <f>50.15+5.12</f>
        <v>55.269999999999996</v>
      </c>
      <c r="BR14" s="70">
        <v>26.87</v>
      </c>
      <c r="BS14" s="70"/>
      <c r="BT14" s="71"/>
      <c r="BU14" s="232">
        <f t="shared" si="9"/>
        <v>82.14</v>
      </c>
      <c r="BV14" s="233">
        <v>15.79</v>
      </c>
      <c r="BW14" s="234">
        <v>17.91</v>
      </c>
      <c r="BX14" s="234"/>
      <c r="BY14" s="235"/>
      <c r="BZ14" s="236">
        <f t="shared" si="10"/>
        <v>33.700000000000003</v>
      </c>
      <c r="CA14" s="237">
        <v>23.92</v>
      </c>
      <c r="CB14" s="238">
        <v>30.06</v>
      </c>
      <c r="CC14" s="238"/>
      <c r="CD14" s="239"/>
      <c r="CE14" s="240">
        <f t="shared" si="53"/>
        <v>53.980000000000004</v>
      </c>
      <c r="CF14" s="237">
        <v>40.36</v>
      </c>
      <c r="CG14" s="238">
        <v>41.66</v>
      </c>
      <c r="CH14" s="238"/>
      <c r="CI14" s="239"/>
      <c r="CJ14" s="240">
        <f t="shared" si="54"/>
        <v>82.02</v>
      </c>
      <c r="CK14" s="237">
        <v>32.97</v>
      </c>
      <c r="CL14" s="238">
        <v>29.5</v>
      </c>
      <c r="CM14" s="238"/>
      <c r="CN14" s="239"/>
      <c r="CO14" s="240">
        <f t="shared" si="55"/>
        <v>62.47</v>
      </c>
      <c r="CP14" s="241">
        <v>26.81</v>
      </c>
      <c r="CQ14" s="242">
        <v>28.32</v>
      </c>
      <c r="CR14" s="242"/>
      <c r="CS14" s="243"/>
      <c r="CT14" s="244">
        <v>55.129999999999995</v>
      </c>
      <c r="CU14" s="241">
        <v>25.3</v>
      </c>
      <c r="CV14" s="242">
        <v>34.67</v>
      </c>
      <c r="CW14" s="242"/>
      <c r="CX14" s="243"/>
      <c r="CY14" s="244">
        <f t="shared" si="2"/>
        <v>59.97</v>
      </c>
      <c r="CZ14" s="241">
        <v>39.11</v>
      </c>
      <c r="DA14" s="242">
        <v>54.19</v>
      </c>
      <c r="DB14" s="242"/>
      <c r="DC14" s="243"/>
      <c r="DD14" s="244">
        <f t="shared" si="3"/>
        <v>93.3</v>
      </c>
      <c r="DE14" s="241">
        <v>75.150000000000006</v>
      </c>
      <c r="DF14" s="242"/>
      <c r="DG14" s="242"/>
      <c r="DH14" s="243"/>
      <c r="DI14" s="244">
        <f t="shared" si="4"/>
        <v>75.150000000000006</v>
      </c>
      <c r="DJ14" s="241">
        <v>95.51</v>
      </c>
      <c r="DK14" s="242">
        <v>29.11</v>
      </c>
      <c r="DL14" s="242"/>
      <c r="DM14" s="243"/>
      <c r="DN14" s="244">
        <f t="shared" si="11"/>
        <v>124.62</v>
      </c>
      <c r="DO14" s="241">
        <v>76.69</v>
      </c>
      <c r="DP14" s="242">
        <v>61.36</v>
      </c>
      <c r="DQ14" s="242"/>
      <c r="DR14" s="243"/>
      <c r="DS14" s="244">
        <f t="shared" si="12"/>
        <v>138.05000000000001</v>
      </c>
      <c r="DT14" s="241">
        <v>72.959999999999994</v>
      </c>
      <c r="DU14" s="242"/>
      <c r="DV14" s="242"/>
      <c r="DW14" s="243"/>
      <c r="DX14" s="244">
        <f t="shared" si="13"/>
        <v>72.959999999999994</v>
      </c>
      <c r="DY14" s="76">
        <v>62.2</v>
      </c>
      <c r="DZ14" s="77"/>
      <c r="EA14" s="77"/>
      <c r="EB14" s="78"/>
      <c r="EC14" s="244">
        <f t="shared" si="14"/>
        <v>62.2</v>
      </c>
      <c r="ED14" s="241">
        <v>51.17</v>
      </c>
      <c r="EE14" s="242">
        <v>7.49</v>
      </c>
      <c r="EF14" s="242"/>
      <c r="EG14" s="243"/>
      <c r="EH14" s="244">
        <f t="shared" si="15"/>
        <v>58.660000000000004</v>
      </c>
      <c r="EI14" s="241">
        <v>45.36</v>
      </c>
      <c r="EJ14" s="242">
        <v>51.92</v>
      </c>
      <c r="EK14" s="242"/>
      <c r="EL14" s="243"/>
      <c r="EM14" s="244">
        <f t="shared" si="16"/>
        <v>97.28</v>
      </c>
      <c r="EN14" s="241">
        <v>47.78</v>
      </c>
      <c r="EO14" s="242"/>
      <c r="EP14" s="242"/>
      <c r="EQ14" s="243"/>
      <c r="ER14" s="244">
        <f t="shared" si="17"/>
        <v>47.78</v>
      </c>
      <c r="ES14" s="241">
        <v>44.99</v>
      </c>
      <c r="ET14" s="242">
        <v>15.04</v>
      </c>
      <c r="EU14" s="242"/>
      <c r="EV14" s="243"/>
      <c r="EW14" s="244">
        <f t="shared" si="18"/>
        <v>60.03</v>
      </c>
      <c r="EX14" s="241">
        <v>57.27</v>
      </c>
      <c r="EY14" s="242">
        <v>40.369999999999997</v>
      </c>
      <c r="EZ14" s="242"/>
      <c r="FA14" s="243"/>
      <c r="FB14" s="244">
        <f t="shared" si="19"/>
        <v>97.64</v>
      </c>
      <c r="FC14" s="241">
        <v>36.07</v>
      </c>
      <c r="FD14" s="242">
        <v>32.630000000000003</v>
      </c>
      <c r="FE14" s="242"/>
      <c r="FF14" s="243"/>
      <c r="FG14" s="244">
        <f t="shared" si="20"/>
        <v>68.7</v>
      </c>
      <c r="FH14" s="241">
        <v>40.840000000000003</v>
      </c>
      <c r="FI14" s="242">
        <v>28.96</v>
      </c>
      <c r="FJ14" s="242"/>
      <c r="FK14" s="243"/>
      <c r="FL14" s="244">
        <f t="shared" si="21"/>
        <v>69.800000000000011</v>
      </c>
      <c r="FM14" s="241">
        <f>44.22+0.36</f>
        <v>44.58</v>
      </c>
      <c r="FN14" s="242">
        <f>39.71+0.3</f>
        <v>40.01</v>
      </c>
      <c r="FO14" s="242"/>
      <c r="FP14" s="243"/>
      <c r="FQ14" s="244">
        <f t="shared" si="22"/>
        <v>84.59</v>
      </c>
      <c r="FR14" s="241">
        <v>55.83</v>
      </c>
      <c r="FS14" s="242">
        <v>30.17</v>
      </c>
      <c r="FT14" s="242"/>
      <c r="FU14" s="243"/>
      <c r="FV14" s="244">
        <f t="shared" si="23"/>
        <v>86</v>
      </c>
      <c r="FW14" s="241">
        <v>51.04</v>
      </c>
      <c r="FX14" s="242">
        <v>21.24</v>
      </c>
      <c r="FY14" s="242"/>
      <c r="FZ14" s="243"/>
      <c r="GA14" s="244">
        <f t="shared" si="24"/>
        <v>72.28</v>
      </c>
      <c r="GB14" s="241">
        <v>15.8</v>
      </c>
      <c r="GC14" s="242">
        <v>29.05</v>
      </c>
      <c r="GD14" s="242"/>
      <c r="GE14" s="243"/>
      <c r="GF14" s="244">
        <f t="shared" si="25"/>
        <v>44.85</v>
      </c>
      <c r="GG14" s="76">
        <v>54.29</v>
      </c>
      <c r="GH14" s="77">
        <v>33.729999999999997</v>
      </c>
      <c r="GI14" s="77"/>
      <c r="GJ14" s="78"/>
      <c r="GK14" s="244">
        <f t="shared" si="26"/>
        <v>88.02</v>
      </c>
      <c r="GL14" s="241">
        <v>27.04</v>
      </c>
      <c r="GM14" s="242">
        <v>12.78</v>
      </c>
      <c r="GN14" s="242"/>
      <c r="GO14" s="243"/>
      <c r="GP14" s="244">
        <f t="shared" si="27"/>
        <v>39.82</v>
      </c>
      <c r="GQ14" s="241">
        <v>19.96</v>
      </c>
      <c r="GR14" s="242">
        <v>7.43</v>
      </c>
      <c r="GS14" s="242"/>
      <c r="GT14" s="243"/>
      <c r="GU14" s="244">
        <f t="shared" si="28"/>
        <v>27.39</v>
      </c>
      <c r="GV14" s="241">
        <v>18.14</v>
      </c>
      <c r="GW14" s="242">
        <v>21.49</v>
      </c>
      <c r="GX14" s="242"/>
      <c r="GY14" s="243"/>
      <c r="GZ14" s="244">
        <f t="shared" si="29"/>
        <v>39.629999999999995</v>
      </c>
      <c r="HA14" s="241">
        <v>39.369999999999997</v>
      </c>
      <c r="HB14" s="242">
        <v>29.56</v>
      </c>
      <c r="HC14" s="242"/>
      <c r="HD14" s="243"/>
      <c r="HE14" s="244">
        <f t="shared" si="30"/>
        <v>68.929999999999993</v>
      </c>
      <c r="HF14" s="241">
        <v>20.09</v>
      </c>
      <c r="HG14" s="242">
        <v>19.05</v>
      </c>
      <c r="HH14" s="242"/>
      <c r="HI14" s="243"/>
      <c r="HJ14" s="244">
        <f t="shared" si="31"/>
        <v>39.14</v>
      </c>
      <c r="HK14" s="241">
        <v>67.45</v>
      </c>
      <c r="HL14" s="242">
        <v>60.39</v>
      </c>
      <c r="HM14" s="242"/>
      <c r="HN14" s="243"/>
      <c r="HO14" s="244">
        <f t="shared" si="32"/>
        <v>127.84</v>
      </c>
      <c r="HP14" s="241">
        <v>64.3</v>
      </c>
      <c r="HQ14" s="242">
        <v>96.37</v>
      </c>
      <c r="HR14" s="242"/>
      <c r="HS14" s="243"/>
      <c r="HT14" s="244">
        <f t="shared" si="33"/>
        <v>160.67000000000002</v>
      </c>
      <c r="HU14" s="241">
        <v>99.91</v>
      </c>
      <c r="HV14" s="269"/>
      <c r="HW14" s="242"/>
      <c r="HX14" s="243"/>
      <c r="HY14" s="244">
        <f t="shared" si="34"/>
        <v>99.91</v>
      </c>
      <c r="HZ14" s="241">
        <f>84.71+2.95</f>
        <v>87.66</v>
      </c>
      <c r="IA14" s="242">
        <v>26.25</v>
      </c>
      <c r="IB14" s="242"/>
      <c r="IC14" s="243"/>
      <c r="ID14" s="244">
        <f t="shared" si="35"/>
        <v>113.91</v>
      </c>
      <c r="IE14" s="233">
        <v>31.71</v>
      </c>
      <c r="IF14" s="234">
        <v>69.78</v>
      </c>
      <c r="IG14" s="234"/>
      <c r="IH14" s="235"/>
      <c r="II14" s="232">
        <f t="shared" si="36"/>
        <v>101.49000000000001</v>
      </c>
      <c r="IJ14" s="233">
        <v>44.18</v>
      </c>
      <c r="IK14" s="234">
        <v>63.39</v>
      </c>
      <c r="IL14" s="234"/>
      <c r="IM14" s="235"/>
      <c r="IN14" s="232">
        <f t="shared" si="37"/>
        <v>107.57</v>
      </c>
      <c r="IO14" s="69">
        <v>47.81</v>
      </c>
      <c r="IP14" s="79"/>
      <c r="IQ14" s="70"/>
      <c r="IR14" s="71"/>
      <c r="IS14" s="73">
        <f t="shared" si="38"/>
        <v>47.81</v>
      </c>
      <c r="IT14" s="69">
        <v>62.98</v>
      </c>
      <c r="IU14" s="70">
        <v>22.17</v>
      </c>
      <c r="IV14" s="70"/>
      <c r="IW14" s="71"/>
      <c r="IX14" s="73">
        <f t="shared" si="39"/>
        <v>85.15</v>
      </c>
      <c r="IY14" s="69">
        <v>32.200000000000003</v>
      </c>
      <c r="IZ14" s="70">
        <v>11.75</v>
      </c>
      <c r="JA14" s="70"/>
      <c r="JB14" s="71"/>
      <c r="JC14" s="73">
        <f t="shared" si="40"/>
        <v>43.95</v>
      </c>
      <c r="JD14" s="69">
        <v>75.31</v>
      </c>
      <c r="JE14" s="70">
        <v>13.55</v>
      </c>
      <c r="JF14" s="70"/>
      <c r="JG14" s="71"/>
      <c r="JH14" s="73">
        <f t="shared" si="41"/>
        <v>88.86</v>
      </c>
      <c r="JI14" s="69">
        <v>40.409999999999997</v>
      </c>
      <c r="JJ14" s="70">
        <v>15.97</v>
      </c>
      <c r="JK14" s="70"/>
      <c r="JL14" s="71"/>
      <c r="JM14" s="73">
        <f t="shared" si="42"/>
        <v>56.379999999999995</v>
      </c>
      <c r="JN14" s="69">
        <v>72.08</v>
      </c>
      <c r="JO14" s="70">
        <v>21.41</v>
      </c>
      <c r="JP14" s="70"/>
      <c r="JQ14" s="71"/>
      <c r="JR14" s="73">
        <f t="shared" si="43"/>
        <v>93.49</v>
      </c>
      <c r="JS14" s="69">
        <v>33.450000000000003</v>
      </c>
      <c r="JT14" s="70">
        <v>19.45</v>
      </c>
      <c r="JU14" s="70"/>
      <c r="JV14" s="71"/>
      <c r="JW14" s="73">
        <f t="shared" si="44"/>
        <v>52.900000000000006</v>
      </c>
      <c r="JX14" s="69">
        <v>55.79</v>
      </c>
      <c r="JY14" s="70">
        <v>24.67</v>
      </c>
      <c r="JZ14" s="70"/>
      <c r="KA14" s="71"/>
      <c r="KB14" s="73">
        <v>80.460000000000008</v>
      </c>
      <c r="KC14" s="69">
        <v>38.42</v>
      </c>
      <c r="KD14" s="70">
        <v>40.69</v>
      </c>
      <c r="KE14" s="70">
        <v>0</v>
      </c>
      <c r="KF14" s="71">
        <v>0</v>
      </c>
      <c r="KG14" s="73">
        <v>79.11</v>
      </c>
      <c r="KH14" s="69">
        <v>68.84</v>
      </c>
      <c r="KI14" s="70">
        <v>75.709999999999994</v>
      </c>
      <c r="KJ14" s="70"/>
      <c r="KK14" s="71"/>
      <c r="KL14" s="73">
        <v>144.55000000000001</v>
      </c>
      <c r="KM14" s="479">
        <v>63.34</v>
      </c>
      <c r="KN14" s="480">
        <v>0</v>
      </c>
      <c r="KO14" s="70">
        <v>0</v>
      </c>
      <c r="KP14" s="71">
        <v>0</v>
      </c>
      <c r="KQ14" s="73">
        <f t="shared" si="45"/>
        <v>63.34</v>
      </c>
      <c r="KR14" s="69">
        <v>60.33</v>
      </c>
      <c r="KS14" s="70">
        <v>64.91</v>
      </c>
      <c r="KT14" s="70">
        <v>0</v>
      </c>
      <c r="KU14" s="71">
        <v>0</v>
      </c>
      <c r="KV14" s="73">
        <f t="shared" si="46"/>
        <v>125.24</v>
      </c>
    </row>
    <row r="15" spans="1:308" ht="15.75" x14ac:dyDescent="0.25">
      <c r="A15" s="188"/>
      <c r="B15" s="55">
        <v>7</v>
      </c>
      <c r="C15" s="56">
        <v>23.6</v>
      </c>
      <c r="D15" s="57">
        <v>21.2</v>
      </c>
      <c r="E15" s="58"/>
      <c r="F15" s="59"/>
      <c r="G15" s="60"/>
      <c r="H15" s="61">
        <f t="shared" si="5"/>
        <v>21.2</v>
      </c>
      <c r="I15" s="62">
        <v>30.29</v>
      </c>
      <c r="J15" s="63"/>
      <c r="K15" s="63"/>
      <c r="L15" s="64"/>
      <c r="M15" s="33">
        <f t="shared" si="6"/>
        <v>30.29</v>
      </c>
      <c r="N15" s="62">
        <v>18.940000000000001</v>
      </c>
      <c r="O15" s="63"/>
      <c r="P15" s="63"/>
      <c r="Q15" s="64"/>
      <c r="R15" s="33">
        <f t="shared" si="0"/>
        <v>18.940000000000001</v>
      </c>
      <c r="S15" s="62">
        <v>14.88</v>
      </c>
      <c r="T15" s="63"/>
      <c r="U15" s="63"/>
      <c r="V15" s="64"/>
      <c r="W15" s="33">
        <f t="shared" si="1"/>
        <v>14.88</v>
      </c>
      <c r="X15" s="62">
        <v>26.72</v>
      </c>
      <c r="Y15" s="63"/>
      <c r="Z15" s="63"/>
      <c r="AA15" s="64"/>
      <c r="AB15" s="33">
        <f t="shared" si="7"/>
        <v>26.72</v>
      </c>
      <c r="AC15" s="65">
        <v>21.82</v>
      </c>
      <c r="AD15" s="66"/>
      <c r="AE15" s="66"/>
      <c r="AF15" s="67"/>
      <c r="AG15" s="37">
        <f t="shared" si="8"/>
        <v>21.82</v>
      </c>
      <c r="AH15" s="65">
        <v>19.37</v>
      </c>
      <c r="AI15" s="66">
        <v>5.86</v>
      </c>
      <c r="AJ15" s="66"/>
      <c r="AK15" s="67"/>
      <c r="AL15" s="68">
        <f t="shared" si="47"/>
        <v>25.23</v>
      </c>
      <c r="AM15" s="69">
        <v>19.46</v>
      </c>
      <c r="AN15" s="70"/>
      <c r="AO15" s="70"/>
      <c r="AP15" s="71"/>
      <c r="AQ15" s="72">
        <f t="shared" si="48"/>
        <v>19.46</v>
      </c>
      <c r="AR15" s="69">
        <v>20.66</v>
      </c>
      <c r="AS15" s="70">
        <v>11.24</v>
      </c>
      <c r="AT15" s="70"/>
      <c r="AU15" s="71"/>
      <c r="AV15" s="73">
        <f t="shared" si="49"/>
        <v>31.9</v>
      </c>
      <c r="AW15" s="69">
        <v>17.47</v>
      </c>
      <c r="AX15" s="70"/>
      <c r="AY15" s="70"/>
      <c r="AZ15" s="71"/>
      <c r="BA15" s="73">
        <f t="shared" si="50"/>
        <v>17.47</v>
      </c>
      <c r="BB15" s="69">
        <f>23.97+0.75</f>
        <v>24.72</v>
      </c>
      <c r="BC15" s="70">
        <v>29.32</v>
      </c>
      <c r="BD15" s="70"/>
      <c r="BE15" s="71"/>
      <c r="BF15" s="73">
        <f t="shared" si="56"/>
        <v>54.04</v>
      </c>
      <c r="BG15" s="69">
        <f>37.91+0.77</f>
        <v>38.68</v>
      </c>
      <c r="BH15" s="70"/>
      <c r="BI15" s="70"/>
      <c r="BJ15" s="74"/>
      <c r="BK15" s="73">
        <f t="shared" si="51"/>
        <v>38.68</v>
      </c>
      <c r="BL15" s="69">
        <f>27.31+5.26</f>
        <v>32.57</v>
      </c>
      <c r="BM15" s="70"/>
      <c r="BN15" s="70"/>
      <c r="BO15" s="74"/>
      <c r="BP15" s="72">
        <f t="shared" si="52"/>
        <v>32.57</v>
      </c>
      <c r="BQ15" s="69">
        <f>18.57+0.93</f>
        <v>19.5</v>
      </c>
      <c r="BR15" s="70">
        <v>3.26</v>
      </c>
      <c r="BS15" s="70"/>
      <c r="BT15" s="71"/>
      <c r="BU15" s="232">
        <f t="shared" si="9"/>
        <v>22.759999999999998</v>
      </c>
      <c r="BV15" s="233">
        <v>7.53</v>
      </c>
      <c r="BW15" s="234">
        <v>5.12</v>
      </c>
      <c r="BX15" s="234"/>
      <c r="BY15" s="235"/>
      <c r="BZ15" s="236">
        <f t="shared" si="10"/>
        <v>12.65</v>
      </c>
      <c r="CA15" s="237">
        <v>9.86</v>
      </c>
      <c r="CB15" s="238">
        <v>12.06</v>
      </c>
      <c r="CC15" s="238"/>
      <c r="CD15" s="239"/>
      <c r="CE15" s="240">
        <f t="shared" si="53"/>
        <v>21.92</v>
      </c>
      <c r="CF15" s="237">
        <v>18.34</v>
      </c>
      <c r="CG15" s="238"/>
      <c r="CH15" s="238"/>
      <c r="CI15" s="239"/>
      <c r="CJ15" s="240">
        <f t="shared" si="54"/>
        <v>18.34</v>
      </c>
      <c r="CK15" s="237">
        <v>12.53</v>
      </c>
      <c r="CL15" s="238">
        <v>12.82</v>
      </c>
      <c r="CM15" s="238"/>
      <c r="CN15" s="239"/>
      <c r="CO15" s="240">
        <f t="shared" si="55"/>
        <v>25.35</v>
      </c>
      <c r="CP15" s="241">
        <v>10.18</v>
      </c>
      <c r="CQ15" s="242">
        <v>7.3</v>
      </c>
      <c r="CR15" s="242"/>
      <c r="CS15" s="243"/>
      <c r="CT15" s="244">
        <v>17.48</v>
      </c>
      <c r="CU15" s="241">
        <v>6.45</v>
      </c>
      <c r="CV15" s="242">
        <v>7.22</v>
      </c>
      <c r="CW15" s="242">
        <v>4.96</v>
      </c>
      <c r="CX15" s="243"/>
      <c r="CY15" s="244">
        <f t="shared" si="2"/>
        <v>18.63</v>
      </c>
      <c r="CZ15" s="241">
        <v>14.23</v>
      </c>
      <c r="DA15" s="242">
        <v>16.260000000000002</v>
      </c>
      <c r="DB15" s="242"/>
      <c r="DC15" s="243"/>
      <c r="DD15" s="244">
        <f t="shared" si="3"/>
        <v>30.490000000000002</v>
      </c>
      <c r="DE15" s="241">
        <v>26.76</v>
      </c>
      <c r="DF15" s="242"/>
      <c r="DG15" s="242"/>
      <c r="DH15" s="243"/>
      <c r="DI15" s="244">
        <f t="shared" si="4"/>
        <v>26.76</v>
      </c>
      <c r="DJ15" s="241">
        <v>35.340000000000003</v>
      </c>
      <c r="DK15" s="242"/>
      <c r="DL15" s="242"/>
      <c r="DM15" s="243"/>
      <c r="DN15" s="244">
        <f t="shared" si="11"/>
        <v>35.340000000000003</v>
      </c>
      <c r="DO15" s="241">
        <v>34.020000000000003</v>
      </c>
      <c r="DP15" s="242"/>
      <c r="DQ15" s="242"/>
      <c r="DR15" s="243"/>
      <c r="DS15" s="244">
        <f t="shared" si="12"/>
        <v>34.020000000000003</v>
      </c>
      <c r="DT15" s="241">
        <v>24.25</v>
      </c>
      <c r="DU15" s="242">
        <v>24.03</v>
      </c>
      <c r="DV15" s="242"/>
      <c r="DW15" s="243"/>
      <c r="DX15" s="244">
        <f t="shared" si="13"/>
        <v>48.28</v>
      </c>
      <c r="DY15" s="76">
        <v>16.510000000000002</v>
      </c>
      <c r="DZ15" s="77"/>
      <c r="EA15" s="77"/>
      <c r="EB15" s="78"/>
      <c r="EC15" s="244">
        <f t="shared" si="14"/>
        <v>16.510000000000002</v>
      </c>
      <c r="ED15" s="241">
        <v>16.84</v>
      </c>
      <c r="EE15" s="242"/>
      <c r="EF15" s="242"/>
      <c r="EG15" s="243"/>
      <c r="EH15" s="244">
        <f t="shared" si="15"/>
        <v>16.84</v>
      </c>
      <c r="EI15" s="241">
        <v>21.41</v>
      </c>
      <c r="EJ15" s="242"/>
      <c r="EK15" s="242"/>
      <c r="EL15" s="243"/>
      <c r="EM15" s="244">
        <f t="shared" si="16"/>
        <v>21.41</v>
      </c>
      <c r="EN15" s="241">
        <v>20.67</v>
      </c>
      <c r="EO15" s="242">
        <v>14.16</v>
      </c>
      <c r="EP15" s="242"/>
      <c r="EQ15" s="243"/>
      <c r="ER15" s="244">
        <f t="shared" si="17"/>
        <v>34.83</v>
      </c>
      <c r="ES15" s="241">
        <v>9.92</v>
      </c>
      <c r="ET15" s="242">
        <v>5.35</v>
      </c>
      <c r="EU15" s="242"/>
      <c r="EV15" s="243"/>
      <c r="EW15" s="244">
        <f t="shared" si="18"/>
        <v>15.27</v>
      </c>
      <c r="EX15" s="241">
        <v>15.97</v>
      </c>
      <c r="EY15" s="242">
        <v>3.3</v>
      </c>
      <c r="EZ15" s="242"/>
      <c r="FA15" s="243"/>
      <c r="FB15" s="244">
        <f t="shared" si="19"/>
        <v>19.27</v>
      </c>
      <c r="FC15" s="241">
        <v>13.25</v>
      </c>
      <c r="FD15" s="242">
        <v>8.2799999999999994</v>
      </c>
      <c r="FE15" s="242"/>
      <c r="FF15" s="243"/>
      <c r="FG15" s="244">
        <f t="shared" si="20"/>
        <v>21.53</v>
      </c>
      <c r="FH15" s="241">
        <v>11.73</v>
      </c>
      <c r="FI15" s="242">
        <v>12.7</v>
      </c>
      <c r="FJ15" s="242"/>
      <c r="FK15" s="243"/>
      <c r="FL15" s="244">
        <f t="shared" si="21"/>
        <v>24.43</v>
      </c>
      <c r="FM15" s="241">
        <v>13.77</v>
      </c>
      <c r="FN15" s="242"/>
      <c r="FO15" s="242"/>
      <c r="FP15" s="243"/>
      <c r="FQ15" s="244">
        <f t="shared" si="22"/>
        <v>13.77</v>
      </c>
      <c r="FR15" s="241">
        <v>12.63</v>
      </c>
      <c r="FS15" s="242">
        <v>8.58</v>
      </c>
      <c r="FT15" s="242"/>
      <c r="FU15" s="243"/>
      <c r="FV15" s="244">
        <f t="shared" si="23"/>
        <v>21.21</v>
      </c>
      <c r="FW15" s="241">
        <v>11.33</v>
      </c>
      <c r="FX15" s="242">
        <v>12.43</v>
      </c>
      <c r="FY15" s="242"/>
      <c r="FZ15" s="243"/>
      <c r="GA15" s="244">
        <f t="shared" si="24"/>
        <v>23.759999999999998</v>
      </c>
      <c r="GB15" s="241">
        <v>10.6</v>
      </c>
      <c r="GC15" s="242">
        <v>5.0199999999999996</v>
      </c>
      <c r="GD15" s="242"/>
      <c r="GE15" s="243"/>
      <c r="GF15" s="244">
        <f t="shared" si="25"/>
        <v>15.62</v>
      </c>
      <c r="GG15" s="76">
        <v>17.940000000000001</v>
      </c>
      <c r="GH15" s="77">
        <v>7.89</v>
      </c>
      <c r="GI15" s="77"/>
      <c r="GJ15" s="78"/>
      <c r="GK15" s="244">
        <f t="shared" si="26"/>
        <v>25.830000000000002</v>
      </c>
      <c r="GL15" s="241">
        <v>6.73</v>
      </c>
      <c r="GM15" s="242">
        <v>5.17</v>
      </c>
      <c r="GN15" s="242"/>
      <c r="GO15" s="243"/>
      <c r="GP15" s="244">
        <f t="shared" si="27"/>
        <v>11.9</v>
      </c>
      <c r="GQ15" s="241">
        <v>11.03</v>
      </c>
      <c r="GR15" s="242">
        <v>2.67</v>
      </c>
      <c r="GS15" s="242"/>
      <c r="GT15" s="243"/>
      <c r="GU15" s="244">
        <f t="shared" si="28"/>
        <v>13.7</v>
      </c>
      <c r="GV15" s="241">
        <v>12.03</v>
      </c>
      <c r="GW15" s="242">
        <v>12.37</v>
      </c>
      <c r="GX15" s="242"/>
      <c r="GY15" s="243"/>
      <c r="GZ15" s="244">
        <f t="shared" si="29"/>
        <v>24.4</v>
      </c>
      <c r="HA15" s="241">
        <v>12.62</v>
      </c>
      <c r="HB15" s="242">
        <v>5.03</v>
      </c>
      <c r="HC15" s="242"/>
      <c r="HD15" s="243"/>
      <c r="HE15" s="244">
        <f t="shared" si="30"/>
        <v>17.649999999999999</v>
      </c>
      <c r="HF15" s="241">
        <v>12.33</v>
      </c>
      <c r="HG15" s="242">
        <v>7.17</v>
      </c>
      <c r="HH15" s="242"/>
      <c r="HI15" s="243"/>
      <c r="HJ15" s="244">
        <f t="shared" si="31"/>
        <v>19.5</v>
      </c>
      <c r="HK15" s="241">
        <v>16.73</v>
      </c>
      <c r="HL15" s="242">
        <v>12.52</v>
      </c>
      <c r="HM15" s="242"/>
      <c r="HN15" s="243"/>
      <c r="HO15" s="244">
        <f t="shared" si="32"/>
        <v>29.25</v>
      </c>
      <c r="HP15" s="241">
        <v>29.03</v>
      </c>
      <c r="HQ15" s="269"/>
      <c r="HR15" s="242"/>
      <c r="HS15" s="243"/>
      <c r="HT15" s="244">
        <f t="shared" si="33"/>
        <v>29.03</v>
      </c>
      <c r="HU15" s="241">
        <v>30.42</v>
      </c>
      <c r="HV15" s="242">
        <v>30.56</v>
      </c>
      <c r="HW15" s="242"/>
      <c r="HX15" s="243"/>
      <c r="HY15" s="244">
        <f t="shared" si="34"/>
        <v>60.980000000000004</v>
      </c>
      <c r="HZ15" s="241">
        <v>33.08</v>
      </c>
      <c r="IA15" s="269"/>
      <c r="IB15" s="242"/>
      <c r="IC15" s="243"/>
      <c r="ID15" s="244">
        <f t="shared" si="35"/>
        <v>33.08</v>
      </c>
      <c r="IE15" s="233">
        <f>15.42+1.174</f>
        <v>16.594000000000001</v>
      </c>
      <c r="IF15" s="234">
        <v>24.7</v>
      </c>
      <c r="IG15" s="234"/>
      <c r="IH15" s="235"/>
      <c r="II15" s="232">
        <f t="shared" si="36"/>
        <v>41.293999999999997</v>
      </c>
      <c r="IJ15" s="233">
        <v>25.65</v>
      </c>
      <c r="IK15" s="234">
        <v>19.72</v>
      </c>
      <c r="IL15" s="234"/>
      <c r="IM15" s="235"/>
      <c r="IN15" s="232">
        <f t="shared" si="37"/>
        <v>45.37</v>
      </c>
      <c r="IO15" s="69">
        <v>18.989999999999998</v>
      </c>
      <c r="IP15" s="79"/>
      <c r="IQ15" s="70"/>
      <c r="IR15" s="71"/>
      <c r="IS15" s="73">
        <f t="shared" si="38"/>
        <v>18.989999999999998</v>
      </c>
      <c r="IT15" s="69">
        <v>22.99</v>
      </c>
      <c r="IU15" s="70">
        <v>2.68</v>
      </c>
      <c r="IV15" s="70"/>
      <c r="IW15" s="71"/>
      <c r="IX15" s="73">
        <f t="shared" si="39"/>
        <v>25.669999999999998</v>
      </c>
      <c r="IY15" s="69">
        <v>18.8</v>
      </c>
      <c r="IZ15" s="70">
        <v>2.2799999999999998</v>
      </c>
      <c r="JA15" s="70"/>
      <c r="JB15" s="71"/>
      <c r="JC15" s="73">
        <f t="shared" si="40"/>
        <v>21.080000000000002</v>
      </c>
      <c r="JD15" s="69">
        <v>35.020000000000003</v>
      </c>
      <c r="JE15" s="70">
        <v>4.59</v>
      </c>
      <c r="JF15" s="70"/>
      <c r="JG15" s="71"/>
      <c r="JH15" s="73">
        <f t="shared" si="41"/>
        <v>39.61</v>
      </c>
      <c r="JI15" s="69">
        <v>23.27</v>
      </c>
      <c r="JJ15" s="70">
        <v>4.3499999999999996</v>
      </c>
      <c r="JK15" s="70"/>
      <c r="JL15" s="71"/>
      <c r="JM15" s="73">
        <f t="shared" si="42"/>
        <v>27.619999999999997</v>
      </c>
      <c r="JN15" s="69">
        <v>26.28</v>
      </c>
      <c r="JO15" s="70">
        <v>3.25</v>
      </c>
      <c r="JP15" s="70"/>
      <c r="JQ15" s="71"/>
      <c r="JR15" s="73">
        <f t="shared" si="43"/>
        <v>29.53</v>
      </c>
      <c r="JS15" s="69">
        <v>20.65</v>
      </c>
      <c r="JT15" s="70">
        <v>6.41</v>
      </c>
      <c r="JU15" s="70"/>
      <c r="JV15" s="71"/>
      <c r="JW15" s="73">
        <f t="shared" si="44"/>
        <v>27.06</v>
      </c>
      <c r="JX15" s="69">
        <v>18.420000000000002</v>
      </c>
      <c r="JY15" s="70">
        <v>7.91</v>
      </c>
      <c r="JZ15" s="70"/>
      <c r="KA15" s="71"/>
      <c r="KB15" s="73">
        <v>26.330000000000002</v>
      </c>
      <c r="KC15" s="69">
        <v>16.63</v>
      </c>
      <c r="KD15" s="70">
        <v>15.12</v>
      </c>
      <c r="KE15" s="70">
        <v>0</v>
      </c>
      <c r="KF15" s="71">
        <v>0</v>
      </c>
      <c r="KG15" s="73">
        <v>31.75</v>
      </c>
      <c r="KH15" s="69">
        <v>25.9</v>
      </c>
      <c r="KI15" s="70"/>
      <c r="KJ15" s="70"/>
      <c r="KK15" s="71"/>
      <c r="KL15" s="73">
        <v>25.9</v>
      </c>
      <c r="KM15" s="479">
        <v>22.37</v>
      </c>
      <c r="KN15" s="480">
        <v>19.55</v>
      </c>
      <c r="KO15" s="70">
        <v>0</v>
      </c>
      <c r="KP15" s="71">
        <v>0</v>
      </c>
      <c r="KQ15" s="73">
        <f t="shared" si="45"/>
        <v>41.92</v>
      </c>
      <c r="KR15" s="69">
        <v>19.149999999999999</v>
      </c>
      <c r="KS15" s="70">
        <v>0</v>
      </c>
      <c r="KT15" s="70">
        <v>0</v>
      </c>
      <c r="KU15" s="71">
        <v>0</v>
      </c>
      <c r="KV15" s="73">
        <f t="shared" si="46"/>
        <v>19.149999999999999</v>
      </c>
    </row>
    <row r="16" spans="1:308" ht="15.75" x14ac:dyDescent="0.25">
      <c r="A16" s="188"/>
      <c r="B16" s="55">
        <v>8</v>
      </c>
      <c r="C16" s="56">
        <v>61.6</v>
      </c>
      <c r="D16" s="57">
        <v>67.22</v>
      </c>
      <c r="E16" s="58"/>
      <c r="F16" s="59"/>
      <c r="G16" s="60"/>
      <c r="H16" s="61">
        <f t="shared" si="5"/>
        <v>67.22</v>
      </c>
      <c r="I16" s="62">
        <v>88.42</v>
      </c>
      <c r="J16" s="63"/>
      <c r="K16" s="63"/>
      <c r="L16" s="64"/>
      <c r="M16" s="33">
        <f t="shared" si="6"/>
        <v>88.42</v>
      </c>
      <c r="N16" s="62">
        <v>50.95</v>
      </c>
      <c r="O16" s="63"/>
      <c r="P16" s="63"/>
      <c r="Q16" s="64"/>
      <c r="R16" s="33">
        <f t="shared" si="0"/>
        <v>50.95</v>
      </c>
      <c r="S16" s="62">
        <v>31.16</v>
      </c>
      <c r="T16" s="63"/>
      <c r="U16" s="63"/>
      <c r="V16" s="64"/>
      <c r="W16" s="33">
        <f t="shared" si="1"/>
        <v>31.16</v>
      </c>
      <c r="X16" s="62">
        <v>39</v>
      </c>
      <c r="Y16" s="63">
        <v>50.56</v>
      </c>
      <c r="Z16" s="63"/>
      <c r="AA16" s="64"/>
      <c r="AB16" s="33">
        <f t="shared" si="7"/>
        <v>89.56</v>
      </c>
      <c r="AC16" s="65">
        <v>58.46</v>
      </c>
      <c r="AD16" s="66"/>
      <c r="AE16" s="66"/>
      <c r="AF16" s="67"/>
      <c r="AG16" s="37">
        <f t="shared" si="8"/>
        <v>58.46</v>
      </c>
      <c r="AH16" s="65">
        <v>31.99</v>
      </c>
      <c r="AI16" s="66">
        <v>33.479999999999997</v>
      </c>
      <c r="AJ16" s="66"/>
      <c r="AK16" s="67"/>
      <c r="AL16" s="68">
        <f t="shared" si="47"/>
        <v>65.47</v>
      </c>
      <c r="AM16" s="69">
        <v>52.72</v>
      </c>
      <c r="AN16" s="70">
        <v>10.06</v>
      </c>
      <c r="AO16" s="70"/>
      <c r="AP16" s="71"/>
      <c r="AQ16" s="72">
        <f t="shared" si="48"/>
        <v>62.78</v>
      </c>
      <c r="AR16" s="69">
        <v>28.42</v>
      </c>
      <c r="AS16" s="70">
        <v>40.85</v>
      </c>
      <c r="AT16" s="70">
        <v>40.82</v>
      </c>
      <c r="AU16" s="71"/>
      <c r="AV16" s="73">
        <f t="shared" si="49"/>
        <v>110.09</v>
      </c>
      <c r="AW16" s="69">
        <v>54.64</v>
      </c>
      <c r="AX16" s="70"/>
      <c r="AY16" s="70"/>
      <c r="AZ16" s="71"/>
      <c r="BA16" s="73">
        <f t="shared" si="50"/>
        <v>54.64</v>
      </c>
      <c r="BB16" s="69">
        <f>71.6+2.73</f>
        <v>74.33</v>
      </c>
      <c r="BC16" s="70">
        <v>21.24</v>
      </c>
      <c r="BD16" s="70"/>
      <c r="BE16" s="71"/>
      <c r="BF16" s="73">
        <f t="shared" si="56"/>
        <v>95.57</v>
      </c>
      <c r="BG16" s="69">
        <f>65.61+4.6</f>
        <v>70.209999999999994</v>
      </c>
      <c r="BH16" s="70">
        <v>53.26</v>
      </c>
      <c r="BI16" s="70"/>
      <c r="BJ16" s="74"/>
      <c r="BK16" s="73">
        <f t="shared" si="51"/>
        <v>123.47</v>
      </c>
      <c r="BL16" s="69">
        <v>87.27</v>
      </c>
      <c r="BM16" s="70">
        <v>7.89</v>
      </c>
      <c r="BN16" s="70">
        <v>34.49</v>
      </c>
      <c r="BO16" s="74"/>
      <c r="BP16" s="72">
        <f t="shared" si="52"/>
        <v>129.65</v>
      </c>
      <c r="BQ16" s="69">
        <v>33.03</v>
      </c>
      <c r="BR16" s="70">
        <v>17.73</v>
      </c>
      <c r="BS16" s="70"/>
      <c r="BT16" s="71"/>
      <c r="BU16" s="232">
        <f t="shared" si="9"/>
        <v>50.760000000000005</v>
      </c>
      <c r="BV16" s="233">
        <v>18.329999999999998</v>
      </c>
      <c r="BW16" s="234">
        <v>16.59</v>
      </c>
      <c r="BX16" s="234"/>
      <c r="BY16" s="235"/>
      <c r="BZ16" s="236">
        <f t="shared" si="10"/>
        <v>34.92</v>
      </c>
      <c r="CA16" s="237">
        <v>20.95</v>
      </c>
      <c r="CB16" s="238">
        <v>16.47</v>
      </c>
      <c r="CC16" s="238">
        <v>17.05</v>
      </c>
      <c r="CD16" s="239"/>
      <c r="CE16" s="240">
        <f t="shared" si="53"/>
        <v>54.47</v>
      </c>
      <c r="CF16" s="237">
        <v>29.22</v>
      </c>
      <c r="CG16" s="238">
        <v>28.2</v>
      </c>
      <c r="CH16" s="238"/>
      <c r="CI16" s="239"/>
      <c r="CJ16" s="240">
        <f t="shared" si="54"/>
        <v>57.42</v>
      </c>
      <c r="CK16" s="237">
        <v>28.76</v>
      </c>
      <c r="CL16" s="238">
        <v>23.12</v>
      </c>
      <c r="CM16" s="238"/>
      <c r="CN16" s="239"/>
      <c r="CO16" s="240">
        <f t="shared" si="55"/>
        <v>51.88</v>
      </c>
      <c r="CP16" s="241">
        <v>18.559999999999999</v>
      </c>
      <c r="CQ16" s="242">
        <v>24.3</v>
      </c>
      <c r="CR16" s="242"/>
      <c r="CS16" s="243"/>
      <c r="CT16" s="244">
        <v>42.86</v>
      </c>
      <c r="CU16" s="241">
        <v>30.58</v>
      </c>
      <c r="CV16" s="242">
        <v>37.450000000000003</v>
      </c>
      <c r="CW16" s="242"/>
      <c r="CX16" s="243"/>
      <c r="CY16" s="244">
        <f t="shared" si="2"/>
        <v>68.03</v>
      </c>
      <c r="CZ16" s="241">
        <v>10.29</v>
      </c>
      <c r="DA16" s="242">
        <v>62.17</v>
      </c>
      <c r="DB16" s="242"/>
      <c r="DC16" s="243"/>
      <c r="DD16" s="244">
        <f t="shared" si="3"/>
        <v>72.460000000000008</v>
      </c>
      <c r="DE16" s="241">
        <v>78.78</v>
      </c>
      <c r="DF16" s="242"/>
      <c r="DG16" s="242"/>
      <c r="DH16" s="243"/>
      <c r="DI16" s="244">
        <f t="shared" si="4"/>
        <v>78.78</v>
      </c>
      <c r="DJ16" s="241">
        <v>118.71</v>
      </c>
      <c r="DK16" s="242"/>
      <c r="DL16" s="242"/>
      <c r="DM16" s="243"/>
      <c r="DN16" s="244">
        <f t="shared" si="11"/>
        <v>118.71</v>
      </c>
      <c r="DO16" s="241">
        <v>111.62</v>
      </c>
      <c r="DP16" s="242"/>
      <c r="DQ16" s="242"/>
      <c r="DR16" s="243"/>
      <c r="DS16" s="244">
        <f t="shared" si="12"/>
        <v>111.62</v>
      </c>
      <c r="DT16" s="241">
        <v>70.260000000000005</v>
      </c>
      <c r="DU16" s="242"/>
      <c r="DV16" s="242"/>
      <c r="DW16" s="243"/>
      <c r="DX16" s="244">
        <f t="shared" si="13"/>
        <v>70.260000000000005</v>
      </c>
      <c r="DY16" s="76">
        <v>56.21</v>
      </c>
      <c r="DZ16" s="77">
        <v>12.42</v>
      </c>
      <c r="EA16" s="77"/>
      <c r="EB16" s="78"/>
      <c r="EC16" s="244">
        <f t="shared" si="14"/>
        <v>68.63</v>
      </c>
      <c r="ED16" s="241">
        <v>53.54</v>
      </c>
      <c r="EE16" s="242"/>
      <c r="EF16" s="242"/>
      <c r="EG16" s="243"/>
      <c r="EH16" s="244">
        <f t="shared" si="15"/>
        <v>53.54</v>
      </c>
      <c r="EI16" s="241">
        <v>27.15</v>
      </c>
      <c r="EJ16" s="242">
        <v>43.61</v>
      </c>
      <c r="EK16" s="242"/>
      <c r="EL16" s="243"/>
      <c r="EM16" s="244">
        <f t="shared" si="16"/>
        <v>70.759999999999991</v>
      </c>
      <c r="EN16" s="241">
        <v>55.5</v>
      </c>
      <c r="EO16" s="242"/>
      <c r="EP16" s="242"/>
      <c r="EQ16" s="243"/>
      <c r="ER16" s="244">
        <f t="shared" si="17"/>
        <v>55.5</v>
      </c>
      <c r="ES16" s="241">
        <v>42.9</v>
      </c>
      <c r="ET16" s="242">
        <v>20.04</v>
      </c>
      <c r="EU16" s="242"/>
      <c r="EV16" s="243"/>
      <c r="EW16" s="244">
        <f t="shared" si="18"/>
        <v>62.94</v>
      </c>
      <c r="EX16" s="241">
        <v>34.17</v>
      </c>
      <c r="EY16" s="242">
        <v>27.99</v>
      </c>
      <c r="EZ16" s="242"/>
      <c r="FA16" s="243"/>
      <c r="FB16" s="244">
        <f t="shared" si="19"/>
        <v>62.16</v>
      </c>
      <c r="FC16" s="241">
        <v>20.07</v>
      </c>
      <c r="FD16" s="242">
        <v>34.979999999999997</v>
      </c>
      <c r="FE16" s="242">
        <v>7.56</v>
      </c>
      <c r="FF16" s="243"/>
      <c r="FG16" s="244">
        <f t="shared" si="20"/>
        <v>62.61</v>
      </c>
      <c r="FH16" s="241">
        <v>32.11</v>
      </c>
      <c r="FI16" s="242">
        <v>73.739999999999995</v>
      </c>
      <c r="FJ16" s="242"/>
      <c r="FK16" s="243"/>
      <c r="FL16" s="244">
        <f t="shared" si="21"/>
        <v>105.85</v>
      </c>
      <c r="FM16" s="241">
        <v>41.92</v>
      </c>
      <c r="FN16" s="242">
        <v>12.33</v>
      </c>
      <c r="FO16" s="242"/>
      <c r="FP16" s="243"/>
      <c r="FQ16" s="244">
        <f t="shared" si="22"/>
        <v>54.25</v>
      </c>
      <c r="FR16" s="241">
        <v>94.95</v>
      </c>
      <c r="FS16" s="262"/>
      <c r="FT16" s="242"/>
      <c r="FU16" s="243"/>
      <c r="FV16" s="244">
        <f t="shared" si="23"/>
        <v>94.95</v>
      </c>
      <c r="FW16" s="241">
        <v>43.86</v>
      </c>
      <c r="FX16" s="242">
        <v>31.4</v>
      </c>
      <c r="FY16" s="242"/>
      <c r="FZ16" s="243"/>
      <c r="GA16" s="244">
        <f t="shared" si="24"/>
        <v>75.259999999999991</v>
      </c>
      <c r="GB16" s="241">
        <v>50.53</v>
      </c>
      <c r="GC16" s="242">
        <v>46.45</v>
      </c>
      <c r="GD16" s="242"/>
      <c r="GE16" s="243"/>
      <c r="GF16" s="244">
        <f t="shared" si="25"/>
        <v>96.98</v>
      </c>
      <c r="GG16" s="76">
        <v>42.77</v>
      </c>
      <c r="GH16" s="77">
        <v>18.39</v>
      </c>
      <c r="GI16" s="77"/>
      <c r="GJ16" s="78"/>
      <c r="GK16" s="244">
        <f t="shared" si="26"/>
        <v>61.160000000000004</v>
      </c>
      <c r="GL16" s="241">
        <v>32.46</v>
      </c>
      <c r="GM16" s="242">
        <v>20.34</v>
      </c>
      <c r="GN16" s="242"/>
      <c r="GO16" s="243"/>
      <c r="GP16" s="244">
        <f t="shared" si="27"/>
        <v>52.8</v>
      </c>
      <c r="GQ16" s="241">
        <v>22.63</v>
      </c>
      <c r="GR16" s="242">
        <v>19.03</v>
      </c>
      <c r="GS16" s="242"/>
      <c r="GT16" s="243"/>
      <c r="GU16" s="244">
        <f t="shared" si="28"/>
        <v>41.66</v>
      </c>
      <c r="GV16" s="241">
        <v>31.29</v>
      </c>
      <c r="GW16" s="242">
        <v>7.84</v>
      </c>
      <c r="GX16" s="242"/>
      <c r="GY16" s="243"/>
      <c r="GZ16" s="244">
        <f t="shared" si="29"/>
        <v>39.129999999999995</v>
      </c>
      <c r="HA16" s="241">
        <v>26.15</v>
      </c>
      <c r="HB16" s="242">
        <v>30.05</v>
      </c>
      <c r="HC16" s="242">
        <v>16.28</v>
      </c>
      <c r="HD16" s="243"/>
      <c r="HE16" s="244">
        <f t="shared" si="30"/>
        <v>72.48</v>
      </c>
      <c r="HF16" s="241">
        <v>18.05</v>
      </c>
      <c r="HG16" s="242">
        <v>23.72</v>
      </c>
      <c r="HH16" s="242"/>
      <c r="HI16" s="243"/>
      <c r="HJ16" s="244">
        <f t="shared" si="31"/>
        <v>41.769999999999996</v>
      </c>
      <c r="HK16" s="241">
        <v>24.42</v>
      </c>
      <c r="HL16" s="242">
        <v>20.18</v>
      </c>
      <c r="HM16" s="242">
        <v>8.36</v>
      </c>
      <c r="HN16" s="243"/>
      <c r="HO16" s="244">
        <f t="shared" si="32"/>
        <v>52.96</v>
      </c>
      <c r="HP16" s="241">
        <v>17.82</v>
      </c>
      <c r="HQ16" s="242">
        <v>37.83</v>
      </c>
      <c r="HR16" s="242">
        <v>58.75</v>
      </c>
      <c r="HS16" s="243"/>
      <c r="HT16" s="244">
        <f t="shared" si="33"/>
        <v>114.4</v>
      </c>
      <c r="HU16" s="241">
        <v>78.790000000000006</v>
      </c>
      <c r="HV16" s="269"/>
      <c r="HW16" s="242"/>
      <c r="HX16" s="243"/>
      <c r="HY16" s="244">
        <f t="shared" si="34"/>
        <v>78.790000000000006</v>
      </c>
      <c r="HZ16" s="241">
        <f>91.53+3.11</f>
        <v>94.64</v>
      </c>
      <c r="IA16" s="269"/>
      <c r="IB16" s="242"/>
      <c r="IC16" s="243"/>
      <c r="ID16" s="244">
        <f t="shared" si="35"/>
        <v>94.64</v>
      </c>
      <c r="IE16" s="233">
        <f>83.29+3.2</f>
        <v>86.490000000000009</v>
      </c>
      <c r="IF16" s="234">
        <v>64.989999999999995</v>
      </c>
      <c r="IG16" s="234"/>
      <c r="IH16" s="235"/>
      <c r="II16" s="232">
        <f t="shared" si="36"/>
        <v>151.48000000000002</v>
      </c>
      <c r="IJ16" s="233">
        <v>61.18</v>
      </c>
      <c r="IK16" s="234">
        <v>61.97</v>
      </c>
      <c r="IL16" s="234"/>
      <c r="IM16" s="235"/>
      <c r="IN16" s="232">
        <f t="shared" si="37"/>
        <v>123.15</v>
      </c>
      <c r="IO16" s="69">
        <v>44.66</v>
      </c>
      <c r="IP16" s="79"/>
      <c r="IQ16" s="70"/>
      <c r="IR16" s="71"/>
      <c r="IS16" s="73">
        <f t="shared" si="38"/>
        <v>44.66</v>
      </c>
      <c r="IT16" s="69">
        <v>57.38</v>
      </c>
      <c r="IU16" s="70">
        <v>39.22</v>
      </c>
      <c r="IV16" s="70"/>
      <c r="IW16" s="71"/>
      <c r="IX16" s="73">
        <f t="shared" si="39"/>
        <v>96.6</v>
      </c>
      <c r="IY16" s="69">
        <v>33.08</v>
      </c>
      <c r="IZ16" s="70">
        <v>26.12</v>
      </c>
      <c r="JA16" s="70"/>
      <c r="JB16" s="71"/>
      <c r="JC16" s="73">
        <f t="shared" si="40"/>
        <v>59.2</v>
      </c>
      <c r="JD16" s="69">
        <v>61.53</v>
      </c>
      <c r="JE16" s="70">
        <v>17.5</v>
      </c>
      <c r="JF16" s="70"/>
      <c r="JG16" s="71"/>
      <c r="JH16" s="73">
        <f t="shared" si="41"/>
        <v>79.03</v>
      </c>
      <c r="JI16" s="69">
        <v>14.91</v>
      </c>
      <c r="JJ16" s="70">
        <v>34.14</v>
      </c>
      <c r="JK16" s="70">
        <v>14.68</v>
      </c>
      <c r="JL16" s="71"/>
      <c r="JM16" s="73">
        <f t="shared" si="42"/>
        <v>63.73</v>
      </c>
      <c r="JN16" s="69">
        <v>14.65</v>
      </c>
      <c r="JO16" s="70">
        <v>23.41</v>
      </c>
      <c r="JP16" s="70">
        <v>20.48</v>
      </c>
      <c r="JQ16" s="71"/>
      <c r="JR16" s="73">
        <f t="shared" si="43"/>
        <v>58.540000000000006</v>
      </c>
      <c r="JS16" s="69">
        <v>25.36</v>
      </c>
      <c r="JT16" s="70">
        <v>21.55</v>
      </c>
      <c r="JU16" s="70">
        <v>9.16</v>
      </c>
      <c r="JV16" s="71"/>
      <c r="JW16" s="73">
        <f t="shared" si="44"/>
        <v>56.069999999999993</v>
      </c>
      <c r="JX16" s="69">
        <v>7.76</v>
      </c>
      <c r="JY16" s="70">
        <v>31.86</v>
      </c>
      <c r="JZ16" s="70">
        <v>29.19</v>
      </c>
      <c r="KA16" s="71"/>
      <c r="KB16" s="73">
        <v>68.81</v>
      </c>
      <c r="KC16" s="69">
        <v>36.22</v>
      </c>
      <c r="KD16" s="70">
        <v>45.54</v>
      </c>
      <c r="KE16" s="70">
        <v>0</v>
      </c>
      <c r="KF16" s="71">
        <v>0</v>
      </c>
      <c r="KG16" s="73">
        <v>81.760000000000005</v>
      </c>
      <c r="KH16" s="69">
        <v>37.409999999999997</v>
      </c>
      <c r="KI16" s="70">
        <v>71.930000000000007</v>
      </c>
      <c r="KJ16" s="70"/>
      <c r="KK16" s="71"/>
      <c r="KL16" s="73">
        <v>109.34</v>
      </c>
      <c r="KM16" s="479">
        <v>62.94</v>
      </c>
      <c r="KN16" s="480">
        <v>58.5</v>
      </c>
      <c r="KO16" s="70">
        <v>0</v>
      </c>
      <c r="KP16" s="71">
        <v>0</v>
      </c>
      <c r="KQ16" s="73">
        <f t="shared" si="45"/>
        <v>121.44</v>
      </c>
      <c r="KR16" s="69">
        <v>59.31</v>
      </c>
      <c r="KS16" s="70">
        <v>7.63</v>
      </c>
      <c r="KT16" s="70">
        <v>0</v>
      </c>
      <c r="KU16" s="71">
        <v>0</v>
      </c>
      <c r="KV16" s="73">
        <f t="shared" si="46"/>
        <v>66.94</v>
      </c>
    </row>
    <row r="17" spans="1:308" ht="15.75" x14ac:dyDescent="0.25">
      <c r="A17" s="188"/>
      <c r="B17" s="55">
        <v>9</v>
      </c>
      <c r="C17" s="56">
        <v>38.299999999999997</v>
      </c>
      <c r="D17" s="57">
        <v>45.17</v>
      </c>
      <c r="E17" s="58"/>
      <c r="F17" s="59"/>
      <c r="G17" s="60"/>
      <c r="H17" s="61">
        <f t="shared" si="5"/>
        <v>45.17</v>
      </c>
      <c r="I17" s="62">
        <v>39.4</v>
      </c>
      <c r="J17" s="63"/>
      <c r="K17" s="63"/>
      <c r="L17" s="64"/>
      <c r="M17" s="33">
        <f t="shared" si="6"/>
        <v>39.4</v>
      </c>
      <c r="N17" s="62">
        <v>27.71</v>
      </c>
      <c r="O17" s="63"/>
      <c r="P17" s="63"/>
      <c r="Q17" s="64"/>
      <c r="R17" s="33">
        <f t="shared" si="0"/>
        <v>27.71</v>
      </c>
      <c r="S17" s="62">
        <v>21.49</v>
      </c>
      <c r="T17" s="63"/>
      <c r="U17" s="63"/>
      <c r="V17" s="64"/>
      <c r="W17" s="33">
        <f t="shared" si="1"/>
        <v>21.49</v>
      </c>
      <c r="X17" s="62">
        <v>26.33</v>
      </c>
      <c r="Y17" s="63">
        <v>28.6</v>
      </c>
      <c r="Z17" s="63"/>
      <c r="AA17" s="64"/>
      <c r="AB17" s="33">
        <f t="shared" si="7"/>
        <v>54.93</v>
      </c>
      <c r="AC17" s="65">
        <v>31.47</v>
      </c>
      <c r="AD17" s="66"/>
      <c r="AE17" s="66"/>
      <c r="AF17" s="67"/>
      <c r="AG17" s="37">
        <f t="shared" si="8"/>
        <v>31.47</v>
      </c>
      <c r="AH17" s="65">
        <v>18.13</v>
      </c>
      <c r="AI17" s="66">
        <v>27.64</v>
      </c>
      <c r="AJ17" s="66"/>
      <c r="AK17" s="67"/>
      <c r="AL17" s="68">
        <f t="shared" si="47"/>
        <v>45.769999999999996</v>
      </c>
      <c r="AM17" s="69">
        <v>40.99</v>
      </c>
      <c r="AN17" s="70"/>
      <c r="AO17" s="70"/>
      <c r="AP17" s="71"/>
      <c r="AQ17" s="72">
        <f t="shared" si="48"/>
        <v>40.99</v>
      </c>
      <c r="AR17" s="69">
        <v>38.409999999999997</v>
      </c>
      <c r="AS17" s="70">
        <v>36.64</v>
      </c>
      <c r="AT17" s="70"/>
      <c r="AU17" s="71"/>
      <c r="AV17" s="73">
        <f t="shared" si="49"/>
        <v>75.05</v>
      </c>
      <c r="AW17" s="69">
        <v>27.49</v>
      </c>
      <c r="AX17" s="70">
        <v>48.83</v>
      </c>
      <c r="AY17" s="70"/>
      <c r="AZ17" s="71"/>
      <c r="BA17" s="73">
        <f t="shared" si="50"/>
        <v>76.319999999999993</v>
      </c>
      <c r="BB17" s="69">
        <f>40.57+0.9</f>
        <v>41.47</v>
      </c>
      <c r="BC17" s="70">
        <v>43.62</v>
      </c>
      <c r="BD17" s="70"/>
      <c r="BE17" s="71"/>
      <c r="BF17" s="73">
        <f t="shared" si="56"/>
        <v>85.09</v>
      </c>
      <c r="BG17" s="69">
        <f>43.99+1.96</f>
        <v>45.95</v>
      </c>
      <c r="BH17" s="70">
        <v>40.049999999999997</v>
      </c>
      <c r="BI17" s="70"/>
      <c r="BJ17" s="74"/>
      <c r="BK17" s="73">
        <f t="shared" si="51"/>
        <v>86</v>
      </c>
      <c r="BL17" s="69">
        <f>38.08+2.21</f>
        <v>40.29</v>
      </c>
      <c r="BM17" s="70">
        <v>23.09</v>
      </c>
      <c r="BN17" s="70"/>
      <c r="BO17" s="74"/>
      <c r="BP17" s="72">
        <f t="shared" si="52"/>
        <v>63.379999999999995</v>
      </c>
      <c r="BQ17" s="69">
        <v>15.76</v>
      </c>
      <c r="BR17" s="70">
        <v>11.62</v>
      </c>
      <c r="BS17" s="70"/>
      <c r="BT17" s="71"/>
      <c r="BU17" s="232">
        <f t="shared" si="9"/>
        <v>27.38</v>
      </c>
      <c r="BV17" s="233">
        <v>8.0299999999999994</v>
      </c>
      <c r="BW17" s="234">
        <v>8.4600000000000009</v>
      </c>
      <c r="BX17" s="234">
        <v>8.7799999999999994</v>
      </c>
      <c r="BY17" s="235"/>
      <c r="BZ17" s="236">
        <f t="shared" si="10"/>
        <v>25.270000000000003</v>
      </c>
      <c r="CA17" s="237">
        <v>9.58</v>
      </c>
      <c r="CB17" s="238">
        <v>10.050000000000001</v>
      </c>
      <c r="CC17" s="238"/>
      <c r="CD17" s="239"/>
      <c r="CE17" s="240">
        <f t="shared" si="53"/>
        <v>19.630000000000003</v>
      </c>
      <c r="CF17" s="237">
        <v>24.76</v>
      </c>
      <c r="CG17" s="238">
        <v>11.9</v>
      </c>
      <c r="CH17" s="238">
        <v>4.0199999999999996</v>
      </c>
      <c r="CI17" s="239"/>
      <c r="CJ17" s="240">
        <f t="shared" si="54"/>
        <v>40.680000000000007</v>
      </c>
      <c r="CK17" s="237">
        <v>16.309999999999999</v>
      </c>
      <c r="CL17" s="238">
        <v>16.260000000000002</v>
      </c>
      <c r="CM17" s="238"/>
      <c r="CN17" s="239"/>
      <c r="CO17" s="240">
        <f t="shared" si="55"/>
        <v>32.57</v>
      </c>
      <c r="CP17" s="241">
        <v>7.81</v>
      </c>
      <c r="CQ17" s="242">
        <v>12.46</v>
      </c>
      <c r="CR17" s="242"/>
      <c r="CS17" s="243"/>
      <c r="CT17" s="244">
        <v>20.27</v>
      </c>
      <c r="CU17" s="241">
        <v>18.43</v>
      </c>
      <c r="CV17" s="242"/>
      <c r="CW17" s="242"/>
      <c r="CX17" s="243"/>
      <c r="CY17" s="244">
        <f t="shared" si="2"/>
        <v>18.43</v>
      </c>
      <c r="CZ17" s="241">
        <v>39.090000000000003</v>
      </c>
      <c r="DA17" s="242">
        <v>36.43</v>
      </c>
      <c r="DB17" s="242"/>
      <c r="DC17" s="243"/>
      <c r="DD17" s="244">
        <f t="shared" si="3"/>
        <v>75.52000000000001</v>
      </c>
      <c r="DE17" s="241">
        <v>12.53</v>
      </c>
      <c r="DF17" s="242">
        <v>51.49</v>
      </c>
      <c r="DG17" s="242"/>
      <c r="DH17" s="243"/>
      <c r="DI17" s="244">
        <f t="shared" si="4"/>
        <v>64.02</v>
      </c>
      <c r="DJ17" s="241">
        <v>72.98</v>
      </c>
      <c r="DK17" s="242"/>
      <c r="DL17" s="242"/>
      <c r="DM17" s="243"/>
      <c r="DN17" s="244">
        <f t="shared" si="11"/>
        <v>72.98</v>
      </c>
      <c r="DO17" s="241">
        <v>43.4</v>
      </c>
      <c r="DP17" s="242"/>
      <c r="DQ17" s="242"/>
      <c r="DR17" s="243"/>
      <c r="DS17" s="244">
        <f t="shared" si="12"/>
        <v>43.4</v>
      </c>
      <c r="DT17" s="241">
        <v>54.92</v>
      </c>
      <c r="DU17" s="242"/>
      <c r="DV17" s="242"/>
      <c r="DW17" s="243"/>
      <c r="DX17" s="244">
        <f t="shared" si="13"/>
        <v>54.92</v>
      </c>
      <c r="DY17" s="76">
        <v>27.94</v>
      </c>
      <c r="DZ17" s="77"/>
      <c r="EA17" s="77"/>
      <c r="EB17" s="78"/>
      <c r="EC17" s="244">
        <f t="shared" si="14"/>
        <v>27.94</v>
      </c>
      <c r="ED17" s="241">
        <v>17.43</v>
      </c>
      <c r="EE17" s="242">
        <v>16.46</v>
      </c>
      <c r="EF17" s="242"/>
      <c r="EG17" s="243"/>
      <c r="EH17" s="244">
        <f t="shared" si="15"/>
        <v>33.89</v>
      </c>
      <c r="EI17" s="241">
        <v>21.09</v>
      </c>
      <c r="EJ17" s="242">
        <v>25.84</v>
      </c>
      <c r="EK17" s="242"/>
      <c r="EL17" s="243"/>
      <c r="EM17" s="244">
        <f t="shared" si="16"/>
        <v>46.93</v>
      </c>
      <c r="EN17" s="241">
        <v>38.409999999999997</v>
      </c>
      <c r="EO17" s="242"/>
      <c r="EP17" s="242"/>
      <c r="EQ17" s="243"/>
      <c r="ER17" s="244">
        <f t="shared" si="17"/>
        <v>38.409999999999997</v>
      </c>
      <c r="ES17" s="241">
        <v>20.14</v>
      </c>
      <c r="ET17" s="242">
        <v>11.77</v>
      </c>
      <c r="EU17" s="242"/>
      <c r="EV17" s="243"/>
      <c r="EW17" s="244">
        <f t="shared" si="18"/>
        <v>31.91</v>
      </c>
      <c r="EX17" s="241">
        <v>14.49</v>
      </c>
      <c r="EY17" s="242">
        <v>18.260000000000002</v>
      </c>
      <c r="EZ17" s="242"/>
      <c r="FA17" s="243"/>
      <c r="FB17" s="244">
        <f t="shared" si="19"/>
        <v>32.75</v>
      </c>
      <c r="FC17" s="241">
        <v>14.98</v>
      </c>
      <c r="FD17" s="242">
        <v>20.03</v>
      </c>
      <c r="FE17" s="242"/>
      <c r="FF17" s="243"/>
      <c r="FG17" s="244">
        <f t="shared" si="20"/>
        <v>35.010000000000005</v>
      </c>
      <c r="FH17" s="241">
        <v>20.62</v>
      </c>
      <c r="FI17" s="242">
        <v>22.69</v>
      </c>
      <c r="FJ17" s="242"/>
      <c r="FK17" s="243"/>
      <c r="FL17" s="244">
        <f t="shared" si="21"/>
        <v>43.31</v>
      </c>
      <c r="FM17" s="241">
        <v>24.08</v>
      </c>
      <c r="FN17" s="242">
        <v>24.13</v>
      </c>
      <c r="FO17" s="242"/>
      <c r="FP17" s="243"/>
      <c r="FQ17" s="244">
        <f t="shared" si="22"/>
        <v>48.209999999999994</v>
      </c>
      <c r="FR17" s="241">
        <v>33.31</v>
      </c>
      <c r="FS17" s="242">
        <v>38.090000000000003</v>
      </c>
      <c r="FT17" s="242"/>
      <c r="FU17" s="243"/>
      <c r="FV17" s="244">
        <f t="shared" si="23"/>
        <v>71.400000000000006</v>
      </c>
      <c r="FW17" s="241">
        <v>30.59</v>
      </c>
      <c r="FX17" s="242">
        <v>19.39</v>
      </c>
      <c r="FY17" s="242"/>
      <c r="FZ17" s="243"/>
      <c r="GA17" s="244">
        <f t="shared" si="24"/>
        <v>49.980000000000004</v>
      </c>
      <c r="GB17" s="241">
        <v>23.36</v>
      </c>
      <c r="GC17" s="242">
        <v>21.89</v>
      </c>
      <c r="GD17" s="242"/>
      <c r="GE17" s="243"/>
      <c r="GF17" s="244">
        <f t="shared" si="25"/>
        <v>45.25</v>
      </c>
      <c r="GG17" s="76">
        <v>27.43</v>
      </c>
      <c r="GH17" s="77">
        <v>10.62</v>
      </c>
      <c r="GI17" s="77"/>
      <c r="GJ17" s="78"/>
      <c r="GK17" s="244">
        <f t="shared" si="26"/>
        <v>38.049999999999997</v>
      </c>
      <c r="GL17" s="241">
        <v>6.51</v>
      </c>
      <c r="GM17" s="242">
        <v>14.2</v>
      </c>
      <c r="GN17" s="242"/>
      <c r="GO17" s="243"/>
      <c r="GP17" s="244">
        <f t="shared" si="27"/>
        <v>20.71</v>
      </c>
      <c r="GQ17" s="241">
        <v>10.91</v>
      </c>
      <c r="GR17" s="242">
        <v>11.74</v>
      </c>
      <c r="GS17" s="242"/>
      <c r="GT17" s="243"/>
      <c r="GU17" s="244">
        <f t="shared" si="28"/>
        <v>22.65</v>
      </c>
      <c r="GV17" s="241">
        <v>21.23</v>
      </c>
      <c r="GW17" s="262"/>
      <c r="GX17" s="242"/>
      <c r="GY17" s="243"/>
      <c r="GZ17" s="244">
        <f t="shared" si="29"/>
        <v>21.23</v>
      </c>
      <c r="HA17" s="241">
        <v>10.46</v>
      </c>
      <c r="HB17" s="242">
        <v>10.23</v>
      </c>
      <c r="HC17" s="242">
        <v>7.88</v>
      </c>
      <c r="HD17" s="243"/>
      <c r="HE17" s="244">
        <f t="shared" si="30"/>
        <v>28.57</v>
      </c>
      <c r="HF17" s="241">
        <v>3.58</v>
      </c>
      <c r="HG17" s="242">
        <v>10.74</v>
      </c>
      <c r="HH17" s="242">
        <v>14.75</v>
      </c>
      <c r="HI17" s="243"/>
      <c r="HJ17" s="244">
        <f t="shared" si="31"/>
        <v>29.07</v>
      </c>
      <c r="HK17" s="241">
        <v>13.44</v>
      </c>
      <c r="HL17" s="242">
        <v>10</v>
      </c>
      <c r="HM17" s="242"/>
      <c r="HN17" s="243"/>
      <c r="HO17" s="244">
        <f t="shared" si="32"/>
        <v>23.439999999999998</v>
      </c>
      <c r="HP17" s="241">
        <v>11.36</v>
      </c>
      <c r="HQ17" s="242">
        <v>19.690000000000001</v>
      </c>
      <c r="HR17" s="242">
        <v>12.66</v>
      </c>
      <c r="HS17" s="243"/>
      <c r="HT17" s="244">
        <f t="shared" si="33"/>
        <v>43.71</v>
      </c>
      <c r="HU17" s="241">
        <v>14.56</v>
      </c>
      <c r="HV17" s="242">
        <v>45</v>
      </c>
      <c r="HW17" s="242"/>
      <c r="HX17" s="243"/>
      <c r="HY17" s="244">
        <f t="shared" si="34"/>
        <v>59.56</v>
      </c>
      <c r="HZ17" s="241">
        <f>57.03+6.73</f>
        <v>63.760000000000005</v>
      </c>
      <c r="IA17" s="269"/>
      <c r="IB17" s="242"/>
      <c r="IC17" s="243"/>
      <c r="ID17" s="244">
        <f t="shared" si="35"/>
        <v>63.760000000000005</v>
      </c>
      <c r="IE17" s="233">
        <v>33.729999999999997</v>
      </c>
      <c r="IF17" s="234">
        <f>39.77+2.99</f>
        <v>42.760000000000005</v>
      </c>
      <c r="IG17" s="234"/>
      <c r="IH17" s="235"/>
      <c r="II17" s="232">
        <f t="shared" si="36"/>
        <v>76.490000000000009</v>
      </c>
      <c r="IJ17" s="233">
        <v>27.91</v>
      </c>
      <c r="IK17" s="234">
        <v>34.54</v>
      </c>
      <c r="IL17" s="234"/>
      <c r="IM17" s="235"/>
      <c r="IN17" s="232">
        <f t="shared" si="37"/>
        <v>62.45</v>
      </c>
      <c r="IO17" s="69">
        <v>19.18</v>
      </c>
      <c r="IP17" s="79"/>
      <c r="IQ17" s="70"/>
      <c r="IR17" s="71"/>
      <c r="IS17" s="73">
        <f t="shared" si="38"/>
        <v>19.18</v>
      </c>
      <c r="IT17" s="69">
        <v>24.99</v>
      </c>
      <c r="IU17" s="70">
        <v>9.57</v>
      </c>
      <c r="IV17" s="70"/>
      <c r="IW17" s="71"/>
      <c r="IX17" s="73">
        <f t="shared" si="39"/>
        <v>34.56</v>
      </c>
      <c r="IY17" s="69">
        <v>18.71</v>
      </c>
      <c r="IZ17" s="70">
        <v>20.52</v>
      </c>
      <c r="JA17" s="70"/>
      <c r="JB17" s="71"/>
      <c r="JC17" s="73">
        <f t="shared" si="40"/>
        <v>39.230000000000004</v>
      </c>
      <c r="JD17" s="69">
        <v>16.64</v>
      </c>
      <c r="JE17" s="79"/>
      <c r="JF17" s="70"/>
      <c r="JG17" s="71"/>
      <c r="JH17" s="73">
        <f t="shared" si="41"/>
        <v>16.64</v>
      </c>
      <c r="JI17" s="69">
        <v>28.4</v>
      </c>
      <c r="JJ17" s="70">
        <v>19.29</v>
      </c>
      <c r="JK17" s="70"/>
      <c r="JL17" s="71"/>
      <c r="JM17" s="73">
        <f t="shared" si="42"/>
        <v>47.69</v>
      </c>
      <c r="JN17" s="69">
        <v>17.399999999999999</v>
      </c>
      <c r="JO17" s="70">
        <v>13.53</v>
      </c>
      <c r="JP17" s="70">
        <v>17.12</v>
      </c>
      <c r="JQ17" s="71"/>
      <c r="JR17" s="73">
        <f t="shared" si="43"/>
        <v>48.05</v>
      </c>
      <c r="JS17" s="69">
        <v>15.24</v>
      </c>
      <c r="JT17" s="70">
        <v>17.86</v>
      </c>
      <c r="JU17" s="70"/>
      <c r="JV17" s="71"/>
      <c r="JW17" s="73">
        <f t="shared" si="44"/>
        <v>33.1</v>
      </c>
      <c r="JX17" s="69">
        <v>14.03</v>
      </c>
      <c r="JY17" s="70">
        <v>15.11</v>
      </c>
      <c r="JZ17" s="70">
        <v>14.22</v>
      </c>
      <c r="KA17" s="71"/>
      <c r="KB17" s="73">
        <v>43.36</v>
      </c>
      <c r="KC17" s="69">
        <v>20.07</v>
      </c>
      <c r="KD17" s="70">
        <v>18.03</v>
      </c>
      <c r="KE17" s="70">
        <v>0</v>
      </c>
      <c r="KF17" s="71">
        <v>0</v>
      </c>
      <c r="KG17" s="73">
        <v>38.1</v>
      </c>
      <c r="KH17" s="69">
        <v>28.06</v>
      </c>
      <c r="KI17" s="70">
        <v>40.119999999999997</v>
      </c>
      <c r="KJ17" s="70"/>
      <c r="KK17" s="71"/>
      <c r="KL17" s="73">
        <v>68.179999999999993</v>
      </c>
      <c r="KM17" s="479">
        <v>36.72</v>
      </c>
      <c r="KN17" s="480">
        <v>28.3</v>
      </c>
      <c r="KO17" s="70">
        <v>0</v>
      </c>
      <c r="KP17" s="71">
        <v>0</v>
      </c>
      <c r="KQ17" s="73">
        <f t="shared" si="45"/>
        <v>65.02</v>
      </c>
      <c r="KR17" s="69">
        <v>33.010000000000005</v>
      </c>
      <c r="KS17" s="70">
        <v>0</v>
      </c>
      <c r="KT17" s="70">
        <v>0</v>
      </c>
      <c r="KU17" s="71">
        <v>0</v>
      </c>
      <c r="KV17" s="73">
        <f t="shared" si="46"/>
        <v>33.010000000000005</v>
      </c>
    </row>
    <row r="18" spans="1:308" ht="15.75" x14ac:dyDescent="0.25">
      <c r="A18" s="188"/>
      <c r="B18" s="55">
        <v>11</v>
      </c>
      <c r="C18" s="56">
        <v>44.5</v>
      </c>
      <c r="D18" s="57"/>
      <c r="E18" s="58"/>
      <c r="F18" s="59"/>
      <c r="G18" s="60"/>
      <c r="H18" s="61">
        <f t="shared" si="5"/>
        <v>0</v>
      </c>
      <c r="I18" s="62">
        <v>68.66</v>
      </c>
      <c r="J18" s="63">
        <v>30.12</v>
      </c>
      <c r="K18" s="63"/>
      <c r="L18" s="64"/>
      <c r="M18" s="33">
        <f t="shared" si="6"/>
        <v>98.78</v>
      </c>
      <c r="N18" s="62">
        <v>12.27</v>
      </c>
      <c r="O18" s="63">
        <v>34.67</v>
      </c>
      <c r="P18" s="63"/>
      <c r="Q18" s="64"/>
      <c r="R18" s="33">
        <f t="shared" si="0"/>
        <v>46.94</v>
      </c>
      <c r="S18" s="62">
        <v>40.89</v>
      </c>
      <c r="T18" s="63"/>
      <c r="U18" s="63"/>
      <c r="V18" s="64"/>
      <c r="W18" s="33">
        <f t="shared" si="1"/>
        <v>40.89</v>
      </c>
      <c r="X18" s="62">
        <v>44.43</v>
      </c>
      <c r="Y18" s="63"/>
      <c r="Z18" s="63"/>
      <c r="AA18" s="64"/>
      <c r="AB18" s="33">
        <f t="shared" si="7"/>
        <v>44.43</v>
      </c>
      <c r="AC18" s="65">
        <v>43.12</v>
      </c>
      <c r="AD18" s="66">
        <v>33.67</v>
      </c>
      <c r="AE18" s="66"/>
      <c r="AF18" s="67"/>
      <c r="AG18" s="37">
        <f t="shared" si="8"/>
        <v>76.789999999999992</v>
      </c>
      <c r="AH18" s="65">
        <v>29.22</v>
      </c>
      <c r="AI18" s="66">
        <v>21.29</v>
      </c>
      <c r="AJ18" s="66"/>
      <c r="AK18" s="67"/>
      <c r="AL18" s="68">
        <f t="shared" si="47"/>
        <v>50.51</v>
      </c>
      <c r="AM18" s="69">
        <v>14.24</v>
      </c>
      <c r="AN18" s="70">
        <v>33.51</v>
      </c>
      <c r="AO18" s="70"/>
      <c r="AP18" s="71"/>
      <c r="AQ18" s="72">
        <f t="shared" si="48"/>
        <v>47.75</v>
      </c>
      <c r="AR18" s="69">
        <v>33.619999999999997</v>
      </c>
      <c r="AS18" s="70">
        <v>33.49</v>
      </c>
      <c r="AT18" s="70"/>
      <c r="AU18" s="71"/>
      <c r="AV18" s="73">
        <f t="shared" si="49"/>
        <v>67.11</v>
      </c>
      <c r="AW18" s="69">
        <v>50.26</v>
      </c>
      <c r="AX18" s="70">
        <v>10.23</v>
      </c>
      <c r="AY18" s="70"/>
      <c r="AZ18" s="71"/>
      <c r="BA18" s="73">
        <f t="shared" si="50"/>
        <v>60.489999999999995</v>
      </c>
      <c r="BB18" s="69">
        <v>30.95</v>
      </c>
      <c r="BC18" s="70">
        <f>43.53+1.52</f>
        <v>45.050000000000004</v>
      </c>
      <c r="BD18" s="70"/>
      <c r="BE18" s="71"/>
      <c r="BF18" s="73">
        <f t="shared" si="56"/>
        <v>76</v>
      </c>
      <c r="BG18" s="69">
        <f>46.33+2.18</f>
        <v>48.51</v>
      </c>
      <c r="BH18" s="70">
        <v>43.82</v>
      </c>
      <c r="BI18" s="70"/>
      <c r="BJ18" s="74"/>
      <c r="BK18" s="73">
        <f t="shared" si="51"/>
        <v>92.33</v>
      </c>
      <c r="BL18" s="69">
        <f>41.28+2.66</f>
        <v>43.94</v>
      </c>
      <c r="BM18" s="70"/>
      <c r="BN18" s="70"/>
      <c r="BO18" s="74"/>
      <c r="BP18" s="72">
        <f t="shared" si="52"/>
        <v>43.94</v>
      </c>
      <c r="BQ18" s="69">
        <v>26.39</v>
      </c>
      <c r="BR18" s="70">
        <v>15.48</v>
      </c>
      <c r="BS18" s="70">
        <v>7.32</v>
      </c>
      <c r="BT18" s="71"/>
      <c r="BU18" s="232">
        <f t="shared" si="9"/>
        <v>49.190000000000005</v>
      </c>
      <c r="BV18" s="233">
        <v>10.38</v>
      </c>
      <c r="BW18" s="234">
        <v>9.7100000000000009</v>
      </c>
      <c r="BX18" s="234"/>
      <c r="BY18" s="235"/>
      <c r="BZ18" s="236">
        <f t="shared" si="10"/>
        <v>20.090000000000003</v>
      </c>
      <c r="CA18" s="237">
        <v>9.76</v>
      </c>
      <c r="CB18" s="238">
        <v>14.41</v>
      </c>
      <c r="CC18" s="238">
        <v>13.13</v>
      </c>
      <c r="CD18" s="239"/>
      <c r="CE18" s="240">
        <f t="shared" si="53"/>
        <v>37.300000000000004</v>
      </c>
      <c r="CF18" s="237">
        <v>18.28</v>
      </c>
      <c r="CG18" s="238">
        <v>20.98</v>
      </c>
      <c r="CH18" s="238">
        <v>24.58</v>
      </c>
      <c r="CI18" s="239"/>
      <c r="CJ18" s="240">
        <f t="shared" si="54"/>
        <v>63.84</v>
      </c>
      <c r="CK18" s="237">
        <v>26.68</v>
      </c>
      <c r="CL18" s="238">
        <v>20.59</v>
      </c>
      <c r="CM18" s="238"/>
      <c r="CN18" s="239"/>
      <c r="CO18" s="240">
        <f t="shared" si="55"/>
        <v>47.269999999999996</v>
      </c>
      <c r="CP18" s="241">
        <v>12.87</v>
      </c>
      <c r="CQ18" s="242">
        <v>16.96</v>
      </c>
      <c r="CR18" s="242"/>
      <c r="CS18" s="243"/>
      <c r="CT18" s="244">
        <v>29.83</v>
      </c>
      <c r="CU18" s="241">
        <v>22.3</v>
      </c>
      <c r="CV18" s="242"/>
      <c r="CW18" s="242"/>
      <c r="CX18" s="243"/>
      <c r="CY18" s="244">
        <f t="shared" si="2"/>
        <v>22.3</v>
      </c>
      <c r="CZ18" s="241">
        <v>36.81</v>
      </c>
      <c r="DA18" s="242"/>
      <c r="DB18" s="242"/>
      <c r="DC18" s="243"/>
      <c r="DD18" s="244">
        <f t="shared" si="3"/>
        <v>36.81</v>
      </c>
      <c r="DE18" s="241">
        <v>37.65</v>
      </c>
      <c r="DF18" s="242">
        <v>50.19</v>
      </c>
      <c r="DG18" s="242"/>
      <c r="DH18" s="243"/>
      <c r="DI18" s="244">
        <f t="shared" si="4"/>
        <v>87.84</v>
      </c>
      <c r="DJ18" s="241">
        <v>59.98</v>
      </c>
      <c r="DK18" s="242"/>
      <c r="DL18" s="242"/>
      <c r="DM18" s="243"/>
      <c r="DN18" s="244">
        <f t="shared" si="11"/>
        <v>59.98</v>
      </c>
      <c r="DO18" s="241">
        <v>50.51</v>
      </c>
      <c r="DP18" s="242">
        <v>34.61</v>
      </c>
      <c r="DQ18" s="242"/>
      <c r="DR18" s="243"/>
      <c r="DS18" s="244">
        <f t="shared" si="12"/>
        <v>85.12</v>
      </c>
      <c r="DT18" s="241">
        <v>30.54</v>
      </c>
      <c r="DU18" s="242">
        <v>27.77</v>
      </c>
      <c r="DV18" s="242"/>
      <c r="DW18" s="243"/>
      <c r="DX18" s="244">
        <f t="shared" si="13"/>
        <v>58.31</v>
      </c>
      <c r="DY18" s="76">
        <v>31.57</v>
      </c>
      <c r="DZ18" s="77">
        <v>7.09</v>
      </c>
      <c r="EA18" s="77"/>
      <c r="EB18" s="78"/>
      <c r="EC18" s="244">
        <f t="shared" si="14"/>
        <v>38.659999999999997</v>
      </c>
      <c r="ED18" s="241">
        <v>19.11</v>
      </c>
      <c r="EE18" s="242">
        <v>13.62</v>
      </c>
      <c r="EF18" s="242"/>
      <c r="EG18" s="243"/>
      <c r="EH18" s="244">
        <f t="shared" si="15"/>
        <v>32.729999999999997</v>
      </c>
      <c r="EI18" s="241">
        <v>30.15</v>
      </c>
      <c r="EJ18" s="242">
        <v>6.8</v>
      </c>
      <c r="EK18" s="242"/>
      <c r="EL18" s="243"/>
      <c r="EM18" s="244">
        <f t="shared" si="16"/>
        <v>36.949999999999996</v>
      </c>
      <c r="EN18" s="241">
        <v>27.01</v>
      </c>
      <c r="EO18" s="242">
        <v>23.07</v>
      </c>
      <c r="EP18" s="242">
        <v>32.67</v>
      </c>
      <c r="EQ18" s="243"/>
      <c r="ER18" s="244">
        <f t="shared" si="17"/>
        <v>82.75</v>
      </c>
      <c r="ES18" s="241">
        <v>25.52</v>
      </c>
      <c r="ET18" s="242">
        <v>23.14</v>
      </c>
      <c r="EU18" s="242"/>
      <c r="EV18" s="243"/>
      <c r="EW18" s="244">
        <f t="shared" si="18"/>
        <v>48.66</v>
      </c>
      <c r="EX18" s="241">
        <v>26.37</v>
      </c>
      <c r="EY18" s="242">
        <v>22.06</v>
      </c>
      <c r="EZ18" s="242"/>
      <c r="FA18" s="243"/>
      <c r="FB18" s="244">
        <f t="shared" si="19"/>
        <v>48.43</v>
      </c>
      <c r="FC18" s="241">
        <v>26.02</v>
      </c>
      <c r="FD18" s="242">
        <v>28.42</v>
      </c>
      <c r="FE18" s="242"/>
      <c r="FF18" s="243"/>
      <c r="FG18" s="244">
        <f t="shared" si="20"/>
        <v>54.44</v>
      </c>
      <c r="FH18" s="241">
        <v>29.42</v>
      </c>
      <c r="FI18" s="242">
        <v>31.82</v>
      </c>
      <c r="FJ18" s="242"/>
      <c r="FK18" s="243"/>
      <c r="FL18" s="244">
        <f t="shared" si="21"/>
        <v>61.24</v>
      </c>
      <c r="FM18" s="241">
        <v>31.6</v>
      </c>
      <c r="FN18" s="242">
        <v>27.45</v>
      </c>
      <c r="FO18" s="242"/>
      <c r="FP18" s="243"/>
      <c r="FQ18" s="244">
        <f t="shared" si="22"/>
        <v>59.05</v>
      </c>
      <c r="FR18" s="241">
        <v>33.4</v>
      </c>
      <c r="FS18" s="242">
        <v>25.76</v>
      </c>
      <c r="FT18" s="242"/>
      <c r="FU18" s="243"/>
      <c r="FV18" s="244">
        <f t="shared" si="23"/>
        <v>59.16</v>
      </c>
      <c r="FW18" s="241">
        <v>28.49</v>
      </c>
      <c r="FX18" s="262"/>
      <c r="FY18" s="242"/>
      <c r="FZ18" s="243"/>
      <c r="GA18" s="244">
        <f t="shared" si="24"/>
        <v>28.49</v>
      </c>
      <c r="GB18" s="241">
        <v>24.62</v>
      </c>
      <c r="GC18" s="242">
        <v>21.9</v>
      </c>
      <c r="GD18" s="242">
        <v>8.01</v>
      </c>
      <c r="GE18" s="243"/>
      <c r="GF18" s="244">
        <f t="shared" si="25"/>
        <v>54.529999999999994</v>
      </c>
      <c r="GG18" s="76">
        <v>26.05</v>
      </c>
      <c r="GH18" s="77">
        <v>3.74</v>
      </c>
      <c r="GI18" s="77"/>
      <c r="GJ18" s="78"/>
      <c r="GK18" s="244">
        <f t="shared" si="26"/>
        <v>29.79</v>
      </c>
      <c r="GL18" s="241">
        <v>17.71</v>
      </c>
      <c r="GM18" s="242">
        <v>13.73</v>
      </c>
      <c r="GN18" s="242"/>
      <c r="GO18" s="243"/>
      <c r="GP18" s="244">
        <f t="shared" si="27"/>
        <v>31.44</v>
      </c>
      <c r="GQ18" s="241">
        <v>11.6</v>
      </c>
      <c r="GR18" s="242">
        <v>7.36</v>
      </c>
      <c r="GS18" s="242">
        <v>11.3</v>
      </c>
      <c r="GT18" s="243"/>
      <c r="GU18" s="244">
        <f t="shared" si="28"/>
        <v>30.26</v>
      </c>
      <c r="GV18" s="241">
        <v>37.340000000000003</v>
      </c>
      <c r="GW18" s="262"/>
      <c r="GX18" s="242"/>
      <c r="GY18" s="243"/>
      <c r="GZ18" s="244">
        <f t="shared" si="29"/>
        <v>37.340000000000003</v>
      </c>
      <c r="HA18" s="241">
        <v>15.38</v>
      </c>
      <c r="HB18" s="242">
        <v>17.77</v>
      </c>
      <c r="HC18" s="242">
        <v>20.63</v>
      </c>
      <c r="HD18" s="243"/>
      <c r="HE18" s="244">
        <f t="shared" si="30"/>
        <v>53.78</v>
      </c>
      <c r="HF18" s="241">
        <v>13.56</v>
      </c>
      <c r="HG18" s="242">
        <v>17.32</v>
      </c>
      <c r="HH18" s="242"/>
      <c r="HI18" s="243"/>
      <c r="HJ18" s="244">
        <f t="shared" si="31"/>
        <v>30.880000000000003</v>
      </c>
      <c r="HK18" s="241">
        <v>17.920000000000002</v>
      </c>
      <c r="HL18" s="242">
        <v>6.9</v>
      </c>
      <c r="HM18" s="242"/>
      <c r="HN18" s="243"/>
      <c r="HO18" s="244">
        <f t="shared" si="32"/>
        <v>24.82</v>
      </c>
      <c r="HP18" s="241">
        <v>43.08</v>
      </c>
      <c r="HQ18" s="269"/>
      <c r="HR18" s="242"/>
      <c r="HS18" s="243"/>
      <c r="HT18" s="244">
        <f t="shared" si="33"/>
        <v>43.08</v>
      </c>
      <c r="HU18" s="241">
        <v>48.81</v>
      </c>
      <c r="HV18" s="242">
        <v>49.45</v>
      </c>
      <c r="HW18" s="242"/>
      <c r="HX18" s="243"/>
      <c r="HY18" s="244">
        <f t="shared" si="34"/>
        <v>98.26</v>
      </c>
      <c r="HZ18" s="241">
        <f>43.64+1.69</f>
        <v>45.33</v>
      </c>
      <c r="IA18" s="269"/>
      <c r="IB18" s="242"/>
      <c r="IC18" s="243"/>
      <c r="ID18" s="244">
        <f t="shared" si="35"/>
        <v>45.33</v>
      </c>
      <c r="IE18" s="233">
        <f>33.98+3.57</f>
        <v>37.549999999999997</v>
      </c>
      <c r="IF18" s="234">
        <f>24.27+0.414</f>
        <v>24.684000000000001</v>
      </c>
      <c r="IG18" s="234"/>
      <c r="IH18" s="235"/>
      <c r="II18" s="232">
        <f t="shared" si="36"/>
        <v>62.233999999999995</v>
      </c>
      <c r="IJ18" s="233">
        <v>29.38</v>
      </c>
      <c r="IK18" s="234">
        <v>22.62</v>
      </c>
      <c r="IL18" s="234"/>
      <c r="IM18" s="235"/>
      <c r="IN18" s="232">
        <f t="shared" si="37"/>
        <v>52</v>
      </c>
      <c r="IO18" s="69">
        <v>20.73</v>
      </c>
      <c r="IP18" s="70">
        <v>20.350000000000001</v>
      </c>
      <c r="IQ18" s="70"/>
      <c r="IR18" s="71"/>
      <c r="IS18" s="73">
        <f t="shared" si="38"/>
        <v>41.08</v>
      </c>
      <c r="IT18" s="69">
        <v>12.6</v>
      </c>
      <c r="IU18" s="70">
        <v>9.68</v>
      </c>
      <c r="IV18" s="70">
        <v>4.78</v>
      </c>
      <c r="IW18" s="71"/>
      <c r="IX18" s="73">
        <f t="shared" si="39"/>
        <v>27.060000000000002</v>
      </c>
      <c r="IY18" s="69">
        <v>3.89</v>
      </c>
      <c r="IZ18" s="70">
        <v>7.09</v>
      </c>
      <c r="JA18" s="70">
        <v>29.59</v>
      </c>
      <c r="JB18" s="71"/>
      <c r="JC18" s="73">
        <f t="shared" si="40"/>
        <v>40.57</v>
      </c>
      <c r="JD18" s="69">
        <v>35.96</v>
      </c>
      <c r="JE18" s="79"/>
      <c r="JF18" s="70"/>
      <c r="JG18" s="71"/>
      <c r="JH18" s="73">
        <f t="shared" si="41"/>
        <v>35.96</v>
      </c>
      <c r="JI18" s="69">
        <v>28.43</v>
      </c>
      <c r="JJ18" s="70">
        <v>17.93</v>
      </c>
      <c r="JK18" s="70">
        <v>5.04</v>
      </c>
      <c r="JL18" s="71"/>
      <c r="JM18" s="73">
        <f t="shared" si="42"/>
        <v>51.4</v>
      </c>
      <c r="JN18" s="69">
        <v>18.09</v>
      </c>
      <c r="JO18" s="70">
        <v>13.65</v>
      </c>
      <c r="JP18" s="70">
        <v>12.36</v>
      </c>
      <c r="JQ18" s="71"/>
      <c r="JR18" s="73">
        <f t="shared" si="43"/>
        <v>44.1</v>
      </c>
      <c r="JS18" s="69">
        <v>11.23</v>
      </c>
      <c r="JT18" s="70">
        <v>19.920000000000002</v>
      </c>
      <c r="JU18" s="70">
        <v>16.2</v>
      </c>
      <c r="JV18" s="71"/>
      <c r="JW18" s="73">
        <f t="shared" si="44"/>
        <v>47.35</v>
      </c>
      <c r="JX18" s="69">
        <v>18.48</v>
      </c>
      <c r="JY18" s="70">
        <v>25.18</v>
      </c>
      <c r="JZ18" s="70">
        <v>7.44</v>
      </c>
      <c r="KA18" s="71"/>
      <c r="KB18" s="73">
        <v>51.099999999999994</v>
      </c>
      <c r="KC18" s="69">
        <v>6.15</v>
      </c>
      <c r="KD18" s="70">
        <v>27.3</v>
      </c>
      <c r="KE18" s="70">
        <v>17.57</v>
      </c>
      <c r="KF18" s="71">
        <v>0</v>
      </c>
      <c r="KG18" s="73">
        <v>51.02</v>
      </c>
      <c r="KH18" s="69">
        <v>25.83</v>
      </c>
      <c r="KI18" s="70">
        <v>38.11</v>
      </c>
      <c r="KJ18" s="70"/>
      <c r="KK18" s="71"/>
      <c r="KL18" s="73">
        <v>63.94</v>
      </c>
      <c r="KM18" s="479">
        <v>39.799999999999997</v>
      </c>
      <c r="KN18" s="480">
        <v>4.09</v>
      </c>
      <c r="KO18" s="70">
        <v>0</v>
      </c>
      <c r="KP18" s="71">
        <v>0</v>
      </c>
      <c r="KQ18" s="73">
        <f t="shared" si="45"/>
        <v>43.89</v>
      </c>
      <c r="KR18" s="69">
        <v>32.42</v>
      </c>
      <c r="KS18" s="70">
        <v>0</v>
      </c>
      <c r="KT18" s="70">
        <v>0</v>
      </c>
      <c r="KU18" s="71">
        <v>0</v>
      </c>
      <c r="KV18" s="73">
        <f t="shared" si="46"/>
        <v>32.42</v>
      </c>
    </row>
    <row r="19" spans="1:308" ht="15.75" x14ac:dyDescent="0.25">
      <c r="A19" s="188"/>
      <c r="B19" s="55">
        <v>12</v>
      </c>
      <c r="C19" s="56">
        <v>71</v>
      </c>
      <c r="D19" s="57">
        <v>43.54</v>
      </c>
      <c r="E19" s="58">
        <v>85.1</v>
      </c>
      <c r="F19" s="59"/>
      <c r="G19" s="60"/>
      <c r="H19" s="61">
        <f t="shared" si="5"/>
        <v>128.63999999999999</v>
      </c>
      <c r="I19" s="62">
        <v>6.21</v>
      </c>
      <c r="J19" s="63"/>
      <c r="K19" s="63"/>
      <c r="L19" s="64"/>
      <c r="M19" s="33">
        <f t="shared" si="6"/>
        <v>6.21</v>
      </c>
      <c r="N19" s="62">
        <v>89.68</v>
      </c>
      <c r="O19" s="63"/>
      <c r="P19" s="63"/>
      <c r="Q19" s="64"/>
      <c r="R19" s="33">
        <f t="shared" si="0"/>
        <v>89.68</v>
      </c>
      <c r="S19" s="62">
        <v>48.52</v>
      </c>
      <c r="T19" s="63">
        <v>54.27</v>
      </c>
      <c r="U19" s="63"/>
      <c r="V19" s="64"/>
      <c r="W19" s="33">
        <f t="shared" si="1"/>
        <v>102.79</v>
      </c>
      <c r="X19" s="62">
        <v>65.7</v>
      </c>
      <c r="Y19" s="63"/>
      <c r="Z19" s="63"/>
      <c r="AA19" s="64"/>
      <c r="AB19" s="33">
        <f t="shared" si="7"/>
        <v>65.7</v>
      </c>
      <c r="AC19" s="65">
        <v>66.069999999999993</v>
      </c>
      <c r="AD19" s="66">
        <v>56.38</v>
      </c>
      <c r="AE19" s="66"/>
      <c r="AF19" s="67"/>
      <c r="AG19" s="37">
        <f t="shared" si="8"/>
        <v>122.44999999999999</v>
      </c>
      <c r="AH19" s="65">
        <v>33.700000000000003</v>
      </c>
      <c r="AI19" s="66"/>
      <c r="AJ19" s="66"/>
      <c r="AK19" s="67"/>
      <c r="AL19" s="68">
        <f t="shared" si="47"/>
        <v>33.700000000000003</v>
      </c>
      <c r="AM19" s="69">
        <v>61.76</v>
      </c>
      <c r="AN19" s="70">
        <v>58.35</v>
      </c>
      <c r="AO19" s="70"/>
      <c r="AP19" s="71"/>
      <c r="AQ19" s="72">
        <f t="shared" si="48"/>
        <v>120.11</v>
      </c>
      <c r="AR19" s="69">
        <v>79.31</v>
      </c>
      <c r="AS19" s="70">
        <v>52.15</v>
      </c>
      <c r="AT19" s="70"/>
      <c r="AU19" s="71"/>
      <c r="AV19" s="73">
        <f t="shared" si="49"/>
        <v>131.46</v>
      </c>
      <c r="AW19" s="69">
        <v>54.72</v>
      </c>
      <c r="AX19" s="70">
        <v>78.08</v>
      </c>
      <c r="AY19" s="70"/>
      <c r="AZ19" s="71"/>
      <c r="BA19" s="73">
        <f t="shared" si="50"/>
        <v>132.80000000000001</v>
      </c>
      <c r="BB19" s="69">
        <f>75.61+1.78</f>
        <v>77.39</v>
      </c>
      <c r="BC19" s="70">
        <v>79.14</v>
      </c>
      <c r="BD19" s="70"/>
      <c r="BE19" s="71"/>
      <c r="BF19" s="73">
        <f t="shared" si="56"/>
        <v>156.53</v>
      </c>
      <c r="BG19" s="69">
        <f>83.29+7.72</f>
        <v>91.01</v>
      </c>
      <c r="BH19" s="70"/>
      <c r="BI19" s="70"/>
      <c r="BJ19" s="74"/>
      <c r="BK19" s="73">
        <f t="shared" si="51"/>
        <v>91.01</v>
      </c>
      <c r="BL19" s="69">
        <f>80.58+5.53</f>
        <v>86.11</v>
      </c>
      <c r="BM19" s="70">
        <v>66.63</v>
      </c>
      <c r="BN19" s="70"/>
      <c r="BO19" s="74"/>
      <c r="BP19" s="72">
        <f t="shared" si="52"/>
        <v>152.74</v>
      </c>
      <c r="BQ19" s="69">
        <f>42.71+4.25</f>
        <v>46.96</v>
      </c>
      <c r="BR19" s="70">
        <v>36.880000000000003</v>
      </c>
      <c r="BS19" s="70">
        <v>20.079999999999998</v>
      </c>
      <c r="BT19" s="71"/>
      <c r="BU19" s="232">
        <f t="shared" si="9"/>
        <v>103.92</v>
      </c>
      <c r="BV19" s="233">
        <v>19.95</v>
      </c>
      <c r="BW19" s="234">
        <v>21.87</v>
      </c>
      <c r="BX19" s="234"/>
      <c r="BY19" s="235"/>
      <c r="BZ19" s="236">
        <f t="shared" si="10"/>
        <v>41.82</v>
      </c>
      <c r="CA19" s="237">
        <v>24.83</v>
      </c>
      <c r="CB19" s="238">
        <v>26.51</v>
      </c>
      <c r="CC19" s="238">
        <v>17.86</v>
      </c>
      <c r="CD19" s="239"/>
      <c r="CE19" s="240">
        <f t="shared" si="53"/>
        <v>69.2</v>
      </c>
      <c r="CF19" s="237">
        <v>24.02</v>
      </c>
      <c r="CG19" s="238">
        <v>30.62</v>
      </c>
      <c r="CH19" s="238">
        <v>8.0299999999999994</v>
      </c>
      <c r="CI19" s="239"/>
      <c r="CJ19" s="240">
        <f t="shared" si="54"/>
        <v>62.67</v>
      </c>
      <c r="CK19" s="237">
        <v>31.96</v>
      </c>
      <c r="CL19" s="238">
        <v>41.31</v>
      </c>
      <c r="CM19" s="238">
        <v>23.36</v>
      </c>
      <c r="CN19" s="239"/>
      <c r="CO19" s="240">
        <f t="shared" si="55"/>
        <v>96.63000000000001</v>
      </c>
      <c r="CP19" s="241">
        <v>3.88</v>
      </c>
      <c r="CQ19" s="242">
        <v>27.28</v>
      </c>
      <c r="CR19" s="242">
        <v>26.08</v>
      </c>
      <c r="CS19" s="243"/>
      <c r="CT19" s="244">
        <v>57.239999999999995</v>
      </c>
      <c r="CU19" s="241">
        <v>43.55</v>
      </c>
      <c r="CV19" s="242"/>
      <c r="CW19" s="242"/>
      <c r="CX19" s="243"/>
      <c r="CY19" s="244">
        <f t="shared" si="2"/>
        <v>43.55</v>
      </c>
      <c r="CZ19" s="241">
        <v>58.84</v>
      </c>
      <c r="DA19" s="242"/>
      <c r="DB19" s="242"/>
      <c r="DC19" s="243"/>
      <c r="DD19" s="244">
        <f t="shared" si="3"/>
        <v>58.84</v>
      </c>
      <c r="DE19" s="241">
        <v>81.45</v>
      </c>
      <c r="DF19" s="242"/>
      <c r="DG19" s="242"/>
      <c r="DH19" s="243"/>
      <c r="DI19" s="244">
        <f t="shared" si="4"/>
        <v>81.45</v>
      </c>
      <c r="DJ19" s="241">
        <v>111.53</v>
      </c>
      <c r="DK19" s="242">
        <v>28.35</v>
      </c>
      <c r="DL19" s="242"/>
      <c r="DM19" s="243"/>
      <c r="DN19" s="244">
        <f t="shared" si="11"/>
        <v>139.88</v>
      </c>
      <c r="DO19" s="241">
        <v>122.47</v>
      </c>
      <c r="DP19" s="242"/>
      <c r="DQ19" s="242"/>
      <c r="DR19" s="243"/>
      <c r="DS19" s="244">
        <f t="shared" si="12"/>
        <v>122.47</v>
      </c>
      <c r="DT19" s="241">
        <v>118.78</v>
      </c>
      <c r="DU19" s="242">
        <v>61.75</v>
      </c>
      <c r="DV19" s="242"/>
      <c r="DW19" s="243"/>
      <c r="DX19" s="244">
        <f t="shared" si="13"/>
        <v>180.53</v>
      </c>
      <c r="DY19" s="76">
        <v>64.150000000000006</v>
      </c>
      <c r="DZ19" s="77"/>
      <c r="EA19" s="77"/>
      <c r="EB19" s="78"/>
      <c r="EC19" s="244">
        <f t="shared" si="14"/>
        <v>64.150000000000006</v>
      </c>
      <c r="ED19" s="241">
        <v>41.5</v>
      </c>
      <c r="EE19" s="242">
        <v>31.87</v>
      </c>
      <c r="EF19" s="242"/>
      <c r="EG19" s="243"/>
      <c r="EH19" s="244">
        <f t="shared" si="15"/>
        <v>73.37</v>
      </c>
      <c r="EI19" s="241">
        <v>41.5</v>
      </c>
      <c r="EJ19" s="242">
        <v>24.55</v>
      </c>
      <c r="EK19" s="242"/>
      <c r="EL19" s="243"/>
      <c r="EM19" s="244">
        <f t="shared" si="16"/>
        <v>66.05</v>
      </c>
      <c r="EN19" s="241">
        <v>39.06</v>
      </c>
      <c r="EO19" s="242">
        <v>33.29</v>
      </c>
      <c r="EP19" s="242"/>
      <c r="EQ19" s="243"/>
      <c r="ER19" s="244">
        <f t="shared" si="17"/>
        <v>72.349999999999994</v>
      </c>
      <c r="ES19" s="241">
        <v>69.09</v>
      </c>
      <c r="ET19" s="242"/>
      <c r="EU19" s="242"/>
      <c r="EV19" s="243"/>
      <c r="EW19" s="244">
        <f t="shared" si="18"/>
        <v>69.09</v>
      </c>
      <c r="EX19" s="241">
        <v>50.13</v>
      </c>
      <c r="EY19" s="242">
        <v>27.43</v>
      </c>
      <c r="EZ19" s="242"/>
      <c r="FA19" s="243"/>
      <c r="FB19" s="244">
        <f t="shared" si="19"/>
        <v>77.56</v>
      </c>
      <c r="FC19" s="241">
        <v>47.09</v>
      </c>
      <c r="FD19" s="242">
        <v>30.67</v>
      </c>
      <c r="FE19" s="242"/>
      <c r="FF19" s="243"/>
      <c r="FG19" s="244">
        <f t="shared" si="20"/>
        <v>77.760000000000005</v>
      </c>
      <c r="FH19" s="241">
        <v>37.92</v>
      </c>
      <c r="FI19" s="242">
        <v>36.65</v>
      </c>
      <c r="FJ19" s="242"/>
      <c r="FK19" s="243"/>
      <c r="FL19" s="244">
        <f t="shared" si="21"/>
        <v>74.569999999999993</v>
      </c>
      <c r="FM19" s="241">
        <v>41.36</v>
      </c>
      <c r="FN19" s="242">
        <v>54.17</v>
      </c>
      <c r="FO19" s="242"/>
      <c r="FP19" s="243"/>
      <c r="FQ19" s="244">
        <f t="shared" si="22"/>
        <v>95.53</v>
      </c>
      <c r="FR19" s="241">
        <v>65.17</v>
      </c>
      <c r="FS19" s="242">
        <v>52.15</v>
      </c>
      <c r="FT19" s="242"/>
      <c r="FU19" s="243"/>
      <c r="FV19" s="244">
        <f t="shared" si="23"/>
        <v>117.32</v>
      </c>
      <c r="FW19" s="241">
        <v>66.56</v>
      </c>
      <c r="FX19" s="242">
        <v>31.33</v>
      </c>
      <c r="FY19" s="242"/>
      <c r="FZ19" s="243"/>
      <c r="GA19" s="244">
        <f t="shared" si="24"/>
        <v>97.89</v>
      </c>
      <c r="GB19" s="241">
        <v>73.48</v>
      </c>
      <c r="GC19" s="242">
        <v>20.6</v>
      </c>
      <c r="GD19" s="242"/>
      <c r="GE19" s="243"/>
      <c r="GF19" s="244">
        <f t="shared" si="25"/>
        <v>94.080000000000013</v>
      </c>
      <c r="GG19" s="76">
        <v>40.06</v>
      </c>
      <c r="GH19" s="77">
        <v>38.47</v>
      </c>
      <c r="GI19" s="77"/>
      <c r="GJ19" s="78"/>
      <c r="GK19" s="244">
        <f t="shared" si="26"/>
        <v>78.53</v>
      </c>
      <c r="GL19" s="241">
        <v>26.29</v>
      </c>
      <c r="GM19" s="242">
        <v>21.45</v>
      </c>
      <c r="GN19" s="242">
        <v>12.99</v>
      </c>
      <c r="GO19" s="243"/>
      <c r="GP19" s="244">
        <f t="shared" si="27"/>
        <v>60.73</v>
      </c>
      <c r="GQ19" s="241">
        <v>15.16</v>
      </c>
      <c r="GR19" s="242">
        <v>26.68</v>
      </c>
      <c r="GS19" s="242"/>
      <c r="GT19" s="243"/>
      <c r="GU19" s="244">
        <f t="shared" si="28"/>
        <v>41.84</v>
      </c>
      <c r="GV19" s="241">
        <v>36.19</v>
      </c>
      <c r="GW19" s="242">
        <v>48.89</v>
      </c>
      <c r="GX19" s="242"/>
      <c r="GY19" s="243"/>
      <c r="GZ19" s="244">
        <f t="shared" si="29"/>
        <v>85.08</v>
      </c>
      <c r="HA19" s="241">
        <v>31.94</v>
      </c>
      <c r="HB19" s="242">
        <v>28.78</v>
      </c>
      <c r="HC19" s="242"/>
      <c r="HD19" s="243"/>
      <c r="HE19" s="244">
        <f t="shared" si="30"/>
        <v>60.72</v>
      </c>
      <c r="HF19" s="241">
        <v>28.02</v>
      </c>
      <c r="HG19" s="242">
        <v>24.12</v>
      </c>
      <c r="HH19" s="242">
        <v>5.84</v>
      </c>
      <c r="HI19" s="243"/>
      <c r="HJ19" s="244">
        <f t="shared" si="31"/>
        <v>57.980000000000004</v>
      </c>
      <c r="HK19" s="241">
        <v>17.68</v>
      </c>
      <c r="HL19" s="242">
        <v>27.29</v>
      </c>
      <c r="HM19" s="242">
        <v>17.2</v>
      </c>
      <c r="HN19" s="243"/>
      <c r="HO19" s="244">
        <f t="shared" si="32"/>
        <v>62.17</v>
      </c>
      <c r="HP19" s="241">
        <v>30.32</v>
      </c>
      <c r="HQ19" s="242">
        <v>37.119999999999997</v>
      </c>
      <c r="HR19" s="242"/>
      <c r="HS19" s="243"/>
      <c r="HT19" s="244">
        <f t="shared" si="33"/>
        <v>67.44</v>
      </c>
      <c r="HU19" s="241">
        <v>62.78</v>
      </c>
      <c r="HV19" s="242">
        <v>84.76</v>
      </c>
      <c r="HW19" s="242"/>
      <c r="HX19" s="243"/>
      <c r="HY19" s="244">
        <f t="shared" si="34"/>
        <v>147.54000000000002</v>
      </c>
      <c r="HZ19" s="241">
        <v>92.97</v>
      </c>
      <c r="IA19" s="269"/>
      <c r="IB19" s="242"/>
      <c r="IC19" s="243"/>
      <c r="ID19" s="244">
        <f t="shared" si="35"/>
        <v>92.97</v>
      </c>
      <c r="IE19" s="233">
        <f>63.77+5.88</f>
        <v>69.650000000000006</v>
      </c>
      <c r="IF19" s="234">
        <f>71.25+2.55</f>
        <v>73.8</v>
      </c>
      <c r="IG19" s="234"/>
      <c r="IH19" s="235"/>
      <c r="II19" s="232">
        <f t="shared" si="36"/>
        <v>143.44999999999999</v>
      </c>
      <c r="IJ19" s="233">
        <v>58.8</v>
      </c>
      <c r="IK19" s="234">
        <v>39.67</v>
      </c>
      <c r="IL19" s="234"/>
      <c r="IM19" s="235"/>
      <c r="IN19" s="232">
        <f t="shared" si="37"/>
        <v>98.47</v>
      </c>
      <c r="IO19" s="69">
        <v>51.83</v>
      </c>
      <c r="IP19" s="79"/>
      <c r="IQ19" s="70"/>
      <c r="IR19" s="71"/>
      <c r="IS19" s="73">
        <f t="shared" si="38"/>
        <v>51.83</v>
      </c>
      <c r="IT19" s="69">
        <v>71.569999999999993</v>
      </c>
      <c r="IU19" s="70">
        <v>11.34</v>
      </c>
      <c r="IV19" s="70"/>
      <c r="IW19" s="71"/>
      <c r="IX19" s="73">
        <f t="shared" si="39"/>
        <v>82.91</v>
      </c>
      <c r="IY19" s="69">
        <v>34.24</v>
      </c>
      <c r="IZ19" s="70">
        <v>27.26</v>
      </c>
      <c r="JA19" s="70"/>
      <c r="JB19" s="71"/>
      <c r="JC19" s="73">
        <f t="shared" si="40"/>
        <v>61.5</v>
      </c>
      <c r="JD19" s="69">
        <v>62.01</v>
      </c>
      <c r="JE19" s="70">
        <v>46.54</v>
      </c>
      <c r="JF19" s="70"/>
      <c r="JG19" s="71"/>
      <c r="JH19" s="73">
        <f t="shared" si="41"/>
        <v>108.55</v>
      </c>
      <c r="JI19" s="69">
        <v>35.229999999999997</v>
      </c>
      <c r="JJ19" s="70">
        <v>34</v>
      </c>
      <c r="JK19" s="70"/>
      <c r="JL19" s="71"/>
      <c r="JM19" s="73">
        <f t="shared" si="42"/>
        <v>69.22999999999999</v>
      </c>
      <c r="JN19" s="69">
        <v>34.950000000000003</v>
      </c>
      <c r="JO19" s="70">
        <v>29.5</v>
      </c>
      <c r="JP19" s="70">
        <v>7.98</v>
      </c>
      <c r="JQ19" s="71"/>
      <c r="JR19" s="73">
        <f t="shared" si="43"/>
        <v>72.430000000000007</v>
      </c>
      <c r="JS19" s="69">
        <v>18.38</v>
      </c>
      <c r="JT19" s="70">
        <v>28.27</v>
      </c>
      <c r="JU19" s="70">
        <v>28.81</v>
      </c>
      <c r="JV19" s="71"/>
      <c r="JW19" s="73">
        <f t="shared" si="44"/>
        <v>75.459999999999994</v>
      </c>
      <c r="JX19" s="69">
        <v>26.92</v>
      </c>
      <c r="JY19" s="70">
        <v>33.67</v>
      </c>
      <c r="JZ19" s="70">
        <v>19.77</v>
      </c>
      <c r="KA19" s="71"/>
      <c r="KB19" s="73">
        <v>80.36</v>
      </c>
      <c r="KC19" s="69">
        <v>7.58</v>
      </c>
      <c r="KD19" s="70">
        <v>54.56</v>
      </c>
      <c r="KE19" s="70">
        <v>42.16</v>
      </c>
      <c r="KF19" s="71">
        <v>0</v>
      </c>
      <c r="KG19" s="73">
        <v>104.3</v>
      </c>
      <c r="KH19" s="69">
        <v>50.85</v>
      </c>
      <c r="KI19" s="70">
        <v>55.43</v>
      </c>
      <c r="KJ19" s="70"/>
      <c r="KK19" s="71"/>
      <c r="KL19" s="73">
        <v>106.28</v>
      </c>
      <c r="KM19" s="479">
        <v>17.79</v>
      </c>
      <c r="KN19" s="480">
        <v>73.5</v>
      </c>
      <c r="KO19" s="70">
        <v>3.22</v>
      </c>
      <c r="KP19" s="71">
        <v>0</v>
      </c>
      <c r="KQ19" s="73">
        <f t="shared" si="45"/>
        <v>94.509999999999991</v>
      </c>
      <c r="KR19" s="69">
        <v>49.47</v>
      </c>
      <c r="KS19" s="70">
        <v>43.91</v>
      </c>
      <c r="KT19" s="70">
        <v>0</v>
      </c>
      <c r="KU19" s="71">
        <v>0</v>
      </c>
      <c r="KV19" s="73">
        <f t="shared" si="46"/>
        <v>93.38</v>
      </c>
    </row>
    <row r="20" spans="1:308" ht="16.5" thickBot="1" x14ac:dyDescent="0.3">
      <c r="A20" s="189"/>
      <c r="B20" s="83">
        <v>23</v>
      </c>
      <c r="C20" s="84">
        <v>14.6</v>
      </c>
      <c r="D20" s="57">
        <v>19.149999999999999</v>
      </c>
      <c r="E20" s="58"/>
      <c r="F20" s="59"/>
      <c r="G20" s="60"/>
      <c r="H20" s="61">
        <f t="shared" si="5"/>
        <v>19.149999999999999</v>
      </c>
      <c r="I20" s="62"/>
      <c r="J20" s="63"/>
      <c r="K20" s="63"/>
      <c r="L20" s="64"/>
      <c r="M20" s="33">
        <f t="shared" si="6"/>
        <v>0</v>
      </c>
      <c r="N20" s="62">
        <v>20.37</v>
      </c>
      <c r="O20" s="63"/>
      <c r="P20" s="63"/>
      <c r="Q20" s="64"/>
      <c r="R20" s="33">
        <f t="shared" si="0"/>
        <v>20.37</v>
      </c>
      <c r="S20" s="62">
        <v>10.63</v>
      </c>
      <c r="T20" s="63"/>
      <c r="U20" s="63"/>
      <c r="V20" s="64"/>
      <c r="W20" s="33">
        <f t="shared" si="1"/>
        <v>10.63</v>
      </c>
      <c r="X20" s="62">
        <v>19.55</v>
      </c>
      <c r="Y20" s="63"/>
      <c r="Z20" s="63"/>
      <c r="AA20" s="64"/>
      <c r="AB20" s="33">
        <f t="shared" si="7"/>
        <v>19.55</v>
      </c>
      <c r="AC20" s="65">
        <v>22.54</v>
      </c>
      <c r="AD20" s="66">
        <v>13.25</v>
      </c>
      <c r="AE20" s="66"/>
      <c r="AF20" s="67"/>
      <c r="AG20" s="37">
        <f t="shared" si="8"/>
        <v>35.79</v>
      </c>
      <c r="AH20" s="65">
        <v>11.97</v>
      </c>
      <c r="AI20" s="66"/>
      <c r="AJ20" s="66"/>
      <c r="AK20" s="67"/>
      <c r="AL20" s="68">
        <f t="shared" si="47"/>
        <v>11.97</v>
      </c>
      <c r="AM20" s="69">
        <v>15.03</v>
      </c>
      <c r="AN20" s="70">
        <v>17.399999999999999</v>
      </c>
      <c r="AO20" s="70"/>
      <c r="AP20" s="71"/>
      <c r="AQ20" s="72">
        <f t="shared" si="48"/>
        <v>32.43</v>
      </c>
      <c r="AR20" s="69">
        <v>18.372</v>
      </c>
      <c r="AS20" s="70"/>
      <c r="AT20" s="70"/>
      <c r="AU20" s="71"/>
      <c r="AV20" s="73">
        <f t="shared" si="49"/>
        <v>18.372</v>
      </c>
      <c r="AW20" s="69">
        <v>11.87</v>
      </c>
      <c r="AX20" s="70">
        <v>16.38</v>
      </c>
      <c r="AY20" s="70"/>
      <c r="AZ20" s="71"/>
      <c r="BA20" s="73">
        <f t="shared" si="50"/>
        <v>28.25</v>
      </c>
      <c r="BB20" s="69">
        <f>22.69+2.81</f>
        <v>25.5</v>
      </c>
      <c r="BC20" s="70"/>
      <c r="BD20" s="70"/>
      <c r="BE20" s="71"/>
      <c r="BF20" s="73">
        <f t="shared" si="56"/>
        <v>25.5</v>
      </c>
      <c r="BG20" s="69">
        <v>26.7</v>
      </c>
      <c r="BH20" s="70"/>
      <c r="BI20" s="70"/>
      <c r="BJ20" s="74"/>
      <c r="BK20" s="73">
        <f t="shared" si="51"/>
        <v>26.7</v>
      </c>
      <c r="BL20" s="69">
        <f>20.89+3.22</f>
        <v>24.11</v>
      </c>
      <c r="BM20" s="70">
        <v>12.47</v>
      </c>
      <c r="BN20" s="70"/>
      <c r="BO20" s="74"/>
      <c r="BP20" s="72">
        <f t="shared" si="52"/>
        <v>36.58</v>
      </c>
      <c r="BQ20" s="69">
        <v>3.99</v>
      </c>
      <c r="BR20" s="70">
        <v>12.25</v>
      </c>
      <c r="BS20" s="70"/>
      <c r="BT20" s="71"/>
      <c r="BU20" s="232">
        <f t="shared" si="9"/>
        <v>16.240000000000002</v>
      </c>
      <c r="BV20" s="233">
        <v>4.6900000000000004</v>
      </c>
      <c r="BW20" s="234">
        <v>4.05</v>
      </c>
      <c r="BX20" s="234"/>
      <c r="BY20" s="235"/>
      <c r="BZ20" s="236">
        <f t="shared" si="10"/>
        <v>8.74</v>
      </c>
      <c r="CA20" s="237">
        <v>7.02</v>
      </c>
      <c r="CB20" s="238">
        <v>7.68</v>
      </c>
      <c r="CC20" s="238"/>
      <c r="CD20" s="239"/>
      <c r="CE20" s="240">
        <f t="shared" si="53"/>
        <v>14.7</v>
      </c>
      <c r="CF20" s="237">
        <v>11.17</v>
      </c>
      <c r="CG20" s="238">
        <v>8.9600000000000009</v>
      </c>
      <c r="CH20" s="238"/>
      <c r="CI20" s="239"/>
      <c r="CJ20" s="240">
        <f t="shared" si="54"/>
        <v>20.130000000000003</v>
      </c>
      <c r="CK20" s="237">
        <v>9.02</v>
      </c>
      <c r="CL20" s="238">
        <v>9.08</v>
      </c>
      <c r="CM20" s="238"/>
      <c r="CN20" s="239"/>
      <c r="CO20" s="240">
        <f t="shared" si="55"/>
        <v>18.100000000000001</v>
      </c>
      <c r="CP20" s="241">
        <v>8.8000000000000007</v>
      </c>
      <c r="CQ20" s="242">
        <v>3.8</v>
      </c>
      <c r="CR20" s="242"/>
      <c r="CS20" s="243"/>
      <c r="CT20" s="244">
        <v>12.600000000000001</v>
      </c>
      <c r="CU20" s="241">
        <v>6.1</v>
      </c>
      <c r="CV20" s="242">
        <v>7.23</v>
      </c>
      <c r="CW20" s="242"/>
      <c r="CX20" s="243"/>
      <c r="CY20" s="244">
        <f t="shared" si="2"/>
        <v>13.33</v>
      </c>
      <c r="CZ20" s="241">
        <v>9.76</v>
      </c>
      <c r="DA20" s="242">
        <v>9.06</v>
      </c>
      <c r="DB20" s="242"/>
      <c r="DC20" s="243"/>
      <c r="DD20" s="244">
        <f t="shared" si="3"/>
        <v>18.82</v>
      </c>
      <c r="DE20" s="241">
        <v>14.39</v>
      </c>
      <c r="DF20" s="242"/>
      <c r="DG20" s="242"/>
      <c r="DH20" s="243"/>
      <c r="DI20" s="244">
        <f t="shared" si="4"/>
        <v>14.39</v>
      </c>
      <c r="DJ20" s="241">
        <v>19.690000000000001</v>
      </c>
      <c r="DK20" s="242">
        <v>22.57</v>
      </c>
      <c r="DL20" s="242"/>
      <c r="DM20" s="243"/>
      <c r="DN20" s="244">
        <f t="shared" si="11"/>
        <v>42.260000000000005</v>
      </c>
      <c r="DO20" s="241">
        <v>28.15</v>
      </c>
      <c r="DP20" s="242"/>
      <c r="DQ20" s="242"/>
      <c r="DR20" s="243"/>
      <c r="DS20" s="244">
        <f t="shared" si="12"/>
        <v>28.15</v>
      </c>
      <c r="DT20" s="241">
        <v>18.77</v>
      </c>
      <c r="DU20" s="242"/>
      <c r="DV20" s="242"/>
      <c r="DW20" s="243"/>
      <c r="DX20" s="244">
        <f t="shared" si="13"/>
        <v>18.77</v>
      </c>
      <c r="DY20" s="76">
        <v>13.39</v>
      </c>
      <c r="DZ20" s="77"/>
      <c r="EA20" s="77"/>
      <c r="EB20" s="78"/>
      <c r="EC20" s="244">
        <f t="shared" si="14"/>
        <v>13.39</v>
      </c>
      <c r="ED20" s="241">
        <v>10.82</v>
      </c>
      <c r="EE20" s="242">
        <v>12.56</v>
      </c>
      <c r="EF20" s="242"/>
      <c r="EG20" s="243"/>
      <c r="EH20" s="244">
        <f t="shared" si="15"/>
        <v>23.380000000000003</v>
      </c>
      <c r="EI20" s="241">
        <v>14.47</v>
      </c>
      <c r="EJ20" s="242"/>
      <c r="EK20" s="242"/>
      <c r="EL20" s="243"/>
      <c r="EM20" s="244">
        <f t="shared" si="16"/>
        <v>14.47</v>
      </c>
      <c r="EN20" s="241">
        <v>7.79</v>
      </c>
      <c r="EO20" s="242"/>
      <c r="EP20" s="242"/>
      <c r="EQ20" s="243"/>
      <c r="ER20" s="244">
        <f t="shared" si="17"/>
        <v>7.79</v>
      </c>
      <c r="ES20" s="241">
        <v>12.21</v>
      </c>
      <c r="ET20" s="242">
        <v>4.2699999999999996</v>
      </c>
      <c r="EU20" s="242"/>
      <c r="EV20" s="243"/>
      <c r="EW20" s="244">
        <f t="shared" si="18"/>
        <v>16.48</v>
      </c>
      <c r="EX20" s="241">
        <v>12.54</v>
      </c>
      <c r="EY20" s="242">
        <v>8.83</v>
      </c>
      <c r="EZ20" s="242"/>
      <c r="FA20" s="243"/>
      <c r="FB20" s="244">
        <f t="shared" si="19"/>
        <v>21.369999999999997</v>
      </c>
      <c r="FC20" s="241">
        <v>12.79</v>
      </c>
      <c r="FD20" s="242">
        <v>8.4</v>
      </c>
      <c r="FE20" s="242"/>
      <c r="FF20" s="243"/>
      <c r="FG20" s="244">
        <f t="shared" si="20"/>
        <v>21.189999999999998</v>
      </c>
      <c r="FH20" s="241">
        <v>8.9</v>
      </c>
      <c r="FI20" s="242">
        <v>32.92</v>
      </c>
      <c r="FJ20" s="242"/>
      <c r="FK20" s="243"/>
      <c r="FL20" s="244">
        <f t="shared" si="21"/>
        <v>41.82</v>
      </c>
      <c r="FM20" s="241">
        <f>12.97+0.34</f>
        <v>13.31</v>
      </c>
      <c r="FN20" s="242">
        <v>8.8800000000000008</v>
      </c>
      <c r="FO20" s="242"/>
      <c r="FP20" s="243"/>
      <c r="FQ20" s="244">
        <f t="shared" si="22"/>
        <v>22.19</v>
      </c>
      <c r="FR20" s="241">
        <v>15.19</v>
      </c>
      <c r="FS20" s="242">
        <v>8.67</v>
      </c>
      <c r="FT20" s="242"/>
      <c r="FU20" s="243"/>
      <c r="FV20" s="244">
        <f t="shared" si="23"/>
        <v>23.86</v>
      </c>
      <c r="FW20" s="241">
        <v>11.73</v>
      </c>
      <c r="FX20" s="242">
        <v>9.02</v>
      </c>
      <c r="FY20" s="242"/>
      <c r="FZ20" s="243"/>
      <c r="GA20" s="244">
        <f t="shared" si="24"/>
        <v>20.75</v>
      </c>
      <c r="GB20" s="241">
        <v>16.809999999999999</v>
      </c>
      <c r="GC20" s="262"/>
      <c r="GD20" s="242"/>
      <c r="GE20" s="243"/>
      <c r="GF20" s="244">
        <f t="shared" si="25"/>
        <v>16.809999999999999</v>
      </c>
      <c r="GG20" s="76">
        <v>13.68</v>
      </c>
      <c r="GH20" s="77">
        <v>7.15</v>
      </c>
      <c r="GI20" s="77"/>
      <c r="GJ20" s="78"/>
      <c r="GK20" s="244">
        <f t="shared" si="26"/>
        <v>20.83</v>
      </c>
      <c r="GL20" s="241">
        <v>7.71</v>
      </c>
      <c r="GM20" s="242">
        <v>7.31</v>
      </c>
      <c r="GN20" s="242"/>
      <c r="GO20" s="243"/>
      <c r="GP20" s="244">
        <f t="shared" si="27"/>
        <v>15.02</v>
      </c>
      <c r="GQ20" s="241">
        <v>3.82</v>
      </c>
      <c r="GR20" s="242">
        <v>3.35</v>
      </c>
      <c r="GS20" s="242"/>
      <c r="GT20" s="243"/>
      <c r="GU20" s="244">
        <f t="shared" si="28"/>
        <v>7.17</v>
      </c>
      <c r="GV20" s="241">
        <v>5.05</v>
      </c>
      <c r="GW20" s="242">
        <v>7.32</v>
      </c>
      <c r="GX20" s="242"/>
      <c r="GY20" s="243"/>
      <c r="GZ20" s="244">
        <f t="shared" si="29"/>
        <v>12.370000000000001</v>
      </c>
      <c r="HA20" s="241">
        <v>13.94</v>
      </c>
      <c r="HB20" s="242">
        <v>10.199999999999999</v>
      </c>
      <c r="HC20" s="242"/>
      <c r="HD20" s="243"/>
      <c r="HE20" s="244">
        <f t="shared" si="30"/>
        <v>24.14</v>
      </c>
      <c r="HF20" s="241">
        <v>7.96</v>
      </c>
      <c r="HG20" s="242">
        <v>7.36</v>
      </c>
      <c r="HH20" s="242"/>
      <c r="HI20" s="243"/>
      <c r="HJ20" s="244">
        <f t="shared" si="31"/>
        <v>15.32</v>
      </c>
      <c r="HK20" s="241">
        <v>12.46</v>
      </c>
      <c r="HL20" s="242">
        <v>16.66</v>
      </c>
      <c r="HM20" s="242"/>
      <c r="HN20" s="243"/>
      <c r="HO20" s="244">
        <f t="shared" si="32"/>
        <v>29.12</v>
      </c>
      <c r="HP20" s="241">
        <v>12.77</v>
      </c>
      <c r="HQ20" s="242">
        <v>27.27</v>
      </c>
      <c r="HR20" s="242"/>
      <c r="HS20" s="243"/>
      <c r="HT20" s="244">
        <f t="shared" si="33"/>
        <v>40.04</v>
      </c>
      <c r="HU20" s="241">
        <v>25.52</v>
      </c>
      <c r="HV20" s="269"/>
      <c r="HW20" s="242"/>
      <c r="HX20" s="243"/>
      <c r="HY20" s="244">
        <f t="shared" si="34"/>
        <v>25.52</v>
      </c>
      <c r="HZ20" s="241">
        <f>22.74+1.77</f>
        <v>24.509999999999998</v>
      </c>
      <c r="IA20" s="242">
        <v>19.52</v>
      </c>
      <c r="IB20" s="242"/>
      <c r="IC20" s="243"/>
      <c r="ID20" s="244">
        <f t="shared" si="35"/>
        <v>44.03</v>
      </c>
      <c r="IE20" s="233">
        <v>17.55</v>
      </c>
      <c r="IF20" s="234">
        <f>11.65+3.17</f>
        <v>14.82</v>
      </c>
      <c r="IG20" s="234"/>
      <c r="IH20" s="235"/>
      <c r="II20" s="232">
        <f t="shared" si="36"/>
        <v>32.370000000000005</v>
      </c>
      <c r="IJ20" s="233">
        <v>4</v>
      </c>
      <c r="IK20" s="234">
        <v>17.66</v>
      </c>
      <c r="IL20" s="234"/>
      <c r="IM20" s="235"/>
      <c r="IN20" s="232">
        <f t="shared" si="37"/>
        <v>21.66</v>
      </c>
      <c r="IO20" s="69">
        <v>15.99</v>
      </c>
      <c r="IP20" s="79"/>
      <c r="IQ20" s="70"/>
      <c r="IR20" s="71"/>
      <c r="IS20" s="73">
        <f t="shared" si="38"/>
        <v>15.99</v>
      </c>
      <c r="IT20" s="69">
        <v>16.3</v>
      </c>
      <c r="IU20" s="70">
        <v>4.55</v>
      </c>
      <c r="IV20" s="70"/>
      <c r="IW20" s="71"/>
      <c r="IX20" s="73">
        <f t="shared" si="39"/>
        <v>20.85</v>
      </c>
      <c r="IY20" s="69">
        <v>7.52</v>
      </c>
      <c r="IZ20" s="70">
        <v>4.88</v>
      </c>
      <c r="JA20" s="70"/>
      <c r="JB20" s="71"/>
      <c r="JC20" s="73">
        <f t="shared" si="40"/>
        <v>12.399999999999999</v>
      </c>
      <c r="JD20" s="69">
        <v>17.23</v>
      </c>
      <c r="JE20" s="70">
        <v>14.09</v>
      </c>
      <c r="JF20" s="70"/>
      <c r="JG20" s="71"/>
      <c r="JH20" s="73">
        <f t="shared" si="41"/>
        <v>31.32</v>
      </c>
      <c r="JI20" s="69">
        <v>14.23</v>
      </c>
      <c r="JJ20" s="70">
        <v>7.32</v>
      </c>
      <c r="JK20" s="70"/>
      <c r="JL20" s="71"/>
      <c r="JM20" s="73">
        <f t="shared" si="42"/>
        <v>21.55</v>
      </c>
      <c r="JN20" s="69">
        <v>17.14</v>
      </c>
      <c r="JO20" s="70">
        <v>4.37</v>
      </c>
      <c r="JP20" s="70"/>
      <c r="JQ20" s="71"/>
      <c r="JR20" s="73">
        <f t="shared" si="43"/>
        <v>21.51</v>
      </c>
      <c r="JS20" s="69">
        <v>7.6</v>
      </c>
      <c r="JT20" s="70">
        <v>11.51</v>
      </c>
      <c r="JU20" s="70"/>
      <c r="JV20" s="71"/>
      <c r="JW20" s="73">
        <f t="shared" si="44"/>
        <v>19.11</v>
      </c>
      <c r="JX20" s="69">
        <v>16.600000000000001</v>
      </c>
      <c r="JY20" s="70">
        <v>13.16</v>
      </c>
      <c r="JZ20" s="70"/>
      <c r="KA20" s="71"/>
      <c r="KB20" s="73">
        <v>29.76</v>
      </c>
      <c r="KC20" s="69">
        <v>11.48</v>
      </c>
      <c r="KD20" s="70">
        <v>11.98</v>
      </c>
      <c r="KE20" s="70">
        <v>0</v>
      </c>
      <c r="KF20" s="71">
        <v>0</v>
      </c>
      <c r="KG20" s="73">
        <v>23.46</v>
      </c>
      <c r="KH20" s="69">
        <v>13.55</v>
      </c>
      <c r="KI20" s="70">
        <v>21.56</v>
      </c>
      <c r="KJ20" s="70"/>
      <c r="KK20" s="71"/>
      <c r="KL20" s="73">
        <v>35.11</v>
      </c>
      <c r="KM20" s="479">
        <v>22.73</v>
      </c>
      <c r="KN20" s="480">
        <v>12.56</v>
      </c>
      <c r="KO20" s="70">
        <v>0</v>
      </c>
      <c r="KP20" s="71">
        <v>0</v>
      </c>
      <c r="KQ20" s="73">
        <f t="shared" si="45"/>
        <v>35.29</v>
      </c>
      <c r="KR20" s="69">
        <v>25.259999999999998</v>
      </c>
      <c r="KS20" s="70">
        <v>0</v>
      </c>
      <c r="KT20" s="70">
        <v>0</v>
      </c>
      <c r="KU20" s="71">
        <v>0</v>
      </c>
      <c r="KV20" s="73">
        <f t="shared" si="46"/>
        <v>25.259999999999998</v>
      </c>
    </row>
    <row r="21" spans="1:308" ht="15.75" x14ac:dyDescent="0.25">
      <c r="A21" s="187" t="s">
        <v>22</v>
      </c>
      <c r="B21" s="85">
        <v>10</v>
      </c>
      <c r="C21" s="86">
        <v>19.100000000000001</v>
      </c>
      <c r="D21" s="57">
        <v>19.53</v>
      </c>
      <c r="E21" s="58"/>
      <c r="F21" s="59"/>
      <c r="G21" s="60"/>
      <c r="H21" s="61">
        <f t="shared" si="5"/>
        <v>19.53</v>
      </c>
      <c r="I21" s="62">
        <v>15.9</v>
      </c>
      <c r="J21" s="63"/>
      <c r="K21" s="63"/>
      <c r="L21" s="64"/>
      <c r="M21" s="33">
        <f t="shared" si="6"/>
        <v>15.9</v>
      </c>
      <c r="N21" s="62">
        <v>10.86</v>
      </c>
      <c r="O21" s="63">
        <v>4.05</v>
      </c>
      <c r="P21" s="63"/>
      <c r="Q21" s="64"/>
      <c r="R21" s="33">
        <f t="shared" si="0"/>
        <v>14.91</v>
      </c>
      <c r="S21" s="62">
        <v>14.42</v>
      </c>
      <c r="T21" s="63"/>
      <c r="U21" s="63"/>
      <c r="V21" s="64"/>
      <c r="W21" s="33">
        <f t="shared" si="1"/>
        <v>14.42</v>
      </c>
      <c r="X21" s="62">
        <v>29.71</v>
      </c>
      <c r="Y21" s="63"/>
      <c r="Z21" s="63"/>
      <c r="AA21" s="64"/>
      <c r="AB21" s="33">
        <f t="shared" si="7"/>
        <v>29.71</v>
      </c>
      <c r="AC21" s="65">
        <v>16.14</v>
      </c>
      <c r="AD21" s="66"/>
      <c r="AE21" s="66"/>
      <c r="AF21" s="67"/>
      <c r="AG21" s="37">
        <f t="shared" si="8"/>
        <v>16.14</v>
      </c>
      <c r="AH21" s="65">
        <v>9.23</v>
      </c>
      <c r="AI21" s="66">
        <v>14.2</v>
      </c>
      <c r="AJ21" s="66"/>
      <c r="AK21" s="67"/>
      <c r="AL21" s="68">
        <f t="shared" si="47"/>
        <v>23.43</v>
      </c>
      <c r="AM21" s="69">
        <v>17.04</v>
      </c>
      <c r="AN21" s="70"/>
      <c r="AO21" s="70"/>
      <c r="AP21" s="71"/>
      <c r="AQ21" s="72">
        <f t="shared" si="48"/>
        <v>17.04</v>
      </c>
      <c r="AR21" s="69">
        <v>29.35</v>
      </c>
      <c r="AS21" s="70"/>
      <c r="AT21" s="70"/>
      <c r="AU21" s="71"/>
      <c r="AV21" s="73">
        <f t="shared" si="49"/>
        <v>29.35</v>
      </c>
      <c r="AW21" s="69">
        <v>12.06</v>
      </c>
      <c r="AX21" s="70">
        <v>13.56</v>
      </c>
      <c r="AY21" s="70"/>
      <c r="AZ21" s="71"/>
      <c r="BA21" s="73">
        <f t="shared" si="50"/>
        <v>25.62</v>
      </c>
      <c r="BB21" s="69">
        <v>15.26</v>
      </c>
      <c r="BC21" s="70">
        <v>15.23</v>
      </c>
      <c r="BD21" s="70"/>
      <c r="BE21" s="71"/>
      <c r="BF21" s="73">
        <f t="shared" si="56"/>
        <v>30.490000000000002</v>
      </c>
      <c r="BG21" s="69">
        <v>15.78</v>
      </c>
      <c r="BH21" s="70">
        <v>15.61</v>
      </c>
      <c r="BI21" s="70"/>
      <c r="BJ21" s="74"/>
      <c r="BK21" s="73">
        <f t="shared" si="51"/>
        <v>31.39</v>
      </c>
      <c r="BL21" s="69">
        <v>15.54</v>
      </c>
      <c r="BM21" s="70">
        <v>12</v>
      </c>
      <c r="BN21" s="70"/>
      <c r="BO21" s="74"/>
      <c r="BP21" s="72">
        <f t="shared" si="52"/>
        <v>27.54</v>
      </c>
      <c r="BQ21" s="69">
        <v>7.68</v>
      </c>
      <c r="BR21" s="70">
        <v>4.0199999999999996</v>
      </c>
      <c r="BS21" s="70"/>
      <c r="BT21" s="71"/>
      <c r="BU21" s="232">
        <f t="shared" si="9"/>
        <v>11.7</v>
      </c>
      <c r="BV21" s="233">
        <v>4.03</v>
      </c>
      <c r="BW21" s="234">
        <v>3.31</v>
      </c>
      <c r="BX21" s="234"/>
      <c r="BY21" s="235"/>
      <c r="BZ21" s="236">
        <f t="shared" si="10"/>
        <v>7.34</v>
      </c>
      <c r="CA21" s="237">
        <v>3.46</v>
      </c>
      <c r="CB21" s="238">
        <v>7.35</v>
      </c>
      <c r="CC21" s="238">
        <v>4.04</v>
      </c>
      <c r="CD21" s="239"/>
      <c r="CE21" s="240">
        <f t="shared" si="53"/>
        <v>14.849999999999998</v>
      </c>
      <c r="CF21" s="237">
        <v>7.56</v>
      </c>
      <c r="CG21" s="238">
        <v>7.9</v>
      </c>
      <c r="CH21" s="238">
        <v>3.72</v>
      </c>
      <c r="CI21" s="239"/>
      <c r="CJ21" s="240">
        <f t="shared" si="54"/>
        <v>19.18</v>
      </c>
      <c r="CK21" s="237">
        <v>14.38</v>
      </c>
      <c r="CL21" s="238">
        <v>12.03</v>
      </c>
      <c r="CM21" s="238"/>
      <c r="CN21" s="239"/>
      <c r="CO21" s="240">
        <f t="shared" si="55"/>
        <v>26.41</v>
      </c>
      <c r="CP21" s="241">
        <v>10.93</v>
      </c>
      <c r="CQ21" s="242">
        <v>11.61</v>
      </c>
      <c r="CR21" s="242"/>
      <c r="CS21" s="243"/>
      <c r="CT21" s="244">
        <v>22.54</v>
      </c>
      <c r="CU21" s="241">
        <v>13.11</v>
      </c>
      <c r="CV21" s="242"/>
      <c r="CW21" s="242"/>
      <c r="CX21" s="243"/>
      <c r="CY21" s="244">
        <f t="shared" si="2"/>
        <v>13.11</v>
      </c>
      <c r="CZ21" s="241">
        <v>20.47</v>
      </c>
      <c r="DA21" s="242"/>
      <c r="DB21" s="242"/>
      <c r="DC21" s="243"/>
      <c r="DD21" s="244">
        <f t="shared" si="3"/>
        <v>20.47</v>
      </c>
      <c r="DE21" s="241">
        <v>44.04</v>
      </c>
      <c r="DF21" s="242"/>
      <c r="DG21" s="242"/>
      <c r="DH21" s="243"/>
      <c r="DI21" s="244">
        <f t="shared" si="4"/>
        <v>44.04</v>
      </c>
      <c r="DJ21" s="241">
        <v>36.01</v>
      </c>
      <c r="DK21" s="242"/>
      <c r="DL21" s="242"/>
      <c r="DM21" s="243"/>
      <c r="DN21" s="244">
        <f t="shared" si="11"/>
        <v>36.01</v>
      </c>
      <c r="DO21" s="241"/>
      <c r="DP21" s="242"/>
      <c r="DQ21" s="242"/>
      <c r="DR21" s="243"/>
      <c r="DS21" s="244">
        <f t="shared" si="12"/>
        <v>0</v>
      </c>
      <c r="DT21" s="241">
        <v>53.05</v>
      </c>
      <c r="DU21" s="242"/>
      <c r="DV21" s="242"/>
      <c r="DW21" s="243"/>
      <c r="DX21" s="244">
        <f t="shared" si="13"/>
        <v>53.05</v>
      </c>
      <c r="DY21" s="76">
        <v>11.86</v>
      </c>
      <c r="DZ21" s="77">
        <v>4.43</v>
      </c>
      <c r="EA21" s="77"/>
      <c r="EB21" s="78"/>
      <c r="EC21" s="244">
        <f t="shared" si="14"/>
        <v>16.29</v>
      </c>
      <c r="ED21" s="241">
        <v>16.53</v>
      </c>
      <c r="EE21" s="242"/>
      <c r="EF21" s="242"/>
      <c r="EG21" s="243"/>
      <c r="EH21" s="244">
        <f t="shared" si="15"/>
        <v>16.53</v>
      </c>
      <c r="EI21" s="241">
        <v>6.59</v>
      </c>
      <c r="EJ21" s="242">
        <v>12.07</v>
      </c>
      <c r="EK21" s="242"/>
      <c r="EL21" s="243"/>
      <c r="EM21" s="244">
        <f t="shared" si="16"/>
        <v>18.66</v>
      </c>
      <c r="EN21" s="241">
        <v>15.34</v>
      </c>
      <c r="EO21" s="242"/>
      <c r="EP21" s="242"/>
      <c r="EQ21" s="243"/>
      <c r="ER21" s="244">
        <f t="shared" si="17"/>
        <v>15.34</v>
      </c>
      <c r="ES21" s="241">
        <v>18.13</v>
      </c>
      <c r="ET21" s="242">
        <v>7.43</v>
      </c>
      <c r="EU21" s="242"/>
      <c r="EV21" s="243"/>
      <c r="EW21" s="244">
        <f t="shared" si="18"/>
        <v>25.56</v>
      </c>
      <c r="EX21" s="241">
        <v>10.87</v>
      </c>
      <c r="EY21" s="242">
        <v>10.63</v>
      </c>
      <c r="EZ21" s="242"/>
      <c r="FA21" s="243"/>
      <c r="FB21" s="244">
        <f t="shared" si="19"/>
        <v>21.5</v>
      </c>
      <c r="FC21" s="241">
        <v>10.95</v>
      </c>
      <c r="FD21" s="242">
        <v>16.98</v>
      </c>
      <c r="FE21" s="242"/>
      <c r="FF21" s="243"/>
      <c r="FG21" s="244">
        <f t="shared" si="20"/>
        <v>27.93</v>
      </c>
      <c r="FH21" s="241">
        <v>12.05</v>
      </c>
      <c r="FI21" s="242">
        <v>17.149999999999999</v>
      </c>
      <c r="FJ21" s="242"/>
      <c r="FK21" s="243"/>
      <c r="FL21" s="244">
        <f t="shared" si="21"/>
        <v>29.2</v>
      </c>
      <c r="FM21" s="241">
        <v>15.33</v>
      </c>
      <c r="FN21" s="242">
        <v>18.73</v>
      </c>
      <c r="FO21" s="242"/>
      <c r="FP21" s="243"/>
      <c r="FQ21" s="244">
        <f t="shared" si="22"/>
        <v>34.06</v>
      </c>
      <c r="FR21" s="241">
        <v>14.47</v>
      </c>
      <c r="FS21" s="242">
        <v>15.19</v>
      </c>
      <c r="FT21" s="242"/>
      <c r="FU21" s="243"/>
      <c r="FV21" s="244">
        <f t="shared" si="23"/>
        <v>29.66</v>
      </c>
      <c r="FW21" s="241">
        <v>11.67</v>
      </c>
      <c r="FX21" s="242">
        <v>13.05</v>
      </c>
      <c r="FY21" s="242"/>
      <c r="FZ21" s="243"/>
      <c r="GA21" s="244">
        <f t="shared" si="24"/>
        <v>24.72</v>
      </c>
      <c r="GB21" s="241">
        <v>16.32</v>
      </c>
      <c r="GC21" s="242">
        <v>11.73</v>
      </c>
      <c r="GD21" s="242"/>
      <c r="GE21" s="243"/>
      <c r="GF21" s="244">
        <f t="shared" si="25"/>
        <v>28.05</v>
      </c>
      <c r="GG21" s="76">
        <v>11.88</v>
      </c>
      <c r="GH21" s="77">
        <v>7.71</v>
      </c>
      <c r="GI21" s="77"/>
      <c r="GJ21" s="78"/>
      <c r="GK21" s="244">
        <f t="shared" si="26"/>
        <v>19.59</v>
      </c>
      <c r="GL21" s="241">
        <v>5.47</v>
      </c>
      <c r="GM21" s="242">
        <v>4.82</v>
      </c>
      <c r="GN21" s="242"/>
      <c r="GO21" s="243"/>
      <c r="GP21" s="244">
        <f t="shared" si="27"/>
        <v>10.29</v>
      </c>
      <c r="GQ21" s="241">
        <v>6.14</v>
      </c>
      <c r="GR21" s="242">
        <v>4.8</v>
      </c>
      <c r="GS21" s="242"/>
      <c r="GT21" s="243"/>
      <c r="GU21" s="244">
        <f t="shared" si="28"/>
        <v>10.94</v>
      </c>
      <c r="GV21" s="241">
        <v>7.91</v>
      </c>
      <c r="GW21" s="262"/>
      <c r="GX21" s="242"/>
      <c r="GY21" s="243"/>
      <c r="GZ21" s="244">
        <f t="shared" si="29"/>
        <v>7.91</v>
      </c>
      <c r="HA21" s="241">
        <v>10.07</v>
      </c>
      <c r="HB21" s="242">
        <v>6.52</v>
      </c>
      <c r="HC21" s="242"/>
      <c r="HD21" s="243"/>
      <c r="HE21" s="244">
        <f t="shared" si="30"/>
        <v>16.59</v>
      </c>
      <c r="HF21" s="241">
        <v>6.95</v>
      </c>
      <c r="HG21" s="242">
        <v>7.07</v>
      </c>
      <c r="HH21" s="242">
        <v>6.93</v>
      </c>
      <c r="HI21" s="243"/>
      <c r="HJ21" s="244">
        <f t="shared" si="31"/>
        <v>20.95</v>
      </c>
      <c r="HK21" s="241">
        <v>6.11</v>
      </c>
      <c r="HL21" s="242">
        <v>7.41</v>
      </c>
      <c r="HM21" s="242"/>
      <c r="HN21" s="243"/>
      <c r="HO21" s="244">
        <f t="shared" si="32"/>
        <v>13.52</v>
      </c>
      <c r="HP21" s="241">
        <v>10.08</v>
      </c>
      <c r="HQ21" s="242">
        <v>17.53</v>
      </c>
      <c r="HR21" s="242"/>
      <c r="HS21" s="243"/>
      <c r="HT21" s="244">
        <f t="shared" si="33"/>
        <v>27.61</v>
      </c>
      <c r="HU21" s="241">
        <v>18.350000000000001</v>
      </c>
      <c r="HV21" s="242">
        <v>22.22</v>
      </c>
      <c r="HW21" s="242"/>
      <c r="HX21" s="243"/>
      <c r="HY21" s="244">
        <f t="shared" si="34"/>
        <v>40.57</v>
      </c>
      <c r="HZ21" s="241">
        <v>28.14</v>
      </c>
      <c r="IA21" s="269"/>
      <c r="IB21" s="242"/>
      <c r="IC21" s="243"/>
      <c r="ID21" s="244">
        <f t="shared" si="35"/>
        <v>28.14</v>
      </c>
      <c r="IE21" s="233">
        <v>15.56</v>
      </c>
      <c r="IF21" s="234">
        <v>19.82</v>
      </c>
      <c r="IG21" s="234"/>
      <c r="IH21" s="235"/>
      <c r="II21" s="232">
        <f t="shared" si="36"/>
        <v>35.380000000000003</v>
      </c>
      <c r="IJ21" s="233">
        <v>14.74</v>
      </c>
      <c r="IK21" s="234">
        <v>14.57</v>
      </c>
      <c r="IL21" s="234"/>
      <c r="IM21" s="235"/>
      <c r="IN21" s="232">
        <f t="shared" si="37"/>
        <v>29.310000000000002</v>
      </c>
      <c r="IO21" s="69">
        <v>8.8699999999999992</v>
      </c>
      <c r="IP21" s="79"/>
      <c r="IQ21" s="70"/>
      <c r="IR21" s="71"/>
      <c r="IS21" s="73">
        <f t="shared" si="38"/>
        <v>8.8699999999999992</v>
      </c>
      <c r="IT21" s="69">
        <v>10.84</v>
      </c>
      <c r="IU21" s="70">
        <v>7.76</v>
      </c>
      <c r="IV21" s="70"/>
      <c r="IW21" s="71"/>
      <c r="IX21" s="73">
        <f t="shared" si="39"/>
        <v>18.600000000000001</v>
      </c>
      <c r="IY21" s="69">
        <v>10.64</v>
      </c>
      <c r="IZ21" s="70">
        <v>11.31</v>
      </c>
      <c r="JA21" s="70"/>
      <c r="JB21" s="71"/>
      <c r="JC21" s="73">
        <f t="shared" si="40"/>
        <v>21.950000000000003</v>
      </c>
      <c r="JD21" s="69">
        <v>17.760000000000002</v>
      </c>
      <c r="JE21" s="79"/>
      <c r="JF21" s="70"/>
      <c r="JG21" s="71"/>
      <c r="JH21" s="73">
        <f t="shared" si="41"/>
        <v>17.760000000000002</v>
      </c>
      <c r="JI21" s="69">
        <v>7.73</v>
      </c>
      <c r="JJ21" s="70">
        <v>13.36</v>
      </c>
      <c r="JK21" s="70"/>
      <c r="JL21" s="71"/>
      <c r="JM21" s="73">
        <f t="shared" si="42"/>
        <v>21.09</v>
      </c>
      <c r="JN21" s="69">
        <v>11.27</v>
      </c>
      <c r="JO21" s="70">
        <v>9.6</v>
      </c>
      <c r="JP21" s="70">
        <v>8.8000000000000007</v>
      </c>
      <c r="JQ21" s="71"/>
      <c r="JR21" s="73">
        <f t="shared" si="43"/>
        <v>29.669999999999998</v>
      </c>
      <c r="JS21" s="69">
        <v>7.83</v>
      </c>
      <c r="JT21" s="70">
        <v>7.3</v>
      </c>
      <c r="JU21" s="70"/>
      <c r="JV21" s="71"/>
      <c r="JW21" s="73">
        <f t="shared" si="44"/>
        <v>15.129999999999999</v>
      </c>
      <c r="JX21" s="69">
        <v>8.49</v>
      </c>
      <c r="JY21" s="70">
        <v>8.61</v>
      </c>
      <c r="JZ21" s="70">
        <v>6.52</v>
      </c>
      <c r="KA21" s="71"/>
      <c r="KB21" s="73">
        <v>23.62</v>
      </c>
      <c r="KC21" s="69">
        <v>14.79</v>
      </c>
      <c r="KD21" s="70">
        <v>10.85</v>
      </c>
      <c r="KE21" s="70">
        <v>0</v>
      </c>
      <c r="KF21" s="71">
        <v>0</v>
      </c>
      <c r="KG21" s="73">
        <v>25.64</v>
      </c>
      <c r="KH21" s="69">
        <v>11.67</v>
      </c>
      <c r="KI21" s="70">
        <v>19.649999999999999</v>
      </c>
      <c r="KJ21" s="70"/>
      <c r="KK21" s="71"/>
      <c r="KL21" s="73">
        <v>31.32</v>
      </c>
      <c r="KM21" s="479">
        <v>17.61</v>
      </c>
      <c r="KN21" s="480">
        <v>14.37</v>
      </c>
      <c r="KO21" s="70">
        <v>0</v>
      </c>
      <c r="KP21" s="71">
        <v>0</v>
      </c>
      <c r="KQ21" s="73">
        <f t="shared" si="45"/>
        <v>31.979999999999997</v>
      </c>
      <c r="KR21" s="69">
        <v>13.41</v>
      </c>
      <c r="KS21" s="70">
        <v>0</v>
      </c>
      <c r="KT21" s="70">
        <v>0</v>
      </c>
      <c r="KU21" s="71">
        <v>0</v>
      </c>
      <c r="KV21" s="73">
        <f t="shared" si="46"/>
        <v>13.41</v>
      </c>
    </row>
    <row r="22" spans="1:308" ht="15.75" x14ac:dyDescent="0.25">
      <c r="A22" s="188"/>
      <c r="B22" s="55">
        <v>13</v>
      </c>
      <c r="C22" s="56">
        <v>60.8</v>
      </c>
      <c r="D22" s="57">
        <v>66.36</v>
      </c>
      <c r="E22" s="58"/>
      <c r="F22" s="59"/>
      <c r="G22" s="60"/>
      <c r="H22" s="61">
        <f t="shared" si="5"/>
        <v>66.36</v>
      </c>
      <c r="I22" s="62">
        <v>76.98</v>
      </c>
      <c r="J22" s="63"/>
      <c r="K22" s="63"/>
      <c r="L22" s="64"/>
      <c r="M22" s="33">
        <f t="shared" si="6"/>
        <v>76.98</v>
      </c>
      <c r="N22" s="62">
        <v>73.06</v>
      </c>
      <c r="O22" s="63"/>
      <c r="P22" s="63"/>
      <c r="Q22" s="64"/>
      <c r="R22" s="33">
        <f t="shared" si="0"/>
        <v>73.06</v>
      </c>
      <c r="S22" s="62">
        <v>46.75</v>
      </c>
      <c r="T22" s="63">
        <v>51.57</v>
      </c>
      <c r="U22" s="63"/>
      <c r="V22" s="64"/>
      <c r="W22" s="33">
        <f t="shared" si="1"/>
        <v>98.32</v>
      </c>
      <c r="X22" s="62">
        <v>60.5</v>
      </c>
      <c r="Y22" s="63"/>
      <c r="Z22" s="63"/>
      <c r="AA22" s="64"/>
      <c r="AB22" s="33">
        <f t="shared" si="7"/>
        <v>60.5</v>
      </c>
      <c r="AC22" s="65">
        <v>69.97</v>
      </c>
      <c r="AD22" s="66"/>
      <c r="AE22" s="66"/>
      <c r="AF22" s="67"/>
      <c r="AG22" s="37">
        <f t="shared" si="8"/>
        <v>69.97</v>
      </c>
      <c r="AH22" s="65">
        <v>45.5</v>
      </c>
      <c r="AI22" s="66">
        <v>47.04</v>
      </c>
      <c r="AJ22" s="66"/>
      <c r="AK22" s="67"/>
      <c r="AL22" s="68">
        <f t="shared" si="47"/>
        <v>92.539999999999992</v>
      </c>
      <c r="AM22" s="69">
        <v>64.430000000000007</v>
      </c>
      <c r="AN22" s="70">
        <v>57.06</v>
      </c>
      <c r="AO22" s="70"/>
      <c r="AP22" s="71"/>
      <c r="AQ22" s="72">
        <f t="shared" si="48"/>
        <v>121.49000000000001</v>
      </c>
      <c r="AR22" s="69">
        <v>84.91</v>
      </c>
      <c r="AS22" s="70">
        <v>44.04</v>
      </c>
      <c r="AT22" s="70"/>
      <c r="AU22" s="71"/>
      <c r="AV22" s="73">
        <f t="shared" si="49"/>
        <v>128.94999999999999</v>
      </c>
      <c r="AW22" s="69">
        <v>65.47</v>
      </c>
      <c r="AX22" s="70">
        <v>3.5</v>
      </c>
      <c r="AY22" s="70"/>
      <c r="AZ22" s="71"/>
      <c r="BA22" s="73">
        <f t="shared" si="50"/>
        <v>68.97</v>
      </c>
      <c r="BB22" s="69">
        <f>82.14+2.45</f>
        <v>84.59</v>
      </c>
      <c r="BC22" s="70">
        <f>48.02+1.43</f>
        <v>49.45</v>
      </c>
      <c r="BD22" s="70"/>
      <c r="BE22" s="71"/>
      <c r="BF22" s="73">
        <f t="shared" si="56"/>
        <v>134.04000000000002</v>
      </c>
      <c r="BG22" s="69">
        <v>61.94</v>
      </c>
      <c r="BH22" s="70">
        <f>60.15+1.58</f>
        <v>61.73</v>
      </c>
      <c r="BI22" s="70"/>
      <c r="BJ22" s="74"/>
      <c r="BK22" s="73">
        <f t="shared" si="51"/>
        <v>123.66999999999999</v>
      </c>
      <c r="BL22" s="69">
        <f>63.2+5.29</f>
        <v>68.490000000000009</v>
      </c>
      <c r="BM22" s="70">
        <v>44.73</v>
      </c>
      <c r="BN22" s="70"/>
      <c r="BO22" s="74"/>
      <c r="BP22" s="72">
        <f t="shared" si="52"/>
        <v>113.22</v>
      </c>
      <c r="BQ22" s="69">
        <f>30.27+0.73</f>
        <v>31</v>
      </c>
      <c r="BR22" s="70">
        <v>24.04</v>
      </c>
      <c r="BS22" s="70"/>
      <c r="BT22" s="71"/>
      <c r="BU22" s="232">
        <f t="shared" si="9"/>
        <v>55.04</v>
      </c>
      <c r="BV22" s="233">
        <v>17.38</v>
      </c>
      <c r="BW22" s="234">
        <v>16.79</v>
      </c>
      <c r="BX22" s="234">
        <v>15.09</v>
      </c>
      <c r="BY22" s="235"/>
      <c r="BZ22" s="236">
        <f t="shared" si="10"/>
        <v>49.260000000000005</v>
      </c>
      <c r="CA22" s="237">
        <v>21.21</v>
      </c>
      <c r="CB22" s="238">
        <v>15.68</v>
      </c>
      <c r="CC22" s="238">
        <v>18.170000000000002</v>
      </c>
      <c r="CD22" s="239"/>
      <c r="CE22" s="240">
        <f t="shared" si="53"/>
        <v>55.06</v>
      </c>
      <c r="CF22" s="237">
        <v>22.13</v>
      </c>
      <c r="CG22" s="238">
        <v>29.62</v>
      </c>
      <c r="CH22" s="238"/>
      <c r="CI22" s="239"/>
      <c r="CJ22" s="240">
        <f t="shared" si="54"/>
        <v>51.75</v>
      </c>
      <c r="CK22" s="237">
        <v>45.4</v>
      </c>
      <c r="CL22" s="238">
        <v>40.75</v>
      </c>
      <c r="CM22" s="238"/>
      <c r="CN22" s="239"/>
      <c r="CO22" s="240">
        <f t="shared" si="55"/>
        <v>86.15</v>
      </c>
      <c r="CP22" s="241">
        <v>26.03</v>
      </c>
      <c r="CQ22" s="242">
        <v>33.56</v>
      </c>
      <c r="CR22" s="242">
        <v>16.59</v>
      </c>
      <c r="CS22" s="243"/>
      <c r="CT22" s="244">
        <v>76.180000000000007</v>
      </c>
      <c r="CU22" s="241">
        <v>17.149999999999999</v>
      </c>
      <c r="CV22" s="242">
        <v>67.209999999999994</v>
      </c>
      <c r="CW22" s="242"/>
      <c r="CX22" s="243"/>
      <c r="CY22" s="244">
        <f t="shared" si="2"/>
        <v>84.359999999999985</v>
      </c>
      <c r="CZ22" s="241">
        <v>80.569999999999993</v>
      </c>
      <c r="DA22" s="242"/>
      <c r="DB22" s="242"/>
      <c r="DC22" s="243"/>
      <c r="DD22" s="244">
        <f t="shared" si="3"/>
        <v>80.569999999999993</v>
      </c>
      <c r="DE22" s="241">
        <v>96.34</v>
      </c>
      <c r="DF22" s="242"/>
      <c r="DG22" s="242"/>
      <c r="DH22" s="243"/>
      <c r="DI22" s="244">
        <f t="shared" si="4"/>
        <v>96.34</v>
      </c>
      <c r="DJ22" s="241">
        <v>113.44</v>
      </c>
      <c r="DK22" s="242"/>
      <c r="DL22" s="242"/>
      <c r="DM22" s="243"/>
      <c r="DN22" s="244">
        <f t="shared" si="11"/>
        <v>113.44</v>
      </c>
      <c r="DO22" s="241">
        <v>119.28</v>
      </c>
      <c r="DP22" s="242"/>
      <c r="DQ22" s="242"/>
      <c r="DR22" s="243"/>
      <c r="DS22" s="244">
        <f t="shared" si="12"/>
        <v>119.28</v>
      </c>
      <c r="DT22" s="241">
        <v>97.38</v>
      </c>
      <c r="DU22" s="242"/>
      <c r="DV22" s="242"/>
      <c r="DW22" s="243"/>
      <c r="DX22" s="244">
        <f t="shared" si="13"/>
        <v>97.38</v>
      </c>
      <c r="DY22" s="76">
        <v>65.260000000000005</v>
      </c>
      <c r="DZ22" s="77">
        <v>42.5</v>
      </c>
      <c r="EA22" s="77"/>
      <c r="EB22" s="78"/>
      <c r="EC22" s="244">
        <f t="shared" si="14"/>
        <v>107.76</v>
      </c>
      <c r="ED22" s="241">
        <v>42.3</v>
      </c>
      <c r="EE22" s="242">
        <v>21.67</v>
      </c>
      <c r="EF22" s="242"/>
      <c r="EG22" s="243"/>
      <c r="EH22" s="244">
        <f t="shared" si="15"/>
        <v>63.97</v>
      </c>
      <c r="EI22" s="241">
        <v>15.89</v>
      </c>
      <c r="EJ22" s="242">
        <v>46.09</v>
      </c>
      <c r="EK22" s="242"/>
      <c r="EL22" s="243"/>
      <c r="EM22" s="244">
        <f t="shared" si="16"/>
        <v>61.980000000000004</v>
      </c>
      <c r="EN22" s="241">
        <v>47.14</v>
      </c>
      <c r="EO22" s="242"/>
      <c r="EP22" s="242"/>
      <c r="EQ22" s="243"/>
      <c r="ER22" s="244">
        <f t="shared" si="17"/>
        <v>47.14</v>
      </c>
      <c r="ES22" s="241">
        <v>52.74</v>
      </c>
      <c r="ET22" s="242">
        <v>33.159999999999997</v>
      </c>
      <c r="EU22" s="242"/>
      <c r="EV22" s="243"/>
      <c r="EW22" s="244">
        <f t="shared" si="18"/>
        <v>85.9</v>
      </c>
      <c r="EX22" s="241">
        <v>35.33</v>
      </c>
      <c r="EY22" s="242">
        <v>35.04</v>
      </c>
      <c r="EZ22" s="242">
        <v>7.22</v>
      </c>
      <c r="FA22" s="243"/>
      <c r="FB22" s="244">
        <f t="shared" si="19"/>
        <v>77.59</v>
      </c>
      <c r="FC22" s="241">
        <v>29.15</v>
      </c>
      <c r="FD22" s="242">
        <v>64.63</v>
      </c>
      <c r="FE22" s="242"/>
      <c r="FF22" s="243"/>
      <c r="FG22" s="244">
        <f t="shared" si="20"/>
        <v>93.78</v>
      </c>
      <c r="FH22" s="241">
        <v>43.04</v>
      </c>
      <c r="FI22" s="242">
        <v>42.88</v>
      </c>
      <c r="FJ22" s="242"/>
      <c r="FK22" s="243"/>
      <c r="FL22" s="244">
        <f t="shared" si="21"/>
        <v>85.92</v>
      </c>
      <c r="FM22" s="241">
        <v>51.48</v>
      </c>
      <c r="FN22" s="242">
        <v>58.16</v>
      </c>
      <c r="FO22" s="242"/>
      <c r="FP22" s="243"/>
      <c r="FQ22" s="244">
        <f t="shared" si="22"/>
        <v>109.63999999999999</v>
      </c>
      <c r="FR22" s="241">
        <v>82.53</v>
      </c>
      <c r="FS22" s="242">
        <v>11.9</v>
      </c>
      <c r="FT22" s="242"/>
      <c r="FU22" s="243"/>
      <c r="FV22" s="244">
        <f t="shared" si="23"/>
        <v>94.43</v>
      </c>
      <c r="FW22" s="241">
        <v>49.54</v>
      </c>
      <c r="FX22" s="242">
        <v>63.08</v>
      </c>
      <c r="FY22" s="242"/>
      <c r="FZ22" s="243"/>
      <c r="GA22" s="244">
        <f t="shared" si="24"/>
        <v>112.62</v>
      </c>
      <c r="GB22" s="241">
        <v>48.27</v>
      </c>
      <c r="GC22" s="242">
        <v>50.61</v>
      </c>
      <c r="GD22" s="242"/>
      <c r="GE22" s="243"/>
      <c r="GF22" s="244">
        <f t="shared" si="25"/>
        <v>98.88</v>
      </c>
      <c r="GG22" s="76">
        <v>46.01</v>
      </c>
      <c r="GH22" s="77">
        <v>28.91</v>
      </c>
      <c r="GI22" s="77"/>
      <c r="GJ22" s="78"/>
      <c r="GK22" s="244">
        <f t="shared" si="26"/>
        <v>74.92</v>
      </c>
      <c r="GL22" s="241">
        <v>29.21</v>
      </c>
      <c r="GM22" s="242">
        <v>27.67</v>
      </c>
      <c r="GN22" s="242"/>
      <c r="GO22" s="243"/>
      <c r="GP22" s="244">
        <f t="shared" si="27"/>
        <v>56.88</v>
      </c>
      <c r="GQ22" s="241">
        <v>23.1</v>
      </c>
      <c r="GR22" s="242">
        <v>21.69</v>
      </c>
      <c r="GS22" s="242"/>
      <c r="GT22" s="243"/>
      <c r="GU22" s="244">
        <f t="shared" si="28"/>
        <v>44.790000000000006</v>
      </c>
      <c r="GV22" s="241">
        <v>45.89</v>
      </c>
      <c r="GW22" s="242">
        <v>22.12</v>
      </c>
      <c r="GX22" s="242"/>
      <c r="GY22" s="243"/>
      <c r="GZ22" s="244">
        <f t="shared" si="29"/>
        <v>68.010000000000005</v>
      </c>
      <c r="HA22" s="241">
        <v>23.22</v>
      </c>
      <c r="HB22" s="242">
        <v>24.79</v>
      </c>
      <c r="HC22" s="242"/>
      <c r="HD22" s="243"/>
      <c r="HE22" s="244">
        <f t="shared" si="30"/>
        <v>48.01</v>
      </c>
      <c r="HF22" s="241">
        <v>25.94</v>
      </c>
      <c r="HG22" s="242">
        <v>27.51</v>
      </c>
      <c r="HH22" s="242"/>
      <c r="HI22" s="243"/>
      <c r="HJ22" s="244">
        <f t="shared" si="31"/>
        <v>53.45</v>
      </c>
      <c r="HK22" s="241">
        <v>25.66</v>
      </c>
      <c r="HL22" s="242">
        <v>29.12</v>
      </c>
      <c r="HM22" s="242">
        <v>16.309999999999999</v>
      </c>
      <c r="HN22" s="243"/>
      <c r="HO22" s="244">
        <f t="shared" si="32"/>
        <v>71.09</v>
      </c>
      <c r="HP22" s="241">
        <v>38.74</v>
      </c>
      <c r="HQ22" s="242">
        <v>58.15</v>
      </c>
      <c r="HR22" s="242"/>
      <c r="HS22" s="243"/>
      <c r="HT22" s="244">
        <f t="shared" si="33"/>
        <v>96.89</v>
      </c>
      <c r="HU22" s="241">
        <v>80.66</v>
      </c>
      <c r="HV22" s="269"/>
      <c r="HW22" s="242"/>
      <c r="HX22" s="243"/>
      <c r="HY22" s="244">
        <f t="shared" si="34"/>
        <v>80.66</v>
      </c>
      <c r="HZ22" s="241">
        <v>104.81</v>
      </c>
      <c r="IA22" s="242">
        <v>79.900000000000006</v>
      </c>
      <c r="IB22" s="242"/>
      <c r="IC22" s="243"/>
      <c r="ID22" s="244">
        <f t="shared" si="35"/>
        <v>184.71</v>
      </c>
      <c r="IE22" s="233">
        <f>44.77+3</f>
        <v>47.77</v>
      </c>
      <c r="IF22" s="234">
        <f>35.09+3.849</f>
        <v>38.939000000000007</v>
      </c>
      <c r="IG22" s="234">
        <v>52.42</v>
      </c>
      <c r="IH22" s="235"/>
      <c r="II22" s="232">
        <f t="shared" si="36"/>
        <v>139.12900000000002</v>
      </c>
      <c r="IJ22" s="233">
        <v>28.76</v>
      </c>
      <c r="IK22" s="234">
        <v>42.98</v>
      </c>
      <c r="IL22" s="234">
        <v>8.58</v>
      </c>
      <c r="IM22" s="235"/>
      <c r="IN22" s="232">
        <f t="shared" si="37"/>
        <v>80.319999999999993</v>
      </c>
      <c r="IO22" s="69">
        <v>56.69</v>
      </c>
      <c r="IP22" s="70">
        <v>20.399999999999999</v>
      </c>
      <c r="IQ22" s="70">
        <v>14.31</v>
      </c>
      <c r="IR22" s="71"/>
      <c r="IS22" s="73">
        <f t="shared" si="38"/>
        <v>91.4</v>
      </c>
      <c r="IT22" s="69">
        <v>74.7</v>
      </c>
      <c r="IU22" s="79"/>
      <c r="IV22" s="70"/>
      <c r="IW22" s="71"/>
      <c r="IX22" s="73">
        <f t="shared" si="39"/>
        <v>74.7</v>
      </c>
      <c r="IY22" s="69">
        <v>32.619999999999997</v>
      </c>
      <c r="IZ22" s="70">
        <v>24.97</v>
      </c>
      <c r="JA22" s="70"/>
      <c r="JB22" s="71"/>
      <c r="JC22" s="73">
        <f t="shared" si="40"/>
        <v>57.589999999999996</v>
      </c>
      <c r="JD22" s="69">
        <v>47.86</v>
      </c>
      <c r="JE22" s="79"/>
      <c r="JF22" s="70"/>
      <c r="JG22" s="71"/>
      <c r="JH22" s="73">
        <f t="shared" si="41"/>
        <v>47.86</v>
      </c>
      <c r="JI22" s="69">
        <v>38.229999999999997</v>
      </c>
      <c r="JJ22" s="70">
        <v>22.22</v>
      </c>
      <c r="JK22" s="70">
        <v>30.11</v>
      </c>
      <c r="JL22" s="71"/>
      <c r="JM22" s="73">
        <f t="shared" si="42"/>
        <v>90.56</v>
      </c>
      <c r="JN22" s="69">
        <v>29.55</v>
      </c>
      <c r="JO22" s="70">
        <v>26.67</v>
      </c>
      <c r="JP22" s="70"/>
      <c r="JQ22" s="71"/>
      <c r="JR22" s="73">
        <f t="shared" si="43"/>
        <v>56.22</v>
      </c>
      <c r="JS22" s="69">
        <v>29.55</v>
      </c>
      <c r="JT22" s="70">
        <v>30.66</v>
      </c>
      <c r="JU22" s="70">
        <v>29.32</v>
      </c>
      <c r="JV22" s="71"/>
      <c r="JW22" s="73">
        <f t="shared" si="44"/>
        <v>89.53</v>
      </c>
      <c r="JX22" s="69">
        <v>29.87</v>
      </c>
      <c r="JY22" s="70">
        <v>36.6</v>
      </c>
      <c r="JZ22" s="70"/>
      <c r="KA22" s="71"/>
      <c r="KB22" s="73">
        <v>66.47</v>
      </c>
      <c r="KC22" s="69">
        <v>39.58</v>
      </c>
      <c r="KD22" s="70">
        <v>52.31</v>
      </c>
      <c r="KE22" s="70">
        <v>0</v>
      </c>
      <c r="KF22" s="71">
        <v>0</v>
      </c>
      <c r="KG22" s="73">
        <v>91.89</v>
      </c>
      <c r="KH22" s="69">
        <v>46.48</v>
      </c>
      <c r="KI22" s="70">
        <v>69.67</v>
      </c>
      <c r="KJ22" s="70"/>
      <c r="KK22" s="71"/>
      <c r="KL22" s="73">
        <v>116.15</v>
      </c>
      <c r="KM22" s="479">
        <v>78.239999999999995</v>
      </c>
      <c r="KN22" s="480">
        <v>65.34</v>
      </c>
      <c r="KO22" s="70">
        <v>0</v>
      </c>
      <c r="KP22" s="71">
        <v>0</v>
      </c>
      <c r="KQ22" s="73">
        <f t="shared" si="45"/>
        <v>143.57999999999998</v>
      </c>
      <c r="KR22" s="69">
        <v>59.580000000000005</v>
      </c>
      <c r="KS22" s="70">
        <v>53.370000000000005</v>
      </c>
      <c r="KT22" s="70">
        <v>0</v>
      </c>
      <c r="KU22" s="71">
        <v>0</v>
      </c>
      <c r="KV22" s="73">
        <f t="shared" si="46"/>
        <v>112.95000000000002</v>
      </c>
    </row>
    <row r="23" spans="1:308" ht="15.75" x14ac:dyDescent="0.25">
      <c r="A23" s="188"/>
      <c r="B23" s="55">
        <v>14</v>
      </c>
      <c r="C23" s="56">
        <v>41.6</v>
      </c>
      <c r="D23" s="57">
        <v>38.35</v>
      </c>
      <c r="E23" s="58"/>
      <c r="F23" s="59"/>
      <c r="G23" s="60"/>
      <c r="H23" s="61">
        <f t="shared" si="5"/>
        <v>38.35</v>
      </c>
      <c r="I23" s="62">
        <v>41.82</v>
      </c>
      <c r="J23" s="63"/>
      <c r="K23" s="63"/>
      <c r="L23" s="64"/>
      <c r="M23" s="33">
        <f t="shared" si="6"/>
        <v>41.82</v>
      </c>
      <c r="N23" s="62">
        <v>53.95</v>
      </c>
      <c r="O23" s="63"/>
      <c r="P23" s="63"/>
      <c r="Q23" s="64"/>
      <c r="R23" s="33">
        <f t="shared" si="0"/>
        <v>53.95</v>
      </c>
      <c r="S23" s="62">
        <v>51.45</v>
      </c>
      <c r="T23" s="63">
        <v>19.91</v>
      </c>
      <c r="U23" s="63"/>
      <c r="V23" s="64"/>
      <c r="W23" s="33">
        <f t="shared" si="1"/>
        <v>71.36</v>
      </c>
      <c r="X23" s="62">
        <v>6.95</v>
      </c>
      <c r="Y23" s="63">
        <v>47.02</v>
      </c>
      <c r="Z23" s="63"/>
      <c r="AA23" s="64"/>
      <c r="AB23" s="33">
        <f t="shared" si="7"/>
        <v>53.970000000000006</v>
      </c>
      <c r="AC23" s="65">
        <v>57.92</v>
      </c>
      <c r="AD23" s="66"/>
      <c r="AE23" s="66"/>
      <c r="AF23" s="67"/>
      <c r="AG23" s="37">
        <f t="shared" si="8"/>
        <v>57.92</v>
      </c>
      <c r="AH23" s="65">
        <f>61.18+1.71</f>
        <v>62.89</v>
      </c>
      <c r="AI23" s="66">
        <v>27.94</v>
      </c>
      <c r="AJ23" s="66"/>
      <c r="AK23" s="67"/>
      <c r="AL23" s="68">
        <f t="shared" si="47"/>
        <v>90.83</v>
      </c>
      <c r="AM23" s="69">
        <v>20.47</v>
      </c>
      <c r="AN23" s="70">
        <v>35.779000000000003</v>
      </c>
      <c r="AO23" s="70">
        <v>4.25</v>
      </c>
      <c r="AP23" s="71"/>
      <c r="AQ23" s="72">
        <f t="shared" si="48"/>
        <v>60.499000000000002</v>
      </c>
      <c r="AR23" s="69">
        <v>36.049999999999997</v>
      </c>
      <c r="AS23" s="70">
        <v>44.85</v>
      </c>
      <c r="AT23" s="70"/>
      <c r="AU23" s="71"/>
      <c r="AV23" s="73">
        <f t="shared" si="49"/>
        <v>80.900000000000006</v>
      </c>
      <c r="AW23" s="69">
        <v>70.13</v>
      </c>
      <c r="AX23" s="70"/>
      <c r="AY23" s="70"/>
      <c r="AZ23" s="71"/>
      <c r="BA23" s="73">
        <f t="shared" si="50"/>
        <v>70.13</v>
      </c>
      <c r="BB23" s="69">
        <v>54.78</v>
      </c>
      <c r="BC23" s="70">
        <f>37.09+2.11</f>
        <v>39.200000000000003</v>
      </c>
      <c r="BD23" s="70"/>
      <c r="BE23" s="71"/>
      <c r="BF23" s="73">
        <f t="shared" si="56"/>
        <v>93.98</v>
      </c>
      <c r="BG23" s="69">
        <f>31.43+0.99</f>
        <v>32.42</v>
      </c>
      <c r="BH23" s="70">
        <v>50.06</v>
      </c>
      <c r="BI23" s="70"/>
      <c r="BJ23" s="74"/>
      <c r="BK23" s="73">
        <f t="shared" si="51"/>
        <v>82.48</v>
      </c>
      <c r="BL23" s="69">
        <f>24.04+2.1</f>
        <v>26.14</v>
      </c>
      <c r="BM23" s="70"/>
      <c r="BN23" s="70"/>
      <c r="BO23" s="74"/>
      <c r="BP23" s="72">
        <f t="shared" si="52"/>
        <v>26.14</v>
      </c>
      <c r="BQ23" s="69">
        <f>44.67+2.14</f>
        <v>46.81</v>
      </c>
      <c r="BR23" s="70">
        <v>18.75</v>
      </c>
      <c r="BS23" s="70"/>
      <c r="BT23" s="71"/>
      <c r="BU23" s="232">
        <f t="shared" si="9"/>
        <v>65.56</v>
      </c>
      <c r="BV23" s="233">
        <v>19.71</v>
      </c>
      <c r="BW23" s="234">
        <v>14.5</v>
      </c>
      <c r="BX23" s="234"/>
      <c r="BY23" s="235"/>
      <c r="BZ23" s="236">
        <f t="shared" si="10"/>
        <v>34.21</v>
      </c>
      <c r="CA23" s="237">
        <v>29.24</v>
      </c>
      <c r="CB23" s="238"/>
      <c r="CC23" s="238"/>
      <c r="CD23" s="239"/>
      <c r="CE23" s="240">
        <f t="shared" si="53"/>
        <v>29.24</v>
      </c>
      <c r="CF23" s="237">
        <v>28.13</v>
      </c>
      <c r="CG23" s="238"/>
      <c r="CH23" s="238"/>
      <c r="CI23" s="239"/>
      <c r="CJ23" s="240">
        <f t="shared" si="54"/>
        <v>28.13</v>
      </c>
      <c r="CK23" s="237">
        <v>49.87</v>
      </c>
      <c r="CL23" s="238">
        <v>36.75</v>
      </c>
      <c r="CM23" s="238"/>
      <c r="CN23" s="239"/>
      <c r="CO23" s="240">
        <f t="shared" si="55"/>
        <v>86.62</v>
      </c>
      <c r="CP23" s="241">
        <v>26.37</v>
      </c>
      <c r="CQ23" s="242">
        <v>18.55</v>
      </c>
      <c r="CR23" s="242"/>
      <c r="CS23" s="243"/>
      <c r="CT23" s="244">
        <v>44.92</v>
      </c>
      <c r="CU23" s="241">
        <v>29</v>
      </c>
      <c r="CV23" s="242">
        <v>33.590000000000003</v>
      </c>
      <c r="CW23" s="242"/>
      <c r="CX23" s="243"/>
      <c r="CY23" s="244">
        <f t="shared" si="2"/>
        <v>62.59</v>
      </c>
      <c r="CZ23" s="241">
        <v>49.78</v>
      </c>
      <c r="DA23" s="242"/>
      <c r="DB23" s="242"/>
      <c r="DC23" s="243"/>
      <c r="DD23" s="244">
        <f t="shared" si="3"/>
        <v>49.78</v>
      </c>
      <c r="DE23" s="241">
        <v>59</v>
      </c>
      <c r="DF23" s="242"/>
      <c r="DG23" s="242"/>
      <c r="DH23" s="243"/>
      <c r="DI23" s="244">
        <f t="shared" si="4"/>
        <v>59</v>
      </c>
      <c r="DJ23" s="241">
        <v>61.58</v>
      </c>
      <c r="DK23" s="242"/>
      <c r="DL23" s="242"/>
      <c r="DM23" s="243"/>
      <c r="DN23" s="244">
        <f t="shared" si="11"/>
        <v>61.58</v>
      </c>
      <c r="DO23" s="241">
        <v>64.37</v>
      </c>
      <c r="DP23" s="242"/>
      <c r="DQ23" s="242"/>
      <c r="DR23" s="243"/>
      <c r="DS23" s="244">
        <f t="shared" si="12"/>
        <v>64.37</v>
      </c>
      <c r="DT23" s="241">
        <v>63.52</v>
      </c>
      <c r="DU23" s="242"/>
      <c r="DV23" s="242"/>
      <c r="DW23" s="243"/>
      <c r="DX23" s="244">
        <f t="shared" si="13"/>
        <v>63.52</v>
      </c>
      <c r="DY23" s="76">
        <v>42.41</v>
      </c>
      <c r="DZ23" s="77"/>
      <c r="EA23" s="77"/>
      <c r="EB23" s="78"/>
      <c r="EC23" s="244">
        <f t="shared" si="14"/>
        <v>42.41</v>
      </c>
      <c r="ED23" s="241">
        <v>45.37</v>
      </c>
      <c r="EE23" s="242"/>
      <c r="EF23" s="242"/>
      <c r="EG23" s="243"/>
      <c r="EH23" s="244">
        <f t="shared" si="15"/>
        <v>45.37</v>
      </c>
      <c r="EI23" s="241">
        <v>31.07</v>
      </c>
      <c r="EJ23" s="242">
        <v>26.98</v>
      </c>
      <c r="EK23" s="242"/>
      <c r="EL23" s="243"/>
      <c r="EM23" s="244">
        <f t="shared" si="16"/>
        <v>58.05</v>
      </c>
      <c r="EN23" s="241">
        <v>29.4</v>
      </c>
      <c r="EO23" s="242">
        <v>7.83</v>
      </c>
      <c r="EP23" s="242"/>
      <c r="EQ23" s="243"/>
      <c r="ER23" s="244">
        <f t="shared" si="17"/>
        <v>37.229999999999997</v>
      </c>
      <c r="ES23" s="241">
        <v>40.89</v>
      </c>
      <c r="ET23" s="242">
        <v>18.78</v>
      </c>
      <c r="EU23" s="242"/>
      <c r="EV23" s="243"/>
      <c r="EW23" s="244">
        <f t="shared" si="18"/>
        <v>59.67</v>
      </c>
      <c r="EX23" s="241">
        <v>33.5</v>
      </c>
      <c r="EY23" s="242">
        <v>21.97</v>
      </c>
      <c r="EZ23" s="242"/>
      <c r="FA23" s="243"/>
      <c r="FB23" s="244">
        <f t="shared" si="19"/>
        <v>55.47</v>
      </c>
      <c r="FC23" s="241">
        <v>26.71</v>
      </c>
      <c r="FD23" s="242">
        <v>24.97</v>
      </c>
      <c r="FE23" s="242"/>
      <c r="FF23" s="243"/>
      <c r="FG23" s="244">
        <f t="shared" si="20"/>
        <v>51.68</v>
      </c>
      <c r="FH23" s="241">
        <v>38.979999999999997</v>
      </c>
      <c r="FI23" s="242">
        <v>19.809999999999999</v>
      </c>
      <c r="FJ23" s="242"/>
      <c r="FK23" s="243"/>
      <c r="FL23" s="244">
        <f t="shared" si="21"/>
        <v>58.789999999999992</v>
      </c>
      <c r="FM23" s="241">
        <v>42.2</v>
      </c>
      <c r="FN23" s="242">
        <v>37.58</v>
      </c>
      <c r="FO23" s="242"/>
      <c r="FP23" s="243"/>
      <c r="FQ23" s="244">
        <f t="shared" si="22"/>
        <v>79.78</v>
      </c>
      <c r="FR23" s="241">
        <v>23.8</v>
      </c>
      <c r="FS23" s="242">
        <v>34.11</v>
      </c>
      <c r="FT23" s="242"/>
      <c r="FU23" s="243"/>
      <c r="FV23" s="244">
        <f t="shared" si="23"/>
        <v>57.91</v>
      </c>
      <c r="FW23" s="241">
        <v>40.729999999999997</v>
      </c>
      <c r="FX23" s="242">
        <v>36.65</v>
      </c>
      <c r="FY23" s="242"/>
      <c r="FZ23" s="243"/>
      <c r="GA23" s="244">
        <f t="shared" si="24"/>
        <v>77.38</v>
      </c>
      <c r="GB23" s="241">
        <v>29.96</v>
      </c>
      <c r="GC23" s="242">
        <v>33.44</v>
      </c>
      <c r="GD23" s="242"/>
      <c r="GE23" s="243"/>
      <c r="GF23" s="244">
        <f t="shared" si="25"/>
        <v>63.4</v>
      </c>
      <c r="GG23" s="76">
        <v>49.21</v>
      </c>
      <c r="GH23" s="77">
        <v>3.66</v>
      </c>
      <c r="GI23" s="77"/>
      <c r="GJ23" s="78"/>
      <c r="GK23" s="244">
        <f t="shared" si="26"/>
        <v>52.870000000000005</v>
      </c>
      <c r="GL23" s="241">
        <v>15.54</v>
      </c>
      <c r="GM23" s="242">
        <v>23.28</v>
      </c>
      <c r="GN23" s="242"/>
      <c r="GO23" s="243"/>
      <c r="GP23" s="244">
        <f t="shared" si="27"/>
        <v>38.82</v>
      </c>
      <c r="GQ23" s="241">
        <v>12.49</v>
      </c>
      <c r="GR23" s="242">
        <v>6.09</v>
      </c>
      <c r="GS23" s="242"/>
      <c r="GT23" s="243"/>
      <c r="GU23" s="244">
        <f t="shared" si="28"/>
        <v>18.579999999999998</v>
      </c>
      <c r="GV23" s="241">
        <v>28.29</v>
      </c>
      <c r="GW23" s="242">
        <v>19.72</v>
      </c>
      <c r="GX23" s="242"/>
      <c r="GY23" s="243"/>
      <c r="GZ23" s="244">
        <f t="shared" si="29"/>
        <v>48.01</v>
      </c>
      <c r="HA23" s="241">
        <v>44.78</v>
      </c>
      <c r="HB23" s="242">
        <v>26.98</v>
      </c>
      <c r="HC23" s="242"/>
      <c r="HD23" s="243"/>
      <c r="HE23" s="244">
        <f t="shared" si="30"/>
        <v>71.760000000000005</v>
      </c>
      <c r="HF23" s="241">
        <v>25.46</v>
      </c>
      <c r="HG23" s="242">
        <v>15.82</v>
      </c>
      <c r="HH23" s="242"/>
      <c r="HI23" s="243"/>
      <c r="HJ23" s="244">
        <f t="shared" si="31"/>
        <v>41.28</v>
      </c>
      <c r="HK23" s="241">
        <v>41.1</v>
      </c>
      <c r="HL23" s="242">
        <v>11.93</v>
      </c>
      <c r="HM23" s="242"/>
      <c r="HN23" s="243"/>
      <c r="HO23" s="244">
        <f t="shared" si="32"/>
        <v>53.03</v>
      </c>
      <c r="HP23" s="241">
        <v>87.25</v>
      </c>
      <c r="HQ23" s="242">
        <v>17.93</v>
      </c>
      <c r="HR23" s="242"/>
      <c r="HS23" s="243"/>
      <c r="HT23" s="244">
        <f t="shared" si="33"/>
        <v>105.18</v>
      </c>
      <c r="HU23" s="241">
        <v>3.62</v>
      </c>
      <c r="HV23" s="242">
        <v>46.62</v>
      </c>
      <c r="HW23" s="242">
        <v>34.22</v>
      </c>
      <c r="HX23" s="243"/>
      <c r="HY23" s="244">
        <f t="shared" si="34"/>
        <v>84.46</v>
      </c>
      <c r="HZ23" s="241">
        <v>32.299999999999997</v>
      </c>
      <c r="IA23" s="242">
        <v>63.89</v>
      </c>
      <c r="IB23" s="242"/>
      <c r="IC23" s="243"/>
      <c r="ID23" s="244">
        <f t="shared" si="35"/>
        <v>96.19</v>
      </c>
      <c r="IE23" s="233">
        <f>28.86+2.636</f>
        <v>31.495999999999999</v>
      </c>
      <c r="IF23" s="234">
        <v>27.1</v>
      </c>
      <c r="IG23" s="234"/>
      <c r="IH23" s="235"/>
      <c r="II23" s="232">
        <f t="shared" si="36"/>
        <v>58.596000000000004</v>
      </c>
      <c r="IJ23" s="233">
        <v>59.76</v>
      </c>
      <c r="IK23" s="234">
        <v>34.15</v>
      </c>
      <c r="IL23" s="234"/>
      <c r="IM23" s="235"/>
      <c r="IN23" s="232">
        <f t="shared" si="37"/>
        <v>93.91</v>
      </c>
      <c r="IO23" s="69">
        <v>11.26</v>
      </c>
      <c r="IP23" s="70">
        <v>35.479999999999997</v>
      </c>
      <c r="IQ23" s="70"/>
      <c r="IR23" s="71"/>
      <c r="IS23" s="73">
        <f t="shared" si="38"/>
        <v>46.739999999999995</v>
      </c>
      <c r="IT23" s="69">
        <v>35.03</v>
      </c>
      <c r="IU23" s="70">
        <v>4.21</v>
      </c>
      <c r="IV23" s="70"/>
      <c r="IW23" s="71"/>
      <c r="IX23" s="73">
        <f t="shared" si="39"/>
        <v>39.24</v>
      </c>
      <c r="IY23" s="69">
        <v>22.95</v>
      </c>
      <c r="IZ23" s="70">
        <v>9.1300000000000008</v>
      </c>
      <c r="JA23" s="70"/>
      <c r="JB23" s="71"/>
      <c r="JC23" s="73">
        <f t="shared" si="40"/>
        <v>32.08</v>
      </c>
      <c r="JD23" s="69">
        <v>52.23</v>
      </c>
      <c r="JE23" s="70">
        <v>9.64</v>
      </c>
      <c r="JF23" s="70"/>
      <c r="JG23" s="71"/>
      <c r="JH23" s="73">
        <f t="shared" si="41"/>
        <v>61.87</v>
      </c>
      <c r="JI23" s="69">
        <v>44.44</v>
      </c>
      <c r="JJ23" s="70">
        <v>11.04</v>
      </c>
      <c r="JK23" s="70"/>
      <c r="JL23" s="71"/>
      <c r="JM23" s="73">
        <f t="shared" si="42"/>
        <v>55.48</v>
      </c>
      <c r="JN23" s="69">
        <v>37.78</v>
      </c>
      <c r="JO23" s="70">
        <v>39.17</v>
      </c>
      <c r="JP23" s="70"/>
      <c r="JQ23" s="71"/>
      <c r="JR23" s="73">
        <f t="shared" si="43"/>
        <v>76.95</v>
      </c>
      <c r="JS23" s="69">
        <v>19.989999999999998</v>
      </c>
      <c r="JT23" s="70">
        <v>42.53</v>
      </c>
      <c r="JU23" s="70"/>
      <c r="JV23" s="71"/>
      <c r="JW23" s="73">
        <f t="shared" si="44"/>
        <v>62.519999999999996</v>
      </c>
      <c r="JX23" s="69">
        <v>37.32</v>
      </c>
      <c r="JY23" s="70">
        <v>21.13</v>
      </c>
      <c r="JZ23" s="70"/>
      <c r="KA23" s="71"/>
      <c r="KB23" s="73">
        <v>58.45</v>
      </c>
      <c r="KC23" s="69">
        <v>62.89</v>
      </c>
      <c r="KD23" s="70">
        <v>13.16</v>
      </c>
      <c r="KE23" s="70">
        <v>0</v>
      </c>
      <c r="KF23" s="71">
        <v>0</v>
      </c>
      <c r="KG23" s="73">
        <v>76.05</v>
      </c>
      <c r="KH23" s="69">
        <v>65.400000000000006</v>
      </c>
      <c r="KI23" s="70"/>
      <c r="KJ23" s="70"/>
      <c r="KK23" s="71"/>
      <c r="KL23" s="73">
        <v>65.400000000000006</v>
      </c>
      <c r="KM23" s="479">
        <v>54.75</v>
      </c>
      <c r="KN23" s="480">
        <v>38.659999999999997</v>
      </c>
      <c r="KO23" s="70">
        <v>0</v>
      </c>
      <c r="KP23" s="71">
        <v>0</v>
      </c>
      <c r="KQ23" s="73">
        <f t="shared" si="45"/>
        <v>93.41</v>
      </c>
      <c r="KR23" s="69">
        <v>45.839999999999996</v>
      </c>
      <c r="KS23" s="70">
        <v>0</v>
      </c>
      <c r="KT23" s="70">
        <v>0</v>
      </c>
      <c r="KU23" s="71">
        <v>0</v>
      </c>
      <c r="KV23" s="73">
        <f t="shared" si="46"/>
        <v>45.839999999999996</v>
      </c>
    </row>
    <row r="24" spans="1:308" ht="15.75" x14ac:dyDescent="0.25">
      <c r="A24" s="188"/>
      <c r="B24" s="55">
        <v>15</v>
      </c>
      <c r="C24" s="56">
        <v>49.3</v>
      </c>
      <c r="D24" s="57">
        <v>21.71</v>
      </c>
      <c r="E24" s="58">
        <v>40.119999999999997</v>
      </c>
      <c r="F24" s="59"/>
      <c r="G24" s="60"/>
      <c r="H24" s="61">
        <f t="shared" si="5"/>
        <v>61.83</v>
      </c>
      <c r="I24" s="62">
        <v>62.85</v>
      </c>
      <c r="J24" s="63"/>
      <c r="K24" s="63"/>
      <c r="L24" s="64"/>
      <c r="M24" s="33">
        <f t="shared" si="6"/>
        <v>62.85</v>
      </c>
      <c r="N24" s="62">
        <v>36.03</v>
      </c>
      <c r="O24" s="63">
        <v>20.18</v>
      </c>
      <c r="P24" s="63"/>
      <c r="Q24" s="64"/>
      <c r="R24" s="33">
        <f t="shared" si="0"/>
        <v>56.21</v>
      </c>
      <c r="S24" s="62">
        <v>52.4</v>
      </c>
      <c r="T24" s="63">
        <v>4.5199999999999996</v>
      </c>
      <c r="U24" s="63"/>
      <c r="V24" s="64"/>
      <c r="W24" s="33">
        <f t="shared" si="1"/>
        <v>56.92</v>
      </c>
      <c r="X24" s="62">
        <v>21.06</v>
      </c>
      <c r="Y24" s="63">
        <v>25.49</v>
      </c>
      <c r="Z24" s="63">
        <v>23.97</v>
      </c>
      <c r="AA24" s="64"/>
      <c r="AB24" s="33">
        <f t="shared" si="7"/>
        <v>70.52</v>
      </c>
      <c r="AC24" s="65">
        <v>40.29</v>
      </c>
      <c r="AD24" s="66">
        <v>30.38</v>
      </c>
      <c r="AE24" s="66"/>
      <c r="AF24" s="67"/>
      <c r="AG24" s="37">
        <f t="shared" si="8"/>
        <v>70.67</v>
      </c>
      <c r="AH24" s="65">
        <v>12.28</v>
      </c>
      <c r="AI24" s="66">
        <v>16.309999999999999</v>
      </c>
      <c r="AJ24" s="87">
        <v>17.55</v>
      </c>
      <c r="AK24" s="67"/>
      <c r="AL24" s="68">
        <f t="shared" si="47"/>
        <v>46.14</v>
      </c>
      <c r="AM24" s="69">
        <v>26.32</v>
      </c>
      <c r="AN24" s="70">
        <v>28.08</v>
      </c>
      <c r="AO24" s="70"/>
      <c r="AP24" s="71"/>
      <c r="AQ24" s="72">
        <f t="shared" si="48"/>
        <v>54.4</v>
      </c>
      <c r="AR24" s="69">
        <v>40.74</v>
      </c>
      <c r="AS24" s="70">
        <v>43.42</v>
      </c>
      <c r="AT24" s="70"/>
      <c r="AU24" s="71"/>
      <c r="AV24" s="73">
        <f t="shared" si="49"/>
        <v>84.16</v>
      </c>
      <c r="AW24" s="69">
        <v>41.24</v>
      </c>
      <c r="AX24" s="70"/>
      <c r="AY24" s="70"/>
      <c r="AZ24" s="71"/>
      <c r="BA24" s="73">
        <f>SUM(AW24:AZ24)</f>
        <v>41.24</v>
      </c>
      <c r="BB24" s="69">
        <v>77</v>
      </c>
      <c r="BC24" s="70">
        <v>59.91</v>
      </c>
      <c r="BD24" s="70"/>
      <c r="BE24" s="71"/>
      <c r="BF24" s="73">
        <f>SUM(BB24:BE24)</f>
        <v>136.91</v>
      </c>
      <c r="BG24" s="69">
        <v>41.24</v>
      </c>
      <c r="BH24" s="70">
        <v>27.29</v>
      </c>
      <c r="BI24" s="70"/>
      <c r="BJ24" s="74"/>
      <c r="BK24" s="73">
        <f t="shared" si="51"/>
        <v>68.53</v>
      </c>
      <c r="BL24" s="69">
        <v>28.63</v>
      </c>
      <c r="BM24" s="70">
        <v>17.63</v>
      </c>
      <c r="BN24" s="70"/>
      <c r="BO24" s="74"/>
      <c r="BP24" s="72">
        <f t="shared" si="52"/>
        <v>46.26</v>
      </c>
      <c r="BQ24" s="69">
        <v>15.21</v>
      </c>
      <c r="BR24" s="70">
        <v>10.43</v>
      </c>
      <c r="BS24" s="70"/>
      <c r="BT24" s="71"/>
      <c r="BU24" s="232">
        <f t="shared" si="9"/>
        <v>25.64</v>
      </c>
      <c r="BV24" s="233">
        <v>10.16</v>
      </c>
      <c r="BW24" s="234">
        <v>9.1999999999999993</v>
      </c>
      <c r="BX24" s="234"/>
      <c r="BY24" s="235"/>
      <c r="BZ24" s="236">
        <f t="shared" si="10"/>
        <v>19.36</v>
      </c>
      <c r="CA24" s="237">
        <v>6.11</v>
      </c>
      <c r="CB24" s="238">
        <v>19.52</v>
      </c>
      <c r="CC24" s="238">
        <v>10.44</v>
      </c>
      <c r="CD24" s="239"/>
      <c r="CE24" s="240">
        <f t="shared" si="53"/>
        <v>36.07</v>
      </c>
      <c r="CF24" s="237">
        <v>20.309999999999999</v>
      </c>
      <c r="CG24" s="238">
        <v>16.690000000000001</v>
      </c>
      <c r="CH24" s="238"/>
      <c r="CI24" s="239"/>
      <c r="CJ24" s="244">
        <f t="shared" si="54"/>
        <v>37</v>
      </c>
      <c r="CK24" s="237">
        <v>26.4</v>
      </c>
      <c r="CL24" s="238">
        <v>22.59</v>
      </c>
      <c r="CM24" s="238"/>
      <c r="CN24" s="239"/>
      <c r="CO24" s="240">
        <f t="shared" si="55"/>
        <v>48.989999999999995</v>
      </c>
      <c r="CP24" s="241">
        <v>23.41</v>
      </c>
      <c r="CQ24" s="242">
        <v>23.85</v>
      </c>
      <c r="CR24" s="242">
        <v>34.479999999999997</v>
      </c>
      <c r="CS24" s="243"/>
      <c r="CT24" s="244">
        <v>81.740000000000009</v>
      </c>
      <c r="CU24" s="241">
        <v>34.39</v>
      </c>
      <c r="CV24" s="242">
        <v>25.83</v>
      </c>
      <c r="CW24" s="242"/>
      <c r="CX24" s="243"/>
      <c r="CY24" s="244">
        <f t="shared" si="2"/>
        <v>60.22</v>
      </c>
      <c r="CZ24" s="241">
        <v>39.25</v>
      </c>
      <c r="DA24" s="242">
        <v>33.590000000000003</v>
      </c>
      <c r="DB24" s="242"/>
      <c r="DC24" s="243"/>
      <c r="DD24" s="244">
        <f t="shared" si="3"/>
        <v>72.84</v>
      </c>
      <c r="DE24" s="241">
        <v>50.53</v>
      </c>
      <c r="DF24" s="242"/>
      <c r="DG24" s="242"/>
      <c r="DH24" s="243"/>
      <c r="DI24" s="244">
        <f t="shared" si="4"/>
        <v>50.53</v>
      </c>
      <c r="DJ24" s="241">
        <v>47.75</v>
      </c>
      <c r="DK24" s="242">
        <v>47.01</v>
      </c>
      <c r="DL24" s="242">
        <v>15.84</v>
      </c>
      <c r="DM24" s="243"/>
      <c r="DN24" s="244">
        <f t="shared" si="11"/>
        <v>110.6</v>
      </c>
      <c r="DO24" s="241">
        <v>23.17</v>
      </c>
      <c r="DP24" s="242">
        <v>38.36</v>
      </c>
      <c r="DQ24" s="242"/>
      <c r="DR24" s="243"/>
      <c r="DS24" s="244">
        <f t="shared" si="12"/>
        <v>61.53</v>
      </c>
      <c r="DT24" s="241">
        <v>44.31</v>
      </c>
      <c r="DU24" s="242">
        <v>37.89</v>
      </c>
      <c r="DV24" s="242"/>
      <c r="DW24" s="243"/>
      <c r="DX24" s="244">
        <f t="shared" si="13"/>
        <v>82.2</v>
      </c>
      <c r="DY24" s="76">
        <v>69.069999999999993</v>
      </c>
      <c r="DZ24" s="77"/>
      <c r="EA24" s="77"/>
      <c r="EB24" s="78"/>
      <c r="EC24" s="244">
        <f t="shared" si="14"/>
        <v>69.069999999999993</v>
      </c>
      <c r="ED24" s="241">
        <v>29.2</v>
      </c>
      <c r="EE24" s="242">
        <v>27.56</v>
      </c>
      <c r="EF24" s="242"/>
      <c r="EG24" s="243"/>
      <c r="EH24" s="244">
        <f t="shared" si="15"/>
        <v>56.76</v>
      </c>
      <c r="EI24" s="241">
        <v>28.55</v>
      </c>
      <c r="EJ24" s="242">
        <v>32.36</v>
      </c>
      <c r="EK24" s="242"/>
      <c r="EL24" s="243"/>
      <c r="EM24" s="244">
        <f t="shared" si="16"/>
        <v>60.91</v>
      </c>
      <c r="EN24" s="241">
        <v>17.399999999999999</v>
      </c>
      <c r="EO24" s="242">
        <v>27.62</v>
      </c>
      <c r="EP24" s="242"/>
      <c r="EQ24" s="243"/>
      <c r="ER24" s="244">
        <f t="shared" si="17"/>
        <v>45.019999999999996</v>
      </c>
      <c r="ES24" s="241">
        <v>26.58</v>
      </c>
      <c r="ET24" s="242">
        <v>25.67</v>
      </c>
      <c r="EU24" s="242"/>
      <c r="EV24" s="243"/>
      <c r="EW24" s="244">
        <f t="shared" si="18"/>
        <v>52.25</v>
      </c>
      <c r="EX24" s="241">
        <v>24.15</v>
      </c>
      <c r="EY24" s="242">
        <v>35.33</v>
      </c>
      <c r="EZ24" s="242"/>
      <c r="FA24" s="243"/>
      <c r="FB24" s="244">
        <f t="shared" si="19"/>
        <v>59.48</v>
      </c>
      <c r="FC24" s="241">
        <v>36.19</v>
      </c>
      <c r="FD24" s="242">
        <v>33.79</v>
      </c>
      <c r="FE24" s="242"/>
      <c r="FF24" s="243"/>
      <c r="FG24" s="244">
        <f t="shared" si="20"/>
        <v>69.97999999999999</v>
      </c>
      <c r="FH24" s="241">
        <v>35.299999999999997</v>
      </c>
      <c r="FI24" s="242">
        <v>30.08</v>
      </c>
      <c r="FJ24" s="242"/>
      <c r="FK24" s="243"/>
      <c r="FL24" s="244">
        <f t="shared" si="21"/>
        <v>65.38</v>
      </c>
      <c r="FM24" s="241">
        <v>34.71</v>
      </c>
      <c r="FN24" s="242">
        <v>34.92</v>
      </c>
      <c r="FO24" s="242"/>
      <c r="FP24" s="243"/>
      <c r="FQ24" s="244">
        <f t="shared" si="22"/>
        <v>69.63</v>
      </c>
      <c r="FR24" s="241">
        <v>39.159999999999997</v>
      </c>
      <c r="FS24" s="242">
        <v>36.33</v>
      </c>
      <c r="FT24" s="242"/>
      <c r="FU24" s="243"/>
      <c r="FV24" s="244">
        <f t="shared" si="23"/>
        <v>75.489999999999995</v>
      </c>
      <c r="FW24" s="241">
        <v>35.28</v>
      </c>
      <c r="FX24" s="242">
        <v>35.869999999999997</v>
      </c>
      <c r="FY24" s="242"/>
      <c r="FZ24" s="243"/>
      <c r="GA24" s="244">
        <f t="shared" si="24"/>
        <v>71.150000000000006</v>
      </c>
      <c r="GB24" s="241">
        <v>28</v>
      </c>
      <c r="GC24" s="242">
        <v>30.24</v>
      </c>
      <c r="GD24" s="242"/>
      <c r="GE24" s="243"/>
      <c r="GF24" s="244">
        <f t="shared" si="25"/>
        <v>58.239999999999995</v>
      </c>
      <c r="GG24" s="76">
        <v>22.07</v>
      </c>
      <c r="GH24" s="77">
        <v>15.31</v>
      </c>
      <c r="GI24" s="77"/>
      <c r="GJ24" s="78"/>
      <c r="GK24" s="244">
        <f t="shared" si="26"/>
        <v>37.380000000000003</v>
      </c>
      <c r="GL24" s="241">
        <v>9.6199999999999992</v>
      </c>
      <c r="GM24" s="242">
        <v>7.33</v>
      </c>
      <c r="GN24" s="242"/>
      <c r="GO24" s="243"/>
      <c r="GP24" s="244">
        <f t="shared" si="27"/>
        <v>16.95</v>
      </c>
      <c r="GQ24" s="241">
        <v>8.48</v>
      </c>
      <c r="GR24" s="242">
        <v>4.96</v>
      </c>
      <c r="GS24" s="242"/>
      <c r="GT24" s="243"/>
      <c r="GU24" s="244">
        <f t="shared" si="28"/>
        <v>13.440000000000001</v>
      </c>
      <c r="GV24" s="241">
        <v>14.53</v>
      </c>
      <c r="GW24" s="262"/>
      <c r="GX24" s="242"/>
      <c r="GY24" s="243"/>
      <c r="GZ24" s="244">
        <f t="shared" si="29"/>
        <v>14.53</v>
      </c>
      <c r="HA24" s="241">
        <v>7.23</v>
      </c>
      <c r="HB24" s="242">
        <v>10.7</v>
      </c>
      <c r="HC24" s="242">
        <v>14.57</v>
      </c>
      <c r="HD24" s="243"/>
      <c r="HE24" s="244">
        <f t="shared" si="30"/>
        <v>32.5</v>
      </c>
      <c r="HF24" s="241">
        <v>26.78</v>
      </c>
      <c r="HG24" s="242">
        <v>22.72</v>
      </c>
      <c r="HH24" s="242"/>
      <c r="HI24" s="243"/>
      <c r="HJ24" s="244">
        <f t="shared" si="31"/>
        <v>49.5</v>
      </c>
      <c r="HK24" s="241">
        <v>20.97</v>
      </c>
      <c r="HL24" s="242">
        <v>13.11</v>
      </c>
      <c r="HM24" s="242"/>
      <c r="HN24" s="243"/>
      <c r="HO24" s="244">
        <f t="shared" si="32"/>
        <v>34.08</v>
      </c>
      <c r="HP24" s="241">
        <v>34.42</v>
      </c>
      <c r="HQ24" s="242">
        <v>62.02</v>
      </c>
      <c r="HR24" s="242"/>
      <c r="HS24" s="243"/>
      <c r="HT24" s="244">
        <f t="shared" si="33"/>
        <v>96.44</v>
      </c>
      <c r="HU24" s="241">
        <v>79.52</v>
      </c>
      <c r="HV24" s="269"/>
      <c r="HW24" s="242"/>
      <c r="HX24" s="243"/>
      <c r="HY24" s="244">
        <f t="shared" si="34"/>
        <v>79.52</v>
      </c>
      <c r="HZ24" s="241">
        <f>69.24+0.55</f>
        <v>69.789999999999992</v>
      </c>
      <c r="IA24" s="242">
        <v>37.229999999999997</v>
      </c>
      <c r="IB24" s="242"/>
      <c r="IC24" s="243"/>
      <c r="ID24" s="244">
        <f t="shared" si="35"/>
        <v>107.01999999999998</v>
      </c>
      <c r="IE24" s="233">
        <v>46.04</v>
      </c>
      <c r="IF24" s="234">
        <v>31.87</v>
      </c>
      <c r="IG24" s="234"/>
      <c r="IH24" s="235"/>
      <c r="II24" s="232">
        <f t="shared" si="36"/>
        <v>77.91</v>
      </c>
      <c r="IJ24" s="233">
        <v>34.21</v>
      </c>
      <c r="IK24" s="234">
        <v>26.28</v>
      </c>
      <c r="IL24" s="234"/>
      <c r="IM24" s="235"/>
      <c r="IN24" s="232">
        <f t="shared" si="37"/>
        <v>60.49</v>
      </c>
      <c r="IO24" s="69">
        <v>19.399999999999999</v>
      </c>
      <c r="IP24" s="70">
        <v>38.770000000000003</v>
      </c>
      <c r="IQ24" s="70"/>
      <c r="IR24" s="71"/>
      <c r="IS24" s="73">
        <f t="shared" si="38"/>
        <v>58.17</v>
      </c>
      <c r="IT24" s="69">
        <v>39.159999999999997</v>
      </c>
      <c r="IU24" s="70">
        <v>20.38</v>
      </c>
      <c r="IV24" s="70"/>
      <c r="IW24" s="71"/>
      <c r="IX24" s="73">
        <f t="shared" si="39"/>
        <v>59.539999999999992</v>
      </c>
      <c r="IY24" s="69">
        <v>18.46</v>
      </c>
      <c r="IZ24" s="70">
        <v>29.86</v>
      </c>
      <c r="JA24" s="70"/>
      <c r="JB24" s="71"/>
      <c r="JC24" s="73">
        <f t="shared" si="40"/>
        <v>48.32</v>
      </c>
      <c r="JD24" s="69">
        <v>46.6</v>
      </c>
      <c r="JE24" s="79"/>
      <c r="JF24" s="70"/>
      <c r="JG24" s="71"/>
      <c r="JH24" s="73">
        <f t="shared" si="41"/>
        <v>46.6</v>
      </c>
      <c r="JI24" s="69">
        <v>28.7</v>
      </c>
      <c r="JJ24" s="70">
        <v>4.9000000000000004</v>
      </c>
      <c r="JK24" s="70">
        <v>25.76</v>
      </c>
      <c r="JL24" s="71"/>
      <c r="JM24" s="73">
        <f t="shared" si="42"/>
        <v>59.36</v>
      </c>
      <c r="JN24" s="69">
        <v>21.2</v>
      </c>
      <c r="JO24" s="70">
        <v>19.14</v>
      </c>
      <c r="JP24" s="70">
        <v>14.52</v>
      </c>
      <c r="JQ24" s="71"/>
      <c r="JR24" s="73">
        <f t="shared" si="43"/>
        <v>54.86</v>
      </c>
      <c r="JS24" s="69">
        <v>34.090000000000003</v>
      </c>
      <c r="JT24" s="70">
        <v>16.93</v>
      </c>
      <c r="JU24" s="70"/>
      <c r="JV24" s="71"/>
      <c r="JW24" s="73">
        <f t="shared" si="44"/>
        <v>51.02</v>
      </c>
      <c r="JX24" s="69">
        <v>34.950000000000003</v>
      </c>
      <c r="JY24" s="70">
        <v>16.77</v>
      </c>
      <c r="JZ24" s="70"/>
      <c r="KA24" s="71"/>
      <c r="KB24" s="73">
        <v>51.72</v>
      </c>
      <c r="KC24" s="69">
        <v>32.64</v>
      </c>
      <c r="KD24" s="70">
        <v>23.78</v>
      </c>
      <c r="KE24" s="70">
        <v>0</v>
      </c>
      <c r="KF24" s="71">
        <v>0</v>
      </c>
      <c r="KG24" s="73">
        <v>56.42</v>
      </c>
      <c r="KH24" s="69">
        <v>56.39</v>
      </c>
      <c r="KI24" s="70">
        <v>60.65</v>
      </c>
      <c r="KJ24" s="70"/>
      <c r="KK24" s="71"/>
      <c r="KL24" s="73">
        <v>117.03999999999999</v>
      </c>
      <c r="KM24" s="479">
        <v>49.78</v>
      </c>
      <c r="KN24" s="480">
        <v>0</v>
      </c>
      <c r="KO24" s="70">
        <v>0</v>
      </c>
      <c r="KP24" s="71">
        <v>0</v>
      </c>
      <c r="KQ24" s="73">
        <f t="shared" si="45"/>
        <v>49.78</v>
      </c>
      <c r="KR24" s="69">
        <v>70.900000000000006</v>
      </c>
      <c r="KS24" s="70">
        <v>53.16</v>
      </c>
      <c r="KT24" s="70">
        <v>0</v>
      </c>
      <c r="KU24" s="71">
        <v>0</v>
      </c>
      <c r="KV24" s="73">
        <f t="shared" si="46"/>
        <v>124.06</v>
      </c>
    </row>
    <row r="25" spans="1:308" ht="15.75" x14ac:dyDescent="0.25">
      <c r="A25" s="188"/>
      <c r="B25" s="55">
        <v>16</v>
      </c>
      <c r="C25" s="56">
        <v>53.2</v>
      </c>
      <c r="D25" s="57">
        <v>14.96</v>
      </c>
      <c r="E25" s="58">
        <v>42.95</v>
      </c>
      <c r="F25" s="59"/>
      <c r="G25" s="60"/>
      <c r="H25" s="61">
        <f t="shared" si="5"/>
        <v>57.910000000000004</v>
      </c>
      <c r="I25" s="62">
        <v>18.61</v>
      </c>
      <c r="J25" s="77">
        <v>9</v>
      </c>
      <c r="K25" s="63"/>
      <c r="L25" s="64"/>
      <c r="M25" s="33">
        <f t="shared" si="6"/>
        <v>27.61</v>
      </c>
      <c r="N25" s="62">
        <v>54.79</v>
      </c>
      <c r="O25" s="77">
        <v>35.92</v>
      </c>
      <c r="P25" s="63"/>
      <c r="Q25" s="64"/>
      <c r="R25" s="33">
        <f t="shared" si="0"/>
        <v>90.710000000000008</v>
      </c>
      <c r="S25" s="62">
        <v>26.22</v>
      </c>
      <c r="T25" s="77">
        <v>59.21</v>
      </c>
      <c r="U25" s="63"/>
      <c r="V25" s="64"/>
      <c r="W25" s="33">
        <f t="shared" si="1"/>
        <v>85.43</v>
      </c>
      <c r="X25" s="62">
        <v>26.07</v>
      </c>
      <c r="Y25" s="77">
        <v>26.88</v>
      </c>
      <c r="Z25" s="63"/>
      <c r="AA25" s="64"/>
      <c r="AB25" s="33">
        <f t="shared" si="7"/>
        <v>52.95</v>
      </c>
      <c r="AC25" s="65">
        <v>12.15</v>
      </c>
      <c r="AD25" s="87">
        <v>59.77</v>
      </c>
      <c r="AE25" s="66"/>
      <c r="AF25" s="67"/>
      <c r="AG25" s="37">
        <f t="shared" si="8"/>
        <v>71.92</v>
      </c>
      <c r="AH25" s="65">
        <v>24.72</v>
      </c>
      <c r="AI25" s="87">
        <v>21.08</v>
      </c>
      <c r="AJ25" s="87">
        <v>23.55</v>
      </c>
      <c r="AK25" s="67"/>
      <c r="AL25" s="68">
        <f t="shared" si="47"/>
        <v>69.349999999999994</v>
      </c>
      <c r="AM25" s="69">
        <v>33.42</v>
      </c>
      <c r="AN25" s="70">
        <v>45.56</v>
      </c>
      <c r="AO25" s="70"/>
      <c r="AP25" s="71"/>
      <c r="AQ25" s="72">
        <f t="shared" si="48"/>
        <v>78.98</v>
      </c>
      <c r="AR25" s="69">
        <v>40.56</v>
      </c>
      <c r="AS25" s="70">
        <v>50.51</v>
      </c>
      <c r="AT25" s="70"/>
      <c r="AU25" s="71"/>
      <c r="AV25" s="73">
        <f t="shared" si="49"/>
        <v>91.07</v>
      </c>
      <c r="AW25" s="69">
        <v>49.31</v>
      </c>
      <c r="AX25" s="70">
        <v>16.98</v>
      </c>
      <c r="AY25" s="70"/>
      <c r="AZ25" s="71"/>
      <c r="BA25" s="73">
        <f>SUM(AW25:AZ25)</f>
        <v>66.290000000000006</v>
      </c>
      <c r="BB25" s="69">
        <v>57.32</v>
      </c>
      <c r="BC25" s="70">
        <v>64.59</v>
      </c>
      <c r="BD25" s="70"/>
      <c r="BE25" s="71"/>
      <c r="BF25" s="73">
        <f>SUM(BB25:BE25)</f>
        <v>121.91</v>
      </c>
      <c r="BG25" s="69">
        <v>48.97</v>
      </c>
      <c r="BH25" s="70">
        <v>33.83</v>
      </c>
      <c r="BI25" s="70"/>
      <c r="BJ25" s="74"/>
      <c r="BK25" s="73">
        <f t="shared" si="51"/>
        <v>82.8</v>
      </c>
      <c r="BL25" s="69">
        <v>38.06</v>
      </c>
      <c r="BM25" s="70">
        <v>28.88</v>
      </c>
      <c r="BN25" s="70"/>
      <c r="BO25" s="74"/>
      <c r="BP25" s="72">
        <f t="shared" si="52"/>
        <v>66.94</v>
      </c>
      <c r="BQ25" s="69">
        <v>22.35</v>
      </c>
      <c r="BR25" s="70">
        <v>24.13</v>
      </c>
      <c r="BS25" s="70"/>
      <c r="BT25" s="71"/>
      <c r="BU25" s="232">
        <f t="shared" si="9"/>
        <v>46.480000000000004</v>
      </c>
      <c r="BV25" s="233">
        <v>15.88</v>
      </c>
      <c r="BW25" s="234">
        <v>17.579999999999998</v>
      </c>
      <c r="BX25" s="234">
        <v>13.91</v>
      </c>
      <c r="BY25" s="235"/>
      <c r="BZ25" s="236">
        <f t="shared" si="10"/>
        <v>47.370000000000005</v>
      </c>
      <c r="CA25" s="237">
        <v>22.2</v>
      </c>
      <c r="CB25" s="238">
        <v>22.79</v>
      </c>
      <c r="CC25" s="238"/>
      <c r="CD25" s="239"/>
      <c r="CE25" s="240">
        <f t="shared" si="53"/>
        <v>44.989999999999995</v>
      </c>
      <c r="CF25" s="237">
        <v>27.61</v>
      </c>
      <c r="CG25" s="238">
        <v>24.06</v>
      </c>
      <c r="CH25" s="238"/>
      <c r="CI25" s="239"/>
      <c r="CJ25" s="240">
        <f t="shared" si="54"/>
        <v>51.67</v>
      </c>
      <c r="CK25" s="237">
        <v>38.86</v>
      </c>
      <c r="CL25" s="238">
        <v>32.630000000000003</v>
      </c>
      <c r="CM25" s="238"/>
      <c r="CN25" s="239"/>
      <c r="CO25" s="240">
        <f t="shared" si="55"/>
        <v>71.490000000000009</v>
      </c>
      <c r="CP25" s="241">
        <v>35.31</v>
      </c>
      <c r="CQ25" s="242">
        <v>29.26</v>
      </c>
      <c r="CR25" s="242">
        <v>47.67</v>
      </c>
      <c r="CS25" s="243"/>
      <c r="CT25" s="244">
        <v>112.24000000000001</v>
      </c>
      <c r="CU25" s="241">
        <v>42.98</v>
      </c>
      <c r="CV25" s="242">
        <v>48.61</v>
      </c>
      <c r="CW25" s="242"/>
      <c r="CX25" s="243"/>
      <c r="CY25" s="244">
        <f t="shared" si="2"/>
        <v>91.59</v>
      </c>
      <c r="CZ25" s="241">
        <v>56.14</v>
      </c>
      <c r="DA25" s="242">
        <v>49.03</v>
      </c>
      <c r="DB25" s="242"/>
      <c r="DC25" s="243"/>
      <c r="DD25" s="244">
        <f t="shared" si="3"/>
        <v>105.17</v>
      </c>
      <c r="DE25" s="241">
        <v>32.979999999999997</v>
      </c>
      <c r="DF25" s="242">
        <v>31.83</v>
      </c>
      <c r="DG25" s="242">
        <v>38.700000000000003</v>
      </c>
      <c r="DH25" s="243"/>
      <c r="DI25" s="244">
        <f t="shared" si="4"/>
        <v>103.51</v>
      </c>
      <c r="DJ25" s="241">
        <v>74.150000000000006</v>
      </c>
      <c r="DK25" s="242">
        <v>44.78</v>
      </c>
      <c r="DL25" s="242"/>
      <c r="DM25" s="243"/>
      <c r="DN25" s="244">
        <f t="shared" si="11"/>
        <v>118.93</v>
      </c>
      <c r="DO25" s="241">
        <v>81.400000000000006</v>
      </c>
      <c r="DP25" s="242"/>
      <c r="DQ25" s="242"/>
      <c r="DR25" s="243"/>
      <c r="DS25" s="244">
        <f t="shared" si="12"/>
        <v>81.400000000000006</v>
      </c>
      <c r="DT25" s="241">
        <v>19.440000000000001</v>
      </c>
      <c r="DU25" s="242">
        <v>76.88</v>
      </c>
      <c r="DV25" s="242"/>
      <c r="DW25" s="243"/>
      <c r="DX25" s="244">
        <f t="shared" si="13"/>
        <v>96.32</v>
      </c>
      <c r="DY25" s="76">
        <v>65.75</v>
      </c>
      <c r="DZ25" s="77"/>
      <c r="EA25" s="77"/>
      <c r="EB25" s="78"/>
      <c r="EC25" s="244">
        <f t="shared" si="14"/>
        <v>65.75</v>
      </c>
      <c r="ED25" s="241">
        <v>59.36</v>
      </c>
      <c r="EE25" s="242">
        <v>22.89</v>
      </c>
      <c r="EF25" s="242"/>
      <c r="EG25" s="243"/>
      <c r="EH25" s="244">
        <f t="shared" si="15"/>
        <v>82.25</v>
      </c>
      <c r="EI25" s="241">
        <v>34.39</v>
      </c>
      <c r="EJ25" s="242">
        <v>40.92</v>
      </c>
      <c r="EK25" s="242"/>
      <c r="EL25" s="243"/>
      <c r="EM25" s="244">
        <f t="shared" si="16"/>
        <v>75.31</v>
      </c>
      <c r="EN25" s="241">
        <v>25.15</v>
      </c>
      <c r="EO25" s="242">
        <v>24.35</v>
      </c>
      <c r="EP25" s="242"/>
      <c r="EQ25" s="243"/>
      <c r="ER25" s="244">
        <f t="shared" si="17"/>
        <v>49.5</v>
      </c>
      <c r="ES25" s="241">
        <v>32.42</v>
      </c>
      <c r="ET25" s="242">
        <v>34.630000000000003</v>
      </c>
      <c r="EU25" s="242"/>
      <c r="EV25" s="243"/>
      <c r="EW25" s="244">
        <f t="shared" si="18"/>
        <v>67.050000000000011</v>
      </c>
      <c r="EX25" s="241">
        <v>28.11</v>
      </c>
      <c r="EY25" s="242">
        <v>36.36</v>
      </c>
      <c r="EZ25" s="242"/>
      <c r="FA25" s="243"/>
      <c r="FB25" s="244">
        <f t="shared" si="19"/>
        <v>64.47</v>
      </c>
      <c r="FC25" s="241">
        <v>43.97</v>
      </c>
      <c r="FD25" s="242">
        <v>59.64</v>
      </c>
      <c r="FE25" s="242"/>
      <c r="FF25" s="243"/>
      <c r="FG25" s="244">
        <f t="shared" si="20"/>
        <v>103.61</v>
      </c>
      <c r="FH25" s="241">
        <v>39.450000000000003</v>
      </c>
      <c r="FI25" s="242">
        <v>53.72</v>
      </c>
      <c r="FJ25" s="242"/>
      <c r="FK25" s="243"/>
      <c r="FL25" s="244">
        <f t="shared" si="21"/>
        <v>93.17</v>
      </c>
      <c r="FM25" s="241">
        <v>49.85</v>
      </c>
      <c r="FN25" s="242">
        <v>41.52</v>
      </c>
      <c r="FO25" s="242"/>
      <c r="FP25" s="243"/>
      <c r="FQ25" s="244">
        <f t="shared" si="22"/>
        <v>91.37</v>
      </c>
      <c r="FR25" s="241">
        <v>44.32</v>
      </c>
      <c r="FS25" s="242">
        <v>39.83</v>
      </c>
      <c r="FT25" s="242"/>
      <c r="FU25" s="243"/>
      <c r="FV25" s="244">
        <f t="shared" si="23"/>
        <v>84.15</v>
      </c>
      <c r="FW25" s="241">
        <v>37.49</v>
      </c>
      <c r="FX25" s="242">
        <v>45.84</v>
      </c>
      <c r="FY25" s="242"/>
      <c r="FZ25" s="243"/>
      <c r="GA25" s="244">
        <f t="shared" si="24"/>
        <v>83.330000000000013</v>
      </c>
      <c r="GB25" s="241">
        <v>34.6</v>
      </c>
      <c r="GC25" s="242">
        <v>30.89</v>
      </c>
      <c r="GD25" s="242"/>
      <c r="GE25" s="243"/>
      <c r="GF25" s="244">
        <f t="shared" si="25"/>
        <v>65.490000000000009</v>
      </c>
      <c r="GG25" s="76">
        <v>24.88</v>
      </c>
      <c r="GH25" s="77">
        <v>23.45</v>
      </c>
      <c r="GI25" s="77"/>
      <c r="GJ25" s="78"/>
      <c r="GK25" s="244">
        <f t="shared" si="26"/>
        <v>48.33</v>
      </c>
      <c r="GL25" s="241">
        <v>20.88</v>
      </c>
      <c r="GM25" s="242">
        <v>13.31</v>
      </c>
      <c r="GN25" s="242"/>
      <c r="GO25" s="243"/>
      <c r="GP25" s="244">
        <f t="shared" si="27"/>
        <v>34.19</v>
      </c>
      <c r="GQ25" s="241">
        <v>12.31</v>
      </c>
      <c r="GR25" s="242">
        <v>11.32</v>
      </c>
      <c r="GS25" s="242"/>
      <c r="GT25" s="243"/>
      <c r="GU25" s="244">
        <f t="shared" si="28"/>
        <v>23.630000000000003</v>
      </c>
      <c r="GV25" s="241">
        <v>32.729999999999997</v>
      </c>
      <c r="GW25" s="242">
        <v>22.68</v>
      </c>
      <c r="GX25" s="242"/>
      <c r="GY25" s="243"/>
      <c r="GZ25" s="244">
        <f t="shared" si="29"/>
        <v>55.41</v>
      </c>
      <c r="HA25" s="241">
        <v>20.99</v>
      </c>
      <c r="HB25" s="242">
        <v>19.54</v>
      </c>
      <c r="HC25" s="242"/>
      <c r="HD25" s="243"/>
      <c r="HE25" s="244">
        <f t="shared" si="30"/>
        <v>40.53</v>
      </c>
      <c r="HF25" s="241">
        <v>30.08</v>
      </c>
      <c r="HG25" s="242">
        <v>38.6</v>
      </c>
      <c r="HH25" s="242"/>
      <c r="HI25" s="243"/>
      <c r="HJ25" s="244">
        <f t="shared" si="31"/>
        <v>68.680000000000007</v>
      </c>
      <c r="HK25" s="241">
        <v>34.64</v>
      </c>
      <c r="HL25" s="242">
        <v>33.57</v>
      </c>
      <c r="HM25" s="242"/>
      <c r="HN25" s="243"/>
      <c r="HO25" s="244">
        <f t="shared" si="32"/>
        <v>68.210000000000008</v>
      </c>
      <c r="HP25" s="241">
        <v>40.1</v>
      </c>
      <c r="HQ25" s="242">
        <v>75.62</v>
      </c>
      <c r="HR25" s="242"/>
      <c r="HS25" s="243"/>
      <c r="HT25" s="244">
        <f t="shared" si="33"/>
        <v>115.72</v>
      </c>
      <c r="HU25" s="241">
        <v>88.25</v>
      </c>
      <c r="HV25" s="269"/>
      <c r="HW25" s="242"/>
      <c r="HX25" s="243"/>
      <c r="HY25" s="244">
        <f t="shared" si="34"/>
        <v>88.25</v>
      </c>
      <c r="HZ25" s="241">
        <f>75.24+1.15</f>
        <v>76.39</v>
      </c>
      <c r="IA25" s="242">
        <v>39.22</v>
      </c>
      <c r="IB25" s="242"/>
      <c r="IC25" s="243"/>
      <c r="ID25" s="244">
        <f t="shared" si="35"/>
        <v>115.61</v>
      </c>
      <c r="IE25" s="233">
        <v>51.38</v>
      </c>
      <c r="IF25" s="234">
        <v>39.630000000000003</v>
      </c>
      <c r="IG25" s="234"/>
      <c r="IH25" s="235"/>
      <c r="II25" s="232">
        <f t="shared" si="36"/>
        <v>91.01</v>
      </c>
      <c r="IJ25" s="233">
        <v>28.6</v>
      </c>
      <c r="IK25" s="234">
        <v>27.35</v>
      </c>
      <c r="IL25" s="234">
        <v>31.71</v>
      </c>
      <c r="IM25" s="235"/>
      <c r="IN25" s="232">
        <f t="shared" si="37"/>
        <v>87.66</v>
      </c>
      <c r="IO25" s="69">
        <v>42.08</v>
      </c>
      <c r="IP25" s="79"/>
      <c r="IQ25" s="70"/>
      <c r="IR25" s="71"/>
      <c r="IS25" s="73">
        <f t="shared" si="38"/>
        <v>42.08</v>
      </c>
      <c r="IT25" s="69">
        <v>41.72</v>
      </c>
      <c r="IU25" s="70">
        <v>23.95</v>
      </c>
      <c r="IV25" s="70"/>
      <c r="IW25" s="71"/>
      <c r="IX25" s="73">
        <f t="shared" si="39"/>
        <v>65.67</v>
      </c>
      <c r="IY25" s="69">
        <v>30.97</v>
      </c>
      <c r="IZ25" s="70">
        <v>31.66</v>
      </c>
      <c r="JA25" s="70"/>
      <c r="JB25" s="71"/>
      <c r="JC25" s="73">
        <f t="shared" si="40"/>
        <v>62.629999999999995</v>
      </c>
      <c r="JD25" s="69">
        <v>59.59</v>
      </c>
      <c r="JE25" s="79"/>
      <c r="JF25" s="70"/>
      <c r="JG25" s="71"/>
      <c r="JH25" s="73">
        <f t="shared" si="41"/>
        <v>59.59</v>
      </c>
      <c r="JI25" s="69">
        <v>30.95</v>
      </c>
      <c r="JJ25" s="70">
        <v>12.7</v>
      </c>
      <c r="JK25" s="70">
        <v>29.5</v>
      </c>
      <c r="JL25" s="71"/>
      <c r="JM25" s="73">
        <f t="shared" si="42"/>
        <v>73.150000000000006</v>
      </c>
      <c r="JN25" s="69">
        <v>24.06</v>
      </c>
      <c r="JO25" s="70">
        <v>20.55</v>
      </c>
      <c r="JP25" s="70">
        <v>25.26</v>
      </c>
      <c r="JQ25" s="71"/>
      <c r="JR25" s="73">
        <f t="shared" si="43"/>
        <v>69.87</v>
      </c>
      <c r="JS25" s="69">
        <v>40.61</v>
      </c>
      <c r="JT25" s="70">
        <v>35.590000000000003</v>
      </c>
      <c r="JU25" s="70"/>
      <c r="JV25" s="71"/>
      <c r="JW25" s="73">
        <f t="shared" si="44"/>
        <v>76.2</v>
      </c>
      <c r="JX25" s="69">
        <v>41.16</v>
      </c>
      <c r="JY25" s="70">
        <v>37.65</v>
      </c>
      <c r="JZ25" s="70"/>
      <c r="KA25" s="71"/>
      <c r="KB25" s="73">
        <v>78.81</v>
      </c>
      <c r="KC25" s="69">
        <v>37.26</v>
      </c>
      <c r="KD25" s="70">
        <v>44.15</v>
      </c>
      <c r="KE25" s="70">
        <v>0</v>
      </c>
      <c r="KF25" s="71">
        <v>0</v>
      </c>
      <c r="KG25" s="73">
        <v>81.41</v>
      </c>
      <c r="KH25" s="69">
        <v>38.340000000000003</v>
      </c>
      <c r="KI25" s="70">
        <v>62.37</v>
      </c>
      <c r="KJ25" s="70"/>
      <c r="KK25" s="71"/>
      <c r="KL25" s="73">
        <v>100.71000000000001</v>
      </c>
      <c r="KM25" s="479">
        <v>48.72</v>
      </c>
      <c r="KN25" s="480">
        <v>30.18</v>
      </c>
      <c r="KO25" s="70">
        <v>0</v>
      </c>
      <c r="KP25" s="71">
        <v>0</v>
      </c>
      <c r="KQ25" s="73">
        <f t="shared" si="45"/>
        <v>78.900000000000006</v>
      </c>
      <c r="KR25" s="69">
        <v>53.38</v>
      </c>
      <c r="KS25" s="70">
        <v>58.28</v>
      </c>
      <c r="KT25" s="70">
        <v>0</v>
      </c>
      <c r="KU25" s="71">
        <v>0</v>
      </c>
      <c r="KV25" s="73">
        <f t="shared" si="46"/>
        <v>111.66</v>
      </c>
    </row>
    <row r="26" spans="1:308" ht="15.75" x14ac:dyDescent="0.25">
      <c r="A26" s="188"/>
      <c r="B26" s="55">
        <v>17</v>
      </c>
      <c r="C26" s="56">
        <v>45.7</v>
      </c>
      <c r="D26" s="57">
        <v>34.11</v>
      </c>
      <c r="E26" s="58">
        <v>30.05</v>
      </c>
      <c r="F26" s="59"/>
      <c r="G26" s="60"/>
      <c r="H26" s="61">
        <f t="shared" si="5"/>
        <v>64.16</v>
      </c>
      <c r="I26" s="62">
        <v>73.510000000000005</v>
      </c>
      <c r="J26" s="63"/>
      <c r="K26" s="63"/>
      <c r="L26" s="64"/>
      <c r="M26" s="33">
        <f t="shared" si="6"/>
        <v>73.510000000000005</v>
      </c>
      <c r="N26" s="62">
        <v>39.54</v>
      </c>
      <c r="O26" s="63">
        <v>36.97</v>
      </c>
      <c r="P26" s="63"/>
      <c r="Q26" s="64"/>
      <c r="R26" s="33">
        <f t="shared" si="0"/>
        <v>76.509999999999991</v>
      </c>
      <c r="S26" s="62">
        <v>46.48</v>
      </c>
      <c r="T26" s="63">
        <v>8.3000000000000007</v>
      </c>
      <c r="U26" s="63">
        <v>23.39</v>
      </c>
      <c r="V26" s="64"/>
      <c r="W26" s="33">
        <f t="shared" si="1"/>
        <v>78.17</v>
      </c>
      <c r="X26" s="62">
        <v>21.41</v>
      </c>
      <c r="Y26" s="63">
        <v>20.25</v>
      </c>
      <c r="Z26" s="63">
        <v>4.78</v>
      </c>
      <c r="AA26" s="64"/>
      <c r="AB26" s="33">
        <f t="shared" si="7"/>
        <v>46.44</v>
      </c>
      <c r="AC26" s="65">
        <v>23.8</v>
      </c>
      <c r="AD26" s="66">
        <v>26.03</v>
      </c>
      <c r="AE26" s="66">
        <v>18.46</v>
      </c>
      <c r="AF26" s="67"/>
      <c r="AG26" s="37">
        <f t="shared" si="8"/>
        <v>68.289999999999992</v>
      </c>
      <c r="AH26" s="65">
        <v>19.75</v>
      </c>
      <c r="AI26" s="66">
        <v>21.8</v>
      </c>
      <c r="AJ26" s="87">
        <v>19.38</v>
      </c>
      <c r="AK26" s="67"/>
      <c r="AL26" s="68">
        <f t="shared" si="47"/>
        <v>60.929999999999993</v>
      </c>
      <c r="AM26" s="69">
        <v>27.51</v>
      </c>
      <c r="AN26" s="70">
        <v>48.33</v>
      </c>
      <c r="AO26" s="70"/>
      <c r="AP26" s="71"/>
      <c r="AQ26" s="72">
        <f t="shared" si="48"/>
        <v>75.84</v>
      </c>
      <c r="AR26" s="69">
        <v>42.55</v>
      </c>
      <c r="AS26" s="70">
        <v>56.3</v>
      </c>
      <c r="AT26" s="70"/>
      <c r="AU26" s="71"/>
      <c r="AV26" s="73">
        <f t="shared" si="49"/>
        <v>98.85</v>
      </c>
      <c r="AW26" s="69">
        <v>47.33</v>
      </c>
      <c r="AX26" s="70">
        <v>62.14</v>
      </c>
      <c r="AY26" s="70"/>
      <c r="AZ26" s="71"/>
      <c r="BA26" s="73">
        <f t="shared" si="50"/>
        <v>109.47</v>
      </c>
      <c r="BB26" s="69">
        <v>59.55</v>
      </c>
      <c r="BC26" s="70"/>
      <c r="BD26" s="70"/>
      <c r="BE26" s="71"/>
      <c r="BF26" s="73">
        <f>SUM(BB26:BE26)</f>
        <v>59.55</v>
      </c>
      <c r="BG26" s="69">
        <v>40.1</v>
      </c>
      <c r="BH26" s="70">
        <v>29.91</v>
      </c>
      <c r="BI26" s="70"/>
      <c r="BJ26" s="74"/>
      <c r="BK26" s="73">
        <f t="shared" si="51"/>
        <v>70.010000000000005</v>
      </c>
      <c r="BL26" s="69">
        <v>34.9</v>
      </c>
      <c r="BM26" s="70">
        <v>24.02</v>
      </c>
      <c r="BN26" s="70"/>
      <c r="BO26" s="74"/>
      <c r="BP26" s="72">
        <f t="shared" si="52"/>
        <v>58.92</v>
      </c>
      <c r="BQ26" s="69">
        <v>21.33</v>
      </c>
      <c r="BR26" s="70">
        <v>15.22</v>
      </c>
      <c r="BS26" s="70"/>
      <c r="BT26" s="71"/>
      <c r="BU26" s="232">
        <f t="shared" si="9"/>
        <v>36.549999999999997</v>
      </c>
      <c r="BV26" s="233">
        <v>12.84</v>
      </c>
      <c r="BW26" s="234">
        <v>18.02</v>
      </c>
      <c r="BX26" s="234">
        <v>13.3</v>
      </c>
      <c r="BY26" s="235"/>
      <c r="BZ26" s="236">
        <f t="shared" si="10"/>
        <v>44.16</v>
      </c>
      <c r="CA26" s="241">
        <v>20</v>
      </c>
      <c r="CB26" s="238">
        <v>20.82</v>
      </c>
      <c r="CC26" s="238"/>
      <c r="CD26" s="239"/>
      <c r="CE26" s="240">
        <f t="shared" si="53"/>
        <v>40.82</v>
      </c>
      <c r="CF26" s="241">
        <v>27.26</v>
      </c>
      <c r="CG26" s="238">
        <v>24.28</v>
      </c>
      <c r="CH26" s="238"/>
      <c r="CI26" s="239"/>
      <c r="CJ26" s="240">
        <f t="shared" si="54"/>
        <v>51.540000000000006</v>
      </c>
      <c r="CK26" s="241">
        <v>30.72</v>
      </c>
      <c r="CL26" s="238">
        <v>35.159999999999997</v>
      </c>
      <c r="CM26" s="238">
        <v>8.57</v>
      </c>
      <c r="CN26" s="239"/>
      <c r="CO26" s="240">
        <f t="shared" si="55"/>
        <v>74.449999999999989</v>
      </c>
      <c r="CP26" s="241">
        <v>21.85</v>
      </c>
      <c r="CQ26" s="242">
        <v>29.43</v>
      </c>
      <c r="CR26" s="242">
        <v>50.87</v>
      </c>
      <c r="CS26" s="243"/>
      <c r="CT26" s="244">
        <v>102.15</v>
      </c>
      <c r="CU26" s="241">
        <v>44.79</v>
      </c>
      <c r="CV26" s="242">
        <v>34.85</v>
      </c>
      <c r="CW26" s="242"/>
      <c r="CX26" s="243"/>
      <c r="CY26" s="244">
        <f t="shared" si="2"/>
        <v>79.64</v>
      </c>
      <c r="CZ26" s="241">
        <v>49.65</v>
      </c>
      <c r="DA26" s="242">
        <v>45.26</v>
      </c>
      <c r="DB26" s="242">
        <v>36.020000000000003</v>
      </c>
      <c r="DC26" s="243"/>
      <c r="DD26" s="244">
        <f t="shared" si="3"/>
        <v>130.93</v>
      </c>
      <c r="DE26" s="241">
        <v>31.99</v>
      </c>
      <c r="DF26" s="242">
        <v>46.14</v>
      </c>
      <c r="DG26" s="242"/>
      <c r="DH26" s="243"/>
      <c r="DI26" s="244">
        <f t="shared" si="4"/>
        <v>78.13</v>
      </c>
      <c r="DJ26" s="241">
        <v>52.06</v>
      </c>
      <c r="DK26" s="242">
        <v>37.090000000000003</v>
      </c>
      <c r="DL26" s="242"/>
      <c r="DM26" s="243"/>
      <c r="DN26" s="244">
        <f t="shared" si="11"/>
        <v>89.15</v>
      </c>
      <c r="DO26" s="241">
        <v>36.229999999999997</v>
      </c>
      <c r="DP26" s="242">
        <v>23.94</v>
      </c>
      <c r="DQ26" s="242"/>
      <c r="DR26" s="243"/>
      <c r="DS26" s="244">
        <f t="shared" si="12"/>
        <v>60.17</v>
      </c>
      <c r="DT26" s="241">
        <v>52.15</v>
      </c>
      <c r="DU26" s="242">
        <v>31.2</v>
      </c>
      <c r="DV26" s="242"/>
      <c r="DW26" s="243"/>
      <c r="DX26" s="244">
        <f t="shared" si="13"/>
        <v>83.35</v>
      </c>
      <c r="DY26" s="76">
        <v>28.3</v>
      </c>
      <c r="DZ26" s="77">
        <v>20.07</v>
      </c>
      <c r="EA26" s="77"/>
      <c r="EB26" s="78"/>
      <c r="EC26" s="244">
        <f t="shared" si="14"/>
        <v>48.370000000000005</v>
      </c>
      <c r="ED26" s="241">
        <v>32.46</v>
      </c>
      <c r="EE26" s="242"/>
      <c r="EF26" s="242"/>
      <c r="EG26" s="243"/>
      <c r="EH26" s="244">
        <f t="shared" si="15"/>
        <v>32.46</v>
      </c>
      <c r="EI26" s="241">
        <v>21.83</v>
      </c>
      <c r="EJ26" s="242">
        <v>34.68</v>
      </c>
      <c r="EK26" s="242"/>
      <c r="EL26" s="243"/>
      <c r="EM26" s="244">
        <f t="shared" si="16"/>
        <v>56.51</v>
      </c>
      <c r="EN26" s="241">
        <v>20.18</v>
      </c>
      <c r="EO26" s="242">
        <v>26.37</v>
      </c>
      <c r="EP26" s="242"/>
      <c r="EQ26" s="243"/>
      <c r="ER26" s="244">
        <f t="shared" si="17"/>
        <v>46.55</v>
      </c>
      <c r="ES26" s="241">
        <v>32.07</v>
      </c>
      <c r="ET26" s="242">
        <v>31.66</v>
      </c>
      <c r="EU26" s="242"/>
      <c r="EV26" s="243"/>
      <c r="EW26" s="244">
        <f t="shared" si="18"/>
        <v>63.730000000000004</v>
      </c>
      <c r="EX26" s="241">
        <v>27.05</v>
      </c>
      <c r="EY26" s="242">
        <v>36.35</v>
      </c>
      <c r="EZ26" s="242"/>
      <c r="FA26" s="243"/>
      <c r="FB26" s="244">
        <f t="shared" si="19"/>
        <v>63.400000000000006</v>
      </c>
      <c r="FC26" s="241">
        <v>30.12</v>
      </c>
      <c r="FD26" s="242">
        <v>36.28</v>
      </c>
      <c r="FE26" s="242"/>
      <c r="FF26" s="243"/>
      <c r="FG26" s="244">
        <f t="shared" si="20"/>
        <v>66.400000000000006</v>
      </c>
      <c r="FH26" s="241">
        <v>38.65</v>
      </c>
      <c r="FI26" s="242">
        <v>41.43</v>
      </c>
      <c r="FJ26" s="242"/>
      <c r="FK26" s="243"/>
      <c r="FL26" s="244">
        <f t="shared" si="21"/>
        <v>80.08</v>
      </c>
      <c r="FM26" s="241">
        <v>40.409999999999997</v>
      </c>
      <c r="FN26" s="242">
        <v>39.549999999999997</v>
      </c>
      <c r="FO26" s="242"/>
      <c r="FP26" s="243"/>
      <c r="FQ26" s="244">
        <f t="shared" si="22"/>
        <v>79.959999999999994</v>
      </c>
      <c r="FR26" s="241">
        <v>38.57</v>
      </c>
      <c r="FS26" s="242">
        <v>39.17</v>
      </c>
      <c r="FT26" s="242"/>
      <c r="FU26" s="243"/>
      <c r="FV26" s="244">
        <f t="shared" si="23"/>
        <v>77.740000000000009</v>
      </c>
      <c r="FW26" s="241">
        <v>37.03</v>
      </c>
      <c r="FX26" s="242">
        <v>32.01</v>
      </c>
      <c r="FY26" s="242"/>
      <c r="FZ26" s="243"/>
      <c r="GA26" s="244">
        <f t="shared" si="24"/>
        <v>69.039999999999992</v>
      </c>
      <c r="GB26" s="241">
        <v>27.48</v>
      </c>
      <c r="GC26" s="242">
        <v>24.71</v>
      </c>
      <c r="GD26" s="242"/>
      <c r="GE26" s="243"/>
      <c r="GF26" s="244">
        <f t="shared" si="25"/>
        <v>52.19</v>
      </c>
      <c r="GG26" s="76">
        <v>25.52</v>
      </c>
      <c r="GH26" s="77">
        <v>20.25</v>
      </c>
      <c r="GI26" s="77"/>
      <c r="GJ26" s="78"/>
      <c r="GK26" s="244">
        <f t="shared" si="26"/>
        <v>45.769999999999996</v>
      </c>
      <c r="GL26" s="241">
        <v>16</v>
      </c>
      <c r="GM26" s="242">
        <v>10.55</v>
      </c>
      <c r="GN26" s="242"/>
      <c r="GO26" s="243"/>
      <c r="GP26" s="244">
        <f t="shared" si="27"/>
        <v>26.55</v>
      </c>
      <c r="GQ26" s="241">
        <v>13.09</v>
      </c>
      <c r="GR26" s="242">
        <v>8.3699999999999992</v>
      </c>
      <c r="GS26" s="242"/>
      <c r="GT26" s="243"/>
      <c r="GU26" s="244">
        <f t="shared" si="28"/>
        <v>21.46</v>
      </c>
      <c r="GV26" s="241">
        <v>22.98</v>
      </c>
      <c r="GW26" s="242">
        <v>34.08</v>
      </c>
      <c r="GX26" s="242"/>
      <c r="GY26" s="243"/>
      <c r="GZ26" s="244">
        <f t="shared" si="29"/>
        <v>57.06</v>
      </c>
      <c r="HA26" s="241">
        <v>29.02</v>
      </c>
      <c r="HB26" s="242">
        <v>28</v>
      </c>
      <c r="HC26" s="242"/>
      <c r="HD26" s="243"/>
      <c r="HE26" s="244">
        <f t="shared" si="30"/>
        <v>57.019999999999996</v>
      </c>
      <c r="HF26" s="241">
        <v>27.28</v>
      </c>
      <c r="HG26" s="242">
        <v>32.26</v>
      </c>
      <c r="HH26" s="242"/>
      <c r="HI26" s="243"/>
      <c r="HJ26" s="244">
        <f t="shared" si="31"/>
        <v>59.54</v>
      </c>
      <c r="HK26" s="241">
        <v>33.229999999999997</v>
      </c>
      <c r="HL26" s="242">
        <v>29.44</v>
      </c>
      <c r="HM26" s="242"/>
      <c r="HN26" s="243"/>
      <c r="HO26" s="244">
        <f t="shared" si="32"/>
        <v>62.67</v>
      </c>
      <c r="HP26" s="241">
        <v>40.450000000000003</v>
      </c>
      <c r="HQ26" s="242">
        <v>73.62</v>
      </c>
      <c r="HR26" s="242"/>
      <c r="HS26" s="243"/>
      <c r="HT26" s="244">
        <f t="shared" si="33"/>
        <v>114.07000000000001</v>
      </c>
      <c r="HU26" s="241">
        <v>78.14</v>
      </c>
      <c r="HV26" s="269"/>
      <c r="HW26" s="242"/>
      <c r="HX26" s="243"/>
      <c r="HY26" s="244">
        <f t="shared" si="34"/>
        <v>78.14</v>
      </c>
      <c r="HZ26" s="241">
        <v>74.97</v>
      </c>
      <c r="IA26" s="242">
        <v>45.7</v>
      </c>
      <c r="IB26" s="242"/>
      <c r="IC26" s="243"/>
      <c r="ID26" s="244">
        <f t="shared" si="35"/>
        <v>120.67</v>
      </c>
      <c r="IE26" s="233">
        <v>44.69</v>
      </c>
      <c r="IF26" s="234">
        <v>30.02</v>
      </c>
      <c r="IG26" s="234"/>
      <c r="IH26" s="235"/>
      <c r="II26" s="232">
        <f t="shared" si="36"/>
        <v>74.709999999999994</v>
      </c>
      <c r="IJ26" s="233">
        <v>28.85</v>
      </c>
      <c r="IK26" s="234">
        <v>35.46</v>
      </c>
      <c r="IL26" s="234">
        <v>32.58</v>
      </c>
      <c r="IM26" s="235"/>
      <c r="IN26" s="232">
        <f t="shared" si="37"/>
        <v>96.89</v>
      </c>
      <c r="IO26" s="69">
        <v>35.18</v>
      </c>
      <c r="IP26" s="79"/>
      <c r="IQ26" s="70"/>
      <c r="IR26" s="71"/>
      <c r="IS26" s="73">
        <f t="shared" si="38"/>
        <v>35.18</v>
      </c>
      <c r="IT26" s="69">
        <v>44.62</v>
      </c>
      <c r="IU26" s="70">
        <v>34.03</v>
      </c>
      <c r="IV26" s="70"/>
      <c r="IW26" s="71"/>
      <c r="IX26" s="73">
        <f t="shared" si="39"/>
        <v>78.650000000000006</v>
      </c>
      <c r="IY26" s="69">
        <v>27.41</v>
      </c>
      <c r="IZ26" s="70">
        <v>28.79</v>
      </c>
      <c r="JA26" s="70"/>
      <c r="JB26" s="71"/>
      <c r="JC26" s="73">
        <f t="shared" si="40"/>
        <v>56.2</v>
      </c>
      <c r="JD26" s="69">
        <v>48.38</v>
      </c>
      <c r="JE26" s="79"/>
      <c r="JF26" s="70"/>
      <c r="JG26" s="71"/>
      <c r="JH26" s="73">
        <f t="shared" si="41"/>
        <v>48.38</v>
      </c>
      <c r="JI26" s="69">
        <v>22.92</v>
      </c>
      <c r="JJ26" s="70">
        <v>16.239999999999998</v>
      </c>
      <c r="JK26" s="70">
        <v>23.17</v>
      </c>
      <c r="JL26" s="71"/>
      <c r="JM26" s="73">
        <f t="shared" si="42"/>
        <v>62.33</v>
      </c>
      <c r="JN26" s="69">
        <v>26.71</v>
      </c>
      <c r="JO26" s="70">
        <v>25.56</v>
      </c>
      <c r="JP26" s="70">
        <v>19.57</v>
      </c>
      <c r="JQ26" s="71"/>
      <c r="JR26" s="73">
        <f t="shared" si="43"/>
        <v>71.84</v>
      </c>
      <c r="JS26" s="69">
        <v>46.18</v>
      </c>
      <c r="JT26" s="70">
        <v>29.4</v>
      </c>
      <c r="JU26" s="70"/>
      <c r="JV26" s="71"/>
      <c r="JW26" s="73">
        <f t="shared" si="44"/>
        <v>75.58</v>
      </c>
      <c r="JX26" s="69">
        <v>33.549999999999997</v>
      </c>
      <c r="JY26" s="70">
        <v>34.33</v>
      </c>
      <c r="JZ26" s="70"/>
      <c r="KA26" s="71"/>
      <c r="KB26" s="73">
        <v>67.88</v>
      </c>
      <c r="KC26" s="69">
        <v>29.86</v>
      </c>
      <c r="KD26" s="70">
        <v>34.950000000000003</v>
      </c>
      <c r="KE26" s="70">
        <v>0</v>
      </c>
      <c r="KF26" s="71">
        <v>0</v>
      </c>
      <c r="KG26" s="73">
        <v>64.81</v>
      </c>
      <c r="KH26" s="69">
        <v>41.78</v>
      </c>
      <c r="KI26" s="70">
        <v>48.11</v>
      </c>
      <c r="KJ26" s="70"/>
      <c r="KK26" s="71"/>
      <c r="KL26" s="73">
        <v>89.89</v>
      </c>
      <c r="KM26" s="479">
        <v>48.36</v>
      </c>
      <c r="KN26" s="480">
        <v>54.98</v>
      </c>
      <c r="KO26" s="70">
        <v>0</v>
      </c>
      <c r="KP26" s="71">
        <v>0</v>
      </c>
      <c r="KQ26" s="73">
        <f t="shared" si="45"/>
        <v>103.34</v>
      </c>
      <c r="KR26" s="69">
        <v>43.17</v>
      </c>
      <c r="KS26" s="70">
        <v>0</v>
      </c>
      <c r="KT26" s="70">
        <v>0</v>
      </c>
      <c r="KU26" s="71">
        <v>0</v>
      </c>
      <c r="KV26" s="73">
        <f t="shared" si="46"/>
        <v>43.17</v>
      </c>
    </row>
    <row r="27" spans="1:308" ht="16.5" thickBot="1" x14ac:dyDescent="0.3">
      <c r="A27" s="189"/>
      <c r="B27" s="88">
        <v>18</v>
      </c>
      <c r="C27" s="84">
        <v>40.799999999999997</v>
      </c>
      <c r="D27" s="57">
        <v>40.49</v>
      </c>
      <c r="E27" s="58">
        <v>36.4</v>
      </c>
      <c r="F27" s="59"/>
      <c r="G27" s="60"/>
      <c r="H27" s="61">
        <f t="shared" si="5"/>
        <v>76.89</v>
      </c>
      <c r="I27" s="62"/>
      <c r="J27" s="63"/>
      <c r="K27" s="63"/>
      <c r="L27" s="64"/>
      <c r="M27" s="33">
        <f t="shared" si="6"/>
        <v>0</v>
      </c>
      <c r="N27" s="62">
        <v>64.66</v>
      </c>
      <c r="O27" s="63"/>
      <c r="P27" s="63"/>
      <c r="Q27" s="64"/>
      <c r="R27" s="33">
        <f t="shared" si="0"/>
        <v>64.66</v>
      </c>
      <c r="S27" s="62">
        <v>33.83</v>
      </c>
      <c r="T27" s="63">
        <v>30.13</v>
      </c>
      <c r="U27" s="63"/>
      <c r="V27" s="64"/>
      <c r="W27" s="33">
        <f t="shared" si="1"/>
        <v>63.959999999999994</v>
      </c>
      <c r="X27" s="62">
        <v>38.04</v>
      </c>
      <c r="Y27" s="63"/>
      <c r="Z27" s="63"/>
      <c r="AA27" s="64"/>
      <c r="AB27" s="33">
        <f t="shared" si="7"/>
        <v>38.04</v>
      </c>
      <c r="AC27" s="65">
        <v>37.71</v>
      </c>
      <c r="AD27" s="66">
        <v>29.85</v>
      </c>
      <c r="AE27" s="66"/>
      <c r="AF27" s="67"/>
      <c r="AG27" s="37">
        <f t="shared" si="8"/>
        <v>67.56</v>
      </c>
      <c r="AH27" s="65">
        <f>38.93+3.05</f>
        <v>41.98</v>
      </c>
      <c r="AI27" s="66"/>
      <c r="AJ27" s="87"/>
      <c r="AK27" s="67"/>
      <c r="AL27" s="68">
        <f t="shared" si="47"/>
        <v>41.98</v>
      </c>
      <c r="AM27" s="69">
        <v>49.07</v>
      </c>
      <c r="AN27" s="70">
        <v>46.384999999999998</v>
      </c>
      <c r="AO27" s="70"/>
      <c r="AP27" s="71"/>
      <c r="AQ27" s="72">
        <f t="shared" si="48"/>
        <v>95.454999999999998</v>
      </c>
      <c r="AR27" s="69">
        <v>51.22</v>
      </c>
      <c r="AS27" s="70">
        <v>15.25</v>
      </c>
      <c r="AT27" s="70">
        <v>19.22</v>
      </c>
      <c r="AU27" s="71"/>
      <c r="AV27" s="73">
        <f t="shared" si="49"/>
        <v>85.69</v>
      </c>
      <c r="AW27" s="69">
        <v>37.96</v>
      </c>
      <c r="AX27" s="70">
        <v>50.97</v>
      </c>
      <c r="AY27" s="70"/>
      <c r="AZ27" s="71"/>
      <c r="BA27" s="73">
        <f t="shared" ref="BA27:BA32" si="57">SUM(AW27:AZ27)</f>
        <v>88.93</v>
      </c>
      <c r="BB27" s="69">
        <f>42.65+4.2</f>
        <v>46.85</v>
      </c>
      <c r="BC27" s="70">
        <v>12.32</v>
      </c>
      <c r="BD27" s="70"/>
      <c r="BE27" s="71"/>
      <c r="BF27" s="73">
        <f t="shared" ref="BF27:BF32" si="58">SUM(BB27:BE27)</f>
        <v>59.17</v>
      </c>
      <c r="BG27" s="69">
        <f>29.52+2.19</f>
        <v>31.71</v>
      </c>
      <c r="BH27" s="70">
        <v>48.47</v>
      </c>
      <c r="BI27" s="70"/>
      <c r="BJ27" s="74"/>
      <c r="BK27" s="73">
        <f t="shared" si="51"/>
        <v>80.180000000000007</v>
      </c>
      <c r="BL27" s="69">
        <f>44.7+3.43</f>
        <v>48.13</v>
      </c>
      <c r="BM27" s="70">
        <v>31.03</v>
      </c>
      <c r="BN27" s="70"/>
      <c r="BO27" s="74"/>
      <c r="BP27" s="72">
        <f t="shared" si="52"/>
        <v>79.16</v>
      </c>
      <c r="BQ27" s="69">
        <f>21.27+1.56</f>
        <v>22.83</v>
      </c>
      <c r="BR27" s="70">
        <v>19.899999999999999</v>
      </c>
      <c r="BS27" s="70">
        <v>6.76</v>
      </c>
      <c r="BT27" s="71"/>
      <c r="BU27" s="232">
        <f t="shared" si="9"/>
        <v>49.489999999999995</v>
      </c>
      <c r="BV27" s="233">
        <v>3.46</v>
      </c>
      <c r="BW27" s="234">
        <v>12.25</v>
      </c>
      <c r="BX27" s="234">
        <v>15.06</v>
      </c>
      <c r="BY27" s="235"/>
      <c r="BZ27" s="236">
        <f t="shared" si="10"/>
        <v>30.770000000000003</v>
      </c>
      <c r="CA27" s="237">
        <v>14.89</v>
      </c>
      <c r="CB27" s="238">
        <v>15.63</v>
      </c>
      <c r="CC27" s="238">
        <v>10.63</v>
      </c>
      <c r="CD27" s="239"/>
      <c r="CE27" s="240">
        <f t="shared" si="53"/>
        <v>41.150000000000006</v>
      </c>
      <c r="CF27" s="237">
        <v>17.2</v>
      </c>
      <c r="CG27" s="238">
        <v>20.69</v>
      </c>
      <c r="CH27" s="238"/>
      <c r="CI27" s="239"/>
      <c r="CJ27" s="240">
        <f t="shared" si="54"/>
        <v>37.89</v>
      </c>
      <c r="CK27" s="237">
        <v>29.61</v>
      </c>
      <c r="CL27" s="238">
        <v>31.08</v>
      </c>
      <c r="CM27" s="238"/>
      <c r="CN27" s="239"/>
      <c r="CO27" s="240">
        <f t="shared" si="55"/>
        <v>60.69</v>
      </c>
      <c r="CP27" s="241">
        <v>26</v>
      </c>
      <c r="CQ27" s="242">
        <v>26.84</v>
      </c>
      <c r="CR27" s="242">
        <v>29.12</v>
      </c>
      <c r="CS27" s="243"/>
      <c r="CT27" s="244">
        <v>81.960000000000008</v>
      </c>
      <c r="CU27" s="241">
        <v>47.95</v>
      </c>
      <c r="CV27" s="242"/>
      <c r="CW27" s="242"/>
      <c r="CX27" s="243"/>
      <c r="CY27" s="244">
        <f t="shared" si="2"/>
        <v>47.95</v>
      </c>
      <c r="CZ27" s="241">
        <v>65.5</v>
      </c>
      <c r="DA27" s="242"/>
      <c r="DB27" s="242"/>
      <c r="DC27" s="243"/>
      <c r="DD27" s="244">
        <f t="shared" si="3"/>
        <v>65.5</v>
      </c>
      <c r="DE27" s="241">
        <v>71.73</v>
      </c>
      <c r="DF27" s="242"/>
      <c r="DG27" s="242"/>
      <c r="DH27" s="243"/>
      <c r="DI27" s="244">
        <f t="shared" si="4"/>
        <v>71.73</v>
      </c>
      <c r="DJ27" s="241">
        <v>66.47</v>
      </c>
      <c r="DK27" s="242"/>
      <c r="DL27" s="242"/>
      <c r="DM27" s="243"/>
      <c r="DN27" s="244">
        <f t="shared" si="11"/>
        <v>66.47</v>
      </c>
      <c r="DO27" s="241">
        <v>87.02</v>
      </c>
      <c r="DP27" s="242"/>
      <c r="DQ27" s="242"/>
      <c r="DR27" s="243"/>
      <c r="DS27" s="244">
        <f t="shared" si="12"/>
        <v>87.02</v>
      </c>
      <c r="DT27" s="241">
        <v>67.2</v>
      </c>
      <c r="DU27" s="242"/>
      <c r="DV27" s="242"/>
      <c r="DW27" s="243"/>
      <c r="DX27" s="244">
        <f t="shared" si="13"/>
        <v>67.2</v>
      </c>
      <c r="DY27" s="76">
        <v>48.68</v>
      </c>
      <c r="DZ27" s="77">
        <v>33.08</v>
      </c>
      <c r="EA27" s="77"/>
      <c r="EB27" s="78"/>
      <c r="EC27" s="244">
        <f t="shared" si="14"/>
        <v>81.759999999999991</v>
      </c>
      <c r="ED27" s="241">
        <v>25.67</v>
      </c>
      <c r="EE27" s="242">
        <v>23.64</v>
      </c>
      <c r="EF27" s="242"/>
      <c r="EG27" s="243"/>
      <c r="EH27" s="244">
        <f t="shared" si="15"/>
        <v>49.31</v>
      </c>
      <c r="EI27" s="241">
        <v>30.29</v>
      </c>
      <c r="EJ27" s="242"/>
      <c r="EK27" s="242"/>
      <c r="EL27" s="243"/>
      <c r="EM27" s="244">
        <f t="shared" si="16"/>
        <v>30.29</v>
      </c>
      <c r="EN27" s="241">
        <v>30.95</v>
      </c>
      <c r="EO27" s="242">
        <v>33.42</v>
      </c>
      <c r="EP27" s="242"/>
      <c r="EQ27" s="243"/>
      <c r="ER27" s="244">
        <f t="shared" si="17"/>
        <v>64.37</v>
      </c>
      <c r="ES27" s="241">
        <v>23.68</v>
      </c>
      <c r="ET27" s="242">
        <v>19.48</v>
      </c>
      <c r="EU27" s="242"/>
      <c r="EV27" s="243"/>
      <c r="EW27" s="244">
        <f t="shared" si="18"/>
        <v>43.16</v>
      </c>
      <c r="EX27" s="241">
        <v>32.229999999999997</v>
      </c>
      <c r="EY27" s="242">
        <v>26.55</v>
      </c>
      <c r="EZ27" s="242"/>
      <c r="FA27" s="243"/>
      <c r="FB27" s="244">
        <f t="shared" si="19"/>
        <v>58.78</v>
      </c>
      <c r="FC27" s="241">
        <v>31.28</v>
      </c>
      <c r="FD27" s="242">
        <v>31.13</v>
      </c>
      <c r="FE27" s="242"/>
      <c r="FF27" s="243"/>
      <c r="FG27" s="244">
        <f t="shared" si="20"/>
        <v>62.41</v>
      </c>
      <c r="FH27" s="241">
        <v>28.93</v>
      </c>
      <c r="FI27" s="242">
        <v>26.18</v>
      </c>
      <c r="FJ27" s="242"/>
      <c r="FK27" s="243"/>
      <c r="FL27" s="244">
        <f t="shared" si="21"/>
        <v>55.11</v>
      </c>
      <c r="FM27" s="241">
        <v>31.79</v>
      </c>
      <c r="FN27" s="242">
        <v>37.08</v>
      </c>
      <c r="FO27" s="242"/>
      <c r="FP27" s="243"/>
      <c r="FQ27" s="244">
        <f t="shared" si="22"/>
        <v>68.87</v>
      </c>
      <c r="FR27" s="241">
        <v>45.43</v>
      </c>
      <c r="FS27" s="242">
        <v>36.36</v>
      </c>
      <c r="FT27" s="242"/>
      <c r="FU27" s="243"/>
      <c r="FV27" s="244">
        <f t="shared" si="23"/>
        <v>81.789999999999992</v>
      </c>
      <c r="FW27" s="241">
        <v>47.18</v>
      </c>
      <c r="FX27" s="242">
        <v>10.97</v>
      </c>
      <c r="FY27" s="242"/>
      <c r="FZ27" s="243"/>
      <c r="GA27" s="244">
        <f t="shared" si="24"/>
        <v>58.15</v>
      </c>
      <c r="GB27" s="241">
        <v>22.99</v>
      </c>
      <c r="GC27" s="242">
        <v>37.25</v>
      </c>
      <c r="GD27" s="242"/>
      <c r="GE27" s="243"/>
      <c r="GF27" s="244">
        <f t="shared" si="25"/>
        <v>60.239999999999995</v>
      </c>
      <c r="GG27" s="76">
        <v>35.35</v>
      </c>
      <c r="GH27" s="77">
        <v>22.66</v>
      </c>
      <c r="GI27" s="77"/>
      <c r="GJ27" s="78"/>
      <c r="GK27" s="244">
        <f t="shared" si="26"/>
        <v>58.010000000000005</v>
      </c>
      <c r="GL27" s="241">
        <v>19.2</v>
      </c>
      <c r="GM27" s="242">
        <v>19.02</v>
      </c>
      <c r="GN27" s="242"/>
      <c r="GO27" s="243"/>
      <c r="GP27" s="244">
        <f t="shared" si="27"/>
        <v>38.22</v>
      </c>
      <c r="GQ27" s="241">
        <v>14.81</v>
      </c>
      <c r="GR27" s="242">
        <v>15.68</v>
      </c>
      <c r="GS27" s="242"/>
      <c r="GT27" s="243"/>
      <c r="GU27" s="244">
        <f t="shared" si="28"/>
        <v>30.490000000000002</v>
      </c>
      <c r="GV27" s="241">
        <v>28.36</v>
      </c>
      <c r="GW27" s="242">
        <v>26.78</v>
      </c>
      <c r="GX27" s="242"/>
      <c r="GY27" s="243"/>
      <c r="GZ27" s="244">
        <f t="shared" si="29"/>
        <v>55.14</v>
      </c>
      <c r="HA27" s="241">
        <v>23.51</v>
      </c>
      <c r="HB27" s="242">
        <v>22.56</v>
      </c>
      <c r="HC27" s="242"/>
      <c r="HD27" s="243"/>
      <c r="HE27" s="244">
        <f t="shared" si="30"/>
        <v>46.07</v>
      </c>
      <c r="HF27" s="241">
        <v>21.31</v>
      </c>
      <c r="HG27" s="242">
        <v>19.22</v>
      </c>
      <c r="HH27" s="242"/>
      <c r="HI27" s="243"/>
      <c r="HJ27" s="244">
        <f t="shared" si="31"/>
        <v>40.53</v>
      </c>
      <c r="HK27" s="241">
        <v>23.65</v>
      </c>
      <c r="HL27" s="242">
        <v>19.25</v>
      </c>
      <c r="HM27" s="242">
        <v>16.86</v>
      </c>
      <c r="HN27" s="243"/>
      <c r="HO27" s="244">
        <f t="shared" si="32"/>
        <v>59.76</v>
      </c>
      <c r="HP27" s="241">
        <v>27.26</v>
      </c>
      <c r="HQ27" s="242">
        <v>36.840000000000003</v>
      </c>
      <c r="HR27" s="242"/>
      <c r="HS27" s="243"/>
      <c r="HT27" s="244">
        <f t="shared" si="33"/>
        <v>64.100000000000009</v>
      </c>
      <c r="HU27" s="241">
        <v>50.79</v>
      </c>
      <c r="HV27" s="242">
        <v>28.25</v>
      </c>
      <c r="HW27" s="242"/>
      <c r="HX27" s="243"/>
      <c r="HY27" s="244">
        <f t="shared" si="34"/>
        <v>79.039999999999992</v>
      </c>
      <c r="HZ27" s="241">
        <v>38.35</v>
      </c>
      <c r="IA27" s="242">
        <v>70.31</v>
      </c>
      <c r="IB27" s="242"/>
      <c r="IC27" s="243"/>
      <c r="ID27" s="244">
        <f t="shared" si="35"/>
        <v>108.66</v>
      </c>
      <c r="IE27" s="233">
        <f>43.51+4.14</f>
        <v>47.65</v>
      </c>
      <c r="IF27" s="234">
        <v>7.08</v>
      </c>
      <c r="IG27" s="234"/>
      <c r="IH27" s="235"/>
      <c r="II27" s="232">
        <f t="shared" si="36"/>
        <v>54.73</v>
      </c>
      <c r="IJ27" s="233">
        <v>45.2</v>
      </c>
      <c r="IK27" s="234">
        <v>32.75</v>
      </c>
      <c r="IL27" s="234">
        <v>24.38</v>
      </c>
      <c r="IM27" s="235"/>
      <c r="IN27" s="232">
        <f t="shared" si="37"/>
        <v>102.33</v>
      </c>
      <c r="IO27" s="69">
        <v>54.83</v>
      </c>
      <c r="IP27" s="79"/>
      <c r="IQ27" s="70"/>
      <c r="IR27" s="71"/>
      <c r="IS27" s="73">
        <f t="shared" si="38"/>
        <v>54.83</v>
      </c>
      <c r="IT27" s="69">
        <v>52.43</v>
      </c>
      <c r="IU27" s="79"/>
      <c r="IV27" s="70"/>
      <c r="IW27" s="71"/>
      <c r="IX27" s="73">
        <f t="shared" si="39"/>
        <v>52.43</v>
      </c>
      <c r="IY27" s="69">
        <v>23.96</v>
      </c>
      <c r="IZ27" s="70">
        <v>21.24</v>
      </c>
      <c r="JA27" s="70"/>
      <c r="JB27" s="71"/>
      <c r="JC27" s="73">
        <f t="shared" si="40"/>
        <v>45.2</v>
      </c>
      <c r="JD27" s="69">
        <v>40.51</v>
      </c>
      <c r="JE27" s="70">
        <v>25.2</v>
      </c>
      <c r="JF27" s="70"/>
      <c r="JG27" s="71"/>
      <c r="JH27" s="73">
        <f t="shared" si="41"/>
        <v>65.709999999999994</v>
      </c>
      <c r="JI27" s="69">
        <v>11.83</v>
      </c>
      <c r="JJ27" s="70">
        <v>25.41</v>
      </c>
      <c r="JK27" s="70">
        <v>23.67</v>
      </c>
      <c r="JL27" s="71"/>
      <c r="JM27" s="73">
        <f t="shared" si="42"/>
        <v>60.910000000000004</v>
      </c>
      <c r="JN27" s="69">
        <v>32.200000000000003</v>
      </c>
      <c r="JO27" s="70">
        <v>20.95</v>
      </c>
      <c r="JP27" s="70"/>
      <c r="JQ27" s="71"/>
      <c r="JR27" s="73">
        <f t="shared" si="43"/>
        <v>53.150000000000006</v>
      </c>
      <c r="JS27" s="69">
        <v>24.78</v>
      </c>
      <c r="JT27" s="70">
        <v>24.36</v>
      </c>
      <c r="JU27" s="70">
        <v>20.52</v>
      </c>
      <c r="JV27" s="71"/>
      <c r="JW27" s="73">
        <f t="shared" si="44"/>
        <v>69.66</v>
      </c>
      <c r="JX27" s="69">
        <v>28.58</v>
      </c>
      <c r="JY27" s="70">
        <v>35.229999999999997</v>
      </c>
      <c r="JZ27" s="70"/>
      <c r="KA27" s="71"/>
      <c r="KB27" s="73">
        <v>63.809999999999995</v>
      </c>
      <c r="KC27" s="69">
        <v>25.82</v>
      </c>
      <c r="KD27" s="70">
        <v>43.61</v>
      </c>
      <c r="KE27" s="70">
        <v>0</v>
      </c>
      <c r="KF27" s="71">
        <v>0</v>
      </c>
      <c r="KG27" s="73">
        <v>69.430000000000007</v>
      </c>
      <c r="KH27" s="69">
        <v>33.340000000000003</v>
      </c>
      <c r="KI27" s="70">
        <v>44.74</v>
      </c>
      <c r="KJ27" s="70"/>
      <c r="KK27" s="71"/>
      <c r="KL27" s="73">
        <v>78.080000000000013</v>
      </c>
      <c r="KM27" s="479">
        <v>52.94</v>
      </c>
      <c r="KN27" s="480">
        <v>48.63</v>
      </c>
      <c r="KO27" s="70">
        <v>0</v>
      </c>
      <c r="KP27" s="71">
        <v>0</v>
      </c>
      <c r="KQ27" s="73">
        <f t="shared" si="45"/>
        <v>101.57</v>
      </c>
      <c r="KR27" s="69">
        <v>45.21</v>
      </c>
      <c r="KS27" s="70">
        <v>40.72</v>
      </c>
      <c r="KT27" s="70">
        <v>0</v>
      </c>
      <c r="KU27" s="71">
        <v>0</v>
      </c>
      <c r="KV27" s="73">
        <f t="shared" si="46"/>
        <v>85.93</v>
      </c>
    </row>
    <row r="28" spans="1:308" ht="15.75" x14ac:dyDescent="0.25">
      <c r="A28" s="91" t="s">
        <v>23</v>
      </c>
      <c r="B28" s="23">
        <v>19</v>
      </c>
      <c r="C28" s="86">
        <v>50.62</v>
      </c>
      <c r="D28" s="57">
        <v>39.82</v>
      </c>
      <c r="E28" s="58">
        <v>42.11</v>
      </c>
      <c r="F28" s="59"/>
      <c r="G28" s="60"/>
      <c r="H28" s="61">
        <f t="shared" si="5"/>
        <v>81.93</v>
      </c>
      <c r="I28" s="62">
        <v>44.96</v>
      </c>
      <c r="J28" s="63"/>
      <c r="K28" s="63"/>
      <c r="L28" s="64"/>
      <c r="M28" s="33">
        <f t="shared" si="6"/>
        <v>44.96</v>
      </c>
      <c r="N28" s="62">
        <v>56.07</v>
      </c>
      <c r="O28" s="63"/>
      <c r="P28" s="63"/>
      <c r="Q28" s="64"/>
      <c r="R28" s="33">
        <f t="shared" si="0"/>
        <v>56.07</v>
      </c>
      <c r="S28" s="62">
        <v>50.03</v>
      </c>
      <c r="T28" s="63">
        <v>15.32</v>
      </c>
      <c r="U28" s="63"/>
      <c r="V28" s="64"/>
      <c r="W28" s="33">
        <f t="shared" si="1"/>
        <v>65.349999999999994</v>
      </c>
      <c r="X28" s="62">
        <v>31.53</v>
      </c>
      <c r="Y28" s="63">
        <v>37.4</v>
      </c>
      <c r="Z28" s="63">
        <v>27.47</v>
      </c>
      <c r="AA28" s="64"/>
      <c r="AB28" s="33">
        <f t="shared" si="7"/>
        <v>96.4</v>
      </c>
      <c r="AC28" s="65">
        <v>26.2</v>
      </c>
      <c r="AD28" s="66">
        <v>28.01</v>
      </c>
      <c r="AE28" s="66"/>
      <c r="AF28" s="67"/>
      <c r="AG28" s="37">
        <f t="shared" si="8"/>
        <v>54.21</v>
      </c>
      <c r="AH28" s="65">
        <v>38.6</v>
      </c>
      <c r="AI28" s="66">
        <v>10.99</v>
      </c>
      <c r="AJ28" s="87">
        <v>30.85</v>
      </c>
      <c r="AK28" s="67"/>
      <c r="AL28" s="68">
        <f t="shared" si="47"/>
        <v>80.44</v>
      </c>
      <c r="AM28" s="69">
        <v>38.049999999999997</v>
      </c>
      <c r="AN28" s="70">
        <v>12.17</v>
      </c>
      <c r="AO28" s="70">
        <v>35.9</v>
      </c>
      <c r="AP28" s="71"/>
      <c r="AQ28" s="72">
        <f t="shared" si="48"/>
        <v>86.12</v>
      </c>
      <c r="AR28" s="69">
        <v>60.04</v>
      </c>
      <c r="AS28" s="70">
        <v>35.69</v>
      </c>
      <c r="AT28" s="70"/>
      <c r="AU28" s="71"/>
      <c r="AV28" s="73">
        <f t="shared" si="49"/>
        <v>95.72999999999999</v>
      </c>
      <c r="AW28" s="69">
        <v>70.959999999999994</v>
      </c>
      <c r="AX28" s="70"/>
      <c r="AY28" s="70"/>
      <c r="AZ28" s="71"/>
      <c r="BA28" s="73">
        <f t="shared" si="57"/>
        <v>70.959999999999994</v>
      </c>
      <c r="BB28" s="69">
        <v>62.18</v>
      </c>
      <c r="BC28" s="70"/>
      <c r="BD28" s="70"/>
      <c r="BE28" s="71"/>
      <c r="BF28" s="73">
        <f t="shared" si="58"/>
        <v>62.18</v>
      </c>
      <c r="BG28" s="69">
        <v>59.35</v>
      </c>
      <c r="BH28" s="70">
        <v>34.58</v>
      </c>
      <c r="BI28" s="70"/>
      <c r="BJ28" s="74"/>
      <c r="BK28" s="73">
        <f t="shared" si="51"/>
        <v>93.93</v>
      </c>
      <c r="BL28" s="69">
        <v>31.42</v>
      </c>
      <c r="BM28" s="70">
        <v>21.02</v>
      </c>
      <c r="BN28" s="70">
        <v>8.73</v>
      </c>
      <c r="BO28" s="74"/>
      <c r="BP28" s="72">
        <f t="shared" si="52"/>
        <v>61.17</v>
      </c>
      <c r="BQ28" s="69">
        <v>21.08</v>
      </c>
      <c r="BR28" s="70">
        <v>17.41</v>
      </c>
      <c r="BS28" s="70">
        <v>9.61</v>
      </c>
      <c r="BT28" s="71"/>
      <c r="BU28" s="232">
        <f t="shared" si="9"/>
        <v>48.099999999999994</v>
      </c>
      <c r="BV28" s="233">
        <v>17.399999999999999</v>
      </c>
      <c r="BW28" s="234">
        <v>17.649999999999999</v>
      </c>
      <c r="BX28" s="234"/>
      <c r="BY28" s="235"/>
      <c r="BZ28" s="236">
        <f t="shared" si="10"/>
        <v>35.049999999999997</v>
      </c>
      <c r="CA28" s="237">
        <v>21.82</v>
      </c>
      <c r="CB28" s="238">
        <v>22.04</v>
      </c>
      <c r="CC28" s="238">
        <v>3.44</v>
      </c>
      <c r="CD28" s="239"/>
      <c r="CE28" s="240">
        <f t="shared" si="53"/>
        <v>47.3</v>
      </c>
      <c r="CF28" s="237">
        <v>16.260000000000002</v>
      </c>
      <c r="CG28" s="238">
        <v>28.38</v>
      </c>
      <c r="CH28" s="238">
        <v>23.79</v>
      </c>
      <c r="CI28" s="239"/>
      <c r="CJ28" s="240">
        <f t="shared" si="54"/>
        <v>68.430000000000007</v>
      </c>
      <c r="CK28" s="237">
        <v>27.92</v>
      </c>
      <c r="CL28" s="238">
        <v>26.18</v>
      </c>
      <c r="CM28" s="238"/>
      <c r="CN28" s="239"/>
      <c r="CO28" s="240">
        <f t="shared" si="55"/>
        <v>54.1</v>
      </c>
      <c r="CP28" s="241">
        <v>18.850000000000001</v>
      </c>
      <c r="CQ28" s="242">
        <v>28.53</v>
      </c>
      <c r="CR28" s="242">
        <v>18.62</v>
      </c>
      <c r="CS28" s="243"/>
      <c r="CT28" s="244">
        <v>66</v>
      </c>
      <c r="CU28" s="241">
        <v>11.32</v>
      </c>
      <c r="CV28" s="242">
        <v>36.47</v>
      </c>
      <c r="CW28" s="242">
        <v>40.380000000000003</v>
      </c>
      <c r="CX28" s="243"/>
      <c r="CY28" s="244">
        <f t="shared" si="2"/>
        <v>88.17</v>
      </c>
      <c r="CZ28" s="241">
        <v>47.61</v>
      </c>
      <c r="DA28" s="242">
        <v>41.79</v>
      </c>
      <c r="DB28" s="242"/>
      <c r="DC28" s="243"/>
      <c r="DD28" s="244">
        <f t="shared" si="3"/>
        <v>89.4</v>
      </c>
      <c r="DE28" s="241">
        <v>32.35</v>
      </c>
      <c r="DF28" s="242">
        <v>29.97</v>
      </c>
      <c r="DG28" s="242"/>
      <c r="DH28" s="243"/>
      <c r="DI28" s="244">
        <f t="shared" si="4"/>
        <v>62.32</v>
      </c>
      <c r="DJ28" s="241">
        <v>59.42</v>
      </c>
      <c r="DK28" s="242">
        <v>50.5</v>
      </c>
      <c r="DL28" s="242"/>
      <c r="DM28" s="243"/>
      <c r="DN28" s="244">
        <f t="shared" si="11"/>
        <v>109.92</v>
      </c>
      <c r="DO28" s="241">
        <v>37.68</v>
      </c>
      <c r="DP28" s="242">
        <v>30.31</v>
      </c>
      <c r="DQ28" s="242"/>
      <c r="DR28" s="243"/>
      <c r="DS28" s="244">
        <f t="shared" si="12"/>
        <v>67.989999999999995</v>
      </c>
      <c r="DT28" s="241">
        <v>44.95</v>
      </c>
      <c r="DU28" s="242">
        <v>37.58</v>
      </c>
      <c r="DV28" s="242"/>
      <c r="DW28" s="243"/>
      <c r="DX28" s="244">
        <f t="shared" si="13"/>
        <v>82.53</v>
      </c>
      <c r="DY28" s="76">
        <v>30.76</v>
      </c>
      <c r="DZ28" s="77">
        <v>23.94</v>
      </c>
      <c r="EA28" s="77"/>
      <c r="EB28" s="78"/>
      <c r="EC28" s="244">
        <f t="shared" si="14"/>
        <v>54.7</v>
      </c>
      <c r="ED28" s="241">
        <v>29.28</v>
      </c>
      <c r="EE28" s="242">
        <v>28.183</v>
      </c>
      <c r="EF28" s="242"/>
      <c r="EG28" s="243"/>
      <c r="EH28" s="244">
        <f t="shared" si="15"/>
        <v>57.463000000000001</v>
      </c>
      <c r="EI28" s="241">
        <v>42.13</v>
      </c>
      <c r="EJ28" s="242"/>
      <c r="EK28" s="242"/>
      <c r="EL28" s="243"/>
      <c r="EM28" s="244">
        <f t="shared" si="16"/>
        <v>42.13</v>
      </c>
      <c r="EN28" s="241">
        <v>35.29</v>
      </c>
      <c r="EO28" s="242">
        <v>23.19</v>
      </c>
      <c r="EP28" s="242">
        <v>12.31</v>
      </c>
      <c r="EQ28" s="243"/>
      <c r="ER28" s="244">
        <f t="shared" si="17"/>
        <v>70.790000000000006</v>
      </c>
      <c r="ES28" s="241">
        <v>29.74</v>
      </c>
      <c r="ET28" s="242">
        <v>35.36</v>
      </c>
      <c r="EU28" s="242">
        <v>28.91</v>
      </c>
      <c r="EV28" s="243"/>
      <c r="EW28" s="244">
        <f t="shared" si="18"/>
        <v>94.009999999999991</v>
      </c>
      <c r="EX28" s="241">
        <v>40.9</v>
      </c>
      <c r="EY28" s="242">
        <v>33.54</v>
      </c>
      <c r="EZ28" s="242"/>
      <c r="FA28" s="243"/>
      <c r="FB28" s="244">
        <f t="shared" si="19"/>
        <v>74.44</v>
      </c>
      <c r="FC28" s="241">
        <v>50.95</v>
      </c>
      <c r="FD28" s="242">
        <v>36.9</v>
      </c>
      <c r="FE28" s="242"/>
      <c r="FF28" s="243"/>
      <c r="FG28" s="244">
        <f t="shared" si="20"/>
        <v>87.85</v>
      </c>
      <c r="FH28" s="241">
        <v>39.93</v>
      </c>
      <c r="FI28" s="242">
        <v>3.43</v>
      </c>
      <c r="FJ28" s="242"/>
      <c r="FK28" s="243"/>
      <c r="FL28" s="244">
        <f t="shared" si="21"/>
        <v>43.36</v>
      </c>
      <c r="FM28" s="241">
        <v>38.369999999999997</v>
      </c>
      <c r="FN28" s="242">
        <v>42.72</v>
      </c>
      <c r="FO28" s="242"/>
      <c r="FP28" s="243"/>
      <c r="FQ28" s="244">
        <f t="shared" si="22"/>
        <v>81.09</v>
      </c>
      <c r="FR28" s="241">
        <v>35.32</v>
      </c>
      <c r="FS28" s="242">
        <v>40.729999999999997</v>
      </c>
      <c r="FT28" s="242"/>
      <c r="FU28" s="243"/>
      <c r="FV28" s="244">
        <f t="shared" si="23"/>
        <v>76.05</v>
      </c>
      <c r="FW28" s="241">
        <v>36.119999999999997</v>
      </c>
      <c r="FX28" s="242">
        <v>42.68</v>
      </c>
      <c r="FY28" s="242"/>
      <c r="FZ28" s="243"/>
      <c r="GA28" s="244">
        <f t="shared" si="24"/>
        <v>78.8</v>
      </c>
      <c r="GB28" s="241">
        <v>32.35</v>
      </c>
      <c r="GC28" s="242">
        <v>26.49</v>
      </c>
      <c r="GD28" s="242"/>
      <c r="GE28" s="243"/>
      <c r="GF28" s="244">
        <f t="shared" si="25"/>
        <v>58.84</v>
      </c>
      <c r="GG28" s="76">
        <v>27.52</v>
      </c>
      <c r="GH28" s="77">
        <v>20.74</v>
      </c>
      <c r="GI28" s="77"/>
      <c r="GJ28" s="78"/>
      <c r="GK28" s="244">
        <f t="shared" si="26"/>
        <v>48.26</v>
      </c>
      <c r="GL28" s="241">
        <v>15.06</v>
      </c>
      <c r="GM28" s="242">
        <v>11</v>
      </c>
      <c r="GN28" s="242"/>
      <c r="GO28" s="243"/>
      <c r="GP28" s="244">
        <f t="shared" si="27"/>
        <v>26.060000000000002</v>
      </c>
      <c r="GQ28" s="241">
        <v>11.64</v>
      </c>
      <c r="GR28" s="242">
        <v>8.18</v>
      </c>
      <c r="GS28" s="242">
        <v>7.52</v>
      </c>
      <c r="GT28" s="243"/>
      <c r="GU28" s="244">
        <f t="shared" si="28"/>
        <v>27.34</v>
      </c>
      <c r="GV28" s="241">
        <v>37.159999999999997</v>
      </c>
      <c r="GW28" s="262"/>
      <c r="GX28" s="242"/>
      <c r="GY28" s="243"/>
      <c r="GZ28" s="244">
        <f t="shared" si="29"/>
        <v>37.159999999999997</v>
      </c>
      <c r="HA28" s="241">
        <v>19.32</v>
      </c>
      <c r="HB28" s="242">
        <v>19.190000000000001</v>
      </c>
      <c r="HC28" s="242">
        <v>20.010000000000002</v>
      </c>
      <c r="HD28" s="243"/>
      <c r="HE28" s="244">
        <f t="shared" si="30"/>
        <v>58.52000000000001</v>
      </c>
      <c r="HF28" s="241">
        <v>4.3499999999999996</v>
      </c>
      <c r="HG28" s="242">
        <v>19.75</v>
      </c>
      <c r="HH28" s="242">
        <v>27.34</v>
      </c>
      <c r="HI28" s="243"/>
      <c r="HJ28" s="244">
        <f t="shared" si="31"/>
        <v>51.44</v>
      </c>
      <c r="HK28" s="241">
        <v>25.51</v>
      </c>
      <c r="HL28" s="242">
        <v>14.72</v>
      </c>
      <c r="HM28" s="242"/>
      <c r="HN28" s="243"/>
      <c r="HO28" s="244">
        <f t="shared" si="32"/>
        <v>40.230000000000004</v>
      </c>
      <c r="HP28" s="241">
        <v>68.5</v>
      </c>
      <c r="HQ28" s="269"/>
      <c r="HR28" s="242"/>
      <c r="HS28" s="243"/>
      <c r="HT28" s="244">
        <f t="shared" si="33"/>
        <v>68.5</v>
      </c>
      <c r="HU28" s="241">
        <v>87.75</v>
      </c>
      <c r="HV28" s="242">
        <v>87.18</v>
      </c>
      <c r="HW28" s="242"/>
      <c r="HX28" s="243"/>
      <c r="HY28" s="244">
        <f t="shared" si="34"/>
        <v>174.93</v>
      </c>
      <c r="HZ28" s="241">
        <f>58.68+3.08</f>
        <v>61.76</v>
      </c>
      <c r="IA28" s="242">
        <v>27.95</v>
      </c>
      <c r="IB28" s="242"/>
      <c r="IC28" s="243"/>
      <c r="ID28" s="244">
        <f t="shared" si="35"/>
        <v>89.71</v>
      </c>
      <c r="IE28" s="233">
        <v>50.74</v>
      </c>
      <c r="IF28" s="234">
        <v>23.71</v>
      </c>
      <c r="IG28" s="234"/>
      <c r="IH28" s="235"/>
      <c r="II28" s="232">
        <f t="shared" si="36"/>
        <v>74.45</v>
      </c>
      <c r="IJ28" s="233">
        <v>40.1</v>
      </c>
      <c r="IK28" s="234">
        <v>9.11</v>
      </c>
      <c r="IL28" s="234"/>
      <c r="IM28" s="235"/>
      <c r="IN28" s="232">
        <f t="shared" si="37"/>
        <v>49.21</v>
      </c>
      <c r="IO28" s="69">
        <v>28.74</v>
      </c>
      <c r="IP28" s="70">
        <v>26.29</v>
      </c>
      <c r="IQ28" s="70"/>
      <c r="IR28" s="71"/>
      <c r="IS28" s="73">
        <f t="shared" si="38"/>
        <v>55.03</v>
      </c>
      <c r="IT28" s="69">
        <v>40.56</v>
      </c>
      <c r="IU28" s="70">
        <v>23.43</v>
      </c>
      <c r="IV28" s="70"/>
      <c r="IW28" s="71"/>
      <c r="IX28" s="73">
        <f t="shared" si="39"/>
        <v>63.99</v>
      </c>
      <c r="IY28" s="69">
        <v>31.71</v>
      </c>
      <c r="IZ28" s="70">
        <v>8.9600000000000009</v>
      </c>
      <c r="JA28" s="70"/>
      <c r="JB28" s="71"/>
      <c r="JC28" s="73">
        <f t="shared" si="40"/>
        <v>40.67</v>
      </c>
      <c r="JD28" s="69">
        <v>43.32</v>
      </c>
      <c r="JE28" s="70">
        <v>48.33</v>
      </c>
      <c r="JF28" s="70"/>
      <c r="JG28" s="71"/>
      <c r="JH28" s="73">
        <f t="shared" si="41"/>
        <v>91.65</v>
      </c>
      <c r="JI28" s="69">
        <v>26.47</v>
      </c>
      <c r="JJ28" s="70">
        <v>17.850000000000001</v>
      </c>
      <c r="JK28" s="70">
        <v>20.71</v>
      </c>
      <c r="JL28" s="71"/>
      <c r="JM28" s="73">
        <f t="shared" si="42"/>
        <v>65.03</v>
      </c>
      <c r="JN28" s="69">
        <v>32.54</v>
      </c>
      <c r="JO28" s="70">
        <v>20.16</v>
      </c>
      <c r="JP28" s="70"/>
      <c r="JQ28" s="71"/>
      <c r="JR28" s="73">
        <f t="shared" si="43"/>
        <v>52.7</v>
      </c>
      <c r="JS28" s="69">
        <v>36.39</v>
      </c>
      <c r="JT28" s="70">
        <v>36.229999999999997</v>
      </c>
      <c r="JU28" s="70">
        <v>11.13</v>
      </c>
      <c r="JV28" s="71"/>
      <c r="JW28" s="73">
        <f t="shared" si="44"/>
        <v>83.75</v>
      </c>
      <c r="JX28" s="69">
        <v>21.68</v>
      </c>
      <c r="JY28" s="70">
        <v>38.17</v>
      </c>
      <c r="JZ28" s="70">
        <v>22.24</v>
      </c>
      <c r="KA28" s="71"/>
      <c r="KB28" s="73">
        <v>82.09</v>
      </c>
      <c r="KC28" s="69">
        <v>45.83</v>
      </c>
      <c r="KD28" s="70">
        <v>38.380000000000003</v>
      </c>
      <c r="KE28" s="70">
        <v>0</v>
      </c>
      <c r="KF28" s="71">
        <v>0</v>
      </c>
      <c r="KG28" s="73">
        <v>84.21</v>
      </c>
      <c r="KH28" s="69">
        <v>48.67</v>
      </c>
      <c r="KI28" s="70">
        <v>57.73</v>
      </c>
      <c r="KJ28" s="70"/>
      <c r="KK28" s="71"/>
      <c r="KL28" s="73">
        <v>106.4</v>
      </c>
      <c r="KM28" s="479">
        <v>50.51</v>
      </c>
      <c r="KN28" s="480">
        <v>0</v>
      </c>
      <c r="KO28" s="70">
        <v>0</v>
      </c>
      <c r="KP28" s="71">
        <v>0</v>
      </c>
      <c r="KQ28" s="73">
        <f t="shared" si="45"/>
        <v>50.51</v>
      </c>
      <c r="KR28" s="69">
        <v>56.22</v>
      </c>
      <c r="KS28" s="70">
        <v>33.75</v>
      </c>
      <c r="KT28" s="70">
        <v>0</v>
      </c>
      <c r="KU28" s="71">
        <v>0</v>
      </c>
      <c r="KV28" s="73">
        <f t="shared" si="46"/>
        <v>89.97</v>
      </c>
    </row>
    <row r="29" spans="1:308" ht="15.75" x14ac:dyDescent="0.25">
      <c r="A29" s="97"/>
      <c r="B29" s="55">
        <v>20</v>
      </c>
      <c r="C29" s="56">
        <v>62.08</v>
      </c>
      <c r="D29" s="57">
        <v>39.950000000000003</v>
      </c>
      <c r="E29" s="58">
        <v>51.61</v>
      </c>
      <c r="F29" s="59"/>
      <c r="G29" s="60"/>
      <c r="H29" s="61">
        <f t="shared" si="5"/>
        <v>91.56</v>
      </c>
      <c r="I29" s="62">
        <v>50.55</v>
      </c>
      <c r="J29" s="63"/>
      <c r="K29" s="63"/>
      <c r="L29" s="64"/>
      <c r="M29" s="33">
        <f t="shared" si="6"/>
        <v>50.55</v>
      </c>
      <c r="N29" s="62">
        <v>45.12</v>
      </c>
      <c r="O29" s="63">
        <v>27.36</v>
      </c>
      <c r="P29" s="63"/>
      <c r="Q29" s="64"/>
      <c r="R29" s="33">
        <f t="shared" si="0"/>
        <v>72.47999999999999</v>
      </c>
      <c r="S29" s="62">
        <v>41.54</v>
      </c>
      <c r="T29" s="63">
        <v>29.27</v>
      </c>
      <c r="U29" s="63"/>
      <c r="V29" s="64"/>
      <c r="W29" s="33">
        <f t="shared" si="1"/>
        <v>70.81</v>
      </c>
      <c r="X29" s="62">
        <v>31.53</v>
      </c>
      <c r="Y29" s="63">
        <v>27.73</v>
      </c>
      <c r="Z29" s="63">
        <v>20.48</v>
      </c>
      <c r="AA29" s="64"/>
      <c r="AB29" s="33">
        <f t="shared" si="7"/>
        <v>79.740000000000009</v>
      </c>
      <c r="AC29" s="65">
        <v>40.99</v>
      </c>
      <c r="AD29" s="66">
        <v>31.33</v>
      </c>
      <c r="AE29" s="66"/>
      <c r="AF29" s="67"/>
      <c r="AG29" s="37">
        <f t="shared" si="8"/>
        <v>72.319999999999993</v>
      </c>
      <c r="AH29" s="65">
        <v>37.68</v>
      </c>
      <c r="AI29" s="66">
        <v>10.48</v>
      </c>
      <c r="AJ29" s="87">
        <v>22.11</v>
      </c>
      <c r="AK29" s="67"/>
      <c r="AL29" s="68">
        <f t="shared" si="47"/>
        <v>70.27</v>
      </c>
      <c r="AM29" s="69">
        <v>54.88</v>
      </c>
      <c r="AN29" s="70">
        <v>18.64</v>
      </c>
      <c r="AO29" s="70">
        <v>27.75</v>
      </c>
      <c r="AP29" s="71"/>
      <c r="AQ29" s="72">
        <f t="shared" si="48"/>
        <v>101.27000000000001</v>
      </c>
      <c r="AR29" s="69">
        <v>53.61</v>
      </c>
      <c r="AS29" s="70">
        <v>7.31</v>
      </c>
      <c r="AT29" s="70"/>
      <c r="AU29" s="71"/>
      <c r="AV29" s="73">
        <f t="shared" si="49"/>
        <v>60.92</v>
      </c>
      <c r="AW29" s="69">
        <v>38.33</v>
      </c>
      <c r="AX29" s="70">
        <v>44.86</v>
      </c>
      <c r="AY29" s="70"/>
      <c r="AZ29" s="71"/>
      <c r="BA29" s="73">
        <f t="shared" si="57"/>
        <v>83.19</v>
      </c>
      <c r="BB29" s="69">
        <v>70.66</v>
      </c>
      <c r="BC29" s="70"/>
      <c r="BD29" s="70"/>
      <c r="BE29" s="71"/>
      <c r="BF29" s="73">
        <f t="shared" si="58"/>
        <v>70.66</v>
      </c>
      <c r="BG29" s="69">
        <v>52.33</v>
      </c>
      <c r="BH29" s="70">
        <v>36.43</v>
      </c>
      <c r="BI29" s="70"/>
      <c r="BJ29" s="74"/>
      <c r="BK29" s="73">
        <f t="shared" si="51"/>
        <v>88.759999999999991</v>
      </c>
      <c r="BL29" s="69">
        <v>33.090000000000003</v>
      </c>
      <c r="BM29" s="70">
        <v>30.93</v>
      </c>
      <c r="BN29" s="70"/>
      <c r="BO29" s="74"/>
      <c r="BP29" s="72">
        <f t="shared" si="52"/>
        <v>64.02000000000001</v>
      </c>
      <c r="BQ29" s="69">
        <v>20.39</v>
      </c>
      <c r="BR29" s="70">
        <v>19.920000000000002</v>
      </c>
      <c r="BS29" s="70">
        <v>11.6</v>
      </c>
      <c r="BT29" s="71"/>
      <c r="BU29" s="232">
        <f t="shared" si="9"/>
        <v>51.910000000000004</v>
      </c>
      <c r="BV29" s="233">
        <v>16.8</v>
      </c>
      <c r="BW29" s="234">
        <v>14.41</v>
      </c>
      <c r="BX29" s="234"/>
      <c r="BY29" s="235"/>
      <c r="BZ29" s="236">
        <f t="shared" si="10"/>
        <v>31.21</v>
      </c>
      <c r="CA29" s="237">
        <v>19.329999999999998</v>
      </c>
      <c r="CB29" s="238">
        <v>20.59</v>
      </c>
      <c r="CC29" s="238"/>
      <c r="CD29" s="239"/>
      <c r="CE29" s="240">
        <f t="shared" si="53"/>
        <v>39.92</v>
      </c>
      <c r="CF29" s="237">
        <v>23.25</v>
      </c>
      <c r="CG29" s="238">
        <v>27.31</v>
      </c>
      <c r="CH29" s="238">
        <v>17.79</v>
      </c>
      <c r="CI29" s="239"/>
      <c r="CJ29" s="240">
        <f t="shared" si="54"/>
        <v>68.349999999999994</v>
      </c>
      <c r="CK29" s="237">
        <v>4.1100000000000003</v>
      </c>
      <c r="CL29" s="238">
        <v>25.93</v>
      </c>
      <c r="CM29" s="238">
        <v>22.42</v>
      </c>
      <c r="CN29" s="239"/>
      <c r="CO29" s="240">
        <f t="shared" si="55"/>
        <v>52.46</v>
      </c>
      <c r="CP29" s="241">
        <v>19.75</v>
      </c>
      <c r="CQ29" s="242">
        <v>30.35</v>
      </c>
      <c r="CR29" s="242"/>
      <c r="CS29" s="243"/>
      <c r="CT29" s="244">
        <v>50.1</v>
      </c>
      <c r="CU29" s="241">
        <v>41.08</v>
      </c>
      <c r="CV29" s="242">
        <v>44.4</v>
      </c>
      <c r="CW29" s="242">
        <v>42.71</v>
      </c>
      <c r="CX29" s="243"/>
      <c r="CY29" s="244">
        <f t="shared" si="2"/>
        <v>128.19</v>
      </c>
      <c r="CZ29" s="241">
        <v>60.77</v>
      </c>
      <c r="DA29" s="242">
        <v>38.67</v>
      </c>
      <c r="DB29" s="242"/>
      <c r="DC29" s="243"/>
      <c r="DD29" s="244">
        <f t="shared" si="3"/>
        <v>99.44</v>
      </c>
      <c r="DE29" s="241">
        <v>26.9</v>
      </c>
      <c r="DF29" s="242">
        <v>42.53</v>
      </c>
      <c r="DG29" s="242"/>
      <c r="DH29" s="243"/>
      <c r="DI29" s="244">
        <f t="shared" si="4"/>
        <v>69.430000000000007</v>
      </c>
      <c r="DJ29" s="241">
        <v>59.84</v>
      </c>
      <c r="DK29" s="242">
        <v>49.97</v>
      </c>
      <c r="DL29" s="242"/>
      <c r="DM29" s="243"/>
      <c r="DN29" s="244">
        <f t="shared" si="11"/>
        <v>109.81</v>
      </c>
      <c r="DO29" s="241">
        <v>51.31</v>
      </c>
      <c r="DP29" s="242">
        <v>40.08</v>
      </c>
      <c r="DQ29" s="242"/>
      <c r="DR29" s="243"/>
      <c r="DS29" s="244">
        <f t="shared" si="12"/>
        <v>91.39</v>
      </c>
      <c r="DT29" s="241">
        <v>42.86</v>
      </c>
      <c r="DU29" s="242">
        <v>34.549999999999997</v>
      </c>
      <c r="DV29" s="242"/>
      <c r="DW29" s="243"/>
      <c r="DX29" s="244">
        <f t="shared" si="13"/>
        <v>77.41</v>
      </c>
      <c r="DY29" s="76">
        <v>30.72</v>
      </c>
      <c r="DZ29" s="77">
        <v>30.75</v>
      </c>
      <c r="EA29" s="77"/>
      <c r="EB29" s="78"/>
      <c r="EC29" s="244">
        <f t="shared" si="14"/>
        <v>61.47</v>
      </c>
      <c r="ED29" s="241">
        <v>33.619999999999997</v>
      </c>
      <c r="EE29" s="242">
        <v>21.05</v>
      </c>
      <c r="EF29" s="242"/>
      <c r="EG29" s="243"/>
      <c r="EH29" s="244">
        <f t="shared" si="15"/>
        <v>54.67</v>
      </c>
      <c r="EI29" s="241">
        <v>10.34</v>
      </c>
      <c r="EJ29" s="242">
        <v>42.34</v>
      </c>
      <c r="EK29" s="242"/>
      <c r="EL29" s="243"/>
      <c r="EM29" s="244">
        <f t="shared" si="16"/>
        <v>52.680000000000007</v>
      </c>
      <c r="EN29" s="241">
        <v>37.74</v>
      </c>
      <c r="EO29" s="242">
        <v>25.94</v>
      </c>
      <c r="EP29" s="242"/>
      <c r="EQ29" s="243"/>
      <c r="ER29" s="244">
        <f t="shared" si="17"/>
        <v>63.680000000000007</v>
      </c>
      <c r="ES29" s="241">
        <v>39.39</v>
      </c>
      <c r="ET29" s="242">
        <v>35.65</v>
      </c>
      <c r="EU29" s="242">
        <v>33.22</v>
      </c>
      <c r="EV29" s="243"/>
      <c r="EW29" s="244">
        <f t="shared" si="18"/>
        <v>108.25999999999999</v>
      </c>
      <c r="EX29" s="241">
        <v>40.08</v>
      </c>
      <c r="EY29" s="242">
        <v>34.1</v>
      </c>
      <c r="EZ29" s="242"/>
      <c r="FA29" s="243"/>
      <c r="FB29" s="244">
        <f t="shared" si="19"/>
        <v>74.180000000000007</v>
      </c>
      <c r="FC29" s="241">
        <v>52.25</v>
      </c>
      <c r="FD29" s="242">
        <v>14.72</v>
      </c>
      <c r="FE29" s="242"/>
      <c r="FF29" s="243"/>
      <c r="FG29" s="244">
        <f t="shared" si="20"/>
        <v>66.97</v>
      </c>
      <c r="FH29" s="241">
        <v>26.92</v>
      </c>
      <c r="FI29" s="242">
        <v>48.55</v>
      </c>
      <c r="FJ29" s="242"/>
      <c r="FK29" s="243"/>
      <c r="FL29" s="244">
        <f t="shared" si="21"/>
        <v>75.47</v>
      </c>
      <c r="FM29" s="241">
        <v>31.99</v>
      </c>
      <c r="FN29" s="242">
        <v>34.619999999999997</v>
      </c>
      <c r="FO29" s="242"/>
      <c r="FP29" s="243"/>
      <c r="FQ29" s="244">
        <f t="shared" si="22"/>
        <v>66.61</v>
      </c>
      <c r="FR29" s="241">
        <v>43.68</v>
      </c>
      <c r="FS29" s="242">
        <v>48.8</v>
      </c>
      <c r="FT29" s="242"/>
      <c r="FU29" s="243"/>
      <c r="FV29" s="244">
        <f t="shared" si="23"/>
        <v>92.47999999999999</v>
      </c>
      <c r="FW29" s="241">
        <v>41.4</v>
      </c>
      <c r="FX29" s="242">
        <v>36.65</v>
      </c>
      <c r="FY29" s="242"/>
      <c r="FZ29" s="243"/>
      <c r="GA29" s="244">
        <f t="shared" si="24"/>
        <v>78.05</v>
      </c>
      <c r="GB29" s="241">
        <v>37.89</v>
      </c>
      <c r="GC29" s="242">
        <v>30.42</v>
      </c>
      <c r="GD29" s="242"/>
      <c r="GE29" s="243"/>
      <c r="GF29" s="244">
        <f t="shared" si="25"/>
        <v>68.31</v>
      </c>
      <c r="GG29" s="76">
        <v>29.16</v>
      </c>
      <c r="GH29" s="77">
        <v>20.350000000000001</v>
      </c>
      <c r="GI29" s="77"/>
      <c r="GJ29" s="78"/>
      <c r="GK29" s="244">
        <f t="shared" si="26"/>
        <v>49.510000000000005</v>
      </c>
      <c r="GL29" s="241">
        <v>14.02</v>
      </c>
      <c r="GM29" s="242">
        <v>10.06</v>
      </c>
      <c r="GN29" s="242"/>
      <c r="GO29" s="243"/>
      <c r="GP29" s="244">
        <f t="shared" si="27"/>
        <v>24.08</v>
      </c>
      <c r="GQ29" s="241">
        <v>7.04</v>
      </c>
      <c r="GR29" s="242">
        <v>3.67</v>
      </c>
      <c r="GS29" s="242">
        <v>5.84</v>
      </c>
      <c r="GT29" s="243"/>
      <c r="GU29" s="244">
        <f t="shared" si="28"/>
        <v>16.55</v>
      </c>
      <c r="GV29" s="241">
        <v>22.51</v>
      </c>
      <c r="GW29" s="262"/>
      <c r="GX29" s="242"/>
      <c r="GY29" s="243"/>
      <c r="GZ29" s="244">
        <f t="shared" si="29"/>
        <v>22.51</v>
      </c>
      <c r="HA29" s="241">
        <v>22.64</v>
      </c>
      <c r="HB29" s="242">
        <v>23.19</v>
      </c>
      <c r="HC29" s="242"/>
      <c r="HD29" s="243"/>
      <c r="HE29" s="244">
        <f t="shared" si="30"/>
        <v>45.83</v>
      </c>
      <c r="HF29" s="241">
        <v>25.81</v>
      </c>
      <c r="HG29" s="242">
        <v>22.15</v>
      </c>
      <c r="HH29" s="242">
        <v>16.850000000000001</v>
      </c>
      <c r="HI29" s="243"/>
      <c r="HJ29" s="244">
        <f t="shared" si="31"/>
        <v>64.81</v>
      </c>
      <c r="HK29" s="241">
        <v>13.96</v>
      </c>
      <c r="HL29" s="242">
        <v>33.44</v>
      </c>
      <c r="HM29" s="242">
        <v>21.88</v>
      </c>
      <c r="HN29" s="243"/>
      <c r="HO29" s="244">
        <f t="shared" si="32"/>
        <v>69.28</v>
      </c>
      <c r="HP29" s="241">
        <v>70.23</v>
      </c>
      <c r="HQ29" s="269"/>
      <c r="HR29" s="242"/>
      <c r="HS29" s="243"/>
      <c r="HT29" s="244">
        <f t="shared" si="33"/>
        <v>70.23</v>
      </c>
      <c r="HU29" s="241">
        <v>84.53</v>
      </c>
      <c r="HV29" s="242">
        <v>84.03</v>
      </c>
      <c r="HW29" s="242"/>
      <c r="HX29" s="243"/>
      <c r="HY29" s="244">
        <f t="shared" si="34"/>
        <v>168.56</v>
      </c>
      <c r="HZ29" s="241">
        <f>75.93+1.59</f>
        <v>77.52000000000001</v>
      </c>
      <c r="IA29" s="242">
        <v>37.82</v>
      </c>
      <c r="IB29" s="242"/>
      <c r="IC29" s="243"/>
      <c r="ID29" s="244">
        <f t="shared" si="35"/>
        <v>115.34</v>
      </c>
      <c r="IE29" s="233">
        <v>60.64</v>
      </c>
      <c r="IF29" s="234">
        <v>23.65</v>
      </c>
      <c r="IG29" s="234"/>
      <c r="IH29" s="235"/>
      <c r="II29" s="232">
        <f t="shared" si="36"/>
        <v>84.289999999999992</v>
      </c>
      <c r="IJ29" s="233">
        <v>47.96</v>
      </c>
      <c r="IK29" s="234">
        <v>21.04</v>
      </c>
      <c r="IL29" s="234"/>
      <c r="IM29" s="235"/>
      <c r="IN29" s="232">
        <f t="shared" si="37"/>
        <v>69</v>
      </c>
      <c r="IO29" s="69">
        <v>30.22</v>
      </c>
      <c r="IP29" s="70">
        <v>39.9</v>
      </c>
      <c r="IQ29" s="70"/>
      <c r="IR29" s="71"/>
      <c r="IS29" s="73">
        <f t="shared" si="38"/>
        <v>70.12</v>
      </c>
      <c r="IT29" s="69">
        <v>44.09</v>
      </c>
      <c r="IU29" s="70">
        <v>26.75</v>
      </c>
      <c r="IV29" s="70"/>
      <c r="IW29" s="71"/>
      <c r="IX29" s="73">
        <f t="shared" si="39"/>
        <v>70.84</v>
      </c>
      <c r="IY29" s="69">
        <v>34.53</v>
      </c>
      <c r="IZ29" s="79"/>
      <c r="JA29" s="70"/>
      <c r="JB29" s="71"/>
      <c r="JC29" s="73">
        <f t="shared" si="40"/>
        <v>34.53</v>
      </c>
      <c r="JD29" s="69">
        <v>69.31</v>
      </c>
      <c r="JE29" s="70">
        <v>47.24</v>
      </c>
      <c r="JF29" s="70"/>
      <c r="JG29" s="71"/>
      <c r="JH29" s="73">
        <f t="shared" si="41"/>
        <v>116.55000000000001</v>
      </c>
      <c r="JI29" s="69">
        <v>31.89</v>
      </c>
      <c r="JJ29" s="70">
        <v>29.95</v>
      </c>
      <c r="JK29" s="70">
        <v>28.37</v>
      </c>
      <c r="JL29" s="71"/>
      <c r="JM29" s="73">
        <f t="shared" si="42"/>
        <v>90.210000000000008</v>
      </c>
      <c r="JN29" s="69">
        <v>29.8</v>
      </c>
      <c r="JO29" s="70">
        <v>21.33</v>
      </c>
      <c r="JP29" s="70"/>
      <c r="JQ29" s="71"/>
      <c r="JR29" s="73">
        <f t="shared" si="43"/>
        <v>51.129999999999995</v>
      </c>
      <c r="JS29" s="69">
        <v>39.03</v>
      </c>
      <c r="JT29" s="70">
        <v>36.28</v>
      </c>
      <c r="JU29" s="70"/>
      <c r="JV29" s="71"/>
      <c r="JW29" s="73">
        <f t="shared" si="44"/>
        <v>75.31</v>
      </c>
      <c r="JX29" s="69">
        <v>40.53</v>
      </c>
      <c r="JY29" s="70">
        <v>36.32</v>
      </c>
      <c r="JZ29" s="70">
        <v>24.35</v>
      </c>
      <c r="KA29" s="71"/>
      <c r="KB29" s="73">
        <v>101.19999999999999</v>
      </c>
      <c r="KC29" s="69">
        <v>51.96</v>
      </c>
      <c r="KD29" s="70">
        <v>30.14</v>
      </c>
      <c r="KE29" s="70">
        <v>0</v>
      </c>
      <c r="KF29" s="71">
        <v>0</v>
      </c>
      <c r="KG29" s="73">
        <v>82.1</v>
      </c>
      <c r="KH29" s="69">
        <v>62.42</v>
      </c>
      <c r="KI29" s="70">
        <v>62.42</v>
      </c>
      <c r="KJ29" s="70"/>
      <c r="KK29" s="71"/>
      <c r="KL29" s="73">
        <v>124.84</v>
      </c>
      <c r="KM29" s="479">
        <v>75.11</v>
      </c>
      <c r="KN29" s="480">
        <v>0</v>
      </c>
      <c r="KO29" s="70">
        <v>0</v>
      </c>
      <c r="KP29" s="71">
        <v>0</v>
      </c>
      <c r="KQ29" s="73">
        <f t="shared" si="45"/>
        <v>75.11</v>
      </c>
      <c r="KR29" s="69">
        <v>84.19</v>
      </c>
      <c r="KS29" s="70">
        <v>52.47</v>
      </c>
      <c r="KT29" s="70">
        <v>0</v>
      </c>
      <c r="KU29" s="71">
        <v>0</v>
      </c>
      <c r="KV29" s="73">
        <f t="shared" si="46"/>
        <v>136.66</v>
      </c>
    </row>
    <row r="30" spans="1:308" ht="15.75" x14ac:dyDescent="0.25">
      <c r="A30" s="97"/>
      <c r="B30" s="55">
        <v>21</v>
      </c>
      <c r="C30" s="56">
        <v>72.2</v>
      </c>
      <c r="D30" s="57">
        <v>49.51</v>
      </c>
      <c r="E30" s="58">
        <v>62.4</v>
      </c>
      <c r="F30" s="59"/>
      <c r="G30" s="60"/>
      <c r="H30" s="61">
        <f t="shared" si="5"/>
        <v>111.91</v>
      </c>
      <c r="I30" s="62">
        <v>35.94</v>
      </c>
      <c r="J30" s="63">
        <v>74.459999999999994</v>
      </c>
      <c r="K30" s="63"/>
      <c r="L30" s="64"/>
      <c r="M30" s="33">
        <f t="shared" si="6"/>
        <v>110.39999999999999</v>
      </c>
      <c r="N30" s="62">
        <v>79.73</v>
      </c>
      <c r="O30" s="63">
        <v>21.21</v>
      </c>
      <c r="P30" s="63"/>
      <c r="Q30" s="64"/>
      <c r="R30" s="33">
        <f t="shared" si="0"/>
        <v>100.94</v>
      </c>
      <c r="S30" s="62">
        <v>35.72</v>
      </c>
      <c r="T30" s="63">
        <v>73.03</v>
      </c>
      <c r="U30" s="63">
        <v>5</v>
      </c>
      <c r="V30" s="64"/>
      <c r="W30" s="33">
        <f t="shared" si="1"/>
        <v>113.75</v>
      </c>
      <c r="X30" s="62">
        <v>44.79</v>
      </c>
      <c r="Y30" s="63">
        <v>37.950000000000003</v>
      </c>
      <c r="Z30" s="63">
        <v>44.6</v>
      </c>
      <c r="AA30" s="64"/>
      <c r="AB30" s="33">
        <f t="shared" si="7"/>
        <v>127.34</v>
      </c>
      <c r="AC30" s="65">
        <v>47.73</v>
      </c>
      <c r="AD30" s="66">
        <v>34.75</v>
      </c>
      <c r="AE30" s="66"/>
      <c r="AF30" s="67"/>
      <c r="AG30" s="37">
        <f t="shared" si="8"/>
        <v>82.47999999999999</v>
      </c>
      <c r="AH30" s="65">
        <v>56.96</v>
      </c>
      <c r="AI30" s="66">
        <v>23.3</v>
      </c>
      <c r="AJ30" s="87">
        <v>34.33</v>
      </c>
      <c r="AK30" s="67"/>
      <c r="AL30" s="68">
        <f t="shared" si="47"/>
        <v>114.59</v>
      </c>
      <c r="AM30" s="69">
        <v>46.3</v>
      </c>
      <c r="AN30" s="70">
        <v>62.99</v>
      </c>
      <c r="AO30" s="70"/>
      <c r="AP30" s="71"/>
      <c r="AQ30" s="72">
        <f t="shared" si="48"/>
        <v>109.28999999999999</v>
      </c>
      <c r="AR30" s="69">
        <v>67.28</v>
      </c>
      <c r="AS30" s="70">
        <v>81.64</v>
      </c>
      <c r="AT30" s="70"/>
      <c r="AU30" s="71"/>
      <c r="AV30" s="73">
        <f t="shared" si="49"/>
        <v>148.92000000000002</v>
      </c>
      <c r="AW30" s="69">
        <v>74.67</v>
      </c>
      <c r="AX30" s="70">
        <v>91.68</v>
      </c>
      <c r="AY30" s="70"/>
      <c r="AZ30" s="71"/>
      <c r="BA30" s="73">
        <f t="shared" si="57"/>
        <v>166.35000000000002</v>
      </c>
      <c r="BB30" s="69">
        <v>111.31</v>
      </c>
      <c r="BC30" s="70"/>
      <c r="BD30" s="70"/>
      <c r="BE30" s="71"/>
      <c r="BF30" s="73">
        <f t="shared" si="58"/>
        <v>111.31</v>
      </c>
      <c r="BG30" s="69">
        <v>74.19</v>
      </c>
      <c r="BH30" s="70">
        <v>63.08</v>
      </c>
      <c r="BI30" s="70"/>
      <c r="BJ30" s="74"/>
      <c r="BK30" s="73">
        <f t="shared" si="51"/>
        <v>137.26999999999998</v>
      </c>
      <c r="BL30" s="69">
        <v>57.17</v>
      </c>
      <c r="BM30" s="70">
        <v>44.23</v>
      </c>
      <c r="BN30" s="70"/>
      <c r="BO30" s="74"/>
      <c r="BP30" s="72">
        <f t="shared" si="52"/>
        <v>101.4</v>
      </c>
      <c r="BQ30" s="69">
        <v>37.92</v>
      </c>
      <c r="BR30" s="70">
        <v>17</v>
      </c>
      <c r="BS30" s="70">
        <v>31.94</v>
      </c>
      <c r="BT30" s="71"/>
      <c r="BU30" s="232">
        <f t="shared" si="9"/>
        <v>86.86</v>
      </c>
      <c r="BV30" s="233">
        <v>31.82</v>
      </c>
      <c r="BW30" s="234">
        <v>22.05</v>
      </c>
      <c r="BX30" s="234"/>
      <c r="BY30" s="235"/>
      <c r="BZ30" s="236">
        <f t="shared" si="10"/>
        <v>53.870000000000005</v>
      </c>
      <c r="CA30" s="237">
        <v>36.15</v>
      </c>
      <c r="CB30" s="238">
        <v>31.82</v>
      </c>
      <c r="CC30" s="238"/>
      <c r="CD30" s="239"/>
      <c r="CE30" s="240">
        <f t="shared" si="53"/>
        <v>67.97</v>
      </c>
      <c r="CF30" s="237">
        <v>39.840000000000003</v>
      </c>
      <c r="CG30" s="238">
        <v>37.18</v>
      </c>
      <c r="CH30" s="238"/>
      <c r="CI30" s="239"/>
      <c r="CJ30" s="240">
        <f t="shared" si="54"/>
        <v>77.02000000000001</v>
      </c>
      <c r="CK30" s="237">
        <v>46.97</v>
      </c>
      <c r="CL30" s="238">
        <v>39.28</v>
      </c>
      <c r="CM30" s="238">
        <v>40.4</v>
      </c>
      <c r="CN30" s="239"/>
      <c r="CO30" s="240">
        <f t="shared" si="55"/>
        <v>126.65</v>
      </c>
      <c r="CP30" s="241">
        <v>31.58</v>
      </c>
      <c r="CQ30" s="242">
        <v>47.41</v>
      </c>
      <c r="CR30" s="242"/>
      <c r="CS30" s="243"/>
      <c r="CT30" s="244">
        <v>78.989999999999995</v>
      </c>
      <c r="CU30" s="241">
        <v>50.95</v>
      </c>
      <c r="CV30" s="242">
        <v>62.95</v>
      </c>
      <c r="CW30" s="242">
        <v>26.72</v>
      </c>
      <c r="CX30" s="243"/>
      <c r="CY30" s="244">
        <f t="shared" si="2"/>
        <v>140.62</v>
      </c>
      <c r="CZ30" s="241">
        <v>36.200000000000003</v>
      </c>
      <c r="DA30" s="242">
        <v>93.42</v>
      </c>
      <c r="DB30" s="242">
        <v>60.63</v>
      </c>
      <c r="DC30" s="243"/>
      <c r="DD30" s="244">
        <f t="shared" si="3"/>
        <v>190.25</v>
      </c>
      <c r="DE30" s="241">
        <v>51.93</v>
      </c>
      <c r="DF30" s="242">
        <v>85.19</v>
      </c>
      <c r="DG30" s="242"/>
      <c r="DH30" s="243"/>
      <c r="DI30" s="244">
        <f t="shared" si="4"/>
        <v>137.12</v>
      </c>
      <c r="DJ30" s="241">
        <v>73.12</v>
      </c>
      <c r="DK30" s="242">
        <v>88.73</v>
      </c>
      <c r="DL30" s="242"/>
      <c r="DM30" s="243"/>
      <c r="DN30" s="244">
        <f t="shared" si="11"/>
        <v>161.85000000000002</v>
      </c>
      <c r="DO30" s="241">
        <v>81.64</v>
      </c>
      <c r="DP30" s="242">
        <v>70.709999999999994</v>
      </c>
      <c r="DQ30" s="242"/>
      <c r="DR30" s="243"/>
      <c r="DS30" s="244">
        <f t="shared" si="12"/>
        <v>152.35</v>
      </c>
      <c r="DT30" s="241">
        <v>111.87</v>
      </c>
      <c r="DU30" s="242">
        <v>27.61</v>
      </c>
      <c r="DV30" s="242"/>
      <c r="DW30" s="243"/>
      <c r="DX30" s="244">
        <f t="shared" si="13"/>
        <v>139.48000000000002</v>
      </c>
      <c r="DY30" s="76">
        <v>47.83</v>
      </c>
      <c r="DZ30" s="77">
        <v>47.09</v>
      </c>
      <c r="EA30" s="77"/>
      <c r="EB30" s="78"/>
      <c r="EC30" s="244">
        <f t="shared" si="14"/>
        <v>94.92</v>
      </c>
      <c r="ED30" s="241">
        <v>60.31</v>
      </c>
      <c r="EE30" s="242"/>
      <c r="EF30" s="242"/>
      <c r="EG30" s="243"/>
      <c r="EH30" s="244">
        <f t="shared" si="15"/>
        <v>60.31</v>
      </c>
      <c r="EI30" s="241">
        <v>61.62</v>
      </c>
      <c r="EJ30" s="242">
        <v>58.21</v>
      </c>
      <c r="EK30" s="242"/>
      <c r="EL30" s="243"/>
      <c r="EM30" s="244">
        <f t="shared" si="16"/>
        <v>119.83</v>
      </c>
      <c r="EN30" s="241">
        <v>50.02</v>
      </c>
      <c r="EO30" s="242">
        <v>26.37</v>
      </c>
      <c r="EP30" s="242"/>
      <c r="EQ30" s="243"/>
      <c r="ER30" s="244">
        <f t="shared" si="17"/>
        <v>76.39</v>
      </c>
      <c r="ES30" s="241">
        <v>47.56</v>
      </c>
      <c r="ET30" s="242">
        <v>37.479999999999997</v>
      </c>
      <c r="EU30" s="242">
        <v>7.71</v>
      </c>
      <c r="EV30" s="243"/>
      <c r="EW30" s="244">
        <f t="shared" si="18"/>
        <v>92.749999999999986</v>
      </c>
      <c r="EX30" s="241">
        <v>31.29</v>
      </c>
      <c r="EY30" s="242">
        <v>50.69</v>
      </c>
      <c r="EZ30" s="242">
        <v>2.5</v>
      </c>
      <c r="FA30" s="243"/>
      <c r="FB30" s="244">
        <f t="shared" si="19"/>
        <v>84.47999999999999</v>
      </c>
      <c r="FC30" s="241">
        <v>54.21</v>
      </c>
      <c r="FD30" s="242">
        <v>63.44</v>
      </c>
      <c r="FE30" s="242"/>
      <c r="FF30" s="243"/>
      <c r="FG30" s="244">
        <f t="shared" si="20"/>
        <v>117.65</v>
      </c>
      <c r="FH30" s="241">
        <v>72.87</v>
      </c>
      <c r="FI30" s="242">
        <v>66.86</v>
      </c>
      <c r="FJ30" s="242"/>
      <c r="FK30" s="243"/>
      <c r="FL30" s="244">
        <f t="shared" si="21"/>
        <v>139.73000000000002</v>
      </c>
      <c r="FM30" s="241">
        <v>64.69</v>
      </c>
      <c r="FN30" s="242">
        <v>73.290000000000006</v>
      </c>
      <c r="FO30" s="242"/>
      <c r="FP30" s="243"/>
      <c r="FQ30" s="244">
        <f t="shared" si="22"/>
        <v>137.98000000000002</v>
      </c>
      <c r="FR30" s="241">
        <v>69.89</v>
      </c>
      <c r="FS30" s="242">
        <v>73.180000000000007</v>
      </c>
      <c r="FT30" s="242"/>
      <c r="FU30" s="243"/>
      <c r="FV30" s="244">
        <f t="shared" si="23"/>
        <v>143.07</v>
      </c>
      <c r="FW30" s="241">
        <v>73.08</v>
      </c>
      <c r="FX30" s="242">
        <v>74.989999999999995</v>
      </c>
      <c r="FY30" s="242"/>
      <c r="FZ30" s="243"/>
      <c r="GA30" s="244">
        <f t="shared" si="24"/>
        <v>148.07</v>
      </c>
      <c r="GB30" s="241">
        <v>60.25</v>
      </c>
      <c r="GC30" s="242">
        <v>48.41</v>
      </c>
      <c r="GD30" s="242"/>
      <c r="GE30" s="243"/>
      <c r="GF30" s="244">
        <f t="shared" si="25"/>
        <v>108.66</v>
      </c>
      <c r="GG30" s="76">
        <v>47.8</v>
      </c>
      <c r="GH30" s="77">
        <v>38.65</v>
      </c>
      <c r="GI30" s="77"/>
      <c r="GJ30" s="78"/>
      <c r="GK30" s="244">
        <f t="shared" si="26"/>
        <v>86.449999999999989</v>
      </c>
      <c r="GL30" s="241">
        <v>30.27</v>
      </c>
      <c r="GM30" s="242">
        <v>20.51</v>
      </c>
      <c r="GN30" s="242"/>
      <c r="GO30" s="243"/>
      <c r="GP30" s="244">
        <f t="shared" si="27"/>
        <v>50.78</v>
      </c>
      <c r="GQ30" s="241">
        <v>24.16</v>
      </c>
      <c r="GR30" s="242">
        <v>21.92</v>
      </c>
      <c r="GS30" s="242"/>
      <c r="GT30" s="243"/>
      <c r="GU30" s="244">
        <f t="shared" si="28"/>
        <v>46.08</v>
      </c>
      <c r="GV30" s="241">
        <v>20.9</v>
      </c>
      <c r="GW30" s="242">
        <v>49.48</v>
      </c>
      <c r="GX30" s="242"/>
      <c r="GY30" s="243"/>
      <c r="GZ30" s="244">
        <f t="shared" si="29"/>
        <v>70.38</v>
      </c>
      <c r="HA30" s="241">
        <v>39.369999999999997</v>
      </c>
      <c r="HB30" s="242">
        <v>29.69</v>
      </c>
      <c r="HC30" s="242">
        <v>8.5399999999999991</v>
      </c>
      <c r="HD30" s="243"/>
      <c r="HE30" s="244">
        <f t="shared" si="30"/>
        <v>77.599999999999994</v>
      </c>
      <c r="HF30" s="241">
        <v>53.6</v>
      </c>
      <c r="HG30" s="242">
        <v>51.84</v>
      </c>
      <c r="HH30" s="242"/>
      <c r="HI30" s="243"/>
      <c r="HJ30" s="244">
        <f t="shared" si="31"/>
        <v>105.44</v>
      </c>
      <c r="HK30" s="241">
        <v>62.45</v>
      </c>
      <c r="HL30" s="242">
        <v>61.58</v>
      </c>
      <c r="HM30" s="242">
        <v>36.35</v>
      </c>
      <c r="HN30" s="243"/>
      <c r="HO30" s="244">
        <f t="shared" si="32"/>
        <v>160.38</v>
      </c>
      <c r="HP30" s="241">
        <v>10</v>
      </c>
      <c r="HQ30" s="242">
        <v>105.14</v>
      </c>
      <c r="HR30" s="242"/>
      <c r="HS30" s="243"/>
      <c r="HT30" s="244">
        <f t="shared" si="33"/>
        <v>115.14</v>
      </c>
      <c r="HU30" s="241">
        <v>122.07</v>
      </c>
      <c r="HV30" s="242">
        <v>20.48</v>
      </c>
      <c r="HW30" s="242"/>
      <c r="HX30" s="243"/>
      <c r="HY30" s="244">
        <f t="shared" si="34"/>
        <v>142.54999999999998</v>
      </c>
      <c r="HZ30" s="241">
        <v>108.95</v>
      </c>
      <c r="IA30" s="242">
        <f>81.06+1.09</f>
        <v>82.15</v>
      </c>
      <c r="IB30" s="242">
        <v>8.81</v>
      </c>
      <c r="IC30" s="243"/>
      <c r="ID30" s="244">
        <f t="shared" si="35"/>
        <v>199.91000000000003</v>
      </c>
      <c r="IE30" s="233">
        <f>55.54+0.34</f>
        <v>55.88</v>
      </c>
      <c r="IF30" s="234">
        <v>61.53</v>
      </c>
      <c r="IG30" s="234">
        <v>36.82</v>
      </c>
      <c r="IH30" s="235"/>
      <c r="II30" s="232">
        <f t="shared" si="36"/>
        <v>154.22999999999999</v>
      </c>
      <c r="IJ30" s="233">
        <v>46.57</v>
      </c>
      <c r="IK30" s="234">
        <v>49.48</v>
      </c>
      <c r="IL30" s="234"/>
      <c r="IM30" s="235"/>
      <c r="IN30" s="232">
        <f t="shared" si="37"/>
        <v>96.05</v>
      </c>
      <c r="IO30" s="69">
        <v>40.67</v>
      </c>
      <c r="IP30" s="70">
        <v>54.79</v>
      </c>
      <c r="IQ30" s="70"/>
      <c r="IR30" s="71"/>
      <c r="IS30" s="73">
        <f t="shared" si="38"/>
        <v>95.460000000000008</v>
      </c>
      <c r="IT30" s="69">
        <v>54.6</v>
      </c>
      <c r="IU30" s="70">
        <v>4.84</v>
      </c>
      <c r="IV30" s="70"/>
      <c r="IW30" s="71"/>
      <c r="IX30" s="73">
        <f t="shared" si="39"/>
        <v>59.44</v>
      </c>
      <c r="IY30" s="69">
        <v>34.99</v>
      </c>
      <c r="IZ30" s="70">
        <v>48.74</v>
      </c>
      <c r="JA30" s="70"/>
      <c r="JB30" s="71"/>
      <c r="JC30" s="73">
        <f t="shared" si="40"/>
        <v>83.73</v>
      </c>
      <c r="JD30" s="69">
        <v>109.54</v>
      </c>
      <c r="JE30" s="70">
        <v>50.39</v>
      </c>
      <c r="JF30" s="70"/>
      <c r="JG30" s="71"/>
      <c r="JH30" s="73">
        <f t="shared" si="41"/>
        <v>159.93</v>
      </c>
      <c r="JI30" s="69">
        <v>43.19</v>
      </c>
      <c r="JJ30" s="70">
        <v>32.5</v>
      </c>
      <c r="JK30" s="70">
        <v>36.5</v>
      </c>
      <c r="JL30" s="71"/>
      <c r="JM30" s="73">
        <f t="shared" si="42"/>
        <v>112.19</v>
      </c>
      <c r="JN30" s="69">
        <v>38.979999999999997</v>
      </c>
      <c r="JO30" s="70">
        <v>30.59</v>
      </c>
      <c r="JP30" s="70"/>
      <c r="JQ30" s="71"/>
      <c r="JR30" s="73">
        <f t="shared" si="43"/>
        <v>69.569999999999993</v>
      </c>
      <c r="JS30" s="69">
        <v>48.52</v>
      </c>
      <c r="JT30" s="70">
        <v>47.16</v>
      </c>
      <c r="JU30" s="70"/>
      <c r="JV30" s="71"/>
      <c r="JW30" s="73">
        <f t="shared" si="44"/>
        <v>95.68</v>
      </c>
      <c r="JX30" s="69">
        <v>52.89</v>
      </c>
      <c r="JY30" s="70">
        <v>46.99</v>
      </c>
      <c r="JZ30" s="70">
        <v>11.29</v>
      </c>
      <c r="KA30" s="71"/>
      <c r="KB30" s="73">
        <v>111.16999999999999</v>
      </c>
      <c r="KC30" s="69">
        <v>30.47</v>
      </c>
      <c r="KD30" s="70">
        <v>68.489999999999995</v>
      </c>
      <c r="KE30" s="70">
        <v>47</v>
      </c>
      <c r="KF30" s="71">
        <v>0</v>
      </c>
      <c r="KG30" s="73">
        <v>145.96</v>
      </c>
      <c r="KH30" s="69">
        <v>87.73</v>
      </c>
      <c r="KI30" s="70">
        <v>17.68</v>
      </c>
      <c r="KJ30" s="70"/>
      <c r="KK30" s="71"/>
      <c r="KL30" s="73">
        <v>105.41</v>
      </c>
      <c r="KM30" s="479">
        <v>69.41</v>
      </c>
      <c r="KN30" s="480">
        <v>94.26</v>
      </c>
      <c r="KO30" s="70">
        <v>0</v>
      </c>
      <c r="KP30" s="71">
        <v>0</v>
      </c>
      <c r="KQ30" s="73">
        <f t="shared" si="45"/>
        <v>163.67000000000002</v>
      </c>
      <c r="KR30" s="69">
        <v>101.30000000000001</v>
      </c>
      <c r="KS30" s="70">
        <v>20.9</v>
      </c>
      <c r="KT30" s="70">
        <v>0</v>
      </c>
      <c r="KU30" s="71">
        <v>0</v>
      </c>
      <c r="KV30" s="73">
        <f t="shared" si="46"/>
        <v>122.20000000000002</v>
      </c>
    </row>
    <row r="31" spans="1:308" ht="15.75" x14ac:dyDescent="0.25">
      <c r="A31" s="97"/>
      <c r="B31" s="55">
        <v>22</v>
      </c>
      <c r="C31" s="56">
        <v>52.3</v>
      </c>
      <c r="D31" s="57">
        <v>33.94</v>
      </c>
      <c r="E31" s="58"/>
      <c r="F31" s="59"/>
      <c r="G31" s="60"/>
      <c r="H31" s="61">
        <f t="shared" si="5"/>
        <v>33.94</v>
      </c>
      <c r="I31" s="62">
        <v>50.89</v>
      </c>
      <c r="J31" s="63">
        <v>47.71</v>
      </c>
      <c r="K31" s="63"/>
      <c r="L31" s="64"/>
      <c r="M31" s="33">
        <f t="shared" si="6"/>
        <v>98.6</v>
      </c>
      <c r="N31" s="62">
        <v>44.1</v>
      </c>
      <c r="O31" s="63"/>
      <c r="P31" s="63"/>
      <c r="Q31" s="64"/>
      <c r="R31" s="33">
        <f t="shared" si="0"/>
        <v>44.1</v>
      </c>
      <c r="S31" s="62">
        <v>19.18</v>
      </c>
      <c r="T31" s="63">
        <v>27.01</v>
      </c>
      <c r="U31" s="63">
        <v>25.01</v>
      </c>
      <c r="V31" s="64"/>
      <c r="W31" s="33">
        <f t="shared" si="1"/>
        <v>71.2</v>
      </c>
      <c r="X31" s="62">
        <v>27.18</v>
      </c>
      <c r="Y31" s="63">
        <v>33.49</v>
      </c>
      <c r="Z31" s="63">
        <v>10.7</v>
      </c>
      <c r="AA31" s="64"/>
      <c r="AB31" s="33">
        <f t="shared" si="7"/>
        <v>71.37</v>
      </c>
      <c r="AC31" s="65">
        <v>52.9</v>
      </c>
      <c r="AD31" s="66">
        <v>16.34</v>
      </c>
      <c r="AE31" s="66"/>
      <c r="AF31" s="67"/>
      <c r="AG31" s="37">
        <f t="shared" si="8"/>
        <v>69.239999999999995</v>
      </c>
      <c r="AH31" s="65">
        <v>34.200000000000003</v>
      </c>
      <c r="AI31" s="66">
        <v>18.579999999999998</v>
      </c>
      <c r="AJ31" s="87">
        <v>29.48</v>
      </c>
      <c r="AK31" s="67"/>
      <c r="AL31" s="68">
        <f t="shared" si="47"/>
        <v>82.26</v>
      </c>
      <c r="AM31" s="69">
        <v>37.39</v>
      </c>
      <c r="AN31" s="70">
        <v>47.69</v>
      </c>
      <c r="AO31" s="70"/>
      <c r="AP31" s="71"/>
      <c r="AQ31" s="72">
        <f t="shared" si="48"/>
        <v>85.08</v>
      </c>
      <c r="AR31" s="69">
        <v>40.369999999999997</v>
      </c>
      <c r="AS31" s="70">
        <v>53.82</v>
      </c>
      <c r="AT31" s="70"/>
      <c r="AU31" s="71"/>
      <c r="AV31" s="73">
        <f t="shared" si="49"/>
        <v>94.19</v>
      </c>
      <c r="AW31" s="69">
        <v>46.04</v>
      </c>
      <c r="AX31" s="70">
        <v>62.26</v>
      </c>
      <c r="AY31" s="70"/>
      <c r="AZ31" s="71"/>
      <c r="BA31" s="73">
        <f t="shared" si="57"/>
        <v>108.3</v>
      </c>
      <c r="BB31" s="69">
        <v>75.95</v>
      </c>
      <c r="BC31" s="70"/>
      <c r="BD31" s="70"/>
      <c r="BE31" s="71"/>
      <c r="BF31" s="73">
        <f t="shared" si="58"/>
        <v>75.95</v>
      </c>
      <c r="BG31" s="69">
        <v>58.63</v>
      </c>
      <c r="BH31" s="70">
        <v>37.229999999999997</v>
      </c>
      <c r="BI31" s="70"/>
      <c r="BJ31" s="74"/>
      <c r="BK31" s="73">
        <f t="shared" si="51"/>
        <v>95.86</v>
      </c>
      <c r="BL31" s="69">
        <v>41.96</v>
      </c>
      <c r="BM31" s="70">
        <v>29.03</v>
      </c>
      <c r="BN31" s="70"/>
      <c r="BO31" s="74"/>
      <c r="BP31" s="72">
        <f t="shared" si="52"/>
        <v>70.990000000000009</v>
      </c>
      <c r="BQ31" s="69">
        <v>23.02</v>
      </c>
      <c r="BR31" s="70">
        <v>21.28</v>
      </c>
      <c r="BS31" s="70">
        <v>11.01</v>
      </c>
      <c r="BT31" s="71"/>
      <c r="BU31" s="232">
        <f t="shared" si="9"/>
        <v>55.309999999999995</v>
      </c>
      <c r="BV31" s="233">
        <v>24.58</v>
      </c>
      <c r="BW31" s="234">
        <v>15.7</v>
      </c>
      <c r="BX31" s="234"/>
      <c r="BY31" s="235"/>
      <c r="BZ31" s="236">
        <f t="shared" si="10"/>
        <v>40.28</v>
      </c>
      <c r="CA31" s="237">
        <v>20.43</v>
      </c>
      <c r="CB31" s="238">
        <v>17.09</v>
      </c>
      <c r="CC31" s="238"/>
      <c r="CD31" s="239"/>
      <c r="CE31" s="240">
        <f t="shared" si="53"/>
        <v>37.519999999999996</v>
      </c>
      <c r="CF31" s="237">
        <v>26.56</v>
      </c>
      <c r="CG31" s="238">
        <v>23.63</v>
      </c>
      <c r="CH31" s="238"/>
      <c r="CI31" s="239"/>
      <c r="CJ31" s="240">
        <f t="shared" si="54"/>
        <v>50.19</v>
      </c>
      <c r="CK31" s="237">
        <v>29.68</v>
      </c>
      <c r="CL31" s="238">
        <v>28.21</v>
      </c>
      <c r="CM31" s="238">
        <v>20.52</v>
      </c>
      <c r="CN31" s="239"/>
      <c r="CO31" s="240">
        <f t="shared" si="55"/>
        <v>78.41</v>
      </c>
      <c r="CP31" s="241">
        <v>24.21</v>
      </c>
      <c r="CQ31" s="242">
        <v>33.119999999999997</v>
      </c>
      <c r="CR31" s="242"/>
      <c r="CS31" s="243"/>
      <c r="CT31" s="244">
        <v>57.33</v>
      </c>
      <c r="CU31" s="241">
        <v>37.06</v>
      </c>
      <c r="CV31" s="242">
        <v>40.770000000000003</v>
      </c>
      <c r="CW31" s="242"/>
      <c r="CX31" s="243"/>
      <c r="CY31" s="244">
        <f t="shared" si="2"/>
        <v>77.830000000000013</v>
      </c>
      <c r="CZ31" s="241">
        <v>52.6</v>
      </c>
      <c r="DA31" s="242">
        <v>52.46</v>
      </c>
      <c r="DB31" s="242">
        <v>32.71</v>
      </c>
      <c r="DC31" s="243"/>
      <c r="DD31" s="244">
        <f t="shared" si="3"/>
        <v>137.77000000000001</v>
      </c>
      <c r="DE31" s="241">
        <v>30.39</v>
      </c>
      <c r="DF31" s="242">
        <v>57.26</v>
      </c>
      <c r="DG31" s="242"/>
      <c r="DH31" s="243"/>
      <c r="DI31" s="244">
        <f t="shared" si="4"/>
        <v>87.65</v>
      </c>
      <c r="DJ31" s="241">
        <v>53.17</v>
      </c>
      <c r="DK31" s="242">
        <v>50.42</v>
      </c>
      <c r="DL31" s="242"/>
      <c r="DM31" s="243"/>
      <c r="DN31" s="244">
        <f t="shared" si="11"/>
        <v>103.59</v>
      </c>
      <c r="DO31" s="241">
        <v>51.02</v>
      </c>
      <c r="DP31" s="242">
        <v>32.869999999999997</v>
      </c>
      <c r="DQ31" s="242"/>
      <c r="DR31" s="243"/>
      <c r="DS31" s="244">
        <f t="shared" si="12"/>
        <v>83.89</v>
      </c>
      <c r="DT31" s="241">
        <v>50.97</v>
      </c>
      <c r="DU31" s="242">
        <v>40.840000000000003</v>
      </c>
      <c r="DV31" s="242"/>
      <c r="DW31" s="243"/>
      <c r="DX31" s="244">
        <f t="shared" si="13"/>
        <v>91.81</v>
      </c>
      <c r="DY31" s="76">
        <v>36.94</v>
      </c>
      <c r="DZ31" s="77">
        <v>26.85</v>
      </c>
      <c r="EA31" s="77"/>
      <c r="EB31" s="78"/>
      <c r="EC31" s="244">
        <f t="shared" si="14"/>
        <v>63.79</v>
      </c>
      <c r="ED31" s="241">
        <v>38.15</v>
      </c>
      <c r="EE31" s="242"/>
      <c r="EF31" s="242"/>
      <c r="EG31" s="243"/>
      <c r="EH31" s="244">
        <f t="shared" si="15"/>
        <v>38.15</v>
      </c>
      <c r="EI31" s="241">
        <v>30.2</v>
      </c>
      <c r="EJ31" s="242">
        <v>33.78</v>
      </c>
      <c r="EK31" s="242"/>
      <c r="EL31" s="243"/>
      <c r="EM31" s="244">
        <f t="shared" si="16"/>
        <v>63.980000000000004</v>
      </c>
      <c r="EN31" s="241">
        <v>22.65</v>
      </c>
      <c r="EO31" s="242">
        <v>22.29</v>
      </c>
      <c r="EP31" s="242"/>
      <c r="EQ31" s="243"/>
      <c r="ER31" s="244">
        <f t="shared" si="17"/>
        <v>44.94</v>
      </c>
      <c r="ES31" s="241">
        <v>29.54</v>
      </c>
      <c r="ET31" s="242">
        <v>26.22</v>
      </c>
      <c r="EU31" s="242"/>
      <c r="EV31" s="243"/>
      <c r="EW31" s="244">
        <f t="shared" si="18"/>
        <v>55.76</v>
      </c>
      <c r="EX31" s="241">
        <v>22.99</v>
      </c>
      <c r="EY31" s="242">
        <v>39.01</v>
      </c>
      <c r="EZ31" s="242"/>
      <c r="FA31" s="243"/>
      <c r="FB31" s="244">
        <f t="shared" si="19"/>
        <v>62</v>
      </c>
      <c r="FC31" s="241">
        <v>35.57</v>
      </c>
      <c r="FD31" s="242">
        <v>47.87</v>
      </c>
      <c r="FE31" s="242"/>
      <c r="FF31" s="243"/>
      <c r="FG31" s="244">
        <f t="shared" si="20"/>
        <v>83.44</v>
      </c>
      <c r="FH31" s="241">
        <v>47.65</v>
      </c>
      <c r="FI31" s="242">
        <v>43.47</v>
      </c>
      <c r="FJ31" s="242"/>
      <c r="FK31" s="243"/>
      <c r="FL31" s="244">
        <f t="shared" si="21"/>
        <v>91.12</v>
      </c>
      <c r="FM31" s="241">
        <v>44.24</v>
      </c>
      <c r="FN31" s="242">
        <v>45.46</v>
      </c>
      <c r="FO31" s="242"/>
      <c r="FP31" s="243"/>
      <c r="FQ31" s="244">
        <f t="shared" si="22"/>
        <v>89.7</v>
      </c>
      <c r="FR31" s="241">
        <v>49.43</v>
      </c>
      <c r="FS31" s="242">
        <v>50.9</v>
      </c>
      <c r="FT31" s="242"/>
      <c r="FU31" s="243"/>
      <c r="FV31" s="244">
        <f t="shared" si="23"/>
        <v>100.33</v>
      </c>
      <c r="FW31" s="241">
        <v>49.04</v>
      </c>
      <c r="FX31" s="242">
        <v>47.02</v>
      </c>
      <c r="FY31" s="242"/>
      <c r="FZ31" s="243"/>
      <c r="GA31" s="244">
        <f t="shared" si="24"/>
        <v>96.06</v>
      </c>
      <c r="GB31" s="241">
        <v>39.03</v>
      </c>
      <c r="GC31" s="242">
        <v>31.71</v>
      </c>
      <c r="GD31" s="242"/>
      <c r="GE31" s="243"/>
      <c r="GF31" s="244">
        <f t="shared" si="25"/>
        <v>70.740000000000009</v>
      </c>
      <c r="GG31" s="76">
        <v>33.450000000000003</v>
      </c>
      <c r="GH31" s="77">
        <v>25.22</v>
      </c>
      <c r="GI31" s="77"/>
      <c r="GJ31" s="78"/>
      <c r="GK31" s="244">
        <f t="shared" si="26"/>
        <v>58.67</v>
      </c>
      <c r="GL31" s="241">
        <v>20.78</v>
      </c>
      <c r="GM31" s="242">
        <v>15.28</v>
      </c>
      <c r="GN31" s="242"/>
      <c r="GO31" s="243"/>
      <c r="GP31" s="244">
        <f t="shared" si="27"/>
        <v>36.06</v>
      </c>
      <c r="GQ31" s="241">
        <v>16.43</v>
      </c>
      <c r="GR31" s="242">
        <v>10.62</v>
      </c>
      <c r="GS31" s="242"/>
      <c r="GT31" s="243"/>
      <c r="GU31" s="244">
        <f t="shared" si="28"/>
        <v>27.049999999999997</v>
      </c>
      <c r="GV31" s="241">
        <v>16.18</v>
      </c>
      <c r="GW31" s="242">
        <v>27.63</v>
      </c>
      <c r="GX31" s="242"/>
      <c r="GY31" s="243"/>
      <c r="GZ31" s="244">
        <f t="shared" si="29"/>
        <v>43.81</v>
      </c>
      <c r="HA31" s="241">
        <v>16.559999999999999</v>
      </c>
      <c r="HB31" s="242">
        <v>22.03</v>
      </c>
      <c r="HC31" s="242"/>
      <c r="HD31" s="243"/>
      <c r="HE31" s="244">
        <f t="shared" si="30"/>
        <v>38.590000000000003</v>
      </c>
      <c r="HF31" s="241">
        <v>28.5</v>
      </c>
      <c r="HG31" s="242">
        <v>30.42</v>
      </c>
      <c r="HH31" s="242"/>
      <c r="HI31" s="243"/>
      <c r="HJ31" s="244">
        <f t="shared" si="31"/>
        <v>58.92</v>
      </c>
      <c r="HK31" s="241">
        <v>40.74</v>
      </c>
      <c r="HL31" s="242">
        <v>28.13</v>
      </c>
      <c r="HM31" s="242"/>
      <c r="HN31" s="243"/>
      <c r="HO31" s="244">
        <f t="shared" si="32"/>
        <v>68.87</v>
      </c>
      <c r="HP31" s="241">
        <v>32.130000000000003</v>
      </c>
      <c r="HQ31" s="242">
        <v>68.430000000000007</v>
      </c>
      <c r="HR31" s="242"/>
      <c r="HS31" s="243"/>
      <c r="HT31" s="244">
        <f t="shared" si="33"/>
        <v>100.56</v>
      </c>
      <c r="HU31" s="241">
        <v>75.260000000000005</v>
      </c>
      <c r="HV31" s="269"/>
      <c r="HW31" s="242"/>
      <c r="HX31" s="243"/>
      <c r="HY31" s="244">
        <f t="shared" si="34"/>
        <v>75.260000000000005</v>
      </c>
      <c r="HZ31" s="241">
        <v>83.04</v>
      </c>
      <c r="IA31" s="242">
        <v>50.38</v>
      </c>
      <c r="IB31" s="242"/>
      <c r="IC31" s="243"/>
      <c r="ID31" s="244">
        <f t="shared" si="35"/>
        <v>133.42000000000002</v>
      </c>
      <c r="IE31" s="233">
        <v>40.15</v>
      </c>
      <c r="IF31" s="234">
        <v>35.04</v>
      </c>
      <c r="IG31" s="234">
        <v>18.22</v>
      </c>
      <c r="IH31" s="235"/>
      <c r="II31" s="232">
        <f t="shared" si="36"/>
        <v>93.41</v>
      </c>
      <c r="IJ31" s="233">
        <v>7.25</v>
      </c>
      <c r="IK31" s="234">
        <v>29.27</v>
      </c>
      <c r="IL31" s="234">
        <v>31.16</v>
      </c>
      <c r="IM31" s="235"/>
      <c r="IN31" s="232">
        <f t="shared" si="37"/>
        <v>67.679999999999993</v>
      </c>
      <c r="IO31" s="69">
        <v>30.8</v>
      </c>
      <c r="IP31" s="79"/>
      <c r="IQ31" s="70"/>
      <c r="IR31" s="71"/>
      <c r="IS31" s="73">
        <f t="shared" si="38"/>
        <v>30.8</v>
      </c>
      <c r="IT31" s="69">
        <v>45.27</v>
      </c>
      <c r="IU31" s="70">
        <v>29.23</v>
      </c>
      <c r="IV31" s="70"/>
      <c r="IW31" s="71"/>
      <c r="IX31" s="73">
        <f t="shared" si="39"/>
        <v>74.5</v>
      </c>
      <c r="IY31" s="69">
        <v>24.74</v>
      </c>
      <c r="IZ31" s="70">
        <v>30.52</v>
      </c>
      <c r="JA31" s="70"/>
      <c r="JB31" s="71"/>
      <c r="JC31" s="73">
        <f t="shared" si="40"/>
        <v>55.26</v>
      </c>
      <c r="JD31" s="69">
        <v>55.47</v>
      </c>
      <c r="JE31" s="70">
        <v>22.66</v>
      </c>
      <c r="JF31" s="70"/>
      <c r="JG31" s="71"/>
      <c r="JH31" s="73">
        <f t="shared" si="41"/>
        <v>78.13</v>
      </c>
      <c r="JI31" s="69">
        <v>16.579999999999998</v>
      </c>
      <c r="JJ31" s="70">
        <v>23.98</v>
      </c>
      <c r="JK31" s="70"/>
      <c r="JL31" s="71"/>
      <c r="JM31" s="73">
        <f t="shared" si="42"/>
        <v>40.56</v>
      </c>
      <c r="JN31" s="69">
        <v>42.1</v>
      </c>
      <c r="JO31" s="70">
        <v>3.71</v>
      </c>
      <c r="JP31" s="70">
        <v>19.190000000000001</v>
      </c>
      <c r="JQ31" s="71"/>
      <c r="JR31" s="73">
        <f t="shared" si="43"/>
        <v>65</v>
      </c>
      <c r="JS31" s="69">
        <v>33.6</v>
      </c>
      <c r="JT31" s="70">
        <v>32.76</v>
      </c>
      <c r="JU31" s="70"/>
      <c r="JV31" s="71"/>
      <c r="JW31" s="73">
        <f t="shared" si="44"/>
        <v>66.36</v>
      </c>
      <c r="JX31" s="69">
        <v>36.17</v>
      </c>
      <c r="JY31" s="70">
        <v>30.43</v>
      </c>
      <c r="JZ31" s="70"/>
      <c r="KA31" s="71"/>
      <c r="KB31" s="73">
        <v>66.599999999999994</v>
      </c>
      <c r="KC31" s="69">
        <v>32.76</v>
      </c>
      <c r="KD31" s="70">
        <v>46.08</v>
      </c>
      <c r="KE31" s="70">
        <v>18.97</v>
      </c>
      <c r="KF31" s="71">
        <v>0</v>
      </c>
      <c r="KG31" s="73">
        <v>97.81</v>
      </c>
      <c r="KH31" s="69">
        <v>20.94</v>
      </c>
      <c r="KI31" s="70">
        <v>63.26</v>
      </c>
      <c r="KJ31" s="70"/>
      <c r="KK31" s="71"/>
      <c r="KL31" s="73">
        <v>84.2</v>
      </c>
      <c r="KM31" s="479">
        <v>55.65</v>
      </c>
      <c r="KN31" s="480">
        <v>66.52</v>
      </c>
      <c r="KO31" s="70">
        <v>0</v>
      </c>
      <c r="KP31" s="71">
        <v>0</v>
      </c>
      <c r="KQ31" s="73">
        <f t="shared" si="45"/>
        <v>122.16999999999999</v>
      </c>
      <c r="KR31" s="69">
        <v>64.45</v>
      </c>
      <c r="KS31" s="70">
        <v>0</v>
      </c>
      <c r="KT31" s="70">
        <v>0</v>
      </c>
      <c r="KU31" s="71">
        <v>0</v>
      </c>
      <c r="KV31" s="73">
        <f t="shared" si="46"/>
        <v>64.45</v>
      </c>
    </row>
    <row r="32" spans="1:308" ht="16.5" thickBot="1" x14ac:dyDescent="0.3">
      <c r="A32" s="97"/>
      <c r="B32" s="55">
        <v>24</v>
      </c>
      <c r="C32" s="84">
        <v>44.7</v>
      </c>
      <c r="D32" s="57">
        <v>49.85</v>
      </c>
      <c r="E32" s="58"/>
      <c r="F32" s="59"/>
      <c r="G32" s="60"/>
      <c r="H32" s="61">
        <f t="shared" si="5"/>
        <v>49.85</v>
      </c>
      <c r="I32" s="62"/>
      <c r="J32" s="63"/>
      <c r="K32" s="63"/>
      <c r="L32" s="64"/>
      <c r="M32" s="33">
        <f t="shared" si="6"/>
        <v>0</v>
      </c>
      <c r="N32" s="62">
        <v>47</v>
      </c>
      <c r="O32" s="63"/>
      <c r="P32" s="63"/>
      <c r="Q32" s="64"/>
      <c r="R32" s="33">
        <f t="shared" si="0"/>
        <v>47</v>
      </c>
      <c r="S32" s="62">
        <v>28.85</v>
      </c>
      <c r="T32" s="63"/>
      <c r="U32" s="63"/>
      <c r="V32" s="64"/>
      <c r="W32" s="33">
        <f t="shared" si="1"/>
        <v>28.85</v>
      </c>
      <c r="X32" s="62">
        <v>45.93</v>
      </c>
      <c r="Y32" s="63"/>
      <c r="Z32" s="63"/>
      <c r="AA32" s="64"/>
      <c r="AB32" s="33">
        <f t="shared" si="7"/>
        <v>45.93</v>
      </c>
      <c r="AC32" s="65">
        <v>56.21</v>
      </c>
      <c r="AD32" s="66">
        <v>32.08</v>
      </c>
      <c r="AE32" s="66"/>
      <c r="AF32" s="67"/>
      <c r="AG32" s="37">
        <f t="shared" si="8"/>
        <v>88.289999999999992</v>
      </c>
      <c r="AH32" s="65">
        <v>23.57</v>
      </c>
      <c r="AI32" s="66"/>
      <c r="AJ32" s="66"/>
      <c r="AK32" s="67"/>
      <c r="AL32" s="68">
        <f t="shared" si="47"/>
        <v>23.57</v>
      </c>
      <c r="AM32" s="69">
        <v>32.57</v>
      </c>
      <c r="AN32" s="70">
        <v>34.67</v>
      </c>
      <c r="AO32" s="70"/>
      <c r="AP32" s="71"/>
      <c r="AQ32" s="72">
        <f t="shared" si="48"/>
        <v>67.240000000000009</v>
      </c>
      <c r="AR32" s="69">
        <v>43.82</v>
      </c>
      <c r="AS32" s="70"/>
      <c r="AT32" s="70"/>
      <c r="AU32" s="71"/>
      <c r="AV32" s="73">
        <f t="shared" si="49"/>
        <v>43.82</v>
      </c>
      <c r="AW32" s="69">
        <v>29.95</v>
      </c>
      <c r="AX32" s="70">
        <v>40</v>
      </c>
      <c r="AY32" s="70"/>
      <c r="AZ32" s="71"/>
      <c r="BA32" s="73">
        <f t="shared" si="57"/>
        <v>69.95</v>
      </c>
      <c r="BB32" s="69">
        <f>52.6+2.82</f>
        <v>55.42</v>
      </c>
      <c r="BC32" s="70"/>
      <c r="BD32" s="70"/>
      <c r="BE32" s="71"/>
      <c r="BF32" s="73">
        <f t="shared" si="58"/>
        <v>55.42</v>
      </c>
      <c r="BG32" s="69">
        <f>73.4+4.57</f>
        <v>77.97</v>
      </c>
      <c r="BH32" s="70"/>
      <c r="BI32" s="70"/>
      <c r="BJ32" s="74"/>
      <c r="BK32" s="73">
        <f>SUM(BG32:BJ32)</f>
        <v>77.97</v>
      </c>
      <c r="BL32" s="69">
        <f>69.32+2.62</f>
        <v>71.94</v>
      </c>
      <c r="BM32" s="70"/>
      <c r="BN32" s="70"/>
      <c r="BO32" s="74"/>
      <c r="BP32" s="72">
        <f t="shared" si="52"/>
        <v>71.94</v>
      </c>
      <c r="BQ32" s="69">
        <f>40.73+3.11</f>
        <v>43.839999999999996</v>
      </c>
      <c r="BR32" s="70">
        <f>16.5+1.54</f>
        <v>18.04</v>
      </c>
      <c r="BS32" s="70"/>
      <c r="BT32" s="71"/>
      <c r="BU32" s="232">
        <f t="shared" si="9"/>
        <v>61.879999999999995</v>
      </c>
      <c r="BV32" s="233">
        <v>4.7699999999999996</v>
      </c>
      <c r="BW32" s="234">
        <v>10.75</v>
      </c>
      <c r="BX32" s="234"/>
      <c r="BY32" s="235"/>
      <c r="BZ32" s="236">
        <f t="shared" si="10"/>
        <v>15.52</v>
      </c>
      <c r="CA32" s="237">
        <v>10.76</v>
      </c>
      <c r="CB32" s="238">
        <v>15.23</v>
      </c>
      <c r="CC32" s="238"/>
      <c r="CD32" s="239"/>
      <c r="CE32" s="240">
        <f t="shared" si="53"/>
        <v>25.990000000000002</v>
      </c>
      <c r="CF32" s="237">
        <v>21.56</v>
      </c>
      <c r="CG32" s="238">
        <v>20.79</v>
      </c>
      <c r="CH32" s="238"/>
      <c r="CI32" s="239"/>
      <c r="CJ32" s="240">
        <f t="shared" si="54"/>
        <v>42.349999999999994</v>
      </c>
      <c r="CK32" s="237">
        <v>21.63</v>
      </c>
      <c r="CL32" s="238">
        <v>13.39</v>
      </c>
      <c r="CM32" s="238"/>
      <c r="CN32" s="239"/>
      <c r="CO32" s="240">
        <f t="shared" si="55"/>
        <v>35.019999999999996</v>
      </c>
      <c r="CP32" s="241">
        <v>20.55</v>
      </c>
      <c r="CQ32" s="242">
        <v>12.14</v>
      </c>
      <c r="CR32" s="242"/>
      <c r="CS32" s="243"/>
      <c r="CT32" s="244">
        <v>32.69</v>
      </c>
      <c r="CU32" s="241">
        <v>20.309999999999999</v>
      </c>
      <c r="CV32" s="242">
        <v>17.55</v>
      </c>
      <c r="CW32" s="242"/>
      <c r="CX32" s="243"/>
      <c r="CY32" s="244">
        <f t="shared" si="2"/>
        <v>37.86</v>
      </c>
      <c r="CZ32" s="241">
        <v>30.49</v>
      </c>
      <c r="DA32" s="242">
        <v>41.28</v>
      </c>
      <c r="DB32" s="242"/>
      <c r="DC32" s="243"/>
      <c r="DD32" s="244">
        <f t="shared" si="3"/>
        <v>71.77</v>
      </c>
      <c r="DE32" s="241">
        <v>46.45</v>
      </c>
      <c r="DF32" s="242">
        <v>28.63</v>
      </c>
      <c r="DG32" s="242"/>
      <c r="DH32" s="243"/>
      <c r="DI32" s="244">
        <f t="shared" si="4"/>
        <v>75.08</v>
      </c>
      <c r="DJ32" s="241">
        <v>23.69</v>
      </c>
      <c r="DK32" s="242">
        <v>58.59</v>
      </c>
      <c r="DL32" s="242"/>
      <c r="DM32" s="243"/>
      <c r="DN32" s="244">
        <f t="shared" si="11"/>
        <v>82.28</v>
      </c>
      <c r="DO32" s="241">
        <v>59.83</v>
      </c>
      <c r="DP32" s="242"/>
      <c r="DQ32" s="242"/>
      <c r="DR32" s="243"/>
      <c r="DS32" s="244">
        <f t="shared" si="12"/>
        <v>59.83</v>
      </c>
      <c r="DT32" s="241">
        <v>46.12</v>
      </c>
      <c r="DU32" s="242"/>
      <c r="DV32" s="242"/>
      <c r="DW32" s="243"/>
      <c r="DX32" s="244">
        <f t="shared" si="13"/>
        <v>46.12</v>
      </c>
      <c r="DY32" s="76">
        <v>34.53</v>
      </c>
      <c r="DZ32" s="77">
        <v>15.22</v>
      </c>
      <c r="EA32" s="77"/>
      <c r="EB32" s="78"/>
      <c r="EC32" s="244">
        <f t="shared" si="14"/>
        <v>49.75</v>
      </c>
      <c r="ED32" s="241">
        <v>9.9499999999999993</v>
      </c>
      <c r="EE32" s="242">
        <v>24.55</v>
      </c>
      <c r="EF32" s="242"/>
      <c r="EG32" s="243"/>
      <c r="EH32" s="244">
        <f t="shared" si="15"/>
        <v>34.5</v>
      </c>
      <c r="EI32" s="241">
        <v>29.77</v>
      </c>
      <c r="EJ32" s="242"/>
      <c r="EK32" s="242"/>
      <c r="EL32" s="243"/>
      <c r="EM32" s="244">
        <f t="shared" si="16"/>
        <v>29.77</v>
      </c>
      <c r="EN32" s="241">
        <v>29.76</v>
      </c>
      <c r="EO32" s="242"/>
      <c r="EP32" s="242"/>
      <c r="EQ32" s="243"/>
      <c r="ER32" s="244">
        <f t="shared" si="17"/>
        <v>29.76</v>
      </c>
      <c r="ES32" s="241">
        <v>12.15</v>
      </c>
      <c r="ET32" s="242">
        <v>29.13</v>
      </c>
      <c r="EU32" s="242">
        <v>5.83</v>
      </c>
      <c r="EV32" s="243"/>
      <c r="EW32" s="244">
        <f t="shared" si="18"/>
        <v>47.11</v>
      </c>
      <c r="EX32" s="241">
        <v>28.01</v>
      </c>
      <c r="EY32" s="242">
        <v>27.38</v>
      </c>
      <c r="EZ32" s="242"/>
      <c r="FA32" s="243"/>
      <c r="FB32" s="244">
        <f t="shared" si="19"/>
        <v>55.39</v>
      </c>
      <c r="FC32" s="241">
        <v>25.04</v>
      </c>
      <c r="FD32" s="242">
        <v>28</v>
      </c>
      <c r="FE32" s="242"/>
      <c r="FF32" s="243"/>
      <c r="FG32" s="244">
        <f t="shared" si="20"/>
        <v>53.04</v>
      </c>
      <c r="FH32" s="241">
        <v>24.2</v>
      </c>
      <c r="FI32" s="242">
        <v>31.73</v>
      </c>
      <c r="FJ32" s="242"/>
      <c r="FK32" s="243"/>
      <c r="FL32" s="244">
        <f t="shared" si="21"/>
        <v>55.93</v>
      </c>
      <c r="FM32" s="241">
        <v>33.94</v>
      </c>
      <c r="FN32" s="242">
        <f>34.39+0.3</f>
        <v>34.69</v>
      </c>
      <c r="FO32" s="242"/>
      <c r="FP32" s="243"/>
      <c r="FQ32" s="244">
        <f t="shared" si="22"/>
        <v>68.63</v>
      </c>
      <c r="FR32" s="241">
        <v>44.36</v>
      </c>
      <c r="FS32" s="242">
        <v>43.1</v>
      </c>
      <c r="FT32" s="242"/>
      <c r="FU32" s="243"/>
      <c r="FV32" s="244">
        <f t="shared" si="23"/>
        <v>87.460000000000008</v>
      </c>
      <c r="FW32" s="241">
        <v>46.4</v>
      </c>
      <c r="FX32" s="242">
        <v>34.619999999999997</v>
      </c>
      <c r="FY32" s="242"/>
      <c r="FZ32" s="243"/>
      <c r="GA32" s="244">
        <f t="shared" si="24"/>
        <v>81.02</v>
      </c>
      <c r="GB32" s="241">
        <v>61.3</v>
      </c>
      <c r="GC32" s="262"/>
      <c r="GD32" s="242"/>
      <c r="GE32" s="243"/>
      <c r="GF32" s="244">
        <f t="shared" si="25"/>
        <v>61.3</v>
      </c>
      <c r="GG32" s="76">
        <v>40.47</v>
      </c>
      <c r="GH32" s="77">
        <v>11.98</v>
      </c>
      <c r="GI32" s="77"/>
      <c r="GJ32" s="78"/>
      <c r="GK32" s="244">
        <f t="shared" si="26"/>
        <v>52.45</v>
      </c>
      <c r="GL32" s="241">
        <v>10.65</v>
      </c>
      <c r="GM32" s="242">
        <v>11.75</v>
      </c>
      <c r="GN32" s="242"/>
      <c r="GO32" s="243"/>
      <c r="GP32" s="244">
        <f t="shared" si="27"/>
        <v>22.4</v>
      </c>
      <c r="GQ32" s="241">
        <v>7.11</v>
      </c>
      <c r="GR32" s="242">
        <v>4.0199999999999996</v>
      </c>
      <c r="GS32" s="242">
        <v>2.67</v>
      </c>
      <c r="GT32" s="243"/>
      <c r="GU32" s="244">
        <f t="shared" si="28"/>
        <v>13.799999999999999</v>
      </c>
      <c r="GV32" s="241">
        <v>14.27</v>
      </c>
      <c r="GW32" s="242">
        <v>2.87</v>
      </c>
      <c r="GX32" s="242"/>
      <c r="GY32" s="243"/>
      <c r="GZ32" s="244">
        <f t="shared" si="29"/>
        <v>17.14</v>
      </c>
      <c r="HA32" s="241">
        <v>40.590000000000003</v>
      </c>
      <c r="HB32" s="242">
        <v>24.53</v>
      </c>
      <c r="HC32" s="242"/>
      <c r="HD32" s="243"/>
      <c r="HE32" s="244">
        <f t="shared" si="30"/>
        <v>65.12</v>
      </c>
      <c r="HF32" s="241">
        <v>16.11</v>
      </c>
      <c r="HG32" s="242">
        <v>19.62</v>
      </c>
      <c r="HH32" s="242">
        <v>27.34</v>
      </c>
      <c r="HI32" s="243"/>
      <c r="HJ32" s="244">
        <f t="shared" si="31"/>
        <v>63.070000000000007</v>
      </c>
      <c r="HK32" s="241">
        <v>45.15</v>
      </c>
      <c r="HL32" s="242">
        <v>11.87</v>
      </c>
      <c r="HM32" s="242"/>
      <c r="HN32" s="243"/>
      <c r="HO32" s="244">
        <f t="shared" si="32"/>
        <v>57.019999999999996</v>
      </c>
      <c r="HP32" s="241">
        <v>23.98</v>
      </c>
      <c r="HQ32" s="242">
        <v>73.34</v>
      </c>
      <c r="HR32" s="242"/>
      <c r="HS32" s="243"/>
      <c r="HT32" s="244">
        <f t="shared" si="33"/>
        <v>97.320000000000007</v>
      </c>
      <c r="HU32" s="241">
        <v>87.79</v>
      </c>
      <c r="HV32" s="269"/>
      <c r="HW32" s="242"/>
      <c r="HX32" s="243"/>
      <c r="HY32" s="244">
        <f t="shared" si="34"/>
        <v>87.79</v>
      </c>
      <c r="HZ32" s="241">
        <v>86.78</v>
      </c>
      <c r="IA32" s="242">
        <v>44.96</v>
      </c>
      <c r="IB32" s="242"/>
      <c r="IC32" s="243"/>
      <c r="ID32" s="244">
        <f t="shared" si="35"/>
        <v>131.74</v>
      </c>
      <c r="IE32" s="233">
        <f>74.8+2.67</f>
        <v>77.47</v>
      </c>
      <c r="IF32" s="234">
        <v>22.06</v>
      </c>
      <c r="IG32" s="234"/>
      <c r="IH32" s="235"/>
      <c r="II32" s="232">
        <f t="shared" si="36"/>
        <v>99.53</v>
      </c>
      <c r="IJ32" s="233">
        <v>29.61</v>
      </c>
      <c r="IK32" s="234">
        <v>57.95</v>
      </c>
      <c r="IL32" s="234"/>
      <c r="IM32" s="235"/>
      <c r="IN32" s="232">
        <f t="shared" si="37"/>
        <v>87.56</v>
      </c>
      <c r="IO32" s="69">
        <v>53.53</v>
      </c>
      <c r="IP32" s="79"/>
      <c r="IQ32" s="70"/>
      <c r="IR32" s="71"/>
      <c r="IS32" s="73">
        <f t="shared" si="38"/>
        <v>53.53</v>
      </c>
      <c r="IT32" s="69">
        <v>53.72</v>
      </c>
      <c r="IU32" s="70">
        <v>6.63</v>
      </c>
      <c r="IV32" s="70"/>
      <c r="IW32" s="71"/>
      <c r="IX32" s="73">
        <f t="shared" si="39"/>
        <v>60.35</v>
      </c>
      <c r="IY32" s="69">
        <v>38.17</v>
      </c>
      <c r="IZ32" s="70">
        <v>10.39</v>
      </c>
      <c r="JA32" s="70"/>
      <c r="JB32" s="71"/>
      <c r="JC32" s="73">
        <f t="shared" si="40"/>
        <v>48.56</v>
      </c>
      <c r="JD32" s="69">
        <v>53.56</v>
      </c>
      <c r="JE32" s="70">
        <v>38.85</v>
      </c>
      <c r="JF32" s="70"/>
      <c r="JG32" s="71"/>
      <c r="JH32" s="73">
        <f t="shared" si="41"/>
        <v>92.41</v>
      </c>
      <c r="JI32" s="69">
        <v>3.97</v>
      </c>
      <c r="JJ32" s="70">
        <v>28.66</v>
      </c>
      <c r="JK32" s="70"/>
      <c r="JL32" s="71"/>
      <c r="JM32" s="73">
        <f t="shared" si="42"/>
        <v>32.630000000000003</v>
      </c>
      <c r="JN32" s="69">
        <v>45.17</v>
      </c>
      <c r="JO32" s="70">
        <v>19.14</v>
      </c>
      <c r="JP32" s="70"/>
      <c r="JQ32" s="71"/>
      <c r="JR32" s="73">
        <f t="shared" si="43"/>
        <v>64.31</v>
      </c>
      <c r="JS32" s="69">
        <v>21.82</v>
      </c>
      <c r="JT32" s="70">
        <v>23.58</v>
      </c>
      <c r="JU32" s="70">
        <v>3.94</v>
      </c>
      <c r="JV32" s="71"/>
      <c r="JW32" s="73">
        <f t="shared" si="44"/>
        <v>49.339999999999996</v>
      </c>
      <c r="JX32" s="69">
        <v>36.090000000000003</v>
      </c>
      <c r="JY32" s="70">
        <v>38.69</v>
      </c>
      <c r="JZ32" s="70">
        <v>3.01</v>
      </c>
      <c r="KA32" s="71"/>
      <c r="KB32" s="73">
        <v>77.790000000000006</v>
      </c>
      <c r="KC32" s="69">
        <v>19.45</v>
      </c>
      <c r="KD32" s="70">
        <v>51.44</v>
      </c>
      <c r="KE32" s="70">
        <v>0</v>
      </c>
      <c r="KF32" s="71">
        <v>0</v>
      </c>
      <c r="KG32" s="73">
        <v>70.89</v>
      </c>
      <c r="KH32" s="69">
        <v>52.29</v>
      </c>
      <c r="KI32" s="70">
        <v>60.83</v>
      </c>
      <c r="KJ32" s="70"/>
      <c r="KK32" s="71"/>
      <c r="KL32" s="73">
        <v>113.12</v>
      </c>
      <c r="KM32" s="479">
        <v>45.06</v>
      </c>
      <c r="KN32" s="480">
        <v>49.58</v>
      </c>
      <c r="KO32" s="70">
        <v>0</v>
      </c>
      <c r="KP32" s="71">
        <v>0</v>
      </c>
      <c r="KQ32" s="73">
        <f t="shared" si="45"/>
        <v>94.64</v>
      </c>
      <c r="KR32" s="69">
        <v>49.910000000000004</v>
      </c>
      <c r="KS32" s="70">
        <v>0</v>
      </c>
      <c r="KT32" s="70">
        <v>0</v>
      </c>
      <c r="KU32" s="71">
        <v>0</v>
      </c>
      <c r="KV32" s="73">
        <f t="shared" si="46"/>
        <v>49.910000000000004</v>
      </c>
    </row>
    <row r="33" spans="1:308" ht="16.5" customHeight="1" thickBot="1" x14ac:dyDescent="0.3">
      <c r="A33" s="190"/>
      <c r="B33" s="83">
        <v>38</v>
      </c>
      <c r="C33" s="90"/>
      <c r="D33" s="57"/>
      <c r="E33" s="58"/>
      <c r="F33" s="59"/>
      <c r="G33" s="60"/>
      <c r="H33" s="61">
        <f t="shared" si="5"/>
        <v>0</v>
      </c>
      <c r="I33" s="62"/>
      <c r="J33" s="63"/>
      <c r="K33" s="63"/>
      <c r="L33" s="64"/>
      <c r="M33" s="33">
        <f>SUM(I33:L33)</f>
        <v>0</v>
      </c>
      <c r="N33" s="62"/>
      <c r="O33" s="63"/>
      <c r="P33" s="63"/>
      <c r="Q33" s="64"/>
      <c r="R33" s="33">
        <f t="shared" si="0"/>
        <v>0</v>
      </c>
      <c r="S33" s="62"/>
      <c r="T33" s="63"/>
      <c r="U33" s="63"/>
      <c r="V33" s="64"/>
      <c r="W33" s="33">
        <f t="shared" si="1"/>
        <v>0</v>
      </c>
      <c r="X33" s="62">
        <v>0</v>
      </c>
      <c r="Y33" s="63"/>
      <c r="Z33" s="63"/>
      <c r="AA33" s="64"/>
      <c r="AB33" s="33">
        <f>SUM(X33:AA33)</f>
        <v>0</v>
      </c>
      <c r="AC33" s="65"/>
      <c r="AD33" s="66"/>
      <c r="AE33" s="66"/>
      <c r="AF33" s="67"/>
      <c r="AG33" s="37">
        <f>SUM(AC33:AF33)</f>
        <v>0</v>
      </c>
      <c r="AH33" s="65"/>
      <c r="AI33" s="66"/>
      <c r="AJ33" s="66"/>
      <c r="AK33" s="67"/>
      <c r="AL33" s="68">
        <f>SUM(AH33:AK33)</f>
        <v>0</v>
      </c>
      <c r="AM33" s="69"/>
      <c r="AN33" s="70"/>
      <c r="AO33" s="70"/>
      <c r="AP33" s="71"/>
      <c r="AQ33" s="72">
        <f t="shared" si="48"/>
        <v>0</v>
      </c>
      <c r="AR33" s="69"/>
      <c r="AS33" s="70"/>
      <c r="AT33" s="70"/>
      <c r="AU33" s="71"/>
      <c r="AV33" s="73">
        <f t="shared" si="49"/>
        <v>0</v>
      </c>
      <c r="AW33" s="69"/>
      <c r="AX33" s="70"/>
      <c r="AY33" s="70"/>
      <c r="AZ33" s="71"/>
      <c r="BA33" s="73">
        <f t="shared" si="50"/>
        <v>0</v>
      </c>
      <c r="BB33" s="69"/>
      <c r="BC33" s="70"/>
      <c r="BD33" s="70"/>
      <c r="BE33" s="71"/>
      <c r="BF33" s="73">
        <f>SUM(BB33:BE33)</f>
        <v>0</v>
      </c>
      <c r="BG33" s="69"/>
      <c r="BH33" s="70"/>
      <c r="BI33" s="70"/>
      <c r="BJ33" s="74"/>
      <c r="BK33" s="73">
        <f t="shared" ref="BK33:BK47" si="59">SUM(BG33:BJ33)</f>
        <v>0</v>
      </c>
      <c r="BL33" s="69"/>
      <c r="BM33" s="70"/>
      <c r="BN33" s="70"/>
      <c r="BO33" s="74"/>
      <c r="BP33" s="72">
        <f t="shared" si="52"/>
        <v>0</v>
      </c>
      <c r="BQ33" s="69"/>
      <c r="BR33" s="70"/>
      <c r="BS33" s="70"/>
      <c r="BT33" s="71"/>
      <c r="BU33" s="232">
        <f t="shared" si="9"/>
        <v>0</v>
      </c>
      <c r="BV33" s="233"/>
      <c r="BW33" s="234"/>
      <c r="BX33" s="234"/>
      <c r="BY33" s="235"/>
      <c r="BZ33" s="236">
        <f t="shared" si="10"/>
        <v>0</v>
      </c>
      <c r="CA33" s="237"/>
      <c r="CB33" s="238"/>
      <c r="CC33" s="238"/>
      <c r="CD33" s="239"/>
      <c r="CE33" s="240">
        <f t="shared" si="53"/>
        <v>0</v>
      </c>
      <c r="CF33" s="237"/>
      <c r="CG33" s="238"/>
      <c r="CH33" s="238"/>
      <c r="CI33" s="239"/>
      <c r="CJ33" s="240">
        <f t="shared" si="54"/>
        <v>0</v>
      </c>
      <c r="CK33" s="237"/>
      <c r="CL33" s="238"/>
      <c r="CM33" s="238"/>
      <c r="CN33" s="239"/>
      <c r="CO33" s="240">
        <f t="shared" si="55"/>
        <v>0</v>
      </c>
      <c r="CP33" s="241"/>
      <c r="CQ33" s="242"/>
      <c r="CR33" s="242"/>
      <c r="CS33" s="243"/>
      <c r="CT33" s="244"/>
      <c r="CU33" s="241"/>
      <c r="CV33" s="242"/>
      <c r="CW33" s="242"/>
      <c r="CX33" s="243"/>
      <c r="CY33" s="244"/>
      <c r="CZ33" s="241"/>
      <c r="DA33" s="242"/>
      <c r="DB33" s="242"/>
      <c r="DC33" s="243"/>
      <c r="DD33" s="244"/>
      <c r="DE33" s="241"/>
      <c r="DF33" s="242"/>
      <c r="DG33" s="242"/>
      <c r="DH33" s="243"/>
      <c r="DI33" s="244"/>
      <c r="DJ33" s="241"/>
      <c r="DK33" s="242"/>
      <c r="DL33" s="242"/>
      <c r="DM33" s="243"/>
      <c r="DN33" s="244"/>
      <c r="DO33" s="241"/>
      <c r="DP33" s="242"/>
      <c r="DQ33" s="242"/>
      <c r="DR33" s="243"/>
      <c r="DS33" s="244"/>
      <c r="DT33" s="241"/>
      <c r="DU33" s="242"/>
      <c r="DV33" s="242"/>
      <c r="DW33" s="243"/>
      <c r="DX33" s="244"/>
      <c r="DY33" s="76"/>
      <c r="DZ33" s="77"/>
      <c r="EA33" s="77"/>
      <c r="EB33" s="78"/>
      <c r="EC33" s="244"/>
      <c r="ED33" s="241"/>
      <c r="EE33" s="242"/>
      <c r="EF33" s="242"/>
      <c r="EG33" s="243"/>
      <c r="EH33" s="244"/>
      <c r="EI33" s="241"/>
      <c r="EJ33" s="242"/>
      <c r="EK33" s="242"/>
      <c r="EL33" s="243"/>
      <c r="EM33" s="244"/>
      <c r="EN33" s="241"/>
      <c r="EO33" s="242"/>
      <c r="EP33" s="242"/>
      <c r="EQ33" s="243"/>
      <c r="ER33" s="244"/>
      <c r="ES33" s="241"/>
      <c r="ET33" s="242"/>
      <c r="EU33" s="242"/>
      <c r="EV33" s="243"/>
      <c r="EW33" s="244"/>
      <c r="EX33" s="241"/>
      <c r="EY33" s="242"/>
      <c r="EZ33" s="242"/>
      <c r="FA33" s="243"/>
      <c r="FB33" s="244"/>
      <c r="FC33" s="241"/>
      <c r="FD33" s="242"/>
      <c r="FE33" s="242"/>
      <c r="FF33" s="243"/>
      <c r="FG33" s="244"/>
      <c r="FH33" s="241"/>
      <c r="FI33" s="242"/>
      <c r="FJ33" s="242"/>
      <c r="FK33" s="243"/>
      <c r="FL33" s="244"/>
      <c r="FM33" s="241"/>
      <c r="FN33" s="242"/>
      <c r="FO33" s="242"/>
      <c r="FP33" s="243"/>
      <c r="FQ33" s="244"/>
      <c r="FR33" s="241"/>
      <c r="FS33" s="242"/>
      <c r="FT33" s="242"/>
      <c r="FU33" s="243"/>
      <c r="FV33" s="244"/>
      <c r="FW33" s="241"/>
      <c r="FX33" s="242"/>
      <c r="FY33" s="242"/>
      <c r="FZ33" s="243"/>
      <c r="GA33" s="244"/>
      <c r="GB33" s="241"/>
      <c r="GC33" s="242"/>
      <c r="GD33" s="242"/>
      <c r="GE33" s="243"/>
      <c r="GF33" s="244"/>
      <c r="GG33" s="76"/>
      <c r="GH33" s="77"/>
      <c r="GI33" s="77"/>
      <c r="GJ33" s="78"/>
      <c r="GK33" s="244"/>
      <c r="GL33" s="241"/>
      <c r="GM33" s="242"/>
      <c r="GN33" s="242"/>
      <c r="GO33" s="243"/>
      <c r="GP33" s="244"/>
      <c r="GQ33" s="241"/>
      <c r="GR33" s="242"/>
      <c r="GS33" s="242"/>
      <c r="GT33" s="243"/>
      <c r="GU33" s="244"/>
      <c r="GV33" s="241"/>
      <c r="GW33" s="242"/>
      <c r="GX33" s="242"/>
      <c r="GY33" s="243"/>
      <c r="GZ33" s="244"/>
      <c r="HA33" s="241"/>
      <c r="HB33" s="242"/>
      <c r="HC33" s="242"/>
      <c r="HD33" s="243"/>
      <c r="HE33" s="244"/>
      <c r="HF33" s="241"/>
      <c r="HG33" s="242"/>
      <c r="HH33" s="242"/>
      <c r="HI33" s="243"/>
      <c r="HJ33" s="244"/>
      <c r="HK33" s="241"/>
      <c r="HL33" s="242"/>
      <c r="HM33" s="242"/>
      <c r="HN33" s="243"/>
      <c r="HO33" s="244"/>
      <c r="HP33" s="241"/>
      <c r="HQ33" s="242"/>
      <c r="HR33" s="242"/>
      <c r="HS33" s="243"/>
      <c r="HT33" s="244"/>
      <c r="HU33" s="241"/>
      <c r="HV33" s="242"/>
      <c r="HW33" s="242"/>
      <c r="HX33" s="243"/>
      <c r="HY33" s="244"/>
      <c r="HZ33" s="241"/>
      <c r="IA33" s="242"/>
      <c r="IB33" s="242"/>
      <c r="IC33" s="243"/>
      <c r="ID33" s="244"/>
      <c r="IE33" s="233"/>
      <c r="IF33" s="234"/>
      <c r="IG33" s="234"/>
      <c r="IH33" s="235"/>
      <c r="II33" s="232"/>
      <c r="IJ33" s="233"/>
      <c r="IK33" s="234"/>
      <c r="IL33" s="234"/>
      <c r="IM33" s="235"/>
      <c r="IN33" s="232"/>
      <c r="IO33" s="69"/>
      <c r="IP33" s="79"/>
      <c r="IQ33" s="70"/>
      <c r="IR33" s="71"/>
      <c r="IS33" s="73"/>
      <c r="IT33" s="69"/>
      <c r="IU33" s="70"/>
      <c r="IV33" s="70"/>
      <c r="IW33" s="71"/>
      <c r="IX33" s="73"/>
      <c r="IY33" s="69"/>
      <c r="IZ33" s="70"/>
      <c r="JA33" s="70"/>
      <c r="JB33" s="71"/>
      <c r="JC33" s="73"/>
      <c r="JD33" s="69"/>
      <c r="JE33" s="70"/>
      <c r="JF33" s="70"/>
      <c r="JG33" s="71"/>
      <c r="JH33" s="73"/>
      <c r="JI33" s="69"/>
      <c r="JJ33" s="70"/>
      <c r="JK33" s="70"/>
      <c r="JL33" s="71"/>
      <c r="JM33" s="73"/>
      <c r="JN33" s="69"/>
      <c r="JO33" s="70"/>
      <c r="JP33" s="70"/>
      <c r="JQ33" s="71"/>
      <c r="JR33" s="73"/>
      <c r="JS33" s="69"/>
      <c r="JT33" s="70"/>
      <c r="JU33" s="70"/>
      <c r="JV33" s="71"/>
      <c r="JW33" s="73"/>
      <c r="JX33" s="69"/>
      <c r="JY33" s="70"/>
      <c r="JZ33" s="70"/>
      <c r="KA33" s="71"/>
      <c r="KB33" s="73"/>
      <c r="KC33" s="69"/>
      <c r="KD33" s="70"/>
      <c r="KE33" s="70"/>
      <c r="KF33" s="71"/>
      <c r="KG33" s="73">
        <v>0</v>
      </c>
      <c r="KH33" s="69"/>
      <c r="KI33" s="70"/>
      <c r="KJ33" s="70"/>
      <c r="KK33" s="71"/>
      <c r="KL33" s="73"/>
      <c r="KM33" s="479" t="s">
        <v>102</v>
      </c>
      <c r="KN33" s="480" t="s">
        <v>102</v>
      </c>
      <c r="KO33" s="70" t="s">
        <v>102</v>
      </c>
      <c r="KP33" s="71" t="s">
        <v>102</v>
      </c>
      <c r="KQ33" s="73">
        <f t="shared" si="45"/>
        <v>0</v>
      </c>
      <c r="KR33" s="69" t="s">
        <v>102</v>
      </c>
      <c r="KS33" s="70" t="s">
        <v>102</v>
      </c>
      <c r="KT33" s="70" t="s">
        <v>102</v>
      </c>
      <c r="KU33" s="71" t="s">
        <v>102</v>
      </c>
      <c r="KV33" s="73">
        <f t="shared" si="46"/>
        <v>0</v>
      </c>
    </row>
    <row r="34" spans="1:308" ht="15.75" customHeight="1" x14ac:dyDescent="0.25">
      <c r="A34" s="91" t="s">
        <v>24</v>
      </c>
      <c r="B34" s="23" t="s">
        <v>25</v>
      </c>
      <c r="C34" s="90"/>
      <c r="D34" s="92"/>
      <c r="E34" s="93"/>
      <c r="F34" s="94"/>
      <c r="G34" s="95"/>
      <c r="H34" s="61">
        <f t="shared" si="5"/>
        <v>0</v>
      </c>
      <c r="I34" s="76"/>
      <c r="J34" s="63"/>
      <c r="K34" s="63"/>
      <c r="L34" s="64"/>
      <c r="M34" s="33">
        <f>SUM(I34:L34)</f>
        <v>0</v>
      </c>
      <c r="N34" s="76"/>
      <c r="O34" s="63"/>
      <c r="P34" s="63"/>
      <c r="Q34" s="64"/>
      <c r="R34" s="33">
        <f t="shared" si="0"/>
        <v>0</v>
      </c>
      <c r="S34" s="76"/>
      <c r="T34" s="63"/>
      <c r="U34" s="63"/>
      <c r="V34" s="64"/>
      <c r="W34" s="33">
        <f t="shared" si="1"/>
        <v>0</v>
      </c>
      <c r="X34" s="76"/>
      <c r="Y34" s="63"/>
      <c r="Z34" s="63"/>
      <c r="AA34" s="64"/>
      <c r="AB34" s="33">
        <f>SUM(X34:AA34)</f>
        <v>0</v>
      </c>
      <c r="AC34" s="96"/>
      <c r="AD34" s="66"/>
      <c r="AE34" s="66"/>
      <c r="AF34" s="67"/>
      <c r="AG34" s="37">
        <f>SUM(AC34:AF34)</f>
        <v>0</v>
      </c>
      <c r="AH34" s="96"/>
      <c r="AI34" s="66"/>
      <c r="AJ34" s="66"/>
      <c r="AK34" s="67"/>
      <c r="AL34" s="68">
        <f>SUM(AH34:AK34)</f>
        <v>0</v>
      </c>
      <c r="AM34" s="69"/>
      <c r="AN34" s="70"/>
      <c r="AO34" s="70"/>
      <c r="AP34" s="71"/>
      <c r="AQ34" s="72">
        <f t="shared" si="48"/>
        <v>0</v>
      </c>
      <c r="AR34" s="69"/>
      <c r="AS34" s="70"/>
      <c r="AT34" s="70"/>
      <c r="AU34" s="71"/>
      <c r="AV34" s="73">
        <f t="shared" si="49"/>
        <v>0</v>
      </c>
      <c r="AW34" s="69"/>
      <c r="AX34" s="70"/>
      <c r="AY34" s="70"/>
      <c r="AZ34" s="71"/>
      <c r="BA34" s="73">
        <f t="shared" si="50"/>
        <v>0</v>
      </c>
      <c r="BB34" s="69"/>
      <c r="BC34" s="70"/>
      <c r="BD34" s="70"/>
      <c r="BE34" s="71"/>
      <c r="BF34" s="73">
        <f>SUM(BB34:BE34)</f>
        <v>0</v>
      </c>
      <c r="BG34" s="69"/>
      <c r="BH34" s="70"/>
      <c r="BI34" s="70"/>
      <c r="BJ34" s="74"/>
      <c r="BK34" s="73">
        <f t="shared" si="59"/>
        <v>0</v>
      </c>
      <c r="BL34" s="69"/>
      <c r="BM34" s="70"/>
      <c r="BN34" s="70"/>
      <c r="BO34" s="74"/>
      <c r="BP34" s="72">
        <f t="shared" si="52"/>
        <v>0</v>
      </c>
      <c r="BQ34" s="69"/>
      <c r="BR34" s="70"/>
      <c r="BS34" s="70"/>
      <c r="BT34" s="71"/>
      <c r="BU34" s="232">
        <f t="shared" si="9"/>
        <v>0</v>
      </c>
      <c r="BV34" s="233"/>
      <c r="BW34" s="234"/>
      <c r="BX34" s="234"/>
      <c r="BY34" s="235"/>
      <c r="BZ34" s="236">
        <f t="shared" si="10"/>
        <v>0</v>
      </c>
      <c r="CA34" s="237"/>
      <c r="CB34" s="238"/>
      <c r="CC34" s="238"/>
      <c r="CD34" s="239"/>
      <c r="CE34" s="240">
        <f t="shared" si="53"/>
        <v>0</v>
      </c>
      <c r="CF34" s="237"/>
      <c r="CG34" s="238"/>
      <c r="CH34" s="238"/>
      <c r="CI34" s="239"/>
      <c r="CJ34" s="240">
        <f t="shared" si="54"/>
        <v>0</v>
      </c>
      <c r="CK34" s="237"/>
      <c r="CL34" s="238"/>
      <c r="CM34" s="238"/>
      <c r="CN34" s="239"/>
      <c r="CO34" s="240">
        <f t="shared" si="55"/>
        <v>0</v>
      </c>
      <c r="CP34" s="241"/>
      <c r="CQ34" s="242"/>
      <c r="CR34" s="242"/>
      <c r="CS34" s="243"/>
      <c r="CT34" s="244"/>
      <c r="CU34" s="241"/>
      <c r="CV34" s="242"/>
      <c r="CW34" s="242"/>
      <c r="CX34" s="243"/>
      <c r="CY34" s="244"/>
      <c r="CZ34" s="241"/>
      <c r="DA34" s="242"/>
      <c r="DB34" s="242"/>
      <c r="DC34" s="243"/>
      <c r="DD34" s="244"/>
      <c r="DE34" s="241"/>
      <c r="DF34" s="242"/>
      <c r="DG34" s="242"/>
      <c r="DH34" s="243"/>
      <c r="DI34" s="244"/>
      <c r="DJ34" s="241"/>
      <c r="DK34" s="242"/>
      <c r="DL34" s="242"/>
      <c r="DM34" s="243"/>
      <c r="DN34" s="244"/>
      <c r="DO34" s="241"/>
      <c r="DP34" s="242"/>
      <c r="DQ34" s="242"/>
      <c r="DR34" s="243"/>
      <c r="DS34" s="244"/>
      <c r="DT34" s="241"/>
      <c r="DU34" s="242"/>
      <c r="DV34" s="242"/>
      <c r="DW34" s="243"/>
      <c r="DX34" s="244"/>
      <c r="DY34" s="76"/>
      <c r="DZ34" s="77"/>
      <c r="EA34" s="77"/>
      <c r="EB34" s="78"/>
      <c r="EC34" s="244"/>
      <c r="ED34" s="241"/>
      <c r="EE34" s="242"/>
      <c r="EF34" s="242"/>
      <c r="EG34" s="243"/>
      <c r="EH34" s="244"/>
      <c r="EI34" s="241"/>
      <c r="EJ34" s="242"/>
      <c r="EK34" s="242"/>
      <c r="EL34" s="243"/>
      <c r="EM34" s="244"/>
      <c r="EN34" s="241"/>
      <c r="EO34" s="242"/>
      <c r="EP34" s="242"/>
      <c r="EQ34" s="243"/>
      <c r="ER34" s="244"/>
      <c r="ES34" s="241"/>
      <c r="ET34" s="242"/>
      <c r="EU34" s="242"/>
      <c r="EV34" s="243"/>
      <c r="EW34" s="244"/>
      <c r="EX34" s="241"/>
      <c r="EY34" s="242"/>
      <c r="EZ34" s="242"/>
      <c r="FA34" s="243"/>
      <c r="FB34" s="244"/>
      <c r="FC34" s="241"/>
      <c r="FD34" s="242"/>
      <c r="FE34" s="242"/>
      <c r="FF34" s="243"/>
      <c r="FG34" s="244"/>
      <c r="FH34" s="241"/>
      <c r="FI34" s="242"/>
      <c r="FJ34" s="242"/>
      <c r="FK34" s="243"/>
      <c r="FL34" s="244"/>
      <c r="FM34" s="241"/>
      <c r="FN34" s="242"/>
      <c r="FO34" s="242"/>
      <c r="FP34" s="243"/>
      <c r="FQ34" s="244"/>
      <c r="FR34" s="241"/>
      <c r="FS34" s="242"/>
      <c r="FT34" s="242"/>
      <c r="FU34" s="243"/>
      <c r="FV34" s="244"/>
      <c r="FW34" s="241"/>
      <c r="FX34" s="242"/>
      <c r="FY34" s="242"/>
      <c r="FZ34" s="243"/>
      <c r="GA34" s="244"/>
      <c r="GB34" s="241"/>
      <c r="GC34" s="242"/>
      <c r="GD34" s="242"/>
      <c r="GE34" s="243"/>
      <c r="GF34" s="244"/>
      <c r="GG34" s="76"/>
      <c r="GH34" s="77"/>
      <c r="GI34" s="77"/>
      <c r="GJ34" s="78"/>
      <c r="GK34" s="244"/>
      <c r="GL34" s="241"/>
      <c r="GM34" s="242"/>
      <c r="GN34" s="242"/>
      <c r="GO34" s="243"/>
      <c r="GP34" s="244"/>
      <c r="GQ34" s="241"/>
      <c r="GR34" s="242"/>
      <c r="GS34" s="242"/>
      <c r="GT34" s="243"/>
      <c r="GU34" s="244"/>
      <c r="GV34" s="241"/>
      <c r="GW34" s="242"/>
      <c r="GX34" s="242"/>
      <c r="GY34" s="243"/>
      <c r="GZ34" s="244"/>
      <c r="HA34" s="241"/>
      <c r="HB34" s="242"/>
      <c r="HC34" s="242"/>
      <c r="HD34" s="243"/>
      <c r="HE34" s="244"/>
      <c r="HF34" s="241"/>
      <c r="HG34" s="242"/>
      <c r="HH34" s="242"/>
      <c r="HI34" s="243"/>
      <c r="HJ34" s="244"/>
      <c r="HK34" s="241"/>
      <c r="HL34" s="242"/>
      <c r="HM34" s="242"/>
      <c r="HN34" s="243"/>
      <c r="HO34" s="244"/>
      <c r="HP34" s="241"/>
      <c r="HQ34" s="242"/>
      <c r="HR34" s="242"/>
      <c r="HS34" s="243"/>
      <c r="HT34" s="244"/>
      <c r="HU34" s="241"/>
      <c r="HV34" s="242"/>
      <c r="HW34" s="242"/>
      <c r="HX34" s="243"/>
      <c r="HY34" s="244"/>
      <c r="HZ34" s="241"/>
      <c r="IA34" s="242"/>
      <c r="IB34" s="242"/>
      <c r="IC34" s="243"/>
      <c r="ID34" s="244"/>
      <c r="IE34" s="233"/>
      <c r="IF34" s="234"/>
      <c r="IG34" s="234"/>
      <c r="IH34" s="235"/>
      <c r="II34" s="232"/>
      <c r="IJ34" s="233"/>
      <c r="IK34" s="234"/>
      <c r="IL34" s="234"/>
      <c r="IM34" s="235"/>
      <c r="IN34" s="232"/>
      <c r="IO34" s="69"/>
      <c r="IP34" s="79"/>
      <c r="IQ34" s="70"/>
      <c r="IR34" s="71"/>
      <c r="IS34" s="73"/>
      <c r="IT34" s="69"/>
      <c r="IU34" s="70"/>
      <c r="IV34" s="70"/>
      <c r="IW34" s="71"/>
      <c r="IX34" s="73"/>
      <c r="IY34" s="69"/>
      <c r="IZ34" s="70"/>
      <c r="JA34" s="70"/>
      <c r="JB34" s="71"/>
      <c r="JC34" s="73"/>
      <c r="JD34" s="69"/>
      <c r="JE34" s="70"/>
      <c r="JF34" s="70"/>
      <c r="JG34" s="71"/>
      <c r="JH34" s="73"/>
      <c r="JI34" s="69"/>
      <c r="JJ34" s="70"/>
      <c r="JK34" s="70"/>
      <c r="JL34" s="71"/>
      <c r="JM34" s="73"/>
      <c r="JN34" s="69"/>
      <c r="JO34" s="70"/>
      <c r="JP34" s="70"/>
      <c r="JQ34" s="71"/>
      <c r="JR34" s="73"/>
      <c r="JS34" s="69"/>
      <c r="JT34" s="70"/>
      <c r="JU34" s="70"/>
      <c r="JV34" s="71"/>
      <c r="JW34" s="73"/>
      <c r="JX34" s="69"/>
      <c r="JY34" s="70"/>
      <c r="JZ34" s="70"/>
      <c r="KA34" s="71"/>
      <c r="KB34" s="73"/>
      <c r="KC34" s="69"/>
      <c r="KD34" s="70"/>
      <c r="KE34" s="70"/>
      <c r="KF34" s="71"/>
      <c r="KG34" s="73">
        <v>0</v>
      </c>
      <c r="KH34" s="69"/>
      <c r="KI34" s="70"/>
      <c r="KJ34" s="70"/>
      <c r="KK34" s="71"/>
      <c r="KL34" s="73"/>
      <c r="KM34" s="479" t="s">
        <v>102</v>
      </c>
      <c r="KN34" s="480" t="s">
        <v>102</v>
      </c>
      <c r="KO34" s="70" t="s">
        <v>102</v>
      </c>
      <c r="KP34" s="71" t="s">
        <v>102</v>
      </c>
      <c r="KQ34" s="73">
        <f t="shared" si="45"/>
        <v>0</v>
      </c>
      <c r="KR34" s="69" t="s">
        <v>102</v>
      </c>
      <c r="KS34" s="70" t="s">
        <v>102</v>
      </c>
      <c r="KT34" s="70" t="s">
        <v>102</v>
      </c>
      <c r="KU34" s="71" t="s">
        <v>102</v>
      </c>
      <c r="KV34" s="73">
        <f t="shared" si="46"/>
        <v>0</v>
      </c>
    </row>
    <row r="35" spans="1:308" ht="15.75" customHeight="1" x14ac:dyDescent="0.25">
      <c r="A35" s="97"/>
      <c r="B35" s="55">
        <v>32</v>
      </c>
      <c r="C35" s="98"/>
      <c r="D35" s="99">
        <v>8.92</v>
      </c>
      <c r="E35" s="100">
        <v>3</v>
      </c>
      <c r="F35" s="101"/>
      <c r="G35" s="102"/>
      <c r="H35" s="61">
        <f t="shared" si="5"/>
        <v>11.92</v>
      </c>
      <c r="I35" s="62">
        <v>5.83</v>
      </c>
      <c r="J35" s="63">
        <v>7.36</v>
      </c>
      <c r="K35" s="63"/>
      <c r="L35" s="64"/>
      <c r="M35" s="33">
        <f>SUM(I35:L35)</f>
        <v>13.190000000000001</v>
      </c>
      <c r="N35" s="62"/>
      <c r="O35" s="63">
        <v>2.33</v>
      </c>
      <c r="P35" s="63"/>
      <c r="Q35" s="64"/>
      <c r="R35" s="33">
        <f t="shared" si="0"/>
        <v>2.33</v>
      </c>
      <c r="S35" s="62">
        <v>7.39</v>
      </c>
      <c r="T35" s="63">
        <v>9.77</v>
      </c>
      <c r="U35" s="63"/>
      <c r="V35" s="64"/>
      <c r="W35" s="33">
        <f t="shared" si="1"/>
        <v>17.16</v>
      </c>
      <c r="X35" s="62">
        <v>7.56</v>
      </c>
      <c r="Y35" s="63">
        <v>7.42</v>
      </c>
      <c r="Z35" s="63"/>
      <c r="AA35" s="64"/>
      <c r="AB35" s="33">
        <f>SUM(X35:AA35)</f>
        <v>14.98</v>
      </c>
      <c r="AC35" s="65">
        <v>12.7</v>
      </c>
      <c r="AD35" s="66">
        <v>6.91</v>
      </c>
      <c r="AE35" s="66"/>
      <c r="AF35" s="67"/>
      <c r="AG35" s="37">
        <f>SUM(AC35:AF35)</f>
        <v>19.61</v>
      </c>
      <c r="AH35" s="65">
        <v>13.41</v>
      </c>
      <c r="AI35" s="66">
        <v>6.8</v>
      </c>
      <c r="AJ35" s="66"/>
      <c r="AK35" s="67"/>
      <c r="AL35" s="68">
        <f>SUM(AH35:AK35)</f>
        <v>20.21</v>
      </c>
      <c r="AM35" s="69">
        <v>5.74</v>
      </c>
      <c r="AN35" s="70">
        <v>3.76</v>
      </c>
      <c r="AO35" s="70">
        <v>2.73</v>
      </c>
      <c r="AP35" s="71"/>
      <c r="AQ35" s="72">
        <f t="shared" si="48"/>
        <v>12.23</v>
      </c>
      <c r="AR35" s="69"/>
      <c r="AS35" s="70"/>
      <c r="AT35" s="70"/>
      <c r="AU35" s="71"/>
      <c r="AV35" s="73">
        <f t="shared" si="49"/>
        <v>0</v>
      </c>
      <c r="AW35" s="69"/>
      <c r="AX35" s="70"/>
      <c r="AY35" s="70"/>
      <c r="AZ35" s="71"/>
      <c r="BA35" s="73">
        <f t="shared" si="50"/>
        <v>0</v>
      </c>
      <c r="BB35" s="69"/>
      <c r="BC35" s="70"/>
      <c r="BD35" s="70"/>
      <c r="BE35" s="71"/>
      <c r="BF35" s="73">
        <f>SUM(BB35:BE35)</f>
        <v>0</v>
      </c>
      <c r="BG35" s="69"/>
      <c r="BH35" s="70"/>
      <c r="BI35" s="70"/>
      <c r="BJ35" s="74"/>
      <c r="BK35" s="73">
        <f t="shared" si="59"/>
        <v>0</v>
      </c>
      <c r="BL35" s="69"/>
      <c r="BM35" s="70"/>
      <c r="BN35" s="70"/>
      <c r="BO35" s="74"/>
      <c r="BP35" s="72">
        <f t="shared" si="52"/>
        <v>0</v>
      </c>
      <c r="BQ35" s="69"/>
      <c r="BR35" s="70"/>
      <c r="BS35" s="70"/>
      <c r="BT35" s="71"/>
      <c r="BU35" s="232">
        <f t="shared" si="9"/>
        <v>0</v>
      </c>
      <c r="BV35" s="233"/>
      <c r="BW35" s="234"/>
      <c r="BX35" s="234"/>
      <c r="BY35" s="235"/>
      <c r="BZ35" s="236">
        <f t="shared" si="10"/>
        <v>0</v>
      </c>
      <c r="CA35" s="237"/>
      <c r="CB35" s="238"/>
      <c r="CC35" s="238"/>
      <c r="CD35" s="239"/>
      <c r="CE35" s="240">
        <f t="shared" si="53"/>
        <v>0</v>
      </c>
      <c r="CF35" s="237"/>
      <c r="CG35" s="238"/>
      <c r="CH35" s="238"/>
      <c r="CI35" s="239"/>
      <c r="CJ35" s="240">
        <f t="shared" si="54"/>
        <v>0</v>
      </c>
      <c r="CK35" s="237"/>
      <c r="CL35" s="238"/>
      <c r="CM35" s="238"/>
      <c r="CN35" s="239"/>
      <c r="CO35" s="240">
        <f t="shared" si="55"/>
        <v>0</v>
      </c>
      <c r="CP35" s="241"/>
      <c r="CQ35" s="242"/>
      <c r="CR35" s="242"/>
      <c r="CS35" s="243"/>
      <c r="CT35" s="244"/>
      <c r="CU35" s="241"/>
      <c r="CV35" s="242"/>
      <c r="CW35" s="242"/>
      <c r="CX35" s="243"/>
      <c r="CY35" s="244"/>
      <c r="CZ35" s="241"/>
      <c r="DA35" s="242"/>
      <c r="DB35" s="242"/>
      <c r="DC35" s="243"/>
      <c r="DD35" s="244"/>
      <c r="DE35" s="241"/>
      <c r="DF35" s="242"/>
      <c r="DG35" s="242"/>
      <c r="DH35" s="243"/>
      <c r="DI35" s="244"/>
      <c r="DJ35" s="241"/>
      <c r="DK35" s="242"/>
      <c r="DL35" s="242"/>
      <c r="DM35" s="243"/>
      <c r="DN35" s="244"/>
      <c r="DO35" s="241"/>
      <c r="DP35" s="242"/>
      <c r="DQ35" s="242"/>
      <c r="DR35" s="243"/>
      <c r="DS35" s="244"/>
      <c r="DT35" s="241"/>
      <c r="DU35" s="242"/>
      <c r="DV35" s="242"/>
      <c r="DW35" s="243"/>
      <c r="DX35" s="244"/>
      <c r="DY35" s="76"/>
      <c r="DZ35" s="77"/>
      <c r="EA35" s="77"/>
      <c r="EB35" s="78"/>
      <c r="EC35" s="244"/>
      <c r="ED35" s="241"/>
      <c r="EE35" s="242"/>
      <c r="EF35" s="242"/>
      <c r="EG35" s="243"/>
      <c r="EH35" s="244"/>
      <c r="EI35" s="241"/>
      <c r="EJ35" s="242"/>
      <c r="EK35" s="242"/>
      <c r="EL35" s="243"/>
      <c r="EM35" s="244"/>
      <c r="EN35" s="241"/>
      <c r="EO35" s="242"/>
      <c r="EP35" s="242"/>
      <c r="EQ35" s="243"/>
      <c r="ER35" s="244"/>
      <c r="ES35" s="241"/>
      <c r="ET35" s="242"/>
      <c r="EU35" s="242"/>
      <c r="EV35" s="243"/>
      <c r="EW35" s="244"/>
      <c r="EX35" s="241"/>
      <c r="EY35" s="242"/>
      <c r="EZ35" s="242"/>
      <c r="FA35" s="243"/>
      <c r="FB35" s="244"/>
      <c r="FC35" s="241"/>
      <c r="FD35" s="242"/>
      <c r="FE35" s="242"/>
      <c r="FF35" s="243"/>
      <c r="FG35" s="244"/>
      <c r="FH35" s="241"/>
      <c r="FI35" s="242"/>
      <c r="FJ35" s="242"/>
      <c r="FK35" s="243"/>
      <c r="FL35" s="244"/>
      <c r="FM35" s="241"/>
      <c r="FN35" s="242"/>
      <c r="FO35" s="242"/>
      <c r="FP35" s="243"/>
      <c r="FQ35" s="244"/>
      <c r="FR35" s="241"/>
      <c r="FS35" s="242"/>
      <c r="FT35" s="242"/>
      <c r="FU35" s="243"/>
      <c r="FV35" s="244"/>
      <c r="FW35" s="241"/>
      <c r="FX35" s="242"/>
      <c r="FY35" s="242"/>
      <c r="FZ35" s="243"/>
      <c r="GA35" s="244"/>
      <c r="GB35" s="241"/>
      <c r="GC35" s="242"/>
      <c r="GD35" s="242"/>
      <c r="GE35" s="243"/>
      <c r="GF35" s="244"/>
      <c r="GG35" s="76"/>
      <c r="GH35" s="77"/>
      <c r="GI35" s="77"/>
      <c r="GJ35" s="78"/>
      <c r="GK35" s="244"/>
      <c r="GL35" s="241"/>
      <c r="GM35" s="242"/>
      <c r="GN35" s="242"/>
      <c r="GO35" s="243"/>
      <c r="GP35" s="244"/>
      <c r="GQ35" s="241"/>
      <c r="GR35" s="242"/>
      <c r="GS35" s="242"/>
      <c r="GT35" s="243"/>
      <c r="GU35" s="244"/>
      <c r="GV35" s="241"/>
      <c r="GW35" s="242"/>
      <c r="GX35" s="242"/>
      <c r="GY35" s="243"/>
      <c r="GZ35" s="244"/>
      <c r="HA35" s="241"/>
      <c r="HB35" s="242"/>
      <c r="HC35" s="242"/>
      <c r="HD35" s="243"/>
      <c r="HE35" s="244"/>
      <c r="HF35" s="241"/>
      <c r="HG35" s="242"/>
      <c r="HH35" s="242"/>
      <c r="HI35" s="243"/>
      <c r="HJ35" s="244"/>
      <c r="HK35" s="241"/>
      <c r="HL35" s="242"/>
      <c r="HM35" s="242"/>
      <c r="HN35" s="243"/>
      <c r="HO35" s="244"/>
      <c r="HP35" s="241"/>
      <c r="HQ35" s="242"/>
      <c r="HR35" s="242"/>
      <c r="HS35" s="243"/>
      <c r="HT35" s="244"/>
      <c r="HU35" s="241"/>
      <c r="HV35" s="242"/>
      <c r="HW35" s="242"/>
      <c r="HX35" s="243"/>
      <c r="HY35" s="244"/>
      <c r="HZ35" s="241"/>
      <c r="IA35" s="242"/>
      <c r="IB35" s="242"/>
      <c r="IC35" s="243"/>
      <c r="ID35" s="244"/>
      <c r="IE35" s="233"/>
      <c r="IF35" s="234"/>
      <c r="IG35" s="234"/>
      <c r="IH35" s="235"/>
      <c r="II35" s="232"/>
      <c r="IJ35" s="233"/>
      <c r="IK35" s="234"/>
      <c r="IL35" s="234"/>
      <c r="IM35" s="235"/>
      <c r="IN35" s="232"/>
      <c r="IO35" s="69"/>
      <c r="IP35" s="79"/>
      <c r="IQ35" s="70"/>
      <c r="IR35" s="71"/>
      <c r="IS35" s="73"/>
      <c r="IT35" s="69"/>
      <c r="IU35" s="70"/>
      <c r="IV35" s="70"/>
      <c r="IW35" s="71"/>
      <c r="IX35" s="73"/>
      <c r="IY35" s="69"/>
      <c r="IZ35" s="70"/>
      <c r="JA35" s="70"/>
      <c r="JB35" s="71"/>
      <c r="JC35" s="73"/>
      <c r="JD35" s="69"/>
      <c r="JE35" s="70"/>
      <c r="JF35" s="70"/>
      <c r="JG35" s="71"/>
      <c r="JH35" s="73"/>
      <c r="JI35" s="69"/>
      <c r="JJ35" s="70"/>
      <c r="JK35" s="70"/>
      <c r="JL35" s="71"/>
      <c r="JM35" s="73"/>
      <c r="JN35" s="69"/>
      <c r="JO35" s="70"/>
      <c r="JP35" s="70"/>
      <c r="JQ35" s="71"/>
      <c r="JR35" s="73"/>
      <c r="JS35" s="69"/>
      <c r="JT35" s="70"/>
      <c r="JU35" s="70"/>
      <c r="JV35" s="71"/>
      <c r="JW35" s="73"/>
      <c r="JX35" s="69"/>
      <c r="JY35" s="70"/>
      <c r="JZ35" s="70"/>
      <c r="KA35" s="71"/>
      <c r="KB35" s="73"/>
      <c r="KC35" s="69"/>
      <c r="KD35" s="70"/>
      <c r="KE35" s="70"/>
      <c r="KF35" s="71"/>
      <c r="KG35" s="73">
        <v>0</v>
      </c>
      <c r="KH35" s="69"/>
      <c r="KI35" s="70"/>
      <c r="KJ35" s="70"/>
      <c r="KK35" s="71"/>
      <c r="KL35" s="73"/>
      <c r="KM35" s="479" t="s">
        <v>102</v>
      </c>
      <c r="KN35" s="480" t="s">
        <v>102</v>
      </c>
      <c r="KO35" s="70" t="s">
        <v>102</v>
      </c>
      <c r="KP35" s="71" t="s">
        <v>102</v>
      </c>
      <c r="KQ35" s="73">
        <f t="shared" si="45"/>
        <v>0</v>
      </c>
      <c r="KR35" s="69" t="s">
        <v>102</v>
      </c>
      <c r="KS35" s="70" t="s">
        <v>102</v>
      </c>
      <c r="KT35" s="70" t="s">
        <v>102</v>
      </c>
      <c r="KU35" s="71" t="s">
        <v>102</v>
      </c>
      <c r="KV35" s="73">
        <f t="shared" si="46"/>
        <v>0</v>
      </c>
    </row>
    <row r="36" spans="1:308" ht="16.5" customHeight="1" thickBot="1" x14ac:dyDescent="0.3">
      <c r="A36" s="97"/>
      <c r="B36" s="103"/>
      <c r="C36" s="90"/>
      <c r="D36" s="99"/>
      <c r="E36" s="100"/>
      <c r="F36" s="101"/>
      <c r="G36" s="102"/>
      <c r="H36" s="104"/>
      <c r="I36" s="105"/>
      <c r="J36" s="106"/>
      <c r="K36" s="106"/>
      <c r="L36" s="107"/>
      <c r="M36" s="89"/>
      <c r="N36" s="105"/>
      <c r="O36" s="106"/>
      <c r="P36" s="106"/>
      <c r="Q36" s="107"/>
      <c r="R36" s="33"/>
      <c r="S36" s="105"/>
      <c r="T36" s="106"/>
      <c r="U36" s="106"/>
      <c r="V36" s="107"/>
      <c r="W36" s="33"/>
      <c r="X36" s="105"/>
      <c r="Y36" s="106"/>
      <c r="Z36" s="106"/>
      <c r="AA36" s="107"/>
      <c r="AB36" s="33"/>
      <c r="AC36" s="108"/>
      <c r="AD36" s="109"/>
      <c r="AE36" s="109"/>
      <c r="AF36" s="110"/>
      <c r="AG36" s="37"/>
      <c r="AH36" s="108"/>
      <c r="AI36" s="109"/>
      <c r="AJ36" s="109"/>
      <c r="AK36" s="110"/>
      <c r="AL36" s="111"/>
      <c r="AM36" s="112"/>
      <c r="AN36" s="113"/>
      <c r="AO36" s="113"/>
      <c r="AP36" s="42"/>
      <c r="AQ36" s="114"/>
      <c r="AR36" s="112"/>
      <c r="AS36" s="113"/>
      <c r="AT36" s="113"/>
      <c r="AU36" s="115"/>
      <c r="AV36" s="73"/>
      <c r="AW36" s="112"/>
      <c r="AX36" s="113"/>
      <c r="AY36" s="113"/>
      <c r="AZ36" s="115"/>
      <c r="BA36" s="73"/>
      <c r="BB36" s="112"/>
      <c r="BC36" s="113"/>
      <c r="BD36" s="113"/>
      <c r="BE36" s="115"/>
      <c r="BF36" s="73"/>
      <c r="BG36" s="69"/>
      <c r="BH36" s="70"/>
      <c r="BI36" s="70"/>
      <c r="BJ36" s="74"/>
      <c r="BK36" s="73">
        <f t="shared" si="59"/>
        <v>0</v>
      </c>
      <c r="BL36" s="69"/>
      <c r="BM36" s="70"/>
      <c r="BN36" s="70"/>
      <c r="BO36" s="74"/>
      <c r="BP36" s="72">
        <f t="shared" si="52"/>
        <v>0</v>
      </c>
      <c r="BQ36" s="69"/>
      <c r="BR36" s="70"/>
      <c r="BS36" s="70"/>
      <c r="BT36" s="71"/>
      <c r="BU36" s="232">
        <f t="shared" si="9"/>
        <v>0</v>
      </c>
      <c r="BV36" s="233"/>
      <c r="BW36" s="234"/>
      <c r="BX36" s="234"/>
      <c r="BY36" s="235"/>
      <c r="BZ36" s="236">
        <f t="shared" si="10"/>
        <v>0</v>
      </c>
      <c r="CA36" s="237"/>
      <c r="CB36" s="238"/>
      <c r="CC36" s="238"/>
      <c r="CD36" s="239"/>
      <c r="CE36" s="240">
        <f t="shared" si="53"/>
        <v>0</v>
      </c>
      <c r="CF36" s="237"/>
      <c r="CG36" s="238"/>
      <c r="CH36" s="238"/>
      <c r="CI36" s="239"/>
      <c r="CJ36" s="240">
        <f t="shared" si="54"/>
        <v>0</v>
      </c>
      <c r="CK36" s="237"/>
      <c r="CL36" s="238"/>
      <c r="CM36" s="238"/>
      <c r="CN36" s="239"/>
      <c r="CO36" s="240">
        <f t="shared" si="55"/>
        <v>0</v>
      </c>
      <c r="CP36" s="241"/>
      <c r="CQ36" s="242"/>
      <c r="CR36" s="242"/>
      <c r="CS36" s="243"/>
      <c r="CT36" s="244"/>
      <c r="CU36" s="241"/>
      <c r="CV36" s="242"/>
      <c r="CW36" s="242"/>
      <c r="CX36" s="243"/>
      <c r="CY36" s="244"/>
      <c r="CZ36" s="241"/>
      <c r="DA36" s="242"/>
      <c r="DB36" s="242"/>
      <c r="DC36" s="243"/>
      <c r="DD36" s="244"/>
      <c r="DE36" s="241"/>
      <c r="DF36" s="242"/>
      <c r="DG36" s="242"/>
      <c r="DH36" s="243"/>
      <c r="DI36" s="244"/>
      <c r="DJ36" s="241"/>
      <c r="DK36" s="242"/>
      <c r="DL36" s="242"/>
      <c r="DM36" s="243"/>
      <c r="DN36" s="244"/>
      <c r="DO36" s="241"/>
      <c r="DP36" s="242"/>
      <c r="DQ36" s="242"/>
      <c r="DR36" s="243"/>
      <c r="DS36" s="244"/>
      <c r="DT36" s="241"/>
      <c r="DU36" s="242"/>
      <c r="DV36" s="242"/>
      <c r="DW36" s="243"/>
      <c r="DX36" s="244"/>
      <c r="DY36" s="76"/>
      <c r="DZ36" s="77"/>
      <c r="EA36" s="77"/>
      <c r="EB36" s="78"/>
      <c r="EC36" s="244"/>
      <c r="ED36" s="241"/>
      <c r="EE36" s="242"/>
      <c r="EF36" s="242"/>
      <c r="EG36" s="243"/>
      <c r="EH36" s="244"/>
      <c r="EI36" s="241"/>
      <c r="EJ36" s="242"/>
      <c r="EK36" s="242"/>
      <c r="EL36" s="243"/>
      <c r="EM36" s="244"/>
      <c r="EN36" s="241"/>
      <c r="EO36" s="242"/>
      <c r="EP36" s="242"/>
      <c r="EQ36" s="243"/>
      <c r="ER36" s="244"/>
      <c r="ES36" s="241"/>
      <c r="ET36" s="242"/>
      <c r="EU36" s="242"/>
      <c r="EV36" s="243"/>
      <c r="EW36" s="244"/>
      <c r="EX36" s="241"/>
      <c r="EY36" s="242"/>
      <c r="EZ36" s="242"/>
      <c r="FA36" s="243"/>
      <c r="FB36" s="244"/>
      <c r="FC36" s="241"/>
      <c r="FD36" s="242"/>
      <c r="FE36" s="242"/>
      <c r="FF36" s="243"/>
      <c r="FG36" s="244"/>
      <c r="FH36" s="241"/>
      <c r="FI36" s="242"/>
      <c r="FJ36" s="242"/>
      <c r="FK36" s="243"/>
      <c r="FL36" s="244"/>
      <c r="FM36" s="241"/>
      <c r="FN36" s="242"/>
      <c r="FO36" s="242"/>
      <c r="FP36" s="243"/>
      <c r="FQ36" s="244"/>
      <c r="FR36" s="241"/>
      <c r="FS36" s="242"/>
      <c r="FT36" s="242"/>
      <c r="FU36" s="243"/>
      <c r="FV36" s="244"/>
      <c r="FW36" s="241"/>
      <c r="FX36" s="242"/>
      <c r="FY36" s="242"/>
      <c r="FZ36" s="243"/>
      <c r="GA36" s="244"/>
      <c r="GB36" s="241"/>
      <c r="GC36" s="242"/>
      <c r="GD36" s="242"/>
      <c r="GE36" s="243"/>
      <c r="GF36" s="244"/>
      <c r="GG36" s="76"/>
      <c r="GH36" s="77"/>
      <c r="GI36" s="77"/>
      <c r="GJ36" s="78"/>
      <c r="GK36" s="244"/>
      <c r="GL36" s="241"/>
      <c r="GM36" s="242"/>
      <c r="GN36" s="242"/>
      <c r="GO36" s="243"/>
      <c r="GP36" s="244"/>
      <c r="GQ36" s="241"/>
      <c r="GR36" s="242"/>
      <c r="GS36" s="242"/>
      <c r="GT36" s="243"/>
      <c r="GU36" s="244"/>
      <c r="GV36" s="241"/>
      <c r="GW36" s="242"/>
      <c r="GX36" s="242"/>
      <c r="GY36" s="243"/>
      <c r="GZ36" s="244"/>
      <c r="HA36" s="241"/>
      <c r="HB36" s="242"/>
      <c r="HC36" s="242"/>
      <c r="HD36" s="243"/>
      <c r="HE36" s="244"/>
      <c r="HF36" s="241"/>
      <c r="HG36" s="242"/>
      <c r="HH36" s="242"/>
      <c r="HI36" s="243"/>
      <c r="HJ36" s="244"/>
      <c r="HK36" s="241"/>
      <c r="HL36" s="242"/>
      <c r="HM36" s="242"/>
      <c r="HN36" s="243"/>
      <c r="HO36" s="244"/>
      <c r="HP36" s="241"/>
      <c r="HQ36" s="242"/>
      <c r="HR36" s="242"/>
      <c r="HS36" s="243"/>
      <c r="HT36" s="244"/>
      <c r="HU36" s="241"/>
      <c r="HV36" s="242"/>
      <c r="HW36" s="242"/>
      <c r="HX36" s="243"/>
      <c r="HY36" s="244"/>
      <c r="HZ36" s="241"/>
      <c r="IA36" s="242"/>
      <c r="IB36" s="242"/>
      <c r="IC36" s="243"/>
      <c r="ID36" s="244"/>
      <c r="IE36" s="233"/>
      <c r="IF36" s="234"/>
      <c r="IG36" s="234"/>
      <c r="IH36" s="235"/>
      <c r="II36" s="232"/>
      <c r="IJ36" s="233"/>
      <c r="IK36" s="234"/>
      <c r="IL36" s="234"/>
      <c r="IM36" s="235"/>
      <c r="IN36" s="232"/>
      <c r="IO36" s="69"/>
      <c r="IP36" s="79"/>
      <c r="IQ36" s="70"/>
      <c r="IR36" s="71"/>
      <c r="IS36" s="73"/>
      <c r="IT36" s="69"/>
      <c r="IU36" s="70"/>
      <c r="IV36" s="70"/>
      <c r="IW36" s="71"/>
      <c r="IX36" s="73"/>
      <c r="IY36" s="69"/>
      <c r="IZ36" s="70"/>
      <c r="JA36" s="70"/>
      <c r="JB36" s="71"/>
      <c r="JC36" s="73"/>
      <c r="JD36" s="69"/>
      <c r="JE36" s="70"/>
      <c r="JF36" s="70"/>
      <c r="JG36" s="71"/>
      <c r="JH36" s="73"/>
      <c r="JI36" s="69"/>
      <c r="JJ36" s="70"/>
      <c r="JK36" s="70"/>
      <c r="JL36" s="71"/>
      <c r="JM36" s="73"/>
      <c r="JN36" s="69"/>
      <c r="JO36" s="70"/>
      <c r="JP36" s="70"/>
      <c r="JQ36" s="71"/>
      <c r="JR36" s="73"/>
      <c r="JS36" s="69"/>
      <c r="JT36" s="70"/>
      <c r="JU36" s="70"/>
      <c r="JV36" s="71"/>
      <c r="JW36" s="73"/>
      <c r="JX36" s="69"/>
      <c r="JY36" s="70"/>
      <c r="JZ36" s="70"/>
      <c r="KA36" s="71"/>
      <c r="KB36" s="73"/>
      <c r="KC36" s="69"/>
      <c r="KD36" s="70"/>
      <c r="KE36" s="70"/>
      <c r="KF36" s="71"/>
      <c r="KG36" s="73">
        <v>0</v>
      </c>
      <c r="KH36" s="69"/>
      <c r="KI36" s="70"/>
      <c r="KJ36" s="70"/>
      <c r="KK36" s="71"/>
      <c r="KL36" s="73"/>
      <c r="KM36" s="479" t="s">
        <v>102</v>
      </c>
      <c r="KN36" s="480" t="s">
        <v>102</v>
      </c>
      <c r="KO36" s="70" t="s">
        <v>102</v>
      </c>
      <c r="KP36" s="71" t="s">
        <v>102</v>
      </c>
      <c r="KQ36" s="73">
        <f t="shared" si="45"/>
        <v>0</v>
      </c>
      <c r="KR36" s="69" t="s">
        <v>102</v>
      </c>
      <c r="KS36" s="70" t="s">
        <v>102</v>
      </c>
      <c r="KT36" s="70" t="s">
        <v>102</v>
      </c>
      <c r="KU36" s="71" t="s">
        <v>102</v>
      </c>
      <c r="KV36" s="73">
        <f t="shared" si="46"/>
        <v>0</v>
      </c>
    </row>
    <row r="37" spans="1:308" ht="16.5" customHeight="1" outlineLevel="1" thickBot="1" x14ac:dyDescent="0.3">
      <c r="A37" s="91" t="s">
        <v>26</v>
      </c>
      <c r="B37" s="116">
        <v>105</v>
      </c>
      <c r="C37" s="90">
        <v>50</v>
      </c>
      <c r="D37" s="99">
        <v>3.78</v>
      </c>
      <c r="E37" s="100"/>
      <c r="F37" s="101"/>
      <c r="G37" s="102"/>
      <c r="H37" s="104">
        <f t="shared" si="5"/>
        <v>3.78</v>
      </c>
      <c r="I37" s="117">
        <v>3.76</v>
      </c>
      <c r="J37" s="106"/>
      <c r="K37" s="106"/>
      <c r="L37" s="107"/>
      <c r="M37" s="89">
        <f t="shared" si="6"/>
        <v>3.76</v>
      </c>
      <c r="N37" s="117"/>
      <c r="O37" s="106"/>
      <c r="P37" s="106"/>
      <c r="Q37" s="107"/>
      <c r="R37" s="33">
        <f t="shared" si="0"/>
        <v>0</v>
      </c>
      <c r="S37" s="117">
        <v>8.2100000000000009</v>
      </c>
      <c r="T37" s="106">
        <v>2.0499999999999998</v>
      </c>
      <c r="U37" s="106"/>
      <c r="V37" s="107"/>
      <c r="W37" s="33">
        <f t="shared" si="1"/>
        <v>10.260000000000002</v>
      </c>
      <c r="X37" s="117">
        <v>3.61</v>
      </c>
      <c r="Y37" s="106">
        <v>2.2999999999999998</v>
      </c>
      <c r="Z37" s="106"/>
      <c r="AA37" s="107"/>
      <c r="AB37" s="33">
        <f t="shared" si="7"/>
        <v>5.91</v>
      </c>
      <c r="AC37" s="118">
        <v>4.21</v>
      </c>
      <c r="AD37" s="109">
        <v>5.2</v>
      </c>
      <c r="AE37" s="109"/>
      <c r="AF37" s="110"/>
      <c r="AG37" s="37">
        <f>SUM(AC37:AF37)</f>
        <v>9.41</v>
      </c>
      <c r="AH37" s="118">
        <v>7.56</v>
      </c>
      <c r="AI37" s="109">
        <v>3.86</v>
      </c>
      <c r="AJ37" s="109"/>
      <c r="AK37" s="110"/>
      <c r="AL37" s="119">
        <f>SUM(AH37:AK37)</f>
        <v>11.42</v>
      </c>
      <c r="AM37" s="112">
        <v>5.88</v>
      </c>
      <c r="AN37" s="113"/>
      <c r="AO37" s="113"/>
      <c r="AP37" s="42"/>
      <c r="AQ37" s="114">
        <f t="shared" si="48"/>
        <v>5.88</v>
      </c>
      <c r="AR37" s="112">
        <v>5.88</v>
      </c>
      <c r="AS37" s="113">
        <v>4.7</v>
      </c>
      <c r="AT37" s="113"/>
      <c r="AU37" s="115"/>
      <c r="AV37" s="73">
        <f t="shared" si="49"/>
        <v>10.58</v>
      </c>
      <c r="AW37" s="112">
        <v>4.13</v>
      </c>
      <c r="AX37" s="113">
        <v>3.83</v>
      </c>
      <c r="AY37" s="113"/>
      <c r="AZ37" s="115"/>
      <c r="BA37" s="73">
        <f t="shared" si="50"/>
        <v>7.96</v>
      </c>
      <c r="BB37" s="112">
        <v>4.49</v>
      </c>
      <c r="BC37" s="113">
        <v>6.15</v>
      </c>
      <c r="BD37" s="113"/>
      <c r="BE37" s="115"/>
      <c r="BF37" s="73">
        <f>SUM(BB37:BE37)</f>
        <v>10.64</v>
      </c>
      <c r="BG37" s="69"/>
      <c r="BH37" s="70"/>
      <c r="BI37" s="70"/>
      <c r="BJ37" s="74"/>
      <c r="BK37" s="73">
        <f t="shared" si="59"/>
        <v>0</v>
      </c>
      <c r="BL37" s="69"/>
      <c r="BM37" s="70"/>
      <c r="BN37" s="70"/>
      <c r="BO37" s="74"/>
      <c r="BP37" s="72">
        <f t="shared" si="52"/>
        <v>0</v>
      </c>
      <c r="BQ37" s="69"/>
      <c r="BR37" s="70"/>
      <c r="BS37" s="70"/>
      <c r="BT37" s="71"/>
      <c r="BU37" s="232">
        <f t="shared" si="9"/>
        <v>0</v>
      </c>
      <c r="BV37" s="233"/>
      <c r="BW37" s="234"/>
      <c r="BX37" s="234"/>
      <c r="BY37" s="235"/>
      <c r="BZ37" s="236">
        <f t="shared" si="10"/>
        <v>0</v>
      </c>
      <c r="CA37" s="237"/>
      <c r="CB37" s="238"/>
      <c r="CC37" s="238"/>
      <c r="CD37" s="239"/>
      <c r="CE37" s="240">
        <f t="shared" si="53"/>
        <v>0</v>
      </c>
      <c r="CF37" s="237"/>
      <c r="CG37" s="238"/>
      <c r="CH37" s="238"/>
      <c r="CI37" s="239"/>
      <c r="CJ37" s="240">
        <f t="shared" si="54"/>
        <v>0</v>
      </c>
      <c r="CK37" s="237"/>
      <c r="CL37" s="238"/>
      <c r="CM37" s="238"/>
      <c r="CN37" s="239"/>
      <c r="CO37" s="240">
        <f t="shared" si="55"/>
        <v>0</v>
      </c>
      <c r="CP37" s="241"/>
      <c r="CQ37" s="242"/>
      <c r="CR37" s="242"/>
      <c r="CS37" s="243"/>
      <c r="CT37" s="244"/>
      <c r="CU37" s="241"/>
      <c r="CV37" s="242"/>
      <c r="CW37" s="242"/>
      <c r="CX37" s="243"/>
      <c r="CY37" s="244">
        <v>0</v>
      </c>
      <c r="CZ37" s="241"/>
      <c r="DA37" s="242"/>
      <c r="DB37" s="242"/>
      <c r="DC37" s="243"/>
      <c r="DD37" s="244">
        <v>0</v>
      </c>
      <c r="DE37" s="241">
        <v>3.05</v>
      </c>
      <c r="DF37" s="242"/>
      <c r="DG37" s="242"/>
      <c r="DH37" s="243"/>
      <c r="DI37" s="244">
        <f>SUM(DE37:DH37)</f>
        <v>3.05</v>
      </c>
      <c r="DJ37" s="241"/>
      <c r="DK37" s="242"/>
      <c r="DL37" s="242"/>
      <c r="DM37" s="243"/>
      <c r="DN37" s="244">
        <f>SUM(DJ37:DM37)</f>
        <v>0</v>
      </c>
      <c r="DO37" s="241"/>
      <c r="DP37" s="242"/>
      <c r="DQ37" s="242"/>
      <c r="DR37" s="243"/>
      <c r="DS37" s="244">
        <f>SUM(DO37:DR37)</f>
        <v>0</v>
      </c>
      <c r="DT37" s="241"/>
      <c r="DU37" s="242"/>
      <c r="DV37" s="242"/>
      <c r="DW37" s="243"/>
      <c r="DX37" s="244">
        <f>SUM(DT37:DW37)</f>
        <v>0</v>
      </c>
      <c r="DY37" s="76"/>
      <c r="DZ37" s="77"/>
      <c r="EA37" s="77"/>
      <c r="EB37" s="78"/>
      <c r="EC37" s="244">
        <f>SUM(DY37:EB37)</f>
        <v>0</v>
      </c>
      <c r="ED37" s="241"/>
      <c r="EE37" s="242"/>
      <c r="EF37" s="242"/>
      <c r="EG37" s="243"/>
      <c r="EH37" s="244">
        <f>SUM(ED37:EG37)</f>
        <v>0</v>
      </c>
      <c r="EI37" s="241"/>
      <c r="EJ37" s="242"/>
      <c r="EK37" s="242"/>
      <c r="EL37" s="243"/>
      <c r="EM37" s="244">
        <f>SUM(EI37:EL37)</f>
        <v>0</v>
      </c>
      <c r="EN37" s="241"/>
      <c r="EO37" s="242"/>
      <c r="EP37" s="242"/>
      <c r="EQ37" s="243"/>
      <c r="ER37" s="244">
        <f>SUM(EN37:EQ37)</f>
        <v>0</v>
      </c>
      <c r="ES37" s="241"/>
      <c r="ET37" s="242"/>
      <c r="EU37" s="242"/>
      <c r="EV37" s="243"/>
      <c r="EW37" s="244">
        <f>SUM(ES37:EV37)</f>
        <v>0</v>
      </c>
      <c r="EX37" s="241"/>
      <c r="EY37" s="242"/>
      <c r="EZ37" s="242"/>
      <c r="FA37" s="243"/>
      <c r="FB37" s="244">
        <f>SUM(EX37:FA37)</f>
        <v>0</v>
      </c>
      <c r="FC37" s="241"/>
      <c r="FD37" s="242"/>
      <c r="FE37" s="242"/>
      <c r="FF37" s="243"/>
      <c r="FG37" s="244">
        <f>SUM(FC37:FF37)</f>
        <v>0</v>
      </c>
      <c r="FH37" s="241"/>
      <c r="FI37" s="242"/>
      <c r="FJ37" s="242"/>
      <c r="FK37" s="243"/>
      <c r="FL37" s="244">
        <f>SUM(FH37:FK37)</f>
        <v>0</v>
      </c>
      <c r="FM37" s="241"/>
      <c r="FN37" s="242"/>
      <c r="FO37" s="242"/>
      <c r="FP37" s="243"/>
      <c r="FQ37" s="244">
        <f>SUM(FM37:FP37)</f>
        <v>0</v>
      </c>
      <c r="FR37" s="241"/>
      <c r="FS37" s="242"/>
      <c r="FT37" s="242"/>
      <c r="FU37" s="243"/>
      <c r="FV37" s="244">
        <f>SUM(FR37:FU37)</f>
        <v>0</v>
      </c>
      <c r="FW37" s="241"/>
      <c r="FX37" s="242"/>
      <c r="FY37" s="242"/>
      <c r="FZ37" s="243"/>
      <c r="GA37" s="244">
        <f>SUM(FW37:FZ37)</f>
        <v>0</v>
      </c>
      <c r="GB37" s="241"/>
      <c r="GC37" s="242"/>
      <c r="GD37" s="242"/>
      <c r="GE37" s="243"/>
      <c r="GF37" s="244">
        <f>SUM(GB37:GE37)</f>
        <v>0</v>
      </c>
      <c r="GG37" s="120"/>
      <c r="GH37" s="121"/>
      <c r="GI37" s="121"/>
      <c r="GJ37" s="122"/>
      <c r="GK37" s="244">
        <f>SUM(GG37:GJ37)</f>
        <v>0</v>
      </c>
      <c r="GL37" s="272"/>
      <c r="GM37" s="273"/>
      <c r="GN37" s="273"/>
      <c r="GO37" s="274"/>
      <c r="GP37" s="244">
        <f>SUM(GL37:GO37)</f>
        <v>0</v>
      </c>
      <c r="GQ37" s="241">
        <v>0.15</v>
      </c>
      <c r="GR37" s="262"/>
      <c r="GS37" s="242"/>
      <c r="GT37" s="243"/>
      <c r="GU37" s="244">
        <f t="shared" ref="GU37:GU38" si="60">SUM(GQ37:GT37)</f>
        <v>0.15</v>
      </c>
      <c r="GV37" s="241"/>
      <c r="GW37" s="242"/>
      <c r="GX37" s="242"/>
      <c r="GY37" s="243"/>
      <c r="GZ37" s="244">
        <f t="shared" ref="GZ37:GZ38" si="61">SUM(GV37:GY37)</f>
        <v>0</v>
      </c>
      <c r="HA37" s="241"/>
      <c r="HB37" s="242"/>
      <c r="HC37" s="242"/>
      <c r="HD37" s="243"/>
      <c r="HE37" s="244">
        <f t="shared" ref="HE37:HE38" si="62">SUM(HA37:HD37)</f>
        <v>0</v>
      </c>
      <c r="HF37" s="241"/>
      <c r="HG37" s="242"/>
      <c r="HH37" s="242"/>
      <c r="HI37" s="243"/>
      <c r="HJ37" s="244">
        <f t="shared" ref="HJ37:HJ38" si="63">SUM(HF37:HI37)</f>
        <v>0</v>
      </c>
      <c r="HK37" s="241"/>
      <c r="HL37" s="242"/>
      <c r="HM37" s="242"/>
      <c r="HN37" s="243"/>
      <c r="HO37" s="244">
        <f t="shared" ref="HO37:HO38" si="64">SUM(HK37:HN37)</f>
        <v>0</v>
      </c>
      <c r="HP37" s="241"/>
      <c r="HQ37" s="242"/>
      <c r="HR37" s="242"/>
      <c r="HS37" s="243"/>
      <c r="HT37" s="244">
        <f t="shared" ref="HT37:HT38" si="65">SUM(HP37:HS37)</f>
        <v>0</v>
      </c>
      <c r="HU37" s="241"/>
      <c r="HV37" s="242"/>
      <c r="HW37" s="242"/>
      <c r="HX37" s="243"/>
      <c r="HY37" s="244">
        <f t="shared" ref="HY37:HY38" si="66">SUM(HU37:HX37)</f>
        <v>0</v>
      </c>
      <c r="HZ37" s="241"/>
      <c r="IA37" s="242"/>
      <c r="IB37" s="242"/>
      <c r="IC37" s="243"/>
      <c r="ID37" s="244">
        <f t="shared" ref="ID37:ID38" si="67">SUM(HZ37:IC37)</f>
        <v>0</v>
      </c>
      <c r="IE37" s="233"/>
      <c r="IF37" s="234"/>
      <c r="IG37" s="234"/>
      <c r="IH37" s="235"/>
      <c r="II37" s="232">
        <f t="shared" ref="II37:II38" si="68">SUM(IE37:IH37)</f>
        <v>0</v>
      </c>
      <c r="IJ37" s="233"/>
      <c r="IK37" s="234"/>
      <c r="IL37" s="234"/>
      <c r="IM37" s="235"/>
      <c r="IN37" s="232">
        <f t="shared" ref="IN37:IN38" si="69">SUM(IJ37:IM37)</f>
        <v>0</v>
      </c>
      <c r="IO37" s="69"/>
      <c r="IP37" s="79"/>
      <c r="IQ37" s="70"/>
      <c r="IR37" s="71"/>
      <c r="IS37" s="73">
        <f t="shared" ref="IS37:IS38" si="70">SUM(IO37:IR37)</f>
        <v>0</v>
      </c>
      <c r="IT37" s="69"/>
      <c r="IU37" s="70"/>
      <c r="IV37" s="70"/>
      <c r="IW37" s="71"/>
      <c r="IX37" s="73">
        <f t="shared" ref="IX37:IX38" si="71">SUM(IT37:IW37)</f>
        <v>0</v>
      </c>
      <c r="IY37" s="69"/>
      <c r="IZ37" s="70"/>
      <c r="JA37" s="70"/>
      <c r="JB37" s="71"/>
      <c r="JC37" s="73">
        <f t="shared" ref="JC37:JC38" si="72">SUM(IY37:JB37)</f>
        <v>0</v>
      </c>
      <c r="JD37" s="69"/>
      <c r="JE37" s="70"/>
      <c r="JF37" s="70"/>
      <c r="JG37" s="71"/>
      <c r="JH37" s="73">
        <f t="shared" ref="JH37:JH38" si="73">SUM(JD37:JG37)</f>
        <v>0</v>
      </c>
      <c r="JI37" s="69"/>
      <c r="JJ37" s="70"/>
      <c r="JK37" s="70"/>
      <c r="JL37" s="71"/>
      <c r="JM37" s="73">
        <f t="shared" ref="JM37:JM38" si="74">SUM(JI37:JL37)</f>
        <v>0</v>
      </c>
      <c r="JN37" s="69"/>
      <c r="JO37" s="70"/>
      <c r="JP37" s="70"/>
      <c r="JQ37" s="71"/>
      <c r="JR37" s="73">
        <f t="shared" ref="JR37:JR38" si="75">SUM(JN37:JQ37)</f>
        <v>0</v>
      </c>
      <c r="JS37" s="69"/>
      <c r="JT37" s="70"/>
      <c r="JU37" s="70"/>
      <c r="JV37" s="71"/>
      <c r="JW37" s="73">
        <f t="shared" ref="JW37:JW38" si="76">SUM(JS37:JV37)</f>
        <v>0</v>
      </c>
      <c r="JX37" s="69"/>
      <c r="JY37" s="70"/>
      <c r="JZ37" s="70"/>
      <c r="KA37" s="71"/>
      <c r="KB37" s="73">
        <v>0</v>
      </c>
      <c r="KC37" s="69"/>
      <c r="KD37" s="70"/>
      <c r="KE37" s="70"/>
      <c r="KF37" s="71"/>
      <c r="KG37" s="73">
        <v>0</v>
      </c>
      <c r="KH37" s="69"/>
      <c r="KI37" s="70"/>
      <c r="KJ37" s="70"/>
      <c r="KK37" s="71"/>
      <c r="KL37" s="73">
        <v>0</v>
      </c>
      <c r="KM37" s="479" t="s">
        <v>102</v>
      </c>
      <c r="KN37" s="480" t="s">
        <v>102</v>
      </c>
      <c r="KO37" s="70" t="s">
        <v>102</v>
      </c>
      <c r="KP37" s="71" t="s">
        <v>102</v>
      </c>
      <c r="KQ37" s="73">
        <f t="shared" si="45"/>
        <v>0</v>
      </c>
      <c r="KR37" s="69" t="s">
        <v>102</v>
      </c>
      <c r="KS37" s="70" t="s">
        <v>102</v>
      </c>
      <c r="KT37" s="70" t="s">
        <v>102</v>
      </c>
      <c r="KU37" s="71" t="s">
        <v>102</v>
      </c>
      <c r="KV37" s="73">
        <f t="shared" si="46"/>
        <v>0</v>
      </c>
    </row>
    <row r="38" spans="1:308" ht="16.5" customHeight="1" outlineLevel="1" thickBot="1" x14ac:dyDescent="0.3">
      <c r="A38" s="123" t="s">
        <v>27</v>
      </c>
      <c r="B38" s="83">
        <v>114</v>
      </c>
      <c r="C38" s="84">
        <v>46</v>
      </c>
      <c r="D38" s="92"/>
      <c r="E38" s="93"/>
      <c r="F38" s="94"/>
      <c r="G38" s="95"/>
      <c r="H38" s="124"/>
      <c r="I38" s="125"/>
      <c r="J38" s="126"/>
      <c r="K38" s="126"/>
      <c r="L38" s="127"/>
      <c r="M38" s="89"/>
      <c r="N38" s="125"/>
      <c r="O38" s="126"/>
      <c r="P38" s="126"/>
      <c r="Q38" s="127"/>
      <c r="R38" s="33"/>
      <c r="S38" s="125"/>
      <c r="T38" s="126"/>
      <c r="U38" s="126"/>
      <c r="V38" s="127"/>
      <c r="W38" s="33"/>
      <c r="X38" s="125"/>
      <c r="Y38" s="126"/>
      <c r="Z38" s="126"/>
      <c r="AA38" s="127"/>
      <c r="AB38" s="33"/>
      <c r="AC38" s="128"/>
      <c r="AD38" s="129"/>
      <c r="AE38" s="129"/>
      <c r="AF38" s="130"/>
      <c r="AG38" s="131"/>
      <c r="AH38" s="118"/>
      <c r="AI38" s="109"/>
      <c r="AJ38" s="109"/>
      <c r="AK38" s="132"/>
      <c r="AL38" s="119"/>
      <c r="AM38" s="112"/>
      <c r="AN38" s="113"/>
      <c r="AO38" s="113"/>
      <c r="AP38" s="42"/>
      <c r="AQ38" s="114"/>
      <c r="AR38" s="112"/>
      <c r="AS38" s="113"/>
      <c r="AT38" s="113"/>
      <c r="AU38" s="115"/>
      <c r="AV38" s="133"/>
      <c r="AW38" s="112"/>
      <c r="AX38" s="113"/>
      <c r="AY38" s="113"/>
      <c r="AZ38" s="115"/>
      <c r="BA38" s="133"/>
      <c r="BB38" s="112"/>
      <c r="BC38" s="113"/>
      <c r="BD38" s="113"/>
      <c r="BE38" s="115"/>
      <c r="BF38" s="133"/>
      <c r="BG38" s="69"/>
      <c r="BH38" s="70"/>
      <c r="BI38" s="70"/>
      <c r="BJ38" s="74"/>
      <c r="BK38" s="73"/>
      <c r="BL38" s="69"/>
      <c r="BM38" s="70"/>
      <c r="BN38" s="70"/>
      <c r="BO38" s="74"/>
      <c r="BP38" s="72"/>
      <c r="BQ38" s="69"/>
      <c r="BR38" s="70"/>
      <c r="BS38" s="70"/>
      <c r="BT38" s="71"/>
      <c r="BU38" s="232"/>
      <c r="BV38" s="233"/>
      <c r="BW38" s="234"/>
      <c r="BX38" s="234"/>
      <c r="BY38" s="235"/>
      <c r="BZ38" s="236"/>
      <c r="CA38" s="237"/>
      <c r="CB38" s="238"/>
      <c r="CC38" s="238"/>
      <c r="CD38" s="239"/>
      <c r="CE38" s="240"/>
      <c r="CF38" s="237"/>
      <c r="CG38" s="238"/>
      <c r="CH38" s="238"/>
      <c r="CI38" s="239"/>
      <c r="CJ38" s="240"/>
      <c r="CK38" s="237"/>
      <c r="CL38" s="238"/>
      <c r="CM38" s="238"/>
      <c r="CN38" s="239"/>
      <c r="CO38" s="240"/>
      <c r="CP38" s="241"/>
      <c r="CQ38" s="242"/>
      <c r="CR38" s="242"/>
      <c r="CS38" s="243"/>
      <c r="CT38" s="244"/>
      <c r="CU38" s="241"/>
      <c r="CV38" s="242"/>
      <c r="CW38" s="242"/>
      <c r="CX38" s="243"/>
      <c r="CY38" s="244"/>
      <c r="CZ38" s="241"/>
      <c r="DA38" s="242"/>
      <c r="DB38" s="242"/>
      <c r="DC38" s="243"/>
      <c r="DD38" s="244"/>
      <c r="DE38" s="241"/>
      <c r="DF38" s="242"/>
      <c r="DG38" s="242"/>
      <c r="DH38" s="243"/>
      <c r="DI38" s="244"/>
      <c r="DJ38" s="241"/>
      <c r="DK38" s="242"/>
      <c r="DL38" s="242"/>
      <c r="DM38" s="243"/>
      <c r="DN38" s="244"/>
      <c r="DO38" s="241"/>
      <c r="DP38" s="242"/>
      <c r="DQ38" s="242"/>
      <c r="DR38" s="243"/>
      <c r="DS38" s="244"/>
      <c r="DT38" s="241"/>
      <c r="DU38" s="242"/>
      <c r="DV38" s="242"/>
      <c r="DW38" s="243"/>
      <c r="DX38" s="244"/>
      <c r="DY38" s="76"/>
      <c r="DZ38" s="77"/>
      <c r="EA38" s="77"/>
      <c r="EB38" s="78"/>
      <c r="EC38" s="244"/>
      <c r="ED38" s="241"/>
      <c r="EE38" s="242"/>
      <c r="EF38" s="242"/>
      <c r="EG38" s="243"/>
      <c r="EH38" s="244"/>
      <c r="EI38" s="241"/>
      <c r="EJ38" s="242"/>
      <c r="EK38" s="242"/>
      <c r="EL38" s="243"/>
      <c r="EM38" s="244"/>
      <c r="EN38" s="241"/>
      <c r="EO38" s="242"/>
      <c r="EP38" s="242"/>
      <c r="EQ38" s="243"/>
      <c r="ER38" s="244"/>
      <c r="ES38" s="241"/>
      <c r="ET38" s="242"/>
      <c r="EU38" s="242"/>
      <c r="EV38" s="243"/>
      <c r="EW38" s="244"/>
      <c r="EX38" s="241"/>
      <c r="EY38" s="242"/>
      <c r="EZ38" s="242"/>
      <c r="FA38" s="243"/>
      <c r="FB38" s="244"/>
      <c r="FC38" s="241"/>
      <c r="FD38" s="242"/>
      <c r="FE38" s="242"/>
      <c r="FF38" s="243"/>
      <c r="FG38" s="244"/>
      <c r="FH38" s="241"/>
      <c r="FI38" s="242"/>
      <c r="FJ38" s="242"/>
      <c r="FK38" s="243"/>
      <c r="FL38" s="244"/>
      <c r="FM38" s="241"/>
      <c r="FN38" s="242"/>
      <c r="FO38" s="242"/>
      <c r="FP38" s="243"/>
      <c r="FQ38" s="244"/>
      <c r="FR38" s="241"/>
      <c r="FS38" s="242"/>
      <c r="FT38" s="242"/>
      <c r="FU38" s="243"/>
      <c r="FV38" s="244"/>
      <c r="FW38" s="241"/>
      <c r="FX38" s="242"/>
      <c r="FY38" s="242"/>
      <c r="FZ38" s="243"/>
      <c r="GA38" s="244"/>
      <c r="GB38" s="241"/>
      <c r="GC38" s="242"/>
      <c r="GD38" s="242"/>
      <c r="GE38" s="243"/>
      <c r="GF38" s="244"/>
      <c r="GG38" s="120"/>
      <c r="GH38" s="121"/>
      <c r="GI38" s="121"/>
      <c r="GJ38" s="122"/>
      <c r="GK38" s="244">
        <v>0</v>
      </c>
      <c r="GL38" s="272"/>
      <c r="GM38" s="273"/>
      <c r="GN38" s="273"/>
      <c r="GO38" s="274"/>
      <c r="GP38" s="244">
        <v>0</v>
      </c>
      <c r="GQ38" s="241">
        <v>0.15</v>
      </c>
      <c r="GR38" s="262"/>
      <c r="GS38" s="242"/>
      <c r="GT38" s="243"/>
      <c r="GU38" s="244">
        <f t="shared" si="60"/>
        <v>0.15</v>
      </c>
      <c r="GV38" s="241"/>
      <c r="GW38" s="242"/>
      <c r="GX38" s="242"/>
      <c r="GY38" s="243"/>
      <c r="GZ38" s="244">
        <f t="shared" si="61"/>
        <v>0</v>
      </c>
      <c r="HA38" s="241"/>
      <c r="HB38" s="242"/>
      <c r="HC38" s="242"/>
      <c r="HD38" s="243"/>
      <c r="HE38" s="244">
        <f t="shared" si="62"/>
        <v>0</v>
      </c>
      <c r="HF38" s="241"/>
      <c r="HG38" s="242"/>
      <c r="HH38" s="242"/>
      <c r="HI38" s="243"/>
      <c r="HJ38" s="244">
        <f t="shared" si="63"/>
        <v>0</v>
      </c>
      <c r="HK38" s="241"/>
      <c r="HL38" s="242"/>
      <c r="HM38" s="242"/>
      <c r="HN38" s="243"/>
      <c r="HO38" s="244">
        <f t="shared" si="64"/>
        <v>0</v>
      </c>
      <c r="HP38" s="241"/>
      <c r="HQ38" s="242"/>
      <c r="HR38" s="242"/>
      <c r="HS38" s="243"/>
      <c r="HT38" s="244">
        <f t="shared" si="65"/>
        <v>0</v>
      </c>
      <c r="HU38" s="241"/>
      <c r="HV38" s="242"/>
      <c r="HW38" s="242"/>
      <c r="HX38" s="243"/>
      <c r="HY38" s="244">
        <f t="shared" si="66"/>
        <v>0</v>
      </c>
      <c r="HZ38" s="241"/>
      <c r="IA38" s="242"/>
      <c r="IB38" s="242"/>
      <c r="IC38" s="243"/>
      <c r="ID38" s="244">
        <f t="shared" si="67"/>
        <v>0</v>
      </c>
      <c r="IE38" s="233"/>
      <c r="IF38" s="234"/>
      <c r="IG38" s="234"/>
      <c r="IH38" s="235"/>
      <c r="II38" s="232">
        <f t="shared" si="68"/>
        <v>0</v>
      </c>
      <c r="IJ38" s="233"/>
      <c r="IK38" s="234"/>
      <c r="IL38" s="234"/>
      <c r="IM38" s="235"/>
      <c r="IN38" s="232">
        <f t="shared" si="69"/>
        <v>0</v>
      </c>
      <c r="IO38" s="69"/>
      <c r="IP38" s="79"/>
      <c r="IQ38" s="70"/>
      <c r="IR38" s="71"/>
      <c r="IS38" s="73">
        <f t="shared" si="70"/>
        <v>0</v>
      </c>
      <c r="IT38" s="69"/>
      <c r="IU38" s="70"/>
      <c r="IV38" s="70"/>
      <c r="IW38" s="71"/>
      <c r="IX38" s="73">
        <f t="shared" si="71"/>
        <v>0</v>
      </c>
      <c r="IY38" s="69"/>
      <c r="IZ38" s="70"/>
      <c r="JA38" s="70"/>
      <c r="JB38" s="71"/>
      <c r="JC38" s="73">
        <f t="shared" si="72"/>
        <v>0</v>
      </c>
      <c r="JD38" s="69"/>
      <c r="JE38" s="70"/>
      <c r="JF38" s="70"/>
      <c r="JG38" s="71"/>
      <c r="JH38" s="73">
        <f t="shared" si="73"/>
        <v>0</v>
      </c>
      <c r="JI38" s="69"/>
      <c r="JJ38" s="70"/>
      <c r="JK38" s="70"/>
      <c r="JL38" s="71"/>
      <c r="JM38" s="73">
        <f t="shared" si="74"/>
        <v>0</v>
      </c>
      <c r="JN38" s="69"/>
      <c r="JO38" s="70"/>
      <c r="JP38" s="70"/>
      <c r="JQ38" s="71"/>
      <c r="JR38" s="73">
        <f t="shared" si="75"/>
        <v>0</v>
      </c>
      <c r="JS38" s="69"/>
      <c r="JT38" s="70"/>
      <c r="JU38" s="70"/>
      <c r="JV38" s="71"/>
      <c r="JW38" s="73">
        <f t="shared" si="76"/>
        <v>0</v>
      </c>
      <c r="JX38" s="69"/>
      <c r="JY38" s="70"/>
      <c r="JZ38" s="70"/>
      <c r="KA38" s="71"/>
      <c r="KB38" s="73">
        <v>0</v>
      </c>
      <c r="KC38" s="69"/>
      <c r="KD38" s="70"/>
      <c r="KE38" s="70"/>
      <c r="KF38" s="71"/>
      <c r="KG38" s="73">
        <v>0</v>
      </c>
      <c r="KH38" s="69"/>
      <c r="KI38" s="70"/>
      <c r="KJ38" s="70"/>
      <c r="KK38" s="71"/>
      <c r="KL38" s="73">
        <v>0</v>
      </c>
      <c r="KM38" s="479" t="s">
        <v>102</v>
      </c>
      <c r="KN38" s="480" t="s">
        <v>102</v>
      </c>
      <c r="KO38" s="70" t="s">
        <v>102</v>
      </c>
      <c r="KP38" s="71" t="s">
        <v>102</v>
      </c>
      <c r="KQ38" s="73">
        <f t="shared" si="45"/>
        <v>0</v>
      </c>
      <c r="KR38" s="69" t="s">
        <v>102</v>
      </c>
      <c r="KS38" s="70" t="s">
        <v>102</v>
      </c>
      <c r="KT38" s="70" t="s">
        <v>102</v>
      </c>
      <c r="KU38" s="71" t="s">
        <v>102</v>
      </c>
      <c r="KV38" s="73">
        <f t="shared" si="46"/>
        <v>0</v>
      </c>
    </row>
    <row r="39" spans="1:308" ht="15.75" x14ac:dyDescent="0.25">
      <c r="A39" s="91" t="s">
        <v>28</v>
      </c>
      <c r="B39" s="23">
        <v>25</v>
      </c>
      <c r="C39" s="24">
        <v>38.22</v>
      </c>
      <c r="D39" s="92"/>
      <c r="E39" s="93"/>
      <c r="F39" s="94"/>
      <c r="G39" s="95"/>
      <c r="H39" s="124"/>
      <c r="I39" s="125"/>
      <c r="J39" s="126"/>
      <c r="K39" s="126"/>
      <c r="L39" s="127"/>
      <c r="M39" s="89"/>
      <c r="N39" s="125"/>
      <c r="O39" s="126"/>
      <c r="P39" s="126"/>
      <c r="Q39" s="127"/>
      <c r="R39" s="33"/>
      <c r="S39" s="125"/>
      <c r="T39" s="126"/>
      <c r="U39" s="126"/>
      <c r="V39" s="127"/>
      <c r="W39" s="33"/>
      <c r="X39" s="125"/>
      <c r="Y39" s="126"/>
      <c r="Z39" s="126"/>
      <c r="AA39" s="127"/>
      <c r="AB39" s="33"/>
      <c r="AC39" s="128"/>
      <c r="AD39" s="129"/>
      <c r="AE39" s="129"/>
      <c r="AF39" s="130"/>
      <c r="AG39" s="131"/>
      <c r="AH39" s="118"/>
      <c r="AI39" s="109"/>
      <c r="AJ39" s="109"/>
      <c r="AK39" s="132"/>
      <c r="AL39" s="119"/>
      <c r="AM39" s="112"/>
      <c r="AN39" s="113"/>
      <c r="AO39" s="113"/>
      <c r="AP39" s="42"/>
      <c r="AQ39" s="114"/>
      <c r="AR39" s="112"/>
      <c r="AS39" s="113"/>
      <c r="AT39" s="113"/>
      <c r="AU39" s="115"/>
      <c r="AV39" s="133"/>
      <c r="AW39" s="112"/>
      <c r="AX39" s="113"/>
      <c r="AY39" s="113"/>
      <c r="AZ39" s="115"/>
      <c r="BA39" s="133"/>
      <c r="BB39" s="112"/>
      <c r="BC39" s="113"/>
      <c r="BD39" s="113"/>
      <c r="BE39" s="115"/>
      <c r="BF39" s="133"/>
      <c r="BG39" s="69"/>
      <c r="BH39" s="70"/>
      <c r="BI39" s="70"/>
      <c r="BJ39" s="74"/>
      <c r="BK39" s="73">
        <f t="shared" si="59"/>
        <v>0</v>
      </c>
      <c r="BL39" s="69"/>
      <c r="BM39" s="70"/>
      <c r="BN39" s="70"/>
      <c r="BO39" s="74"/>
      <c r="BP39" s="72">
        <f t="shared" si="52"/>
        <v>0</v>
      </c>
      <c r="BQ39" s="69"/>
      <c r="BR39" s="70"/>
      <c r="BS39" s="70"/>
      <c r="BT39" s="71"/>
      <c r="BU39" s="232">
        <f t="shared" si="9"/>
        <v>0</v>
      </c>
      <c r="BV39" s="233"/>
      <c r="BW39" s="234"/>
      <c r="BX39" s="234"/>
      <c r="BY39" s="235"/>
      <c r="BZ39" s="236">
        <f t="shared" si="10"/>
        <v>0</v>
      </c>
      <c r="CA39" s="237"/>
      <c r="CB39" s="238"/>
      <c r="CC39" s="238"/>
      <c r="CD39" s="239"/>
      <c r="CE39" s="240">
        <f t="shared" si="53"/>
        <v>0</v>
      </c>
      <c r="CF39" s="237"/>
      <c r="CG39" s="238"/>
      <c r="CH39" s="238"/>
      <c r="CI39" s="239"/>
      <c r="CJ39" s="240">
        <f t="shared" si="54"/>
        <v>0</v>
      </c>
      <c r="CK39" s="237"/>
      <c r="CL39" s="238"/>
      <c r="CM39" s="238"/>
      <c r="CN39" s="239"/>
      <c r="CO39" s="244">
        <f t="shared" si="55"/>
        <v>0</v>
      </c>
      <c r="CP39" s="241"/>
      <c r="CQ39" s="242"/>
      <c r="CR39" s="242"/>
      <c r="CS39" s="243"/>
      <c r="CT39" s="244">
        <v>0</v>
      </c>
      <c r="CU39" s="241"/>
      <c r="CV39" s="242"/>
      <c r="CW39" s="242"/>
      <c r="CX39" s="243"/>
      <c r="CY39" s="244">
        <v>0</v>
      </c>
      <c r="CZ39" s="241">
        <v>0.28999999999999998</v>
      </c>
      <c r="DA39" s="242"/>
      <c r="DB39" s="242"/>
      <c r="DC39" s="243"/>
      <c r="DD39" s="244">
        <f>SUM(CZ39:DC39)</f>
        <v>0.28999999999999998</v>
      </c>
      <c r="DE39" s="241">
        <v>0.69</v>
      </c>
      <c r="DF39" s="242"/>
      <c r="DG39" s="242"/>
      <c r="DH39" s="243"/>
      <c r="DI39" s="244">
        <f>SUM(DE39:DH39)</f>
        <v>0.69</v>
      </c>
      <c r="DJ39" s="241">
        <v>0.4</v>
      </c>
      <c r="DK39" s="242"/>
      <c r="DL39" s="242"/>
      <c r="DM39" s="243"/>
      <c r="DN39" s="244">
        <f>SUM(DJ39:DM39)</f>
        <v>0.4</v>
      </c>
      <c r="DO39" s="241">
        <v>0.71</v>
      </c>
      <c r="DP39" s="242"/>
      <c r="DQ39" s="242"/>
      <c r="DR39" s="243"/>
      <c r="DS39" s="244">
        <f>SUM(DO39:DR39)</f>
        <v>0.71</v>
      </c>
      <c r="DT39" s="241">
        <v>0.99</v>
      </c>
      <c r="DU39" s="242"/>
      <c r="DV39" s="242"/>
      <c r="DW39" s="243"/>
      <c r="DX39" s="244">
        <f>SUM(DT39:DW39)</f>
        <v>0.99</v>
      </c>
      <c r="DY39" s="76">
        <v>0.61</v>
      </c>
      <c r="DZ39" s="77">
        <v>0.81</v>
      </c>
      <c r="EA39" s="77"/>
      <c r="EB39" s="78"/>
      <c r="EC39" s="244">
        <f>SUM(DY39:EB39)</f>
        <v>1.42</v>
      </c>
      <c r="ED39" s="241">
        <v>0.37</v>
      </c>
      <c r="EE39" s="242"/>
      <c r="EF39" s="242"/>
      <c r="EG39" s="243"/>
      <c r="EH39" s="244">
        <f>SUM(ED39:EG39)</f>
        <v>0.37</v>
      </c>
      <c r="EI39" s="241">
        <v>0.36</v>
      </c>
      <c r="EJ39" s="242"/>
      <c r="EK39" s="242"/>
      <c r="EL39" s="243"/>
      <c r="EM39" s="244">
        <f>SUM(EI39:EL39)</f>
        <v>0.36</v>
      </c>
      <c r="EN39" s="241">
        <v>1.26</v>
      </c>
      <c r="EO39" s="242"/>
      <c r="EP39" s="242"/>
      <c r="EQ39" s="243"/>
      <c r="ER39" s="244">
        <f>SUM(EN39:EQ39)</f>
        <v>1.26</v>
      </c>
      <c r="ES39" s="241">
        <v>1.83</v>
      </c>
      <c r="ET39" s="242">
        <v>0.93</v>
      </c>
      <c r="EU39" s="242"/>
      <c r="EV39" s="243"/>
      <c r="EW39" s="244">
        <f>SUM(ES39:EV39)</f>
        <v>2.7600000000000002</v>
      </c>
      <c r="EX39" s="241">
        <v>0.92</v>
      </c>
      <c r="EY39" s="242"/>
      <c r="EZ39" s="242"/>
      <c r="FA39" s="243"/>
      <c r="FB39" s="244">
        <f>SUM(EX39:FA39)</f>
        <v>0.92</v>
      </c>
      <c r="FC39" s="241">
        <v>1.19</v>
      </c>
      <c r="FD39" s="242"/>
      <c r="FE39" s="242"/>
      <c r="FF39" s="243"/>
      <c r="FG39" s="244">
        <f>SUM(FC39:FF39)</f>
        <v>1.19</v>
      </c>
      <c r="FH39" s="241">
        <v>0.89</v>
      </c>
      <c r="FI39" s="242">
        <v>1.27</v>
      </c>
      <c r="FJ39" s="242"/>
      <c r="FK39" s="243"/>
      <c r="FL39" s="244">
        <f>SUM(FH39:FK39)</f>
        <v>2.16</v>
      </c>
      <c r="FM39" s="241">
        <v>0.71</v>
      </c>
      <c r="FN39" s="242"/>
      <c r="FO39" s="242"/>
      <c r="FP39" s="243"/>
      <c r="FQ39" s="244">
        <f>SUM(FM39:FP39)</f>
        <v>0.71</v>
      </c>
      <c r="FR39" s="241">
        <v>0.62</v>
      </c>
      <c r="FS39" s="242">
        <v>0.78</v>
      </c>
      <c r="FT39" s="242"/>
      <c r="FU39" s="243"/>
      <c r="FV39" s="244">
        <f>SUM(FR39:FU39)</f>
        <v>1.4</v>
      </c>
      <c r="FW39" s="241">
        <v>0.5</v>
      </c>
      <c r="FX39" s="242">
        <v>1.07</v>
      </c>
      <c r="FY39" s="242"/>
      <c r="FZ39" s="243"/>
      <c r="GA39" s="244">
        <f>SUM(FW39:FZ39)</f>
        <v>1.57</v>
      </c>
      <c r="GB39" s="241">
        <v>0.52</v>
      </c>
      <c r="GC39" s="242">
        <v>0.51</v>
      </c>
      <c r="GD39" s="242"/>
      <c r="GE39" s="243"/>
      <c r="GF39" s="244">
        <f>SUM(GB39:GE39)</f>
        <v>1.03</v>
      </c>
      <c r="GG39" s="76">
        <v>0.37</v>
      </c>
      <c r="GH39" s="77">
        <v>0.65</v>
      </c>
      <c r="GI39" s="77"/>
      <c r="GJ39" s="78"/>
      <c r="GK39" s="244">
        <f>SUM(GG39:GJ39)</f>
        <v>1.02</v>
      </c>
      <c r="GL39" s="241">
        <v>0.48</v>
      </c>
      <c r="GM39" s="242">
        <v>0.54</v>
      </c>
      <c r="GN39" s="242"/>
      <c r="GO39" s="243"/>
      <c r="GP39" s="244">
        <f>SUM(GL39:GO39)</f>
        <v>1.02</v>
      </c>
      <c r="GQ39" s="241">
        <v>0.94</v>
      </c>
      <c r="GR39" s="242">
        <v>1.34</v>
      </c>
      <c r="GS39" s="242"/>
      <c r="GT39" s="243"/>
      <c r="GU39" s="244">
        <f>SUM(GQ39:GT39)</f>
        <v>2.2800000000000002</v>
      </c>
      <c r="GV39" s="241">
        <v>1.66</v>
      </c>
      <c r="GW39" s="242">
        <v>1.77</v>
      </c>
      <c r="GX39" s="242"/>
      <c r="GY39" s="243"/>
      <c r="GZ39" s="244">
        <f>SUM(GV39:GY39)</f>
        <v>3.4299999999999997</v>
      </c>
      <c r="HA39" s="241">
        <v>2.68</v>
      </c>
      <c r="HB39" s="242">
        <v>6.66</v>
      </c>
      <c r="HC39" s="242"/>
      <c r="HD39" s="243"/>
      <c r="HE39" s="244">
        <f>SUM(HA39:HD39)</f>
        <v>9.34</v>
      </c>
      <c r="HF39" s="241">
        <v>3.23</v>
      </c>
      <c r="HG39" s="242">
        <v>8.94</v>
      </c>
      <c r="HH39" s="242"/>
      <c r="HI39" s="243"/>
      <c r="HJ39" s="244">
        <f>SUM(HF39:HI39)</f>
        <v>12.17</v>
      </c>
      <c r="HK39" s="241">
        <v>1.51</v>
      </c>
      <c r="HL39" s="242">
        <v>6.59</v>
      </c>
      <c r="HM39" s="242"/>
      <c r="HN39" s="243"/>
      <c r="HO39" s="244">
        <f>SUM(HK39:HN39)</f>
        <v>8.1</v>
      </c>
      <c r="HP39" s="241">
        <v>10.59</v>
      </c>
      <c r="HQ39" s="269"/>
      <c r="HR39" s="242"/>
      <c r="HS39" s="243"/>
      <c r="HT39" s="244">
        <f>SUM(HP39:HS39)</f>
        <v>10.59</v>
      </c>
      <c r="HU39" s="241">
        <v>8.4600000000000009</v>
      </c>
      <c r="HV39" s="242">
        <v>6.37</v>
      </c>
      <c r="HW39" s="242"/>
      <c r="HX39" s="243"/>
      <c r="HY39" s="244">
        <f>SUM(HU39:HX39)</f>
        <v>14.830000000000002</v>
      </c>
      <c r="HZ39" s="241">
        <v>7.62</v>
      </c>
      <c r="IA39" s="242">
        <v>5.59</v>
      </c>
      <c r="IB39" s="242"/>
      <c r="IC39" s="243"/>
      <c r="ID39" s="244">
        <f>SUM(HZ39:IC39)</f>
        <v>13.21</v>
      </c>
      <c r="IE39" s="233">
        <v>11.73</v>
      </c>
      <c r="IF39" s="234">
        <v>13.08</v>
      </c>
      <c r="IG39" s="234"/>
      <c r="IH39" s="235"/>
      <c r="II39" s="232">
        <f>SUM(IE39:IH39)</f>
        <v>24.810000000000002</v>
      </c>
      <c r="IJ39" s="233">
        <v>4.58</v>
      </c>
      <c r="IK39" s="234">
        <v>4.53</v>
      </c>
      <c r="IL39" s="234"/>
      <c r="IM39" s="235"/>
      <c r="IN39" s="232">
        <f>SUM(IJ39:IM39)</f>
        <v>9.11</v>
      </c>
      <c r="IO39" s="69">
        <v>18.25</v>
      </c>
      <c r="IP39" s="79"/>
      <c r="IQ39" s="70"/>
      <c r="IR39" s="71"/>
      <c r="IS39" s="73">
        <f>SUM(IO39:IR39)</f>
        <v>18.25</v>
      </c>
      <c r="IT39" s="69">
        <v>14.66</v>
      </c>
      <c r="IU39" s="70">
        <v>6.8</v>
      </c>
      <c r="IV39" s="70"/>
      <c r="IW39" s="71"/>
      <c r="IX39" s="73">
        <f>SUM(IT39:IW39)</f>
        <v>21.46</v>
      </c>
      <c r="IY39" s="69">
        <v>7.51</v>
      </c>
      <c r="IZ39" s="70">
        <v>11.47</v>
      </c>
      <c r="JA39" s="70"/>
      <c r="JB39" s="71"/>
      <c r="JC39" s="73">
        <f>SUM(IY39:JB39)</f>
        <v>18.98</v>
      </c>
      <c r="JD39" s="69">
        <v>15.53</v>
      </c>
      <c r="JE39" s="70">
        <v>13.39</v>
      </c>
      <c r="JF39" s="70"/>
      <c r="JG39" s="71"/>
      <c r="JH39" s="73">
        <f>SUM(JD39:JG39)</f>
        <v>28.92</v>
      </c>
      <c r="JI39" s="69">
        <v>19.649999999999999</v>
      </c>
      <c r="JJ39" s="70">
        <v>24.13</v>
      </c>
      <c r="JK39" s="70"/>
      <c r="JL39" s="71"/>
      <c r="JM39" s="73">
        <f>SUM(JI39:JL39)</f>
        <v>43.78</v>
      </c>
      <c r="JN39" s="69">
        <v>9.7899999999999991</v>
      </c>
      <c r="JO39" s="70">
        <v>14.64</v>
      </c>
      <c r="JP39" s="70"/>
      <c r="JQ39" s="71"/>
      <c r="JR39" s="73">
        <f>SUM(JN39:JQ39)</f>
        <v>24.43</v>
      </c>
      <c r="JS39" s="69">
        <v>13.64</v>
      </c>
      <c r="JT39" s="70">
        <v>10.25</v>
      </c>
      <c r="JU39" s="70"/>
      <c r="JV39" s="71"/>
      <c r="JW39" s="73">
        <f>SUM(JS39:JV39)</f>
        <v>23.89</v>
      </c>
      <c r="JX39" s="69">
        <v>23.57</v>
      </c>
      <c r="JY39" s="70">
        <v>6.51</v>
      </c>
      <c r="JZ39" s="70"/>
      <c r="KA39" s="71"/>
      <c r="KB39" s="73">
        <v>30.08</v>
      </c>
      <c r="KC39" s="69">
        <v>23.03</v>
      </c>
      <c r="KD39" s="70">
        <v>7.02</v>
      </c>
      <c r="KE39" s="70">
        <v>0</v>
      </c>
      <c r="KF39" s="71">
        <v>0</v>
      </c>
      <c r="KG39" s="73">
        <v>30.05</v>
      </c>
      <c r="KH39" s="69">
        <v>25.56</v>
      </c>
      <c r="KI39" s="70">
        <v>14.44</v>
      </c>
      <c r="KJ39" s="70"/>
      <c r="KK39" s="71"/>
      <c r="KL39" s="73">
        <v>40</v>
      </c>
      <c r="KM39" s="479">
        <v>13.8</v>
      </c>
      <c r="KN39" s="480">
        <v>14.97</v>
      </c>
      <c r="KO39" s="70">
        <v>0</v>
      </c>
      <c r="KP39" s="71">
        <v>0</v>
      </c>
      <c r="KQ39" s="73">
        <f t="shared" si="45"/>
        <v>28.770000000000003</v>
      </c>
      <c r="KR39" s="69">
        <v>12.27</v>
      </c>
      <c r="KS39" s="70">
        <v>9.43</v>
      </c>
      <c r="KT39" s="70">
        <v>0</v>
      </c>
      <c r="KU39" s="71">
        <v>0</v>
      </c>
      <c r="KV39" s="73">
        <f t="shared" si="46"/>
        <v>21.7</v>
      </c>
    </row>
    <row r="40" spans="1:308" ht="15.75" x14ac:dyDescent="0.25">
      <c r="A40" s="97"/>
      <c r="B40" s="55" t="s">
        <v>29</v>
      </c>
      <c r="C40" s="134">
        <v>22.72</v>
      </c>
      <c r="D40" s="92"/>
      <c r="E40" s="93"/>
      <c r="F40" s="94"/>
      <c r="G40" s="95"/>
      <c r="H40" s="124"/>
      <c r="I40" s="125"/>
      <c r="J40" s="126"/>
      <c r="K40" s="126"/>
      <c r="L40" s="127"/>
      <c r="M40" s="89"/>
      <c r="N40" s="125"/>
      <c r="O40" s="126"/>
      <c r="P40" s="126"/>
      <c r="Q40" s="127"/>
      <c r="R40" s="33"/>
      <c r="S40" s="125"/>
      <c r="T40" s="126"/>
      <c r="U40" s="126"/>
      <c r="V40" s="127"/>
      <c r="W40" s="33"/>
      <c r="X40" s="125"/>
      <c r="Y40" s="126"/>
      <c r="Z40" s="126"/>
      <c r="AA40" s="127"/>
      <c r="AB40" s="33"/>
      <c r="AC40" s="128"/>
      <c r="AD40" s="129"/>
      <c r="AE40" s="129"/>
      <c r="AF40" s="130"/>
      <c r="AG40" s="131"/>
      <c r="AH40" s="118"/>
      <c r="AI40" s="109"/>
      <c r="AJ40" s="109"/>
      <c r="AK40" s="132"/>
      <c r="AL40" s="119"/>
      <c r="AM40" s="112"/>
      <c r="AN40" s="113"/>
      <c r="AO40" s="113"/>
      <c r="AP40" s="42"/>
      <c r="AQ40" s="114"/>
      <c r="AR40" s="112"/>
      <c r="AS40" s="113"/>
      <c r="AT40" s="113"/>
      <c r="AU40" s="115"/>
      <c r="AV40" s="133"/>
      <c r="AW40" s="112"/>
      <c r="AX40" s="113"/>
      <c r="AY40" s="113"/>
      <c r="AZ40" s="115"/>
      <c r="BA40" s="133"/>
      <c r="BB40" s="112"/>
      <c r="BC40" s="113"/>
      <c r="BD40" s="113"/>
      <c r="BE40" s="115"/>
      <c r="BF40" s="133"/>
      <c r="BG40" s="69">
        <v>2</v>
      </c>
      <c r="BH40" s="70"/>
      <c r="BI40" s="70"/>
      <c r="BJ40" s="74"/>
      <c r="BK40" s="73">
        <f t="shared" si="59"/>
        <v>2</v>
      </c>
      <c r="BL40" s="69">
        <v>1.79</v>
      </c>
      <c r="BM40" s="70">
        <v>1.2</v>
      </c>
      <c r="BN40" s="70"/>
      <c r="BO40" s="74"/>
      <c r="BP40" s="72">
        <f t="shared" si="52"/>
        <v>2.99</v>
      </c>
      <c r="BQ40" s="69">
        <v>0.48</v>
      </c>
      <c r="BR40" s="70">
        <v>0.55000000000000004</v>
      </c>
      <c r="BS40" s="70"/>
      <c r="BT40" s="71"/>
      <c r="BU40" s="232">
        <f t="shared" si="9"/>
        <v>1.03</v>
      </c>
      <c r="BV40" s="233">
        <v>0.5</v>
      </c>
      <c r="BW40" s="234"/>
      <c r="BX40" s="234"/>
      <c r="BY40" s="235"/>
      <c r="BZ40" s="236">
        <f t="shared" si="10"/>
        <v>0.5</v>
      </c>
      <c r="CA40" s="237"/>
      <c r="CB40" s="238"/>
      <c r="CC40" s="238"/>
      <c r="CD40" s="239"/>
      <c r="CE40" s="240">
        <f t="shared" si="53"/>
        <v>0</v>
      </c>
      <c r="CF40" s="237"/>
      <c r="CG40" s="238"/>
      <c r="CH40" s="238"/>
      <c r="CI40" s="239"/>
      <c r="CJ40" s="240">
        <f t="shared" si="54"/>
        <v>0</v>
      </c>
      <c r="CK40" s="237">
        <v>1.53</v>
      </c>
      <c r="CL40" s="238">
        <v>0.24</v>
      </c>
      <c r="CM40" s="238"/>
      <c r="CN40" s="239"/>
      <c r="CO40" s="240">
        <f t="shared" si="55"/>
        <v>1.77</v>
      </c>
      <c r="CP40" s="241">
        <v>0.3</v>
      </c>
      <c r="CQ40" s="242">
        <v>0.4</v>
      </c>
      <c r="CR40" s="242"/>
      <c r="CS40" s="243"/>
      <c r="CT40" s="244">
        <v>0.7</v>
      </c>
      <c r="CU40" s="241">
        <v>0.52</v>
      </c>
      <c r="CV40" s="242">
        <v>0.45</v>
      </c>
      <c r="CW40" s="242"/>
      <c r="CX40" s="243"/>
      <c r="CY40" s="244">
        <f>SUM(CU40:CX40)</f>
        <v>0.97</v>
      </c>
      <c r="CZ40" s="241">
        <v>0.75</v>
      </c>
      <c r="DA40" s="242">
        <v>1</v>
      </c>
      <c r="DB40" s="242"/>
      <c r="DC40" s="243"/>
      <c r="DD40" s="244">
        <f>SUM(CZ40:DC40)</f>
        <v>1.75</v>
      </c>
      <c r="DE40" s="241">
        <v>2</v>
      </c>
      <c r="DF40" s="242"/>
      <c r="DG40" s="242"/>
      <c r="DH40" s="243"/>
      <c r="DI40" s="244">
        <f>SUM(DE40:DH40)</f>
        <v>2</v>
      </c>
      <c r="DJ40" s="241">
        <v>2</v>
      </c>
      <c r="DK40" s="242"/>
      <c r="DL40" s="242"/>
      <c r="DM40" s="243"/>
      <c r="DN40" s="244">
        <f>SUM(DJ40:DM40)</f>
        <v>2</v>
      </c>
      <c r="DO40" s="241">
        <v>3.21</v>
      </c>
      <c r="DP40" s="242"/>
      <c r="DQ40" s="242"/>
      <c r="DR40" s="243"/>
      <c r="DS40" s="244">
        <f>SUM(DO40:DR40)</f>
        <v>3.21</v>
      </c>
      <c r="DT40" s="241">
        <v>1.5</v>
      </c>
      <c r="DU40" s="242"/>
      <c r="DV40" s="242"/>
      <c r="DW40" s="243"/>
      <c r="DX40" s="244">
        <f>SUM(DT40:DW40)</f>
        <v>1.5</v>
      </c>
      <c r="DY40" s="76">
        <v>2.4</v>
      </c>
      <c r="DZ40" s="77">
        <v>2.21</v>
      </c>
      <c r="EA40" s="77"/>
      <c r="EB40" s="78"/>
      <c r="EC40" s="244">
        <f>SUM(DY40:EB40)</f>
        <v>4.6099999999999994</v>
      </c>
      <c r="ED40" s="241">
        <v>1.23</v>
      </c>
      <c r="EE40" s="242"/>
      <c r="EF40" s="242"/>
      <c r="EG40" s="243"/>
      <c r="EH40" s="244">
        <f>SUM(ED40:EG40)</f>
        <v>1.23</v>
      </c>
      <c r="EI40" s="241">
        <v>2</v>
      </c>
      <c r="EJ40" s="242"/>
      <c r="EK40" s="242"/>
      <c r="EL40" s="243"/>
      <c r="EM40" s="244">
        <f>SUM(EI40:EL40)</f>
        <v>2</v>
      </c>
      <c r="EN40" s="241">
        <v>2.17</v>
      </c>
      <c r="EO40" s="242"/>
      <c r="EP40" s="242"/>
      <c r="EQ40" s="243"/>
      <c r="ER40" s="244">
        <f>SUM(EN40:EQ40)</f>
        <v>2.17</v>
      </c>
      <c r="ES40" s="241">
        <v>2.4900000000000002</v>
      </c>
      <c r="ET40" s="242">
        <v>0.9</v>
      </c>
      <c r="EU40" s="242"/>
      <c r="EV40" s="243"/>
      <c r="EW40" s="244">
        <f>SUM(ES40:EV40)</f>
        <v>3.39</v>
      </c>
      <c r="EX40" s="241">
        <v>2.4900000000000002</v>
      </c>
      <c r="EY40" s="242"/>
      <c r="EZ40" s="242"/>
      <c r="FA40" s="243"/>
      <c r="FB40" s="244">
        <f>SUM(EX40:FA40)</f>
        <v>2.4900000000000002</v>
      </c>
      <c r="FC40" s="241">
        <v>2.62</v>
      </c>
      <c r="FD40" s="242">
        <v>1.41</v>
      </c>
      <c r="FE40" s="242"/>
      <c r="FF40" s="243"/>
      <c r="FG40" s="244">
        <f>SUM(FC40:FF40)</f>
        <v>4.03</v>
      </c>
      <c r="FH40" s="241">
        <v>3.1</v>
      </c>
      <c r="FI40" s="242"/>
      <c r="FJ40" s="242"/>
      <c r="FK40" s="243"/>
      <c r="FL40" s="244">
        <f>SUM(FH40:FK40)</f>
        <v>3.1</v>
      </c>
      <c r="FM40" s="241">
        <v>4.79</v>
      </c>
      <c r="FN40" s="242"/>
      <c r="FO40" s="242"/>
      <c r="FP40" s="243"/>
      <c r="FQ40" s="244">
        <f>SUM(FM40:FP40)</f>
        <v>4.79</v>
      </c>
      <c r="FR40" s="241">
        <v>2.75</v>
      </c>
      <c r="FS40" s="242">
        <v>4.92</v>
      </c>
      <c r="FT40" s="242"/>
      <c r="FU40" s="243"/>
      <c r="FV40" s="244">
        <f>SUM(FR40:FU40)</f>
        <v>7.67</v>
      </c>
      <c r="FW40" s="241">
        <v>4.51</v>
      </c>
      <c r="FX40" s="242">
        <v>3.96</v>
      </c>
      <c r="FY40" s="242"/>
      <c r="FZ40" s="243"/>
      <c r="GA40" s="244">
        <f>SUM(FW40:FZ40)</f>
        <v>8.4699999999999989</v>
      </c>
      <c r="GB40" s="241">
        <v>3.33</v>
      </c>
      <c r="GC40" s="242">
        <v>2.86</v>
      </c>
      <c r="GD40" s="242"/>
      <c r="GE40" s="243"/>
      <c r="GF40" s="244">
        <f>SUM(GB40:GE40)</f>
        <v>6.1899999999999995</v>
      </c>
      <c r="GG40" s="76">
        <v>3.24</v>
      </c>
      <c r="GH40" s="135">
        <v>2.54</v>
      </c>
      <c r="GI40" s="77"/>
      <c r="GJ40" s="78"/>
      <c r="GK40" s="244">
        <f>SUM(GG40:GJ40)</f>
        <v>5.78</v>
      </c>
      <c r="GL40" s="241">
        <v>2.54</v>
      </c>
      <c r="GM40" s="242">
        <v>2.27</v>
      </c>
      <c r="GN40" s="242"/>
      <c r="GO40" s="243"/>
      <c r="GP40" s="244">
        <f>SUM(GL40:GO40)</f>
        <v>4.8100000000000005</v>
      </c>
      <c r="GQ40" s="241">
        <v>4.12</v>
      </c>
      <c r="GR40" s="242">
        <v>1.95</v>
      </c>
      <c r="GS40" s="242"/>
      <c r="GT40" s="243"/>
      <c r="GU40" s="244">
        <f>SUM(GQ40:GT40)</f>
        <v>6.07</v>
      </c>
      <c r="GV40" s="241">
        <v>4.1900000000000004</v>
      </c>
      <c r="GW40" s="242">
        <v>4.87</v>
      </c>
      <c r="GX40" s="242"/>
      <c r="GY40" s="243"/>
      <c r="GZ40" s="244">
        <f>SUM(GV40:GY40)</f>
        <v>9.06</v>
      </c>
      <c r="HA40" s="241">
        <v>8</v>
      </c>
      <c r="HB40" s="242">
        <v>7.52</v>
      </c>
      <c r="HC40" s="242"/>
      <c r="HD40" s="243"/>
      <c r="HE40" s="244">
        <f>SUM(HA40:HD40)</f>
        <v>15.52</v>
      </c>
      <c r="HF40" s="241">
        <v>5.66</v>
      </c>
      <c r="HG40" s="242">
        <v>8.51</v>
      </c>
      <c r="HH40" s="242"/>
      <c r="HI40" s="243"/>
      <c r="HJ40" s="244">
        <f>SUM(HF40:HI40)</f>
        <v>14.17</v>
      </c>
      <c r="HK40" s="241">
        <v>3.9</v>
      </c>
      <c r="HL40" s="242">
        <v>5.77</v>
      </c>
      <c r="HM40" s="242"/>
      <c r="HN40" s="243"/>
      <c r="HO40" s="244">
        <f>SUM(HK40:HN40)</f>
        <v>9.67</v>
      </c>
      <c r="HP40" s="241">
        <v>8.16</v>
      </c>
      <c r="HQ40" s="242">
        <v>12.98</v>
      </c>
      <c r="HR40" s="242"/>
      <c r="HS40" s="243"/>
      <c r="HT40" s="244">
        <f>SUM(HP40:HS40)</f>
        <v>21.14</v>
      </c>
      <c r="HU40" s="241">
        <v>10.89</v>
      </c>
      <c r="HV40" s="242">
        <v>9.2100000000000009</v>
      </c>
      <c r="HW40" s="242"/>
      <c r="HX40" s="243"/>
      <c r="HY40" s="244">
        <f>SUM(HU40:HX40)</f>
        <v>20.100000000000001</v>
      </c>
      <c r="HZ40" s="241">
        <v>14.61</v>
      </c>
      <c r="IA40" s="242">
        <v>2.0699999999999998</v>
      </c>
      <c r="IB40" s="242"/>
      <c r="IC40" s="243"/>
      <c r="ID40" s="244">
        <f>SUM(HZ40:IC40)</f>
        <v>16.68</v>
      </c>
      <c r="IE40" s="233">
        <v>6.89</v>
      </c>
      <c r="IF40" s="234">
        <v>12.92</v>
      </c>
      <c r="IG40" s="234"/>
      <c r="IH40" s="235"/>
      <c r="II40" s="232">
        <f>SUM(IE40:IH40)</f>
        <v>19.809999999999999</v>
      </c>
      <c r="IJ40" s="233">
        <v>7.88</v>
      </c>
      <c r="IK40" s="234">
        <v>14.17</v>
      </c>
      <c r="IL40" s="234"/>
      <c r="IM40" s="235"/>
      <c r="IN40" s="232">
        <f>SUM(IJ40:IM40)</f>
        <v>22.05</v>
      </c>
      <c r="IO40" s="69">
        <v>9.0399999999999991</v>
      </c>
      <c r="IP40" s="136">
        <v>9.56</v>
      </c>
      <c r="IQ40" s="70"/>
      <c r="IR40" s="71"/>
      <c r="IS40" s="73">
        <f>SUM(IO40:IR40)</f>
        <v>18.600000000000001</v>
      </c>
      <c r="IT40" s="69">
        <v>8.83</v>
      </c>
      <c r="IU40" s="136">
        <v>2.0699999999999998</v>
      </c>
      <c r="IV40" s="70"/>
      <c r="IW40" s="71"/>
      <c r="IX40" s="73">
        <f>SUM(IT40:IW40)</f>
        <v>10.9</v>
      </c>
      <c r="IY40" s="69">
        <v>14.27</v>
      </c>
      <c r="IZ40" s="136">
        <v>9.57</v>
      </c>
      <c r="JA40" s="70"/>
      <c r="JB40" s="71"/>
      <c r="JC40" s="73">
        <f>SUM(IY40:JB40)</f>
        <v>23.84</v>
      </c>
      <c r="JD40" s="69">
        <v>13.13</v>
      </c>
      <c r="JE40" s="136">
        <v>6.48</v>
      </c>
      <c r="JF40" s="70"/>
      <c r="JG40" s="71"/>
      <c r="JH40" s="73">
        <f>SUM(JD40:JG40)</f>
        <v>19.61</v>
      </c>
      <c r="JI40" s="69">
        <v>20.61</v>
      </c>
      <c r="JJ40" s="137"/>
      <c r="JK40" s="70"/>
      <c r="JL40" s="71"/>
      <c r="JM40" s="73">
        <f>SUM(JI40:JL40)</f>
        <v>20.61</v>
      </c>
      <c r="JN40" s="69">
        <v>16.12</v>
      </c>
      <c r="JO40" s="136">
        <v>8.6199999999999992</v>
      </c>
      <c r="JP40" s="70"/>
      <c r="JQ40" s="71"/>
      <c r="JR40" s="73">
        <f>SUM(JN40:JQ40)</f>
        <v>24.740000000000002</v>
      </c>
      <c r="JS40" s="69">
        <v>8.86</v>
      </c>
      <c r="JT40" s="136">
        <v>8.9499999999999993</v>
      </c>
      <c r="JU40" s="70"/>
      <c r="JV40" s="71"/>
      <c r="JW40" s="73">
        <f>SUM(JS40:JV40)</f>
        <v>17.809999999999999</v>
      </c>
      <c r="JX40" s="69">
        <v>18.23</v>
      </c>
      <c r="JY40" s="136">
        <v>6.13</v>
      </c>
      <c r="JZ40" s="70"/>
      <c r="KA40" s="71"/>
      <c r="KB40" s="73">
        <v>24.36</v>
      </c>
      <c r="KC40" s="69">
        <v>25.71</v>
      </c>
      <c r="KD40" s="136">
        <v>2.5099999999999998</v>
      </c>
      <c r="KE40" s="70">
        <v>0</v>
      </c>
      <c r="KF40" s="71">
        <v>0</v>
      </c>
      <c r="KG40" s="73">
        <v>28.22</v>
      </c>
      <c r="KH40" s="69">
        <v>27.61</v>
      </c>
      <c r="KI40" s="136">
        <v>6.29</v>
      </c>
      <c r="KJ40" s="70"/>
      <c r="KK40" s="71"/>
      <c r="KL40" s="73">
        <v>33.9</v>
      </c>
      <c r="KM40" s="479">
        <v>24.59</v>
      </c>
      <c r="KN40" s="481">
        <v>5.81</v>
      </c>
      <c r="KO40" s="70">
        <v>0</v>
      </c>
      <c r="KP40" s="71">
        <v>0</v>
      </c>
      <c r="KQ40" s="73">
        <f t="shared" si="45"/>
        <v>30.4</v>
      </c>
      <c r="KR40" s="69">
        <v>10.02</v>
      </c>
      <c r="KS40" s="136">
        <v>18.229999999999997</v>
      </c>
      <c r="KT40" s="70">
        <v>0</v>
      </c>
      <c r="KU40" s="71">
        <v>0</v>
      </c>
      <c r="KV40" s="73">
        <f t="shared" si="46"/>
        <v>28.249999999999996</v>
      </c>
    </row>
    <row r="41" spans="1:308" ht="15.75" customHeight="1" x14ac:dyDescent="0.25">
      <c r="A41" s="97"/>
      <c r="B41" s="55" t="s">
        <v>30</v>
      </c>
      <c r="C41" s="134"/>
      <c r="D41" s="92"/>
      <c r="E41" s="93"/>
      <c r="F41" s="94"/>
      <c r="G41" s="95"/>
      <c r="H41" s="124"/>
      <c r="I41" s="125"/>
      <c r="J41" s="126"/>
      <c r="K41" s="126"/>
      <c r="L41" s="127"/>
      <c r="M41" s="89"/>
      <c r="N41" s="125"/>
      <c r="O41" s="126"/>
      <c r="P41" s="126"/>
      <c r="Q41" s="127"/>
      <c r="R41" s="33"/>
      <c r="S41" s="125"/>
      <c r="T41" s="126"/>
      <c r="U41" s="126"/>
      <c r="V41" s="127"/>
      <c r="W41" s="33"/>
      <c r="X41" s="125"/>
      <c r="Y41" s="126"/>
      <c r="Z41" s="126"/>
      <c r="AA41" s="127"/>
      <c r="AB41" s="33"/>
      <c r="AC41" s="128"/>
      <c r="AD41" s="129"/>
      <c r="AE41" s="129"/>
      <c r="AF41" s="130"/>
      <c r="AG41" s="131"/>
      <c r="AH41" s="118"/>
      <c r="AI41" s="109"/>
      <c r="AJ41" s="109"/>
      <c r="AK41" s="132"/>
      <c r="AL41" s="119"/>
      <c r="AM41" s="112"/>
      <c r="AN41" s="113"/>
      <c r="AO41" s="113"/>
      <c r="AP41" s="42"/>
      <c r="AQ41" s="114"/>
      <c r="AR41" s="112"/>
      <c r="AS41" s="113"/>
      <c r="AT41" s="113"/>
      <c r="AU41" s="115"/>
      <c r="AV41" s="133"/>
      <c r="AW41" s="112"/>
      <c r="AX41" s="113"/>
      <c r="AY41" s="113"/>
      <c r="AZ41" s="115"/>
      <c r="BA41" s="133"/>
      <c r="BB41" s="112"/>
      <c r="BC41" s="113"/>
      <c r="BD41" s="113"/>
      <c r="BE41" s="115"/>
      <c r="BF41" s="133"/>
      <c r="BG41" s="69"/>
      <c r="BH41" s="70"/>
      <c r="BI41" s="70"/>
      <c r="BJ41" s="74"/>
      <c r="BK41" s="73">
        <f t="shared" si="59"/>
        <v>0</v>
      </c>
      <c r="BL41" s="69"/>
      <c r="BM41" s="70"/>
      <c r="BN41" s="70"/>
      <c r="BO41" s="74"/>
      <c r="BP41" s="72">
        <f t="shared" si="52"/>
        <v>0</v>
      </c>
      <c r="BQ41" s="69"/>
      <c r="BR41" s="70"/>
      <c r="BS41" s="70"/>
      <c r="BT41" s="71"/>
      <c r="BU41" s="232">
        <f t="shared" si="9"/>
        <v>0</v>
      </c>
      <c r="BV41" s="233"/>
      <c r="BW41" s="234"/>
      <c r="BX41" s="234"/>
      <c r="BY41" s="235"/>
      <c r="BZ41" s="236">
        <f t="shared" si="10"/>
        <v>0</v>
      </c>
      <c r="CA41" s="237"/>
      <c r="CB41" s="238"/>
      <c r="CC41" s="238"/>
      <c r="CD41" s="239"/>
      <c r="CE41" s="240">
        <f t="shared" si="53"/>
        <v>0</v>
      </c>
      <c r="CF41" s="237"/>
      <c r="CG41" s="238"/>
      <c r="CH41" s="238"/>
      <c r="CI41" s="239"/>
      <c r="CJ41" s="240">
        <f t="shared" si="54"/>
        <v>0</v>
      </c>
      <c r="CK41" s="237"/>
      <c r="CL41" s="238"/>
      <c r="CM41" s="238"/>
      <c r="CN41" s="239"/>
      <c r="CO41" s="240">
        <f t="shared" si="55"/>
        <v>0</v>
      </c>
      <c r="CP41" s="241"/>
      <c r="CQ41" s="242"/>
      <c r="CR41" s="242"/>
      <c r="CS41" s="243"/>
      <c r="CT41" s="244"/>
      <c r="CU41" s="241"/>
      <c r="CV41" s="242"/>
      <c r="CW41" s="242"/>
      <c r="CX41" s="243"/>
      <c r="CY41" s="244"/>
      <c r="CZ41" s="241"/>
      <c r="DA41" s="242"/>
      <c r="DB41" s="242"/>
      <c r="DC41" s="243"/>
      <c r="DD41" s="244"/>
      <c r="DE41" s="241"/>
      <c r="DF41" s="242"/>
      <c r="DG41" s="242"/>
      <c r="DH41" s="243"/>
      <c r="DI41" s="244"/>
      <c r="DJ41" s="241"/>
      <c r="DK41" s="242"/>
      <c r="DL41" s="242"/>
      <c r="DM41" s="243"/>
      <c r="DN41" s="244"/>
      <c r="DO41" s="241"/>
      <c r="DP41" s="242"/>
      <c r="DQ41" s="242"/>
      <c r="DR41" s="243"/>
      <c r="DS41" s="244"/>
      <c r="DT41" s="241"/>
      <c r="DU41" s="242"/>
      <c r="DV41" s="242"/>
      <c r="DW41" s="243"/>
      <c r="DX41" s="244"/>
      <c r="DY41" s="76"/>
      <c r="DZ41" s="77"/>
      <c r="EA41" s="77"/>
      <c r="EB41" s="78"/>
      <c r="EC41" s="244"/>
      <c r="ED41" s="241"/>
      <c r="EE41" s="242"/>
      <c r="EF41" s="242"/>
      <c r="EG41" s="243"/>
      <c r="EH41" s="244"/>
      <c r="EI41" s="241"/>
      <c r="EJ41" s="242"/>
      <c r="EK41" s="242"/>
      <c r="EL41" s="243"/>
      <c r="EM41" s="244"/>
      <c r="EN41" s="241"/>
      <c r="EO41" s="242"/>
      <c r="EP41" s="242"/>
      <c r="EQ41" s="243"/>
      <c r="ER41" s="244"/>
      <c r="ES41" s="241"/>
      <c r="ET41" s="242"/>
      <c r="EU41" s="242"/>
      <c r="EV41" s="243"/>
      <c r="EW41" s="244"/>
      <c r="EX41" s="241"/>
      <c r="EY41" s="242"/>
      <c r="EZ41" s="242"/>
      <c r="FA41" s="243"/>
      <c r="FB41" s="244"/>
      <c r="FC41" s="241"/>
      <c r="FD41" s="242"/>
      <c r="FE41" s="242"/>
      <c r="FF41" s="243"/>
      <c r="FG41" s="244"/>
      <c r="FH41" s="241"/>
      <c r="FI41" s="242"/>
      <c r="FJ41" s="242"/>
      <c r="FK41" s="243"/>
      <c r="FL41" s="244"/>
      <c r="FM41" s="241"/>
      <c r="FN41" s="242"/>
      <c r="FO41" s="242"/>
      <c r="FP41" s="243"/>
      <c r="FQ41" s="244"/>
      <c r="FR41" s="241"/>
      <c r="FS41" s="242"/>
      <c r="FT41" s="242"/>
      <c r="FU41" s="243"/>
      <c r="FV41" s="244"/>
      <c r="FW41" s="241"/>
      <c r="FX41" s="242"/>
      <c r="FY41" s="242"/>
      <c r="FZ41" s="243"/>
      <c r="GA41" s="244"/>
      <c r="GB41" s="241"/>
      <c r="GC41" s="242"/>
      <c r="GD41" s="242"/>
      <c r="GE41" s="243"/>
      <c r="GF41" s="244"/>
      <c r="GG41" s="76"/>
      <c r="GH41" s="77"/>
      <c r="GI41" s="77"/>
      <c r="GJ41" s="78"/>
      <c r="GK41" s="244"/>
      <c r="GL41" s="241"/>
      <c r="GM41" s="242"/>
      <c r="GN41" s="242"/>
      <c r="GO41" s="243"/>
      <c r="GP41" s="244"/>
      <c r="GQ41" s="241"/>
      <c r="GR41" s="242"/>
      <c r="GS41" s="242"/>
      <c r="GT41" s="243"/>
      <c r="GU41" s="244"/>
      <c r="GV41" s="241"/>
      <c r="GW41" s="242"/>
      <c r="GX41" s="242"/>
      <c r="GY41" s="243"/>
      <c r="GZ41" s="244"/>
      <c r="HA41" s="241"/>
      <c r="HB41" s="242"/>
      <c r="HC41" s="242"/>
      <c r="HD41" s="243"/>
      <c r="HE41" s="244"/>
      <c r="HF41" s="241"/>
      <c r="HG41" s="242"/>
      <c r="HH41" s="242"/>
      <c r="HI41" s="243"/>
      <c r="HJ41" s="244"/>
      <c r="HK41" s="241"/>
      <c r="HL41" s="242"/>
      <c r="HM41" s="242"/>
      <c r="HN41" s="243"/>
      <c r="HO41" s="244"/>
      <c r="HP41" s="241"/>
      <c r="HQ41" s="242"/>
      <c r="HR41" s="242"/>
      <c r="HS41" s="243"/>
      <c r="HT41" s="244"/>
      <c r="HU41" s="241"/>
      <c r="HV41" s="242"/>
      <c r="HW41" s="242"/>
      <c r="HX41" s="243"/>
      <c r="HY41" s="244"/>
      <c r="HZ41" s="241"/>
      <c r="IA41" s="242"/>
      <c r="IB41" s="242"/>
      <c r="IC41" s="243"/>
      <c r="ID41" s="244"/>
      <c r="IE41" s="233"/>
      <c r="IF41" s="234"/>
      <c r="IG41" s="234"/>
      <c r="IH41" s="235"/>
      <c r="II41" s="232"/>
      <c r="IJ41" s="233"/>
      <c r="IK41" s="234"/>
      <c r="IL41" s="234"/>
      <c r="IM41" s="235"/>
      <c r="IN41" s="232"/>
      <c r="IO41" s="69"/>
      <c r="IP41" s="70"/>
      <c r="IQ41" s="70"/>
      <c r="IR41" s="71"/>
      <c r="IS41" s="73"/>
      <c r="IT41" s="69"/>
      <c r="IU41" s="70"/>
      <c r="IV41" s="70"/>
      <c r="IW41" s="71"/>
      <c r="IX41" s="73"/>
      <c r="IY41" s="69"/>
      <c r="IZ41" s="70"/>
      <c r="JA41" s="70"/>
      <c r="JB41" s="71"/>
      <c r="JC41" s="73"/>
      <c r="JD41" s="69"/>
      <c r="JE41" s="70"/>
      <c r="JF41" s="70"/>
      <c r="JG41" s="71"/>
      <c r="JH41" s="73"/>
      <c r="JI41" s="69"/>
      <c r="JJ41" s="70"/>
      <c r="JK41" s="70"/>
      <c r="JL41" s="71"/>
      <c r="JM41" s="73"/>
      <c r="JN41" s="69"/>
      <c r="JO41" s="70"/>
      <c r="JP41" s="70"/>
      <c r="JQ41" s="71"/>
      <c r="JR41" s="73"/>
      <c r="JS41" s="69"/>
      <c r="JT41" s="70"/>
      <c r="JU41" s="70"/>
      <c r="JV41" s="71"/>
      <c r="JW41" s="73"/>
      <c r="JX41" s="69"/>
      <c r="JY41" s="70"/>
      <c r="JZ41" s="70"/>
      <c r="KA41" s="71"/>
      <c r="KB41" s="73"/>
      <c r="KC41" s="69"/>
      <c r="KD41" s="70"/>
      <c r="KE41" s="70"/>
      <c r="KF41" s="71"/>
      <c r="KG41" s="73">
        <v>0</v>
      </c>
      <c r="KH41" s="69"/>
      <c r="KI41" s="70"/>
      <c r="KJ41" s="70"/>
      <c r="KK41" s="71"/>
      <c r="KL41" s="73"/>
      <c r="KM41" s="479" t="s">
        <v>102</v>
      </c>
      <c r="KN41" s="480" t="s">
        <v>102</v>
      </c>
      <c r="KO41" s="70" t="s">
        <v>102</v>
      </c>
      <c r="KP41" s="71" t="s">
        <v>102</v>
      </c>
      <c r="KQ41" s="73">
        <f t="shared" si="45"/>
        <v>0</v>
      </c>
      <c r="KR41" s="69" t="s">
        <v>102</v>
      </c>
      <c r="KS41" s="70" t="s">
        <v>102</v>
      </c>
      <c r="KT41" s="70" t="s">
        <v>102</v>
      </c>
      <c r="KU41" s="71" t="s">
        <v>102</v>
      </c>
      <c r="KV41" s="73">
        <f t="shared" si="46"/>
        <v>0</v>
      </c>
    </row>
    <row r="42" spans="1:308" ht="15.75" x14ac:dyDescent="0.25">
      <c r="A42" s="97"/>
      <c r="B42" s="55">
        <v>27</v>
      </c>
      <c r="C42" s="134">
        <v>18.64</v>
      </c>
      <c r="D42" s="92"/>
      <c r="E42" s="93"/>
      <c r="F42" s="94"/>
      <c r="G42" s="95"/>
      <c r="H42" s="124"/>
      <c r="I42" s="125"/>
      <c r="J42" s="126"/>
      <c r="K42" s="126"/>
      <c r="L42" s="127"/>
      <c r="M42" s="89"/>
      <c r="N42" s="125"/>
      <c r="O42" s="126"/>
      <c r="P42" s="126"/>
      <c r="Q42" s="127"/>
      <c r="R42" s="33"/>
      <c r="S42" s="125"/>
      <c r="T42" s="126"/>
      <c r="U42" s="126"/>
      <c r="V42" s="127"/>
      <c r="W42" s="33"/>
      <c r="X42" s="125"/>
      <c r="Y42" s="126"/>
      <c r="Z42" s="126"/>
      <c r="AA42" s="127"/>
      <c r="AB42" s="33"/>
      <c r="AC42" s="128"/>
      <c r="AD42" s="129"/>
      <c r="AE42" s="129"/>
      <c r="AF42" s="130"/>
      <c r="AG42" s="131"/>
      <c r="AH42" s="118"/>
      <c r="AI42" s="109"/>
      <c r="AJ42" s="109"/>
      <c r="AK42" s="132"/>
      <c r="AL42" s="119"/>
      <c r="AM42" s="112"/>
      <c r="AN42" s="113"/>
      <c r="AO42" s="113"/>
      <c r="AP42" s="42"/>
      <c r="AQ42" s="114"/>
      <c r="AR42" s="112"/>
      <c r="AS42" s="113"/>
      <c r="AT42" s="113"/>
      <c r="AU42" s="115"/>
      <c r="AV42" s="133"/>
      <c r="AW42" s="112"/>
      <c r="AX42" s="113"/>
      <c r="AY42" s="113"/>
      <c r="AZ42" s="115"/>
      <c r="BA42" s="133"/>
      <c r="BB42" s="112"/>
      <c r="BC42" s="113"/>
      <c r="BD42" s="113"/>
      <c r="BE42" s="115"/>
      <c r="BF42" s="133"/>
      <c r="BG42" s="69"/>
      <c r="BH42" s="70"/>
      <c r="BI42" s="70"/>
      <c r="BJ42" s="74"/>
      <c r="BK42" s="73">
        <f t="shared" si="59"/>
        <v>0</v>
      </c>
      <c r="BL42" s="69">
        <v>2.63</v>
      </c>
      <c r="BM42" s="70"/>
      <c r="BN42" s="70"/>
      <c r="BO42" s="74"/>
      <c r="BP42" s="72">
        <f t="shared" si="52"/>
        <v>2.63</v>
      </c>
      <c r="BQ42" s="112">
        <v>0.3</v>
      </c>
      <c r="BR42" s="113">
        <v>0.3</v>
      </c>
      <c r="BS42" s="113"/>
      <c r="BT42" s="115"/>
      <c r="BU42" s="232">
        <f t="shared" si="9"/>
        <v>0.6</v>
      </c>
      <c r="BV42" s="245">
        <v>0.33</v>
      </c>
      <c r="BW42" s="246"/>
      <c r="BX42" s="246"/>
      <c r="BY42" s="247"/>
      <c r="BZ42" s="236">
        <f t="shared" si="10"/>
        <v>0.33</v>
      </c>
      <c r="CA42" s="237"/>
      <c r="CB42" s="238"/>
      <c r="CC42" s="238"/>
      <c r="CD42" s="239"/>
      <c r="CE42" s="240">
        <f t="shared" si="53"/>
        <v>0</v>
      </c>
      <c r="CF42" s="237"/>
      <c r="CG42" s="238"/>
      <c r="CH42" s="238"/>
      <c r="CI42" s="239"/>
      <c r="CJ42" s="240">
        <f t="shared" si="54"/>
        <v>0</v>
      </c>
      <c r="CK42" s="237">
        <v>1.17</v>
      </c>
      <c r="CL42" s="238">
        <v>0.31</v>
      </c>
      <c r="CM42" s="238"/>
      <c r="CN42" s="239"/>
      <c r="CO42" s="240">
        <f t="shared" si="55"/>
        <v>1.48</v>
      </c>
      <c r="CP42" s="241">
        <v>0.3</v>
      </c>
      <c r="CQ42" s="242">
        <v>0.3</v>
      </c>
      <c r="CR42" s="242"/>
      <c r="CS42" s="243"/>
      <c r="CT42" s="244">
        <v>0.6</v>
      </c>
      <c r="CU42" s="241">
        <v>0.42</v>
      </c>
      <c r="CV42" s="242">
        <v>0.36</v>
      </c>
      <c r="CW42" s="242"/>
      <c r="CX42" s="243"/>
      <c r="CY42" s="244">
        <f>SUM(CU42:CX42)</f>
        <v>0.78</v>
      </c>
      <c r="CZ42" s="241">
        <v>0.65</v>
      </c>
      <c r="DA42" s="242">
        <v>0.7</v>
      </c>
      <c r="DB42" s="242"/>
      <c r="DC42" s="243"/>
      <c r="DD42" s="244">
        <f>SUM(CZ42:DC42)</f>
        <v>1.35</v>
      </c>
      <c r="DE42" s="241">
        <v>1</v>
      </c>
      <c r="DF42" s="242"/>
      <c r="DG42" s="242"/>
      <c r="DH42" s="243"/>
      <c r="DI42" s="244">
        <f>SUM(DE42:DH42)</f>
        <v>1</v>
      </c>
      <c r="DJ42" s="241">
        <v>0.9</v>
      </c>
      <c r="DK42" s="242"/>
      <c r="DL42" s="242"/>
      <c r="DM42" s="243"/>
      <c r="DN42" s="244">
        <f>SUM(DJ42:DM42)</f>
        <v>0.9</v>
      </c>
      <c r="DO42" s="241">
        <v>1.21</v>
      </c>
      <c r="DP42" s="242"/>
      <c r="DQ42" s="242"/>
      <c r="DR42" s="243"/>
      <c r="DS42" s="244">
        <f>SUM(DO42:DR42)</f>
        <v>1.21</v>
      </c>
      <c r="DT42" s="241">
        <v>0.99</v>
      </c>
      <c r="DU42" s="242"/>
      <c r="DV42" s="242"/>
      <c r="DW42" s="243"/>
      <c r="DX42" s="244">
        <f>SUM(DT42:DW42)</f>
        <v>0.99</v>
      </c>
      <c r="DY42" s="76">
        <v>0.81</v>
      </c>
      <c r="DZ42" s="77">
        <v>1</v>
      </c>
      <c r="EA42" s="77"/>
      <c r="EB42" s="78"/>
      <c r="EC42" s="244">
        <f>SUM(DY42:EB42)</f>
        <v>1.81</v>
      </c>
      <c r="ED42" s="241">
        <v>0.61</v>
      </c>
      <c r="EE42" s="242"/>
      <c r="EF42" s="242"/>
      <c r="EG42" s="243"/>
      <c r="EH42" s="244">
        <f>SUM(ED42:EG42)</f>
        <v>0.61</v>
      </c>
      <c r="EI42" s="241">
        <v>3.33</v>
      </c>
      <c r="EJ42" s="242"/>
      <c r="EK42" s="242"/>
      <c r="EL42" s="243"/>
      <c r="EM42" s="244">
        <f>SUM(EI42:EL42)</f>
        <v>3.33</v>
      </c>
      <c r="EN42" s="241">
        <v>1.27</v>
      </c>
      <c r="EO42" s="242"/>
      <c r="EP42" s="242"/>
      <c r="EQ42" s="243"/>
      <c r="ER42" s="244">
        <f>SUM(EN42:EQ42)</f>
        <v>1.27</v>
      </c>
      <c r="ES42" s="241">
        <v>1.7</v>
      </c>
      <c r="ET42" s="242">
        <v>3.53</v>
      </c>
      <c r="EU42" s="242"/>
      <c r="EV42" s="243"/>
      <c r="EW42" s="244">
        <f>SUM(ES42:EV42)</f>
        <v>5.2299999999999995</v>
      </c>
      <c r="EX42" s="241">
        <v>2.19</v>
      </c>
      <c r="EY42" s="242"/>
      <c r="EZ42" s="242"/>
      <c r="FA42" s="243"/>
      <c r="FB42" s="244">
        <f>SUM(EX42:FA42)</f>
        <v>2.19</v>
      </c>
      <c r="FC42" s="241">
        <v>3.9</v>
      </c>
      <c r="FD42" s="242">
        <v>4.21</v>
      </c>
      <c r="FE42" s="242"/>
      <c r="FF42" s="243"/>
      <c r="FG42" s="244">
        <f>SUM(FC42:FF42)</f>
        <v>8.11</v>
      </c>
      <c r="FH42" s="241">
        <v>1.67</v>
      </c>
      <c r="FI42" s="242">
        <v>2.66</v>
      </c>
      <c r="FJ42" s="242"/>
      <c r="FK42" s="243"/>
      <c r="FL42" s="244">
        <f>SUM(FH42:FK42)</f>
        <v>4.33</v>
      </c>
      <c r="FM42" s="241">
        <v>2.41</v>
      </c>
      <c r="FN42" s="242"/>
      <c r="FO42" s="242"/>
      <c r="FP42" s="243"/>
      <c r="FQ42" s="244">
        <f>SUM(FM42:FP42)</f>
        <v>2.41</v>
      </c>
      <c r="FR42" s="241">
        <v>1.93</v>
      </c>
      <c r="FS42" s="242">
        <v>1.69</v>
      </c>
      <c r="FT42" s="242"/>
      <c r="FU42" s="243"/>
      <c r="FV42" s="244">
        <f>SUM(FR42:FU42)</f>
        <v>3.62</v>
      </c>
      <c r="FW42" s="241">
        <v>2.1</v>
      </c>
      <c r="FX42" s="242">
        <v>1.38</v>
      </c>
      <c r="FY42" s="242"/>
      <c r="FZ42" s="243"/>
      <c r="GA42" s="244">
        <f>SUM(FW42:FZ42)</f>
        <v>3.48</v>
      </c>
      <c r="GB42" s="241">
        <v>1.19</v>
      </c>
      <c r="GC42" s="242">
        <v>0.88</v>
      </c>
      <c r="GD42" s="242"/>
      <c r="GE42" s="243"/>
      <c r="GF42" s="244">
        <f>SUM(GB42:GE42)</f>
        <v>2.0699999999999998</v>
      </c>
      <c r="GG42" s="76">
        <v>0.8</v>
      </c>
      <c r="GH42" s="77">
        <v>0.68</v>
      </c>
      <c r="GI42" s="77">
        <v>0.71</v>
      </c>
      <c r="GJ42" s="78"/>
      <c r="GK42" s="244">
        <f>SUM(GG42:GJ42)</f>
        <v>2.19</v>
      </c>
      <c r="GL42" s="241">
        <v>0.95</v>
      </c>
      <c r="GM42" s="242">
        <v>1</v>
      </c>
      <c r="GN42" s="242"/>
      <c r="GO42" s="243"/>
      <c r="GP42" s="244">
        <f>SUM(GL42:GO42)</f>
        <v>1.95</v>
      </c>
      <c r="GQ42" s="241">
        <v>0.41</v>
      </c>
      <c r="GR42" s="242">
        <v>2.56</v>
      </c>
      <c r="GS42" s="242"/>
      <c r="GT42" s="243"/>
      <c r="GU42" s="244">
        <f>SUM(GQ42:GT42)</f>
        <v>2.97</v>
      </c>
      <c r="GV42" s="241">
        <v>3.37</v>
      </c>
      <c r="GW42" s="242">
        <v>4.09</v>
      </c>
      <c r="GX42" s="242"/>
      <c r="GY42" s="243"/>
      <c r="GZ42" s="244">
        <f>SUM(GV42:GY42)</f>
        <v>7.46</v>
      </c>
      <c r="HA42" s="241">
        <v>4.37</v>
      </c>
      <c r="HB42" s="242">
        <v>6.83</v>
      </c>
      <c r="HC42" s="242"/>
      <c r="HD42" s="243"/>
      <c r="HE42" s="244">
        <f>SUM(HA42:HD42)</f>
        <v>11.2</v>
      </c>
      <c r="HF42" s="241">
        <v>5.05</v>
      </c>
      <c r="HG42" s="242">
        <v>2.96</v>
      </c>
      <c r="HH42" s="242"/>
      <c r="HI42" s="243"/>
      <c r="HJ42" s="244">
        <f>SUM(HF42:HI42)</f>
        <v>8.01</v>
      </c>
      <c r="HK42" s="241">
        <v>9.66</v>
      </c>
      <c r="HL42" s="242">
        <v>3.87</v>
      </c>
      <c r="HM42" s="242"/>
      <c r="HN42" s="243"/>
      <c r="HO42" s="244">
        <f>SUM(HK42:HN42)</f>
        <v>13.530000000000001</v>
      </c>
      <c r="HP42" s="241">
        <v>3.46</v>
      </c>
      <c r="HQ42" s="242">
        <v>4.34</v>
      </c>
      <c r="HR42" s="242"/>
      <c r="HS42" s="243"/>
      <c r="HT42" s="244">
        <f>SUM(HP42:HS42)</f>
        <v>7.8</v>
      </c>
      <c r="HU42" s="241">
        <v>4.2</v>
      </c>
      <c r="HV42" s="242">
        <v>5.29</v>
      </c>
      <c r="HW42" s="242"/>
      <c r="HX42" s="243"/>
      <c r="HY42" s="244">
        <f>SUM(HU42:HX42)</f>
        <v>9.49</v>
      </c>
      <c r="HZ42" s="241">
        <v>9.64</v>
      </c>
      <c r="IA42" s="242">
        <v>5.83</v>
      </c>
      <c r="IB42" s="242"/>
      <c r="IC42" s="243"/>
      <c r="ID42" s="244">
        <f>SUM(HZ42:IC42)</f>
        <v>15.47</v>
      </c>
      <c r="IE42" s="233">
        <v>8.5500000000000007</v>
      </c>
      <c r="IF42" s="234">
        <v>6.76</v>
      </c>
      <c r="IG42" s="234"/>
      <c r="IH42" s="235"/>
      <c r="II42" s="232">
        <f>SUM(IE42:IH42)</f>
        <v>15.31</v>
      </c>
      <c r="IJ42" s="233">
        <v>6.36</v>
      </c>
      <c r="IK42" s="234">
        <v>7.39</v>
      </c>
      <c r="IL42" s="234"/>
      <c r="IM42" s="235"/>
      <c r="IN42" s="232">
        <f>SUM(IJ42:IM42)</f>
        <v>13.75</v>
      </c>
      <c r="IO42" s="69">
        <v>2.98</v>
      </c>
      <c r="IP42" s="79"/>
      <c r="IQ42" s="70"/>
      <c r="IR42" s="71"/>
      <c r="IS42" s="73">
        <f>SUM(IO42:IR42)</f>
        <v>2.98</v>
      </c>
      <c r="IT42" s="69">
        <v>8.36</v>
      </c>
      <c r="IU42" s="70">
        <v>3.6</v>
      </c>
      <c r="IV42" s="70"/>
      <c r="IW42" s="71"/>
      <c r="IX42" s="73">
        <f>SUM(IT42:IW42)</f>
        <v>11.959999999999999</v>
      </c>
      <c r="IY42" s="69">
        <v>5.41</v>
      </c>
      <c r="IZ42" s="70">
        <v>3.84</v>
      </c>
      <c r="JA42" s="70"/>
      <c r="JB42" s="71"/>
      <c r="JC42" s="73">
        <f>SUM(IY42:JB42)</f>
        <v>9.25</v>
      </c>
      <c r="JD42" s="69">
        <v>9.08</v>
      </c>
      <c r="JE42" s="70">
        <v>8.18</v>
      </c>
      <c r="JF42" s="70"/>
      <c r="JG42" s="71"/>
      <c r="JH42" s="73">
        <f>SUM(JD42:JG42)</f>
        <v>17.259999999999998</v>
      </c>
      <c r="JI42" s="69">
        <v>8.16</v>
      </c>
      <c r="JJ42" s="70">
        <v>6.15</v>
      </c>
      <c r="JK42" s="70"/>
      <c r="JL42" s="71"/>
      <c r="JM42" s="73">
        <f>SUM(JI42:JL42)</f>
        <v>14.31</v>
      </c>
      <c r="JN42" s="69">
        <v>6.9</v>
      </c>
      <c r="JO42" s="70">
        <v>6.83</v>
      </c>
      <c r="JP42" s="70"/>
      <c r="JQ42" s="71"/>
      <c r="JR42" s="73">
        <f>SUM(JN42:JQ42)</f>
        <v>13.73</v>
      </c>
      <c r="JS42" s="69">
        <v>7.34</v>
      </c>
      <c r="JT42" s="70">
        <v>8.73</v>
      </c>
      <c r="JU42" s="70"/>
      <c r="JV42" s="71"/>
      <c r="JW42" s="73">
        <f>SUM(JS42:JV42)</f>
        <v>16.07</v>
      </c>
      <c r="JX42" s="69">
        <v>7.79</v>
      </c>
      <c r="JY42" s="70">
        <v>7.52</v>
      </c>
      <c r="JZ42" s="70">
        <v>9.9600000000000009</v>
      </c>
      <c r="KA42" s="71"/>
      <c r="KB42" s="73">
        <v>25.27</v>
      </c>
      <c r="KC42" s="69">
        <v>9.42</v>
      </c>
      <c r="KD42" s="70">
        <v>7.53</v>
      </c>
      <c r="KE42" s="70">
        <v>0</v>
      </c>
      <c r="KF42" s="71">
        <v>0</v>
      </c>
      <c r="KG42" s="73">
        <v>16.95</v>
      </c>
      <c r="KH42" s="69">
        <v>3.37</v>
      </c>
      <c r="KI42" s="70">
        <v>17.25</v>
      </c>
      <c r="KJ42" s="70"/>
      <c r="KK42" s="71"/>
      <c r="KL42" s="73">
        <v>20.62</v>
      </c>
      <c r="KM42" s="479">
        <v>4.34</v>
      </c>
      <c r="KN42" s="480">
        <v>19.899999999999999</v>
      </c>
      <c r="KO42" s="70">
        <v>0</v>
      </c>
      <c r="KP42" s="71">
        <v>0</v>
      </c>
      <c r="KQ42" s="73">
        <f t="shared" si="45"/>
        <v>24.24</v>
      </c>
      <c r="KR42" s="69">
        <v>10</v>
      </c>
      <c r="KS42" s="70">
        <v>9</v>
      </c>
      <c r="KT42" s="70">
        <v>0</v>
      </c>
      <c r="KU42" s="71">
        <v>0</v>
      </c>
      <c r="KV42" s="73">
        <f t="shared" si="46"/>
        <v>19</v>
      </c>
    </row>
    <row r="43" spans="1:308" ht="15.75" x14ac:dyDescent="0.25">
      <c r="A43" s="97"/>
      <c r="B43" s="55">
        <v>28</v>
      </c>
      <c r="C43" s="134">
        <v>25.5</v>
      </c>
      <c r="D43" s="92"/>
      <c r="E43" s="93"/>
      <c r="F43" s="94"/>
      <c r="G43" s="95"/>
      <c r="H43" s="124"/>
      <c r="I43" s="125"/>
      <c r="J43" s="126"/>
      <c r="K43" s="126"/>
      <c r="L43" s="127"/>
      <c r="M43" s="89"/>
      <c r="N43" s="125"/>
      <c r="O43" s="126"/>
      <c r="P43" s="126"/>
      <c r="Q43" s="127"/>
      <c r="R43" s="33"/>
      <c r="S43" s="125"/>
      <c r="T43" s="126"/>
      <c r="U43" s="126"/>
      <c r="V43" s="127"/>
      <c r="W43" s="33"/>
      <c r="X43" s="125"/>
      <c r="Y43" s="126"/>
      <c r="Z43" s="126"/>
      <c r="AA43" s="127"/>
      <c r="AB43" s="33"/>
      <c r="AC43" s="128"/>
      <c r="AD43" s="129"/>
      <c r="AE43" s="129"/>
      <c r="AF43" s="130"/>
      <c r="AG43" s="131"/>
      <c r="AH43" s="118"/>
      <c r="AI43" s="109"/>
      <c r="AJ43" s="109"/>
      <c r="AK43" s="132"/>
      <c r="AL43" s="119"/>
      <c r="AM43" s="112"/>
      <c r="AN43" s="113"/>
      <c r="AO43" s="113"/>
      <c r="AP43" s="42"/>
      <c r="AQ43" s="114"/>
      <c r="AR43" s="112"/>
      <c r="AS43" s="113"/>
      <c r="AT43" s="113"/>
      <c r="AU43" s="115"/>
      <c r="AV43" s="133"/>
      <c r="AW43" s="112"/>
      <c r="AX43" s="113"/>
      <c r="AY43" s="113"/>
      <c r="AZ43" s="115"/>
      <c r="BA43" s="133"/>
      <c r="BB43" s="112"/>
      <c r="BC43" s="113"/>
      <c r="BD43" s="113"/>
      <c r="BE43" s="115"/>
      <c r="BF43" s="133"/>
      <c r="BG43" s="69">
        <v>3.88</v>
      </c>
      <c r="BH43" s="70"/>
      <c r="BI43" s="70"/>
      <c r="BJ43" s="74"/>
      <c r="BK43" s="73">
        <f t="shared" si="59"/>
        <v>3.88</v>
      </c>
      <c r="BL43" s="69">
        <v>6.56</v>
      </c>
      <c r="BM43" s="70">
        <v>2.04</v>
      </c>
      <c r="BN43" s="70"/>
      <c r="BO43" s="74"/>
      <c r="BP43" s="72">
        <f t="shared" si="52"/>
        <v>8.6</v>
      </c>
      <c r="BQ43" s="69">
        <v>2.06</v>
      </c>
      <c r="BR43" s="70">
        <v>1.55</v>
      </c>
      <c r="BS43" s="70"/>
      <c r="BT43" s="71"/>
      <c r="BU43" s="232">
        <f t="shared" si="9"/>
        <v>3.6100000000000003</v>
      </c>
      <c r="BV43" s="233">
        <v>1.93</v>
      </c>
      <c r="BW43" s="234">
        <v>2.1</v>
      </c>
      <c r="BX43" s="234"/>
      <c r="BY43" s="235"/>
      <c r="BZ43" s="236">
        <f t="shared" si="10"/>
        <v>4.03</v>
      </c>
      <c r="CA43" s="237">
        <v>1.1299999999999999</v>
      </c>
      <c r="CB43" s="238"/>
      <c r="CC43" s="238"/>
      <c r="CD43" s="239"/>
      <c r="CE43" s="240">
        <f t="shared" si="53"/>
        <v>1.1299999999999999</v>
      </c>
      <c r="CF43" s="237">
        <v>5.29</v>
      </c>
      <c r="CG43" s="238"/>
      <c r="CH43" s="238"/>
      <c r="CI43" s="239"/>
      <c r="CJ43" s="240">
        <f t="shared" si="54"/>
        <v>5.29</v>
      </c>
      <c r="CK43" s="237">
        <v>3.9</v>
      </c>
      <c r="CL43" s="238">
        <v>6.64</v>
      </c>
      <c r="CM43" s="238"/>
      <c r="CN43" s="239"/>
      <c r="CO43" s="240">
        <f t="shared" si="55"/>
        <v>10.54</v>
      </c>
      <c r="CP43" s="241">
        <v>6.46</v>
      </c>
      <c r="CQ43" s="242">
        <v>8.81</v>
      </c>
      <c r="CR43" s="242"/>
      <c r="CS43" s="243"/>
      <c r="CT43" s="244">
        <v>15.27</v>
      </c>
      <c r="CU43" s="241">
        <v>7.27</v>
      </c>
      <c r="CV43" s="242">
        <v>8.18</v>
      </c>
      <c r="CW43" s="242"/>
      <c r="CX43" s="243"/>
      <c r="CY43" s="244">
        <f>SUM(CU43:CX43)</f>
        <v>15.45</v>
      </c>
      <c r="CZ43" s="241">
        <v>7.03</v>
      </c>
      <c r="DA43" s="242">
        <v>8.39</v>
      </c>
      <c r="DB43" s="242"/>
      <c r="DC43" s="243"/>
      <c r="DD43" s="244">
        <f>SUM(CZ43:DC43)</f>
        <v>15.420000000000002</v>
      </c>
      <c r="DE43" s="241">
        <v>13.77</v>
      </c>
      <c r="DF43" s="242"/>
      <c r="DG43" s="242"/>
      <c r="DH43" s="243"/>
      <c r="DI43" s="244">
        <f>SUM(DE43:DH43)</f>
        <v>13.77</v>
      </c>
      <c r="DJ43" s="241">
        <v>18.03</v>
      </c>
      <c r="DK43" s="242"/>
      <c r="DL43" s="242"/>
      <c r="DM43" s="243"/>
      <c r="DN43" s="244">
        <f>SUM(DJ43:DM43)</f>
        <v>18.03</v>
      </c>
      <c r="DO43" s="241">
        <v>12.02</v>
      </c>
      <c r="DP43" s="242">
        <v>2.08</v>
      </c>
      <c r="DQ43" s="242"/>
      <c r="DR43" s="243"/>
      <c r="DS43" s="244">
        <f>SUM(DO43:DR43)</f>
        <v>14.1</v>
      </c>
      <c r="DT43" s="241">
        <v>16.010000000000002</v>
      </c>
      <c r="DU43" s="242">
        <v>7.27</v>
      </c>
      <c r="DV43" s="242"/>
      <c r="DW43" s="243"/>
      <c r="DX43" s="244">
        <f>SUM(DT43:DW43)</f>
        <v>23.28</v>
      </c>
      <c r="DY43" s="76">
        <v>6.37</v>
      </c>
      <c r="DZ43" s="77"/>
      <c r="EA43" s="77"/>
      <c r="EB43" s="78"/>
      <c r="EC43" s="244">
        <f>SUM(DY43:EB43)</f>
        <v>6.37</v>
      </c>
      <c r="ED43" s="241">
        <v>8.07</v>
      </c>
      <c r="EE43" s="242"/>
      <c r="EF43" s="242"/>
      <c r="EG43" s="243"/>
      <c r="EH43" s="244">
        <f>SUM(ED43:EG43)</f>
        <v>8.07</v>
      </c>
      <c r="EI43" s="241">
        <v>11.76</v>
      </c>
      <c r="EJ43" s="242"/>
      <c r="EK43" s="242"/>
      <c r="EL43" s="243"/>
      <c r="EM43" s="244">
        <f>SUM(EI43:EL43)</f>
        <v>11.76</v>
      </c>
      <c r="EN43" s="241">
        <v>10.65</v>
      </c>
      <c r="EO43" s="242"/>
      <c r="EP43" s="242"/>
      <c r="EQ43" s="243"/>
      <c r="ER43" s="244">
        <f>SUM(EN43:EQ43)</f>
        <v>10.65</v>
      </c>
      <c r="ES43" s="241">
        <v>10.37</v>
      </c>
      <c r="ET43" s="242">
        <v>6.61</v>
      </c>
      <c r="EU43" s="242"/>
      <c r="EV43" s="243"/>
      <c r="EW43" s="244">
        <f>SUM(ES43:EV43)</f>
        <v>16.98</v>
      </c>
      <c r="EX43" s="241">
        <v>6.85</v>
      </c>
      <c r="EY43" s="242">
        <v>3.78</v>
      </c>
      <c r="EZ43" s="242"/>
      <c r="FA43" s="243"/>
      <c r="FB43" s="244">
        <f>SUM(EX43:FA43)</f>
        <v>10.629999999999999</v>
      </c>
      <c r="FC43" s="241">
        <v>4.72</v>
      </c>
      <c r="FD43" s="242">
        <v>8.06</v>
      </c>
      <c r="FE43" s="242"/>
      <c r="FF43" s="243"/>
      <c r="FG43" s="244">
        <f>SUM(FC43:FF43)</f>
        <v>12.780000000000001</v>
      </c>
      <c r="FH43" s="241">
        <v>9.11</v>
      </c>
      <c r="FI43" s="242">
        <v>6.78</v>
      </c>
      <c r="FJ43" s="242"/>
      <c r="FK43" s="243"/>
      <c r="FL43" s="244">
        <f>SUM(FH43:FK43)</f>
        <v>15.89</v>
      </c>
      <c r="FM43" s="241">
        <v>11.23</v>
      </c>
      <c r="FN43" s="242">
        <v>10.17</v>
      </c>
      <c r="FO43" s="242"/>
      <c r="FP43" s="243"/>
      <c r="FQ43" s="244">
        <f>SUM(FM43:FP43)</f>
        <v>21.4</v>
      </c>
      <c r="FR43" s="241">
        <v>10.55</v>
      </c>
      <c r="FS43" s="242">
        <v>12.33</v>
      </c>
      <c r="FT43" s="242"/>
      <c r="FU43" s="243"/>
      <c r="FV43" s="244">
        <f>SUM(FR43:FU43)</f>
        <v>22.880000000000003</v>
      </c>
      <c r="FW43" s="241">
        <v>17.14</v>
      </c>
      <c r="FX43" s="262"/>
      <c r="FY43" s="242"/>
      <c r="FZ43" s="243"/>
      <c r="GA43" s="244">
        <f>SUM(FW43:FZ43)</f>
        <v>17.14</v>
      </c>
      <c r="GB43" s="241">
        <v>7.48</v>
      </c>
      <c r="GC43" s="242">
        <v>8.67</v>
      </c>
      <c r="GD43" s="242"/>
      <c r="GE43" s="243"/>
      <c r="GF43" s="244">
        <f>SUM(GB43:GE43)</f>
        <v>16.149999999999999</v>
      </c>
      <c r="GG43" s="76">
        <v>11.54</v>
      </c>
      <c r="GH43" s="77">
        <v>6.35</v>
      </c>
      <c r="GI43" s="77"/>
      <c r="GJ43" s="78"/>
      <c r="GK43" s="244">
        <f>SUM(GG43:GJ43)</f>
        <v>17.89</v>
      </c>
      <c r="GL43" s="241">
        <v>7.38</v>
      </c>
      <c r="GM43" s="242">
        <v>8.43</v>
      </c>
      <c r="GN43" s="242"/>
      <c r="GO43" s="243"/>
      <c r="GP43" s="244">
        <f>SUM(GL43:GO43)</f>
        <v>15.809999999999999</v>
      </c>
      <c r="GQ43" s="241">
        <v>10.14</v>
      </c>
      <c r="GR43" s="242">
        <v>8.74</v>
      </c>
      <c r="GS43" s="242"/>
      <c r="GT43" s="243"/>
      <c r="GU43" s="244">
        <f>SUM(GQ43:GT43)</f>
        <v>18.880000000000003</v>
      </c>
      <c r="GV43" s="241">
        <v>6.83</v>
      </c>
      <c r="GW43" s="242">
        <v>13.91</v>
      </c>
      <c r="GX43" s="242"/>
      <c r="GY43" s="243"/>
      <c r="GZ43" s="244">
        <f>SUM(GV43:GY43)</f>
        <v>20.740000000000002</v>
      </c>
      <c r="HA43" s="241">
        <v>10.68</v>
      </c>
      <c r="HB43" s="242">
        <v>9.7899999999999991</v>
      </c>
      <c r="HC43" s="242"/>
      <c r="HD43" s="243"/>
      <c r="HE43" s="244">
        <f>SUM(HA43:HD43)</f>
        <v>20.47</v>
      </c>
      <c r="HF43" s="241">
        <v>9.1999999999999993</v>
      </c>
      <c r="HG43" s="242">
        <v>14.41</v>
      </c>
      <c r="HH43" s="242"/>
      <c r="HI43" s="243"/>
      <c r="HJ43" s="244">
        <f>SUM(HF43:HI43)</f>
        <v>23.61</v>
      </c>
      <c r="HK43" s="241">
        <v>8.6</v>
      </c>
      <c r="HL43" s="242">
        <v>8.6199999999999992</v>
      </c>
      <c r="HM43" s="242"/>
      <c r="HN43" s="243"/>
      <c r="HO43" s="244">
        <f>SUM(HK43:HN43)</f>
        <v>17.22</v>
      </c>
      <c r="HP43" s="241">
        <v>10.84</v>
      </c>
      <c r="HQ43" s="242">
        <v>13.11</v>
      </c>
      <c r="HR43" s="242"/>
      <c r="HS43" s="243"/>
      <c r="HT43" s="244">
        <f>SUM(HP43:HS43)</f>
        <v>23.95</v>
      </c>
      <c r="HU43" s="241">
        <v>11.38</v>
      </c>
      <c r="HV43" s="242">
        <v>12.32</v>
      </c>
      <c r="HW43" s="242"/>
      <c r="HX43" s="243"/>
      <c r="HY43" s="244">
        <f>SUM(HU43:HX43)</f>
        <v>23.700000000000003</v>
      </c>
      <c r="HZ43" s="241">
        <v>16.940000000000001</v>
      </c>
      <c r="IA43" s="242">
        <v>7.76</v>
      </c>
      <c r="IB43" s="242"/>
      <c r="IC43" s="243"/>
      <c r="ID43" s="244">
        <f>SUM(HZ43:IC43)</f>
        <v>24.700000000000003</v>
      </c>
      <c r="IE43" s="233">
        <v>22.85</v>
      </c>
      <c r="IF43" s="270"/>
      <c r="IG43" s="234"/>
      <c r="IH43" s="235"/>
      <c r="II43" s="232">
        <f>SUM(IE43:IH43)</f>
        <v>22.85</v>
      </c>
      <c r="IJ43" s="233">
        <v>8.5399999999999991</v>
      </c>
      <c r="IK43" s="234">
        <v>11.07</v>
      </c>
      <c r="IL43" s="234"/>
      <c r="IM43" s="235"/>
      <c r="IN43" s="232">
        <f>SUM(IJ43:IM43)</f>
        <v>19.61</v>
      </c>
      <c r="IO43" s="69">
        <v>13.12</v>
      </c>
      <c r="IP43" s="70">
        <v>13.67</v>
      </c>
      <c r="IQ43" s="70"/>
      <c r="IR43" s="71"/>
      <c r="IS43" s="73">
        <f>SUM(IO43:IR43)</f>
        <v>26.79</v>
      </c>
      <c r="IT43" s="69">
        <v>13.81</v>
      </c>
      <c r="IU43" s="70">
        <v>2.56</v>
      </c>
      <c r="IV43" s="70"/>
      <c r="IW43" s="71"/>
      <c r="IX43" s="73">
        <f>SUM(IT43:IW43)</f>
        <v>16.37</v>
      </c>
      <c r="IY43" s="69">
        <v>14.53</v>
      </c>
      <c r="IZ43" s="70">
        <v>12.85</v>
      </c>
      <c r="JA43" s="70"/>
      <c r="JB43" s="71"/>
      <c r="JC43" s="73">
        <f>SUM(IY43:JB43)</f>
        <v>27.38</v>
      </c>
      <c r="JD43" s="69">
        <v>19</v>
      </c>
      <c r="JE43" s="70">
        <v>7.42</v>
      </c>
      <c r="JF43" s="70"/>
      <c r="JG43" s="71"/>
      <c r="JH43" s="73">
        <f>SUM(JD43:JG43)</f>
        <v>26.42</v>
      </c>
      <c r="JI43" s="69">
        <v>23.19</v>
      </c>
      <c r="JJ43" s="79"/>
      <c r="JK43" s="70"/>
      <c r="JL43" s="71"/>
      <c r="JM43" s="73">
        <f>SUM(JI43:JL43)</f>
        <v>23.19</v>
      </c>
      <c r="JN43" s="69">
        <v>21.95</v>
      </c>
      <c r="JO43" s="70">
        <v>15.82</v>
      </c>
      <c r="JP43" s="70"/>
      <c r="JQ43" s="71"/>
      <c r="JR43" s="73">
        <f>SUM(JN43:JQ43)</f>
        <v>37.769999999999996</v>
      </c>
      <c r="JS43" s="69">
        <v>15.71</v>
      </c>
      <c r="JT43" s="70">
        <v>11.26</v>
      </c>
      <c r="JU43" s="70"/>
      <c r="JV43" s="71"/>
      <c r="JW43" s="73">
        <f>SUM(JS43:JV43)</f>
        <v>26.97</v>
      </c>
      <c r="JX43" s="69">
        <v>17.920000000000002</v>
      </c>
      <c r="JY43" s="70">
        <v>4.12</v>
      </c>
      <c r="JZ43" s="70"/>
      <c r="KA43" s="71"/>
      <c r="KB43" s="73">
        <v>22.040000000000003</v>
      </c>
      <c r="KC43" s="69">
        <v>24.71</v>
      </c>
      <c r="KD43" s="70">
        <v>5.59</v>
      </c>
      <c r="KE43" s="70">
        <v>0</v>
      </c>
      <c r="KF43" s="71">
        <v>0</v>
      </c>
      <c r="KG43" s="73">
        <v>30.3</v>
      </c>
      <c r="KH43" s="69">
        <v>22.75</v>
      </c>
      <c r="KI43" s="70">
        <v>10.87</v>
      </c>
      <c r="KJ43" s="70"/>
      <c r="KK43" s="71"/>
      <c r="KL43" s="73">
        <v>33.619999999999997</v>
      </c>
      <c r="KM43" s="479">
        <v>23.27</v>
      </c>
      <c r="KN43" s="480">
        <v>13.7</v>
      </c>
      <c r="KO43" s="70">
        <v>0</v>
      </c>
      <c r="KP43" s="71">
        <v>0</v>
      </c>
      <c r="KQ43" s="73">
        <f t="shared" si="45"/>
        <v>36.97</v>
      </c>
      <c r="KR43" s="69">
        <v>23.75</v>
      </c>
      <c r="KS43" s="70">
        <v>0</v>
      </c>
      <c r="KT43" s="70">
        <v>0</v>
      </c>
      <c r="KU43" s="71">
        <v>0</v>
      </c>
      <c r="KV43" s="73">
        <f t="shared" si="46"/>
        <v>23.75</v>
      </c>
    </row>
    <row r="44" spans="1:308" ht="15.75" outlineLevel="1" x14ac:dyDescent="0.25">
      <c r="A44" s="97"/>
      <c r="B44" s="55">
        <v>29</v>
      </c>
      <c r="C44" s="134">
        <v>11.38</v>
      </c>
      <c r="D44" s="92"/>
      <c r="E44" s="93"/>
      <c r="F44" s="94"/>
      <c r="G44" s="95"/>
      <c r="H44" s="124"/>
      <c r="I44" s="125"/>
      <c r="J44" s="126"/>
      <c r="K44" s="126"/>
      <c r="L44" s="127"/>
      <c r="M44" s="89"/>
      <c r="N44" s="125"/>
      <c r="O44" s="126"/>
      <c r="P44" s="126"/>
      <c r="Q44" s="127"/>
      <c r="R44" s="33"/>
      <c r="S44" s="125"/>
      <c r="T44" s="126"/>
      <c r="U44" s="126"/>
      <c r="V44" s="127"/>
      <c r="W44" s="33"/>
      <c r="X44" s="125"/>
      <c r="Y44" s="126"/>
      <c r="Z44" s="126"/>
      <c r="AA44" s="127"/>
      <c r="AB44" s="33"/>
      <c r="AC44" s="128"/>
      <c r="AD44" s="129"/>
      <c r="AE44" s="129"/>
      <c r="AF44" s="130"/>
      <c r="AG44" s="131"/>
      <c r="AH44" s="118"/>
      <c r="AI44" s="109"/>
      <c r="AJ44" s="109"/>
      <c r="AK44" s="132"/>
      <c r="AL44" s="119"/>
      <c r="AM44" s="112"/>
      <c r="AN44" s="113"/>
      <c r="AO44" s="113"/>
      <c r="AP44" s="42"/>
      <c r="AQ44" s="114"/>
      <c r="AR44" s="112"/>
      <c r="AS44" s="113"/>
      <c r="AT44" s="113"/>
      <c r="AU44" s="115"/>
      <c r="AV44" s="133"/>
      <c r="AW44" s="112"/>
      <c r="AX44" s="113"/>
      <c r="AY44" s="113"/>
      <c r="AZ44" s="115"/>
      <c r="BA44" s="133"/>
      <c r="BB44" s="112"/>
      <c r="BC44" s="113"/>
      <c r="BD44" s="113"/>
      <c r="BE44" s="115"/>
      <c r="BF44" s="133"/>
      <c r="BG44" s="69"/>
      <c r="BH44" s="70"/>
      <c r="BI44" s="70"/>
      <c r="BJ44" s="74"/>
      <c r="BK44" s="73">
        <f t="shared" si="59"/>
        <v>0</v>
      </c>
      <c r="BL44" s="69"/>
      <c r="BM44" s="70"/>
      <c r="BN44" s="70"/>
      <c r="BO44" s="74"/>
      <c r="BP44" s="72">
        <f t="shared" si="52"/>
        <v>0</v>
      </c>
      <c r="BQ44" s="69"/>
      <c r="BR44" s="70"/>
      <c r="BS44" s="70"/>
      <c r="BT44" s="71"/>
      <c r="BU44" s="232">
        <f t="shared" si="9"/>
        <v>0</v>
      </c>
      <c r="BV44" s="233"/>
      <c r="BW44" s="234"/>
      <c r="BX44" s="234"/>
      <c r="BY44" s="235"/>
      <c r="BZ44" s="236">
        <f t="shared" si="10"/>
        <v>0</v>
      </c>
      <c r="CA44" s="237"/>
      <c r="CB44" s="238"/>
      <c r="CC44" s="238"/>
      <c r="CD44" s="239"/>
      <c r="CE44" s="240">
        <f t="shared" si="53"/>
        <v>0</v>
      </c>
      <c r="CF44" s="237"/>
      <c r="CG44" s="238"/>
      <c r="CH44" s="238"/>
      <c r="CI44" s="239"/>
      <c r="CJ44" s="240">
        <f t="shared" si="54"/>
        <v>0</v>
      </c>
      <c r="CK44" s="237"/>
      <c r="CL44" s="238"/>
      <c r="CM44" s="238"/>
      <c r="CN44" s="239"/>
      <c r="CO44" s="244">
        <f t="shared" si="55"/>
        <v>0</v>
      </c>
      <c r="CP44" s="241"/>
      <c r="CQ44" s="242"/>
      <c r="CR44" s="242"/>
      <c r="CS44" s="243"/>
      <c r="CT44" s="244">
        <v>0</v>
      </c>
      <c r="CU44" s="241"/>
      <c r="CV44" s="242"/>
      <c r="CW44" s="242"/>
      <c r="CX44" s="243"/>
      <c r="CY44" s="244">
        <v>0</v>
      </c>
      <c r="CZ44" s="241"/>
      <c r="DA44" s="242"/>
      <c r="DB44" s="242"/>
      <c r="DC44" s="243"/>
      <c r="DD44" s="244">
        <v>0</v>
      </c>
      <c r="DE44" s="241"/>
      <c r="DF44" s="242"/>
      <c r="DG44" s="242"/>
      <c r="DH44" s="243"/>
      <c r="DI44" s="244">
        <v>0</v>
      </c>
      <c r="DJ44" s="241"/>
      <c r="DK44" s="242"/>
      <c r="DL44" s="242"/>
      <c r="DM44" s="243"/>
      <c r="DN44" s="244">
        <v>0</v>
      </c>
      <c r="DO44" s="241"/>
      <c r="DP44" s="242"/>
      <c r="DQ44" s="242"/>
      <c r="DR44" s="243"/>
      <c r="DS44" s="244">
        <v>0</v>
      </c>
      <c r="DT44" s="241"/>
      <c r="DU44" s="242"/>
      <c r="DV44" s="242"/>
      <c r="DW44" s="243"/>
      <c r="DX44" s="244">
        <v>0</v>
      </c>
      <c r="DY44" s="76"/>
      <c r="DZ44" s="77"/>
      <c r="EA44" s="77"/>
      <c r="EB44" s="78"/>
      <c r="EC44" s="244">
        <v>0</v>
      </c>
      <c r="ED44" s="241"/>
      <c r="EE44" s="242"/>
      <c r="EF44" s="242"/>
      <c r="EG44" s="243"/>
      <c r="EH44" s="244">
        <v>0</v>
      </c>
      <c r="EI44" s="241"/>
      <c r="EJ44" s="242"/>
      <c r="EK44" s="242"/>
      <c r="EL44" s="243"/>
      <c r="EM44" s="244">
        <v>0</v>
      </c>
      <c r="EN44" s="241"/>
      <c r="EO44" s="242"/>
      <c r="EP44" s="242"/>
      <c r="EQ44" s="243"/>
      <c r="ER44" s="244">
        <v>0</v>
      </c>
      <c r="ES44" s="241"/>
      <c r="ET44" s="242"/>
      <c r="EU44" s="242"/>
      <c r="EV44" s="243"/>
      <c r="EW44" s="244">
        <v>0</v>
      </c>
      <c r="EX44" s="241"/>
      <c r="EY44" s="242"/>
      <c r="EZ44" s="242"/>
      <c r="FA44" s="243"/>
      <c r="FB44" s="244">
        <v>0</v>
      </c>
      <c r="FC44" s="241"/>
      <c r="FD44" s="242"/>
      <c r="FE44" s="242"/>
      <c r="FF44" s="243"/>
      <c r="FG44" s="244">
        <v>0</v>
      </c>
      <c r="FH44" s="241"/>
      <c r="FI44" s="242"/>
      <c r="FJ44" s="242"/>
      <c r="FK44" s="243"/>
      <c r="FL44" s="244">
        <v>0</v>
      </c>
      <c r="FM44" s="241"/>
      <c r="FN44" s="242"/>
      <c r="FO44" s="242"/>
      <c r="FP44" s="243"/>
      <c r="FQ44" s="244">
        <v>0</v>
      </c>
      <c r="FR44" s="241"/>
      <c r="FS44" s="242"/>
      <c r="FT44" s="242"/>
      <c r="FU44" s="243"/>
      <c r="FV44" s="244">
        <v>0</v>
      </c>
      <c r="FW44" s="241"/>
      <c r="FX44" s="242"/>
      <c r="FY44" s="242"/>
      <c r="FZ44" s="243"/>
      <c r="GA44" s="244">
        <v>0</v>
      </c>
      <c r="GB44" s="241"/>
      <c r="GC44" s="242"/>
      <c r="GD44" s="242"/>
      <c r="GE44" s="243"/>
      <c r="GF44" s="244">
        <v>0</v>
      </c>
      <c r="GG44" s="76"/>
      <c r="GH44" s="77"/>
      <c r="GI44" s="77"/>
      <c r="GJ44" s="78"/>
      <c r="GK44" s="244">
        <v>0</v>
      </c>
      <c r="GL44" s="241"/>
      <c r="GM44" s="242"/>
      <c r="GN44" s="242"/>
      <c r="GO44" s="243"/>
      <c r="GP44" s="244">
        <v>0</v>
      </c>
      <c r="GQ44" s="241"/>
      <c r="GR44" s="242"/>
      <c r="GS44" s="242"/>
      <c r="GT44" s="243"/>
      <c r="GU44" s="244">
        <v>0</v>
      </c>
      <c r="GV44" s="241"/>
      <c r="GW44" s="242"/>
      <c r="GX44" s="242"/>
      <c r="GY44" s="243"/>
      <c r="GZ44" s="244">
        <v>0</v>
      </c>
      <c r="HA44" s="241"/>
      <c r="HB44" s="242"/>
      <c r="HC44" s="242"/>
      <c r="HD44" s="243"/>
      <c r="HE44" s="244">
        <v>0</v>
      </c>
      <c r="HF44" s="241">
        <v>1.99</v>
      </c>
      <c r="HG44" s="242">
        <v>0.54</v>
      </c>
      <c r="HH44" s="242"/>
      <c r="HI44" s="243"/>
      <c r="HJ44" s="244">
        <f>SUM(HF44:HI44)</f>
        <v>2.5300000000000002</v>
      </c>
      <c r="HK44" s="241">
        <v>0.52</v>
      </c>
      <c r="HL44" s="242">
        <v>1.32</v>
      </c>
      <c r="HM44" s="242"/>
      <c r="HN44" s="243"/>
      <c r="HO44" s="244">
        <f>SUM(HK44:HN44)</f>
        <v>1.84</v>
      </c>
      <c r="HP44" s="241">
        <v>0.94</v>
      </c>
      <c r="HQ44" s="242">
        <v>1.57</v>
      </c>
      <c r="HR44" s="242"/>
      <c r="HS44" s="243"/>
      <c r="HT44" s="244">
        <f>SUM(HP44:HS44)</f>
        <v>2.5099999999999998</v>
      </c>
      <c r="HU44" s="241">
        <v>0.9</v>
      </c>
      <c r="HV44" s="269"/>
      <c r="HW44" s="242"/>
      <c r="HX44" s="243"/>
      <c r="HY44" s="244">
        <f>SUM(HU44:HX44)</f>
        <v>0.9</v>
      </c>
      <c r="HZ44" s="241">
        <v>0.83</v>
      </c>
      <c r="IA44" s="242">
        <v>1</v>
      </c>
      <c r="IB44" s="242"/>
      <c r="IC44" s="243"/>
      <c r="ID44" s="244">
        <f>SUM(HZ44:IC44)</f>
        <v>1.83</v>
      </c>
      <c r="IE44" s="233">
        <v>1.04</v>
      </c>
      <c r="IF44" s="234">
        <v>3.27</v>
      </c>
      <c r="IG44" s="234"/>
      <c r="IH44" s="235"/>
      <c r="II44" s="232">
        <f>SUM(IE44:IH44)</f>
        <v>4.3100000000000005</v>
      </c>
      <c r="IJ44" s="233">
        <v>1.3</v>
      </c>
      <c r="IK44" s="234">
        <v>1.4</v>
      </c>
      <c r="IL44" s="234"/>
      <c r="IM44" s="235"/>
      <c r="IN44" s="232">
        <f>SUM(IJ44:IM44)</f>
        <v>2.7</v>
      </c>
      <c r="IO44" s="69">
        <v>1.81</v>
      </c>
      <c r="IP44" s="79"/>
      <c r="IQ44" s="70"/>
      <c r="IR44" s="71"/>
      <c r="IS44" s="73">
        <f>SUM(IO44:IR44)</f>
        <v>1.81</v>
      </c>
      <c r="IT44" s="69">
        <v>1.02</v>
      </c>
      <c r="IU44" s="70">
        <v>0.5</v>
      </c>
      <c r="IV44" s="70"/>
      <c r="IW44" s="71"/>
      <c r="IX44" s="73">
        <f>SUM(IT44:IW44)</f>
        <v>1.52</v>
      </c>
      <c r="IY44" s="69">
        <v>0.65</v>
      </c>
      <c r="IZ44" s="70">
        <v>0.99</v>
      </c>
      <c r="JA44" s="70">
        <v>1</v>
      </c>
      <c r="JB44" s="71"/>
      <c r="JC44" s="73">
        <f>SUM(IY44:JB44)</f>
        <v>2.64</v>
      </c>
      <c r="JD44" s="69">
        <v>1.41</v>
      </c>
      <c r="JE44" s="70">
        <v>2.23</v>
      </c>
      <c r="JF44" s="70"/>
      <c r="JG44" s="71"/>
      <c r="JH44" s="73">
        <f>SUM(JD44:JG44)</f>
        <v>3.6399999999999997</v>
      </c>
      <c r="JI44" s="69">
        <v>5.3</v>
      </c>
      <c r="JJ44" s="79"/>
      <c r="JK44" s="70"/>
      <c r="JL44" s="71"/>
      <c r="JM44" s="73">
        <f>SUM(JI44:JL44)</f>
        <v>5.3</v>
      </c>
      <c r="JN44" s="69">
        <v>3.5</v>
      </c>
      <c r="JO44" s="70">
        <v>5.73</v>
      </c>
      <c r="JP44" s="70"/>
      <c r="JQ44" s="71"/>
      <c r="JR44" s="73">
        <f>SUM(JN44:JQ44)</f>
        <v>9.23</v>
      </c>
      <c r="JS44" s="69">
        <v>2.19</v>
      </c>
      <c r="JT44" s="70">
        <v>3.53</v>
      </c>
      <c r="JU44" s="70"/>
      <c r="JV44" s="71"/>
      <c r="JW44" s="73">
        <f>SUM(JS44:JV44)</f>
        <v>5.72</v>
      </c>
      <c r="JX44" s="69">
        <v>8.4700000000000006</v>
      </c>
      <c r="JY44" s="70">
        <v>4.1900000000000004</v>
      </c>
      <c r="JZ44" s="70"/>
      <c r="KA44" s="71"/>
      <c r="KB44" s="73">
        <v>12.66</v>
      </c>
      <c r="KC44" s="69">
        <v>5.51</v>
      </c>
      <c r="KD44" s="70">
        <v>6.58</v>
      </c>
      <c r="KE44" s="70">
        <v>0</v>
      </c>
      <c r="KF44" s="71">
        <v>0</v>
      </c>
      <c r="KG44" s="73">
        <v>12.09</v>
      </c>
      <c r="KH44" s="69">
        <v>8.0299999999999994</v>
      </c>
      <c r="KI44" s="70">
        <v>7.78</v>
      </c>
      <c r="KJ44" s="70"/>
      <c r="KK44" s="71"/>
      <c r="KL44" s="73">
        <v>15.809999999999999</v>
      </c>
      <c r="KM44" s="479">
        <v>12</v>
      </c>
      <c r="KN44" s="480">
        <v>0</v>
      </c>
      <c r="KO44" s="70">
        <v>0</v>
      </c>
      <c r="KP44" s="71">
        <v>0</v>
      </c>
      <c r="KQ44" s="73">
        <f t="shared" si="45"/>
        <v>12</v>
      </c>
      <c r="KR44" s="69">
        <v>4.74</v>
      </c>
      <c r="KS44" s="70">
        <v>10.379999999999999</v>
      </c>
      <c r="KT44" s="70">
        <v>0</v>
      </c>
      <c r="KU44" s="71">
        <v>0</v>
      </c>
      <c r="KV44" s="73">
        <f t="shared" si="46"/>
        <v>15.12</v>
      </c>
    </row>
    <row r="45" spans="1:308" ht="15.75" x14ac:dyDescent="0.25">
      <c r="A45" s="97"/>
      <c r="B45" s="55">
        <v>30</v>
      </c>
      <c r="C45" s="134">
        <v>24.35</v>
      </c>
      <c r="D45" s="92"/>
      <c r="E45" s="93"/>
      <c r="F45" s="94"/>
      <c r="G45" s="95"/>
      <c r="H45" s="124"/>
      <c r="I45" s="125"/>
      <c r="J45" s="126"/>
      <c r="K45" s="126"/>
      <c r="L45" s="127"/>
      <c r="M45" s="89"/>
      <c r="N45" s="125"/>
      <c r="O45" s="126"/>
      <c r="P45" s="126"/>
      <c r="Q45" s="127"/>
      <c r="R45" s="33"/>
      <c r="S45" s="125"/>
      <c r="T45" s="126"/>
      <c r="U45" s="126"/>
      <c r="V45" s="127"/>
      <c r="W45" s="33"/>
      <c r="X45" s="125"/>
      <c r="Y45" s="126"/>
      <c r="Z45" s="126"/>
      <c r="AA45" s="127"/>
      <c r="AB45" s="33"/>
      <c r="AC45" s="128"/>
      <c r="AD45" s="129"/>
      <c r="AE45" s="129"/>
      <c r="AF45" s="130"/>
      <c r="AG45" s="131"/>
      <c r="AH45" s="118"/>
      <c r="AI45" s="109"/>
      <c r="AJ45" s="109"/>
      <c r="AK45" s="132"/>
      <c r="AL45" s="119"/>
      <c r="AM45" s="112"/>
      <c r="AN45" s="113"/>
      <c r="AO45" s="113"/>
      <c r="AP45" s="42"/>
      <c r="AQ45" s="114"/>
      <c r="AR45" s="112"/>
      <c r="AS45" s="113"/>
      <c r="AT45" s="113"/>
      <c r="AU45" s="115"/>
      <c r="AV45" s="133"/>
      <c r="AW45" s="112"/>
      <c r="AX45" s="113"/>
      <c r="AY45" s="113"/>
      <c r="AZ45" s="115"/>
      <c r="BA45" s="133"/>
      <c r="BB45" s="112"/>
      <c r="BC45" s="113"/>
      <c r="BD45" s="113"/>
      <c r="BE45" s="115"/>
      <c r="BF45" s="133"/>
      <c r="BG45" s="69"/>
      <c r="BH45" s="70"/>
      <c r="BI45" s="70"/>
      <c r="BJ45" s="74"/>
      <c r="BK45" s="73">
        <f t="shared" si="59"/>
        <v>0</v>
      </c>
      <c r="BL45" s="69"/>
      <c r="BM45" s="70"/>
      <c r="BN45" s="70"/>
      <c r="BO45" s="74"/>
      <c r="BP45" s="72">
        <f t="shared" si="52"/>
        <v>0</v>
      </c>
      <c r="BQ45" s="69"/>
      <c r="BR45" s="70"/>
      <c r="BS45" s="70"/>
      <c r="BT45" s="71"/>
      <c r="BU45" s="232">
        <f t="shared" si="9"/>
        <v>0</v>
      </c>
      <c r="BV45" s="233"/>
      <c r="BW45" s="234"/>
      <c r="BX45" s="234"/>
      <c r="BY45" s="235"/>
      <c r="BZ45" s="236">
        <f t="shared" si="10"/>
        <v>0</v>
      </c>
      <c r="CA45" s="237"/>
      <c r="CB45" s="238"/>
      <c r="CC45" s="238"/>
      <c r="CD45" s="239"/>
      <c r="CE45" s="240">
        <f t="shared" si="53"/>
        <v>0</v>
      </c>
      <c r="CF45" s="237"/>
      <c r="CG45" s="238"/>
      <c r="CH45" s="238"/>
      <c r="CI45" s="239"/>
      <c r="CJ45" s="240">
        <f t="shared" si="54"/>
        <v>0</v>
      </c>
      <c r="CK45" s="237"/>
      <c r="CL45" s="238"/>
      <c r="CM45" s="238"/>
      <c r="CN45" s="239"/>
      <c r="CO45" s="244">
        <f t="shared" si="55"/>
        <v>0</v>
      </c>
      <c r="CP45" s="241"/>
      <c r="CQ45" s="242"/>
      <c r="CR45" s="242"/>
      <c r="CS45" s="243"/>
      <c r="CT45" s="244">
        <v>0</v>
      </c>
      <c r="CU45" s="241"/>
      <c r="CV45" s="242"/>
      <c r="CW45" s="242"/>
      <c r="CX45" s="243"/>
      <c r="CY45" s="244">
        <v>0</v>
      </c>
      <c r="CZ45" s="241"/>
      <c r="DA45" s="242"/>
      <c r="DB45" s="242"/>
      <c r="DC45" s="243"/>
      <c r="DD45" s="244">
        <v>0</v>
      </c>
      <c r="DE45" s="241"/>
      <c r="DF45" s="242"/>
      <c r="DG45" s="242"/>
      <c r="DH45" s="243"/>
      <c r="DI45" s="244">
        <v>0</v>
      </c>
      <c r="DJ45" s="241"/>
      <c r="DK45" s="242"/>
      <c r="DL45" s="242"/>
      <c r="DM45" s="243"/>
      <c r="DN45" s="244">
        <v>0</v>
      </c>
      <c r="DO45" s="241"/>
      <c r="DP45" s="242"/>
      <c r="DQ45" s="242"/>
      <c r="DR45" s="243"/>
      <c r="DS45" s="244">
        <v>0</v>
      </c>
      <c r="DT45" s="241"/>
      <c r="DU45" s="242"/>
      <c r="DV45" s="242"/>
      <c r="DW45" s="243"/>
      <c r="DX45" s="244">
        <v>0</v>
      </c>
      <c r="DY45" s="76"/>
      <c r="DZ45" s="77"/>
      <c r="EA45" s="77"/>
      <c r="EB45" s="78"/>
      <c r="EC45" s="244">
        <v>0</v>
      </c>
      <c r="ED45" s="241"/>
      <c r="EE45" s="242"/>
      <c r="EF45" s="242"/>
      <c r="EG45" s="243"/>
      <c r="EH45" s="244">
        <v>0</v>
      </c>
      <c r="EI45" s="241"/>
      <c r="EJ45" s="242"/>
      <c r="EK45" s="242"/>
      <c r="EL45" s="243"/>
      <c r="EM45" s="244">
        <v>0</v>
      </c>
      <c r="EN45" s="241"/>
      <c r="EO45" s="242"/>
      <c r="EP45" s="242"/>
      <c r="EQ45" s="243"/>
      <c r="ER45" s="244">
        <v>0</v>
      </c>
      <c r="ES45" s="241"/>
      <c r="ET45" s="242"/>
      <c r="EU45" s="242"/>
      <c r="EV45" s="243"/>
      <c r="EW45" s="244">
        <v>0</v>
      </c>
      <c r="EX45" s="241"/>
      <c r="EY45" s="242"/>
      <c r="EZ45" s="242"/>
      <c r="FA45" s="243"/>
      <c r="FB45" s="244">
        <v>0</v>
      </c>
      <c r="FC45" s="241"/>
      <c r="FD45" s="242"/>
      <c r="FE45" s="242"/>
      <c r="FF45" s="243"/>
      <c r="FG45" s="244">
        <v>0</v>
      </c>
      <c r="FH45" s="241"/>
      <c r="FI45" s="242"/>
      <c r="FJ45" s="242"/>
      <c r="FK45" s="243"/>
      <c r="FL45" s="244">
        <v>0</v>
      </c>
      <c r="FM45" s="241"/>
      <c r="FN45" s="242"/>
      <c r="FO45" s="242"/>
      <c r="FP45" s="243"/>
      <c r="FQ45" s="244">
        <v>0</v>
      </c>
      <c r="FR45" s="241"/>
      <c r="FS45" s="242"/>
      <c r="FT45" s="242"/>
      <c r="FU45" s="243"/>
      <c r="FV45" s="244">
        <v>0</v>
      </c>
      <c r="FW45" s="241"/>
      <c r="FX45" s="242"/>
      <c r="FY45" s="242"/>
      <c r="FZ45" s="243"/>
      <c r="GA45" s="244">
        <v>0</v>
      </c>
      <c r="GB45" s="241"/>
      <c r="GC45" s="242"/>
      <c r="GD45" s="242"/>
      <c r="GE45" s="243"/>
      <c r="GF45" s="244">
        <v>0</v>
      </c>
      <c r="GG45" s="120"/>
      <c r="GH45" s="121"/>
      <c r="GI45" s="77"/>
      <c r="GJ45" s="78"/>
      <c r="GK45" s="244">
        <v>0</v>
      </c>
      <c r="GL45" s="241">
        <v>1.6</v>
      </c>
      <c r="GM45" s="242">
        <v>0.84</v>
      </c>
      <c r="GN45" s="242"/>
      <c r="GO45" s="243"/>
      <c r="GP45" s="244">
        <f t="shared" ref="GP45:GP46" si="77">SUM(GL45:GO45)</f>
        <v>2.44</v>
      </c>
      <c r="GQ45" s="241">
        <v>0.87</v>
      </c>
      <c r="GR45" s="242">
        <v>0.95</v>
      </c>
      <c r="GS45" s="242"/>
      <c r="GT45" s="243"/>
      <c r="GU45" s="244">
        <f>SUM(GQ45:GT45)</f>
        <v>1.8199999999999998</v>
      </c>
      <c r="GV45" s="241">
        <v>1.02</v>
      </c>
      <c r="GW45" s="262"/>
      <c r="GX45" s="242"/>
      <c r="GY45" s="243"/>
      <c r="GZ45" s="244">
        <f>SUM(GV45:GY45)</f>
        <v>1.02</v>
      </c>
      <c r="HA45" s="241">
        <v>1.26</v>
      </c>
      <c r="HB45" s="242">
        <v>1.33</v>
      </c>
      <c r="HC45" s="242"/>
      <c r="HD45" s="243"/>
      <c r="HE45" s="244">
        <f>SUM(HA45:HD45)</f>
        <v>2.59</v>
      </c>
      <c r="HF45" s="241">
        <v>1.67</v>
      </c>
      <c r="HG45" s="242">
        <v>1.23</v>
      </c>
      <c r="HH45" s="242"/>
      <c r="HI45" s="243"/>
      <c r="HJ45" s="244">
        <f>SUM(HF45:HI45)</f>
        <v>2.9</v>
      </c>
      <c r="HK45" s="241">
        <v>0.94</v>
      </c>
      <c r="HL45" s="242">
        <v>0.67</v>
      </c>
      <c r="HM45" s="242"/>
      <c r="HN45" s="243"/>
      <c r="HO45" s="244">
        <f>SUM(HK45:HN45)</f>
        <v>1.6099999999999999</v>
      </c>
      <c r="HP45" s="241">
        <v>2.96</v>
      </c>
      <c r="HQ45" s="242">
        <v>2.4900000000000002</v>
      </c>
      <c r="HR45" s="242"/>
      <c r="HS45" s="243"/>
      <c r="HT45" s="244">
        <f>SUM(HP45:HS45)</f>
        <v>5.45</v>
      </c>
      <c r="HU45" s="241">
        <v>1.97</v>
      </c>
      <c r="HV45" s="242">
        <v>2.2000000000000002</v>
      </c>
      <c r="HW45" s="242"/>
      <c r="HX45" s="243"/>
      <c r="HY45" s="244">
        <f>SUM(HU45:HX45)</f>
        <v>4.17</v>
      </c>
      <c r="HZ45" s="241">
        <v>4.0999999999999996</v>
      </c>
      <c r="IA45" s="269"/>
      <c r="IB45" s="242"/>
      <c r="IC45" s="243"/>
      <c r="ID45" s="244">
        <f>SUM(HZ45:IC45)</f>
        <v>4.0999999999999996</v>
      </c>
      <c r="IE45" s="233">
        <v>12.16</v>
      </c>
      <c r="IF45" s="234">
        <v>3.38</v>
      </c>
      <c r="IG45" s="234"/>
      <c r="IH45" s="235"/>
      <c r="II45" s="232">
        <f>SUM(IE45:IH45)</f>
        <v>15.54</v>
      </c>
      <c r="IJ45" s="233">
        <v>2.2400000000000002</v>
      </c>
      <c r="IK45" s="270"/>
      <c r="IL45" s="234"/>
      <c r="IM45" s="235"/>
      <c r="IN45" s="232">
        <f>SUM(IJ45:IM45)</f>
        <v>2.2400000000000002</v>
      </c>
      <c r="IO45" s="69">
        <v>9.26</v>
      </c>
      <c r="IP45" s="70">
        <v>11.92</v>
      </c>
      <c r="IQ45" s="70"/>
      <c r="IR45" s="71"/>
      <c r="IS45" s="73">
        <f>SUM(IO45:IR45)</f>
        <v>21.18</v>
      </c>
      <c r="IT45" s="69">
        <v>9.9</v>
      </c>
      <c r="IU45" s="70">
        <v>1.97</v>
      </c>
      <c r="IV45" s="70"/>
      <c r="IW45" s="71"/>
      <c r="IX45" s="73">
        <f>SUM(IT45:IW45)</f>
        <v>11.870000000000001</v>
      </c>
      <c r="IY45" s="69">
        <v>10.64</v>
      </c>
      <c r="IZ45" s="70">
        <v>3.38</v>
      </c>
      <c r="JA45" s="70"/>
      <c r="JB45" s="71"/>
      <c r="JC45" s="73">
        <f>SUM(IY45:JB45)</f>
        <v>14.02</v>
      </c>
      <c r="JD45" s="69">
        <v>17.32</v>
      </c>
      <c r="JE45" s="70">
        <v>4.7</v>
      </c>
      <c r="JF45" s="70"/>
      <c r="JG45" s="71"/>
      <c r="JH45" s="73">
        <f>SUM(JD45:JG45)</f>
        <v>22.02</v>
      </c>
      <c r="JI45" s="69">
        <v>17.350000000000001</v>
      </c>
      <c r="JJ45" s="70">
        <v>7.63</v>
      </c>
      <c r="JK45" s="70"/>
      <c r="JL45" s="71"/>
      <c r="JM45" s="73">
        <f>SUM(JI45:JL45)</f>
        <v>24.98</v>
      </c>
      <c r="JN45" s="69">
        <v>10.75</v>
      </c>
      <c r="JO45" s="70">
        <v>9.1199999999999992</v>
      </c>
      <c r="JP45" s="70"/>
      <c r="JQ45" s="71"/>
      <c r="JR45" s="73">
        <f>SUM(JN45:JQ45)</f>
        <v>19.869999999999997</v>
      </c>
      <c r="JS45" s="69">
        <v>8.91</v>
      </c>
      <c r="JT45" s="70">
        <v>6.22</v>
      </c>
      <c r="JU45" s="70"/>
      <c r="JV45" s="71"/>
      <c r="JW45" s="73">
        <f>SUM(JS45:JV45)</f>
        <v>15.129999999999999</v>
      </c>
      <c r="JX45" s="69">
        <v>13.22</v>
      </c>
      <c r="JY45" s="70">
        <v>2.65</v>
      </c>
      <c r="JZ45" s="70"/>
      <c r="KA45" s="71"/>
      <c r="KB45" s="73">
        <v>15.870000000000001</v>
      </c>
      <c r="KC45" s="69">
        <v>14.44</v>
      </c>
      <c r="KD45" s="70">
        <v>3.64</v>
      </c>
      <c r="KE45" s="70">
        <v>0</v>
      </c>
      <c r="KF45" s="71">
        <v>0</v>
      </c>
      <c r="KG45" s="73">
        <v>18.079999999999998</v>
      </c>
      <c r="KH45" s="69">
        <v>14.52</v>
      </c>
      <c r="KI45" s="70">
        <v>7.91</v>
      </c>
      <c r="KJ45" s="70"/>
      <c r="KK45" s="71"/>
      <c r="KL45" s="73">
        <v>22.43</v>
      </c>
      <c r="KM45" s="479">
        <v>15.26</v>
      </c>
      <c r="KN45" s="480">
        <v>9.77</v>
      </c>
      <c r="KO45" s="70">
        <v>0</v>
      </c>
      <c r="KP45" s="71">
        <v>0</v>
      </c>
      <c r="KQ45" s="73">
        <f t="shared" si="45"/>
        <v>25.03</v>
      </c>
      <c r="KR45" s="69">
        <v>12.309999999999999</v>
      </c>
      <c r="KS45" s="70">
        <v>0</v>
      </c>
      <c r="KT45" s="70">
        <v>0</v>
      </c>
      <c r="KU45" s="71">
        <v>0</v>
      </c>
      <c r="KV45" s="73">
        <f t="shared" si="46"/>
        <v>12.309999999999999</v>
      </c>
    </row>
    <row r="46" spans="1:308" ht="15.75" x14ac:dyDescent="0.25">
      <c r="A46" s="97"/>
      <c r="B46" s="55">
        <v>31</v>
      </c>
      <c r="C46" s="134">
        <v>34.08</v>
      </c>
      <c r="D46" s="92"/>
      <c r="E46" s="93"/>
      <c r="F46" s="94"/>
      <c r="G46" s="95"/>
      <c r="H46" s="124"/>
      <c r="I46" s="125"/>
      <c r="J46" s="126"/>
      <c r="K46" s="126"/>
      <c r="L46" s="127"/>
      <c r="M46" s="89"/>
      <c r="N46" s="125"/>
      <c r="O46" s="126"/>
      <c r="P46" s="126"/>
      <c r="Q46" s="127"/>
      <c r="R46" s="33"/>
      <c r="S46" s="125"/>
      <c r="T46" s="126"/>
      <c r="U46" s="126"/>
      <c r="V46" s="127"/>
      <c r="W46" s="33"/>
      <c r="X46" s="125"/>
      <c r="Y46" s="126"/>
      <c r="Z46" s="126"/>
      <c r="AA46" s="127"/>
      <c r="AB46" s="33"/>
      <c r="AC46" s="128"/>
      <c r="AD46" s="129"/>
      <c r="AE46" s="129"/>
      <c r="AF46" s="130"/>
      <c r="AG46" s="131"/>
      <c r="AH46" s="118"/>
      <c r="AI46" s="109"/>
      <c r="AJ46" s="109"/>
      <c r="AK46" s="132"/>
      <c r="AL46" s="119"/>
      <c r="AM46" s="112"/>
      <c r="AN46" s="113"/>
      <c r="AO46" s="113"/>
      <c r="AP46" s="42"/>
      <c r="AQ46" s="114"/>
      <c r="AR46" s="112"/>
      <c r="AS46" s="113"/>
      <c r="AT46" s="113"/>
      <c r="AU46" s="115"/>
      <c r="AV46" s="133"/>
      <c r="AW46" s="112"/>
      <c r="AX46" s="113"/>
      <c r="AY46" s="113"/>
      <c r="AZ46" s="115"/>
      <c r="BA46" s="133"/>
      <c r="BB46" s="112"/>
      <c r="BC46" s="113"/>
      <c r="BD46" s="113"/>
      <c r="BE46" s="115"/>
      <c r="BF46" s="133"/>
      <c r="BG46" s="69"/>
      <c r="BH46" s="70"/>
      <c r="BI46" s="70"/>
      <c r="BJ46" s="74"/>
      <c r="BK46" s="73">
        <f t="shared" si="59"/>
        <v>0</v>
      </c>
      <c r="BL46" s="69"/>
      <c r="BM46" s="70"/>
      <c r="BN46" s="70"/>
      <c r="BO46" s="74"/>
      <c r="BP46" s="72">
        <f t="shared" si="52"/>
        <v>0</v>
      </c>
      <c r="BQ46" s="69"/>
      <c r="BR46" s="70"/>
      <c r="BS46" s="70"/>
      <c r="BT46" s="71"/>
      <c r="BU46" s="232">
        <f t="shared" si="9"/>
        <v>0</v>
      </c>
      <c r="BV46" s="233"/>
      <c r="BW46" s="234"/>
      <c r="BX46" s="234"/>
      <c r="BY46" s="235"/>
      <c r="BZ46" s="236">
        <f t="shared" si="10"/>
        <v>0</v>
      </c>
      <c r="CA46" s="237"/>
      <c r="CB46" s="238"/>
      <c r="CC46" s="238"/>
      <c r="CD46" s="239"/>
      <c r="CE46" s="240">
        <f t="shared" si="53"/>
        <v>0</v>
      </c>
      <c r="CF46" s="237"/>
      <c r="CG46" s="238"/>
      <c r="CH46" s="238"/>
      <c r="CI46" s="239"/>
      <c r="CJ46" s="240">
        <f t="shared" si="54"/>
        <v>0</v>
      </c>
      <c r="CK46" s="237"/>
      <c r="CL46" s="238"/>
      <c r="CM46" s="238"/>
      <c r="CN46" s="239"/>
      <c r="CO46" s="244">
        <f t="shared" si="55"/>
        <v>0</v>
      </c>
      <c r="CP46" s="241"/>
      <c r="CQ46" s="242"/>
      <c r="CR46" s="242"/>
      <c r="CS46" s="243"/>
      <c r="CT46" s="244">
        <v>0</v>
      </c>
      <c r="CU46" s="241"/>
      <c r="CV46" s="242"/>
      <c r="CW46" s="242"/>
      <c r="CX46" s="243"/>
      <c r="CY46" s="244">
        <v>0</v>
      </c>
      <c r="CZ46" s="241"/>
      <c r="DA46" s="242"/>
      <c r="DB46" s="242"/>
      <c r="DC46" s="243"/>
      <c r="DD46" s="244">
        <v>0</v>
      </c>
      <c r="DE46" s="241"/>
      <c r="DF46" s="242"/>
      <c r="DG46" s="242"/>
      <c r="DH46" s="243"/>
      <c r="DI46" s="244">
        <v>0</v>
      </c>
      <c r="DJ46" s="241"/>
      <c r="DK46" s="242"/>
      <c r="DL46" s="242"/>
      <c r="DM46" s="243"/>
      <c r="DN46" s="244">
        <v>0</v>
      </c>
      <c r="DO46" s="241"/>
      <c r="DP46" s="242"/>
      <c r="DQ46" s="242"/>
      <c r="DR46" s="243"/>
      <c r="DS46" s="244">
        <v>0</v>
      </c>
      <c r="DT46" s="241"/>
      <c r="DU46" s="242"/>
      <c r="DV46" s="242"/>
      <c r="DW46" s="243"/>
      <c r="DX46" s="244">
        <v>0</v>
      </c>
      <c r="DY46" s="76"/>
      <c r="DZ46" s="77"/>
      <c r="EA46" s="77"/>
      <c r="EB46" s="78"/>
      <c r="EC46" s="244">
        <v>0</v>
      </c>
      <c r="ED46" s="241"/>
      <c r="EE46" s="242"/>
      <c r="EF46" s="242"/>
      <c r="EG46" s="243"/>
      <c r="EH46" s="244">
        <v>0</v>
      </c>
      <c r="EI46" s="241"/>
      <c r="EJ46" s="242"/>
      <c r="EK46" s="242"/>
      <c r="EL46" s="243"/>
      <c r="EM46" s="244">
        <v>0</v>
      </c>
      <c r="EN46" s="241"/>
      <c r="EO46" s="242"/>
      <c r="EP46" s="242"/>
      <c r="EQ46" s="243"/>
      <c r="ER46" s="244">
        <v>0</v>
      </c>
      <c r="ES46" s="241"/>
      <c r="ET46" s="242"/>
      <c r="EU46" s="242"/>
      <c r="EV46" s="243"/>
      <c r="EW46" s="244">
        <v>0</v>
      </c>
      <c r="EX46" s="241"/>
      <c r="EY46" s="242"/>
      <c r="EZ46" s="242"/>
      <c r="FA46" s="243"/>
      <c r="FB46" s="244">
        <v>0</v>
      </c>
      <c r="FC46" s="241"/>
      <c r="FD46" s="242"/>
      <c r="FE46" s="242"/>
      <c r="FF46" s="243"/>
      <c r="FG46" s="244">
        <v>0</v>
      </c>
      <c r="FH46" s="241"/>
      <c r="FI46" s="242"/>
      <c r="FJ46" s="242"/>
      <c r="FK46" s="243"/>
      <c r="FL46" s="244">
        <v>0</v>
      </c>
      <c r="FM46" s="241"/>
      <c r="FN46" s="242"/>
      <c r="FO46" s="242"/>
      <c r="FP46" s="243"/>
      <c r="FQ46" s="244">
        <v>0</v>
      </c>
      <c r="FR46" s="241"/>
      <c r="FS46" s="242"/>
      <c r="FT46" s="242"/>
      <c r="FU46" s="243"/>
      <c r="FV46" s="244">
        <v>0</v>
      </c>
      <c r="FW46" s="241"/>
      <c r="FX46" s="242"/>
      <c r="FY46" s="242"/>
      <c r="FZ46" s="243"/>
      <c r="GA46" s="244">
        <v>0</v>
      </c>
      <c r="GB46" s="241"/>
      <c r="GC46" s="242"/>
      <c r="GD46" s="242"/>
      <c r="GE46" s="243"/>
      <c r="GF46" s="244">
        <v>0</v>
      </c>
      <c r="GG46" s="120"/>
      <c r="GH46" s="121"/>
      <c r="GI46" s="77"/>
      <c r="GJ46" s="78"/>
      <c r="GK46" s="244">
        <v>0</v>
      </c>
      <c r="GL46" s="241">
        <v>0.95</v>
      </c>
      <c r="GM46" s="262"/>
      <c r="GN46" s="242"/>
      <c r="GO46" s="243"/>
      <c r="GP46" s="244">
        <f t="shared" si="77"/>
        <v>0.95</v>
      </c>
      <c r="GQ46" s="241">
        <v>0.81</v>
      </c>
      <c r="GR46" s="242">
        <v>0.81</v>
      </c>
      <c r="GS46" s="242"/>
      <c r="GT46" s="243"/>
      <c r="GU46" s="244">
        <f>SUM(GQ46:GT46)</f>
        <v>1.62</v>
      </c>
      <c r="GV46" s="241">
        <v>1.5329999999999999</v>
      </c>
      <c r="GW46" s="262"/>
      <c r="GX46" s="242"/>
      <c r="GY46" s="243"/>
      <c r="GZ46" s="244">
        <f>SUM(GV46:GY46)</f>
        <v>1.5329999999999999</v>
      </c>
      <c r="HA46" s="241">
        <v>1.1499999999999999</v>
      </c>
      <c r="HB46" s="242">
        <v>1.56</v>
      </c>
      <c r="HC46" s="242"/>
      <c r="HD46" s="243"/>
      <c r="HE46" s="244">
        <f>SUM(HA46:HD46)</f>
        <v>2.71</v>
      </c>
      <c r="HF46" s="241">
        <v>1.04</v>
      </c>
      <c r="HG46" s="242">
        <v>0.84</v>
      </c>
      <c r="HH46" s="242"/>
      <c r="HI46" s="243"/>
      <c r="HJ46" s="244">
        <f>SUM(HF46:HI46)</f>
        <v>1.88</v>
      </c>
      <c r="HK46" s="241">
        <v>1.3</v>
      </c>
      <c r="HL46" s="242">
        <v>1.47</v>
      </c>
      <c r="HM46" s="242"/>
      <c r="HN46" s="243"/>
      <c r="HO46" s="244">
        <f>SUM(HK46:HN46)</f>
        <v>2.77</v>
      </c>
      <c r="HP46" s="241">
        <v>3.75</v>
      </c>
      <c r="HQ46" s="242">
        <v>4.79</v>
      </c>
      <c r="HR46" s="242"/>
      <c r="HS46" s="243"/>
      <c r="HT46" s="244">
        <f>SUM(HP46:HS46)</f>
        <v>8.5399999999999991</v>
      </c>
      <c r="HU46" s="241">
        <v>3.55</v>
      </c>
      <c r="HV46" s="242">
        <v>2.21</v>
      </c>
      <c r="HW46" s="242"/>
      <c r="HX46" s="243"/>
      <c r="HY46" s="244">
        <f>SUM(HU46:HX46)</f>
        <v>5.76</v>
      </c>
      <c r="HZ46" s="241">
        <v>6.39</v>
      </c>
      <c r="IA46" s="242">
        <v>1.33</v>
      </c>
      <c r="IB46" s="242"/>
      <c r="IC46" s="243"/>
      <c r="ID46" s="244">
        <f>SUM(HZ46:IC46)</f>
        <v>7.72</v>
      </c>
      <c r="IE46" s="233">
        <v>11.64</v>
      </c>
      <c r="IF46" s="234">
        <v>2.88</v>
      </c>
      <c r="IG46" s="234"/>
      <c r="IH46" s="235"/>
      <c r="II46" s="232">
        <f>SUM(IE46:IH46)</f>
        <v>14.52</v>
      </c>
      <c r="IJ46" s="233">
        <v>3.33</v>
      </c>
      <c r="IK46" s="270"/>
      <c r="IL46" s="234"/>
      <c r="IM46" s="235"/>
      <c r="IN46" s="232">
        <f>SUM(IJ46:IM46)</f>
        <v>3.33</v>
      </c>
      <c r="IO46" s="69">
        <v>5.51</v>
      </c>
      <c r="IP46" s="70">
        <v>12.38</v>
      </c>
      <c r="IQ46" s="70"/>
      <c r="IR46" s="71"/>
      <c r="IS46" s="73">
        <f>SUM(IO46:IR46)</f>
        <v>17.89</v>
      </c>
      <c r="IT46" s="69">
        <v>9.5299999999999994</v>
      </c>
      <c r="IU46" s="70">
        <v>3.62</v>
      </c>
      <c r="IV46" s="70"/>
      <c r="IW46" s="71"/>
      <c r="IX46" s="73">
        <f>SUM(IT46:IW46)</f>
        <v>13.149999999999999</v>
      </c>
      <c r="IY46" s="69">
        <v>8.58</v>
      </c>
      <c r="IZ46" s="70">
        <v>5.07</v>
      </c>
      <c r="JA46" s="70"/>
      <c r="JB46" s="71"/>
      <c r="JC46" s="73">
        <f>SUM(IY46:JB46)</f>
        <v>13.65</v>
      </c>
      <c r="JD46" s="69">
        <v>14.69</v>
      </c>
      <c r="JE46" s="70">
        <v>4.5999999999999996</v>
      </c>
      <c r="JF46" s="70"/>
      <c r="JG46" s="71"/>
      <c r="JH46" s="73">
        <f>SUM(JD46:JG46)</f>
        <v>19.29</v>
      </c>
      <c r="JI46" s="69">
        <v>16.850000000000001</v>
      </c>
      <c r="JJ46" s="70">
        <v>12.91</v>
      </c>
      <c r="JK46" s="70"/>
      <c r="JL46" s="71"/>
      <c r="JM46" s="73">
        <f>SUM(JI46:JL46)</f>
        <v>29.76</v>
      </c>
      <c r="JN46" s="69">
        <v>6.55</v>
      </c>
      <c r="JO46" s="70">
        <v>10.39</v>
      </c>
      <c r="JP46" s="70"/>
      <c r="JQ46" s="71"/>
      <c r="JR46" s="73">
        <f>SUM(JN46:JQ46)</f>
        <v>16.940000000000001</v>
      </c>
      <c r="JS46" s="69">
        <v>9.49</v>
      </c>
      <c r="JT46" s="70">
        <v>6.75</v>
      </c>
      <c r="JU46" s="70"/>
      <c r="JV46" s="71"/>
      <c r="JW46" s="73">
        <f>SUM(JS46:JV46)</f>
        <v>16.240000000000002</v>
      </c>
      <c r="JX46" s="69">
        <v>13.52</v>
      </c>
      <c r="JY46" s="70">
        <v>3.68</v>
      </c>
      <c r="JZ46" s="70"/>
      <c r="KA46" s="71"/>
      <c r="KB46" s="73">
        <v>17.2</v>
      </c>
      <c r="KC46" s="69">
        <v>20.21</v>
      </c>
      <c r="KD46" s="70">
        <v>5.08</v>
      </c>
      <c r="KE46" s="70">
        <v>0</v>
      </c>
      <c r="KF46" s="71">
        <v>0</v>
      </c>
      <c r="KG46" s="73">
        <v>25.29</v>
      </c>
      <c r="KH46" s="69">
        <v>20.309999999999999</v>
      </c>
      <c r="KI46" s="70">
        <v>8.25</v>
      </c>
      <c r="KJ46" s="70"/>
      <c r="KK46" s="71"/>
      <c r="KL46" s="73">
        <v>28.56</v>
      </c>
      <c r="KM46" s="479">
        <v>11.84</v>
      </c>
      <c r="KN46" s="480">
        <v>9.36</v>
      </c>
      <c r="KO46" s="70">
        <v>0</v>
      </c>
      <c r="KP46" s="71">
        <v>0</v>
      </c>
      <c r="KQ46" s="73">
        <f t="shared" si="45"/>
        <v>21.2</v>
      </c>
      <c r="KR46" s="69">
        <v>14.02</v>
      </c>
      <c r="KS46" s="70">
        <v>0</v>
      </c>
      <c r="KT46" s="70">
        <v>0</v>
      </c>
      <c r="KU46" s="71">
        <v>0</v>
      </c>
      <c r="KV46" s="73">
        <f t="shared" si="46"/>
        <v>14.02</v>
      </c>
    </row>
    <row r="47" spans="1:308" ht="16.5" customHeight="1" outlineLevel="1" thickBot="1" x14ac:dyDescent="0.3">
      <c r="A47" s="190"/>
      <c r="B47" s="103">
        <v>32</v>
      </c>
      <c r="C47" s="138">
        <v>0</v>
      </c>
      <c r="D47" s="92"/>
      <c r="E47" s="93"/>
      <c r="F47" s="94"/>
      <c r="G47" s="95"/>
      <c r="H47" s="124"/>
      <c r="I47" s="125"/>
      <c r="J47" s="126"/>
      <c r="K47" s="126"/>
      <c r="L47" s="127"/>
      <c r="M47" s="89"/>
      <c r="N47" s="125"/>
      <c r="O47" s="126"/>
      <c r="P47" s="126"/>
      <c r="Q47" s="127"/>
      <c r="R47" s="33"/>
      <c r="S47" s="125"/>
      <c r="T47" s="126"/>
      <c r="U47" s="126"/>
      <c r="V47" s="127"/>
      <c r="W47" s="33"/>
      <c r="X47" s="125"/>
      <c r="Y47" s="126"/>
      <c r="Z47" s="126"/>
      <c r="AA47" s="127"/>
      <c r="AB47" s="33"/>
      <c r="AC47" s="128"/>
      <c r="AD47" s="129"/>
      <c r="AE47" s="129"/>
      <c r="AF47" s="130"/>
      <c r="AG47" s="131"/>
      <c r="AH47" s="118"/>
      <c r="AI47" s="109"/>
      <c r="AJ47" s="109"/>
      <c r="AK47" s="132"/>
      <c r="AL47" s="119"/>
      <c r="AM47" s="112"/>
      <c r="AN47" s="113"/>
      <c r="AO47" s="113"/>
      <c r="AP47" s="42"/>
      <c r="AQ47" s="114"/>
      <c r="AR47" s="112"/>
      <c r="AS47" s="113"/>
      <c r="AT47" s="113"/>
      <c r="AU47" s="115"/>
      <c r="AV47" s="133"/>
      <c r="AW47" s="112"/>
      <c r="AX47" s="113"/>
      <c r="AY47" s="113"/>
      <c r="AZ47" s="115"/>
      <c r="BA47" s="133"/>
      <c r="BB47" s="112"/>
      <c r="BC47" s="113"/>
      <c r="BD47" s="113"/>
      <c r="BE47" s="115"/>
      <c r="BF47" s="133"/>
      <c r="BG47" s="69"/>
      <c r="BH47" s="70"/>
      <c r="BI47" s="70"/>
      <c r="BJ47" s="74"/>
      <c r="BK47" s="73">
        <f t="shared" si="59"/>
        <v>0</v>
      </c>
      <c r="BL47" s="69"/>
      <c r="BM47" s="70"/>
      <c r="BN47" s="70"/>
      <c r="BO47" s="74"/>
      <c r="BP47" s="72">
        <f t="shared" si="52"/>
        <v>0</v>
      </c>
      <c r="BQ47" s="69"/>
      <c r="BR47" s="70"/>
      <c r="BS47" s="70"/>
      <c r="BT47" s="71"/>
      <c r="BU47" s="232">
        <f t="shared" si="9"/>
        <v>0</v>
      </c>
      <c r="BV47" s="233"/>
      <c r="BW47" s="234"/>
      <c r="BX47" s="234"/>
      <c r="BY47" s="235"/>
      <c r="BZ47" s="236">
        <f t="shared" si="10"/>
        <v>0</v>
      </c>
      <c r="CA47" s="237"/>
      <c r="CB47" s="238"/>
      <c r="CC47" s="238"/>
      <c r="CD47" s="239"/>
      <c r="CE47" s="240">
        <f t="shared" si="53"/>
        <v>0</v>
      </c>
      <c r="CF47" s="237"/>
      <c r="CG47" s="238"/>
      <c r="CH47" s="238"/>
      <c r="CI47" s="239"/>
      <c r="CJ47" s="240">
        <f t="shared" si="54"/>
        <v>0</v>
      </c>
      <c r="CK47" s="237"/>
      <c r="CL47" s="238"/>
      <c r="CM47" s="238"/>
      <c r="CN47" s="239"/>
      <c r="CO47" s="244">
        <f t="shared" si="55"/>
        <v>0</v>
      </c>
      <c r="CP47" s="241"/>
      <c r="CQ47" s="242"/>
      <c r="CR47" s="242"/>
      <c r="CS47" s="243"/>
      <c r="CT47" s="244">
        <v>0</v>
      </c>
      <c r="CU47" s="241"/>
      <c r="CV47" s="242"/>
      <c r="CW47" s="242"/>
      <c r="CX47" s="243"/>
      <c r="CY47" s="244">
        <v>0</v>
      </c>
      <c r="CZ47" s="241"/>
      <c r="DA47" s="242"/>
      <c r="DB47" s="242"/>
      <c r="DC47" s="243"/>
      <c r="DD47" s="244">
        <v>0</v>
      </c>
      <c r="DE47" s="241"/>
      <c r="DF47" s="242"/>
      <c r="DG47" s="242"/>
      <c r="DH47" s="243"/>
      <c r="DI47" s="244">
        <v>0</v>
      </c>
      <c r="DJ47" s="241"/>
      <c r="DK47" s="242"/>
      <c r="DL47" s="242"/>
      <c r="DM47" s="243"/>
      <c r="DN47" s="244">
        <v>0</v>
      </c>
      <c r="DO47" s="241"/>
      <c r="DP47" s="242"/>
      <c r="DQ47" s="242"/>
      <c r="DR47" s="243"/>
      <c r="DS47" s="244">
        <v>0</v>
      </c>
      <c r="DT47" s="241"/>
      <c r="DU47" s="242"/>
      <c r="DV47" s="242"/>
      <c r="DW47" s="243"/>
      <c r="DX47" s="244">
        <v>0</v>
      </c>
      <c r="DY47" s="76"/>
      <c r="DZ47" s="77"/>
      <c r="EA47" s="77"/>
      <c r="EB47" s="78"/>
      <c r="EC47" s="244">
        <v>0</v>
      </c>
      <c r="ED47" s="241"/>
      <c r="EE47" s="242"/>
      <c r="EF47" s="242"/>
      <c r="EG47" s="243"/>
      <c r="EH47" s="244">
        <v>0</v>
      </c>
      <c r="EI47" s="241"/>
      <c r="EJ47" s="242"/>
      <c r="EK47" s="242"/>
      <c r="EL47" s="243"/>
      <c r="EM47" s="244">
        <v>0</v>
      </c>
      <c r="EN47" s="241"/>
      <c r="EO47" s="242"/>
      <c r="EP47" s="242"/>
      <c r="EQ47" s="243"/>
      <c r="ER47" s="244">
        <v>0</v>
      </c>
      <c r="ES47" s="241"/>
      <c r="ET47" s="242"/>
      <c r="EU47" s="242"/>
      <c r="EV47" s="243"/>
      <c r="EW47" s="244">
        <v>0</v>
      </c>
      <c r="EX47" s="241"/>
      <c r="EY47" s="242"/>
      <c r="EZ47" s="242"/>
      <c r="FA47" s="243"/>
      <c r="FB47" s="244">
        <v>0</v>
      </c>
      <c r="FC47" s="241"/>
      <c r="FD47" s="242"/>
      <c r="FE47" s="242"/>
      <c r="FF47" s="243"/>
      <c r="FG47" s="244">
        <v>0</v>
      </c>
      <c r="FH47" s="241"/>
      <c r="FI47" s="242"/>
      <c r="FJ47" s="242"/>
      <c r="FK47" s="243"/>
      <c r="FL47" s="244">
        <v>0</v>
      </c>
      <c r="FM47" s="241"/>
      <c r="FN47" s="242"/>
      <c r="FO47" s="242"/>
      <c r="FP47" s="243"/>
      <c r="FQ47" s="244">
        <v>0</v>
      </c>
      <c r="FR47" s="241"/>
      <c r="FS47" s="242"/>
      <c r="FT47" s="242"/>
      <c r="FU47" s="243"/>
      <c r="FV47" s="244">
        <v>0</v>
      </c>
      <c r="FW47" s="241"/>
      <c r="FX47" s="242"/>
      <c r="FY47" s="242"/>
      <c r="FZ47" s="243"/>
      <c r="GA47" s="244">
        <v>0</v>
      </c>
      <c r="GB47" s="241"/>
      <c r="GC47" s="242"/>
      <c r="GD47" s="242"/>
      <c r="GE47" s="243"/>
      <c r="GF47" s="244">
        <v>0</v>
      </c>
      <c r="GG47" s="76"/>
      <c r="GH47" s="77"/>
      <c r="GI47" s="77"/>
      <c r="GJ47" s="78"/>
      <c r="GK47" s="244">
        <v>0</v>
      </c>
      <c r="GL47" s="241"/>
      <c r="GM47" s="242"/>
      <c r="GN47" s="242"/>
      <c r="GO47" s="243"/>
      <c r="GP47" s="244">
        <v>0</v>
      </c>
      <c r="GQ47" s="241"/>
      <c r="GR47" s="242"/>
      <c r="GS47" s="242"/>
      <c r="GT47" s="243"/>
      <c r="GU47" s="244">
        <v>0</v>
      </c>
      <c r="GV47" s="241"/>
      <c r="GW47" s="242"/>
      <c r="GX47" s="242"/>
      <c r="GY47" s="243"/>
      <c r="GZ47" s="244">
        <v>0</v>
      </c>
      <c r="HA47" s="241"/>
      <c r="HB47" s="242"/>
      <c r="HC47" s="242"/>
      <c r="HD47" s="243"/>
      <c r="HE47" s="244">
        <v>0</v>
      </c>
      <c r="HF47" s="241"/>
      <c r="HG47" s="242"/>
      <c r="HH47" s="242"/>
      <c r="HI47" s="243"/>
      <c r="HJ47" s="244">
        <v>0</v>
      </c>
      <c r="HK47" s="241"/>
      <c r="HL47" s="242"/>
      <c r="HM47" s="242"/>
      <c r="HN47" s="243"/>
      <c r="HO47" s="244">
        <v>0</v>
      </c>
      <c r="HP47" s="241"/>
      <c r="HQ47" s="242"/>
      <c r="HR47" s="242"/>
      <c r="HS47" s="243"/>
      <c r="HT47" s="244">
        <v>0</v>
      </c>
      <c r="HU47" s="241"/>
      <c r="HV47" s="242"/>
      <c r="HW47" s="242"/>
      <c r="HX47" s="243"/>
      <c r="HY47" s="244">
        <v>0</v>
      </c>
      <c r="HZ47" s="241"/>
      <c r="IA47" s="242"/>
      <c r="IB47" s="242"/>
      <c r="IC47" s="243"/>
      <c r="ID47" s="244">
        <v>0</v>
      </c>
      <c r="IE47" s="233"/>
      <c r="IF47" s="234"/>
      <c r="IG47" s="234"/>
      <c r="IH47" s="235"/>
      <c r="II47" s="232">
        <v>0</v>
      </c>
      <c r="IJ47" s="233"/>
      <c r="IK47" s="234"/>
      <c r="IL47" s="234"/>
      <c r="IM47" s="235"/>
      <c r="IN47" s="232">
        <v>0</v>
      </c>
      <c r="IO47" s="69"/>
      <c r="IP47" s="70"/>
      <c r="IQ47" s="70"/>
      <c r="IR47" s="71"/>
      <c r="IS47" s="73">
        <v>0</v>
      </c>
      <c r="IT47" s="69"/>
      <c r="IU47" s="70"/>
      <c r="IV47" s="70"/>
      <c r="IW47" s="71"/>
      <c r="IX47" s="73">
        <v>0</v>
      </c>
      <c r="IY47" s="69"/>
      <c r="IZ47" s="70"/>
      <c r="JA47" s="70"/>
      <c r="JB47" s="71"/>
      <c r="JC47" s="73">
        <v>0</v>
      </c>
      <c r="JD47" s="69"/>
      <c r="JE47" s="70"/>
      <c r="JF47" s="70"/>
      <c r="JG47" s="71"/>
      <c r="JH47" s="73">
        <v>0</v>
      </c>
      <c r="JI47" s="69"/>
      <c r="JJ47" s="70"/>
      <c r="JK47" s="70"/>
      <c r="JL47" s="71"/>
      <c r="JM47" s="73">
        <v>0</v>
      </c>
      <c r="JN47" s="69"/>
      <c r="JO47" s="70"/>
      <c r="JP47" s="70"/>
      <c r="JQ47" s="71"/>
      <c r="JR47" s="73">
        <v>0</v>
      </c>
      <c r="JS47" s="69"/>
      <c r="JT47" s="70"/>
      <c r="JU47" s="70"/>
      <c r="JV47" s="71"/>
      <c r="JW47" s="73">
        <v>0</v>
      </c>
      <c r="JX47" s="69"/>
      <c r="JY47" s="70"/>
      <c r="JZ47" s="70"/>
      <c r="KA47" s="71"/>
      <c r="KB47" s="73">
        <v>0</v>
      </c>
      <c r="KC47" s="69"/>
      <c r="KD47" s="70"/>
      <c r="KE47" s="70"/>
      <c r="KF47" s="71"/>
      <c r="KG47" s="73">
        <v>0</v>
      </c>
      <c r="KH47" s="69"/>
      <c r="KI47" s="70"/>
      <c r="KJ47" s="70"/>
      <c r="KK47" s="71"/>
      <c r="KL47" s="73">
        <v>0</v>
      </c>
      <c r="KM47" s="479" t="s">
        <v>102</v>
      </c>
      <c r="KN47" s="480" t="s">
        <v>102</v>
      </c>
      <c r="KO47" s="70" t="s">
        <v>102</v>
      </c>
      <c r="KP47" s="71" t="s">
        <v>102</v>
      </c>
      <c r="KQ47" s="73">
        <f t="shared" si="45"/>
        <v>0</v>
      </c>
      <c r="KR47" s="69" t="s">
        <v>102</v>
      </c>
      <c r="KS47" s="70" t="s">
        <v>102</v>
      </c>
      <c r="KT47" s="70" t="s">
        <v>102</v>
      </c>
      <c r="KU47" s="71" t="s">
        <v>102</v>
      </c>
      <c r="KV47" s="73">
        <f t="shared" si="46"/>
        <v>0</v>
      </c>
    </row>
    <row r="48" spans="1:308" ht="15.75" x14ac:dyDescent="0.25">
      <c r="A48" s="91" t="s">
        <v>31</v>
      </c>
      <c r="B48" s="23" t="s">
        <v>32</v>
      </c>
      <c r="C48" s="24">
        <v>28.72</v>
      </c>
      <c r="D48" s="139"/>
      <c r="E48" s="140"/>
      <c r="F48" s="141"/>
      <c r="G48" s="142"/>
      <c r="H48" s="61"/>
      <c r="I48" s="76"/>
      <c r="J48" s="63"/>
      <c r="K48" s="63"/>
      <c r="L48" s="64"/>
      <c r="M48" s="75"/>
      <c r="N48" s="76"/>
      <c r="O48" s="63"/>
      <c r="P48" s="63"/>
      <c r="Q48" s="64"/>
      <c r="R48" s="75"/>
      <c r="S48" s="76"/>
      <c r="T48" s="63"/>
      <c r="U48" s="63"/>
      <c r="V48" s="64"/>
      <c r="W48" s="75"/>
      <c r="X48" s="76"/>
      <c r="Y48" s="63"/>
      <c r="Z48" s="63"/>
      <c r="AA48" s="64"/>
      <c r="AB48" s="75"/>
      <c r="AC48" s="96"/>
      <c r="AD48" s="66"/>
      <c r="AE48" s="66"/>
      <c r="AF48" s="143"/>
      <c r="AG48" s="143"/>
      <c r="AH48" s="144"/>
      <c r="AI48" s="67"/>
      <c r="AJ48" s="67"/>
      <c r="AK48" s="145"/>
      <c r="AL48" s="146">
        <f>SUM(AH48:AK48)</f>
        <v>0</v>
      </c>
      <c r="AM48" s="147"/>
      <c r="AN48" s="71"/>
      <c r="AO48" s="71"/>
      <c r="AP48" s="148"/>
      <c r="AQ48" s="73">
        <f>SUM(AM48:AP48)</f>
        <v>0</v>
      </c>
      <c r="AR48" s="147">
        <v>3.95</v>
      </c>
      <c r="AS48" s="71">
        <v>5.3</v>
      </c>
      <c r="AT48" s="71"/>
      <c r="AU48" s="148"/>
      <c r="AV48" s="73">
        <f>SUM(AR48:AU48)</f>
        <v>9.25</v>
      </c>
      <c r="AW48" s="147">
        <v>4.4800000000000004</v>
      </c>
      <c r="AX48" s="71">
        <v>2.92</v>
      </c>
      <c r="AY48" s="71"/>
      <c r="AZ48" s="148"/>
      <c r="BA48" s="73">
        <f>SUM(AW48:AZ48)</f>
        <v>7.4</v>
      </c>
      <c r="BB48" s="147">
        <v>4.83</v>
      </c>
      <c r="BC48" s="71"/>
      <c r="BD48" s="71"/>
      <c r="BE48" s="148"/>
      <c r="BF48" s="73">
        <f>SUM(BB48:BE48)</f>
        <v>4.83</v>
      </c>
      <c r="BG48" s="69">
        <v>4.24</v>
      </c>
      <c r="BH48" s="70">
        <v>3.78</v>
      </c>
      <c r="BI48" s="70"/>
      <c r="BJ48" s="74"/>
      <c r="BK48" s="73">
        <f t="shared" si="51"/>
        <v>8.02</v>
      </c>
      <c r="BL48" s="69">
        <v>1.78</v>
      </c>
      <c r="BM48" s="70">
        <v>1.84</v>
      </c>
      <c r="BN48" s="70">
        <v>0.85</v>
      </c>
      <c r="BO48" s="74"/>
      <c r="BP48" s="72">
        <f t="shared" si="52"/>
        <v>4.47</v>
      </c>
      <c r="BQ48" s="69">
        <v>4.18</v>
      </c>
      <c r="BR48" s="70">
        <v>0.22</v>
      </c>
      <c r="BS48" s="70"/>
      <c r="BT48" s="71"/>
      <c r="BU48" s="232">
        <f>SUM(BQ48:BT48)</f>
        <v>4.3999999999999995</v>
      </c>
      <c r="BV48" s="233">
        <v>5.31</v>
      </c>
      <c r="BW48" s="234"/>
      <c r="BX48" s="234"/>
      <c r="BY48" s="235"/>
      <c r="BZ48" s="236">
        <f>SUM(BV48:BY48)</f>
        <v>5.31</v>
      </c>
      <c r="CA48" s="237">
        <v>7.9</v>
      </c>
      <c r="CB48" s="238"/>
      <c r="CC48" s="238"/>
      <c r="CD48" s="239"/>
      <c r="CE48" s="240">
        <f t="shared" si="53"/>
        <v>7.9</v>
      </c>
      <c r="CF48" s="237">
        <v>3.74</v>
      </c>
      <c r="CG48" s="238"/>
      <c r="CH48" s="238"/>
      <c r="CI48" s="239"/>
      <c r="CJ48" s="240">
        <f t="shared" si="54"/>
        <v>3.74</v>
      </c>
      <c r="CK48" s="237">
        <v>14.8</v>
      </c>
      <c r="CL48" s="238">
        <v>1.38</v>
      </c>
      <c r="CM48" s="238"/>
      <c r="CN48" s="239"/>
      <c r="CO48" s="240">
        <f t="shared" si="55"/>
        <v>16.18</v>
      </c>
      <c r="CP48" s="241">
        <v>21.09</v>
      </c>
      <c r="CQ48" s="242">
        <v>1.61</v>
      </c>
      <c r="CR48" s="242"/>
      <c r="CS48" s="243"/>
      <c r="CT48" s="244">
        <v>22.7</v>
      </c>
      <c r="CU48" s="241">
        <v>13.99</v>
      </c>
      <c r="CV48" s="242">
        <v>4.5</v>
      </c>
      <c r="CW48" s="242"/>
      <c r="CX48" s="243"/>
      <c r="CY48" s="244">
        <f>SUM(CU48:CX48)</f>
        <v>18.490000000000002</v>
      </c>
      <c r="CZ48" s="241">
        <v>17.68</v>
      </c>
      <c r="DA48" s="242"/>
      <c r="DB48" s="242"/>
      <c r="DC48" s="243"/>
      <c r="DD48" s="244">
        <f>SUM(CZ48:DC48)</f>
        <v>17.68</v>
      </c>
      <c r="DE48" s="241">
        <v>13.52</v>
      </c>
      <c r="DF48" s="242">
        <v>8.17</v>
      </c>
      <c r="DG48" s="242"/>
      <c r="DH48" s="243"/>
      <c r="DI48" s="244">
        <f>SUM(DE48:DH48)</f>
        <v>21.689999999999998</v>
      </c>
      <c r="DJ48" s="241">
        <v>11.3</v>
      </c>
      <c r="DK48" s="242">
        <v>21.89</v>
      </c>
      <c r="DL48" s="242"/>
      <c r="DM48" s="243"/>
      <c r="DN48" s="244">
        <f>SUM(DJ48:DM48)</f>
        <v>33.19</v>
      </c>
      <c r="DO48" s="241">
        <v>20.69</v>
      </c>
      <c r="DP48" s="242"/>
      <c r="DQ48" s="242"/>
      <c r="DR48" s="243"/>
      <c r="DS48" s="244">
        <f>SUM(DO48:DR48)</f>
        <v>20.69</v>
      </c>
      <c r="DT48" s="241">
        <v>20.84</v>
      </c>
      <c r="DU48" s="242"/>
      <c r="DV48" s="242"/>
      <c r="DW48" s="243"/>
      <c r="DX48" s="244">
        <f>SUM(DT48:DW48)</f>
        <v>20.84</v>
      </c>
      <c r="DY48" s="76">
        <v>15.65</v>
      </c>
      <c r="DZ48" s="77">
        <v>3.9</v>
      </c>
      <c r="EA48" s="77"/>
      <c r="EB48" s="78"/>
      <c r="EC48" s="244">
        <f>SUM(DY48:EB48)</f>
        <v>19.55</v>
      </c>
      <c r="ED48" s="241">
        <v>7.99</v>
      </c>
      <c r="EE48" s="242">
        <v>11.48</v>
      </c>
      <c r="EF48" s="242"/>
      <c r="EG48" s="243"/>
      <c r="EH48" s="244">
        <f>SUM(ED48:EG48)</f>
        <v>19.47</v>
      </c>
      <c r="EI48" s="241">
        <v>3.09</v>
      </c>
      <c r="EJ48" s="242">
        <v>8.85</v>
      </c>
      <c r="EK48" s="242"/>
      <c r="EL48" s="243"/>
      <c r="EM48" s="244">
        <f>SUM(EI48:EL48)</f>
        <v>11.94</v>
      </c>
      <c r="EN48" s="241">
        <v>14.39</v>
      </c>
      <c r="EO48" s="242">
        <v>17.36</v>
      </c>
      <c r="EP48" s="242"/>
      <c r="EQ48" s="243"/>
      <c r="ER48" s="244">
        <f>SUM(EN48:EQ48)</f>
        <v>31.75</v>
      </c>
      <c r="ES48" s="241">
        <v>19.45</v>
      </c>
      <c r="ET48" s="242"/>
      <c r="EU48" s="242"/>
      <c r="EV48" s="243"/>
      <c r="EW48" s="244">
        <f>SUM(ES48:EV48)</f>
        <v>19.45</v>
      </c>
      <c r="EX48" s="241">
        <v>16.739999999999998</v>
      </c>
      <c r="EY48" s="242">
        <v>17.72</v>
      </c>
      <c r="EZ48" s="242"/>
      <c r="FA48" s="243"/>
      <c r="FB48" s="244">
        <f>SUM(EX48:FA48)</f>
        <v>34.459999999999994</v>
      </c>
      <c r="FC48" s="241">
        <v>4.2300000000000004</v>
      </c>
      <c r="FD48" s="242">
        <v>17.59</v>
      </c>
      <c r="FE48" s="242"/>
      <c r="FF48" s="243"/>
      <c r="FG48" s="244">
        <f>SUM(FC48:FF48)</f>
        <v>21.82</v>
      </c>
      <c r="FH48" s="241">
        <v>19.89</v>
      </c>
      <c r="FI48" s="242">
        <v>16.329999999999998</v>
      </c>
      <c r="FJ48" s="242"/>
      <c r="FK48" s="243"/>
      <c r="FL48" s="244">
        <f>SUM(FH48:FK48)</f>
        <v>36.22</v>
      </c>
      <c r="FM48" s="241">
        <v>12.46</v>
      </c>
      <c r="FN48" s="242">
        <v>14.33</v>
      </c>
      <c r="FO48" s="242"/>
      <c r="FP48" s="243"/>
      <c r="FQ48" s="244">
        <f>SUM(FM48:FP48)</f>
        <v>26.79</v>
      </c>
      <c r="FR48" s="241">
        <v>15.27</v>
      </c>
      <c r="FS48" s="242">
        <v>18.04</v>
      </c>
      <c r="FT48" s="242"/>
      <c r="FU48" s="243"/>
      <c r="FV48" s="244">
        <f>SUM(FR48:FU48)</f>
        <v>33.31</v>
      </c>
      <c r="FW48" s="241">
        <v>21.06</v>
      </c>
      <c r="FX48" s="242">
        <v>14.28</v>
      </c>
      <c r="FY48" s="242"/>
      <c r="FZ48" s="243"/>
      <c r="GA48" s="244">
        <f>SUM(FW48:FZ48)</f>
        <v>35.339999999999996</v>
      </c>
      <c r="GB48" s="241">
        <v>14.06</v>
      </c>
      <c r="GC48" s="242">
        <v>11.13</v>
      </c>
      <c r="GD48" s="242"/>
      <c r="GE48" s="243"/>
      <c r="GF48" s="244">
        <f>SUM(GB48:GE48)</f>
        <v>25.19</v>
      </c>
      <c r="GG48" s="76">
        <v>11.13</v>
      </c>
      <c r="GH48" s="77">
        <v>9.5299999999999994</v>
      </c>
      <c r="GI48" s="77"/>
      <c r="GJ48" s="78"/>
      <c r="GK48" s="244">
        <f>SUM(GG48:GJ48)</f>
        <v>20.66</v>
      </c>
      <c r="GL48" s="241">
        <v>8.89</v>
      </c>
      <c r="GM48" s="242">
        <v>6.29</v>
      </c>
      <c r="GN48" s="242"/>
      <c r="GO48" s="243"/>
      <c r="GP48" s="244">
        <f>SUM(GL48:GO48)</f>
        <v>15.18</v>
      </c>
      <c r="GQ48" s="241">
        <v>9.2100000000000009</v>
      </c>
      <c r="GR48" s="242">
        <v>4.18</v>
      </c>
      <c r="GS48" s="242"/>
      <c r="GT48" s="243"/>
      <c r="GU48" s="244">
        <f>SUM(GQ48:GT48)</f>
        <v>13.39</v>
      </c>
      <c r="GV48" s="241">
        <v>12.96</v>
      </c>
      <c r="GW48" s="242">
        <v>10.77</v>
      </c>
      <c r="GX48" s="242"/>
      <c r="GY48" s="243"/>
      <c r="GZ48" s="244">
        <f>SUM(GV48:GY48)</f>
        <v>23.73</v>
      </c>
      <c r="HA48" s="241">
        <v>16.489999999999998</v>
      </c>
      <c r="HB48" s="242">
        <v>9.48</v>
      </c>
      <c r="HC48" s="242"/>
      <c r="HD48" s="243"/>
      <c r="HE48" s="244">
        <f>SUM(HA48:HD48)</f>
        <v>25.97</v>
      </c>
      <c r="HF48" s="241">
        <v>21.71</v>
      </c>
      <c r="HG48" s="242">
        <v>8.4600000000000009</v>
      </c>
      <c r="HH48" s="242"/>
      <c r="HI48" s="243"/>
      <c r="HJ48" s="244">
        <f>SUM(HF48:HI48)</f>
        <v>30.17</v>
      </c>
      <c r="HK48" s="241">
        <v>4.7300000000000004</v>
      </c>
      <c r="HL48" s="242">
        <v>14.86</v>
      </c>
      <c r="HM48" s="242">
        <v>4.1900000000000004</v>
      </c>
      <c r="HN48" s="243"/>
      <c r="HO48" s="244">
        <f>SUM(HK48:HN48)</f>
        <v>23.78</v>
      </c>
      <c r="HP48" s="241">
        <v>14.31</v>
      </c>
      <c r="HQ48" s="242">
        <v>23.55</v>
      </c>
      <c r="HR48" s="242"/>
      <c r="HS48" s="243"/>
      <c r="HT48" s="244">
        <f>SUM(HP48:HS48)</f>
        <v>37.86</v>
      </c>
      <c r="HU48" s="241">
        <v>21.87</v>
      </c>
      <c r="HV48" s="242">
        <v>23.98</v>
      </c>
      <c r="HW48" s="242"/>
      <c r="HX48" s="243"/>
      <c r="HY48" s="244">
        <f>SUM(HU48:HX48)</f>
        <v>45.85</v>
      </c>
      <c r="HZ48" s="241">
        <v>29.02</v>
      </c>
      <c r="IA48" s="242">
        <v>18.73</v>
      </c>
      <c r="IB48" s="242"/>
      <c r="IC48" s="243"/>
      <c r="ID48" s="244">
        <f>SUM(HZ48:IC48)</f>
        <v>47.75</v>
      </c>
      <c r="IE48" s="233">
        <v>26.46</v>
      </c>
      <c r="IF48" s="234">
        <v>17.61</v>
      </c>
      <c r="IG48" s="234"/>
      <c r="IH48" s="235"/>
      <c r="II48" s="232">
        <f>SUM(IE48:IH48)</f>
        <v>44.07</v>
      </c>
      <c r="IJ48" s="233">
        <v>20.59</v>
      </c>
      <c r="IK48" s="234">
        <v>10.199999999999999</v>
      </c>
      <c r="IL48" s="234"/>
      <c r="IM48" s="235"/>
      <c r="IN48" s="232">
        <f>SUM(IJ48:IM48)</f>
        <v>30.79</v>
      </c>
      <c r="IO48" s="69">
        <v>9.4600000000000009</v>
      </c>
      <c r="IP48" s="70">
        <v>21.96</v>
      </c>
      <c r="IQ48" s="70"/>
      <c r="IR48" s="71"/>
      <c r="IS48" s="73">
        <f>SUM(IO48:IR48)</f>
        <v>31.42</v>
      </c>
      <c r="IT48" s="69">
        <v>23.3</v>
      </c>
      <c r="IU48" s="70">
        <v>5.86</v>
      </c>
      <c r="IV48" s="70"/>
      <c r="IW48" s="71"/>
      <c r="IX48" s="73">
        <f>SUM(IT48:IW48)</f>
        <v>29.16</v>
      </c>
      <c r="IY48" s="69">
        <v>20.6</v>
      </c>
      <c r="IZ48" s="70">
        <v>16.95</v>
      </c>
      <c r="JA48" s="70"/>
      <c r="JB48" s="71"/>
      <c r="JC48" s="73">
        <f>SUM(IY48:JB48)</f>
        <v>37.549999999999997</v>
      </c>
      <c r="JD48" s="69">
        <v>19.89</v>
      </c>
      <c r="JE48" s="70">
        <v>13.65</v>
      </c>
      <c r="JF48" s="70"/>
      <c r="JG48" s="71"/>
      <c r="JH48" s="73">
        <f>SUM(JD48:JG48)</f>
        <v>33.54</v>
      </c>
      <c r="JI48" s="69">
        <v>23.47</v>
      </c>
      <c r="JJ48" s="70">
        <v>26.73</v>
      </c>
      <c r="JK48" s="70"/>
      <c r="JL48" s="71"/>
      <c r="JM48" s="73">
        <f>SUM(JI48:JL48)</f>
        <v>50.2</v>
      </c>
      <c r="JN48" s="69">
        <v>4.6399999999999997</v>
      </c>
      <c r="JO48" s="70">
        <v>22.49</v>
      </c>
      <c r="JP48" s="70"/>
      <c r="JQ48" s="71"/>
      <c r="JR48" s="73">
        <f>SUM(JN48:JQ48)</f>
        <v>27.13</v>
      </c>
      <c r="JS48" s="69">
        <v>17.079999999999998</v>
      </c>
      <c r="JT48" s="70">
        <v>17.260000000000002</v>
      </c>
      <c r="JU48" s="70"/>
      <c r="JV48" s="71"/>
      <c r="JW48" s="73">
        <f>SUM(JS48:JV48)</f>
        <v>34.340000000000003</v>
      </c>
      <c r="JX48" s="69">
        <v>23.57</v>
      </c>
      <c r="JY48" s="70">
        <v>9.56</v>
      </c>
      <c r="JZ48" s="70"/>
      <c r="KA48" s="71"/>
      <c r="KB48" s="73">
        <v>33.130000000000003</v>
      </c>
      <c r="KC48" s="69">
        <v>27.34</v>
      </c>
      <c r="KD48" s="70">
        <v>13.6</v>
      </c>
      <c r="KE48" s="70">
        <v>0</v>
      </c>
      <c r="KF48" s="71">
        <v>0</v>
      </c>
      <c r="KG48" s="73">
        <v>40.94</v>
      </c>
      <c r="KH48" s="69">
        <v>30.77</v>
      </c>
      <c r="KI48" s="70">
        <v>23.62</v>
      </c>
      <c r="KJ48" s="70"/>
      <c r="KK48" s="71"/>
      <c r="KL48" s="73">
        <v>54.39</v>
      </c>
      <c r="KM48" s="479">
        <v>27.73</v>
      </c>
      <c r="KN48" s="480">
        <v>28.55</v>
      </c>
      <c r="KO48" s="70">
        <v>0</v>
      </c>
      <c r="KP48" s="71">
        <v>0</v>
      </c>
      <c r="KQ48" s="73">
        <f t="shared" si="45"/>
        <v>56.28</v>
      </c>
      <c r="KR48" s="69">
        <v>24.580000000000002</v>
      </c>
      <c r="KS48" s="70">
        <v>25.439999999999998</v>
      </c>
      <c r="KT48" s="70">
        <v>0</v>
      </c>
      <c r="KU48" s="71">
        <v>0</v>
      </c>
      <c r="KV48" s="73">
        <f t="shared" si="46"/>
        <v>50.019999999999996</v>
      </c>
    </row>
    <row r="49" spans="1:308" ht="16.5" thickBot="1" x14ac:dyDescent="0.3">
      <c r="A49" s="190"/>
      <c r="B49" s="103">
        <v>39</v>
      </c>
      <c r="C49" s="90">
        <v>4.5</v>
      </c>
      <c r="D49" s="92"/>
      <c r="E49" s="93"/>
      <c r="F49" s="94"/>
      <c r="G49" s="95"/>
      <c r="H49" s="124"/>
      <c r="I49" s="125"/>
      <c r="J49" s="126"/>
      <c r="K49" s="126"/>
      <c r="L49" s="127"/>
      <c r="M49" s="89"/>
      <c r="N49" s="125"/>
      <c r="O49" s="126"/>
      <c r="P49" s="126"/>
      <c r="Q49" s="127"/>
      <c r="R49" s="89"/>
      <c r="S49" s="125"/>
      <c r="T49" s="126"/>
      <c r="U49" s="126"/>
      <c r="V49" s="127"/>
      <c r="W49" s="89"/>
      <c r="X49" s="125"/>
      <c r="Y49" s="126"/>
      <c r="Z49" s="126"/>
      <c r="AA49" s="127"/>
      <c r="AB49" s="89"/>
      <c r="AC49" s="128"/>
      <c r="AD49" s="129"/>
      <c r="AE49" s="129"/>
      <c r="AF49" s="130"/>
      <c r="AG49" s="149"/>
      <c r="AH49" s="128"/>
      <c r="AI49" s="129"/>
      <c r="AJ49" s="129"/>
      <c r="AK49" s="130"/>
      <c r="AL49" s="150">
        <f>SUM(AH49:AK49)</f>
        <v>0</v>
      </c>
      <c r="AM49" s="151"/>
      <c r="AN49" s="152"/>
      <c r="AO49" s="152"/>
      <c r="AP49" s="42"/>
      <c r="AQ49" s="114">
        <f>SUM(AM49:AP49)</f>
        <v>0</v>
      </c>
      <c r="AR49" s="151">
        <v>1.71</v>
      </c>
      <c r="AS49" s="152"/>
      <c r="AT49" s="152"/>
      <c r="AU49" s="153"/>
      <c r="AV49" s="154">
        <f>SUM(AR49:AU49)</f>
        <v>1.71</v>
      </c>
      <c r="AW49" s="151">
        <v>1.37</v>
      </c>
      <c r="AX49" s="152"/>
      <c r="AY49" s="152"/>
      <c r="AZ49" s="153"/>
      <c r="BA49" s="154">
        <f>SUM(AW49:AZ49)</f>
        <v>1.37</v>
      </c>
      <c r="BB49" s="151">
        <v>1.29</v>
      </c>
      <c r="BC49" s="152"/>
      <c r="BD49" s="152"/>
      <c r="BE49" s="153"/>
      <c r="BF49" s="154">
        <f>SUM(BB49:BE49)</f>
        <v>1.29</v>
      </c>
      <c r="BG49" s="151">
        <v>1.67</v>
      </c>
      <c r="BH49" s="152"/>
      <c r="BI49" s="152"/>
      <c r="BJ49" s="155"/>
      <c r="BK49" s="155">
        <f>SUM(BG49:BJ49)</f>
        <v>1.67</v>
      </c>
      <c r="BL49" s="151">
        <v>1.2</v>
      </c>
      <c r="BM49" s="152"/>
      <c r="BN49" s="152"/>
      <c r="BO49" s="155"/>
      <c r="BP49" s="42">
        <f>SUM(BL49:BO49)</f>
        <v>1.2</v>
      </c>
      <c r="BQ49" s="69">
        <v>1.17</v>
      </c>
      <c r="BR49" s="70">
        <v>1.02</v>
      </c>
      <c r="BS49" s="70"/>
      <c r="BT49" s="71"/>
      <c r="BU49" s="232">
        <f>SUM(BQ49:BT49)</f>
        <v>2.19</v>
      </c>
      <c r="BV49" s="233">
        <v>0.74</v>
      </c>
      <c r="BW49" s="234"/>
      <c r="BX49" s="234"/>
      <c r="BY49" s="235"/>
      <c r="BZ49" s="236">
        <f>SUM(BV49:BY49)</f>
        <v>0.74</v>
      </c>
      <c r="CA49" s="248"/>
      <c r="CB49" s="249"/>
      <c r="CC49" s="249"/>
      <c r="CD49" s="250"/>
      <c r="CE49" s="251">
        <f t="shared" si="53"/>
        <v>0</v>
      </c>
      <c r="CF49" s="248"/>
      <c r="CG49" s="249"/>
      <c r="CH49" s="249"/>
      <c r="CI49" s="250"/>
      <c r="CJ49" s="251">
        <f t="shared" si="54"/>
        <v>0</v>
      </c>
      <c r="CK49" s="248">
        <v>1.65</v>
      </c>
      <c r="CL49" s="249">
        <v>0.6</v>
      </c>
      <c r="CM49" s="249"/>
      <c r="CN49" s="250"/>
      <c r="CO49" s="251">
        <f t="shared" si="55"/>
        <v>2.25</v>
      </c>
      <c r="CP49" s="252">
        <v>0.7</v>
      </c>
      <c r="CQ49" s="253">
        <v>0.7</v>
      </c>
      <c r="CR49" s="253"/>
      <c r="CS49" s="254"/>
      <c r="CT49" s="255">
        <v>1.4</v>
      </c>
      <c r="CU49" s="252">
        <v>0.62</v>
      </c>
      <c r="CV49" s="253">
        <v>0.87</v>
      </c>
      <c r="CW49" s="253"/>
      <c r="CX49" s="254"/>
      <c r="CY49" s="255">
        <f>SUM(CU49:CX49)</f>
        <v>1.49</v>
      </c>
      <c r="CZ49" s="252">
        <v>0.45</v>
      </c>
      <c r="DA49" s="253">
        <v>1.34</v>
      </c>
      <c r="DB49" s="253"/>
      <c r="DC49" s="254"/>
      <c r="DD49" s="255">
        <f>SUM(CZ49:DC49)</f>
        <v>1.79</v>
      </c>
      <c r="DE49" s="252"/>
      <c r="DF49" s="253"/>
      <c r="DG49" s="253"/>
      <c r="DH49" s="254"/>
      <c r="DI49" s="255">
        <f>SUM(DE49:DH49)</f>
        <v>0</v>
      </c>
      <c r="DJ49" s="252">
        <v>1.5</v>
      </c>
      <c r="DK49" s="253"/>
      <c r="DL49" s="253"/>
      <c r="DM49" s="254"/>
      <c r="DN49" s="255">
        <f>SUM(DJ49:DM49)</f>
        <v>1.5</v>
      </c>
      <c r="DO49" s="252">
        <v>1.6</v>
      </c>
      <c r="DP49" s="253">
        <v>0.96</v>
      </c>
      <c r="DQ49" s="253"/>
      <c r="DR49" s="254"/>
      <c r="DS49" s="255">
        <f>SUM(DO49:DR49)</f>
        <v>2.56</v>
      </c>
      <c r="DT49" s="252"/>
      <c r="DU49" s="253"/>
      <c r="DV49" s="253"/>
      <c r="DW49" s="254"/>
      <c r="DX49" s="255">
        <f>SUM(DT49:DW49)</f>
        <v>0</v>
      </c>
      <c r="DY49" s="117">
        <v>2.0499999999999998</v>
      </c>
      <c r="DZ49" s="156"/>
      <c r="EA49" s="156"/>
      <c r="EB49" s="157"/>
      <c r="EC49" s="255">
        <f>SUM(DY49:EB49)</f>
        <v>2.0499999999999998</v>
      </c>
      <c r="ED49" s="252"/>
      <c r="EE49" s="253"/>
      <c r="EF49" s="253"/>
      <c r="EG49" s="254"/>
      <c r="EH49" s="255">
        <f>SUM(ED49:EG49)</f>
        <v>0</v>
      </c>
      <c r="EI49" s="252"/>
      <c r="EJ49" s="253"/>
      <c r="EK49" s="253"/>
      <c r="EL49" s="254"/>
      <c r="EM49" s="255">
        <f>SUM(EI49:EL49)</f>
        <v>0</v>
      </c>
      <c r="EN49" s="252">
        <v>0.98</v>
      </c>
      <c r="EO49" s="253"/>
      <c r="EP49" s="253"/>
      <c r="EQ49" s="254"/>
      <c r="ER49" s="255">
        <f>SUM(EN49:EQ49)</f>
        <v>0.98</v>
      </c>
      <c r="ES49" s="252">
        <v>0.6</v>
      </c>
      <c r="ET49" s="253">
        <v>0.6</v>
      </c>
      <c r="EU49" s="253"/>
      <c r="EV49" s="254"/>
      <c r="EW49" s="255">
        <f>SUM(ES49:EV49)</f>
        <v>1.2</v>
      </c>
      <c r="EX49" s="252">
        <v>0.7</v>
      </c>
      <c r="EY49" s="253"/>
      <c r="EZ49" s="253"/>
      <c r="FA49" s="254"/>
      <c r="FB49" s="255">
        <f>SUM(EX49:FA49)</f>
        <v>0.7</v>
      </c>
      <c r="FC49" s="252">
        <v>0.8</v>
      </c>
      <c r="FD49" s="253">
        <v>0.7</v>
      </c>
      <c r="FE49" s="253"/>
      <c r="FF49" s="254"/>
      <c r="FG49" s="255">
        <f>SUM(FC49:FF49)</f>
        <v>1.5</v>
      </c>
      <c r="FH49" s="252">
        <v>0.8</v>
      </c>
      <c r="FI49" s="253">
        <v>0.9</v>
      </c>
      <c r="FJ49" s="253"/>
      <c r="FK49" s="254"/>
      <c r="FL49" s="255">
        <f>SUM(FH49:FK49)</f>
        <v>1.7000000000000002</v>
      </c>
      <c r="FM49" s="252">
        <v>0.92</v>
      </c>
      <c r="FN49" s="253">
        <v>1</v>
      </c>
      <c r="FO49" s="253"/>
      <c r="FP49" s="254"/>
      <c r="FQ49" s="255">
        <f>SUM(FM49:FP49)</f>
        <v>1.92</v>
      </c>
      <c r="FR49" s="252">
        <v>1.32</v>
      </c>
      <c r="FS49" s="264"/>
      <c r="FT49" s="253"/>
      <c r="FU49" s="254"/>
      <c r="FV49" s="255">
        <f>SUM(FR49:FU49)</f>
        <v>1.32</v>
      </c>
      <c r="FW49" s="252">
        <v>1.69</v>
      </c>
      <c r="FX49" s="253">
        <v>1.22</v>
      </c>
      <c r="FY49" s="253"/>
      <c r="FZ49" s="254"/>
      <c r="GA49" s="255">
        <f>SUM(FW49:FZ49)</f>
        <v>2.91</v>
      </c>
      <c r="GB49" s="252">
        <v>0.53</v>
      </c>
      <c r="GC49" s="253">
        <v>2.5</v>
      </c>
      <c r="GD49" s="253"/>
      <c r="GE49" s="254"/>
      <c r="GF49" s="255">
        <f>SUM(GB49:GE49)</f>
        <v>3.0300000000000002</v>
      </c>
      <c r="GG49" s="117">
        <v>1.79</v>
      </c>
      <c r="GH49" s="156">
        <v>1.18</v>
      </c>
      <c r="GI49" s="156"/>
      <c r="GJ49" s="157"/>
      <c r="GK49" s="255">
        <f>SUM(GG49:GJ49)</f>
        <v>2.9699999999999998</v>
      </c>
      <c r="GL49" s="275"/>
      <c r="GM49" s="264"/>
      <c r="GN49" s="253"/>
      <c r="GO49" s="254"/>
      <c r="GP49" s="255">
        <f>SUM(GL49:GO49)</f>
        <v>0</v>
      </c>
      <c r="GQ49" s="252">
        <v>1.79</v>
      </c>
      <c r="GR49" s="253">
        <v>0.42</v>
      </c>
      <c r="GS49" s="253"/>
      <c r="GT49" s="254"/>
      <c r="GU49" s="255">
        <f>SUM(GQ49:GT49)</f>
        <v>2.21</v>
      </c>
      <c r="GV49" s="252">
        <v>1.5</v>
      </c>
      <c r="GW49" s="264"/>
      <c r="GX49" s="253"/>
      <c r="GY49" s="254"/>
      <c r="GZ49" s="255">
        <f>SUM(GV49:GY49)</f>
        <v>1.5</v>
      </c>
      <c r="HA49" s="252">
        <v>1.0900000000000001</v>
      </c>
      <c r="HB49" s="253">
        <v>0.99</v>
      </c>
      <c r="HC49" s="253"/>
      <c r="HD49" s="254"/>
      <c r="HE49" s="255">
        <f>SUM(HA49:HD49)</f>
        <v>2.08</v>
      </c>
      <c r="HF49" s="252">
        <v>1.02</v>
      </c>
      <c r="HG49" s="253">
        <v>1.02</v>
      </c>
      <c r="HH49" s="253"/>
      <c r="HI49" s="254"/>
      <c r="HJ49" s="255">
        <f>SUM(HF49:HI49)</f>
        <v>2.04</v>
      </c>
      <c r="HK49" s="252">
        <v>1</v>
      </c>
      <c r="HL49" s="253">
        <v>0.9</v>
      </c>
      <c r="HM49" s="253"/>
      <c r="HN49" s="254"/>
      <c r="HO49" s="255">
        <f>SUM(HK49:HN49)</f>
        <v>1.9</v>
      </c>
      <c r="HP49" s="252">
        <v>1.19</v>
      </c>
      <c r="HQ49" s="253">
        <v>2.21</v>
      </c>
      <c r="HR49" s="253"/>
      <c r="HS49" s="254"/>
      <c r="HT49" s="255">
        <f>SUM(HP49:HS49)</f>
        <v>3.4</v>
      </c>
      <c r="HU49" s="252">
        <v>2.21</v>
      </c>
      <c r="HV49" s="253">
        <v>2.48</v>
      </c>
      <c r="HW49" s="253"/>
      <c r="HX49" s="254"/>
      <c r="HY49" s="255">
        <f>SUM(HU49:HX49)</f>
        <v>4.6899999999999995</v>
      </c>
      <c r="HZ49" s="252">
        <v>1.93</v>
      </c>
      <c r="IA49" s="276"/>
      <c r="IB49" s="253"/>
      <c r="IC49" s="254"/>
      <c r="ID49" s="255">
        <f>SUM(HZ49:IC49)</f>
        <v>1.93</v>
      </c>
      <c r="IE49" s="245">
        <v>2.4700000000000002</v>
      </c>
      <c r="IF49" s="246">
        <v>1.84</v>
      </c>
      <c r="IG49" s="246"/>
      <c r="IH49" s="247"/>
      <c r="II49" s="277">
        <f>SUM(IE49:IH49)</f>
        <v>4.3100000000000005</v>
      </c>
      <c r="IJ49" s="245">
        <v>1.19</v>
      </c>
      <c r="IK49" s="246">
        <v>2.02</v>
      </c>
      <c r="IL49" s="246"/>
      <c r="IM49" s="247"/>
      <c r="IN49" s="277">
        <f>SUM(IJ49:IM49)</f>
        <v>3.21</v>
      </c>
      <c r="IO49" s="112">
        <v>2.2599999999999998</v>
      </c>
      <c r="IP49" s="159"/>
      <c r="IQ49" s="113"/>
      <c r="IR49" s="115"/>
      <c r="IS49" s="158">
        <f>SUM(IO49:IR49)</f>
        <v>2.2599999999999998</v>
      </c>
      <c r="IT49" s="112">
        <v>3.29</v>
      </c>
      <c r="IU49" s="159"/>
      <c r="IV49" s="113"/>
      <c r="IW49" s="115"/>
      <c r="IX49" s="158">
        <f>SUM(IT49:IW49)</f>
        <v>3.29</v>
      </c>
      <c r="IY49" s="112">
        <v>1.2</v>
      </c>
      <c r="IZ49" s="113">
        <v>1.05</v>
      </c>
      <c r="JA49" s="113"/>
      <c r="JB49" s="115"/>
      <c r="JC49" s="158">
        <f>SUM(IY49:JB49)</f>
        <v>2.25</v>
      </c>
      <c r="JD49" s="112">
        <v>1.1399999999999999</v>
      </c>
      <c r="JE49" s="113">
        <v>1.58</v>
      </c>
      <c r="JF49" s="113"/>
      <c r="JG49" s="115"/>
      <c r="JH49" s="158">
        <f>SUM(JD49:JG49)</f>
        <v>2.7199999999999998</v>
      </c>
      <c r="JI49" s="112">
        <v>1.46</v>
      </c>
      <c r="JJ49" s="113">
        <v>0.56999999999999995</v>
      </c>
      <c r="JK49" s="113"/>
      <c r="JL49" s="115"/>
      <c r="JM49" s="158">
        <f>SUM(JI49:JL49)</f>
        <v>2.0299999999999998</v>
      </c>
      <c r="JN49" s="112">
        <v>1.56</v>
      </c>
      <c r="JO49" s="159"/>
      <c r="JP49" s="113"/>
      <c r="JQ49" s="115"/>
      <c r="JR49" s="158">
        <f>SUM(JN49:JQ49)</f>
        <v>1.56</v>
      </c>
      <c r="JS49" s="112">
        <v>1.47</v>
      </c>
      <c r="JT49" s="113">
        <v>1.91</v>
      </c>
      <c r="JU49" s="113"/>
      <c r="JV49" s="115"/>
      <c r="JW49" s="158">
        <f>SUM(JS49:JV49)</f>
        <v>3.38</v>
      </c>
      <c r="JX49" s="112">
        <v>1.21</v>
      </c>
      <c r="JY49" s="113">
        <v>3.25</v>
      </c>
      <c r="JZ49" s="113"/>
      <c r="KA49" s="115"/>
      <c r="KB49" s="158">
        <v>4.46</v>
      </c>
      <c r="KC49" s="112">
        <v>0.96</v>
      </c>
      <c r="KD49" s="113">
        <v>3.54</v>
      </c>
      <c r="KE49" s="113">
        <v>0</v>
      </c>
      <c r="KF49" s="115">
        <v>0</v>
      </c>
      <c r="KG49" s="158">
        <v>4.5</v>
      </c>
      <c r="KH49" s="112">
        <v>4.07</v>
      </c>
      <c r="KI49" s="113">
        <v>2.3199999999999998</v>
      </c>
      <c r="KJ49" s="113"/>
      <c r="KK49" s="115"/>
      <c r="KL49" s="158">
        <v>6.3900000000000006</v>
      </c>
      <c r="KM49" s="482">
        <v>2.19</v>
      </c>
      <c r="KN49" s="483">
        <v>2.21</v>
      </c>
      <c r="KO49" s="113">
        <v>0</v>
      </c>
      <c r="KP49" s="115">
        <v>0</v>
      </c>
      <c r="KQ49" s="158">
        <f t="shared" si="45"/>
        <v>4.4000000000000004</v>
      </c>
      <c r="KR49" s="112">
        <v>2.39</v>
      </c>
      <c r="KS49" s="113">
        <v>0</v>
      </c>
      <c r="KT49" s="113">
        <v>0</v>
      </c>
      <c r="KU49" s="115">
        <v>0</v>
      </c>
      <c r="KV49" s="158">
        <f t="shared" si="46"/>
        <v>2.39</v>
      </c>
    </row>
    <row r="50" spans="1:308" s="9" customFormat="1" ht="16.5" thickBot="1" x14ac:dyDescent="0.3">
      <c r="A50" s="185" t="s">
        <v>6</v>
      </c>
      <c r="B50" s="186"/>
      <c r="C50" s="160">
        <f>SUM(C9:C20,C21:C27,C28:C32,C39:C46,C48:C49)</f>
        <v>1416.5100000000002</v>
      </c>
      <c r="D50" s="161">
        <f>SUM(D9:D37)</f>
        <v>998.31000000000017</v>
      </c>
      <c r="E50" s="162">
        <f>SUM(E9:E37)</f>
        <v>499.36</v>
      </c>
      <c r="F50" s="162"/>
      <c r="G50" s="163"/>
      <c r="H50" s="160">
        <f t="shared" ref="H50:AK50" si="78">SUM(H9:H37)</f>
        <v>1497.67</v>
      </c>
      <c r="I50" s="164">
        <f t="shared" si="78"/>
        <v>1067.48</v>
      </c>
      <c r="J50" s="162">
        <f t="shared" si="78"/>
        <v>215.59</v>
      </c>
      <c r="K50" s="162">
        <f t="shared" si="78"/>
        <v>0</v>
      </c>
      <c r="L50" s="163">
        <f t="shared" si="78"/>
        <v>0</v>
      </c>
      <c r="M50" s="165">
        <f t="shared" si="78"/>
        <v>1283.0700000000002</v>
      </c>
      <c r="N50" s="164">
        <f t="shared" si="78"/>
        <v>1104.0899999999999</v>
      </c>
      <c r="O50" s="162">
        <f t="shared" si="78"/>
        <v>222.39</v>
      </c>
      <c r="P50" s="162">
        <f t="shared" si="78"/>
        <v>0</v>
      </c>
      <c r="Q50" s="163">
        <f t="shared" si="78"/>
        <v>0</v>
      </c>
      <c r="R50" s="165">
        <f t="shared" si="78"/>
        <v>1326.48</v>
      </c>
      <c r="S50" s="164">
        <f t="shared" si="78"/>
        <v>884.66000000000008</v>
      </c>
      <c r="T50" s="162">
        <f t="shared" si="78"/>
        <v>550.76999999999987</v>
      </c>
      <c r="U50" s="162">
        <f t="shared" si="78"/>
        <v>53.400000000000006</v>
      </c>
      <c r="V50" s="163">
        <f t="shared" si="78"/>
        <v>0</v>
      </c>
      <c r="W50" s="165">
        <f t="shared" si="78"/>
        <v>1488.83</v>
      </c>
      <c r="X50" s="164">
        <f t="shared" si="78"/>
        <v>926.23999999999978</v>
      </c>
      <c r="Y50" s="162">
        <f t="shared" si="78"/>
        <v>433.43000000000006</v>
      </c>
      <c r="Z50" s="162">
        <f t="shared" si="78"/>
        <v>132</v>
      </c>
      <c r="AA50" s="163">
        <f t="shared" si="78"/>
        <v>0</v>
      </c>
      <c r="AB50" s="165">
        <f t="shared" si="78"/>
        <v>1491.67</v>
      </c>
      <c r="AC50" s="166">
        <f t="shared" si="78"/>
        <v>1047.8700000000001</v>
      </c>
      <c r="AD50" s="167">
        <f t="shared" si="78"/>
        <v>525.16999999999996</v>
      </c>
      <c r="AE50" s="167">
        <f t="shared" si="78"/>
        <v>18.46</v>
      </c>
      <c r="AF50" s="168">
        <f t="shared" si="78"/>
        <v>0</v>
      </c>
      <c r="AG50" s="168">
        <f t="shared" si="78"/>
        <v>1591.4999999999995</v>
      </c>
      <c r="AH50" s="166">
        <f t="shared" si="78"/>
        <v>858.05000000000018</v>
      </c>
      <c r="AI50" s="167">
        <f t="shared" si="78"/>
        <v>448.69</v>
      </c>
      <c r="AJ50" s="167">
        <f t="shared" si="78"/>
        <v>177.25</v>
      </c>
      <c r="AK50" s="168">
        <f t="shared" si="78"/>
        <v>0</v>
      </c>
      <c r="AL50" s="168">
        <f>SUM(AL9:AL49)</f>
        <v>1483.99</v>
      </c>
      <c r="AM50" s="164">
        <f>SUM(AM9:AM37)</f>
        <v>920.44</v>
      </c>
      <c r="AN50" s="162">
        <f>SUM(AN9:AN37)</f>
        <v>700.93999999999994</v>
      </c>
      <c r="AO50" s="162">
        <f>SUM(AO9:AO37)</f>
        <v>75.75</v>
      </c>
      <c r="AP50" s="169">
        <f>SUM(AP9:AP37)</f>
        <v>0</v>
      </c>
      <c r="AQ50" s="170">
        <f>SUM(AQ9:AQ49)</f>
        <v>1697.1299999999999</v>
      </c>
      <c r="AR50" s="164">
        <f>SUM(AR9:AR49)</f>
        <v>1183.0900000000001</v>
      </c>
      <c r="AS50" s="162">
        <f>SUM(AS9:AS49)</f>
        <v>828.74</v>
      </c>
      <c r="AT50" s="162">
        <f>SUM(AT9:AT47)</f>
        <v>60.04</v>
      </c>
      <c r="AU50" s="162">
        <f>SUM(AU9:AU47)</f>
        <v>0</v>
      </c>
      <c r="AV50" s="165">
        <f>SUM(AV9:AV49)</f>
        <v>2071.8700000000003</v>
      </c>
      <c r="AW50" s="164">
        <f>SUM(AW9:AW49)</f>
        <v>1186.7700000000002</v>
      </c>
      <c r="AX50" s="162">
        <f>SUM(AX9:AX49)</f>
        <v>694.88000000000011</v>
      </c>
      <c r="AY50" s="162">
        <f>SUM(AY9:AY47)</f>
        <v>0</v>
      </c>
      <c r="AZ50" s="162">
        <f>SUM(AZ9:AZ47)</f>
        <v>0</v>
      </c>
      <c r="BA50" s="165">
        <f>SUM(BA9:BA49)</f>
        <v>1881.65</v>
      </c>
      <c r="BB50" s="164">
        <f>SUM(BB9:BB49)</f>
        <v>1483.9500000000003</v>
      </c>
      <c r="BC50" s="162">
        <f>SUM(BC9:BC49)</f>
        <v>764.7600000000001</v>
      </c>
      <c r="BD50" s="162">
        <f>SUM(BD9:BD47)</f>
        <v>24.97</v>
      </c>
      <c r="BE50" s="162">
        <f>SUM(BE9:BE47)</f>
        <v>0</v>
      </c>
      <c r="BF50" s="165">
        <f t="shared" ref="BF50:CO50" si="79">SUM(BF9:BF49)</f>
        <v>2273.6800000000003</v>
      </c>
      <c r="BG50" s="171">
        <f t="shared" si="79"/>
        <v>1401.1700000000003</v>
      </c>
      <c r="BH50" s="172">
        <f t="shared" si="79"/>
        <v>726.61000000000013</v>
      </c>
      <c r="BI50" s="172">
        <f t="shared" si="79"/>
        <v>0</v>
      </c>
      <c r="BJ50" s="173">
        <f t="shared" si="79"/>
        <v>0</v>
      </c>
      <c r="BK50" s="173">
        <f t="shared" si="79"/>
        <v>2127.7800000000002</v>
      </c>
      <c r="BL50" s="171">
        <f t="shared" si="79"/>
        <v>1213.94</v>
      </c>
      <c r="BM50" s="172">
        <f t="shared" si="79"/>
        <v>578.34999999999991</v>
      </c>
      <c r="BN50" s="172">
        <f t="shared" si="79"/>
        <v>44.07</v>
      </c>
      <c r="BO50" s="173">
        <f t="shared" si="79"/>
        <v>0</v>
      </c>
      <c r="BP50" s="174">
        <f t="shared" si="79"/>
        <v>1836.3600000000006</v>
      </c>
      <c r="BQ50" s="175">
        <f t="shared" si="79"/>
        <v>704.45999999999992</v>
      </c>
      <c r="BR50" s="176">
        <f t="shared" si="79"/>
        <v>473.97</v>
      </c>
      <c r="BS50" s="176">
        <f t="shared" si="79"/>
        <v>98.320000000000007</v>
      </c>
      <c r="BT50" s="177">
        <f t="shared" si="79"/>
        <v>0</v>
      </c>
      <c r="BU50" s="256">
        <f t="shared" si="79"/>
        <v>1276.75</v>
      </c>
      <c r="BV50" s="257">
        <f t="shared" si="79"/>
        <v>399.82999999999987</v>
      </c>
      <c r="BW50" s="258">
        <f t="shared" si="79"/>
        <v>348.04</v>
      </c>
      <c r="BX50" s="258">
        <f t="shared" si="79"/>
        <v>74.959999999999994</v>
      </c>
      <c r="BY50" s="259">
        <f t="shared" si="79"/>
        <v>0</v>
      </c>
      <c r="BZ50" s="257">
        <f t="shared" si="79"/>
        <v>822.8299999999997</v>
      </c>
      <c r="CA50" s="260">
        <f t="shared" si="79"/>
        <v>494.32999999999987</v>
      </c>
      <c r="CB50" s="261">
        <f t="shared" si="79"/>
        <v>452.21</v>
      </c>
      <c r="CC50" s="261">
        <f t="shared" si="79"/>
        <v>114.91</v>
      </c>
      <c r="CD50" s="261">
        <f t="shared" si="79"/>
        <v>0</v>
      </c>
      <c r="CE50" s="256">
        <f t="shared" si="79"/>
        <v>1061.4500000000003</v>
      </c>
      <c r="CF50" s="260">
        <f t="shared" si="79"/>
        <v>664.18999999999983</v>
      </c>
      <c r="CG50" s="261">
        <f t="shared" si="79"/>
        <v>528.41999999999996</v>
      </c>
      <c r="CH50" s="261">
        <f t="shared" si="79"/>
        <v>81.929999999999978</v>
      </c>
      <c r="CI50" s="261">
        <f t="shared" si="79"/>
        <v>0</v>
      </c>
      <c r="CJ50" s="256">
        <f t="shared" si="79"/>
        <v>1274.5399999999995</v>
      </c>
      <c r="CK50" s="260">
        <f t="shared" si="79"/>
        <v>775.86999999999978</v>
      </c>
      <c r="CL50" s="261">
        <f t="shared" si="79"/>
        <v>601.27</v>
      </c>
      <c r="CM50" s="261">
        <f t="shared" si="79"/>
        <v>118.99999999999999</v>
      </c>
      <c r="CN50" s="261">
        <f t="shared" si="79"/>
        <v>0</v>
      </c>
      <c r="CO50" s="256">
        <f t="shared" si="79"/>
        <v>1496.1400000000003</v>
      </c>
      <c r="CP50" s="260">
        <f>SUM(CP9:CP49)</f>
        <v>522.84000000000015</v>
      </c>
      <c r="CQ50" s="261">
        <f>SUM(CQ9:CQ49)</f>
        <v>569.61</v>
      </c>
      <c r="CR50" s="261">
        <f>SUM(CR9:CR49)</f>
        <v>270.89</v>
      </c>
      <c r="CS50" s="261">
        <v>0</v>
      </c>
      <c r="CT50" s="257">
        <f>SUM(CT9:CT49)</f>
        <v>1363.34</v>
      </c>
      <c r="CU50" s="260">
        <f>SUM(CU9:CU49)</f>
        <v>719.7800000000002</v>
      </c>
      <c r="CV50" s="261">
        <f>SUM(CV9:CV49)</f>
        <v>637.85</v>
      </c>
      <c r="CW50" s="261">
        <f>SUM(CW9:CW49)</f>
        <v>126.19</v>
      </c>
      <c r="CX50" s="261">
        <v>0</v>
      </c>
      <c r="CY50" s="257">
        <f>SUM(CY9:CY49)</f>
        <v>1483.8200000000002</v>
      </c>
      <c r="CZ50" s="260">
        <f>SUM(CZ9:CZ49)</f>
        <v>1046.2900000000002</v>
      </c>
      <c r="DA50" s="261">
        <f>SUM(DA9:DA49)</f>
        <v>720.73</v>
      </c>
      <c r="DB50" s="261">
        <f>SUM(DB9:DB49)</f>
        <v>129.36000000000001</v>
      </c>
      <c r="DC50" s="261">
        <v>0</v>
      </c>
      <c r="DD50" s="257">
        <f>SUM(DD9:DD49)</f>
        <v>1896.38</v>
      </c>
      <c r="DE50" s="260">
        <f>SUM(DE9:DE49)</f>
        <v>1209.3400000000001</v>
      </c>
      <c r="DF50" s="261">
        <f>SUM(DF9:DF49)</f>
        <v>635.41999999999985</v>
      </c>
      <c r="DG50" s="261">
        <f>SUM(DG9:DG49)</f>
        <v>38.700000000000003</v>
      </c>
      <c r="DH50" s="261">
        <v>0</v>
      </c>
      <c r="DI50" s="256">
        <f>SUM(DI9:DI49)</f>
        <v>1883.4599999999998</v>
      </c>
      <c r="DJ50" s="260">
        <f>SUM(DJ9:DJ49)</f>
        <v>1628.0800000000004</v>
      </c>
      <c r="DK50" s="261">
        <f>SUM(DK9:DK49)</f>
        <v>702.58</v>
      </c>
      <c r="DL50" s="261">
        <f>SUM(DL9:DL49)</f>
        <v>15.84</v>
      </c>
      <c r="DM50" s="261">
        <v>0</v>
      </c>
      <c r="DN50" s="256">
        <f>SUM(DN9:DN49)</f>
        <v>2346.5000000000009</v>
      </c>
      <c r="DO50" s="260">
        <f>SUM(DO9:DO49)</f>
        <v>1574.9700000000003</v>
      </c>
      <c r="DP50" s="261">
        <f>SUM(DP9:DP49)</f>
        <v>361.20999999999992</v>
      </c>
      <c r="DQ50" s="261">
        <f>SUM(DQ9:DQ49)</f>
        <v>0</v>
      </c>
      <c r="DR50" s="261">
        <v>0</v>
      </c>
      <c r="DS50" s="256">
        <f>SUM(DS9:DS49)</f>
        <v>1936.1800000000003</v>
      </c>
      <c r="DT50" s="260">
        <f>SUM(DT9:DT49)</f>
        <v>1496.3799999999999</v>
      </c>
      <c r="DU50" s="261">
        <f>SUM(DU9:DU49)</f>
        <v>494.65999999999997</v>
      </c>
      <c r="DV50" s="261">
        <f>SUM(DV9:DV49)</f>
        <v>0</v>
      </c>
      <c r="DW50" s="261">
        <v>0</v>
      </c>
      <c r="DX50" s="256">
        <f>SUM(DX9:DX49)</f>
        <v>1991.0399999999997</v>
      </c>
      <c r="DY50" s="171">
        <f>SUM(DY9:DY49)</f>
        <v>1115.7899999999997</v>
      </c>
      <c r="DZ50" s="172">
        <f>SUM(DZ9:DZ49)</f>
        <v>335.15999999999997</v>
      </c>
      <c r="EA50" s="172">
        <f>SUM(EA9:EA49)</f>
        <v>0</v>
      </c>
      <c r="EB50" s="172">
        <v>0</v>
      </c>
      <c r="EC50" s="256">
        <f>SUM(EC9:EC49)</f>
        <v>1450.9499999999996</v>
      </c>
      <c r="ED50" s="260">
        <f>SUM(ED9:ED49)</f>
        <v>860.12000000000012</v>
      </c>
      <c r="EE50" s="261">
        <f>SUM(EE9:EE49)</f>
        <v>331.60300000000001</v>
      </c>
      <c r="EF50" s="261">
        <f>SUM(EF9:EF49)</f>
        <v>0</v>
      </c>
      <c r="EG50" s="261">
        <v>0</v>
      </c>
      <c r="EH50" s="256">
        <f>SUM(EH9:EH49)</f>
        <v>1191.723</v>
      </c>
      <c r="EI50" s="260">
        <f>SUM(EI9:EI49)</f>
        <v>777.43000000000006</v>
      </c>
      <c r="EJ50" s="261">
        <f>SUM(EJ9:EJ49)</f>
        <v>557.05000000000018</v>
      </c>
      <c r="EK50" s="261">
        <f>SUM(EK9:EK49)</f>
        <v>0</v>
      </c>
      <c r="EL50" s="261">
        <v>0</v>
      </c>
      <c r="EM50" s="256">
        <f>SUM(EM9:EM49)</f>
        <v>1334.4799999999998</v>
      </c>
      <c r="EN50" s="260">
        <f>SUM(EN9:EN49)</f>
        <v>794.02999999999975</v>
      </c>
      <c r="EO50" s="261">
        <f>SUM(EO9:EO49)</f>
        <v>424.47</v>
      </c>
      <c r="EP50" s="261">
        <f>SUM(EP9:EP49)</f>
        <v>44.980000000000004</v>
      </c>
      <c r="EQ50" s="261">
        <v>0</v>
      </c>
      <c r="ER50" s="256">
        <f>SUM(ER9:ER49)</f>
        <v>1263.4800000000002</v>
      </c>
      <c r="ES50" s="260">
        <f>SUM(ES9:ES49)</f>
        <v>830.84000000000015</v>
      </c>
      <c r="ET50" s="261">
        <f>SUM(ET9:ET49)</f>
        <v>494.32</v>
      </c>
      <c r="EU50" s="261">
        <f>SUM(EU9:EU49)</f>
        <v>75.669999999999987</v>
      </c>
      <c r="EV50" s="261">
        <v>0</v>
      </c>
      <c r="EW50" s="256">
        <f>SUM(EW9:EW49)</f>
        <v>1400.8300000000002</v>
      </c>
      <c r="EX50" s="260">
        <f>SUM(EX9:EX49)</f>
        <v>788.3900000000001</v>
      </c>
      <c r="EY50" s="261">
        <f>SUM(EY9:EY49)</f>
        <v>625.99</v>
      </c>
      <c r="EZ50" s="261">
        <f>SUM(EZ9:EZ49)</f>
        <v>9.7199999999999989</v>
      </c>
      <c r="FA50" s="261">
        <v>0</v>
      </c>
      <c r="FB50" s="256">
        <f>SUM(FB9:FB49)</f>
        <v>1424.1000000000004</v>
      </c>
      <c r="FC50" s="260">
        <f>SUM(FC9:FC49)</f>
        <v>762.55000000000007</v>
      </c>
      <c r="FD50" s="261">
        <f>SUM(FD9:FD49)</f>
        <v>802.03000000000009</v>
      </c>
      <c r="FE50" s="261">
        <f>SUM(FE9:FE49)</f>
        <v>17.669999999999998</v>
      </c>
      <c r="FF50" s="261">
        <v>0</v>
      </c>
      <c r="FG50" s="256">
        <f>SUM(FG9:FG49)</f>
        <v>1582.2499999999998</v>
      </c>
      <c r="FH50" s="260">
        <f>SUM(FH9:FH49)</f>
        <v>852.80999999999983</v>
      </c>
      <c r="FI50" s="261">
        <f>SUM(FI9:FI49)</f>
        <v>805.55999999999972</v>
      </c>
      <c r="FJ50" s="261">
        <f>SUM(FJ9:FJ49)</f>
        <v>0</v>
      </c>
      <c r="FK50" s="261">
        <v>0</v>
      </c>
      <c r="FL50" s="256">
        <f>SUM(FL9:FL49)</f>
        <v>1658.3699999999997</v>
      </c>
      <c r="FM50" s="260">
        <f>SUM(FM9:FM49)</f>
        <v>964.15000000000009</v>
      </c>
      <c r="FN50" s="261">
        <f>SUM(FN9:FN49)</f>
        <v>833.87000000000012</v>
      </c>
      <c r="FO50" s="261">
        <f>SUM(FO9:FO49)</f>
        <v>8.9</v>
      </c>
      <c r="FP50" s="261">
        <v>0</v>
      </c>
      <c r="FQ50" s="256">
        <f>SUM(FQ9:FQ49)</f>
        <v>1806.9199999999998</v>
      </c>
      <c r="FR50" s="260">
        <f>SUM(FR9:FR49)</f>
        <v>1076.5299999999997</v>
      </c>
      <c r="FS50" s="261">
        <f>SUM(FS9:FS49)</f>
        <v>889.6099999999999</v>
      </c>
      <c r="FT50" s="261">
        <f>SUM(FT9:FT49)</f>
        <v>0</v>
      </c>
      <c r="FU50" s="261">
        <v>0</v>
      </c>
      <c r="FV50" s="256">
        <f>SUM(FV9:FV49)</f>
        <v>1966.14</v>
      </c>
      <c r="FW50" s="260">
        <f>SUM(FW9:FW49)</f>
        <v>1010.4399999999999</v>
      </c>
      <c r="FX50" s="261">
        <f>SUM(FX9:FX49)</f>
        <v>792.67</v>
      </c>
      <c r="FY50" s="261">
        <f>SUM(FY9:FY49)</f>
        <v>0</v>
      </c>
      <c r="FZ50" s="261">
        <v>0</v>
      </c>
      <c r="GA50" s="256">
        <f>SUM(GA9:GA49)</f>
        <v>1803.11</v>
      </c>
      <c r="GB50" s="260">
        <f>SUM(GB9:GB49)</f>
        <v>890.7700000000001</v>
      </c>
      <c r="GC50" s="261">
        <f>SUM(GC9:GC49)</f>
        <v>646.64</v>
      </c>
      <c r="GD50" s="261">
        <f>SUM(GD9:GD49)</f>
        <v>8.01</v>
      </c>
      <c r="GE50" s="261">
        <v>0</v>
      </c>
      <c r="GF50" s="256">
        <f>SUM(GF9:GF49)</f>
        <v>1545.4199999999998</v>
      </c>
      <c r="GG50" s="171">
        <f>SUM(GG9:GG49)</f>
        <v>861.71999999999991</v>
      </c>
      <c r="GH50" s="172">
        <f>SUM(GH9:GH49)</f>
        <v>465.78000000000003</v>
      </c>
      <c r="GI50" s="172">
        <f>SUM(GI9:GI49)</f>
        <v>0.71</v>
      </c>
      <c r="GJ50" s="172">
        <v>0</v>
      </c>
      <c r="GK50" s="256">
        <f>SUM(GK9:GK49)</f>
        <v>1328.2100000000003</v>
      </c>
      <c r="GL50" s="260">
        <f>SUM(GL9:GL49)</f>
        <v>452.50999999999993</v>
      </c>
      <c r="GM50" s="261">
        <f>SUM(GM9:GM49)</f>
        <v>381.16999999999996</v>
      </c>
      <c r="GN50" s="261">
        <f>SUM(GN9:GN49)</f>
        <v>18.36</v>
      </c>
      <c r="GO50" s="261">
        <v>0</v>
      </c>
      <c r="GP50" s="256">
        <f>SUM(GP9:GP49)</f>
        <v>852.04</v>
      </c>
      <c r="GQ50" s="260">
        <f>SUM(GQ9:GQ49)</f>
        <v>351.46</v>
      </c>
      <c r="GR50" s="261">
        <f>SUM(GR9:GR49)</f>
        <v>256.66000000000003</v>
      </c>
      <c r="GS50" s="261">
        <f>SUM(GS9:GS49)</f>
        <v>47.850000000000009</v>
      </c>
      <c r="GT50" s="261">
        <v>0</v>
      </c>
      <c r="GU50" s="256">
        <f>SUM(GU9:GU49)</f>
        <v>655.97</v>
      </c>
      <c r="GV50" s="260">
        <f>SUM(GV9:GV49)</f>
        <v>620.55300000000011</v>
      </c>
      <c r="GW50" s="261">
        <f>SUM(GW9:GW49)</f>
        <v>443.53999999999996</v>
      </c>
      <c r="GX50" s="261">
        <f>SUM(GX9:GX49)</f>
        <v>0</v>
      </c>
      <c r="GY50" s="261">
        <v>0</v>
      </c>
      <c r="GZ50" s="256">
        <f>SUM(GZ9:GZ49)</f>
        <v>1064.0929999999998</v>
      </c>
      <c r="HA50" s="260">
        <f>SUM(HA9:HA49)</f>
        <v>731.4699999999998</v>
      </c>
      <c r="HB50" s="261">
        <f>SUM(HB9:HB49)</f>
        <v>522.7399999999999</v>
      </c>
      <c r="HC50" s="261">
        <f>SUM(HC9:HC49)</f>
        <v>98.420000000000016</v>
      </c>
      <c r="HD50" s="261">
        <v>0</v>
      </c>
      <c r="HE50" s="256">
        <f>SUM(HE9:HE49)</f>
        <v>1352.6299999999999</v>
      </c>
      <c r="HF50" s="260">
        <f>SUM(HF9:HF49)</f>
        <v>611.5</v>
      </c>
      <c r="HG50" s="261">
        <f>SUM(HG9:HG49)</f>
        <v>575.41000000000008</v>
      </c>
      <c r="HH50" s="261">
        <f>SUM(HH9:HH49)</f>
        <v>99.050000000000011</v>
      </c>
      <c r="HI50" s="261">
        <v>0</v>
      </c>
      <c r="HJ50" s="256">
        <f>SUM(HJ9:HJ49)</f>
        <v>1285.9600000000003</v>
      </c>
      <c r="HK50" s="260">
        <f>SUM(HK9:HK49)</f>
        <v>796.53000000000009</v>
      </c>
      <c r="HL50" s="261">
        <f>SUM(HL9:HL49)</f>
        <v>619.87000000000023</v>
      </c>
      <c r="HM50" s="261">
        <f>SUM(HM9:HM49)</f>
        <v>121.15</v>
      </c>
      <c r="HN50" s="261">
        <v>0</v>
      </c>
      <c r="HO50" s="256">
        <f>SUM(HO9:HO49)</f>
        <v>1537.55</v>
      </c>
      <c r="HP50" s="260">
        <f>SUM(HP9:HP49)</f>
        <v>975.57000000000016</v>
      </c>
      <c r="HQ50" s="261">
        <f>SUM(HQ9:HQ49)</f>
        <v>1089.8399999999995</v>
      </c>
      <c r="HR50" s="261">
        <f>SUM(HR9:HR49)</f>
        <v>71.41</v>
      </c>
      <c r="HS50" s="261">
        <v>0</v>
      </c>
      <c r="HT50" s="256">
        <f>SUM(HT9:HT49)</f>
        <v>2136.8200000000002</v>
      </c>
      <c r="HU50" s="260">
        <f>SUM(HU9:HU49)</f>
        <v>1613.68</v>
      </c>
      <c r="HV50" s="261">
        <f>SUM(HV9:HV49)</f>
        <v>693.88000000000011</v>
      </c>
      <c r="HW50" s="261">
        <f>SUM(HW9:HW49)</f>
        <v>34.22</v>
      </c>
      <c r="HX50" s="261">
        <v>0</v>
      </c>
      <c r="HY50" s="256">
        <f>SUM(HY9:HY49)</f>
        <v>2341.7800000000002</v>
      </c>
      <c r="HZ50" s="260">
        <f>SUM(HZ9:HZ49)</f>
        <v>1801.9199999999998</v>
      </c>
      <c r="IA50" s="261">
        <f>SUM(IA9:IA49)</f>
        <v>830.00000000000034</v>
      </c>
      <c r="IB50" s="261">
        <f>SUM(IB9:IB49)</f>
        <v>8.81</v>
      </c>
      <c r="IC50" s="261">
        <v>0</v>
      </c>
      <c r="ID50" s="256">
        <f>SUM(ID9:ID49)</f>
        <v>2640.7299999999991</v>
      </c>
      <c r="IE50" s="278">
        <f>SUM(IE9:IE49)</f>
        <v>1197.78</v>
      </c>
      <c r="IF50" s="279">
        <f>SUM(IF9:IF49)</f>
        <v>945.81000000000006</v>
      </c>
      <c r="IG50" s="279">
        <f>SUM(IG9:IG49)</f>
        <v>161.35</v>
      </c>
      <c r="IH50" s="279">
        <v>0</v>
      </c>
      <c r="II50" s="256">
        <f>SUM(II9:II49)</f>
        <v>2304.94</v>
      </c>
      <c r="IJ50" s="278">
        <f>SUM(IJ9:IJ49)</f>
        <v>1065.6100000000001</v>
      </c>
      <c r="IK50" s="279">
        <f>SUM(IK9:IK49)</f>
        <v>795.41000000000008</v>
      </c>
      <c r="IL50" s="279">
        <f>SUM(IL9:IL49)</f>
        <v>128.41</v>
      </c>
      <c r="IM50" s="279">
        <v>0</v>
      </c>
      <c r="IN50" s="256">
        <f>SUM(IN9:IN49)</f>
        <v>1989.4299999999998</v>
      </c>
      <c r="IO50" s="179">
        <f>SUM(IO9:IO49)</f>
        <v>935.78</v>
      </c>
      <c r="IP50" s="180">
        <f>SUM(IP9:IP49)</f>
        <v>417.46000000000004</v>
      </c>
      <c r="IQ50" s="180">
        <f>SUM(IQ9:IQ49)</f>
        <v>14.31</v>
      </c>
      <c r="IR50" s="180">
        <v>0</v>
      </c>
      <c r="IS50" s="178">
        <f>SUM(IS9:IS49)</f>
        <v>1367.55</v>
      </c>
      <c r="IT50" s="179">
        <f>SUM(IT9:IT49)</f>
        <v>1100.2199999999998</v>
      </c>
      <c r="IU50" s="180">
        <f>SUM(IU9:IU49)</f>
        <v>422.92000000000013</v>
      </c>
      <c r="IV50" s="180">
        <f>SUM(IV9:IV49)</f>
        <v>4.78</v>
      </c>
      <c r="IW50" s="180">
        <v>0</v>
      </c>
      <c r="IX50" s="178">
        <f>SUM(IX9:IX49)</f>
        <v>1527.92</v>
      </c>
      <c r="IY50" s="179">
        <f>SUM(IY9:IY49)</f>
        <v>732.11999999999989</v>
      </c>
      <c r="IZ50" s="180">
        <f>SUM(IZ9:IZ49)</f>
        <v>579.50000000000023</v>
      </c>
      <c r="JA50" s="180">
        <f>SUM(JA9:JA49)</f>
        <v>93.18</v>
      </c>
      <c r="JB50" s="180">
        <v>0</v>
      </c>
      <c r="JC50" s="178">
        <f>SUM(JC9:JC49)</f>
        <v>1404.8000000000004</v>
      </c>
      <c r="JD50" s="179">
        <f>SUM(JD9:JD49)</f>
        <v>1366.4300000000003</v>
      </c>
      <c r="JE50" s="180">
        <f>SUM(JE9:JE49)</f>
        <v>562.80000000000007</v>
      </c>
      <c r="JF50" s="180">
        <f>SUM(JF9:JF49)</f>
        <v>0</v>
      </c>
      <c r="JG50" s="180">
        <v>0</v>
      </c>
      <c r="JH50" s="178">
        <f>SUM(JH9:JH49)</f>
        <v>1929.2300000000002</v>
      </c>
      <c r="JI50" s="179">
        <f>SUM(JI9:JI49)</f>
        <v>842.90000000000032</v>
      </c>
      <c r="JJ50" s="180">
        <f>SUM(JJ9:JJ49)</f>
        <v>575.22000000000014</v>
      </c>
      <c r="JK50" s="180">
        <f>SUM(JK9:JK49)</f>
        <v>320.94</v>
      </c>
      <c r="JL50" s="180">
        <v>0</v>
      </c>
      <c r="JM50" s="178">
        <f>SUM(JM9:JM49)</f>
        <v>1739.06</v>
      </c>
      <c r="JN50" s="179">
        <f>SUM(JN9:JN49)</f>
        <v>852.04999999999984</v>
      </c>
      <c r="JO50" s="180">
        <f>SUM(JO9:JO49)</f>
        <v>554.30999999999995</v>
      </c>
      <c r="JP50" s="180">
        <f>SUM(JP9:JP49)</f>
        <v>147.91999999999999</v>
      </c>
      <c r="JQ50" s="180">
        <v>0</v>
      </c>
      <c r="JR50" s="178">
        <f>SUM(JR9:JR49)</f>
        <v>1554.2800000000004</v>
      </c>
      <c r="JS50" s="179">
        <f>SUM(JS9:JS49)</f>
        <v>781.5500000000003</v>
      </c>
      <c r="JT50" s="180">
        <f>SUM(JT9:JT49)</f>
        <v>658.49</v>
      </c>
      <c r="JU50" s="180">
        <f>SUM(JU9:JU49)</f>
        <v>131.84</v>
      </c>
      <c r="JV50" s="180">
        <v>0</v>
      </c>
      <c r="JW50" s="178">
        <f>SUM(JW9:JW49)</f>
        <v>1571.88</v>
      </c>
      <c r="JX50" s="179">
        <v>910.21</v>
      </c>
      <c r="JY50" s="180">
        <v>693.61999999999989</v>
      </c>
      <c r="JZ50" s="180">
        <v>147.98999999999998</v>
      </c>
      <c r="KA50" s="180">
        <v>0</v>
      </c>
      <c r="KB50" s="178">
        <v>1751.82</v>
      </c>
      <c r="KC50" s="179">
        <v>925.25</v>
      </c>
      <c r="KD50" s="180">
        <v>872.35</v>
      </c>
      <c r="KE50" s="180">
        <v>143.47999999999999</v>
      </c>
      <c r="KF50" s="180">
        <v>0</v>
      </c>
      <c r="KG50" s="178">
        <v>1941.08</v>
      </c>
      <c r="KH50" s="179">
        <v>1297.8999999999994</v>
      </c>
      <c r="KI50" s="180">
        <v>1181.2299999999996</v>
      </c>
      <c r="KJ50" s="180">
        <v>0</v>
      </c>
      <c r="KK50" s="180">
        <v>0</v>
      </c>
      <c r="KL50" s="178">
        <v>2479.1299999999992</v>
      </c>
      <c r="KM50" s="171">
        <f t="shared" ref="KM50:KP50" si="80">SUM(KM9:KM49)</f>
        <v>1354.1899999999998</v>
      </c>
      <c r="KN50" s="171">
        <f t="shared" si="80"/>
        <v>1065.27</v>
      </c>
      <c r="KO50" s="180">
        <f t="shared" si="80"/>
        <v>3.22</v>
      </c>
      <c r="KP50" s="180">
        <f t="shared" si="80"/>
        <v>0</v>
      </c>
      <c r="KQ50" s="178">
        <f>SUM(KM50:KP50)</f>
        <v>2422.6799999999998</v>
      </c>
      <c r="KR50" s="179">
        <f t="shared" ref="KR50:KU50" si="81">SUM(KR9:KR49)</f>
        <v>1311.06</v>
      </c>
      <c r="KS50" s="180">
        <f t="shared" si="81"/>
        <v>659.64999999999986</v>
      </c>
      <c r="KT50" s="180">
        <f t="shared" si="81"/>
        <v>0</v>
      </c>
      <c r="KU50" s="180">
        <f t="shared" si="81"/>
        <v>0</v>
      </c>
      <c r="KV50" s="178">
        <f>SUM(KR50:KU50)</f>
        <v>1970.7099999999998</v>
      </c>
    </row>
    <row r="51" spans="1:308" ht="15.75" x14ac:dyDescent="0.25">
      <c r="A51" s="181"/>
      <c r="B51" s="182"/>
      <c r="C51" s="182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L51" s="183"/>
    </row>
    <row r="52" spans="1:308" x14ac:dyDescent="0.25">
      <c r="A52" s="184" t="s">
        <v>33</v>
      </c>
      <c r="B52" s="4"/>
      <c r="C52" s="4"/>
      <c r="D52" s="4"/>
      <c r="E52" s="4"/>
      <c r="F52" s="4"/>
      <c r="G52" s="4"/>
      <c r="H52" s="4"/>
      <c r="CA52" s="5"/>
      <c r="CB52" s="5"/>
      <c r="CC52" s="5"/>
      <c r="CD52" s="5"/>
    </row>
    <row r="53" spans="1:308" x14ac:dyDescent="0.25">
      <c r="A53" s="5" t="s">
        <v>34</v>
      </c>
    </row>
    <row r="54" spans="1:308" x14ac:dyDescent="0.25">
      <c r="A54" s="5" t="s">
        <v>35</v>
      </c>
    </row>
    <row r="55" spans="1:308" x14ac:dyDescent="0.25">
      <c r="A55" s="5" t="s">
        <v>36</v>
      </c>
    </row>
  </sheetData>
  <mergeCells count="80">
    <mergeCell ref="KV7:KV8"/>
    <mergeCell ref="KH7:KK7"/>
    <mergeCell ref="KL7:KL8"/>
    <mergeCell ref="KM7:KP7"/>
    <mergeCell ref="KQ7:KQ8"/>
    <mergeCell ref="KR7:KU7"/>
    <mergeCell ref="KC7:KF7"/>
    <mergeCell ref="KG7:KG8"/>
    <mergeCell ref="BQ6:DX6"/>
    <mergeCell ref="DY6:GF6"/>
    <mergeCell ref="GG6:IN6"/>
    <mergeCell ref="JX7:KA7"/>
    <mergeCell ref="KB7:KB8"/>
    <mergeCell ref="IO6:KB6"/>
    <mergeCell ref="JW7:JW8"/>
    <mergeCell ref="JR7:JR8"/>
    <mergeCell ref="JM7:JM8"/>
    <mergeCell ref="JH7:JH8"/>
    <mergeCell ref="JC7:JC8"/>
    <mergeCell ref="IX7:IX8"/>
    <mergeCell ref="IS7:IS8"/>
    <mergeCell ref="GK7:GK8"/>
    <mergeCell ref="GP7:GP8"/>
    <mergeCell ref="GU7:GU8"/>
    <mergeCell ref="GZ7:GZ8"/>
    <mergeCell ref="HE7:HE8"/>
    <mergeCell ref="HJ7:HJ8"/>
    <mergeCell ref="HO7:HO8"/>
    <mergeCell ref="HP7:HS7"/>
    <mergeCell ref="HT7:HT8"/>
    <mergeCell ref="HU7:HX7"/>
    <mergeCell ref="HY7:HY8"/>
    <mergeCell ref="DS7:DS8"/>
    <mergeCell ref="ID7:ID8"/>
    <mergeCell ref="II7:II8"/>
    <mergeCell ref="IN7:IN8"/>
    <mergeCell ref="DX7:DX8"/>
    <mergeCell ref="EC7:EC8"/>
    <mergeCell ref="EH7:EH8"/>
    <mergeCell ref="EM7:EM8"/>
    <mergeCell ref="ER7:ER8"/>
    <mergeCell ref="EW7:EW8"/>
    <mergeCell ref="FB7:FB8"/>
    <mergeCell ref="FG7:FG8"/>
    <mergeCell ref="FH7:FK7"/>
    <mergeCell ref="FL7:FL8"/>
    <mergeCell ref="FQ7:FQ8"/>
    <mergeCell ref="FV7:FV8"/>
    <mergeCell ref="AG7:AG8"/>
    <mergeCell ref="GA7:GA8"/>
    <mergeCell ref="FM7:FP7"/>
    <mergeCell ref="GF7:GF8"/>
    <mergeCell ref="BU7:BU8"/>
    <mergeCell ref="BZ7:BZ8"/>
    <mergeCell ref="CE7:CE8"/>
    <mergeCell ref="CJ7:CJ8"/>
    <mergeCell ref="CO7:CO8"/>
    <mergeCell ref="CT7:CT8"/>
    <mergeCell ref="CY7:CY8"/>
    <mergeCell ref="CZ7:DC7"/>
    <mergeCell ref="DD7:DD8"/>
    <mergeCell ref="DE7:DH7"/>
    <mergeCell ref="DI7:DI8"/>
    <mergeCell ref="DN7:DN8"/>
    <mergeCell ref="D6:H6"/>
    <mergeCell ref="I6:BP6"/>
    <mergeCell ref="BA7:BA8"/>
    <mergeCell ref="BF7:BF8"/>
    <mergeCell ref="BK7:BK8"/>
    <mergeCell ref="BP7:BP8"/>
    <mergeCell ref="H7:H8"/>
    <mergeCell ref="AL7:AL8"/>
    <mergeCell ref="AQ7:AQ8"/>
    <mergeCell ref="AR7:AU7"/>
    <mergeCell ref="AV7:AV8"/>
    <mergeCell ref="AW7:AZ7"/>
    <mergeCell ref="M7:M8"/>
    <mergeCell ref="R7:R8"/>
    <mergeCell ref="W7:W8"/>
    <mergeCell ref="AB7:AB8"/>
  </mergeCells>
  <pageMargins left="0.15748031496062992" right="0.15748031496062992" top="0.55118110236220474" bottom="0.47244094488188981" header="0.31496062992125984" footer="0.15748031496062992"/>
  <pageSetup paperSize="9" scale="37" firstPageNumber="26" fitToHeight="0" orientation="landscape" useFirstPageNumber="1" r:id="rId1"/>
  <headerFooter>
    <oddFooter>&amp;C&amp;18Page 30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C5F8-FAF8-4FD0-BE23-398C26635E19}">
  <sheetPr>
    <tabColor theme="1"/>
    <pageSetUpPr fitToPage="1"/>
  </sheetPr>
  <dimension ref="A1:CS128"/>
  <sheetViews>
    <sheetView topLeftCell="BR12" workbookViewId="0">
      <selection activeCell="CP44" sqref="CP44"/>
    </sheetView>
  </sheetViews>
  <sheetFormatPr defaultRowHeight="15" outlineLevelCol="1" x14ac:dyDescent="0.25"/>
  <cols>
    <col min="1" max="2" width="9.140625" style="280"/>
    <col min="3" max="3" width="10.140625" style="280" bestFit="1" customWidth="1"/>
    <col min="4" max="15" width="9.140625" style="280" hidden="1" customWidth="1" outlineLevel="1"/>
    <col min="16" max="16" width="9.140625" style="280" collapsed="1"/>
    <col min="17" max="19" width="9.140625" style="280"/>
    <col min="20" max="31" width="9.140625" style="280" hidden="1" customWidth="1" outlineLevel="1"/>
    <col min="32" max="32" width="9.140625" style="280" collapsed="1"/>
    <col min="33" max="35" width="9.140625" style="280"/>
    <col min="36" max="47" width="9.140625" style="280" hidden="1" customWidth="1" outlineLevel="1"/>
    <col min="48" max="48" width="9.140625" style="280" collapsed="1"/>
    <col min="49" max="51" width="9.140625" style="280"/>
    <col min="52" max="63" width="9.140625" style="280" hidden="1" customWidth="1" outlineLevel="1"/>
    <col min="64" max="64" width="9.140625" style="280" collapsed="1"/>
    <col min="65" max="67" width="9.140625" style="280"/>
    <col min="68" max="68" width="1.28515625" style="280" customWidth="1"/>
    <col min="69" max="80" width="12.7109375" style="280" customWidth="1"/>
    <col min="81" max="81" width="1.28515625" style="280" customWidth="1"/>
    <col min="82" max="16384" width="9.140625" style="280"/>
  </cols>
  <sheetData>
    <row r="1" spans="1:97" s="285" customFormat="1" ht="15.75" thickBot="1" x14ac:dyDescent="0.3"/>
    <row r="2" spans="1:97" s="285" customFormat="1" ht="15.75" thickBot="1" x14ac:dyDescent="0.3">
      <c r="A2" s="287"/>
      <c r="B2" s="287"/>
      <c r="C2" s="287"/>
      <c r="P2" s="501" t="s">
        <v>62</v>
      </c>
      <c r="Q2" s="502"/>
      <c r="R2" s="502"/>
      <c r="S2" s="503"/>
      <c r="AF2" s="501" t="s">
        <v>59</v>
      </c>
      <c r="AG2" s="502"/>
      <c r="AH2" s="502"/>
      <c r="AI2" s="503"/>
      <c r="AV2" s="501" t="s">
        <v>56</v>
      </c>
      <c r="AW2" s="502"/>
      <c r="AX2" s="502"/>
      <c r="AY2" s="503"/>
      <c r="BL2" s="501" t="s">
        <v>53</v>
      </c>
      <c r="BM2" s="502"/>
      <c r="BN2" s="502"/>
      <c r="BO2" s="503"/>
      <c r="BP2" s="292"/>
      <c r="BQ2" s="507" t="s">
        <v>61</v>
      </c>
      <c r="BR2" s="508"/>
      <c r="BS2" s="509"/>
      <c r="BT2" s="507" t="s">
        <v>58</v>
      </c>
      <c r="BU2" s="508"/>
      <c r="BV2" s="509"/>
      <c r="BW2" s="507" t="s">
        <v>55</v>
      </c>
      <c r="BX2" s="508"/>
      <c r="BY2" s="509"/>
      <c r="BZ2" s="507" t="s">
        <v>52</v>
      </c>
      <c r="CA2" s="508"/>
      <c r="CB2" s="509"/>
      <c r="CC2" s="292"/>
      <c r="CD2" s="513" t="s">
        <v>60</v>
      </c>
      <c r="CE2" s="514"/>
      <c r="CF2" s="514"/>
      <c r="CG2" s="515"/>
      <c r="CH2" s="513" t="s">
        <v>57</v>
      </c>
      <c r="CI2" s="514"/>
      <c r="CJ2" s="514"/>
      <c r="CK2" s="515"/>
      <c r="CL2" s="513" t="s">
        <v>54</v>
      </c>
      <c r="CM2" s="514"/>
      <c r="CN2" s="514"/>
      <c r="CO2" s="515"/>
      <c r="CP2" s="513" t="s">
        <v>51</v>
      </c>
      <c r="CQ2" s="514"/>
      <c r="CR2" s="514"/>
      <c r="CS2" s="515"/>
    </row>
    <row r="3" spans="1:97" s="286" customFormat="1" x14ac:dyDescent="0.25">
      <c r="A3" s="523" t="s">
        <v>3</v>
      </c>
      <c r="B3" s="524"/>
      <c r="C3" s="527" t="s">
        <v>4</v>
      </c>
      <c r="D3" s="498" t="s">
        <v>37</v>
      </c>
      <c r="E3" s="499"/>
      <c r="F3" s="499"/>
      <c r="G3" s="500"/>
      <c r="H3" s="498" t="s">
        <v>38</v>
      </c>
      <c r="I3" s="499"/>
      <c r="J3" s="499"/>
      <c r="K3" s="500"/>
      <c r="L3" s="498" t="s">
        <v>39</v>
      </c>
      <c r="M3" s="499"/>
      <c r="N3" s="499"/>
      <c r="O3" s="519"/>
      <c r="P3" s="504"/>
      <c r="Q3" s="505"/>
      <c r="R3" s="505"/>
      <c r="S3" s="506"/>
      <c r="T3" s="498" t="s">
        <v>40</v>
      </c>
      <c r="U3" s="499"/>
      <c r="V3" s="499"/>
      <c r="W3" s="500"/>
      <c r="X3" s="498" t="s">
        <v>11</v>
      </c>
      <c r="Y3" s="499"/>
      <c r="Z3" s="499"/>
      <c r="AA3" s="500"/>
      <c r="AB3" s="498" t="s">
        <v>41</v>
      </c>
      <c r="AC3" s="499"/>
      <c r="AD3" s="499"/>
      <c r="AE3" s="500"/>
      <c r="AF3" s="504"/>
      <c r="AG3" s="505"/>
      <c r="AH3" s="505"/>
      <c r="AI3" s="506"/>
      <c r="AJ3" s="498" t="s">
        <v>42</v>
      </c>
      <c r="AK3" s="499"/>
      <c r="AL3" s="499"/>
      <c r="AM3" s="500"/>
      <c r="AN3" s="498" t="s">
        <v>43</v>
      </c>
      <c r="AO3" s="499"/>
      <c r="AP3" s="499"/>
      <c r="AQ3" s="500"/>
      <c r="AR3" s="498" t="s">
        <v>44</v>
      </c>
      <c r="AS3" s="499"/>
      <c r="AT3" s="499"/>
      <c r="AU3" s="500"/>
      <c r="AV3" s="504"/>
      <c r="AW3" s="505"/>
      <c r="AX3" s="505"/>
      <c r="AY3" s="506"/>
      <c r="AZ3" s="498" t="s">
        <v>45</v>
      </c>
      <c r="BA3" s="499"/>
      <c r="BB3" s="499"/>
      <c r="BC3" s="500"/>
      <c r="BD3" s="498" t="s">
        <v>46</v>
      </c>
      <c r="BE3" s="499"/>
      <c r="BF3" s="499"/>
      <c r="BG3" s="500"/>
      <c r="BH3" s="498" t="s">
        <v>47</v>
      </c>
      <c r="BI3" s="499"/>
      <c r="BJ3" s="499"/>
      <c r="BK3" s="500"/>
      <c r="BL3" s="504"/>
      <c r="BM3" s="505"/>
      <c r="BN3" s="505"/>
      <c r="BO3" s="506"/>
      <c r="BP3" s="292"/>
      <c r="BQ3" s="510"/>
      <c r="BR3" s="511"/>
      <c r="BS3" s="512"/>
      <c r="BT3" s="510"/>
      <c r="BU3" s="511"/>
      <c r="BV3" s="512"/>
      <c r="BW3" s="510"/>
      <c r="BX3" s="511"/>
      <c r="BY3" s="512"/>
      <c r="BZ3" s="510"/>
      <c r="CA3" s="511"/>
      <c r="CB3" s="512"/>
      <c r="CC3" s="292"/>
      <c r="CD3" s="516"/>
      <c r="CE3" s="517"/>
      <c r="CF3" s="517"/>
      <c r="CG3" s="518"/>
      <c r="CH3" s="516"/>
      <c r="CI3" s="517"/>
      <c r="CJ3" s="517"/>
      <c r="CK3" s="518"/>
      <c r="CL3" s="516"/>
      <c r="CM3" s="517"/>
      <c r="CN3" s="517"/>
      <c r="CO3" s="518"/>
      <c r="CP3" s="516"/>
      <c r="CQ3" s="517"/>
      <c r="CR3" s="517"/>
      <c r="CS3" s="518"/>
    </row>
    <row r="4" spans="1:97" s="286" customFormat="1" ht="15.75" thickBot="1" x14ac:dyDescent="0.3">
      <c r="A4" s="525"/>
      <c r="B4" s="526"/>
      <c r="C4" s="528"/>
      <c r="D4" s="288">
        <v>2022</v>
      </c>
      <c r="E4" s="289">
        <v>2023</v>
      </c>
      <c r="F4" s="289">
        <v>2024</v>
      </c>
      <c r="G4" s="290">
        <v>2025</v>
      </c>
      <c r="H4" s="288">
        <v>2022</v>
      </c>
      <c r="I4" s="289">
        <v>2023</v>
      </c>
      <c r="J4" s="289">
        <v>2024</v>
      </c>
      <c r="K4" s="290">
        <v>2025</v>
      </c>
      <c r="L4" s="288">
        <v>2022</v>
      </c>
      <c r="M4" s="289">
        <v>2023</v>
      </c>
      <c r="N4" s="289">
        <v>2024</v>
      </c>
      <c r="O4" s="291">
        <v>2025</v>
      </c>
      <c r="P4" s="288">
        <v>2022</v>
      </c>
      <c r="Q4" s="289">
        <v>2023</v>
      </c>
      <c r="R4" s="289">
        <v>2024</v>
      </c>
      <c r="S4" s="290">
        <v>2025</v>
      </c>
      <c r="T4" s="288">
        <v>2022</v>
      </c>
      <c r="U4" s="289">
        <v>2023</v>
      </c>
      <c r="V4" s="289">
        <v>2024</v>
      </c>
      <c r="W4" s="290">
        <v>2025</v>
      </c>
      <c r="X4" s="288">
        <v>2022</v>
      </c>
      <c r="Y4" s="289">
        <v>2023</v>
      </c>
      <c r="Z4" s="289">
        <v>2024</v>
      </c>
      <c r="AA4" s="290">
        <v>2025</v>
      </c>
      <c r="AB4" s="288">
        <v>2022</v>
      </c>
      <c r="AC4" s="289">
        <v>2023</v>
      </c>
      <c r="AD4" s="289">
        <v>2024</v>
      </c>
      <c r="AE4" s="290">
        <v>2025</v>
      </c>
      <c r="AF4" s="288">
        <v>2022</v>
      </c>
      <c r="AG4" s="289">
        <v>2023</v>
      </c>
      <c r="AH4" s="289">
        <v>2024</v>
      </c>
      <c r="AI4" s="290">
        <v>2025</v>
      </c>
      <c r="AJ4" s="288">
        <v>2022</v>
      </c>
      <c r="AK4" s="289">
        <v>2023</v>
      </c>
      <c r="AL4" s="289">
        <v>2024</v>
      </c>
      <c r="AM4" s="290">
        <v>2025</v>
      </c>
      <c r="AN4" s="288">
        <v>2022</v>
      </c>
      <c r="AO4" s="289">
        <v>2023</v>
      </c>
      <c r="AP4" s="289">
        <v>2024</v>
      </c>
      <c r="AQ4" s="290">
        <v>2025</v>
      </c>
      <c r="AR4" s="288">
        <v>2022</v>
      </c>
      <c r="AS4" s="289">
        <v>2023</v>
      </c>
      <c r="AT4" s="289">
        <v>2024</v>
      </c>
      <c r="AU4" s="290">
        <v>2025</v>
      </c>
      <c r="AV4" s="288">
        <v>2022</v>
      </c>
      <c r="AW4" s="289">
        <v>2023</v>
      </c>
      <c r="AX4" s="289">
        <v>2024</v>
      </c>
      <c r="AY4" s="290">
        <v>2025</v>
      </c>
      <c r="AZ4" s="288">
        <v>2022</v>
      </c>
      <c r="BA4" s="289">
        <v>2023</v>
      </c>
      <c r="BB4" s="289">
        <v>2024</v>
      </c>
      <c r="BC4" s="290">
        <v>2025</v>
      </c>
      <c r="BD4" s="288">
        <v>2022</v>
      </c>
      <c r="BE4" s="289">
        <v>2023</v>
      </c>
      <c r="BF4" s="289">
        <v>2024</v>
      </c>
      <c r="BG4" s="290">
        <v>2025</v>
      </c>
      <c r="BH4" s="288">
        <v>2022</v>
      </c>
      <c r="BI4" s="289">
        <v>2023</v>
      </c>
      <c r="BJ4" s="289">
        <v>2024</v>
      </c>
      <c r="BK4" s="290">
        <v>2025</v>
      </c>
      <c r="BL4" s="288">
        <v>2022</v>
      </c>
      <c r="BM4" s="289">
        <v>2023</v>
      </c>
      <c r="BN4" s="289">
        <v>2024</v>
      </c>
      <c r="BO4" s="290">
        <v>2025</v>
      </c>
      <c r="BQ4" s="288" t="s">
        <v>48</v>
      </c>
      <c r="BR4" s="289" t="s">
        <v>49</v>
      </c>
      <c r="BS4" s="290" t="s">
        <v>50</v>
      </c>
      <c r="BT4" s="288" t="s">
        <v>48</v>
      </c>
      <c r="BU4" s="289" t="s">
        <v>49</v>
      </c>
      <c r="BV4" s="290" t="s">
        <v>50</v>
      </c>
      <c r="BW4" s="288" t="s">
        <v>48</v>
      </c>
      <c r="BX4" s="289" t="s">
        <v>49</v>
      </c>
      <c r="BY4" s="290" t="s">
        <v>50</v>
      </c>
      <c r="BZ4" s="288" t="s">
        <v>48</v>
      </c>
      <c r="CA4" s="289" t="s">
        <v>49</v>
      </c>
      <c r="CB4" s="290" t="s">
        <v>50</v>
      </c>
      <c r="CD4" s="289">
        <v>2022</v>
      </c>
      <c r="CE4" s="289">
        <v>2023</v>
      </c>
      <c r="CF4" s="289">
        <v>2024</v>
      </c>
      <c r="CG4" s="289">
        <v>2025</v>
      </c>
      <c r="CH4" s="289">
        <v>2022</v>
      </c>
      <c r="CI4" s="289">
        <v>2023</v>
      </c>
      <c r="CJ4" s="289">
        <v>2024</v>
      </c>
      <c r="CK4" s="289">
        <v>2025</v>
      </c>
      <c r="CL4" s="289">
        <v>2022</v>
      </c>
      <c r="CM4" s="289">
        <v>2023</v>
      </c>
      <c r="CN4" s="289">
        <v>2024</v>
      </c>
      <c r="CO4" s="289">
        <v>2025</v>
      </c>
      <c r="CP4" s="289">
        <v>2022</v>
      </c>
      <c r="CQ4" s="289">
        <v>2023</v>
      </c>
      <c r="CR4" s="289">
        <v>2024</v>
      </c>
      <c r="CS4" s="289">
        <v>2025</v>
      </c>
    </row>
    <row r="5" spans="1:97" x14ac:dyDescent="0.25">
      <c r="A5" s="520" t="s">
        <v>21</v>
      </c>
      <c r="B5" s="23">
        <v>1</v>
      </c>
      <c r="C5" s="24">
        <v>53.2</v>
      </c>
      <c r="D5" s="281">
        <f t="shared" ref="D5:D41" si="0">VLOOKUP(B5,year2022to23,72,FALSE)</f>
        <v>62.09</v>
      </c>
      <c r="E5" s="282">
        <f t="shared" ref="E5:E41" si="1">VLOOKUP(B5,year2022to23,132,FALSE)</f>
        <v>93.17</v>
      </c>
      <c r="F5" s="282">
        <f t="shared" ref="F5:F41" si="2">VLOOKUP(B5,year2022to23,192,FALSE)</f>
        <v>36.94</v>
      </c>
      <c r="G5" s="283">
        <f t="shared" ref="G5:G41" si="3">VLOOKUP(B5,year2022to23,252,FALSE)</f>
        <v>69.42</v>
      </c>
      <c r="H5" s="281">
        <f t="shared" ref="H5:H41" si="4">VLOOKUP(B5,year2022to23,77,FALSE)</f>
        <v>55.72</v>
      </c>
      <c r="I5" s="282">
        <f t="shared" ref="I5:I41" si="5">VLOOKUP(B5,year2022to23,137,FALSE)</f>
        <v>56.28</v>
      </c>
      <c r="J5" s="282">
        <f t="shared" ref="J5:J41" si="6">VLOOKUP(B5,year2022to23,197,FALSE)</f>
        <v>39.44</v>
      </c>
      <c r="K5" s="283">
        <f t="shared" ref="K5:K41" si="7">VLOOKUP(B5,year2022to23,257,FALSE)</f>
        <v>43.2</v>
      </c>
      <c r="L5" s="281">
        <f t="shared" ref="L5:L41" si="8">VLOOKUP(B5,year2022to23,82,FALSE)</f>
        <v>43.06</v>
      </c>
      <c r="M5" s="282">
        <f t="shared" ref="M5:M41" si="9">VLOOKUP(B5,year2022to23,142,FALSE)</f>
        <v>31.12</v>
      </c>
      <c r="N5" s="282">
        <f t="shared" ref="N5:N41" si="10">VLOOKUP(B5,year2022to23,202,FALSE)</f>
        <v>27.55</v>
      </c>
      <c r="O5" s="284">
        <f t="shared" ref="O5:O41" si="11">VLOOKUP(B5,year2022to23,262,FALSE)</f>
        <v>71.900000000000006</v>
      </c>
      <c r="P5" s="281">
        <f>D5+H5+L5</f>
        <v>160.87</v>
      </c>
      <c r="Q5" s="282">
        <f>E5+I5+M5</f>
        <v>180.57</v>
      </c>
      <c r="R5" s="282">
        <f>F5+J5+N5</f>
        <v>103.92999999999999</v>
      </c>
      <c r="S5" s="283">
        <f>G5+K5+O5</f>
        <v>184.52</v>
      </c>
      <c r="T5" s="281">
        <f t="shared" ref="T5:T41" si="12">VLOOKUP(B5,year2022to23,87,FALSE)</f>
        <v>87.37</v>
      </c>
      <c r="U5" s="282">
        <f t="shared" ref="U5:U41" si="13">VLOOKUP(B5,year2022to23,147,FALSE)</f>
        <v>36.07</v>
      </c>
      <c r="V5" s="282">
        <f t="shared" ref="V5:V41" si="14">VLOOKUP(B5,year2022to23,207,FALSE)</f>
        <v>34.130000000000003</v>
      </c>
      <c r="W5" s="283">
        <f t="shared" ref="W5:W41" si="15">VLOOKUP(B5,year2022to23,267,FALSE)</f>
        <v>82.490000000000009</v>
      </c>
      <c r="X5" s="281">
        <f t="shared" ref="X5:X41" si="16">VLOOKUP(B5,year2022to23,92,FALSE)</f>
        <v>52.38</v>
      </c>
      <c r="Y5" s="282">
        <f t="shared" ref="Y5:Y41" si="17">VLOOKUP(B5,year2022to23,152,FALSE)</f>
        <v>50.52</v>
      </c>
      <c r="Z5" s="282">
        <f t="shared" ref="Z5:Z41" si="18">VLOOKUP(B5,year2022to23,212,FALSE)</f>
        <v>58.91</v>
      </c>
      <c r="AA5" s="283">
        <f t="shared" ref="AA5:AA41" si="19">VLOOKUP(B5,year2022to23,272,FALSE)</f>
        <v>84.13</v>
      </c>
      <c r="AB5" s="281">
        <f t="shared" ref="AB5:AB41" si="20">VLOOKUP(B5,year2022to23,97,FALSE)</f>
        <v>54.89</v>
      </c>
      <c r="AC5" s="282">
        <f t="shared" ref="AC5:AC41" si="21">VLOOKUP(B5,year2022to23,157,FALSE)</f>
        <v>55.36</v>
      </c>
      <c r="AD5" s="282">
        <f t="shared" ref="AD5:AD41" si="22">VLOOKUP(B5,year2022to23,217,FALSE)</f>
        <v>54.04</v>
      </c>
      <c r="AE5" s="283">
        <f t="shared" ref="AE5:AE41" si="23">VLOOKUP(B5,year2022to23,277,FALSE)</f>
        <v>52.52</v>
      </c>
      <c r="AF5" s="281">
        <f>T5+X5+AB5</f>
        <v>194.64</v>
      </c>
      <c r="AG5" s="282">
        <f>U5+Y5+AC5</f>
        <v>141.94999999999999</v>
      </c>
      <c r="AH5" s="282">
        <f>V5+Z5+AD5</f>
        <v>147.07999999999998</v>
      </c>
      <c r="AI5" s="283">
        <f>W5+AA5+AE5</f>
        <v>219.14000000000001</v>
      </c>
      <c r="AJ5" s="281">
        <f t="shared" ref="AJ5:AJ41" si="24">VLOOKUP(B5,year2022to23,102,FALSE)</f>
        <v>67.599999999999994</v>
      </c>
      <c r="AK5" s="282">
        <f t="shared" ref="AK5:AK41" si="25">VLOOKUP(B5,year2022to23,162,FALSE)</f>
        <v>46.79</v>
      </c>
      <c r="AL5" s="282">
        <f t="shared" ref="AL5:AL41" si="26">VLOOKUP(B5,year2022to23,222,FALSE)</f>
        <v>44.8</v>
      </c>
      <c r="AM5" s="283">
        <f t="shared" ref="AM5:AM41" si="27">VLOOKUP(B5,year2022to23,282,FALSE)</f>
        <v>45.54</v>
      </c>
      <c r="AN5" s="281">
        <f t="shared" ref="AN5:AN41" si="28">VLOOKUP(B5,year2022to23,107,FALSE)</f>
        <v>45.84</v>
      </c>
      <c r="AO5" s="282">
        <f t="shared" ref="AO5:AO41" si="29">VLOOKUP(B5,year2022to23,167,FALSE)</f>
        <v>54.7</v>
      </c>
      <c r="AP5" s="282">
        <f t="shared" ref="AP5:AP41" si="30">VLOOKUP(B5,year2022to23,227,FALSE)</f>
        <v>65.94</v>
      </c>
      <c r="AQ5" s="283">
        <f t="shared" ref="AQ5:AQ41" si="31">IFERROR(VLOOKUP(B5,year2022to23,287,FALSE),0)</f>
        <v>64.97999999999999</v>
      </c>
      <c r="AR5" s="281">
        <f t="shared" ref="AR5:AR41" si="32">VLOOKUP(B5,year2022to23,112,FALSE)</f>
        <v>70.95</v>
      </c>
      <c r="AS5" s="282">
        <f t="shared" ref="AS5:AS41" si="33">VLOOKUP(B5,year2022to23,172,FALSE)</f>
        <v>66.5</v>
      </c>
      <c r="AT5" s="282">
        <f t="shared" ref="AT5:AT41" si="34">VLOOKUP(B5,year2022to23,232,FALSE)</f>
        <v>51.120000000000005</v>
      </c>
      <c r="AU5" s="283"/>
      <c r="AV5" s="281">
        <f>AJ5+AN5+AR5</f>
        <v>184.39</v>
      </c>
      <c r="AW5" s="282">
        <f>AK5+AO5+AS5</f>
        <v>167.99</v>
      </c>
      <c r="AX5" s="282">
        <f>AL5+AP5+AT5</f>
        <v>161.86000000000001</v>
      </c>
      <c r="AY5" s="283">
        <f>AM5+AQ5+AU5</f>
        <v>110.51999999999998</v>
      </c>
      <c r="AZ5" s="281">
        <f t="shared" ref="AZ5:AZ41" si="35">VLOOKUP(B5,year2022to23,117,FALSE)</f>
        <v>71.67</v>
      </c>
      <c r="BA5" s="282">
        <f t="shared" ref="BA5:BA41" si="36">VLOOKUP(B5,year2022to23,177,FALSE)</f>
        <v>74.05</v>
      </c>
      <c r="BB5" s="282">
        <f t="shared" ref="BB5:BB41" si="37">VLOOKUP(B5,year2022to23,237,FALSE)</f>
        <v>108.35</v>
      </c>
      <c r="BC5" s="283"/>
      <c r="BD5" s="281">
        <f t="shared" ref="BD5:BD41" si="38">VLOOKUP(B5,year2022to23,122,FALSE)</f>
        <v>65.84</v>
      </c>
      <c r="BE5" s="282">
        <f t="shared" ref="BE5:BE41" si="39">VLOOKUP(B5,year2022to23,182,FALSE)</f>
        <v>83.77000000000001</v>
      </c>
      <c r="BF5" s="282">
        <f t="shared" ref="BF5:BF41" si="40">VLOOKUP(B5,year2022to23,242,FALSE)</f>
        <v>103.85</v>
      </c>
      <c r="BG5" s="283"/>
      <c r="BH5" s="281">
        <f t="shared" ref="BH5:BH41" si="41">VLOOKUP(B5,year2022to23,127,FALSE)</f>
        <v>98.16</v>
      </c>
      <c r="BI5" s="282">
        <f t="shared" ref="BI5:BI41" si="42">VLOOKUP(B5,year2022to23,187,FALSE)</f>
        <v>57.010000000000005</v>
      </c>
      <c r="BJ5" s="282">
        <f t="shared" ref="BJ5:BJ41" si="43">VLOOKUP(B5,year2022to23,247,FALSE)</f>
        <v>82.070000000000007</v>
      </c>
      <c r="BK5" s="283"/>
      <c r="BL5" s="281">
        <f>AZ5+BD5+BH5</f>
        <v>235.67</v>
      </c>
      <c r="BM5" s="282">
        <f>BA5+BE5+BI5</f>
        <v>214.82999999999998</v>
      </c>
      <c r="BN5" s="282">
        <f>BB5+BF5+BJ5</f>
        <v>294.27</v>
      </c>
      <c r="BO5" s="283">
        <f>BC5+BG5+BK5</f>
        <v>0</v>
      </c>
      <c r="BQ5" s="281">
        <f t="shared" ref="BQ5:BQ42" si="44">Q5-P5</f>
        <v>19.699999999999989</v>
      </c>
      <c r="BR5" s="282">
        <f t="shared" ref="BR5:BR42" si="45">R5-Q5</f>
        <v>-76.64</v>
      </c>
      <c r="BS5" s="283">
        <f t="shared" ref="BS5:BS42" si="46">S5-R5</f>
        <v>80.590000000000018</v>
      </c>
      <c r="BT5" s="281">
        <f t="shared" ref="BT5:BT42" si="47">AG5-AF5</f>
        <v>-52.69</v>
      </c>
      <c r="BU5" s="282">
        <f t="shared" ref="BU5:BU42" si="48">AH5-AG5</f>
        <v>5.1299999999999955</v>
      </c>
      <c r="BV5" s="283">
        <f t="shared" ref="BV5:BV42" si="49">AI5-AH5</f>
        <v>72.060000000000031</v>
      </c>
      <c r="BW5" s="281">
        <f t="shared" ref="BW5:BW42" si="50">AW5-AV5</f>
        <v>-16.399999999999977</v>
      </c>
      <c r="BX5" s="282">
        <f t="shared" ref="BX5:BX42" si="51">AX5-AW5</f>
        <v>-6.1299999999999955</v>
      </c>
      <c r="BY5" s="283">
        <f t="shared" ref="BY5:BY42" si="52">AY5-AX5</f>
        <v>-51.340000000000032</v>
      </c>
      <c r="BZ5" s="281">
        <f>BM5-BL5</f>
        <v>-20.840000000000003</v>
      </c>
      <c r="CA5" s="282">
        <f>BN5-BM5</f>
        <v>79.44</v>
      </c>
      <c r="CB5" s="283">
        <f>BO5-BN5</f>
        <v>-294.27</v>
      </c>
      <c r="CD5" s="282">
        <f t="shared" ref="CD5:CD42" si="53">D5+H5+L5</f>
        <v>160.87</v>
      </c>
      <c r="CE5" s="282">
        <f t="shared" ref="CE5:CE42" si="54">E5+I5+M5</f>
        <v>180.57</v>
      </c>
      <c r="CF5" s="282">
        <f t="shared" ref="CF5:CF42" si="55">F5+J5+N5</f>
        <v>103.92999999999999</v>
      </c>
      <c r="CG5" s="282">
        <f t="shared" ref="CG5:CG42" si="56">G5+K5+O5</f>
        <v>184.52</v>
      </c>
      <c r="CH5" s="282">
        <f t="shared" ref="CH5:CH42" si="57">CD5+T5+X5+AB5</f>
        <v>355.51</v>
      </c>
      <c r="CI5" s="282">
        <f t="shared" ref="CI5:CI42" si="58">CE5+U5+Y5+AC5</f>
        <v>322.52</v>
      </c>
      <c r="CJ5" s="282">
        <f t="shared" ref="CJ5:CJ42" si="59">CF5+V5+Z5+AD5</f>
        <v>251.01</v>
      </c>
      <c r="CK5" s="282">
        <f t="shared" ref="CK5:CK42" si="60">CG5+W5+AA5+AE5</f>
        <v>403.65999999999997</v>
      </c>
      <c r="CL5" s="282">
        <f t="shared" ref="CL5:CL42" si="61">CH5+AJ5+AN5+AR5</f>
        <v>539.90000000000009</v>
      </c>
      <c r="CM5" s="282">
        <f t="shared" ref="CM5:CM42" si="62">CI5+AK5+AO5+AS5</f>
        <v>490.51</v>
      </c>
      <c r="CN5" s="282">
        <f t="shared" ref="CN5:CN42" si="63">CJ5+AL5+AP5+AT5</f>
        <v>412.87</v>
      </c>
      <c r="CO5" s="282">
        <f t="shared" ref="CO5:CO42" si="64">CK5+AM5+AQ5+AU5</f>
        <v>514.17999999999995</v>
      </c>
      <c r="CP5" s="282">
        <f t="shared" ref="CP5:CP42" si="65">CL5+AZ5+BD5+BH5</f>
        <v>775.57</v>
      </c>
      <c r="CQ5" s="282">
        <f t="shared" ref="CQ5:CQ42" si="66">CM5+BA5+BE5+BI5</f>
        <v>705.33999999999992</v>
      </c>
      <c r="CR5" s="282">
        <f t="shared" ref="CR5:CR42" si="67">CN5+BB5+BF5+BJ5</f>
        <v>707.1400000000001</v>
      </c>
      <c r="CS5" s="282">
        <f t="shared" ref="CS5:CS42" si="68">CO5+BC5+BG5+BK5</f>
        <v>514.17999999999995</v>
      </c>
    </row>
    <row r="6" spans="1:97" x14ac:dyDescent="0.25">
      <c r="A6" s="521"/>
      <c r="B6" s="55">
        <v>2</v>
      </c>
      <c r="C6" s="56">
        <v>60.4</v>
      </c>
      <c r="D6" s="281">
        <f t="shared" si="0"/>
        <v>51.989999999999995</v>
      </c>
      <c r="E6" s="282">
        <f t="shared" si="1"/>
        <v>60.95</v>
      </c>
      <c r="F6" s="282">
        <f t="shared" si="2"/>
        <v>72.94</v>
      </c>
      <c r="G6" s="283">
        <f t="shared" si="3"/>
        <v>64.36</v>
      </c>
      <c r="H6" s="281">
        <f t="shared" si="4"/>
        <v>43.8</v>
      </c>
      <c r="I6" s="282">
        <f t="shared" si="5"/>
        <v>64.849999999999994</v>
      </c>
      <c r="J6" s="282">
        <f t="shared" si="6"/>
        <v>36.26</v>
      </c>
      <c r="K6" s="283">
        <f t="shared" si="7"/>
        <v>79.91</v>
      </c>
      <c r="L6" s="281">
        <f t="shared" si="8"/>
        <v>65.31</v>
      </c>
      <c r="M6" s="282">
        <f t="shared" si="9"/>
        <v>58.69</v>
      </c>
      <c r="N6" s="282">
        <f t="shared" si="10"/>
        <v>39.31</v>
      </c>
      <c r="O6" s="284">
        <f t="shared" si="11"/>
        <v>91.039999999999992</v>
      </c>
      <c r="P6" s="281">
        <f t="shared" ref="P6:P41" si="69">D6+H6+L6</f>
        <v>161.1</v>
      </c>
      <c r="Q6" s="282">
        <f t="shared" ref="Q6:Q42" si="70">E6+I6+M6</f>
        <v>184.49</v>
      </c>
      <c r="R6" s="282">
        <f t="shared" ref="R6:R42" si="71">F6+J6+N6</f>
        <v>148.51</v>
      </c>
      <c r="S6" s="283">
        <f t="shared" ref="S6:S42" si="72">G6+K6+O6</f>
        <v>235.30999999999997</v>
      </c>
      <c r="T6" s="281">
        <f t="shared" si="12"/>
        <v>51.57</v>
      </c>
      <c r="U6" s="282">
        <f t="shared" si="13"/>
        <v>40.72</v>
      </c>
      <c r="V6" s="282">
        <f t="shared" si="14"/>
        <v>55.739999999999995</v>
      </c>
      <c r="W6" s="283">
        <f t="shared" si="15"/>
        <v>74.37</v>
      </c>
      <c r="X6" s="281">
        <f t="shared" si="16"/>
        <v>45</v>
      </c>
      <c r="Y6" s="282">
        <f t="shared" si="17"/>
        <v>44.45</v>
      </c>
      <c r="Z6" s="282">
        <f t="shared" si="18"/>
        <v>75.750000000000014</v>
      </c>
      <c r="AA6" s="283">
        <f t="shared" si="19"/>
        <v>93.050000000000011</v>
      </c>
      <c r="AB6" s="281">
        <f t="shared" si="20"/>
        <v>49.9</v>
      </c>
      <c r="AC6" s="282">
        <f t="shared" si="21"/>
        <v>37.950000000000003</v>
      </c>
      <c r="AD6" s="282">
        <f t="shared" si="22"/>
        <v>63.910000000000004</v>
      </c>
      <c r="AE6" s="283">
        <f t="shared" si="23"/>
        <v>39.56</v>
      </c>
      <c r="AF6" s="281">
        <f t="shared" ref="AF6:AF41" si="73">T6+X6+AB6</f>
        <v>146.47</v>
      </c>
      <c r="AG6" s="282">
        <f t="shared" ref="AG6:AG42" si="74">U6+Y6+AC6</f>
        <v>123.12</v>
      </c>
      <c r="AH6" s="282">
        <f t="shared" ref="AH6:AH42" si="75">V6+Z6+AD6</f>
        <v>195.4</v>
      </c>
      <c r="AI6" s="283">
        <f t="shared" ref="AI6:AI42" si="76">W6+AA6+AE6</f>
        <v>206.98000000000002</v>
      </c>
      <c r="AJ6" s="281">
        <f t="shared" si="24"/>
        <v>40.17</v>
      </c>
      <c r="AK6" s="282">
        <f t="shared" si="25"/>
        <v>46.84</v>
      </c>
      <c r="AL6" s="282">
        <f t="shared" si="26"/>
        <v>51.46</v>
      </c>
      <c r="AM6" s="283">
        <f t="shared" si="27"/>
        <v>57.839999999999996</v>
      </c>
      <c r="AN6" s="281">
        <f t="shared" si="28"/>
        <v>57.61</v>
      </c>
      <c r="AO6" s="282">
        <f t="shared" si="29"/>
        <v>52.89</v>
      </c>
      <c r="AP6" s="282">
        <f t="shared" si="30"/>
        <v>107.30000000000001</v>
      </c>
      <c r="AQ6" s="283">
        <f t="shared" si="31"/>
        <v>51.16</v>
      </c>
      <c r="AR6" s="281">
        <f t="shared" si="32"/>
        <v>45.47</v>
      </c>
      <c r="AS6" s="282">
        <f t="shared" si="33"/>
        <v>63.92</v>
      </c>
      <c r="AT6" s="282">
        <f t="shared" si="34"/>
        <v>75.03</v>
      </c>
      <c r="AU6" s="283"/>
      <c r="AV6" s="281">
        <f t="shared" ref="AV6:AV41" si="77">AJ6+AN6+AR6</f>
        <v>143.25</v>
      </c>
      <c r="AW6" s="282">
        <f t="shared" ref="AW6:AW42" si="78">AK6+AO6+AS6</f>
        <v>163.65</v>
      </c>
      <c r="AX6" s="282">
        <f t="shared" ref="AX6:AX42" si="79">AL6+AP6+AT6</f>
        <v>233.79000000000002</v>
      </c>
      <c r="AY6" s="283">
        <f t="shared" ref="AY6:AY42" si="80">AM6+AQ6+AU6</f>
        <v>109</v>
      </c>
      <c r="AZ6" s="281">
        <f t="shared" si="35"/>
        <v>85.67</v>
      </c>
      <c r="BA6" s="282">
        <f t="shared" si="36"/>
        <v>67.58</v>
      </c>
      <c r="BB6" s="282">
        <f t="shared" si="37"/>
        <v>84.31</v>
      </c>
      <c r="BC6" s="283"/>
      <c r="BD6" s="281">
        <f t="shared" si="38"/>
        <v>59.79</v>
      </c>
      <c r="BE6" s="282">
        <f t="shared" si="39"/>
        <v>73.8</v>
      </c>
      <c r="BF6" s="282">
        <f t="shared" si="40"/>
        <v>95.713999999999999</v>
      </c>
      <c r="BG6" s="283"/>
      <c r="BH6" s="281">
        <f t="shared" si="41"/>
        <v>67.02000000000001</v>
      </c>
      <c r="BI6" s="282">
        <f t="shared" si="42"/>
        <v>89.22</v>
      </c>
      <c r="BJ6" s="282">
        <f t="shared" si="43"/>
        <v>70.989999999999995</v>
      </c>
      <c r="BK6" s="283"/>
      <c r="BL6" s="281">
        <f t="shared" ref="BL6:BL41" si="81">AZ6+BD6+BH6</f>
        <v>212.48000000000002</v>
      </c>
      <c r="BM6" s="282">
        <f t="shared" ref="BM6:BM42" si="82">BA6+BE6+BI6</f>
        <v>230.6</v>
      </c>
      <c r="BN6" s="282">
        <f t="shared" ref="BN6:BN42" si="83">BB6+BF6+BJ6</f>
        <v>251.01400000000001</v>
      </c>
      <c r="BO6" s="283">
        <f t="shared" ref="BO6:BO42" si="84">BC6+BG6+BK6</f>
        <v>0</v>
      </c>
      <c r="BQ6" s="281">
        <f t="shared" si="44"/>
        <v>23.390000000000015</v>
      </c>
      <c r="BR6" s="282">
        <f t="shared" si="45"/>
        <v>-35.980000000000018</v>
      </c>
      <c r="BS6" s="283">
        <f t="shared" si="46"/>
        <v>86.799999999999983</v>
      </c>
      <c r="BT6" s="281">
        <f t="shared" si="47"/>
        <v>-23.349999999999994</v>
      </c>
      <c r="BU6" s="282">
        <f t="shared" si="48"/>
        <v>72.28</v>
      </c>
      <c r="BV6" s="283">
        <f t="shared" si="49"/>
        <v>11.580000000000013</v>
      </c>
      <c r="BW6" s="281">
        <f t="shared" si="50"/>
        <v>20.400000000000006</v>
      </c>
      <c r="BX6" s="282">
        <f t="shared" si="51"/>
        <v>70.140000000000015</v>
      </c>
      <c r="BY6" s="283">
        <f t="shared" si="52"/>
        <v>-124.79000000000002</v>
      </c>
      <c r="BZ6" s="281">
        <f t="shared" ref="BZ6:BZ42" si="85">BM6-BL6</f>
        <v>18.119999999999976</v>
      </c>
      <c r="CA6" s="282">
        <f t="shared" ref="CA6:CA42" si="86">BN6-BM6</f>
        <v>20.414000000000016</v>
      </c>
      <c r="CB6" s="283">
        <f t="shared" ref="CB6:CB42" si="87">BO6-BN6</f>
        <v>-251.01400000000001</v>
      </c>
      <c r="CD6" s="282">
        <f t="shared" si="53"/>
        <v>161.1</v>
      </c>
      <c r="CE6" s="282">
        <f t="shared" si="54"/>
        <v>184.49</v>
      </c>
      <c r="CF6" s="282">
        <f t="shared" si="55"/>
        <v>148.51</v>
      </c>
      <c r="CG6" s="282">
        <f t="shared" si="56"/>
        <v>235.30999999999997</v>
      </c>
      <c r="CH6" s="282">
        <f t="shared" si="57"/>
        <v>307.56999999999994</v>
      </c>
      <c r="CI6" s="282">
        <f t="shared" si="58"/>
        <v>307.61</v>
      </c>
      <c r="CJ6" s="282">
        <f t="shared" si="59"/>
        <v>343.91</v>
      </c>
      <c r="CK6" s="282">
        <f t="shared" si="60"/>
        <v>442.28999999999996</v>
      </c>
      <c r="CL6" s="282">
        <f t="shared" si="61"/>
        <v>450.81999999999994</v>
      </c>
      <c r="CM6" s="282">
        <f t="shared" si="62"/>
        <v>471.26000000000005</v>
      </c>
      <c r="CN6" s="282">
        <f t="shared" si="63"/>
        <v>577.70000000000005</v>
      </c>
      <c r="CO6" s="282">
        <f t="shared" si="64"/>
        <v>551.29</v>
      </c>
      <c r="CP6" s="282">
        <f t="shared" si="65"/>
        <v>663.29999999999984</v>
      </c>
      <c r="CQ6" s="282">
        <f t="shared" si="66"/>
        <v>701.86</v>
      </c>
      <c r="CR6" s="282">
        <f t="shared" si="67"/>
        <v>828.71399999999994</v>
      </c>
      <c r="CS6" s="282">
        <f t="shared" si="68"/>
        <v>551.29</v>
      </c>
    </row>
    <row r="7" spans="1:97" x14ac:dyDescent="0.25">
      <c r="A7" s="521"/>
      <c r="B7" s="55">
        <v>3</v>
      </c>
      <c r="C7" s="56">
        <v>69.2</v>
      </c>
      <c r="D7" s="281">
        <f t="shared" si="0"/>
        <v>47.6</v>
      </c>
      <c r="E7" s="282">
        <f t="shared" si="1"/>
        <v>58.34</v>
      </c>
      <c r="F7" s="282">
        <f t="shared" si="2"/>
        <v>71.239999999999995</v>
      </c>
      <c r="G7" s="283">
        <f t="shared" si="3"/>
        <v>53.85</v>
      </c>
      <c r="H7" s="281">
        <f t="shared" si="4"/>
        <v>40.200000000000003</v>
      </c>
      <c r="I7" s="282">
        <f t="shared" si="5"/>
        <v>61.71</v>
      </c>
      <c r="J7" s="282">
        <f t="shared" si="6"/>
        <v>38.61</v>
      </c>
      <c r="K7" s="283">
        <f t="shared" si="7"/>
        <v>79.23</v>
      </c>
      <c r="L7" s="281">
        <f t="shared" si="8"/>
        <v>76.539999999999992</v>
      </c>
      <c r="M7" s="282">
        <f t="shared" si="9"/>
        <v>79.849999999999994</v>
      </c>
      <c r="N7" s="282">
        <f t="shared" si="10"/>
        <v>15.600000000000001</v>
      </c>
      <c r="O7" s="284">
        <f t="shared" si="11"/>
        <v>59.150000000000006</v>
      </c>
      <c r="P7" s="281">
        <f t="shared" si="69"/>
        <v>164.34</v>
      </c>
      <c r="Q7" s="282">
        <f t="shared" si="70"/>
        <v>199.9</v>
      </c>
      <c r="R7" s="282">
        <f t="shared" si="71"/>
        <v>125.44999999999999</v>
      </c>
      <c r="S7" s="283">
        <f t="shared" si="72"/>
        <v>192.23000000000002</v>
      </c>
      <c r="T7" s="281">
        <f t="shared" si="12"/>
        <v>52.65</v>
      </c>
      <c r="U7" s="282">
        <f t="shared" si="13"/>
        <v>32.980000000000004</v>
      </c>
      <c r="V7" s="282">
        <f t="shared" si="14"/>
        <v>49.739999999999995</v>
      </c>
      <c r="W7" s="283">
        <f t="shared" si="15"/>
        <v>104.87</v>
      </c>
      <c r="X7" s="281">
        <f t="shared" si="16"/>
        <v>81.28</v>
      </c>
      <c r="Y7" s="282">
        <f t="shared" si="17"/>
        <v>60.01</v>
      </c>
      <c r="Z7" s="282">
        <f t="shared" si="18"/>
        <v>60.55</v>
      </c>
      <c r="AA7" s="283">
        <f t="shared" si="19"/>
        <v>73.77000000000001</v>
      </c>
      <c r="AB7" s="281">
        <f t="shared" si="20"/>
        <v>62.95</v>
      </c>
      <c r="AC7" s="282">
        <f t="shared" si="21"/>
        <v>57.480000000000004</v>
      </c>
      <c r="AD7" s="282">
        <f t="shared" si="22"/>
        <v>57.660000000000004</v>
      </c>
      <c r="AE7" s="283">
        <f t="shared" si="23"/>
        <v>65.569999999999993</v>
      </c>
      <c r="AF7" s="281">
        <f t="shared" si="73"/>
        <v>196.88</v>
      </c>
      <c r="AG7" s="282">
        <f t="shared" si="74"/>
        <v>150.47000000000003</v>
      </c>
      <c r="AH7" s="282">
        <f t="shared" si="75"/>
        <v>167.95</v>
      </c>
      <c r="AI7" s="283">
        <f t="shared" si="76"/>
        <v>244.21</v>
      </c>
      <c r="AJ7" s="281">
        <f t="shared" si="24"/>
        <v>56.239999999999995</v>
      </c>
      <c r="AK7" s="282">
        <f t="shared" si="25"/>
        <v>76.739999999999995</v>
      </c>
      <c r="AL7" s="282">
        <f t="shared" si="26"/>
        <v>65.39</v>
      </c>
      <c r="AM7" s="283">
        <f t="shared" si="27"/>
        <v>75.8</v>
      </c>
      <c r="AN7" s="281">
        <f t="shared" si="28"/>
        <v>95.52000000000001</v>
      </c>
      <c r="AO7" s="282">
        <f t="shared" si="29"/>
        <v>73.83</v>
      </c>
      <c r="AP7" s="282">
        <f t="shared" si="30"/>
        <v>114.25</v>
      </c>
      <c r="AQ7" s="283">
        <f t="shared" si="31"/>
        <v>92.330000000000013</v>
      </c>
      <c r="AR7" s="281">
        <f t="shared" si="32"/>
        <v>119.56</v>
      </c>
      <c r="AS7" s="282">
        <f t="shared" si="33"/>
        <v>109.43</v>
      </c>
      <c r="AT7" s="282">
        <f t="shared" si="34"/>
        <v>93.92</v>
      </c>
      <c r="AU7" s="283"/>
      <c r="AV7" s="281">
        <f t="shared" si="77"/>
        <v>271.32</v>
      </c>
      <c r="AW7" s="282">
        <f t="shared" si="78"/>
        <v>260</v>
      </c>
      <c r="AX7" s="282">
        <f t="shared" si="79"/>
        <v>273.56</v>
      </c>
      <c r="AY7" s="283">
        <f t="shared" si="80"/>
        <v>168.13</v>
      </c>
      <c r="AZ7" s="281">
        <f t="shared" si="35"/>
        <v>166.7</v>
      </c>
      <c r="BA7" s="282">
        <f t="shared" si="36"/>
        <v>113.9</v>
      </c>
      <c r="BB7" s="282">
        <f t="shared" si="37"/>
        <v>146.82</v>
      </c>
      <c r="BC7" s="283"/>
      <c r="BD7" s="281">
        <f t="shared" si="38"/>
        <v>83.02</v>
      </c>
      <c r="BE7" s="282">
        <f t="shared" si="39"/>
        <v>71.92</v>
      </c>
      <c r="BF7" s="282">
        <f t="shared" si="40"/>
        <v>61.61</v>
      </c>
      <c r="BG7" s="283"/>
      <c r="BH7" s="281">
        <f t="shared" si="41"/>
        <v>106.95</v>
      </c>
      <c r="BI7" s="282">
        <f t="shared" si="42"/>
        <v>53</v>
      </c>
      <c r="BJ7" s="282">
        <f t="shared" si="43"/>
        <v>151.68</v>
      </c>
      <c r="BK7" s="283"/>
      <c r="BL7" s="281">
        <f t="shared" si="81"/>
        <v>356.66999999999996</v>
      </c>
      <c r="BM7" s="282">
        <f t="shared" si="82"/>
        <v>238.82</v>
      </c>
      <c r="BN7" s="282">
        <f t="shared" si="83"/>
        <v>360.11</v>
      </c>
      <c r="BO7" s="283">
        <f t="shared" si="84"/>
        <v>0</v>
      </c>
      <c r="BQ7" s="281">
        <f t="shared" si="44"/>
        <v>35.56</v>
      </c>
      <c r="BR7" s="282">
        <f t="shared" si="45"/>
        <v>-74.450000000000017</v>
      </c>
      <c r="BS7" s="283">
        <f t="shared" si="46"/>
        <v>66.78000000000003</v>
      </c>
      <c r="BT7" s="281">
        <f t="shared" si="47"/>
        <v>-46.409999999999968</v>
      </c>
      <c r="BU7" s="282">
        <f t="shared" si="48"/>
        <v>17.479999999999961</v>
      </c>
      <c r="BV7" s="283">
        <f t="shared" si="49"/>
        <v>76.260000000000019</v>
      </c>
      <c r="BW7" s="281">
        <f t="shared" si="50"/>
        <v>-11.319999999999993</v>
      </c>
      <c r="BX7" s="282">
        <f t="shared" si="51"/>
        <v>13.560000000000002</v>
      </c>
      <c r="BY7" s="283">
        <f t="shared" si="52"/>
        <v>-105.43</v>
      </c>
      <c r="BZ7" s="281">
        <f t="shared" si="85"/>
        <v>-117.84999999999997</v>
      </c>
      <c r="CA7" s="282">
        <f t="shared" si="86"/>
        <v>121.29000000000002</v>
      </c>
      <c r="CB7" s="283">
        <f t="shared" si="87"/>
        <v>-360.11</v>
      </c>
      <c r="CD7" s="282">
        <f t="shared" si="53"/>
        <v>164.34</v>
      </c>
      <c r="CE7" s="282">
        <f t="shared" si="54"/>
        <v>199.9</v>
      </c>
      <c r="CF7" s="282">
        <f t="shared" si="55"/>
        <v>125.44999999999999</v>
      </c>
      <c r="CG7" s="282">
        <f t="shared" si="56"/>
        <v>192.23000000000002</v>
      </c>
      <c r="CH7" s="282">
        <f t="shared" si="57"/>
        <v>361.21999999999997</v>
      </c>
      <c r="CI7" s="282">
        <f t="shared" si="58"/>
        <v>350.37</v>
      </c>
      <c r="CJ7" s="282">
        <f t="shared" si="59"/>
        <v>293.40000000000003</v>
      </c>
      <c r="CK7" s="282">
        <f t="shared" si="60"/>
        <v>436.44</v>
      </c>
      <c r="CL7" s="282">
        <f t="shared" si="61"/>
        <v>632.54</v>
      </c>
      <c r="CM7" s="282">
        <f t="shared" si="62"/>
        <v>610.37</v>
      </c>
      <c r="CN7" s="282">
        <f t="shared" si="63"/>
        <v>566.96</v>
      </c>
      <c r="CO7" s="282">
        <f t="shared" si="64"/>
        <v>604.57000000000005</v>
      </c>
      <c r="CP7" s="282">
        <f t="shared" si="65"/>
        <v>989.21</v>
      </c>
      <c r="CQ7" s="282">
        <f t="shared" si="66"/>
        <v>849.18999999999994</v>
      </c>
      <c r="CR7" s="282">
        <f t="shared" si="67"/>
        <v>927.06999999999994</v>
      </c>
      <c r="CS7" s="282">
        <f t="shared" si="68"/>
        <v>604.57000000000005</v>
      </c>
    </row>
    <row r="8" spans="1:97" x14ac:dyDescent="0.25">
      <c r="A8" s="521"/>
      <c r="B8" s="55">
        <v>4</v>
      </c>
      <c r="C8" s="56">
        <v>70.599999999999994</v>
      </c>
      <c r="D8" s="281">
        <f t="shared" si="0"/>
        <v>92.69</v>
      </c>
      <c r="E8" s="282">
        <f t="shared" si="1"/>
        <v>115.94</v>
      </c>
      <c r="F8" s="282">
        <f t="shared" si="2"/>
        <v>76.839999999999989</v>
      </c>
      <c r="G8" s="283">
        <f t="shared" si="3"/>
        <v>106.11</v>
      </c>
      <c r="H8" s="281">
        <f t="shared" si="4"/>
        <v>53.92</v>
      </c>
      <c r="I8" s="282">
        <f t="shared" si="5"/>
        <v>57.12</v>
      </c>
      <c r="J8" s="282">
        <f t="shared" si="6"/>
        <v>55.71</v>
      </c>
      <c r="K8" s="283">
        <f t="shared" si="7"/>
        <v>64.010000000000005</v>
      </c>
      <c r="L8" s="281">
        <f t="shared" si="8"/>
        <v>63.88</v>
      </c>
      <c r="M8" s="282">
        <f t="shared" si="9"/>
        <v>67.13</v>
      </c>
      <c r="N8" s="282">
        <f t="shared" si="10"/>
        <v>20.3</v>
      </c>
      <c r="O8" s="284">
        <f t="shared" si="11"/>
        <v>111.08000000000001</v>
      </c>
      <c r="P8" s="281">
        <f t="shared" si="69"/>
        <v>210.49</v>
      </c>
      <c r="Q8" s="282">
        <f t="shared" si="70"/>
        <v>240.19</v>
      </c>
      <c r="R8" s="282">
        <f t="shared" si="71"/>
        <v>152.85</v>
      </c>
      <c r="S8" s="283">
        <f t="shared" si="72"/>
        <v>281.20000000000005</v>
      </c>
      <c r="T8" s="281">
        <f t="shared" si="12"/>
        <v>103.24</v>
      </c>
      <c r="U8" s="282">
        <f t="shared" si="13"/>
        <v>93.68</v>
      </c>
      <c r="V8" s="282">
        <f t="shared" si="14"/>
        <v>54.88</v>
      </c>
      <c r="W8" s="283">
        <f t="shared" si="15"/>
        <v>115.12</v>
      </c>
      <c r="X8" s="281">
        <f t="shared" si="16"/>
        <v>81.430000000000007</v>
      </c>
      <c r="Y8" s="282">
        <f t="shared" si="17"/>
        <v>51.370000000000005</v>
      </c>
      <c r="Z8" s="282">
        <f t="shared" si="18"/>
        <v>76.83</v>
      </c>
      <c r="AA8" s="283">
        <f t="shared" si="19"/>
        <v>103.83</v>
      </c>
      <c r="AB8" s="281">
        <f t="shared" si="20"/>
        <v>56.7</v>
      </c>
      <c r="AC8" s="282">
        <f t="shared" si="21"/>
        <v>58.230000000000004</v>
      </c>
      <c r="AD8" s="282">
        <f t="shared" si="22"/>
        <v>65.08</v>
      </c>
      <c r="AE8" s="283">
        <f t="shared" si="23"/>
        <v>59.24</v>
      </c>
      <c r="AF8" s="281">
        <f t="shared" si="73"/>
        <v>241.37</v>
      </c>
      <c r="AG8" s="282">
        <f t="shared" si="74"/>
        <v>203.28000000000003</v>
      </c>
      <c r="AH8" s="282">
        <f t="shared" si="75"/>
        <v>196.79000000000002</v>
      </c>
      <c r="AI8" s="283">
        <f t="shared" si="76"/>
        <v>278.19</v>
      </c>
      <c r="AJ8" s="281">
        <f t="shared" si="24"/>
        <v>71.03</v>
      </c>
      <c r="AK8" s="282">
        <f t="shared" si="25"/>
        <v>67.95</v>
      </c>
      <c r="AL8" s="282">
        <f t="shared" si="26"/>
        <v>103.42</v>
      </c>
      <c r="AM8" s="283">
        <f t="shared" si="27"/>
        <v>53.76</v>
      </c>
      <c r="AN8" s="281">
        <f t="shared" si="28"/>
        <v>78.089999999999989</v>
      </c>
      <c r="AO8" s="282">
        <f t="shared" si="29"/>
        <v>72.509999999999991</v>
      </c>
      <c r="AP8" s="282">
        <f t="shared" si="30"/>
        <v>94.57</v>
      </c>
      <c r="AQ8" s="283">
        <f t="shared" si="31"/>
        <v>61.849999999999994</v>
      </c>
      <c r="AR8" s="281">
        <f t="shared" si="32"/>
        <v>172.08999999999997</v>
      </c>
      <c r="AS8" s="282">
        <f t="shared" si="33"/>
        <v>79.75</v>
      </c>
      <c r="AT8" s="282">
        <f t="shared" si="34"/>
        <v>127.55000000000001</v>
      </c>
      <c r="AU8" s="283"/>
      <c r="AV8" s="281">
        <f t="shared" si="77"/>
        <v>321.20999999999998</v>
      </c>
      <c r="AW8" s="282">
        <f t="shared" si="78"/>
        <v>220.20999999999998</v>
      </c>
      <c r="AX8" s="282">
        <f t="shared" si="79"/>
        <v>325.54000000000002</v>
      </c>
      <c r="AY8" s="283">
        <f t="shared" si="80"/>
        <v>115.60999999999999</v>
      </c>
      <c r="AZ8" s="281">
        <f t="shared" si="35"/>
        <v>115.32</v>
      </c>
      <c r="BA8" s="282">
        <f t="shared" si="36"/>
        <v>89.35</v>
      </c>
      <c r="BB8" s="282">
        <f t="shared" si="37"/>
        <v>143.9</v>
      </c>
      <c r="BC8" s="283"/>
      <c r="BD8" s="281">
        <f t="shared" si="38"/>
        <v>109.25</v>
      </c>
      <c r="BE8" s="282">
        <f t="shared" si="39"/>
        <v>91.68</v>
      </c>
      <c r="BF8" s="282">
        <f t="shared" si="40"/>
        <v>137.82300000000001</v>
      </c>
      <c r="BG8" s="283"/>
      <c r="BH8" s="281">
        <f t="shared" si="41"/>
        <v>82.56</v>
      </c>
      <c r="BI8" s="282">
        <f t="shared" si="42"/>
        <v>60.49</v>
      </c>
      <c r="BJ8" s="282">
        <f t="shared" si="43"/>
        <v>70.53</v>
      </c>
      <c r="BK8" s="283"/>
      <c r="BL8" s="281">
        <f t="shared" si="81"/>
        <v>307.13</v>
      </c>
      <c r="BM8" s="282">
        <f t="shared" si="82"/>
        <v>241.52</v>
      </c>
      <c r="BN8" s="282">
        <f t="shared" si="83"/>
        <v>352.25300000000004</v>
      </c>
      <c r="BO8" s="283">
        <f t="shared" si="84"/>
        <v>0</v>
      </c>
      <c r="BQ8" s="281">
        <f t="shared" si="44"/>
        <v>29.699999999999989</v>
      </c>
      <c r="BR8" s="282">
        <f t="shared" si="45"/>
        <v>-87.34</v>
      </c>
      <c r="BS8" s="283">
        <f t="shared" si="46"/>
        <v>128.35000000000005</v>
      </c>
      <c r="BT8" s="281">
        <f t="shared" si="47"/>
        <v>-38.089999999999975</v>
      </c>
      <c r="BU8" s="282">
        <f t="shared" si="48"/>
        <v>-6.4900000000000091</v>
      </c>
      <c r="BV8" s="283">
        <f t="shared" si="49"/>
        <v>81.399999999999977</v>
      </c>
      <c r="BW8" s="281">
        <f t="shared" si="50"/>
        <v>-101</v>
      </c>
      <c r="BX8" s="282">
        <f t="shared" si="51"/>
        <v>105.33000000000004</v>
      </c>
      <c r="BY8" s="283">
        <f t="shared" si="52"/>
        <v>-209.93000000000004</v>
      </c>
      <c r="BZ8" s="281">
        <f t="shared" si="85"/>
        <v>-65.609999999999985</v>
      </c>
      <c r="CA8" s="282">
        <f t="shared" si="86"/>
        <v>110.73300000000003</v>
      </c>
      <c r="CB8" s="283">
        <f t="shared" si="87"/>
        <v>-352.25300000000004</v>
      </c>
      <c r="CD8" s="282">
        <f t="shared" si="53"/>
        <v>210.49</v>
      </c>
      <c r="CE8" s="282">
        <f t="shared" si="54"/>
        <v>240.19</v>
      </c>
      <c r="CF8" s="282">
        <f t="shared" si="55"/>
        <v>152.85</v>
      </c>
      <c r="CG8" s="282">
        <f t="shared" si="56"/>
        <v>281.20000000000005</v>
      </c>
      <c r="CH8" s="282">
        <f t="shared" si="57"/>
        <v>451.86</v>
      </c>
      <c r="CI8" s="282">
        <f t="shared" si="58"/>
        <v>443.47</v>
      </c>
      <c r="CJ8" s="282">
        <f t="shared" si="59"/>
        <v>349.64</v>
      </c>
      <c r="CK8" s="282">
        <f t="shared" si="60"/>
        <v>559.39</v>
      </c>
      <c r="CL8" s="282">
        <f t="shared" si="61"/>
        <v>773.06999999999994</v>
      </c>
      <c r="CM8" s="282">
        <f t="shared" si="62"/>
        <v>663.68000000000006</v>
      </c>
      <c r="CN8" s="282">
        <f t="shared" si="63"/>
        <v>675.18000000000006</v>
      </c>
      <c r="CO8" s="282">
        <f t="shared" si="64"/>
        <v>675</v>
      </c>
      <c r="CP8" s="282">
        <f t="shared" si="65"/>
        <v>1080.1999999999998</v>
      </c>
      <c r="CQ8" s="282">
        <f t="shared" si="66"/>
        <v>905.2</v>
      </c>
      <c r="CR8" s="282">
        <f t="shared" si="67"/>
        <v>1027.433</v>
      </c>
      <c r="CS8" s="282">
        <f t="shared" si="68"/>
        <v>675</v>
      </c>
    </row>
    <row r="9" spans="1:97" x14ac:dyDescent="0.25">
      <c r="A9" s="521"/>
      <c r="B9" s="55">
        <v>5</v>
      </c>
      <c r="C9" s="56">
        <v>50.4</v>
      </c>
      <c r="D9" s="281">
        <f t="shared" si="0"/>
        <v>63.64</v>
      </c>
      <c r="E9" s="282">
        <f t="shared" si="1"/>
        <v>39.22</v>
      </c>
      <c r="F9" s="282">
        <f t="shared" si="2"/>
        <v>45.32</v>
      </c>
      <c r="G9" s="283">
        <f t="shared" si="3"/>
        <v>50.88</v>
      </c>
      <c r="H9" s="281">
        <f t="shared" si="4"/>
        <v>32.69</v>
      </c>
      <c r="I9" s="282">
        <f t="shared" si="5"/>
        <v>37.86</v>
      </c>
      <c r="J9" s="282">
        <f t="shared" si="6"/>
        <v>26.16</v>
      </c>
      <c r="K9" s="283">
        <f t="shared" si="7"/>
        <v>51.14</v>
      </c>
      <c r="L9" s="281">
        <f t="shared" si="8"/>
        <v>51.55</v>
      </c>
      <c r="M9" s="282">
        <f t="shared" si="9"/>
        <v>44.35</v>
      </c>
      <c r="N9" s="282">
        <f t="shared" si="10"/>
        <v>24.85</v>
      </c>
      <c r="O9" s="284">
        <f t="shared" si="11"/>
        <v>57.42</v>
      </c>
      <c r="P9" s="281">
        <f t="shared" si="69"/>
        <v>147.88</v>
      </c>
      <c r="Q9" s="282">
        <f t="shared" si="70"/>
        <v>121.43</v>
      </c>
      <c r="R9" s="282">
        <f t="shared" si="71"/>
        <v>96.330000000000013</v>
      </c>
      <c r="S9" s="283">
        <f t="shared" si="72"/>
        <v>159.44</v>
      </c>
      <c r="T9" s="281">
        <f t="shared" si="12"/>
        <v>42.08</v>
      </c>
      <c r="U9" s="282">
        <f t="shared" si="13"/>
        <v>81.83</v>
      </c>
      <c r="V9" s="282">
        <f t="shared" si="14"/>
        <v>44.879999999999995</v>
      </c>
      <c r="W9" s="283">
        <f t="shared" si="15"/>
        <v>92.55</v>
      </c>
      <c r="X9" s="281">
        <f t="shared" si="16"/>
        <v>68.12</v>
      </c>
      <c r="Y9" s="282">
        <f t="shared" si="17"/>
        <v>45.88</v>
      </c>
      <c r="Z9" s="282">
        <f t="shared" si="18"/>
        <v>66.300000000000011</v>
      </c>
      <c r="AA9" s="283">
        <f t="shared" si="19"/>
        <v>69.02</v>
      </c>
      <c r="AB9" s="281">
        <f t="shared" si="20"/>
        <v>55.98</v>
      </c>
      <c r="AC9" s="282">
        <f t="shared" si="21"/>
        <v>53.33</v>
      </c>
      <c r="AD9" s="282">
        <f t="shared" si="22"/>
        <v>36.520000000000003</v>
      </c>
      <c r="AE9" s="283">
        <f t="shared" si="23"/>
        <v>79.069999999999993</v>
      </c>
      <c r="AF9" s="281">
        <f t="shared" si="73"/>
        <v>166.18</v>
      </c>
      <c r="AG9" s="282">
        <f t="shared" si="74"/>
        <v>181.04000000000002</v>
      </c>
      <c r="AH9" s="282">
        <f t="shared" si="75"/>
        <v>147.70000000000002</v>
      </c>
      <c r="AI9" s="283">
        <f t="shared" si="76"/>
        <v>240.64</v>
      </c>
      <c r="AJ9" s="281">
        <f t="shared" si="24"/>
        <v>55.230000000000004</v>
      </c>
      <c r="AK9" s="282">
        <f t="shared" si="25"/>
        <v>68.52</v>
      </c>
      <c r="AL9" s="282">
        <f t="shared" si="26"/>
        <v>84.32</v>
      </c>
      <c r="AM9" s="283">
        <f t="shared" si="27"/>
        <v>58.260000000000005</v>
      </c>
      <c r="AN9" s="281">
        <f t="shared" si="28"/>
        <v>80.91</v>
      </c>
      <c r="AO9" s="282">
        <f t="shared" si="29"/>
        <v>46.760000000000005</v>
      </c>
      <c r="AP9" s="282">
        <f t="shared" si="30"/>
        <v>63.39</v>
      </c>
      <c r="AQ9" s="283">
        <f t="shared" si="31"/>
        <v>66.64</v>
      </c>
      <c r="AR9" s="281">
        <f t="shared" si="32"/>
        <v>69.92</v>
      </c>
      <c r="AS9" s="282">
        <f t="shared" si="33"/>
        <v>74.39</v>
      </c>
      <c r="AT9" s="282">
        <f t="shared" si="34"/>
        <v>114.38</v>
      </c>
      <c r="AU9" s="283"/>
      <c r="AV9" s="281">
        <f t="shared" si="77"/>
        <v>206.06</v>
      </c>
      <c r="AW9" s="282">
        <f t="shared" si="78"/>
        <v>189.67000000000002</v>
      </c>
      <c r="AX9" s="282">
        <f t="shared" si="79"/>
        <v>262.08999999999997</v>
      </c>
      <c r="AY9" s="283">
        <f t="shared" si="80"/>
        <v>124.9</v>
      </c>
      <c r="AZ9" s="281">
        <f t="shared" si="35"/>
        <v>93.72</v>
      </c>
      <c r="BA9" s="282">
        <f t="shared" si="36"/>
        <v>76.599999999999994</v>
      </c>
      <c r="BB9" s="282">
        <f t="shared" si="37"/>
        <v>105.11999999999999</v>
      </c>
      <c r="BC9" s="283"/>
      <c r="BD9" s="281">
        <f t="shared" si="38"/>
        <v>83.75</v>
      </c>
      <c r="BE9" s="282">
        <f t="shared" si="39"/>
        <v>66.23</v>
      </c>
      <c r="BF9" s="282">
        <f t="shared" si="40"/>
        <v>94.22999999999999</v>
      </c>
      <c r="BG9" s="283"/>
      <c r="BH9" s="281">
        <f t="shared" si="41"/>
        <v>104.35</v>
      </c>
      <c r="BI9" s="282">
        <f t="shared" si="42"/>
        <v>69.58</v>
      </c>
      <c r="BJ9" s="282">
        <f t="shared" si="43"/>
        <v>76.289999999999992</v>
      </c>
      <c r="BK9" s="283"/>
      <c r="BL9" s="281">
        <f t="shared" si="81"/>
        <v>281.82</v>
      </c>
      <c r="BM9" s="282">
        <f t="shared" si="82"/>
        <v>212.40999999999997</v>
      </c>
      <c r="BN9" s="282">
        <f t="shared" si="83"/>
        <v>275.64</v>
      </c>
      <c r="BO9" s="283">
        <f t="shared" si="84"/>
        <v>0</v>
      </c>
      <c r="BQ9" s="281">
        <f t="shared" si="44"/>
        <v>-26.449999999999989</v>
      </c>
      <c r="BR9" s="282">
        <f t="shared" si="45"/>
        <v>-25.099999999999994</v>
      </c>
      <c r="BS9" s="283">
        <f t="shared" si="46"/>
        <v>63.109999999999985</v>
      </c>
      <c r="BT9" s="281">
        <f t="shared" si="47"/>
        <v>14.860000000000014</v>
      </c>
      <c r="BU9" s="282">
        <f t="shared" si="48"/>
        <v>-33.340000000000003</v>
      </c>
      <c r="BV9" s="283">
        <f t="shared" si="49"/>
        <v>92.939999999999969</v>
      </c>
      <c r="BW9" s="281">
        <f t="shared" si="50"/>
        <v>-16.389999999999986</v>
      </c>
      <c r="BX9" s="282">
        <f t="shared" si="51"/>
        <v>72.419999999999959</v>
      </c>
      <c r="BY9" s="283">
        <f t="shared" si="52"/>
        <v>-137.18999999999997</v>
      </c>
      <c r="BZ9" s="281">
        <f t="shared" si="85"/>
        <v>-69.410000000000025</v>
      </c>
      <c r="CA9" s="282">
        <f t="shared" si="86"/>
        <v>63.230000000000018</v>
      </c>
      <c r="CB9" s="283">
        <f t="shared" si="87"/>
        <v>-275.64</v>
      </c>
      <c r="CD9" s="282">
        <f t="shared" si="53"/>
        <v>147.88</v>
      </c>
      <c r="CE9" s="282">
        <f t="shared" si="54"/>
        <v>121.43</v>
      </c>
      <c r="CF9" s="282">
        <f t="shared" si="55"/>
        <v>96.330000000000013</v>
      </c>
      <c r="CG9" s="282">
        <f t="shared" si="56"/>
        <v>159.44</v>
      </c>
      <c r="CH9" s="282">
        <f t="shared" si="57"/>
        <v>314.06</v>
      </c>
      <c r="CI9" s="282">
        <f t="shared" si="58"/>
        <v>302.46999999999997</v>
      </c>
      <c r="CJ9" s="282">
        <f t="shared" si="59"/>
        <v>244.03000000000003</v>
      </c>
      <c r="CK9" s="282">
        <f t="shared" si="60"/>
        <v>400.08</v>
      </c>
      <c r="CL9" s="282">
        <f t="shared" si="61"/>
        <v>520.12</v>
      </c>
      <c r="CM9" s="282">
        <f t="shared" si="62"/>
        <v>492.13999999999993</v>
      </c>
      <c r="CN9" s="282">
        <f t="shared" si="63"/>
        <v>506.12</v>
      </c>
      <c r="CO9" s="282">
        <f t="shared" si="64"/>
        <v>524.98</v>
      </c>
      <c r="CP9" s="282">
        <f t="shared" si="65"/>
        <v>801.94</v>
      </c>
      <c r="CQ9" s="282">
        <f t="shared" si="66"/>
        <v>704.55</v>
      </c>
      <c r="CR9" s="282">
        <f t="shared" si="67"/>
        <v>781.76</v>
      </c>
      <c r="CS9" s="282">
        <f t="shared" si="68"/>
        <v>524.98</v>
      </c>
    </row>
    <row r="10" spans="1:97" x14ac:dyDescent="0.25">
      <c r="A10" s="521"/>
      <c r="B10" s="55">
        <v>6</v>
      </c>
      <c r="C10" s="56">
        <v>58.6</v>
      </c>
      <c r="D10" s="281">
        <f t="shared" si="0"/>
        <v>82.14</v>
      </c>
      <c r="E10" s="282">
        <f t="shared" si="1"/>
        <v>62.2</v>
      </c>
      <c r="F10" s="282">
        <f t="shared" si="2"/>
        <v>88.02</v>
      </c>
      <c r="G10" s="283">
        <f t="shared" si="3"/>
        <v>47.81</v>
      </c>
      <c r="H10" s="281">
        <f t="shared" si="4"/>
        <v>33.700000000000003</v>
      </c>
      <c r="I10" s="282">
        <f t="shared" si="5"/>
        <v>58.660000000000004</v>
      </c>
      <c r="J10" s="282">
        <f t="shared" si="6"/>
        <v>39.82</v>
      </c>
      <c r="K10" s="283">
        <f t="shared" si="7"/>
        <v>85.15</v>
      </c>
      <c r="L10" s="281">
        <f t="shared" si="8"/>
        <v>53.980000000000004</v>
      </c>
      <c r="M10" s="282">
        <f t="shared" si="9"/>
        <v>97.28</v>
      </c>
      <c r="N10" s="282">
        <f t="shared" si="10"/>
        <v>27.39</v>
      </c>
      <c r="O10" s="284">
        <f t="shared" si="11"/>
        <v>43.95</v>
      </c>
      <c r="P10" s="281">
        <f t="shared" si="69"/>
        <v>169.82</v>
      </c>
      <c r="Q10" s="282">
        <f t="shared" si="70"/>
        <v>218.14000000000001</v>
      </c>
      <c r="R10" s="282">
        <f t="shared" si="71"/>
        <v>155.23000000000002</v>
      </c>
      <c r="S10" s="283">
        <f t="shared" si="72"/>
        <v>176.91000000000003</v>
      </c>
      <c r="T10" s="281">
        <f t="shared" si="12"/>
        <v>82.02</v>
      </c>
      <c r="U10" s="282">
        <f t="shared" si="13"/>
        <v>47.78</v>
      </c>
      <c r="V10" s="282">
        <f t="shared" si="14"/>
        <v>39.629999999999995</v>
      </c>
      <c r="W10" s="283">
        <f t="shared" si="15"/>
        <v>88.86</v>
      </c>
      <c r="X10" s="281">
        <f t="shared" si="16"/>
        <v>62.47</v>
      </c>
      <c r="Y10" s="282">
        <f t="shared" si="17"/>
        <v>60.03</v>
      </c>
      <c r="Z10" s="282">
        <f t="shared" si="18"/>
        <v>68.929999999999993</v>
      </c>
      <c r="AA10" s="283">
        <f t="shared" si="19"/>
        <v>56.379999999999995</v>
      </c>
      <c r="AB10" s="281">
        <f t="shared" si="20"/>
        <v>55.129999999999995</v>
      </c>
      <c r="AC10" s="282">
        <f t="shared" si="21"/>
        <v>97.64</v>
      </c>
      <c r="AD10" s="282">
        <f t="shared" si="22"/>
        <v>39.14</v>
      </c>
      <c r="AE10" s="283">
        <f t="shared" si="23"/>
        <v>93.49</v>
      </c>
      <c r="AF10" s="281">
        <f t="shared" si="73"/>
        <v>199.62</v>
      </c>
      <c r="AG10" s="282">
        <f t="shared" si="74"/>
        <v>205.45</v>
      </c>
      <c r="AH10" s="282">
        <f t="shared" si="75"/>
        <v>147.69999999999999</v>
      </c>
      <c r="AI10" s="283">
        <f t="shared" si="76"/>
        <v>238.73000000000002</v>
      </c>
      <c r="AJ10" s="281">
        <f t="shared" si="24"/>
        <v>59.97</v>
      </c>
      <c r="AK10" s="282">
        <f t="shared" si="25"/>
        <v>68.7</v>
      </c>
      <c r="AL10" s="282">
        <f t="shared" si="26"/>
        <v>127.84</v>
      </c>
      <c r="AM10" s="283">
        <f t="shared" si="27"/>
        <v>52.900000000000006</v>
      </c>
      <c r="AN10" s="281">
        <f t="shared" si="28"/>
        <v>93.3</v>
      </c>
      <c r="AO10" s="282">
        <f t="shared" si="29"/>
        <v>69.800000000000011</v>
      </c>
      <c r="AP10" s="282">
        <f t="shared" si="30"/>
        <v>160.67000000000002</v>
      </c>
      <c r="AQ10" s="283">
        <f t="shared" si="31"/>
        <v>80.460000000000008</v>
      </c>
      <c r="AR10" s="281">
        <f t="shared" si="32"/>
        <v>75.150000000000006</v>
      </c>
      <c r="AS10" s="282">
        <f t="shared" si="33"/>
        <v>84.59</v>
      </c>
      <c r="AT10" s="282">
        <f t="shared" si="34"/>
        <v>99.91</v>
      </c>
      <c r="AU10" s="283"/>
      <c r="AV10" s="281">
        <f t="shared" si="77"/>
        <v>228.42</v>
      </c>
      <c r="AW10" s="282">
        <f t="shared" si="78"/>
        <v>223.09</v>
      </c>
      <c r="AX10" s="282">
        <f t="shared" si="79"/>
        <v>388.41999999999996</v>
      </c>
      <c r="AY10" s="283">
        <f t="shared" si="80"/>
        <v>133.36000000000001</v>
      </c>
      <c r="AZ10" s="281">
        <f t="shared" si="35"/>
        <v>124.62</v>
      </c>
      <c r="BA10" s="282">
        <f t="shared" si="36"/>
        <v>86</v>
      </c>
      <c r="BB10" s="282">
        <f t="shared" si="37"/>
        <v>113.91</v>
      </c>
      <c r="BC10" s="283"/>
      <c r="BD10" s="281">
        <f t="shared" si="38"/>
        <v>138.05000000000001</v>
      </c>
      <c r="BE10" s="282">
        <f t="shared" si="39"/>
        <v>72.28</v>
      </c>
      <c r="BF10" s="282">
        <f t="shared" si="40"/>
        <v>101.49000000000001</v>
      </c>
      <c r="BG10" s="283"/>
      <c r="BH10" s="281">
        <f t="shared" si="41"/>
        <v>72.959999999999994</v>
      </c>
      <c r="BI10" s="282">
        <f t="shared" si="42"/>
        <v>44.85</v>
      </c>
      <c r="BJ10" s="282">
        <f t="shared" si="43"/>
        <v>107.57</v>
      </c>
      <c r="BK10" s="283"/>
      <c r="BL10" s="281">
        <f t="shared" si="81"/>
        <v>335.63</v>
      </c>
      <c r="BM10" s="282">
        <f t="shared" si="82"/>
        <v>203.13</v>
      </c>
      <c r="BN10" s="282">
        <f t="shared" si="83"/>
        <v>322.97000000000003</v>
      </c>
      <c r="BO10" s="283">
        <f t="shared" si="84"/>
        <v>0</v>
      </c>
      <c r="BQ10" s="281">
        <f t="shared" si="44"/>
        <v>48.320000000000022</v>
      </c>
      <c r="BR10" s="282">
        <f t="shared" si="45"/>
        <v>-62.91</v>
      </c>
      <c r="BS10" s="283">
        <f t="shared" si="46"/>
        <v>21.680000000000007</v>
      </c>
      <c r="BT10" s="281">
        <f t="shared" si="47"/>
        <v>5.8299999999999841</v>
      </c>
      <c r="BU10" s="282">
        <f t="shared" si="48"/>
        <v>-57.75</v>
      </c>
      <c r="BV10" s="283">
        <f t="shared" si="49"/>
        <v>91.03000000000003</v>
      </c>
      <c r="BW10" s="281">
        <f t="shared" si="50"/>
        <v>-5.3299999999999841</v>
      </c>
      <c r="BX10" s="282">
        <f t="shared" si="51"/>
        <v>165.32999999999996</v>
      </c>
      <c r="BY10" s="283">
        <f t="shared" si="52"/>
        <v>-255.05999999999995</v>
      </c>
      <c r="BZ10" s="281">
        <f t="shared" si="85"/>
        <v>-132.5</v>
      </c>
      <c r="CA10" s="282">
        <f t="shared" si="86"/>
        <v>119.84000000000003</v>
      </c>
      <c r="CB10" s="283">
        <f t="shared" si="87"/>
        <v>-322.97000000000003</v>
      </c>
      <c r="CD10" s="282">
        <f t="shared" si="53"/>
        <v>169.82</v>
      </c>
      <c r="CE10" s="282">
        <f t="shared" si="54"/>
        <v>218.14000000000001</v>
      </c>
      <c r="CF10" s="282">
        <f t="shared" si="55"/>
        <v>155.23000000000002</v>
      </c>
      <c r="CG10" s="282">
        <f t="shared" si="56"/>
        <v>176.91000000000003</v>
      </c>
      <c r="CH10" s="282">
        <f t="shared" si="57"/>
        <v>369.43999999999994</v>
      </c>
      <c r="CI10" s="282">
        <f t="shared" si="58"/>
        <v>423.59000000000003</v>
      </c>
      <c r="CJ10" s="282">
        <f t="shared" si="59"/>
        <v>302.93</v>
      </c>
      <c r="CK10" s="282">
        <f t="shared" si="60"/>
        <v>415.64000000000004</v>
      </c>
      <c r="CL10" s="282">
        <f t="shared" si="61"/>
        <v>597.8599999999999</v>
      </c>
      <c r="CM10" s="282">
        <f t="shared" si="62"/>
        <v>646.68000000000006</v>
      </c>
      <c r="CN10" s="282">
        <f t="shared" si="63"/>
        <v>691.35</v>
      </c>
      <c r="CO10" s="282">
        <f t="shared" si="64"/>
        <v>549.00000000000011</v>
      </c>
      <c r="CP10" s="282">
        <f t="shared" si="65"/>
        <v>933.49</v>
      </c>
      <c r="CQ10" s="282">
        <f t="shared" si="66"/>
        <v>849.81000000000006</v>
      </c>
      <c r="CR10" s="282">
        <f t="shared" si="67"/>
        <v>1014.3199999999999</v>
      </c>
      <c r="CS10" s="282">
        <f t="shared" si="68"/>
        <v>549.00000000000011</v>
      </c>
    </row>
    <row r="11" spans="1:97" x14ac:dyDescent="0.25">
      <c r="A11" s="521"/>
      <c r="B11" s="55">
        <v>7</v>
      </c>
      <c r="C11" s="56">
        <v>23.6</v>
      </c>
      <c r="D11" s="281">
        <f t="shared" si="0"/>
        <v>22.759999999999998</v>
      </c>
      <c r="E11" s="282">
        <f t="shared" si="1"/>
        <v>16.510000000000002</v>
      </c>
      <c r="F11" s="282">
        <f t="shared" si="2"/>
        <v>25.830000000000002</v>
      </c>
      <c r="G11" s="283">
        <f t="shared" si="3"/>
        <v>18.989999999999998</v>
      </c>
      <c r="H11" s="281">
        <f t="shared" si="4"/>
        <v>12.65</v>
      </c>
      <c r="I11" s="282">
        <f t="shared" si="5"/>
        <v>16.84</v>
      </c>
      <c r="J11" s="282">
        <f t="shared" si="6"/>
        <v>11.9</v>
      </c>
      <c r="K11" s="283">
        <f t="shared" si="7"/>
        <v>25.669999999999998</v>
      </c>
      <c r="L11" s="281">
        <f t="shared" si="8"/>
        <v>21.92</v>
      </c>
      <c r="M11" s="282">
        <f t="shared" si="9"/>
        <v>21.41</v>
      </c>
      <c r="N11" s="282">
        <f t="shared" si="10"/>
        <v>13.7</v>
      </c>
      <c r="O11" s="284">
        <f t="shared" si="11"/>
        <v>21.080000000000002</v>
      </c>
      <c r="P11" s="281">
        <f t="shared" si="69"/>
        <v>57.33</v>
      </c>
      <c r="Q11" s="282">
        <f t="shared" si="70"/>
        <v>54.760000000000005</v>
      </c>
      <c r="R11" s="282">
        <f t="shared" si="71"/>
        <v>51.430000000000007</v>
      </c>
      <c r="S11" s="283">
        <f t="shared" si="72"/>
        <v>65.739999999999995</v>
      </c>
      <c r="T11" s="281">
        <f t="shared" si="12"/>
        <v>18.34</v>
      </c>
      <c r="U11" s="282">
        <f t="shared" si="13"/>
        <v>34.83</v>
      </c>
      <c r="V11" s="282">
        <f t="shared" si="14"/>
        <v>24.4</v>
      </c>
      <c r="W11" s="283">
        <f t="shared" si="15"/>
        <v>39.61</v>
      </c>
      <c r="X11" s="281">
        <f t="shared" si="16"/>
        <v>25.35</v>
      </c>
      <c r="Y11" s="282">
        <f t="shared" si="17"/>
        <v>15.27</v>
      </c>
      <c r="Z11" s="282">
        <f t="shared" si="18"/>
        <v>17.649999999999999</v>
      </c>
      <c r="AA11" s="283">
        <f t="shared" si="19"/>
        <v>27.619999999999997</v>
      </c>
      <c r="AB11" s="281">
        <f t="shared" si="20"/>
        <v>17.48</v>
      </c>
      <c r="AC11" s="282">
        <f t="shared" si="21"/>
        <v>19.27</v>
      </c>
      <c r="AD11" s="282">
        <f t="shared" si="22"/>
        <v>19.5</v>
      </c>
      <c r="AE11" s="283">
        <f t="shared" si="23"/>
        <v>29.53</v>
      </c>
      <c r="AF11" s="281">
        <f t="shared" si="73"/>
        <v>61.17</v>
      </c>
      <c r="AG11" s="282">
        <f t="shared" si="74"/>
        <v>69.36999999999999</v>
      </c>
      <c r="AH11" s="282">
        <f t="shared" si="75"/>
        <v>61.55</v>
      </c>
      <c r="AI11" s="283">
        <f t="shared" si="76"/>
        <v>96.759999999999991</v>
      </c>
      <c r="AJ11" s="281">
        <f t="shared" si="24"/>
        <v>18.63</v>
      </c>
      <c r="AK11" s="282">
        <f t="shared" si="25"/>
        <v>21.53</v>
      </c>
      <c r="AL11" s="282">
        <f t="shared" si="26"/>
        <v>29.25</v>
      </c>
      <c r="AM11" s="283">
        <f t="shared" si="27"/>
        <v>27.06</v>
      </c>
      <c r="AN11" s="281">
        <f t="shared" si="28"/>
        <v>30.490000000000002</v>
      </c>
      <c r="AO11" s="282">
        <f t="shared" si="29"/>
        <v>24.43</v>
      </c>
      <c r="AP11" s="282">
        <f t="shared" si="30"/>
        <v>29.03</v>
      </c>
      <c r="AQ11" s="283">
        <f t="shared" si="31"/>
        <v>26.330000000000002</v>
      </c>
      <c r="AR11" s="281">
        <f t="shared" si="32"/>
        <v>26.76</v>
      </c>
      <c r="AS11" s="282">
        <f t="shared" si="33"/>
        <v>13.77</v>
      </c>
      <c r="AT11" s="282">
        <f t="shared" si="34"/>
        <v>60.980000000000004</v>
      </c>
      <c r="AU11" s="283"/>
      <c r="AV11" s="281">
        <f t="shared" si="77"/>
        <v>75.88000000000001</v>
      </c>
      <c r="AW11" s="282">
        <f t="shared" si="78"/>
        <v>59.730000000000004</v>
      </c>
      <c r="AX11" s="282">
        <f t="shared" si="79"/>
        <v>119.26</v>
      </c>
      <c r="AY11" s="283">
        <f t="shared" si="80"/>
        <v>53.39</v>
      </c>
      <c r="AZ11" s="281">
        <f t="shared" si="35"/>
        <v>35.340000000000003</v>
      </c>
      <c r="BA11" s="282">
        <f t="shared" si="36"/>
        <v>21.21</v>
      </c>
      <c r="BB11" s="282">
        <f t="shared" si="37"/>
        <v>33.08</v>
      </c>
      <c r="BC11" s="283"/>
      <c r="BD11" s="281">
        <f t="shared" si="38"/>
        <v>34.020000000000003</v>
      </c>
      <c r="BE11" s="282">
        <f t="shared" si="39"/>
        <v>23.759999999999998</v>
      </c>
      <c r="BF11" s="282">
        <f t="shared" si="40"/>
        <v>41.293999999999997</v>
      </c>
      <c r="BG11" s="283"/>
      <c r="BH11" s="281">
        <f t="shared" si="41"/>
        <v>48.28</v>
      </c>
      <c r="BI11" s="282">
        <f t="shared" si="42"/>
        <v>15.62</v>
      </c>
      <c r="BJ11" s="282">
        <f t="shared" si="43"/>
        <v>45.37</v>
      </c>
      <c r="BK11" s="283"/>
      <c r="BL11" s="281">
        <f t="shared" si="81"/>
        <v>117.64000000000001</v>
      </c>
      <c r="BM11" s="282">
        <f t="shared" si="82"/>
        <v>60.589999999999996</v>
      </c>
      <c r="BN11" s="282">
        <f t="shared" si="83"/>
        <v>119.744</v>
      </c>
      <c r="BO11" s="283">
        <f t="shared" si="84"/>
        <v>0</v>
      </c>
      <c r="BQ11" s="281">
        <f t="shared" si="44"/>
        <v>-2.5699999999999932</v>
      </c>
      <c r="BR11" s="282">
        <f t="shared" si="45"/>
        <v>-3.3299999999999983</v>
      </c>
      <c r="BS11" s="283">
        <f t="shared" si="46"/>
        <v>14.309999999999988</v>
      </c>
      <c r="BT11" s="281">
        <f t="shared" si="47"/>
        <v>8.1999999999999886</v>
      </c>
      <c r="BU11" s="282">
        <f t="shared" si="48"/>
        <v>-7.8199999999999932</v>
      </c>
      <c r="BV11" s="283">
        <f t="shared" si="49"/>
        <v>35.209999999999994</v>
      </c>
      <c r="BW11" s="281">
        <f t="shared" si="50"/>
        <v>-16.150000000000006</v>
      </c>
      <c r="BX11" s="282">
        <f t="shared" si="51"/>
        <v>59.53</v>
      </c>
      <c r="BY11" s="283">
        <f t="shared" si="52"/>
        <v>-65.87</v>
      </c>
      <c r="BZ11" s="281">
        <f t="shared" si="85"/>
        <v>-57.050000000000018</v>
      </c>
      <c r="CA11" s="282">
        <f t="shared" si="86"/>
        <v>59.154000000000003</v>
      </c>
      <c r="CB11" s="283">
        <f t="shared" si="87"/>
        <v>-119.744</v>
      </c>
      <c r="CD11" s="282">
        <f t="shared" si="53"/>
        <v>57.33</v>
      </c>
      <c r="CE11" s="282">
        <f t="shared" si="54"/>
        <v>54.760000000000005</v>
      </c>
      <c r="CF11" s="282">
        <f t="shared" si="55"/>
        <v>51.430000000000007</v>
      </c>
      <c r="CG11" s="282">
        <f t="shared" si="56"/>
        <v>65.739999999999995</v>
      </c>
      <c r="CH11" s="282">
        <f t="shared" si="57"/>
        <v>118.50000000000001</v>
      </c>
      <c r="CI11" s="282">
        <f t="shared" si="58"/>
        <v>124.13</v>
      </c>
      <c r="CJ11" s="282">
        <f t="shared" si="59"/>
        <v>112.98000000000002</v>
      </c>
      <c r="CK11" s="282">
        <f t="shared" si="60"/>
        <v>162.5</v>
      </c>
      <c r="CL11" s="282">
        <f t="shared" si="61"/>
        <v>194.38000000000002</v>
      </c>
      <c r="CM11" s="282">
        <f t="shared" si="62"/>
        <v>183.86</v>
      </c>
      <c r="CN11" s="282">
        <f t="shared" si="63"/>
        <v>232.24</v>
      </c>
      <c r="CO11" s="282">
        <f t="shared" si="64"/>
        <v>215.89000000000001</v>
      </c>
      <c r="CP11" s="282">
        <f t="shared" si="65"/>
        <v>312.02</v>
      </c>
      <c r="CQ11" s="282">
        <f t="shared" si="66"/>
        <v>244.45000000000002</v>
      </c>
      <c r="CR11" s="282">
        <f t="shared" si="67"/>
        <v>351.98399999999998</v>
      </c>
      <c r="CS11" s="282">
        <f t="shared" si="68"/>
        <v>215.89000000000001</v>
      </c>
    </row>
    <row r="12" spans="1:97" x14ac:dyDescent="0.25">
      <c r="A12" s="521"/>
      <c r="B12" s="55">
        <v>8</v>
      </c>
      <c r="C12" s="56">
        <v>61.6</v>
      </c>
      <c r="D12" s="281">
        <f t="shared" si="0"/>
        <v>50.760000000000005</v>
      </c>
      <c r="E12" s="282">
        <f t="shared" si="1"/>
        <v>68.63</v>
      </c>
      <c r="F12" s="282">
        <f t="shared" si="2"/>
        <v>61.160000000000004</v>
      </c>
      <c r="G12" s="283">
        <f t="shared" si="3"/>
        <v>44.66</v>
      </c>
      <c r="H12" s="281">
        <f t="shared" si="4"/>
        <v>34.92</v>
      </c>
      <c r="I12" s="282">
        <f t="shared" si="5"/>
        <v>53.54</v>
      </c>
      <c r="J12" s="282">
        <f t="shared" si="6"/>
        <v>52.8</v>
      </c>
      <c r="K12" s="283">
        <f t="shared" si="7"/>
        <v>96.6</v>
      </c>
      <c r="L12" s="281">
        <f t="shared" si="8"/>
        <v>54.47</v>
      </c>
      <c r="M12" s="282">
        <f t="shared" si="9"/>
        <v>70.759999999999991</v>
      </c>
      <c r="N12" s="282">
        <f t="shared" si="10"/>
        <v>41.66</v>
      </c>
      <c r="O12" s="284">
        <f t="shared" si="11"/>
        <v>59.2</v>
      </c>
      <c r="P12" s="281">
        <f t="shared" si="69"/>
        <v>140.15</v>
      </c>
      <c r="Q12" s="282">
        <f t="shared" si="70"/>
        <v>192.92999999999998</v>
      </c>
      <c r="R12" s="282">
        <f t="shared" si="71"/>
        <v>155.62</v>
      </c>
      <c r="S12" s="283">
        <f t="shared" si="72"/>
        <v>200.45999999999998</v>
      </c>
      <c r="T12" s="281">
        <f t="shared" si="12"/>
        <v>57.42</v>
      </c>
      <c r="U12" s="282">
        <f t="shared" si="13"/>
        <v>55.5</v>
      </c>
      <c r="V12" s="282">
        <f t="shared" si="14"/>
        <v>39.129999999999995</v>
      </c>
      <c r="W12" s="283">
        <f t="shared" si="15"/>
        <v>79.03</v>
      </c>
      <c r="X12" s="281">
        <f t="shared" si="16"/>
        <v>51.88</v>
      </c>
      <c r="Y12" s="282">
        <f t="shared" si="17"/>
        <v>62.94</v>
      </c>
      <c r="Z12" s="282">
        <f t="shared" si="18"/>
        <v>72.48</v>
      </c>
      <c r="AA12" s="283">
        <f t="shared" si="19"/>
        <v>63.73</v>
      </c>
      <c r="AB12" s="281">
        <f t="shared" si="20"/>
        <v>42.86</v>
      </c>
      <c r="AC12" s="282">
        <f t="shared" si="21"/>
        <v>62.16</v>
      </c>
      <c r="AD12" s="282">
        <f t="shared" si="22"/>
        <v>41.769999999999996</v>
      </c>
      <c r="AE12" s="283">
        <f t="shared" si="23"/>
        <v>58.540000000000006</v>
      </c>
      <c r="AF12" s="281">
        <f t="shared" si="73"/>
        <v>152.16000000000003</v>
      </c>
      <c r="AG12" s="282">
        <f t="shared" si="74"/>
        <v>180.6</v>
      </c>
      <c r="AH12" s="282">
        <f t="shared" si="75"/>
        <v>153.38</v>
      </c>
      <c r="AI12" s="283">
        <f t="shared" si="76"/>
        <v>201.3</v>
      </c>
      <c r="AJ12" s="281">
        <f t="shared" si="24"/>
        <v>68.03</v>
      </c>
      <c r="AK12" s="282">
        <f t="shared" si="25"/>
        <v>62.61</v>
      </c>
      <c r="AL12" s="282">
        <f t="shared" si="26"/>
        <v>52.96</v>
      </c>
      <c r="AM12" s="283">
        <f t="shared" si="27"/>
        <v>56.069999999999993</v>
      </c>
      <c r="AN12" s="281">
        <f t="shared" si="28"/>
        <v>72.460000000000008</v>
      </c>
      <c r="AO12" s="282">
        <f t="shared" si="29"/>
        <v>105.85</v>
      </c>
      <c r="AP12" s="282">
        <f t="shared" si="30"/>
        <v>114.4</v>
      </c>
      <c r="AQ12" s="283">
        <f t="shared" si="31"/>
        <v>68.81</v>
      </c>
      <c r="AR12" s="281">
        <f t="shared" si="32"/>
        <v>78.78</v>
      </c>
      <c r="AS12" s="282">
        <f t="shared" si="33"/>
        <v>54.25</v>
      </c>
      <c r="AT12" s="282">
        <f t="shared" si="34"/>
        <v>78.790000000000006</v>
      </c>
      <c r="AU12" s="283"/>
      <c r="AV12" s="281">
        <f t="shared" si="77"/>
        <v>219.27</v>
      </c>
      <c r="AW12" s="282">
        <f t="shared" si="78"/>
        <v>222.70999999999998</v>
      </c>
      <c r="AX12" s="282">
        <f t="shared" si="79"/>
        <v>246.15000000000003</v>
      </c>
      <c r="AY12" s="283">
        <f t="shared" si="80"/>
        <v>124.88</v>
      </c>
      <c r="AZ12" s="281">
        <f t="shared" si="35"/>
        <v>118.71</v>
      </c>
      <c r="BA12" s="282">
        <f t="shared" si="36"/>
        <v>94.95</v>
      </c>
      <c r="BB12" s="282">
        <f t="shared" si="37"/>
        <v>94.64</v>
      </c>
      <c r="BC12" s="283"/>
      <c r="BD12" s="281">
        <f t="shared" si="38"/>
        <v>111.62</v>
      </c>
      <c r="BE12" s="282">
        <f t="shared" si="39"/>
        <v>75.259999999999991</v>
      </c>
      <c r="BF12" s="282">
        <f t="shared" si="40"/>
        <v>151.48000000000002</v>
      </c>
      <c r="BG12" s="283"/>
      <c r="BH12" s="281">
        <f t="shared" si="41"/>
        <v>70.260000000000005</v>
      </c>
      <c r="BI12" s="282">
        <f t="shared" si="42"/>
        <v>96.98</v>
      </c>
      <c r="BJ12" s="282">
        <f t="shared" si="43"/>
        <v>123.15</v>
      </c>
      <c r="BK12" s="283"/>
      <c r="BL12" s="281">
        <f t="shared" si="81"/>
        <v>300.58999999999997</v>
      </c>
      <c r="BM12" s="282">
        <f t="shared" si="82"/>
        <v>267.19</v>
      </c>
      <c r="BN12" s="282">
        <f t="shared" si="83"/>
        <v>369.27</v>
      </c>
      <c r="BO12" s="283">
        <f t="shared" si="84"/>
        <v>0</v>
      </c>
      <c r="BQ12" s="281">
        <f t="shared" si="44"/>
        <v>52.779999999999973</v>
      </c>
      <c r="BR12" s="282">
        <f t="shared" si="45"/>
        <v>-37.309999999999974</v>
      </c>
      <c r="BS12" s="283">
        <f t="shared" si="46"/>
        <v>44.839999999999975</v>
      </c>
      <c r="BT12" s="281">
        <f t="shared" si="47"/>
        <v>28.439999999999969</v>
      </c>
      <c r="BU12" s="282">
        <f t="shared" si="48"/>
        <v>-27.22</v>
      </c>
      <c r="BV12" s="283">
        <f t="shared" si="49"/>
        <v>47.920000000000016</v>
      </c>
      <c r="BW12" s="281">
        <f t="shared" si="50"/>
        <v>3.4399999999999693</v>
      </c>
      <c r="BX12" s="282">
        <f t="shared" si="51"/>
        <v>23.440000000000055</v>
      </c>
      <c r="BY12" s="283">
        <f t="shared" si="52"/>
        <v>-121.27000000000004</v>
      </c>
      <c r="BZ12" s="281">
        <f t="shared" si="85"/>
        <v>-33.399999999999977</v>
      </c>
      <c r="CA12" s="282">
        <f t="shared" si="86"/>
        <v>102.07999999999998</v>
      </c>
      <c r="CB12" s="283">
        <f t="shared" si="87"/>
        <v>-369.27</v>
      </c>
      <c r="CD12" s="282">
        <f t="shared" si="53"/>
        <v>140.15</v>
      </c>
      <c r="CE12" s="282">
        <f t="shared" si="54"/>
        <v>192.92999999999998</v>
      </c>
      <c r="CF12" s="282">
        <f t="shared" si="55"/>
        <v>155.62</v>
      </c>
      <c r="CG12" s="282">
        <f t="shared" si="56"/>
        <v>200.45999999999998</v>
      </c>
      <c r="CH12" s="282">
        <f t="shared" si="57"/>
        <v>292.31</v>
      </c>
      <c r="CI12" s="282">
        <f t="shared" si="58"/>
        <v>373.53</v>
      </c>
      <c r="CJ12" s="282">
        <f t="shared" si="59"/>
        <v>309</v>
      </c>
      <c r="CK12" s="282">
        <f t="shared" si="60"/>
        <v>401.76000000000005</v>
      </c>
      <c r="CL12" s="282">
        <f t="shared" si="61"/>
        <v>511.58000000000004</v>
      </c>
      <c r="CM12" s="282">
        <f t="shared" si="62"/>
        <v>596.24</v>
      </c>
      <c r="CN12" s="282">
        <f t="shared" si="63"/>
        <v>555.15</v>
      </c>
      <c r="CO12" s="282">
        <f t="shared" si="64"/>
        <v>526.6400000000001</v>
      </c>
      <c r="CP12" s="282">
        <f t="shared" si="65"/>
        <v>812.17000000000007</v>
      </c>
      <c r="CQ12" s="282">
        <f t="shared" si="66"/>
        <v>863.43000000000006</v>
      </c>
      <c r="CR12" s="282">
        <f t="shared" si="67"/>
        <v>924.42</v>
      </c>
      <c r="CS12" s="282">
        <f t="shared" si="68"/>
        <v>526.6400000000001</v>
      </c>
    </row>
    <row r="13" spans="1:97" x14ac:dyDescent="0.25">
      <c r="A13" s="521"/>
      <c r="B13" s="55">
        <v>9</v>
      </c>
      <c r="C13" s="56">
        <v>38.299999999999997</v>
      </c>
      <c r="D13" s="281">
        <f t="shared" si="0"/>
        <v>27.38</v>
      </c>
      <c r="E13" s="282">
        <f t="shared" si="1"/>
        <v>27.94</v>
      </c>
      <c r="F13" s="282">
        <f t="shared" si="2"/>
        <v>38.049999999999997</v>
      </c>
      <c r="G13" s="283">
        <f t="shared" si="3"/>
        <v>19.18</v>
      </c>
      <c r="H13" s="281">
        <f t="shared" si="4"/>
        <v>25.270000000000003</v>
      </c>
      <c r="I13" s="282">
        <f t="shared" si="5"/>
        <v>33.89</v>
      </c>
      <c r="J13" s="282">
        <f t="shared" si="6"/>
        <v>20.71</v>
      </c>
      <c r="K13" s="283">
        <f t="shared" si="7"/>
        <v>34.56</v>
      </c>
      <c r="L13" s="281">
        <f t="shared" si="8"/>
        <v>19.630000000000003</v>
      </c>
      <c r="M13" s="282">
        <f t="shared" si="9"/>
        <v>46.93</v>
      </c>
      <c r="N13" s="282">
        <f t="shared" si="10"/>
        <v>22.65</v>
      </c>
      <c r="O13" s="284">
        <f t="shared" si="11"/>
        <v>39.230000000000004</v>
      </c>
      <c r="P13" s="281">
        <f t="shared" si="69"/>
        <v>72.28</v>
      </c>
      <c r="Q13" s="282">
        <f t="shared" si="70"/>
        <v>108.75999999999999</v>
      </c>
      <c r="R13" s="282">
        <f t="shared" si="71"/>
        <v>81.41</v>
      </c>
      <c r="S13" s="283">
        <f t="shared" si="72"/>
        <v>92.97</v>
      </c>
      <c r="T13" s="281">
        <f t="shared" si="12"/>
        <v>40.680000000000007</v>
      </c>
      <c r="U13" s="282">
        <f t="shared" si="13"/>
        <v>38.409999999999997</v>
      </c>
      <c r="V13" s="282">
        <f t="shared" si="14"/>
        <v>21.23</v>
      </c>
      <c r="W13" s="283">
        <f t="shared" si="15"/>
        <v>16.64</v>
      </c>
      <c r="X13" s="281">
        <f t="shared" si="16"/>
        <v>32.57</v>
      </c>
      <c r="Y13" s="282">
        <f t="shared" si="17"/>
        <v>31.91</v>
      </c>
      <c r="Z13" s="282">
        <f t="shared" si="18"/>
        <v>28.57</v>
      </c>
      <c r="AA13" s="283">
        <f t="shared" si="19"/>
        <v>47.69</v>
      </c>
      <c r="AB13" s="281">
        <f t="shared" si="20"/>
        <v>20.27</v>
      </c>
      <c r="AC13" s="282">
        <f t="shared" si="21"/>
        <v>32.75</v>
      </c>
      <c r="AD13" s="282">
        <f t="shared" si="22"/>
        <v>29.07</v>
      </c>
      <c r="AE13" s="283">
        <f t="shared" si="23"/>
        <v>48.05</v>
      </c>
      <c r="AF13" s="281">
        <f t="shared" si="73"/>
        <v>93.52</v>
      </c>
      <c r="AG13" s="282">
        <f t="shared" si="74"/>
        <v>103.07</v>
      </c>
      <c r="AH13" s="282">
        <f t="shared" si="75"/>
        <v>78.87</v>
      </c>
      <c r="AI13" s="283">
        <f t="shared" si="76"/>
        <v>112.38</v>
      </c>
      <c r="AJ13" s="281">
        <f t="shared" si="24"/>
        <v>18.43</v>
      </c>
      <c r="AK13" s="282">
        <f t="shared" si="25"/>
        <v>35.010000000000005</v>
      </c>
      <c r="AL13" s="282">
        <f t="shared" si="26"/>
        <v>23.439999999999998</v>
      </c>
      <c r="AM13" s="283">
        <f t="shared" si="27"/>
        <v>33.1</v>
      </c>
      <c r="AN13" s="281">
        <f t="shared" si="28"/>
        <v>75.52000000000001</v>
      </c>
      <c r="AO13" s="282">
        <f t="shared" si="29"/>
        <v>43.31</v>
      </c>
      <c r="AP13" s="282">
        <f t="shared" si="30"/>
        <v>43.71</v>
      </c>
      <c r="AQ13" s="283">
        <f t="shared" si="31"/>
        <v>43.36</v>
      </c>
      <c r="AR13" s="281">
        <f t="shared" si="32"/>
        <v>64.02</v>
      </c>
      <c r="AS13" s="282">
        <f t="shared" si="33"/>
        <v>48.209999999999994</v>
      </c>
      <c r="AT13" s="282">
        <f t="shared" si="34"/>
        <v>59.56</v>
      </c>
      <c r="AU13" s="283"/>
      <c r="AV13" s="281">
        <f t="shared" si="77"/>
        <v>157.97000000000003</v>
      </c>
      <c r="AW13" s="282">
        <f t="shared" si="78"/>
        <v>126.53</v>
      </c>
      <c r="AX13" s="282">
        <f t="shared" si="79"/>
        <v>126.71000000000001</v>
      </c>
      <c r="AY13" s="283">
        <f t="shared" si="80"/>
        <v>76.460000000000008</v>
      </c>
      <c r="AZ13" s="281">
        <f t="shared" si="35"/>
        <v>72.98</v>
      </c>
      <c r="BA13" s="282">
        <f t="shared" si="36"/>
        <v>71.400000000000006</v>
      </c>
      <c r="BB13" s="282">
        <f t="shared" si="37"/>
        <v>63.760000000000005</v>
      </c>
      <c r="BC13" s="283"/>
      <c r="BD13" s="281">
        <f t="shared" si="38"/>
        <v>43.4</v>
      </c>
      <c r="BE13" s="282">
        <f t="shared" si="39"/>
        <v>49.980000000000004</v>
      </c>
      <c r="BF13" s="282">
        <f t="shared" si="40"/>
        <v>76.490000000000009</v>
      </c>
      <c r="BG13" s="283"/>
      <c r="BH13" s="281">
        <f t="shared" si="41"/>
        <v>54.92</v>
      </c>
      <c r="BI13" s="282">
        <f t="shared" si="42"/>
        <v>45.25</v>
      </c>
      <c r="BJ13" s="282">
        <f t="shared" si="43"/>
        <v>62.45</v>
      </c>
      <c r="BK13" s="283"/>
      <c r="BL13" s="281">
        <f t="shared" si="81"/>
        <v>171.3</v>
      </c>
      <c r="BM13" s="282">
        <f t="shared" si="82"/>
        <v>166.63</v>
      </c>
      <c r="BN13" s="282">
        <f t="shared" si="83"/>
        <v>202.7</v>
      </c>
      <c r="BO13" s="283">
        <f t="shared" si="84"/>
        <v>0</v>
      </c>
      <c r="BQ13" s="281">
        <f t="shared" si="44"/>
        <v>36.47999999999999</v>
      </c>
      <c r="BR13" s="282">
        <f t="shared" si="45"/>
        <v>-27.349999999999994</v>
      </c>
      <c r="BS13" s="283">
        <f t="shared" si="46"/>
        <v>11.560000000000002</v>
      </c>
      <c r="BT13" s="281">
        <f t="shared" si="47"/>
        <v>9.5499999999999972</v>
      </c>
      <c r="BU13" s="282">
        <f t="shared" si="48"/>
        <v>-24.199999999999989</v>
      </c>
      <c r="BV13" s="283">
        <f t="shared" si="49"/>
        <v>33.509999999999991</v>
      </c>
      <c r="BW13" s="281">
        <f t="shared" si="50"/>
        <v>-31.440000000000026</v>
      </c>
      <c r="BX13" s="282">
        <f t="shared" si="51"/>
        <v>0.18000000000000682</v>
      </c>
      <c r="BY13" s="283">
        <f t="shared" si="52"/>
        <v>-50.25</v>
      </c>
      <c r="BZ13" s="281">
        <f t="shared" si="85"/>
        <v>-4.6700000000000159</v>
      </c>
      <c r="CA13" s="282">
        <f t="shared" si="86"/>
        <v>36.069999999999993</v>
      </c>
      <c r="CB13" s="283">
        <f t="shared" si="87"/>
        <v>-202.7</v>
      </c>
      <c r="CD13" s="282">
        <f t="shared" si="53"/>
        <v>72.28</v>
      </c>
      <c r="CE13" s="282">
        <f t="shared" si="54"/>
        <v>108.75999999999999</v>
      </c>
      <c r="CF13" s="282">
        <f t="shared" si="55"/>
        <v>81.41</v>
      </c>
      <c r="CG13" s="282">
        <f t="shared" si="56"/>
        <v>92.97</v>
      </c>
      <c r="CH13" s="282">
        <f t="shared" si="57"/>
        <v>165.8</v>
      </c>
      <c r="CI13" s="282">
        <f t="shared" si="58"/>
        <v>211.82999999999998</v>
      </c>
      <c r="CJ13" s="282">
        <f t="shared" si="59"/>
        <v>160.28</v>
      </c>
      <c r="CK13" s="282">
        <f t="shared" si="60"/>
        <v>205.35000000000002</v>
      </c>
      <c r="CL13" s="282">
        <f t="shared" si="61"/>
        <v>323.77</v>
      </c>
      <c r="CM13" s="282">
        <f t="shared" si="62"/>
        <v>338.35999999999996</v>
      </c>
      <c r="CN13" s="282">
        <f t="shared" si="63"/>
        <v>286.99</v>
      </c>
      <c r="CO13" s="282">
        <f t="shared" si="64"/>
        <v>281.81</v>
      </c>
      <c r="CP13" s="282">
        <f t="shared" si="65"/>
        <v>495.07</v>
      </c>
      <c r="CQ13" s="282">
        <f t="shared" si="66"/>
        <v>504.99</v>
      </c>
      <c r="CR13" s="282">
        <f t="shared" si="67"/>
        <v>489.69</v>
      </c>
      <c r="CS13" s="282">
        <f t="shared" si="68"/>
        <v>281.81</v>
      </c>
    </row>
    <row r="14" spans="1:97" x14ac:dyDescent="0.25">
      <c r="A14" s="521"/>
      <c r="B14" s="55">
        <v>11</v>
      </c>
      <c r="C14" s="56">
        <v>44.5</v>
      </c>
      <c r="D14" s="281">
        <f t="shared" si="0"/>
        <v>49.190000000000005</v>
      </c>
      <c r="E14" s="282">
        <f t="shared" si="1"/>
        <v>38.659999999999997</v>
      </c>
      <c r="F14" s="282">
        <f t="shared" si="2"/>
        <v>29.79</v>
      </c>
      <c r="G14" s="283">
        <f t="shared" si="3"/>
        <v>41.08</v>
      </c>
      <c r="H14" s="281">
        <f t="shared" si="4"/>
        <v>20.090000000000003</v>
      </c>
      <c r="I14" s="282">
        <f t="shared" si="5"/>
        <v>32.729999999999997</v>
      </c>
      <c r="J14" s="282">
        <f t="shared" si="6"/>
        <v>31.44</v>
      </c>
      <c r="K14" s="283">
        <f t="shared" si="7"/>
        <v>27.060000000000002</v>
      </c>
      <c r="L14" s="281">
        <f t="shared" si="8"/>
        <v>37.300000000000004</v>
      </c>
      <c r="M14" s="282">
        <f t="shared" si="9"/>
        <v>36.949999999999996</v>
      </c>
      <c r="N14" s="282">
        <f t="shared" si="10"/>
        <v>30.26</v>
      </c>
      <c r="O14" s="284">
        <f t="shared" si="11"/>
        <v>40.57</v>
      </c>
      <c r="P14" s="281">
        <f t="shared" si="69"/>
        <v>106.58000000000001</v>
      </c>
      <c r="Q14" s="282">
        <f t="shared" si="70"/>
        <v>108.33999999999997</v>
      </c>
      <c r="R14" s="282">
        <f t="shared" si="71"/>
        <v>91.490000000000009</v>
      </c>
      <c r="S14" s="283">
        <f t="shared" si="72"/>
        <v>108.71000000000001</v>
      </c>
      <c r="T14" s="281">
        <f t="shared" si="12"/>
        <v>63.84</v>
      </c>
      <c r="U14" s="282">
        <f t="shared" si="13"/>
        <v>82.75</v>
      </c>
      <c r="V14" s="282">
        <f t="shared" si="14"/>
        <v>37.340000000000003</v>
      </c>
      <c r="W14" s="283">
        <f t="shared" si="15"/>
        <v>35.96</v>
      </c>
      <c r="X14" s="281">
        <f t="shared" si="16"/>
        <v>47.269999999999996</v>
      </c>
      <c r="Y14" s="282">
        <f t="shared" si="17"/>
        <v>48.66</v>
      </c>
      <c r="Z14" s="282">
        <f t="shared" si="18"/>
        <v>53.78</v>
      </c>
      <c r="AA14" s="283">
        <f t="shared" si="19"/>
        <v>51.4</v>
      </c>
      <c r="AB14" s="281">
        <f t="shared" si="20"/>
        <v>29.83</v>
      </c>
      <c r="AC14" s="282">
        <f t="shared" si="21"/>
        <v>48.43</v>
      </c>
      <c r="AD14" s="282">
        <f t="shared" si="22"/>
        <v>30.880000000000003</v>
      </c>
      <c r="AE14" s="283">
        <f t="shared" si="23"/>
        <v>44.1</v>
      </c>
      <c r="AF14" s="281">
        <f t="shared" si="73"/>
        <v>140.94</v>
      </c>
      <c r="AG14" s="282">
        <f t="shared" si="74"/>
        <v>179.84</v>
      </c>
      <c r="AH14" s="282">
        <f t="shared" si="75"/>
        <v>122</v>
      </c>
      <c r="AI14" s="283">
        <f t="shared" si="76"/>
        <v>131.46</v>
      </c>
      <c r="AJ14" s="281">
        <f t="shared" si="24"/>
        <v>22.3</v>
      </c>
      <c r="AK14" s="282">
        <f t="shared" si="25"/>
        <v>54.44</v>
      </c>
      <c r="AL14" s="282">
        <f t="shared" si="26"/>
        <v>24.82</v>
      </c>
      <c r="AM14" s="283">
        <f t="shared" si="27"/>
        <v>47.35</v>
      </c>
      <c r="AN14" s="281">
        <f t="shared" si="28"/>
        <v>36.81</v>
      </c>
      <c r="AO14" s="282">
        <f t="shared" si="29"/>
        <v>61.24</v>
      </c>
      <c r="AP14" s="282">
        <f t="shared" si="30"/>
        <v>43.08</v>
      </c>
      <c r="AQ14" s="283">
        <f t="shared" si="31"/>
        <v>51.099999999999994</v>
      </c>
      <c r="AR14" s="281">
        <f t="shared" si="32"/>
        <v>87.84</v>
      </c>
      <c r="AS14" s="282">
        <f t="shared" si="33"/>
        <v>59.05</v>
      </c>
      <c r="AT14" s="282">
        <f t="shared" si="34"/>
        <v>98.26</v>
      </c>
      <c r="AU14" s="283"/>
      <c r="AV14" s="281">
        <f t="shared" si="77"/>
        <v>146.94999999999999</v>
      </c>
      <c r="AW14" s="282">
        <f t="shared" si="78"/>
        <v>174.73000000000002</v>
      </c>
      <c r="AX14" s="282">
        <f t="shared" si="79"/>
        <v>166.16000000000003</v>
      </c>
      <c r="AY14" s="283">
        <f t="shared" si="80"/>
        <v>98.449999999999989</v>
      </c>
      <c r="AZ14" s="281">
        <f t="shared" si="35"/>
        <v>59.98</v>
      </c>
      <c r="BA14" s="282">
        <f t="shared" si="36"/>
        <v>59.16</v>
      </c>
      <c r="BB14" s="282">
        <f t="shared" si="37"/>
        <v>45.33</v>
      </c>
      <c r="BC14" s="283"/>
      <c r="BD14" s="281">
        <f t="shared" si="38"/>
        <v>85.12</v>
      </c>
      <c r="BE14" s="282">
        <f t="shared" si="39"/>
        <v>28.49</v>
      </c>
      <c r="BF14" s="282">
        <f t="shared" si="40"/>
        <v>62.233999999999995</v>
      </c>
      <c r="BG14" s="283"/>
      <c r="BH14" s="281">
        <f t="shared" si="41"/>
        <v>58.31</v>
      </c>
      <c r="BI14" s="282">
        <f t="shared" si="42"/>
        <v>54.529999999999994</v>
      </c>
      <c r="BJ14" s="282">
        <f t="shared" si="43"/>
        <v>52</v>
      </c>
      <c r="BK14" s="283"/>
      <c r="BL14" s="281">
        <f t="shared" si="81"/>
        <v>203.41</v>
      </c>
      <c r="BM14" s="282">
        <f t="shared" si="82"/>
        <v>142.17999999999998</v>
      </c>
      <c r="BN14" s="282">
        <f t="shared" si="83"/>
        <v>159.56399999999999</v>
      </c>
      <c r="BO14" s="283">
        <f t="shared" si="84"/>
        <v>0</v>
      </c>
      <c r="BQ14" s="281">
        <f t="shared" si="44"/>
        <v>1.7599999999999625</v>
      </c>
      <c r="BR14" s="282">
        <f t="shared" si="45"/>
        <v>-16.849999999999966</v>
      </c>
      <c r="BS14" s="283">
        <f t="shared" si="46"/>
        <v>17.22</v>
      </c>
      <c r="BT14" s="281">
        <f t="shared" si="47"/>
        <v>38.900000000000006</v>
      </c>
      <c r="BU14" s="282">
        <f t="shared" si="48"/>
        <v>-57.84</v>
      </c>
      <c r="BV14" s="283">
        <f t="shared" si="49"/>
        <v>9.460000000000008</v>
      </c>
      <c r="BW14" s="281">
        <f t="shared" si="50"/>
        <v>27.78000000000003</v>
      </c>
      <c r="BX14" s="282">
        <f t="shared" si="51"/>
        <v>-8.5699999999999932</v>
      </c>
      <c r="BY14" s="283">
        <f t="shared" si="52"/>
        <v>-67.710000000000036</v>
      </c>
      <c r="BZ14" s="281">
        <f t="shared" si="85"/>
        <v>-61.230000000000018</v>
      </c>
      <c r="CA14" s="282">
        <f t="shared" si="86"/>
        <v>17.384000000000015</v>
      </c>
      <c r="CB14" s="283">
        <f t="shared" si="87"/>
        <v>-159.56399999999999</v>
      </c>
      <c r="CD14" s="282">
        <f t="shared" si="53"/>
        <v>106.58000000000001</v>
      </c>
      <c r="CE14" s="282">
        <f t="shared" si="54"/>
        <v>108.33999999999997</v>
      </c>
      <c r="CF14" s="282">
        <f t="shared" si="55"/>
        <v>91.490000000000009</v>
      </c>
      <c r="CG14" s="282">
        <f t="shared" si="56"/>
        <v>108.71000000000001</v>
      </c>
      <c r="CH14" s="282">
        <f t="shared" si="57"/>
        <v>247.51999999999998</v>
      </c>
      <c r="CI14" s="282">
        <f t="shared" si="58"/>
        <v>288.17999999999995</v>
      </c>
      <c r="CJ14" s="282">
        <f t="shared" si="59"/>
        <v>213.49</v>
      </c>
      <c r="CK14" s="282">
        <f t="shared" si="60"/>
        <v>240.17000000000002</v>
      </c>
      <c r="CL14" s="282">
        <f t="shared" si="61"/>
        <v>394.47</v>
      </c>
      <c r="CM14" s="282">
        <f t="shared" si="62"/>
        <v>462.90999999999997</v>
      </c>
      <c r="CN14" s="282">
        <f t="shared" si="63"/>
        <v>379.65</v>
      </c>
      <c r="CO14" s="282">
        <f t="shared" si="64"/>
        <v>338.62</v>
      </c>
      <c r="CP14" s="282">
        <f t="shared" si="65"/>
        <v>597.88000000000011</v>
      </c>
      <c r="CQ14" s="282">
        <f t="shared" si="66"/>
        <v>605.08999999999992</v>
      </c>
      <c r="CR14" s="282">
        <f t="shared" si="67"/>
        <v>539.21399999999994</v>
      </c>
      <c r="CS14" s="282">
        <f t="shared" si="68"/>
        <v>338.62</v>
      </c>
    </row>
    <row r="15" spans="1:97" x14ac:dyDescent="0.25">
      <c r="A15" s="521"/>
      <c r="B15" s="55">
        <v>12</v>
      </c>
      <c r="C15" s="56">
        <v>71</v>
      </c>
      <c r="D15" s="281">
        <f t="shared" si="0"/>
        <v>103.92</v>
      </c>
      <c r="E15" s="282">
        <f t="shared" si="1"/>
        <v>64.150000000000006</v>
      </c>
      <c r="F15" s="282">
        <f t="shared" si="2"/>
        <v>78.53</v>
      </c>
      <c r="G15" s="283">
        <f t="shared" si="3"/>
        <v>51.83</v>
      </c>
      <c r="H15" s="281">
        <f t="shared" si="4"/>
        <v>41.82</v>
      </c>
      <c r="I15" s="282">
        <f t="shared" si="5"/>
        <v>73.37</v>
      </c>
      <c r="J15" s="282">
        <f t="shared" si="6"/>
        <v>60.73</v>
      </c>
      <c r="K15" s="283">
        <f t="shared" si="7"/>
        <v>82.91</v>
      </c>
      <c r="L15" s="281">
        <f t="shared" si="8"/>
        <v>69.2</v>
      </c>
      <c r="M15" s="282">
        <f t="shared" si="9"/>
        <v>66.05</v>
      </c>
      <c r="N15" s="282">
        <f t="shared" si="10"/>
        <v>41.84</v>
      </c>
      <c r="O15" s="284">
        <f t="shared" si="11"/>
        <v>61.5</v>
      </c>
      <c r="P15" s="281">
        <f t="shared" si="69"/>
        <v>214.94</v>
      </c>
      <c r="Q15" s="282">
        <f t="shared" si="70"/>
        <v>203.57</v>
      </c>
      <c r="R15" s="282">
        <f t="shared" si="71"/>
        <v>181.1</v>
      </c>
      <c r="S15" s="283">
        <f t="shared" si="72"/>
        <v>196.24</v>
      </c>
      <c r="T15" s="281">
        <f t="shared" si="12"/>
        <v>62.67</v>
      </c>
      <c r="U15" s="282">
        <f t="shared" si="13"/>
        <v>72.349999999999994</v>
      </c>
      <c r="V15" s="282">
        <f t="shared" si="14"/>
        <v>85.08</v>
      </c>
      <c r="W15" s="283">
        <f t="shared" si="15"/>
        <v>108.55</v>
      </c>
      <c r="X15" s="281">
        <f t="shared" si="16"/>
        <v>96.63000000000001</v>
      </c>
      <c r="Y15" s="282">
        <f t="shared" si="17"/>
        <v>69.09</v>
      </c>
      <c r="Z15" s="282">
        <f t="shared" si="18"/>
        <v>60.72</v>
      </c>
      <c r="AA15" s="283">
        <f t="shared" si="19"/>
        <v>69.22999999999999</v>
      </c>
      <c r="AB15" s="281">
        <f t="shared" si="20"/>
        <v>57.239999999999995</v>
      </c>
      <c r="AC15" s="282">
        <f t="shared" si="21"/>
        <v>77.56</v>
      </c>
      <c r="AD15" s="282">
        <f t="shared" si="22"/>
        <v>57.980000000000004</v>
      </c>
      <c r="AE15" s="283">
        <f t="shared" si="23"/>
        <v>72.430000000000007</v>
      </c>
      <c r="AF15" s="281">
        <f t="shared" si="73"/>
        <v>216.54000000000002</v>
      </c>
      <c r="AG15" s="282">
        <f t="shared" si="74"/>
        <v>219</v>
      </c>
      <c r="AH15" s="282">
        <f t="shared" si="75"/>
        <v>203.78000000000003</v>
      </c>
      <c r="AI15" s="283">
        <f t="shared" si="76"/>
        <v>250.20999999999998</v>
      </c>
      <c r="AJ15" s="281">
        <f t="shared" si="24"/>
        <v>43.55</v>
      </c>
      <c r="AK15" s="282">
        <f t="shared" si="25"/>
        <v>77.760000000000005</v>
      </c>
      <c r="AL15" s="282">
        <f t="shared" si="26"/>
        <v>62.17</v>
      </c>
      <c r="AM15" s="283">
        <f t="shared" si="27"/>
        <v>75.459999999999994</v>
      </c>
      <c r="AN15" s="281">
        <f t="shared" si="28"/>
        <v>58.84</v>
      </c>
      <c r="AO15" s="282">
        <f t="shared" si="29"/>
        <v>74.569999999999993</v>
      </c>
      <c r="AP15" s="282">
        <f t="shared" si="30"/>
        <v>67.44</v>
      </c>
      <c r="AQ15" s="283">
        <f t="shared" si="31"/>
        <v>80.36</v>
      </c>
      <c r="AR15" s="281">
        <f t="shared" si="32"/>
        <v>81.45</v>
      </c>
      <c r="AS15" s="282">
        <f t="shared" si="33"/>
        <v>95.53</v>
      </c>
      <c r="AT15" s="282">
        <f t="shared" si="34"/>
        <v>147.54000000000002</v>
      </c>
      <c r="AU15" s="283"/>
      <c r="AV15" s="281">
        <f t="shared" si="77"/>
        <v>183.84</v>
      </c>
      <c r="AW15" s="282">
        <f t="shared" si="78"/>
        <v>247.85999999999999</v>
      </c>
      <c r="AX15" s="282">
        <f t="shared" si="79"/>
        <v>277.15000000000003</v>
      </c>
      <c r="AY15" s="283">
        <f t="shared" si="80"/>
        <v>155.82</v>
      </c>
      <c r="AZ15" s="281">
        <f t="shared" si="35"/>
        <v>139.88</v>
      </c>
      <c r="BA15" s="282">
        <f t="shared" si="36"/>
        <v>117.32</v>
      </c>
      <c r="BB15" s="282">
        <f t="shared" si="37"/>
        <v>92.97</v>
      </c>
      <c r="BC15" s="283"/>
      <c r="BD15" s="281">
        <f t="shared" si="38"/>
        <v>122.47</v>
      </c>
      <c r="BE15" s="282">
        <f t="shared" si="39"/>
        <v>97.89</v>
      </c>
      <c r="BF15" s="282">
        <f t="shared" si="40"/>
        <v>143.44999999999999</v>
      </c>
      <c r="BG15" s="283"/>
      <c r="BH15" s="281">
        <f t="shared" si="41"/>
        <v>180.53</v>
      </c>
      <c r="BI15" s="282">
        <f t="shared" si="42"/>
        <v>94.080000000000013</v>
      </c>
      <c r="BJ15" s="282">
        <f t="shared" si="43"/>
        <v>98.47</v>
      </c>
      <c r="BK15" s="283"/>
      <c r="BL15" s="281">
        <f t="shared" si="81"/>
        <v>442.88</v>
      </c>
      <c r="BM15" s="282">
        <f t="shared" si="82"/>
        <v>309.28999999999996</v>
      </c>
      <c r="BN15" s="282">
        <f t="shared" si="83"/>
        <v>334.89</v>
      </c>
      <c r="BO15" s="283">
        <f t="shared" si="84"/>
        <v>0</v>
      </c>
      <c r="BQ15" s="281">
        <f t="shared" si="44"/>
        <v>-11.370000000000005</v>
      </c>
      <c r="BR15" s="282">
        <f t="shared" si="45"/>
        <v>-22.47</v>
      </c>
      <c r="BS15" s="283">
        <f t="shared" si="46"/>
        <v>15.140000000000015</v>
      </c>
      <c r="BT15" s="281">
        <f t="shared" si="47"/>
        <v>2.4599999999999795</v>
      </c>
      <c r="BU15" s="282">
        <f t="shared" si="48"/>
        <v>-15.21999999999997</v>
      </c>
      <c r="BV15" s="283">
        <f t="shared" si="49"/>
        <v>46.42999999999995</v>
      </c>
      <c r="BW15" s="281">
        <f t="shared" si="50"/>
        <v>64.019999999999982</v>
      </c>
      <c r="BX15" s="282">
        <f t="shared" si="51"/>
        <v>29.290000000000049</v>
      </c>
      <c r="BY15" s="283">
        <f t="shared" si="52"/>
        <v>-121.33000000000004</v>
      </c>
      <c r="BZ15" s="281">
        <f t="shared" si="85"/>
        <v>-133.59000000000003</v>
      </c>
      <c r="CA15" s="282">
        <f t="shared" si="86"/>
        <v>25.600000000000023</v>
      </c>
      <c r="CB15" s="283">
        <f t="shared" si="87"/>
        <v>-334.89</v>
      </c>
      <c r="CD15" s="282">
        <f t="shared" si="53"/>
        <v>214.94</v>
      </c>
      <c r="CE15" s="282">
        <f t="shared" si="54"/>
        <v>203.57</v>
      </c>
      <c r="CF15" s="282">
        <f t="shared" si="55"/>
        <v>181.1</v>
      </c>
      <c r="CG15" s="282">
        <f t="shared" si="56"/>
        <v>196.24</v>
      </c>
      <c r="CH15" s="282">
        <f t="shared" si="57"/>
        <v>431.48</v>
      </c>
      <c r="CI15" s="282">
        <f t="shared" si="58"/>
        <v>422.57</v>
      </c>
      <c r="CJ15" s="282">
        <f t="shared" si="59"/>
        <v>384.88</v>
      </c>
      <c r="CK15" s="282">
        <f t="shared" si="60"/>
        <v>446.45</v>
      </c>
      <c r="CL15" s="282">
        <f t="shared" si="61"/>
        <v>615.32000000000005</v>
      </c>
      <c r="CM15" s="282">
        <f t="shared" si="62"/>
        <v>670.43</v>
      </c>
      <c r="CN15" s="282">
        <f t="shared" si="63"/>
        <v>662.03</v>
      </c>
      <c r="CO15" s="282">
        <f t="shared" si="64"/>
        <v>602.27</v>
      </c>
      <c r="CP15" s="282">
        <f t="shared" si="65"/>
        <v>1058.2</v>
      </c>
      <c r="CQ15" s="282">
        <f t="shared" si="66"/>
        <v>979.72</v>
      </c>
      <c r="CR15" s="282">
        <f t="shared" si="67"/>
        <v>996.92000000000007</v>
      </c>
      <c r="CS15" s="282">
        <f t="shared" si="68"/>
        <v>602.27</v>
      </c>
    </row>
    <row r="16" spans="1:97" ht="15.75" thickBot="1" x14ac:dyDescent="0.3">
      <c r="A16" s="522"/>
      <c r="B16" s="83">
        <v>23</v>
      </c>
      <c r="C16" s="84">
        <v>14.6</v>
      </c>
      <c r="D16" s="281">
        <f t="shared" si="0"/>
        <v>16.240000000000002</v>
      </c>
      <c r="E16" s="282">
        <f t="shared" si="1"/>
        <v>13.39</v>
      </c>
      <c r="F16" s="282">
        <f t="shared" si="2"/>
        <v>20.83</v>
      </c>
      <c r="G16" s="283">
        <f t="shared" si="3"/>
        <v>15.99</v>
      </c>
      <c r="H16" s="281">
        <f t="shared" si="4"/>
        <v>8.74</v>
      </c>
      <c r="I16" s="282">
        <f t="shared" si="5"/>
        <v>23.380000000000003</v>
      </c>
      <c r="J16" s="282">
        <f t="shared" si="6"/>
        <v>15.02</v>
      </c>
      <c r="K16" s="283">
        <f t="shared" si="7"/>
        <v>20.85</v>
      </c>
      <c r="L16" s="281">
        <f t="shared" si="8"/>
        <v>14.7</v>
      </c>
      <c r="M16" s="282">
        <f t="shared" si="9"/>
        <v>14.47</v>
      </c>
      <c r="N16" s="282">
        <f t="shared" si="10"/>
        <v>7.17</v>
      </c>
      <c r="O16" s="284">
        <f t="shared" si="11"/>
        <v>12.399999999999999</v>
      </c>
      <c r="P16" s="281">
        <f t="shared" si="69"/>
        <v>39.680000000000007</v>
      </c>
      <c r="Q16" s="282">
        <f t="shared" si="70"/>
        <v>51.24</v>
      </c>
      <c r="R16" s="282">
        <f t="shared" si="71"/>
        <v>43.019999999999996</v>
      </c>
      <c r="S16" s="283">
        <f t="shared" si="72"/>
        <v>49.24</v>
      </c>
      <c r="T16" s="281">
        <f t="shared" si="12"/>
        <v>20.130000000000003</v>
      </c>
      <c r="U16" s="282">
        <f t="shared" si="13"/>
        <v>7.79</v>
      </c>
      <c r="V16" s="282">
        <f t="shared" si="14"/>
        <v>12.370000000000001</v>
      </c>
      <c r="W16" s="283">
        <f t="shared" si="15"/>
        <v>31.32</v>
      </c>
      <c r="X16" s="281">
        <f t="shared" si="16"/>
        <v>18.100000000000001</v>
      </c>
      <c r="Y16" s="282">
        <f t="shared" si="17"/>
        <v>16.48</v>
      </c>
      <c r="Z16" s="282">
        <f t="shared" si="18"/>
        <v>24.14</v>
      </c>
      <c r="AA16" s="283">
        <f t="shared" si="19"/>
        <v>21.55</v>
      </c>
      <c r="AB16" s="281">
        <f t="shared" si="20"/>
        <v>12.600000000000001</v>
      </c>
      <c r="AC16" s="282">
        <f t="shared" si="21"/>
        <v>21.369999999999997</v>
      </c>
      <c r="AD16" s="282">
        <f t="shared" si="22"/>
        <v>15.32</v>
      </c>
      <c r="AE16" s="283">
        <f t="shared" si="23"/>
        <v>21.51</v>
      </c>
      <c r="AF16" s="281">
        <f t="shared" si="73"/>
        <v>50.830000000000005</v>
      </c>
      <c r="AG16" s="282">
        <f t="shared" si="74"/>
        <v>45.64</v>
      </c>
      <c r="AH16" s="282">
        <f t="shared" si="75"/>
        <v>51.830000000000005</v>
      </c>
      <c r="AI16" s="283">
        <f t="shared" si="76"/>
        <v>74.38000000000001</v>
      </c>
      <c r="AJ16" s="281">
        <f t="shared" si="24"/>
        <v>13.33</v>
      </c>
      <c r="AK16" s="282">
        <f t="shared" si="25"/>
        <v>21.189999999999998</v>
      </c>
      <c r="AL16" s="282">
        <f t="shared" si="26"/>
        <v>29.12</v>
      </c>
      <c r="AM16" s="283">
        <f t="shared" si="27"/>
        <v>19.11</v>
      </c>
      <c r="AN16" s="281">
        <f t="shared" si="28"/>
        <v>18.82</v>
      </c>
      <c r="AO16" s="282">
        <f t="shared" si="29"/>
        <v>41.82</v>
      </c>
      <c r="AP16" s="282">
        <f t="shared" si="30"/>
        <v>40.04</v>
      </c>
      <c r="AQ16" s="283">
        <f t="shared" si="31"/>
        <v>29.76</v>
      </c>
      <c r="AR16" s="281">
        <f t="shared" si="32"/>
        <v>14.39</v>
      </c>
      <c r="AS16" s="282">
        <f t="shared" si="33"/>
        <v>22.19</v>
      </c>
      <c r="AT16" s="282">
        <f t="shared" si="34"/>
        <v>25.52</v>
      </c>
      <c r="AU16" s="283"/>
      <c r="AV16" s="281">
        <f t="shared" si="77"/>
        <v>46.54</v>
      </c>
      <c r="AW16" s="282">
        <f t="shared" si="78"/>
        <v>85.2</v>
      </c>
      <c r="AX16" s="282">
        <f t="shared" si="79"/>
        <v>94.679999999999993</v>
      </c>
      <c r="AY16" s="283">
        <f t="shared" si="80"/>
        <v>48.870000000000005</v>
      </c>
      <c r="AZ16" s="281">
        <f t="shared" si="35"/>
        <v>42.260000000000005</v>
      </c>
      <c r="BA16" s="282">
        <f t="shared" si="36"/>
        <v>23.86</v>
      </c>
      <c r="BB16" s="282">
        <f t="shared" si="37"/>
        <v>44.03</v>
      </c>
      <c r="BC16" s="283"/>
      <c r="BD16" s="281">
        <f t="shared" si="38"/>
        <v>28.15</v>
      </c>
      <c r="BE16" s="282">
        <f t="shared" si="39"/>
        <v>20.75</v>
      </c>
      <c r="BF16" s="282">
        <f t="shared" si="40"/>
        <v>32.370000000000005</v>
      </c>
      <c r="BG16" s="283"/>
      <c r="BH16" s="281">
        <f t="shared" si="41"/>
        <v>18.77</v>
      </c>
      <c r="BI16" s="282">
        <f t="shared" si="42"/>
        <v>16.809999999999999</v>
      </c>
      <c r="BJ16" s="282">
        <f t="shared" si="43"/>
        <v>21.66</v>
      </c>
      <c r="BK16" s="283"/>
      <c r="BL16" s="281">
        <f t="shared" si="81"/>
        <v>89.179999999999993</v>
      </c>
      <c r="BM16" s="282">
        <f t="shared" si="82"/>
        <v>61.42</v>
      </c>
      <c r="BN16" s="282">
        <f t="shared" si="83"/>
        <v>98.06</v>
      </c>
      <c r="BO16" s="283">
        <f t="shared" si="84"/>
        <v>0</v>
      </c>
      <c r="BQ16" s="281">
        <f t="shared" si="44"/>
        <v>11.559999999999995</v>
      </c>
      <c r="BR16" s="282">
        <f t="shared" si="45"/>
        <v>-8.220000000000006</v>
      </c>
      <c r="BS16" s="283">
        <f t="shared" si="46"/>
        <v>6.220000000000006</v>
      </c>
      <c r="BT16" s="281">
        <f t="shared" si="47"/>
        <v>-5.1900000000000048</v>
      </c>
      <c r="BU16" s="282">
        <f t="shared" si="48"/>
        <v>6.1900000000000048</v>
      </c>
      <c r="BV16" s="283">
        <f t="shared" si="49"/>
        <v>22.550000000000004</v>
      </c>
      <c r="BW16" s="281">
        <f t="shared" si="50"/>
        <v>38.660000000000004</v>
      </c>
      <c r="BX16" s="282">
        <f t="shared" si="51"/>
        <v>9.4799999999999898</v>
      </c>
      <c r="BY16" s="283">
        <f t="shared" si="52"/>
        <v>-45.809999999999988</v>
      </c>
      <c r="BZ16" s="281">
        <f t="shared" si="85"/>
        <v>-27.759999999999991</v>
      </c>
      <c r="CA16" s="282">
        <f t="shared" si="86"/>
        <v>36.64</v>
      </c>
      <c r="CB16" s="283">
        <f t="shared" si="87"/>
        <v>-98.06</v>
      </c>
      <c r="CD16" s="282">
        <f t="shared" si="53"/>
        <v>39.680000000000007</v>
      </c>
      <c r="CE16" s="282">
        <f t="shared" si="54"/>
        <v>51.24</v>
      </c>
      <c r="CF16" s="282">
        <f t="shared" si="55"/>
        <v>43.019999999999996</v>
      </c>
      <c r="CG16" s="282">
        <f t="shared" si="56"/>
        <v>49.24</v>
      </c>
      <c r="CH16" s="282">
        <f t="shared" si="57"/>
        <v>90.510000000000019</v>
      </c>
      <c r="CI16" s="282">
        <f t="shared" si="58"/>
        <v>96.88</v>
      </c>
      <c r="CJ16" s="282">
        <f t="shared" si="59"/>
        <v>94.85</v>
      </c>
      <c r="CK16" s="282">
        <f t="shared" si="60"/>
        <v>123.62</v>
      </c>
      <c r="CL16" s="282">
        <f t="shared" si="61"/>
        <v>137.05000000000001</v>
      </c>
      <c r="CM16" s="282">
        <f t="shared" si="62"/>
        <v>182.07999999999998</v>
      </c>
      <c r="CN16" s="282">
        <f t="shared" si="63"/>
        <v>189.53</v>
      </c>
      <c r="CO16" s="282">
        <f t="shared" si="64"/>
        <v>172.49</v>
      </c>
      <c r="CP16" s="282">
        <f t="shared" si="65"/>
        <v>226.23000000000002</v>
      </c>
      <c r="CQ16" s="282">
        <f t="shared" si="66"/>
        <v>243.5</v>
      </c>
      <c r="CR16" s="282">
        <f t="shared" si="67"/>
        <v>287.59000000000003</v>
      </c>
      <c r="CS16" s="282">
        <f t="shared" si="68"/>
        <v>172.49</v>
      </c>
    </row>
    <row r="17" spans="1:97" x14ac:dyDescent="0.25">
      <c r="A17" s="520" t="s">
        <v>22</v>
      </c>
      <c r="B17" s="85">
        <v>10</v>
      </c>
      <c r="C17" s="86">
        <v>19.100000000000001</v>
      </c>
      <c r="D17" s="281">
        <f t="shared" si="0"/>
        <v>11.7</v>
      </c>
      <c r="E17" s="282">
        <f t="shared" si="1"/>
        <v>16.29</v>
      </c>
      <c r="F17" s="282">
        <f t="shared" si="2"/>
        <v>19.59</v>
      </c>
      <c r="G17" s="283">
        <f t="shared" si="3"/>
        <v>8.8699999999999992</v>
      </c>
      <c r="H17" s="281">
        <f t="shared" si="4"/>
        <v>7.34</v>
      </c>
      <c r="I17" s="282">
        <f t="shared" si="5"/>
        <v>16.53</v>
      </c>
      <c r="J17" s="282">
        <f t="shared" si="6"/>
        <v>10.29</v>
      </c>
      <c r="K17" s="283">
        <f t="shared" si="7"/>
        <v>18.600000000000001</v>
      </c>
      <c r="L17" s="281">
        <f t="shared" si="8"/>
        <v>14.849999999999998</v>
      </c>
      <c r="M17" s="282">
        <f t="shared" si="9"/>
        <v>18.66</v>
      </c>
      <c r="N17" s="282">
        <f t="shared" si="10"/>
        <v>10.94</v>
      </c>
      <c r="O17" s="284">
        <f t="shared" si="11"/>
        <v>21.950000000000003</v>
      </c>
      <c r="P17" s="281">
        <f t="shared" si="69"/>
        <v>33.89</v>
      </c>
      <c r="Q17" s="282">
        <f t="shared" si="70"/>
        <v>51.480000000000004</v>
      </c>
      <c r="R17" s="282">
        <f t="shared" si="71"/>
        <v>40.82</v>
      </c>
      <c r="S17" s="283">
        <f t="shared" si="72"/>
        <v>49.42</v>
      </c>
      <c r="T17" s="281">
        <f t="shared" si="12"/>
        <v>19.18</v>
      </c>
      <c r="U17" s="282">
        <f t="shared" si="13"/>
        <v>15.34</v>
      </c>
      <c r="V17" s="282">
        <f t="shared" si="14"/>
        <v>7.91</v>
      </c>
      <c r="W17" s="283">
        <f t="shared" si="15"/>
        <v>17.760000000000002</v>
      </c>
      <c r="X17" s="281">
        <f t="shared" si="16"/>
        <v>26.41</v>
      </c>
      <c r="Y17" s="282">
        <f t="shared" si="17"/>
        <v>25.56</v>
      </c>
      <c r="Z17" s="282">
        <f t="shared" si="18"/>
        <v>16.59</v>
      </c>
      <c r="AA17" s="283">
        <f t="shared" si="19"/>
        <v>21.09</v>
      </c>
      <c r="AB17" s="281">
        <f t="shared" si="20"/>
        <v>22.54</v>
      </c>
      <c r="AC17" s="282">
        <f t="shared" si="21"/>
        <v>21.5</v>
      </c>
      <c r="AD17" s="282">
        <f t="shared" si="22"/>
        <v>20.95</v>
      </c>
      <c r="AE17" s="283">
        <f t="shared" si="23"/>
        <v>29.669999999999998</v>
      </c>
      <c r="AF17" s="281">
        <f t="shared" si="73"/>
        <v>68.13</v>
      </c>
      <c r="AG17" s="282">
        <f t="shared" si="74"/>
        <v>62.4</v>
      </c>
      <c r="AH17" s="282">
        <f t="shared" si="75"/>
        <v>45.45</v>
      </c>
      <c r="AI17" s="283">
        <f t="shared" si="76"/>
        <v>68.52</v>
      </c>
      <c r="AJ17" s="281">
        <f t="shared" si="24"/>
        <v>13.11</v>
      </c>
      <c r="AK17" s="282">
        <f t="shared" si="25"/>
        <v>27.93</v>
      </c>
      <c r="AL17" s="282">
        <f t="shared" si="26"/>
        <v>13.52</v>
      </c>
      <c r="AM17" s="283">
        <f t="shared" si="27"/>
        <v>15.129999999999999</v>
      </c>
      <c r="AN17" s="281">
        <f t="shared" si="28"/>
        <v>20.47</v>
      </c>
      <c r="AO17" s="282">
        <f t="shared" si="29"/>
        <v>29.2</v>
      </c>
      <c r="AP17" s="282">
        <f t="shared" si="30"/>
        <v>27.61</v>
      </c>
      <c r="AQ17" s="283">
        <f t="shared" si="31"/>
        <v>23.62</v>
      </c>
      <c r="AR17" s="281">
        <f t="shared" si="32"/>
        <v>44.04</v>
      </c>
      <c r="AS17" s="282">
        <f t="shared" si="33"/>
        <v>34.06</v>
      </c>
      <c r="AT17" s="282">
        <f t="shared" si="34"/>
        <v>40.57</v>
      </c>
      <c r="AU17" s="283"/>
      <c r="AV17" s="281">
        <f t="shared" si="77"/>
        <v>77.62</v>
      </c>
      <c r="AW17" s="282">
        <f t="shared" si="78"/>
        <v>91.19</v>
      </c>
      <c r="AX17" s="282">
        <f t="shared" si="79"/>
        <v>81.699999999999989</v>
      </c>
      <c r="AY17" s="283">
        <f t="shared" si="80"/>
        <v>38.75</v>
      </c>
      <c r="AZ17" s="281">
        <f t="shared" si="35"/>
        <v>36.01</v>
      </c>
      <c r="BA17" s="282">
        <f t="shared" si="36"/>
        <v>29.66</v>
      </c>
      <c r="BB17" s="282">
        <f t="shared" si="37"/>
        <v>28.14</v>
      </c>
      <c r="BC17" s="283"/>
      <c r="BD17" s="281">
        <f t="shared" si="38"/>
        <v>0</v>
      </c>
      <c r="BE17" s="282">
        <f t="shared" si="39"/>
        <v>24.72</v>
      </c>
      <c r="BF17" s="282">
        <f t="shared" si="40"/>
        <v>35.380000000000003</v>
      </c>
      <c r="BG17" s="283"/>
      <c r="BH17" s="281">
        <f t="shared" si="41"/>
        <v>53.05</v>
      </c>
      <c r="BI17" s="282">
        <f t="shared" si="42"/>
        <v>28.05</v>
      </c>
      <c r="BJ17" s="282">
        <f t="shared" si="43"/>
        <v>29.310000000000002</v>
      </c>
      <c r="BK17" s="283"/>
      <c r="BL17" s="281">
        <f t="shared" si="81"/>
        <v>89.06</v>
      </c>
      <c r="BM17" s="282">
        <f t="shared" si="82"/>
        <v>82.429999999999993</v>
      </c>
      <c r="BN17" s="282">
        <f t="shared" si="83"/>
        <v>92.830000000000013</v>
      </c>
      <c r="BO17" s="283">
        <f t="shared" si="84"/>
        <v>0</v>
      </c>
      <c r="BQ17" s="281">
        <f t="shared" si="44"/>
        <v>17.590000000000003</v>
      </c>
      <c r="BR17" s="282">
        <f t="shared" si="45"/>
        <v>-10.660000000000004</v>
      </c>
      <c r="BS17" s="283">
        <f t="shared" si="46"/>
        <v>8.6000000000000014</v>
      </c>
      <c r="BT17" s="281">
        <f t="shared" si="47"/>
        <v>-5.7299999999999969</v>
      </c>
      <c r="BU17" s="282">
        <f t="shared" si="48"/>
        <v>-16.949999999999996</v>
      </c>
      <c r="BV17" s="283">
        <f t="shared" si="49"/>
        <v>23.069999999999993</v>
      </c>
      <c r="BW17" s="281">
        <f t="shared" si="50"/>
        <v>13.569999999999993</v>
      </c>
      <c r="BX17" s="282">
        <f t="shared" si="51"/>
        <v>-9.4900000000000091</v>
      </c>
      <c r="BY17" s="283">
        <f t="shared" si="52"/>
        <v>-42.949999999999989</v>
      </c>
      <c r="BZ17" s="281">
        <f t="shared" si="85"/>
        <v>-6.6300000000000097</v>
      </c>
      <c r="CA17" s="282">
        <f t="shared" si="86"/>
        <v>10.40000000000002</v>
      </c>
      <c r="CB17" s="283">
        <f t="shared" si="87"/>
        <v>-92.830000000000013</v>
      </c>
      <c r="CD17" s="282">
        <f t="shared" si="53"/>
        <v>33.89</v>
      </c>
      <c r="CE17" s="282">
        <f t="shared" si="54"/>
        <v>51.480000000000004</v>
      </c>
      <c r="CF17" s="282">
        <f t="shared" si="55"/>
        <v>40.82</v>
      </c>
      <c r="CG17" s="282">
        <f t="shared" si="56"/>
        <v>49.42</v>
      </c>
      <c r="CH17" s="282">
        <f t="shared" si="57"/>
        <v>102.02000000000001</v>
      </c>
      <c r="CI17" s="282">
        <f t="shared" si="58"/>
        <v>113.88000000000001</v>
      </c>
      <c r="CJ17" s="282">
        <f t="shared" si="59"/>
        <v>86.27000000000001</v>
      </c>
      <c r="CK17" s="282">
        <f t="shared" si="60"/>
        <v>117.94000000000001</v>
      </c>
      <c r="CL17" s="282">
        <f t="shared" si="61"/>
        <v>179.64000000000001</v>
      </c>
      <c r="CM17" s="282">
        <f t="shared" si="62"/>
        <v>205.07</v>
      </c>
      <c r="CN17" s="282">
        <f t="shared" si="63"/>
        <v>167.97</v>
      </c>
      <c r="CO17" s="282">
        <f t="shared" si="64"/>
        <v>156.69000000000003</v>
      </c>
      <c r="CP17" s="282">
        <f t="shared" si="65"/>
        <v>268.7</v>
      </c>
      <c r="CQ17" s="282">
        <f t="shared" si="66"/>
        <v>287.5</v>
      </c>
      <c r="CR17" s="282">
        <f t="shared" si="67"/>
        <v>260.8</v>
      </c>
      <c r="CS17" s="282">
        <f t="shared" si="68"/>
        <v>156.69000000000003</v>
      </c>
    </row>
    <row r="18" spans="1:97" x14ac:dyDescent="0.25">
      <c r="A18" s="521"/>
      <c r="B18" s="55">
        <v>13</v>
      </c>
      <c r="C18" s="56">
        <v>60.8</v>
      </c>
      <c r="D18" s="281">
        <f t="shared" si="0"/>
        <v>55.04</v>
      </c>
      <c r="E18" s="282">
        <f t="shared" si="1"/>
        <v>107.76</v>
      </c>
      <c r="F18" s="282">
        <f t="shared" si="2"/>
        <v>74.92</v>
      </c>
      <c r="G18" s="283">
        <f t="shared" si="3"/>
        <v>91.4</v>
      </c>
      <c r="H18" s="281">
        <f t="shared" si="4"/>
        <v>49.260000000000005</v>
      </c>
      <c r="I18" s="282">
        <f t="shared" si="5"/>
        <v>63.97</v>
      </c>
      <c r="J18" s="282">
        <f t="shared" si="6"/>
        <v>56.88</v>
      </c>
      <c r="K18" s="283">
        <f t="shared" si="7"/>
        <v>74.7</v>
      </c>
      <c r="L18" s="281">
        <f t="shared" si="8"/>
        <v>55.06</v>
      </c>
      <c r="M18" s="282">
        <f t="shared" si="9"/>
        <v>61.980000000000004</v>
      </c>
      <c r="N18" s="282">
        <f t="shared" si="10"/>
        <v>44.790000000000006</v>
      </c>
      <c r="O18" s="284">
        <f t="shared" si="11"/>
        <v>57.589999999999996</v>
      </c>
      <c r="P18" s="281">
        <f t="shared" si="69"/>
        <v>159.36000000000001</v>
      </c>
      <c r="Q18" s="282">
        <f t="shared" si="70"/>
        <v>233.71000000000004</v>
      </c>
      <c r="R18" s="282">
        <f t="shared" si="71"/>
        <v>176.59000000000003</v>
      </c>
      <c r="S18" s="283">
        <f t="shared" si="72"/>
        <v>223.69000000000003</v>
      </c>
      <c r="T18" s="281">
        <f t="shared" si="12"/>
        <v>51.75</v>
      </c>
      <c r="U18" s="282">
        <f t="shared" si="13"/>
        <v>47.14</v>
      </c>
      <c r="V18" s="282">
        <f t="shared" si="14"/>
        <v>68.010000000000005</v>
      </c>
      <c r="W18" s="283">
        <f t="shared" si="15"/>
        <v>47.86</v>
      </c>
      <c r="X18" s="281">
        <f t="shared" si="16"/>
        <v>86.15</v>
      </c>
      <c r="Y18" s="282">
        <f t="shared" si="17"/>
        <v>85.9</v>
      </c>
      <c r="Z18" s="282">
        <f t="shared" si="18"/>
        <v>48.01</v>
      </c>
      <c r="AA18" s="283">
        <f t="shared" si="19"/>
        <v>90.56</v>
      </c>
      <c r="AB18" s="281">
        <f t="shared" si="20"/>
        <v>76.180000000000007</v>
      </c>
      <c r="AC18" s="282">
        <f t="shared" si="21"/>
        <v>77.59</v>
      </c>
      <c r="AD18" s="282">
        <f t="shared" si="22"/>
        <v>53.45</v>
      </c>
      <c r="AE18" s="283">
        <f t="shared" si="23"/>
        <v>56.22</v>
      </c>
      <c r="AF18" s="281">
        <f t="shared" si="73"/>
        <v>214.08</v>
      </c>
      <c r="AG18" s="282">
        <f t="shared" si="74"/>
        <v>210.63000000000002</v>
      </c>
      <c r="AH18" s="282">
        <f t="shared" si="75"/>
        <v>169.47000000000003</v>
      </c>
      <c r="AI18" s="283">
        <f t="shared" si="76"/>
        <v>194.64000000000001</v>
      </c>
      <c r="AJ18" s="281">
        <f t="shared" si="24"/>
        <v>84.359999999999985</v>
      </c>
      <c r="AK18" s="282">
        <f t="shared" si="25"/>
        <v>93.78</v>
      </c>
      <c r="AL18" s="282">
        <f t="shared" si="26"/>
        <v>71.09</v>
      </c>
      <c r="AM18" s="283">
        <f t="shared" si="27"/>
        <v>89.53</v>
      </c>
      <c r="AN18" s="281">
        <f t="shared" si="28"/>
        <v>80.569999999999993</v>
      </c>
      <c r="AO18" s="282">
        <f t="shared" si="29"/>
        <v>85.92</v>
      </c>
      <c r="AP18" s="282">
        <f t="shared" si="30"/>
        <v>96.89</v>
      </c>
      <c r="AQ18" s="283">
        <f t="shared" si="31"/>
        <v>66.47</v>
      </c>
      <c r="AR18" s="281">
        <f t="shared" si="32"/>
        <v>96.34</v>
      </c>
      <c r="AS18" s="282">
        <f t="shared" si="33"/>
        <v>109.63999999999999</v>
      </c>
      <c r="AT18" s="282">
        <f t="shared" si="34"/>
        <v>80.66</v>
      </c>
      <c r="AU18" s="283"/>
      <c r="AV18" s="281">
        <f t="shared" si="77"/>
        <v>261.27</v>
      </c>
      <c r="AW18" s="282">
        <f t="shared" si="78"/>
        <v>289.33999999999997</v>
      </c>
      <c r="AX18" s="282">
        <f t="shared" si="79"/>
        <v>248.64000000000001</v>
      </c>
      <c r="AY18" s="283">
        <f t="shared" si="80"/>
        <v>156</v>
      </c>
      <c r="AZ18" s="281">
        <f t="shared" si="35"/>
        <v>113.44</v>
      </c>
      <c r="BA18" s="282">
        <f t="shared" si="36"/>
        <v>94.43</v>
      </c>
      <c r="BB18" s="282">
        <f t="shared" si="37"/>
        <v>184.71</v>
      </c>
      <c r="BC18" s="283"/>
      <c r="BD18" s="281">
        <f t="shared" si="38"/>
        <v>119.28</v>
      </c>
      <c r="BE18" s="282">
        <f t="shared" si="39"/>
        <v>112.62</v>
      </c>
      <c r="BF18" s="282">
        <f t="shared" si="40"/>
        <v>139.12900000000002</v>
      </c>
      <c r="BG18" s="283"/>
      <c r="BH18" s="281">
        <f t="shared" si="41"/>
        <v>97.38</v>
      </c>
      <c r="BI18" s="282">
        <f t="shared" si="42"/>
        <v>98.88</v>
      </c>
      <c r="BJ18" s="282">
        <f t="shared" si="43"/>
        <v>80.319999999999993</v>
      </c>
      <c r="BK18" s="283"/>
      <c r="BL18" s="281">
        <f t="shared" si="81"/>
        <v>330.1</v>
      </c>
      <c r="BM18" s="282">
        <f t="shared" si="82"/>
        <v>305.93</v>
      </c>
      <c r="BN18" s="282">
        <f t="shared" si="83"/>
        <v>404.15900000000005</v>
      </c>
      <c r="BO18" s="283">
        <f t="shared" si="84"/>
        <v>0</v>
      </c>
      <c r="BQ18" s="281">
        <f t="shared" si="44"/>
        <v>74.350000000000023</v>
      </c>
      <c r="BR18" s="282">
        <f t="shared" si="45"/>
        <v>-57.120000000000005</v>
      </c>
      <c r="BS18" s="283">
        <f t="shared" si="46"/>
        <v>47.099999999999994</v>
      </c>
      <c r="BT18" s="281">
        <f t="shared" si="47"/>
        <v>-3.4499999999999886</v>
      </c>
      <c r="BU18" s="282">
        <f t="shared" si="48"/>
        <v>-41.16</v>
      </c>
      <c r="BV18" s="283">
        <f t="shared" si="49"/>
        <v>25.169999999999987</v>
      </c>
      <c r="BW18" s="281">
        <f t="shared" si="50"/>
        <v>28.069999999999993</v>
      </c>
      <c r="BX18" s="282">
        <f t="shared" si="51"/>
        <v>-40.69999999999996</v>
      </c>
      <c r="BY18" s="283">
        <f t="shared" si="52"/>
        <v>-92.640000000000015</v>
      </c>
      <c r="BZ18" s="281">
        <f t="shared" si="85"/>
        <v>-24.170000000000016</v>
      </c>
      <c r="CA18" s="282">
        <f t="shared" si="86"/>
        <v>98.229000000000042</v>
      </c>
      <c r="CB18" s="283">
        <f t="shared" si="87"/>
        <v>-404.15900000000005</v>
      </c>
      <c r="CD18" s="282">
        <f t="shared" si="53"/>
        <v>159.36000000000001</v>
      </c>
      <c r="CE18" s="282">
        <f t="shared" si="54"/>
        <v>233.71000000000004</v>
      </c>
      <c r="CF18" s="282">
        <f t="shared" si="55"/>
        <v>176.59000000000003</v>
      </c>
      <c r="CG18" s="282">
        <f t="shared" si="56"/>
        <v>223.69000000000003</v>
      </c>
      <c r="CH18" s="282">
        <f t="shared" si="57"/>
        <v>373.44</v>
      </c>
      <c r="CI18" s="282">
        <f t="shared" si="58"/>
        <v>444.34000000000003</v>
      </c>
      <c r="CJ18" s="282">
        <f t="shared" si="59"/>
        <v>346.06</v>
      </c>
      <c r="CK18" s="282">
        <f t="shared" si="60"/>
        <v>418.33000000000004</v>
      </c>
      <c r="CL18" s="282">
        <f t="shared" si="61"/>
        <v>634.70999999999992</v>
      </c>
      <c r="CM18" s="282">
        <f t="shared" si="62"/>
        <v>733.68</v>
      </c>
      <c r="CN18" s="282">
        <f t="shared" si="63"/>
        <v>594.69999999999993</v>
      </c>
      <c r="CO18" s="282">
        <f t="shared" si="64"/>
        <v>574.33000000000004</v>
      </c>
      <c r="CP18" s="282">
        <f t="shared" si="65"/>
        <v>964.80999999999983</v>
      </c>
      <c r="CQ18" s="282">
        <f t="shared" si="66"/>
        <v>1039.6099999999999</v>
      </c>
      <c r="CR18" s="282">
        <f t="shared" si="67"/>
        <v>998.85899999999992</v>
      </c>
      <c r="CS18" s="282">
        <f t="shared" si="68"/>
        <v>574.33000000000004</v>
      </c>
    </row>
    <row r="19" spans="1:97" x14ac:dyDescent="0.25">
      <c r="A19" s="521"/>
      <c r="B19" s="55">
        <v>14</v>
      </c>
      <c r="C19" s="56">
        <v>41.6</v>
      </c>
      <c r="D19" s="281">
        <f t="shared" si="0"/>
        <v>65.56</v>
      </c>
      <c r="E19" s="282">
        <f t="shared" si="1"/>
        <v>42.41</v>
      </c>
      <c r="F19" s="282">
        <f t="shared" si="2"/>
        <v>52.870000000000005</v>
      </c>
      <c r="G19" s="283">
        <f t="shared" si="3"/>
        <v>46.739999999999995</v>
      </c>
      <c r="H19" s="281">
        <f t="shared" si="4"/>
        <v>34.21</v>
      </c>
      <c r="I19" s="282">
        <f t="shared" si="5"/>
        <v>45.37</v>
      </c>
      <c r="J19" s="282">
        <f t="shared" si="6"/>
        <v>38.82</v>
      </c>
      <c r="K19" s="283">
        <f t="shared" si="7"/>
        <v>39.24</v>
      </c>
      <c r="L19" s="281">
        <f t="shared" si="8"/>
        <v>29.24</v>
      </c>
      <c r="M19" s="282">
        <f t="shared" si="9"/>
        <v>58.05</v>
      </c>
      <c r="N19" s="282">
        <f t="shared" si="10"/>
        <v>18.579999999999998</v>
      </c>
      <c r="O19" s="284">
        <f t="shared" si="11"/>
        <v>32.08</v>
      </c>
      <c r="P19" s="281">
        <f t="shared" si="69"/>
        <v>129.01000000000002</v>
      </c>
      <c r="Q19" s="282">
        <f t="shared" si="70"/>
        <v>145.82999999999998</v>
      </c>
      <c r="R19" s="282">
        <f t="shared" si="71"/>
        <v>110.27</v>
      </c>
      <c r="S19" s="283">
        <f t="shared" si="72"/>
        <v>118.05999999999999</v>
      </c>
      <c r="T19" s="281">
        <f t="shared" si="12"/>
        <v>28.13</v>
      </c>
      <c r="U19" s="282">
        <f t="shared" si="13"/>
        <v>37.229999999999997</v>
      </c>
      <c r="V19" s="282">
        <f t="shared" si="14"/>
        <v>48.01</v>
      </c>
      <c r="W19" s="283">
        <f t="shared" si="15"/>
        <v>61.87</v>
      </c>
      <c r="X19" s="281">
        <f t="shared" si="16"/>
        <v>86.62</v>
      </c>
      <c r="Y19" s="282">
        <f t="shared" si="17"/>
        <v>59.67</v>
      </c>
      <c r="Z19" s="282">
        <f t="shared" si="18"/>
        <v>71.760000000000005</v>
      </c>
      <c r="AA19" s="283">
        <f t="shared" si="19"/>
        <v>55.48</v>
      </c>
      <c r="AB19" s="281">
        <f t="shared" si="20"/>
        <v>44.92</v>
      </c>
      <c r="AC19" s="282">
        <f t="shared" si="21"/>
        <v>55.47</v>
      </c>
      <c r="AD19" s="282">
        <f t="shared" si="22"/>
        <v>41.28</v>
      </c>
      <c r="AE19" s="283">
        <f t="shared" si="23"/>
        <v>76.95</v>
      </c>
      <c r="AF19" s="281">
        <f t="shared" si="73"/>
        <v>159.67000000000002</v>
      </c>
      <c r="AG19" s="282">
        <f t="shared" si="74"/>
        <v>152.37</v>
      </c>
      <c r="AH19" s="282">
        <f t="shared" si="75"/>
        <v>161.05000000000001</v>
      </c>
      <c r="AI19" s="283">
        <f t="shared" si="76"/>
        <v>194.3</v>
      </c>
      <c r="AJ19" s="281">
        <f t="shared" si="24"/>
        <v>62.59</v>
      </c>
      <c r="AK19" s="282">
        <f t="shared" si="25"/>
        <v>51.68</v>
      </c>
      <c r="AL19" s="282">
        <f t="shared" si="26"/>
        <v>53.03</v>
      </c>
      <c r="AM19" s="283">
        <f t="shared" si="27"/>
        <v>62.519999999999996</v>
      </c>
      <c r="AN19" s="281">
        <f t="shared" si="28"/>
        <v>49.78</v>
      </c>
      <c r="AO19" s="282">
        <f t="shared" si="29"/>
        <v>58.789999999999992</v>
      </c>
      <c r="AP19" s="282">
        <f t="shared" si="30"/>
        <v>105.18</v>
      </c>
      <c r="AQ19" s="283">
        <f t="shared" si="31"/>
        <v>58.45</v>
      </c>
      <c r="AR19" s="281">
        <f t="shared" si="32"/>
        <v>59</v>
      </c>
      <c r="AS19" s="282">
        <f t="shared" si="33"/>
        <v>79.78</v>
      </c>
      <c r="AT19" s="282">
        <f t="shared" si="34"/>
        <v>84.46</v>
      </c>
      <c r="AU19" s="283"/>
      <c r="AV19" s="281">
        <f t="shared" si="77"/>
        <v>171.37</v>
      </c>
      <c r="AW19" s="282">
        <f t="shared" si="78"/>
        <v>190.25</v>
      </c>
      <c r="AX19" s="282">
        <f t="shared" si="79"/>
        <v>242.67000000000002</v>
      </c>
      <c r="AY19" s="283">
        <f t="shared" si="80"/>
        <v>120.97</v>
      </c>
      <c r="AZ19" s="281">
        <f t="shared" si="35"/>
        <v>61.58</v>
      </c>
      <c r="BA19" s="282">
        <f t="shared" si="36"/>
        <v>57.91</v>
      </c>
      <c r="BB19" s="282">
        <f t="shared" si="37"/>
        <v>96.19</v>
      </c>
      <c r="BC19" s="283"/>
      <c r="BD19" s="281">
        <f t="shared" si="38"/>
        <v>64.37</v>
      </c>
      <c r="BE19" s="282">
        <f t="shared" si="39"/>
        <v>77.38</v>
      </c>
      <c r="BF19" s="282">
        <f t="shared" si="40"/>
        <v>58.596000000000004</v>
      </c>
      <c r="BG19" s="283"/>
      <c r="BH19" s="281">
        <f t="shared" si="41"/>
        <v>63.52</v>
      </c>
      <c r="BI19" s="282">
        <f t="shared" si="42"/>
        <v>63.4</v>
      </c>
      <c r="BJ19" s="282">
        <f t="shared" si="43"/>
        <v>93.91</v>
      </c>
      <c r="BK19" s="283"/>
      <c r="BL19" s="281">
        <f t="shared" si="81"/>
        <v>189.47</v>
      </c>
      <c r="BM19" s="282">
        <f t="shared" si="82"/>
        <v>198.69</v>
      </c>
      <c r="BN19" s="282">
        <f t="shared" si="83"/>
        <v>248.696</v>
      </c>
      <c r="BO19" s="283">
        <f t="shared" si="84"/>
        <v>0</v>
      </c>
      <c r="BQ19" s="281">
        <f t="shared" si="44"/>
        <v>16.819999999999965</v>
      </c>
      <c r="BR19" s="282">
        <f t="shared" si="45"/>
        <v>-35.559999999999988</v>
      </c>
      <c r="BS19" s="283">
        <f t="shared" si="46"/>
        <v>7.789999999999992</v>
      </c>
      <c r="BT19" s="281">
        <f t="shared" si="47"/>
        <v>-7.3000000000000114</v>
      </c>
      <c r="BU19" s="282">
        <f t="shared" si="48"/>
        <v>8.6800000000000068</v>
      </c>
      <c r="BV19" s="283">
        <f t="shared" si="49"/>
        <v>33.25</v>
      </c>
      <c r="BW19" s="281">
        <f t="shared" si="50"/>
        <v>18.879999999999995</v>
      </c>
      <c r="BX19" s="282">
        <f t="shared" si="51"/>
        <v>52.420000000000016</v>
      </c>
      <c r="BY19" s="283">
        <f t="shared" si="52"/>
        <v>-121.70000000000002</v>
      </c>
      <c r="BZ19" s="281">
        <f t="shared" si="85"/>
        <v>9.2199999999999989</v>
      </c>
      <c r="CA19" s="282">
        <f t="shared" si="86"/>
        <v>50.006</v>
      </c>
      <c r="CB19" s="283">
        <f t="shared" si="87"/>
        <v>-248.696</v>
      </c>
      <c r="CD19" s="282">
        <f t="shared" si="53"/>
        <v>129.01000000000002</v>
      </c>
      <c r="CE19" s="282">
        <f t="shared" si="54"/>
        <v>145.82999999999998</v>
      </c>
      <c r="CF19" s="282">
        <f t="shared" si="55"/>
        <v>110.27</v>
      </c>
      <c r="CG19" s="282">
        <f t="shared" si="56"/>
        <v>118.05999999999999</v>
      </c>
      <c r="CH19" s="282">
        <f t="shared" si="57"/>
        <v>288.68</v>
      </c>
      <c r="CI19" s="282">
        <f t="shared" si="58"/>
        <v>298.19999999999993</v>
      </c>
      <c r="CJ19" s="282">
        <f t="shared" si="59"/>
        <v>271.32000000000005</v>
      </c>
      <c r="CK19" s="282">
        <f t="shared" si="60"/>
        <v>312.35999999999996</v>
      </c>
      <c r="CL19" s="282">
        <f t="shared" si="61"/>
        <v>460.04999999999995</v>
      </c>
      <c r="CM19" s="282">
        <f t="shared" si="62"/>
        <v>488.44999999999993</v>
      </c>
      <c r="CN19" s="282">
        <f t="shared" si="63"/>
        <v>513.99</v>
      </c>
      <c r="CO19" s="282">
        <f t="shared" si="64"/>
        <v>433.32999999999993</v>
      </c>
      <c r="CP19" s="282">
        <f t="shared" si="65"/>
        <v>649.52</v>
      </c>
      <c r="CQ19" s="282">
        <f t="shared" si="66"/>
        <v>687.13999999999987</v>
      </c>
      <c r="CR19" s="282">
        <f t="shared" si="67"/>
        <v>762.68600000000004</v>
      </c>
      <c r="CS19" s="282">
        <f t="shared" si="68"/>
        <v>433.32999999999993</v>
      </c>
    </row>
    <row r="20" spans="1:97" x14ac:dyDescent="0.25">
      <c r="A20" s="521"/>
      <c r="B20" s="55">
        <v>15</v>
      </c>
      <c r="C20" s="56">
        <v>49.3</v>
      </c>
      <c r="D20" s="281">
        <f t="shared" si="0"/>
        <v>25.64</v>
      </c>
      <c r="E20" s="282">
        <f t="shared" si="1"/>
        <v>69.069999999999993</v>
      </c>
      <c r="F20" s="282">
        <f t="shared" si="2"/>
        <v>37.380000000000003</v>
      </c>
      <c r="G20" s="283">
        <f t="shared" si="3"/>
        <v>58.17</v>
      </c>
      <c r="H20" s="281">
        <f t="shared" si="4"/>
        <v>19.36</v>
      </c>
      <c r="I20" s="282">
        <f t="shared" si="5"/>
        <v>56.76</v>
      </c>
      <c r="J20" s="282">
        <f t="shared" si="6"/>
        <v>16.95</v>
      </c>
      <c r="K20" s="283">
        <f t="shared" si="7"/>
        <v>59.539999999999992</v>
      </c>
      <c r="L20" s="281">
        <f t="shared" si="8"/>
        <v>36.07</v>
      </c>
      <c r="M20" s="282">
        <f t="shared" si="9"/>
        <v>60.91</v>
      </c>
      <c r="N20" s="282">
        <f t="shared" si="10"/>
        <v>13.440000000000001</v>
      </c>
      <c r="O20" s="284">
        <f t="shared" si="11"/>
        <v>48.32</v>
      </c>
      <c r="P20" s="281">
        <f t="shared" si="69"/>
        <v>81.069999999999993</v>
      </c>
      <c r="Q20" s="282">
        <f t="shared" si="70"/>
        <v>186.73999999999998</v>
      </c>
      <c r="R20" s="282">
        <f t="shared" si="71"/>
        <v>67.77</v>
      </c>
      <c r="S20" s="283">
        <f t="shared" si="72"/>
        <v>166.03</v>
      </c>
      <c r="T20" s="281">
        <f t="shared" si="12"/>
        <v>37</v>
      </c>
      <c r="U20" s="282">
        <f t="shared" si="13"/>
        <v>45.019999999999996</v>
      </c>
      <c r="V20" s="282">
        <f t="shared" si="14"/>
        <v>14.53</v>
      </c>
      <c r="W20" s="283">
        <f t="shared" si="15"/>
        <v>46.6</v>
      </c>
      <c r="X20" s="281">
        <f t="shared" si="16"/>
        <v>48.989999999999995</v>
      </c>
      <c r="Y20" s="282">
        <f t="shared" si="17"/>
        <v>52.25</v>
      </c>
      <c r="Z20" s="282">
        <f t="shared" si="18"/>
        <v>32.5</v>
      </c>
      <c r="AA20" s="283">
        <f t="shared" si="19"/>
        <v>59.36</v>
      </c>
      <c r="AB20" s="281">
        <f t="shared" si="20"/>
        <v>81.740000000000009</v>
      </c>
      <c r="AC20" s="282">
        <f t="shared" si="21"/>
        <v>59.48</v>
      </c>
      <c r="AD20" s="282">
        <f t="shared" si="22"/>
        <v>49.5</v>
      </c>
      <c r="AE20" s="283">
        <f t="shared" si="23"/>
        <v>54.86</v>
      </c>
      <c r="AF20" s="281">
        <f t="shared" si="73"/>
        <v>167.73000000000002</v>
      </c>
      <c r="AG20" s="282">
        <f t="shared" si="74"/>
        <v>156.75</v>
      </c>
      <c r="AH20" s="282">
        <f t="shared" si="75"/>
        <v>96.53</v>
      </c>
      <c r="AI20" s="283">
        <f t="shared" si="76"/>
        <v>160.82</v>
      </c>
      <c r="AJ20" s="281">
        <f t="shared" si="24"/>
        <v>60.22</v>
      </c>
      <c r="AK20" s="282">
        <f t="shared" si="25"/>
        <v>69.97999999999999</v>
      </c>
      <c r="AL20" s="282">
        <f t="shared" si="26"/>
        <v>34.08</v>
      </c>
      <c r="AM20" s="283">
        <f t="shared" si="27"/>
        <v>51.02</v>
      </c>
      <c r="AN20" s="281">
        <f t="shared" si="28"/>
        <v>72.84</v>
      </c>
      <c r="AO20" s="282">
        <f t="shared" si="29"/>
        <v>65.38</v>
      </c>
      <c r="AP20" s="282">
        <f t="shared" si="30"/>
        <v>96.44</v>
      </c>
      <c r="AQ20" s="283">
        <f t="shared" si="31"/>
        <v>51.72</v>
      </c>
      <c r="AR20" s="281">
        <f t="shared" si="32"/>
        <v>50.53</v>
      </c>
      <c r="AS20" s="282">
        <f t="shared" si="33"/>
        <v>69.63</v>
      </c>
      <c r="AT20" s="282">
        <f t="shared" si="34"/>
        <v>79.52</v>
      </c>
      <c r="AU20" s="283"/>
      <c r="AV20" s="281">
        <f t="shared" si="77"/>
        <v>183.59</v>
      </c>
      <c r="AW20" s="282">
        <f t="shared" si="78"/>
        <v>204.98999999999998</v>
      </c>
      <c r="AX20" s="282">
        <f t="shared" si="79"/>
        <v>210.03999999999996</v>
      </c>
      <c r="AY20" s="283">
        <f t="shared" si="80"/>
        <v>102.74000000000001</v>
      </c>
      <c r="AZ20" s="281">
        <f t="shared" si="35"/>
        <v>110.6</v>
      </c>
      <c r="BA20" s="282">
        <f t="shared" si="36"/>
        <v>75.489999999999995</v>
      </c>
      <c r="BB20" s="282">
        <f t="shared" si="37"/>
        <v>107.01999999999998</v>
      </c>
      <c r="BC20" s="283"/>
      <c r="BD20" s="281">
        <f t="shared" si="38"/>
        <v>61.53</v>
      </c>
      <c r="BE20" s="282">
        <f t="shared" si="39"/>
        <v>71.150000000000006</v>
      </c>
      <c r="BF20" s="282">
        <f t="shared" si="40"/>
        <v>77.91</v>
      </c>
      <c r="BG20" s="283"/>
      <c r="BH20" s="281">
        <f t="shared" si="41"/>
        <v>82.2</v>
      </c>
      <c r="BI20" s="282">
        <f t="shared" si="42"/>
        <v>58.239999999999995</v>
      </c>
      <c r="BJ20" s="282">
        <f t="shared" si="43"/>
        <v>60.49</v>
      </c>
      <c r="BK20" s="283"/>
      <c r="BL20" s="281">
        <f t="shared" si="81"/>
        <v>254.32999999999998</v>
      </c>
      <c r="BM20" s="282">
        <f t="shared" si="82"/>
        <v>204.88</v>
      </c>
      <c r="BN20" s="282">
        <f t="shared" si="83"/>
        <v>245.42</v>
      </c>
      <c r="BO20" s="283">
        <f t="shared" si="84"/>
        <v>0</v>
      </c>
      <c r="BQ20" s="281">
        <f t="shared" si="44"/>
        <v>105.66999999999999</v>
      </c>
      <c r="BR20" s="282">
        <f t="shared" si="45"/>
        <v>-118.96999999999998</v>
      </c>
      <c r="BS20" s="283">
        <f t="shared" si="46"/>
        <v>98.26</v>
      </c>
      <c r="BT20" s="281">
        <f t="shared" si="47"/>
        <v>-10.980000000000018</v>
      </c>
      <c r="BU20" s="282">
        <f t="shared" si="48"/>
        <v>-60.22</v>
      </c>
      <c r="BV20" s="283">
        <f t="shared" si="49"/>
        <v>64.289999999999992</v>
      </c>
      <c r="BW20" s="281">
        <f t="shared" si="50"/>
        <v>21.399999999999977</v>
      </c>
      <c r="BX20" s="282">
        <f t="shared" si="51"/>
        <v>5.0499999999999829</v>
      </c>
      <c r="BY20" s="283">
        <f t="shared" si="52"/>
        <v>-107.29999999999995</v>
      </c>
      <c r="BZ20" s="281">
        <f t="shared" si="85"/>
        <v>-49.449999999999989</v>
      </c>
      <c r="CA20" s="282">
        <f t="shared" si="86"/>
        <v>40.539999999999992</v>
      </c>
      <c r="CB20" s="283">
        <f t="shared" si="87"/>
        <v>-245.42</v>
      </c>
      <c r="CD20" s="282">
        <f t="shared" si="53"/>
        <v>81.069999999999993</v>
      </c>
      <c r="CE20" s="282">
        <f t="shared" si="54"/>
        <v>186.73999999999998</v>
      </c>
      <c r="CF20" s="282">
        <f t="shared" si="55"/>
        <v>67.77</v>
      </c>
      <c r="CG20" s="282">
        <f t="shared" si="56"/>
        <v>166.03</v>
      </c>
      <c r="CH20" s="282">
        <f t="shared" si="57"/>
        <v>248.8</v>
      </c>
      <c r="CI20" s="282">
        <f t="shared" si="58"/>
        <v>343.49</v>
      </c>
      <c r="CJ20" s="282">
        <f t="shared" si="59"/>
        <v>164.3</v>
      </c>
      <c r="CK20" s="282">
        <f t="shared" si="60"/>
        <v>326.85000000000002</v>
      </c>
      <c r="CL20" s="282">
        <f t="shared" si="61"/>
        <v>432.39</v>
      </c>
      <c r="CM20" s="282">
        <f t="shared" si="62"/>
        <v>548.48</v>
      </c>
      <c r="CN20" s="282">
        <f t="shared" si="63"/>
        <v>374.34</v>
      </c>
      <c r="CO20" s="282">
        <f t="shared" si="64"/>
        <v>429.59000000000003</v>
      </c>
      <c r="CP20" s="282">
        <f t="shared" si="65"/>
        <v>686.72</v>
      </c>
      <c r="CQ20" s="282">
        <f t="shared" si="66"/>
        <v>753.36</v>
      </c>
      <c r="CR20" s="282">
        <f t="shared" si="67"/>
        <v>619.76</v>
      </c>
      <c r="CS20" s="282">
        <f t="shared" si="68"/>
        <v>429.59000000000003</v>
      </c>
    </row>
    <row r="21" spans="1:97" x14ac:dyDescent="0.25">
      <c r="A21" s="521"/>
      <c r="B21" s="55">
        <v>16</v>
      </c>
      <c r="C21" s="56">
        <v>53.2</v>
      </c>
      <c r="D21" s="281">
        <f t="shared" si="0"/>
        <v>46.480000000000004</v>
      </c>
      <c r="E21" s="282">
        <f t="shared" si="1"/>
        <v>65.75</v>
      </c>
      <c r="F21" s="282">
        <f t="shared" si="2"/>
        <v>48.33</v>
      </c>
      <c r="G21" s="283">
        <f t="shared" si="3"/>
        <v>42.08</v>
      </c>
      <c r="H21" s="281">
        <f t="shared" si="4"/>
        <v>47.370000000000005</v>
      </c>
      <c r="I21" s="282">
        <f t="shared" si="5"/>
        <v>82.25</v>
      </c>
      <c r="J21" s="282">
        <f t="shared" si="6"/>
        <v>34.19</v>
      </c>
      <c r="K21" s="283">
        <f t="shared" si="7"/>
        <v>65.67</v>
      </c>
      <c r="L21" s="281">
        <f t="shared" si="8"/>
        <v>44.989999999999995</v>
      </c>
      <c r="M21" s="282">
        <f t="shared" si="9"/>
        <v>75.31</v>
      </c>
      <c r="N21" s="282">
        <f t="shared" si="10"/>
        <v>23.630000000000003</v>
      </c>
      <c r="O21" s="284">
        <f t="shared" si="11"/>
        <v>62.629999999999995</v>
      </c>
      <c r="P21" s="281">
        <f t="shared" si="69"/>
        <v>138.84</v>
      </c>
      <c r="Q21" s="282">
        <f t="shared" si="70"/>
        <v>223.31</v>
      </c>
      <c r="R21" s="282">
        <f t="shared" si="71"/>
        <v>106.15</v>
      </c>
      <c r="S21" s="283">
        <f t="shared" si="72"/>
        <v>170.38</v>
      </c>
      <c r="T21" s="281">
        <f t="shared" si="12"/>
        <v>51.67</v>
      </c>
      <c r="U21" s="282">
        <f t="shared" si="13"/>
        <v>49.5</v>
      </c>
      <c r="V21" s="282">
        <f t="shared" si="14"/>
        <v>55.41</v>
      </c>
      <c r="W21" s="283">
        <f t="shared" si="15"/>
        <v>59.59</v>
      </c>
      <c r="X21" s="281">
        <f t="shared" si="16"/>
        <v>71.490000000000009</v>
      </c>
      <c r="Y21" s="282">
        <f t="shared" si="17"/>
        <v>67.050000000000011</v>
      </c>
      <c r="Z21" s="282">
        <f t="shared" si="18"/>
        <v>40.53</v>
      </c>
      <c r="AA21" s="283">
        <f t="shared" si="19"/>
        <v>73.150000000000006</v>
      </c>
      <c r="AB21" s="281">
        <f t="shared" si="20"/>
        <v>112.24000000000001</v>
      </c>
      <c r="AC21" s="282">
        <f t="shared" si="21"/>
        <v>64.47</v>
      </c>
      <c r="AD21" s="282">
        <f t="shared" si="22"/>
        <v>68.680000000000007</v>
      </c>
      <c r="AE21" s="283">
        <f t="shared" si="23"/>
        <v>69.87</v>
      </c>
      <c r="AF21" s="281">
        <f t="shared" si="73"/>
        <v>235.40000000000003</v>
      </c>
      <c r="AG21" s="282">
        <f t="shared" si="74"/>
        <v>181.02</v>
      </c>
      <c r="AH21" s="282">
        <f t="shared" si="75"/>
        <v>164.62</v>
      </c>
      <c r="AI21" s="283">
        <f t="shared" si="76"/>
        <v>202.61</v>
      </c>
      <c r="AJ21" s="281">
        <f t="shared" si="24"/>
        <v>91.59</v>
      </c>
      <c r="AK21" s="282">
        <f t="shared" si="25"/>
        <v>103.61</v>
      </c>
      <c r="AL21" s="282">
        <f t="shared" si="26"/>
        <v>68.210000000000008</v>
      </c>
      <c r="AM21" s="283">
        <f t="shared" si="27"/>
        <v>76.2</v>
      </c>
      <c r="AN21" s="281">
        <f t="shared" si="28"/>
        <v>105.17</v>
      </c>
      <c r="AO21" s="282">
        <f t="shared" si="29"/>
        <v>93.17</v>
      </c>
      <c r="AP21" s="282">
        <f t="shared" si="30"/>
        <v>115.72</v>
      </c>
      <c r="AQ21" s="283">
        <f t="shared" si="31"/>
        <v>78.81</v>
      </c>
      <c r="AR21" s="281">
        <f t="shared" si="32"/>
        <v>103.51</v>
      </c>
      <c r="AS21" s="282">
        <f t="shared" si="33"/>
        <v>91.37</v>
      </c>
      <c r="AT21" s="282">
        <f t="shared" si="34"/>
        <v>88.25</v>
      </c>
      <c r="AU21" s="283"/>
      <c r="AV21" s="281">
        <f t="shared" si="77"/>
        <v>300.27</v>
      </c>
      <c r="AW21" s="282">
        <f t="shared" si="78"/>
        <v>288.14999999999998</v>
      </c>
      <c r="AX21" s="282">
        <f t="shared" si="79"/>
        <v>272.18</v>
      </c>
      <c r="AY21" s="283">
        <f t="shared" si="80"/>
        <v>155.01</v>
      </c>
      <c r="AZ21" s="281">
        <f t="shared" si="35"/>
        <v>118.93</v>
      </c>
      <c r="BA21" s="282">
        <f t="shared" si="36"/>
        <v>84.15</v>
      </c>
      <c r="BB21" s="282">
        <f t="shared" si="37"/>
        <v>115.61</v>
      </c>
      <c r="BC21" s="283"/>
      <c r="BD21" s="281">
        <f t="shared" si="38"/>
        <v>81.400000000000006</v>
      </c>
      <c r="BE21" s="282">
        <f t="shared" si="39"/>
        <v>83.330000000000013</v>
      </c>
      <c r="BF21" s="282">
        <f t="shared" si="40"/>
        <v>91.01</v>
      </c>
      <c r="BG21" s="283"/>
      <c r="BH21" s="281">
        <f t="shared" si="41"/>
        <v>96.32</v>
      </c>
      <c r="BI21" s="282">
        <f t="shared" si="42"/>
        <v>65.490000000000009</v>
      </c>
      <c r="BJ21" s="282">
        <f t="shared" si="43"/>
        <v>87.66</v>
      </c>
      <c r="BK21" s="283"/>
      <c r="BL21" s="281">
        <f t="shared" si="81"/>
        <v>296.64999999999998</v>
      </c>
      <c r="BM21" s="282">
        <f t="shared" si="82"/>
        <v>232.97000000000003</v>
      </c>
      <c r="BN21" s="282">
        <f t="shared" si="83"/>
        <v>294.27999999999997</v>
      </c>
      <c r="BO21" s="283">
        <f t="shared" si="84"/>
        <v>0</v>
      </c>
      <c r="BQ21" s="281">
        <f t="shared" si="44"/>
        <v>84.47</v>
      </c>
      <c r="BR21" s="282">
        <f t="shared" si="45"/>
        <v>-117.16</v>
      </c>
      <c r="BS21" s="283">
        <f t="shared" si="46"/>
        <v>64.22999999999999</v>
      </c>
      <c r="BT21" s="281">
        <f t="shared" si="47"/>
        <v>-54.380000000000024</v>
      </c>
      <c r="BU21" s="282">
        <f t="shared" si="48"/>
        <v>-16.400000000000006</v>
      </c>
      <c r="BV21" s="283">
        <f t="shared" si="49"/>
        <v>37.990000000000009</v>
      </c>
      <c r="BW21" s="281">
        <f t="shared" si="50"/>
        <v>-12.120000000000005</v>
      </c>
      <c r="BX21" s="282">
        <f t="shared" si="51"/>
        <v>-15.96999999999997</v>
      </c>
      <c r="BY21" s="283">
        <f t="shared" si="52"/>
        <v>-117.17000000000002</v>
      </c>
      <c r="BZ21" s="281">
        <f t="shared" si="85"/>
        <v>-63.67999999999995</v>
      </c>
      <c r="CA21" s="282">
        <f t="shared" si="86"/>
        <v>61.309999999999945</v>
      </c>
      <c r="CB21" s="283">
        <f t="shared" si="87"/>
        <v>-294.27999999999997</v>
      </c>
      <c r="CD21" s="282">
        <f t="shared" si="53"/>
        <v>138.84</v>
      </c>
      <c r="CE21" s="282">
        <f t="shared" si="54"/>
        <v>223.31</v>
      </c>
      <c r="CF21" s="282">
        <f t="shared" si="55"/>
        <v>106.15</v>
      </c>
      <c r="CG21" s="282">
        <f t="shared" si="56"/>
        <v>170.38</v>
      </c>
      <c r="CH21" s="282">
        <f t="shared" si="57"/>
        <v>374.24</v>
      </c>
      <c r="CI21" s="282">
        <f t="shared" si="58"/>
        <v>404.33000000000004</v>
      </c>
      <c r="CJ21" s="282">
        <f t="shared" si="59"/>
        <v>270.77</v>
      </c>
      <c r="CK21" s="282">
        <f t="shared" si="60"/>
        <v>372.99</v>
      </c>
      <c r="CL21" s="282">
        <f t="shared" si="61"/>
        <v>674.51</v>
      </c>
      <c r="CM21" s="282">
        <f t="shared" si="62"/>
        <v>692.48</v>
      </c>
      <c r="CN21" s="282">
        <f t="shared" si="63"/>
        <v>542.95000000000005</v>
      </c>
      <c r="CO21" s="282">
        <f t="shared" si="64"/>
        <v>528</v>
      </c>
      <c r="CP21" s="282">
        <f t="shared" si="65"/>
        <v>971.16000000000008</v>
      </c>
      <c r="CQ21" s="282">
        <f t="shared" si="66"/>
        <v>925.45</v>
      </c>
      <c r="CR21" s="282">
        <f t="shared" si="67"/>
        <v>837.23</v>
      </c>
      <c r="CS21" s="282">
        <f t="shared" si="68"/>
        <v>528</v>
      </c>
    </row>
    <row r="22" spans="1:97" x14ac:dyDescent="0.25">
      <c r="A22" s="521"/>
      <c r="B22" s="55">
        <v>17</v>
      </c>
      <c r="C22" s="56">
        <v>45.7</v>
      </c>
      <c r="D22" s="281">
        <f t="shared" si="0"/>
        <v>36.549999999999997</v>
      </c>
      <c r="E22" s="282">
        <f t="shared" si="1"/>
        <v>48.370000000000005</v>
      </c>
      <c r="F22" s="282">
        <f t="shared" si="2"/>
        <v>45.769999999999996</v>
      </c>
      <c r="G22" s="283">
        <f t="shared" si="3"/>
        <v>35.18</v>
      </c>
      <c r="H22" s="281">
        <f t="shared" si="4"/>
        <v>44.16</v>
      </c>
      <c r="I22" s="282">
        <f t="shared" si="5"/>
        <v>32.46</v>
      </c>
      <c r="J22" s="282">
        <f t="shared" si="6"/>
        <v>26.55</v>
      </c>
      <c r="K22" s="283">
        <f t="shared" si="7"/>
        <v>78.650000000000006</v>
      </c>
      <c r="L22" s="281">
        <f t="shared" si="8"/>
        <v>40.82</v>
      </c>
      <c r="M22" s="282">
        <f t="shared" si="9"/>
        <v>56.51</v>
      </c>
      <c r="N22" s="282">
        <f t="shared" si="10"/>
        <v>21.46</v>
      </c>
      <c r="O22" s="284">
        <f t="shared" si="11"/>
        <v>56.2</v>
      </c>
      <c r="P22" s="281">
        <f t="shared" si="69"/>
        <v>121.53</v>
      </c>
      <c r="Q22" s="282">
        <f t="shared" si="70"/>
        <v>137.34</v>
      </c>
      <c r="R22" s="282">
        <f t="shared" si="71"/>
        <v>93.78</v>
      </c>
      <c r="S22" s="283">
        <f t="shared" si="72"/>
        <v>170.03000000000003</v>
      </c>
      <c r="T22" s="281">
        <f t="shared" si="12"/>
        <v>51.540000000000006</v>
      </c>
      <c r="U22" s="282">
        <f t="shared" si="13"/>
        <v>46.55</v>
      </c>
      <c r="V22" s="282">
        <f t="shared" si="14"/>
        <v>57.06</v>
      </c>
      <c r="W22" s="283">
        <f t="shared" si="15"/>
        <v>48.38</v>
      </c>
      <c r="X22" s="281">
        <f t="shared" si="16"/>
        <v>74.449999999999989</v>
      </c>
      <c r="Y22" s="282">
        <f t="shared" si="17"/>
        <v>63.730000000000004</v>
      </c>
      <c r="Z22" s="282">
        <f t="shared" si="18"/>
        <v>57.019999999999996</v>
      </c>
      <c r="AA22" s="283">
        <f t="shared" si="19"/>
        <v>62.33</v>
      </c>
      <c r="AB22" s="281">
        <f t="shared" si="20"/>
        <v>102.15</v>
      </c>
      <c r="AC22" s="282">
        <f t="shared" si="21"/>
        <v>63.400000000000006</v>
      </c>
      <c r="AD22" s="282">
        <f t="shared" si="22"/>
        <v>59.54</v>
      </c>
      <c r="AE22" s="283">
        <f t="shared" si="23"/>
        <v>71.84</v>
      </c>
      <c r="AF22" s="281">
        <f t="shared" si="73"/>
        <v>228.14</v>
      </c>
      <c r="AG22" s="282">
        <f t="shared" si="74"/>
        <v>173.68</v>
      </c>
      <c r="AH22" s="282">
        <f t="shared" si="75"/>
        <v>173.62</v>
      </c>
      <c r="AI22" s="283">
        <f t="shared" si="76"/>
        <v>182.55</v>
      </c>
      <c r="AJ22" s="281">
        <f t="shared" si="24"/>
        <v>79.64</v>
      </c>
      <c r="AK22" s="282">
        <f t="shared" si="25"/>
        <v>66.400000000000006</v>
      </c>
      <c r="AL22" s="282">
        <f t="shared" si="26"/>
        <v>62.67</v>
      </c>
      <c r="AM22" s="283">
        <f t="shared" si="27"/>
        <v>75.58</v>
      </c>
      <c r="AN22" s="281">
        <f t="shared" si="28"/>
        <v>130.93</v>
      </c>
      <c r="AO22" s="282">
        <f t="shared" si="29"/>
        <v>80.08</v>
      </c>
      <c r="AP22" s="282">
        <f t="shared" si="30"/>
        <v>114.07000000000001</v>
      </c>
      <c r="AQ22" s="283">
        <f t="shared" si="31"/>
        <v>67.88</v>
      </c>
      <c r="AR22" s="281">
        <f t="shared" si="32"/>
        <v>78.13</v>
      </c>
      <c r="AS22" s="282">
        <f t="shared" si="33"/>
        <v>79.959999999999994</v>
      </c>
      <c r="AT22" s="282">
        <f t="shared" si="34"/>
        <v>78.14</v>
      </c>
      <c r="AU22" s="283"/>
      <c r="AV22" s="281">
        <f t="shared" si="77"/>
        <v>288.7</v>
      </c>
      <c r="AW22" s="282">
        <f t="shared" si="78"/>
        <v>226.44</v>
      </c>
      <c r="AX22" s="282">
        <f t="shared" si="79"/>
        <v>254.88</v>
      </c>
      <c r="AY22" s="283">
        <f t="shared" si="80"/>
        <v>143.45999999999998</v>
      </c>
      <c r="AZ22" s="281">
        <f t="shared" si="35"/>
        <v>89.15</v>
      </c>
      <c r="BA22" s="282">
        <f t="shared" si="36"/>
        <v>77.740000000000009</v>
      </c>
      <c r="BB22" s="282">
        <f t="shared" si="37"/>
        <v>120.67</v>
      </c>
      <c r="BC22" s="283"/>
      <c r="BD22" s="281">
        <f t="shared" si="38"/>
        <v>60.17</v>
      </c>
      <c r="BE22" s="282">
        <f t="shared" si="39"/>
        <v>69.039999999999992</v>
      </c>
      <c r="BF22" s="282">
        <f t="shared" si="40"/>
        <v>74.709999999999994</v>
      </c>
      <c r="BG22" s="283"/>
      <c r="BH22" s="281">
        <f t="shared" si="41"/>
        <v>83.35</v>
      </c>
      <c r="BI22" s="282">
        <f t="shared" si="42"/>
        <v>52.19</v>
      </c>
      <c r="BJ22" s="282">
        <f t="shared" si="43"/>
        <v>96.89</v>
      </c>
      <c r="BK22" s="283"/>
      <c r="BL22" s="281">
        <f t="shared" si="81"/>
        <v>232.67</v>
      </c>
      <c r="BM22" s="282">
        <f t="shared" si="82"/>
        <v>198.97</v>
      </c>
      <c r="BN22" s="282">
        <f t="shared" si="83"/>
        <v>292.27</v>
      </c>
      <c r="BO22" s="283">
        <f t="shared" si="84"/>
        <v>0</v>
      </c>
      <c r="BQ22" s="281">
        <f t="shared" si="44"/>
        <v>15.810000000000002</v>
      </c>
      <c r="BR22" s="282">
        <f t="shared" si="45"/>
        <v>-43.56</v>
      </c>
      <c r="BS22" s="283">
        <f t="shared" si="46"/>
        <v>76.250000000000028</v>
      </c>
      <c r="BT22" s="281">
        <f t="shared" si="47"/>
        <v>-54.45999999999998</v>
      </c>
      <c r="BU22" s="282">
        <f t="shared" si="48"/>
        <v>-6.0000000000002274E-2</v>
      </c>
      <c r="BV22" s="283">
        <f t="shared" si="49"/>
        <v>8.9300000000000068</v>
      </c>
      <c r="BW22" s="281">
        <f t="shared" si="50"/>
        <v>-62.259999999999991</v>
      </c>
      <c r="BX22" s="282">
        <f t="shared" si="51"/>
        <v>28.439999999999998</v>
      </c>
      <c r="BY22" s="283">
        <f t="shared" si="52"/>
        <v>-111.42000000000002</v>
      </c>
      <c r="BZ22" s="281">
        <f t="shared" si="85"/>
        <v>-33.699999999999989</v>
      </c>
      <c r="CA22" s="282">
        <f t="shared" si="86"/>
        <v>93.299999999999983</v>
      </c>
      <c r="CB22" s="283">
        <f t="shared" si="87"/>
        <v>-292.27</v>
      </c>
      <c r="CD22" s="282">
        <f t="shared" si="53"/>
        <v>121.53</v>
      </c>
      <c r="CE22" s="282">
        <f t="shared" si="54"/>
        <v>137.34</v>
      </c>
      <c r="CF22" s="282">
        <f t="shared" si="55"/>
        <v>93.78</v>
      </c>
      <c r="CG22" s="282">
        <f t="shared" si="56"/>
        <v>170.03000000000003</v>
      </c>
      <c r="CH22" s="282">
        <f t="shared" si="57"/>
        <v>349.66999999999996</v>
      </c>
      <c r="CI22" s="282">
        <f t="shared" si="58"/>
        <v>311.02</v>
      </c>
      <c r="CJ22" s="282">
        <f t="shared" si="59"/>
        <v>267.40000000000003</v>
      </c>
      <c r="CK22" s="282">
        <f t="shared" si="60"/>
        <v>352.58000000000004</v>
      </c>
      <c r="CL22" s="282">
        <f t="shared" si="61"/>
        <v>638.37</v>
      </c>
      <c r="CM22" s="282">
        <f t="shared" si="62"/>
        <v>537.45999999999992</v>
      </c>
      <c r="CN22" s="282">
        <f t="shared" si="63"/>
        <v>522.28000000000009</v>
      </c>
      <c r="CO22" s="282">
        <f t="shared" si="64"/>
        <v>496.04</v>
      </c>
      <c r="CP22" s="282">
        <f t="shared" si="65"/>
        <v>871.04</v>
      </c>
      <c r="CQ22" s="282">
        <f t="shared" si="66"/>
        <v>736.42999999999984</v>
      </c>
      <c r="CR22" s="282">
        <f t="shared" si="67"/>
        <v>814.55000000000007</v>
      </c>
      <c r="CS22" s="282">
        <f t="shared" si="68"/>
        <v>496.04</v>
      </c>
    </row>
    <row r="23" spans="1:97" ht="15.75" thickBot="1" x14ac:dyDescent="0.3">
      <c r="A23" s="522"/>
      <c r="B23" s="88">
        <v>18</v>
      </c>
      <c r="C23" s="84">
        <v>40.799999999999997</v>
      </c>
      <c r="D23" s="281">
        <f t="shared" si="0"/>
        <v>49.489999999999995</v>
      </c>
      <c r="E23" s="282">
        <f t="shared" si="1"/>
        <v>81.759999999999991</v>
      </c>
      <c r="F23" s="282">
        <f t="shared" si="2"/>
        <v>58.010000000000005</v>
      </c>
      <c r="G23" s="283">
        <f t="shared" si="3"/>
        <v>54.83</v>
      </c>
      <c r="H23" s="281">
        <f t="shared" si="4"/>
        <v>30.770000000000003</v>
      </c>
      <c r="I23" s="282">
        <f t="shared" si="5"/>
        <v>49.31</v>
      </c>
      <c r="J23" s="282">
        <f t="shared" si="6"/>
        <v>38.22</v>
      </c>
      <c r="K23" s="283">
        <f t="shared" si="7"/>
        <v>52.43</v>
      </c>
      <c r="L23" s="281">
        <f t="shared" si="8"/>
        <v>41.150000000000006</v>
      </c>
      <c r="M23" s="282">
        <f t="shared" si="9"/>
        <v>30.29</v>
      </c>
      <c r="N23" s="282">
        <f t="shared" si="10"/>
        <v>30.490000000000002</v>
      </c>
      <c r="O23" s="284">
        <f t="shared" si="11"/>
        <v>45.2</v>
      </c>
      <c r="P23" s="281">
        <f t="shared" si="69"/>
        <v>121.41</v>
      </c>
      <c r="Q23" s="282">
        <f t="shared" si="70"/>
        <v>161.35999999999999</v>
      </c>
      <c r="R23" s="282">
        <f t="shared" si="71"/>
        <v>126.72</v>
      </c>
      <c r="S23" s="283">
        <f t="shared" si="72"/>
        <v>152.45999999999998</v>
      </c>
      <c r="T23" s="281">
        <f t="shared" si="12"/>
        <v>37.89</v>
      </c>
      <c r="U23" s="282">
        <f t="shared" si="13"/>
        <v>64.37</v>
      </c>
      <c r="V23" s="282">
        <f t="shared" si="14"/>
        <v>55.14</v>
      </c>
      <c r="W23" s="283">
        <f t="shared" si="15"/>
        <v>65.709999999999994</v>
      </c>
      <c r="X23" s="281">
        <f t="shared" si="16"/>
        <v>60.69</v>
      </c>
      <c r="Y23" s="282">
        <f t="shared" si="17"/>
        <v>43.16</v>
      </c>
      <c r="Z23" s="282">
        <f t="shared" si="18"/>
        <v>46.07</v>
      </c>
      <c r="AA23" s="283">
        <f t="shared" si="19"/>
        <v>60.910000000000004</v>
      </c>
      <c r="AB23" s="281">
        <f t="shared" si="20"/>
        <v>81.960000000000008</v>
      </c>
      <c r="AC23" s="282">
        <f t="shared" si="21"/>
        <v>58.78</v>
      </c>
      <c r="AD23" s="282">
        <f t="shared" si="22"/>
        <v>40.53</v>
      </c>
      <c r="AE23" s="283">
        <f t="shared" si="23"/>
        <v>53.150000000000006</v>
      </c>
      <c r="AF23" s="281">
        <f t="shared" si="73"/>
        <v>180.54000000000002</v>
      </c>
      <c r="AG23" s="282">
        <f t="shared" si="74"/>
        <v>166.31</v>
      </c>
      <c r="AH23" s="282">
        <f t="shared" si="75"/>
        <v>141.74</v>
      </c>
      <c r="AI23" s="283">
        <f t="shared" si="76"/>
        <v>179.77</v>
      </c>
      <c r="AJ23" s="281">
        <f t="shared" si="24"/>
        <v>47.95</v>
      </c>
      <c r="AK23" s="282">
        <f t="shared" si="25"/>
        <v>62.41</v>
      </c>
      <c r="AL23" s="282">
        <f t="shared" si="26"/>
        <v>59.76</v>
      </c>
      <c r="AM23" s="283">
        <f t="shared" si="27"/>
        <v>69.66</v>
      </c>
      <c r="AN23" s="281">
        <f t="shared" si="28"/>
        <v>65.5</v>
      </c>
      <c r="AO23" s="282">
        <f t="shared" si="29"/>
        <v>55.11</v>
      </c>
      <c r="AP23" s="282">
        <f t="shared" si="30"/>
        <v>64.100000000000009</v>
      </c>
      <c r="AQ23" s="283">
        <f t="shared" si="31"/>
        <v>63.809999999999995</v>
      </c>
      <c r="AR23" s="281">
        <f t="shared" si="32"/>
        <v>71.73</v>
      </c>
      <c r="AS23" s="282">
        <f t="shared" si="33"/>
        <v>68.87</v>
      </c>
      <c r="AT23" s="282">
        <f t="shared" si="34"/>
        <v>79.039999999999992</v>
      </c>
      <c r="AU23" s="283"/>
      <c r="AV23" s="281">
        <f t="shared" si="77"/>
        <v>185.18</v>
      </c>
      <c r="AW23" s="282">
        <f t="shared" si="78"/>
        <v>186.39</v>
      </c>
      <c r="AX23" s="282">
        <f t="shared" si="79"/>
        <v>202.9</v>
      </c>
      <c r="AY23" s="283">
        <f t="shared" si="80"/>
        <v>133.47</v>
      </c>
      <c r="AZ23" s="281">
        <f t="shared" si="35"/>
        <v>66.47</v>
      </c>
      <c r="BA23" s="282">
        <f t="shared" si="36"/>
        <v>81.789999999999992</v>
      </c>
      <c r="BB23" s="282">
        <f t="shared" si="37"/>
        <v>108.66</v>
      </c>
      <c r="BC23" s="283"/>
      <c r="BD23" s="281">
        <f t="shared" si="38"/>
        <v>87.02</v>
      </c>
      <c r="BE23" s="282">
        <f t="shared" si="39"/>
        <v>58.15</v>
      </c>
      <c r="BF23" s="282">
        <f t="shared" si="40"/>
        <v>54.73</v>
      </c>
      <c r="BG23" s="283"/>
      <c r="BH23" s="281">
        <f t="shared" si="41"/>
        <v>67.2</v>
      </c>
      <c r="BI23" s="282">
        <f t="shared" si="42"/>
        <v>60.239999999999995</v>
      </c>
      <c r="BJ23" s="282">
        <f t="shared" si="43"/>
        <v>102.33</v>
      </c>
      <c r="BK23" s="283"/>
      <c r="BL23" s="281">
        <f t="shared" si="81"/>
        <v>220.69</v>
      </c>
      <c r="BM23" s="282">
        <f t="shared" si="82"/>
        <v>200.18</v>
      </c>
      <c r="BN23" s="282">
        <f t="shared" si="83"/>
        <v>265.71999999999997</v>
      </c>
      <c r="BO23" s="283">
        <f t="shared" si="84"/>
        <v>0</v>
      </c>
      <c r="BQ23" s="281">
        <f t="shared" si="44"/>
        <v>39.949999999999989</v>
      </c>
      <c r="BR23" s="282">
        <f t="shared" si="45"/>
        <v>-34.639999999999986</v>
      </c>
      <c r="BS23" s="283">
        <f t="shared" si="46"/>
        <v>25.739999999999981</v>
      </c>
      <c r="BT23" s="281">
        <f t="shared" si="47"/>
        <v>-14.230000000000018</v>
      </c>
      <c r="BU23" s="282">
        <f t="shared" si="48"/>
        <v>-24.569999999999993</v>
      </c>
      <c r="BV23" s="283">
        <f t="shared" si="49"/>
        <v>38.03</v>
      </c>
      <c r="BW23" s="281">
        <f t="shared" si="50"/>
        <v>1.2099999999999795</v>
      </c>
      <c r="BX23" s="282">
        <f t="shared" si="51"/>
        <v>16.510000000000019</v>
      </c>
      <c r="BY23" s="283">
        <f t="shared" si="52"/>
        <v>-69.430000000000007</v>
      </c>
      <c r="BZ23" s="281">
        <f t="shared" si="85"/>
        <v>-20.509999999999991</v>
      </c>
      <c r="CA23" s="282">
        <f t="shared" si="86"/>
        <v>65.539999999999964</v>
      </c>
      <c r="CB23" s="283">
        <f t="shared" si="87"/>
        <v>-265.71999999999997</v>
      </c>
      <c r="CD23" s="282">
        <f t="shared" si="53"/>
        <v>121.41</v>
      </c>
      <c r="CE23" s="282">
        <f t="shared" si="54"/>
        <v>161.35999999999999</v>
      </c>
      <c r="CF23" s="282">
        <f t="shared" si="55"/>
        <v>126.72</v>
      </c>
      <c r="CG23" s="282">
        <f t="shared" si="56"/>
        <v>152.45999999999998</v>
      </c>
      <c r="CH23" s="282">
        <f t="shared" si="57"/>
        <v>301.95000000000005</v>
      </c>
      <c r="CI23" s="282">
        <f t="shared" si="58"/>
        <v>327.66999999999996</v>
      </c>
      <c r="CJ23" s="282">
        <f t="shared" si="59"/>
        <v>268.46000000000004</v>
      </c>
      <c r="CK23" s="282">
        <f t="shared" si="60"/>
        <v>332.23</v>
      </c>
      <c r="CL23" s="282">
        <f t="shared" si="61"/>
        <v>487.13000000000005</v>
      </c>
      <c r="CM23" s="282">
        <f t="shared" si="62"/>
        <v>514.05999999999995</v>
      </c>
      <c r="CN23" s="282">
        <f t="shared" si="63"/>
        <v>471.36</v>
      </c>
      <c r="CO23" s="282">
        <f t="shared" si="64"/>
        <v>465.7</v>
      </c>
      <c r="CP23" s="282">
        <f t="shared" si="65"/>
        <v>707.82</v>
      </c>
      <c r="CQ23" s="282">
        <f t="shared" si="66"/>
        <v>714.2399999999999</v>
      </c>
      <c r="CR23" s="282">
        <f t="shared" si="67"/>
        <v>737.08</v>
      </c>
      <c r="CS23" s="282">
        <f t="shared" si="68"/>
        <v>465.7</v>
      </c>
    </row>
    <row r="24" spans="1:97" x14ac:dyDescent="0.25">
      <c r="A24" s="520" t="s">
        <v>23</v>
      </c>
      <c r="B24" s="23">
        <v>19</v>
      </c>
      <c r="C24" s="86">
        <v>50.62</v>
      </c>
      <c r="D24" s="281">
        <f t="shared" si="0"/>
        <v>48.099999999999994</v>
      </c>
      <c r="E24" s="282">
        <f t="shared" si="1"/>
        <v>54.7</v>
      </c>
      <c r="F24" s="282">
        <f t="shared" si="2"/>
        <v>48.26</v>
      </c>
      <c r="G24" s="283">
        <f t="shared" si="3"/>
        <v>55.03</v>
      </c>
      <c r="H24" s="281">
        <f t="shared" si="4"/>
        <v>35.049999999999997</v>
      </c>
      <c r="I24" s="282">
        <f t="shared" si="5"/>
        <v>57.463000000000001</v>
      </c>
      <c r="J24" s="282">
        <f t="shared" si="6"/>
        <v>26.060000000000002</v>
      </c>
      <c r="K24" s="283">
        <f t="shared" si="7"/>
        <v>63.99</v>
      </c>
      <c r="L24" s="281">
        <f t="shared" si="8"/>
        <v>47.3</v>
      </c>
      <c r="M24" s="282">
        <f t="shared" si="9"/>
        <v>42.13</v>
      </c>
      <c r="N24" s="282">
        <f t="shared" si="10"/>
        <v>27.34</v>
      </c>
      <c r="O24" s="284">
        <f t="shared" si="11"/>
        <v>40.67</v>
      </c>
      <c r="P24" s="281">
        <f t="shared" si="69"/>
        <v>130.44999999999999</v>
      </c>
      <c r="Q24" s="282">
        <f t="shared" si="70"/>
        <v>154.29300000000001</v>
      </c>
      <c r="R24" s="282">
        <f t="shared" si="71"/>
        <v>101.66</v>
      </c>
      <c r="S24" s="283">
        <f t="shared" si="72"/>
        <v>159.69</v>
      </c>
      <c r="T24" s="281">
        <f t="shared" si="12"/>
        <v>68.430000000000007</v>
      </c>
      <c r="U24" s="282">
        <f t="shared" si="13"/>
        <v>70.790000000000006</v>
      </c>
      <c r="V24" s="282">
        <f t="shared" si="14"/>
        <v>37.159999999999997</v>
      </c>
      <c r="W24" s="283">
        <f t="shared" si="15"/>
        <v>91.65</v>
      </c>
      <c r="X24" s="281">
        <f t="shared" si="16"/>
        <v>54.1</v>
      </c>
      <c r="Y24" s="282">
        <f t="shared" si="17"/>
        <v>94.009999999999991</v>
      </c>
      <c r="Z24" s="282">
        <f t="shared" si="18"/>
        <v>58.52000000000001</v>
      </c>
      <c r="AA24" s="283">
        <f t="shared" si="19"/>
        <v>65.03</v>
      </c>
      <c r="AB24" s="281">
        <f t="shared" si="20"/>
        <v>66</v>
      </c>
      <c r="AC24" s="282">
        <f t="shared" si="21"/>
        <v>74.44</v>
      </c>
      <c r="AD24" s="282">
        <f t="shared" si="22"/>
        <v>51.44</v>
      </c>
      <c r="AE24" s="283">
        <f t="shared" si="23"/>
        <v>52.7</v>
      </c>
      <c r="AF24" s="281">
        <f t="shared" si="73"/>
        <v>188.53</v>
      </c>
      <c r="AG24" s="282">
        <f t="shared" si="74"/>
        <v>239.24</v>
      </c>
      <c r="AH24" s="282">
        <f t="shared" si="75"/>
        <v>147.12</v>
      </c>
      <c r="AI24" s="283">
        <f t="shared" si="76"/>
        <v>209.38</v>
      </c>
      <c r="AJ24" s="281">
        <f t="shared" si="24"/>
        <v>88.17</v>
      </c>
      <c r="AK24" s="282">
        <f t="shared" si="25"/>
        <v>87.85</v>
      </c>
      <c r="AL24" s="282">
        <f t="shared" si="26"/>
        <v>40.230000000000004</v>
      </c>
      <c r="AM24" s="283">
        <f t="shared" si="27"/>
        <v>83.75</v>
      </c>
      <c r="AN24" s="281">
        <f t="shared" si="28"/>
        <v>89.4</v>
      </c>
      <c r="AO24" s="282">
        <f t="shared" si="29"/>
        <v>43.36</v>
      </c>
      <c r="AP24" s="282">
        <f t="shared" si="30"/>
        <v>68.5</v>
      </c>
      <c r="AQ24" s="283">
        <f t="shared" si="31"/>
        <v>82.09</v>
      </c>
      <c r="AR24" s="281">
        <f t="shared" si="32"/>
        <v>62.32</v>
      </c>
      <c r="AS24" s="282">
        <f t="shared" si="33"/>
        <v>81.09</v>
      </c>
      <c r="AT24" s="282">
        <f t="shared" si="34"/>
        <v>174.93</v>
      </c>
      <c r="AU24" s="283"/>
      <c r="AV24" s="281">
        <f t="shared" si="77"/>
        <v>239.89</v>
      </c>
      <c r="AW24" s="282">
        <f t="shared" si="78"/>
        <v>212.29999999999998</v>
      </c>
      <c r="AX24" s="282">
        <f t="shared" si="79"/>
        <v>283.66000000000003</v>
      </c>
      <c r="AY24" s="283">
        <f t="shared" si="80"/>
        <v>165.84</v>
      </c>
      <c r="AZ24" s="281">
        <f t="shared" si="35"/>
        <v>109.92</v>
      </c>
      <c r="BA24" s="282">
        <f t="shared" si="36"/>
        <v>76.05</v>
      </c>
      <c r="BB24" s="282">
        <f t="shared" si="37"/>
        <v>89.71</v>
      </c>
      <c r="BC24" s="283"/>
      <c r="BD24" s="281">
        <f t="shared" si="38"/>
        <v>67.989999999999995</v>
      </c>
      <c r="BE24" s="282">
        <f t="shared" si="39"/>
        <v>78.8</v>
      </c>
      <c r="BF24" s="282">
        <f t="shared" si="40"/>
        <v>74.45</v>
      </c>
      <c r="BG24" s="283"/>
      <c r="BH24" s="281">
        <f t="shared" si="41"/>
        <v>82.53</v>
      </c>
      <c r="BI24" s="282">
        <f t="shared" si="42"/>
        <v>58.84</v>
      </c>
      <c r="BJ24" s="282">
        <f t="shared" si="43"/>
        <v>49.21</v>
      </c>
      <c r="BK24" s="283"/>
      <c r="BL24" s="281">
        <f t="shared" si="81"/>
        <v>260.44</v>
      </c>
      <c r="BM24" s="282">
        <f t="shared" si="82"/>
        <v>213.69</v>
      </c>
      <c r="BN24" s="282">
        <f t="shared" si="83"/>
        <v>213.37</v>
      </c>
      <c r="BO24" s="283">
        <f t="shared" si="84"/>
        <v>0</v>
      </c>
      <c r="BQ24" s="281">
        <f t="shared" si="44"/>
        <v>23.843000000000018</v>
      </c>
      <c r="BR24" s="282">
        <f t="shared" si="45"/>
        <v>-52.63300000000001</v>
      </c>
      <c r="BS24" s="283">
        <f t="shared" si="46"/>
        <v>58.03</v>
      </c>
      <c r="BT24" s="281">
        <f t="shared" si="47"/>
        <v>50.710000000000008</v>
      </c>
      <c r="BU24" s="282">
        <f t="shared" si="48"/>
        <v>-92.12</v>
      </c>
      <c r="BV24" s="283">
        <f t="shared" si="49"/>
        <v>62.259999999999991</v>
      </c>
      <c r="BW24" s="281">
        <f t="shared" si="50"/>
        <v>-27.590000000000003</v>
      </c>
      <c r="BX24" s="282">
        <f t="shared" si="51"/>
        <v>71.360000000000042</v>
      </c>
      <c r="BY24" s="283">
        <f t="shared" si="52"/>
        <v>-117.82000000000002</v>
      </c>
      <c r="BZ24" s="281">
        <f t="shared" si="85"/>
        <v>-46.75</v>
      </c>
      <c r="CA24" s="282">
        <f t="shared" si="86"/>
        <v>-0.31999999999999318</v>
      </c>
      <c r="CB24" s="283">
        <f t="shared" si="87"/>
        <v>-213.37</v>
      </c>
      <c r="CD24" s="282">
        <f t="shared" si="53"/>
        <v>130.44999999999999</v>
      </c>
      <c r="CE24" s="282">
        <f t="shared" si="54"/>
        <v>154.29300000000001</v>
      </c>
      <c r="CF24" s="282">
        <f t="shared" si="55"/>
        <v>101.66</v>
      </c>
      <c r="CG24" s="282">
        <f t="shared" si="56"/>
        <v>159.69</v>
      </c>
      <c r="CH24" s="282">
        <f t="shared" si="57"/>
        <v>318.98</v>
      </c>
      <c r="CI24" s="282">
        <f t="shared" si="58"/>
        <v>393.53300000000002</v>
      </c>
      <c r="CJ24" s="282">
        <f t="shared" si="59"/>
        <v>248.78</v>
      </c>
      <c r="CK24" s="282">
        <f t="shared" si="60"/>
        <v>369.07</v>
      </c>
      <c r="CL24" s="282">
        <f t="shared" si="61"/>
        <v>558.87000000000012</v>
      </c>
      <c r="CM24" s="282">
        <f t="shared" si="62"/>
        <v>605.83300000000008</v>
      </c>
      <c r="CN24" s="282">
        <f t="shared" si="63"/>
        <v>532.44000000000005</v>
      </c>
      <c r="CO24" s="282">
        <f t="shared" si="64"/>
        <v>534.91</v>
      </c>
      <c r="CP24" s="282">
        <f t="shared" si="65"/>
        <v>819.31000000000006</v>
      </c>
      <c r="CQ24" s="282">
        <f t="shared" si="66"/>
        <v>819.52300000000002</v>
      </c>
      <c r="CR24" s="282">
        <f t="shared" si="67"/>
        <v>745.81000000000017</v>
      </c>
      <c r="CS24" s="282">
        <f t="shared" si="68"/>
        <v>534.91</v>
      </c>
    </row>
    <row r="25" spans="1:97" x14ac:dyDescent="0.25">
      <c r="A25" s="521"/>
      <c r="B25" s="55">
        <v>20</v>
      </c>
      <c r="C25" s="56">
        <v>62.08</v>
      </c>
      <c r="D25" s="281">
        <f t="shared" si="0"/>
        <v>51.910000000000004</v>
      </c>
      <c r="E25" s="282">
        <f t="shared" si="1"/>
        <v>61.47</v>
      </c>
      <c r="F25" s="282">
        <f t="shared" si="2"/>
        <v>49.510000000000005</v>
      </c>
      <c r="G25" s="283">
        <f t="shared" si="3"/>
        <v>70.12</v>
      </c>
      <c r="H25" s="281">
        <f t="shared" si="4"/>
        <v>31.21</v>
      </c>
      <c r="I25" s="282">
        <f t="shared" si="5"/>
        <v>54.67</v>
      </c>
      <c r="J25" s="282">
        <f t="shared" si="6"/>
        <v>24.08</v>
      </c>
      <c r="K25" s="283">
        <f t="shared" si="7"/>
        <v>70.84</v>
      </c>
      <c r="L25" s="281">
        <f t="shared" si="8"/>
        <v>39.92</v>
      </c>
      <c r="M25" s="282">
        <f t="shared" si="9"/>
        <v>52.680000000000007</v>
      </c>
      <c r="N25" s="282">
        <f t="shared" si="10"/>
        <v>16.55</v>
      </c>
      <c r="O25" s="284">
        <f t="shared" si="11"/>
        <v>34.53</v>
      </c>
      <c r="P25" s="281">
        <f t="shared" si="69"/>
        <v>123.04</v>
      </c>
      <c r="Q25" s="282">
        <f t="shared" si="70"/>
        <v>168.82</v>
      </c>
      <c r="R25" s="282">
        <f t="shared" si="71"/>
        <v>90.14</v>
      </c>
      <c r="S25" s="283">
        <f t="shared" si="72"/>
        <v>175.49</v>
      </c>
      <c r="T25" s="281">
        <f t="shared" si="12"/>
        <v>68.349999999999994</v>
      </c>
      <c r="U25" s="282">
        <f t="shared" si="13"/>
        <v>63.680000000000007</v>
      </c>
      <c r="V25" s="282">
        <f t="shared" si="14"/>
        <v>22.51</v>
      </c>
      <c r="W25" s="283">
        <f t="shared" si="15"/>
        <v>116.55000000000001</v>
      </c>
      <c r="X25" s="281">
        <f t="shared" si="16"/>
        <v>52.46</v>
      </c>
      <c r="Y25" s="282">
        <f t="shared" si="17"/>
        <v>108.25999999999999</v>
      </c>
      <c r="Z25" s="282">
        <f t="shared" si="18"/>
        <v>45.83</v>
      </c>
      <c r="AA25" s="283">
        <f t="shared" si="19"/>
        <v>90.210000000000008</v>
      </c>
      <c r="AB25" s="281">
        <f t="shared" si="20"/>
        <v>50.1</v>
      </c>
      <c r="AC25" s="282">
        <f t="shared" si="21"/>
        <v>74.180000000000007</v>
      </c>
      <c r="AD25" s="282">
        <f t="shared" si="22"/>
        <v>64.81</v>
      </c>
      <c r="AE25" s="283">
        <f t="shared" si="23"/>
        <v>51.129999999999995</v>
      </c>
      <c r="AF25" s="281">
        <f t="shared" si="73"/>
        <v>170.91</v>
      </c>
      <c r="AG25" s="282">
        <f t="shared" si="74"/>
        <v>246.12</v>
      </c>
      <c r="AH25" s="282">
        <f t="shared" si="75"/>
        <v>133.15</v>
      </c>
      <c r="AI25" s="283">
        <f t="shared" si="76"/>
        <v>257.89</v>
      </c>
      <c r="AJ25" s="281">
        <f t="shared" si="24"/>
        <v>128.19</v>
      </c>
      <c r="AK25" s="282">
        <f t="shared" si="25"/>
        <v>66.97</v>
      </c>
      <c r="AL25" s="282">
        <f t="shared" si="26"/>
        <v>69.28</v>
      </c>
      <c r="AM25" s="283">
        <f t="shared" si="27"/>
        <v>75.31</v>
      </c>
      <c r="AN25" s="281">
        <f t="shared" si="28"/>
        <v>99.44</v>
      </c>
      <c r="AO25" s="282">
        <f t="shared" si="29"/>
        <v>75.47</v>
      </c>
      <c r="AP25" s="282">
        <f t="shared" si="30"/>
        <v>70.23</v>
      </c>
      <c r="AQ25" s="283">
        <f t="shared" si="31"/>
        <v>101.19999999999999</v>
      </c>
      <c r="AR25" s="281">
        <f t="shared" si="32"/>
        <v>69.430000000000007</v>
      </c>
      <c r="AS25" s="282">
        <f t="shared" si="33"/>
        <v>66.61</v>
      </c>
      <c r="AT25" s="282">
        <f t="shared" si="34"/>
        <v>168.56</v>
      </c>
      <c r="AU25" s="283"/>
      <c r="AV25" s="281">
        <f t="shared" si="77"/>
        <v>297.06</v>
      </c>
      <c r="AW25" s="282">
        <f t="shared" si="78"/>
        <v>209.05</v>
      </c>
      <c r="AX25" s="282">
        <f t="shared" si="79"/>
        <v>308.07</v>
      </c>
      <c r="AY25" s="283">
        <f t="shared" si="80"/>
        <v>176.51</v>
      </c>
      <c r="AZ25" s="281">
        <f t="shared" si="35"/>
        <v>109.81</v>
      </c>
      <c r="BA25" s="282">
        <f t="shared" si="36"/>
        <v>92.47999999999999</v>
      </c>
      <c r="BB25" s="282">
        <f t="shared" si="37"/>
        <v>115.34</v>
      </c>
      <c r="BC25" s="283"/>
      <c r="BD25" s="281">
        <f t="shared" si="38"/>
        <v>91.39</v>
      </c>
      <c r="BE25" s="282">
        <f t="shared" si="39"/>
        <v>78.05</v>
      </c>
      <c r="BF25" s="282">
        <f t="shared" si="40"/>
        <v>84.289999999999992</v>
      </c>
      <c r="BG25" s="283"/>
      <c r="BH25" s="281">
        <f t="shared" si="41"/>
        <v>77.41</v>
      </c>
      <c r="BI25" s="282">
        <f t="shared" si="42"/>
        <v>68.31</v>
      </c>
      <c r="BJ25" s="282">
        <f t="shared" si="43"/>
        <v>69</v>
      </c>
      <c r="BK25" s="283"/>
      <c r="BL25" s="281">
        <f t="shared" si="81"/>
        <v>278.61</v>
      </c>
      <c r="BM25" s="282">
        <f t="shared" si="82"/>
        <v>238.83999999999997</v>
      </c>
      <c r="BN25" s="282">
        <f t="shared" si="83"/>
        <v>268.63</v>
      </c>
      <c r="BO25" s="283">
        <f t="shared" si="84"/>
        <v>0</v>
      </c>
      <c r="BQ25" s="281">
        <f t="shared" si="44"/>
        <v>45.779999999999987</v>
      </c>
      <c r="BR25" s="282">
        <f t="shared" si="45"/>
        <v>-78.679999999999993</v>
      </c>
      <c r="BS25" s="283">
        <f t="shared" si="46"/>
        <v>85.350000000000009</v>
      </c>
      <c r="BT25" s="281">
        <f t="shared" si="47"/>
        <v>75.210000000000008</v>
      </c>
      <c r="BU25" s="282">
        <f t="shared" si="48"/>
        <v>-112.97</v>
      </c>
      <c r="BV25" s="283">
        <f t="shared" si="49"/>
        <v>124.73999999999998</v>
      </c>
      <c r="BW25" s="281">
        <f t="shared" si="50"/>
        <v>-88.009999999999991</v>
      </c>
      <c r="BX25" s="282">
        <f t="shared" si="51"/>
        <v>99.019999999999982</v>
      </c>
      <c r="BY25" s="283">
        <f t="shared" si="52"/>
        <v>-131.56</v>
      </c>
      <c r="BZ25" s="281">
        <f t="shared" si="85"/>
        <v>-39.770000000000039</v>
      </c>
      <c r="CA25" s="282">
        <f t="shared" si="86"/>
        <v>29.79000000000002</v>
      </c>
      <c r="CB25" s="283">
        <f t="shared" si="87"/>
        <v>-268.63</v>
      </c>
      <c r="CD25" s="282">
        <f t="shared" si="53"/>
        <v>123.04</v>
      </c>
      <c r="CE25" s="282">
        <f t="shared" si="54"/>
        <v>168.82</v>
      </c>
      <c r="CF25" s="282">
        <f t="shared" si="55"/>
        <v>90.14</v>
      </c>
      <c r="CG25" s="282">
        <f t="shared" si="56"/>
        <v>175.49</v>
      </c>
      <c r="CH25" s="282">
        <f t="shared" si="57"/>
        <v>293.95</v>
      </c>
      <c r="CI25" s="282">
        <f t="shared" si="58"/>
        <v>414.94</v>
      </c>
      <c r="CJ25" s="282">
        <f t="shared" si="59"/>
        <v>223.29000000000002</v>
      </c>
      <c r="CK25" s="282">
        <f t="shared" si="60"/>
        <v>433.38</v>
      </c>
      <c r="CL25" s="282">
        <f t="shared" si="61"/>
        <v>591.01</v>
      </c>
      <c r="CM25" s="282">
        <f t="shared" si="62"/>
        <v>623.99</v>
      </c>
      <c r="CN25" s="282">
        <f t="shared" si="63"/>
        <v>531.36000000000013</v>
      </c>
      <c r="CO25" s="282">
        <f t="shared" si="64"/>
        <v>609.89</v>
      </c>
      <c r="CP25" s="282">
        <f t="shared" si="65"/>
        <v>869.61999999999989</v>
      </c>
      <c r="CQ25" s="282">
        <f t="shared" si="66"/>
        <v>862.82999999999993</v>
      </c>
      <c r="CR25" s="282">
        <f t="shared" si="67"/>
        <v>799.99000000000012</v>
      </c>
      <c r="CS25" s="282">
        <f t="shared" si="68"/>
        <v>609.89</v>
      </c>
    </row>
    <row r="26" spans="1:97" x14ac:dyDescent="0.25">
      <c r="A26" s="521"/>
      <c r="B26" s="55">
        <v>21</v>
      </c>
      <c r="C26" s="56">
        <v>72.2</v>
      </c>
      <c r="D26" s="281">
        <f t="shared" si="0"/>
        <v>86.86</v>
      </c>
      <c r="E26" s="282">
        <f t="shared" si="1"/>
        <v>94.92</v>
      </c>
      <c r="F26" s="282">
        <f t="shared" si="2"/>
        <v>86.449999999999989</v>
      </c>
      <c r="G26" s="283">
        <f t="shared" si="3"/>
        <v>95.460000000000008</v>
      </c>
      <c r="H26" s="281">
        <f t="shared" si="4"/>
        <v>53.870000000000005</v>
      </c>
      <c r="I26" s="282">
        <f t="shared" si="5"/>
        <v>60.31</v>
      </c>
      <c r="J26" s="282">
        <f t="shared" si="6"/>
        <v>50.78</v>
      </c>
      <c r="K26" s="283">
        <f t="shared" si="7"/>
        <v>59.44</v>
      </c>
      <c r="L26" s="281">
        <f t="shared" si="8"/>
        <v>67.97</v>
      </c>
      <c r="M26" s="282">
        <f t="shared" si="9"/>
        <v>119.83</v>
      </c>
      <c r="N26" s="282">
        <f t="shared" si="10"/>
        <v>46.08</v>
      </c>
      <c r="O26" s="284">
        <f t="shared" si="11"/>
        <v>83.73</v>
      </c>
      <c r="P26" s="281">
        <f t="shared" si="69"/>
        <v>208.70000000000002</v>
      </c>
      <c r="Q26" s="282">
        <f t="shared" si="70"/>
        <v>275.06</v>
      </c>
      <c r="R26" s="282">
        <f t="shared" si="71"/>
        <v>183.31</v>
      </c>
      <c r="S26" s="283">
        <f t="shared" si="72"/>
        <v>238.63</v>
      </c>
      <c r="T26" s="281">
        <f t="shared" si="12"/>
        <v>77.02000000000001</v>
      </c>
      <c r="U26" s="282">
        <f t="shared" si="13"/>
        <v>76.39</v>
      </c>
      <c r="V26" s="282">
        <f t="shared" si="14"/>
        <v>70.38</v>
      </c>
      <c r="W26" s="283">
        <f t="shared" si="15"/>
        <v>159.93</v>
      </c>
      <c r="X26" s="281">
        <f t="shared" si="16"/>
        <v>126.65</v>
      </c>
      <c r="Y26" s="282">
        <f t="shared" si="17"/>
        <v>92.749999999999986</v>
      </c>
      <c r="Z26" s="282">
        <f t="shared" si="18"/>
        <v>77.599999999999994</v>
      </c>
      <c r="AA26" s="283">
        <f t="shared" si="19"/>
        <v>112.19</v>
      </c>
      <c r="AB26" s="281">
        <f t="shared" si="20"/>
        <v>78.989999999999995</v>
      </c>
      <c r="AC26" s="282">
        <f t="shared" si="21"/>
        <v>84.47999999999999</v>
      </c>
      <c r="AD26" s="282">
        <f t="shared" si="22"/>
        <v>105.44</v>
      </c>
      <c r="AE26" s="283">
        <f t="shared" si="23"/>
        <v>69.569999999999993</v>
      </c>
      <c r="AF26" s="281">
        <f t="shared" si="73"/>
        <v>282.66000000000003</v>
      </c>
      <c r="AG26" s="282">
        <f t="shared" si="74"/>
        <v>253.61999999999998</v>
      </c>
      <c r="AH26" s="282">
        <f t="shared" si="75"/>
        <v>253.42</v>
      </c>
      <c r="AI26" s="283">
        <f t="shared" si="76"/>
        <v>341.69</v>
      </c>
      <c r="AJ26" s="281">
        <f t="shared" si="24"/>
        <v>140.62</v>
      </c>
      <c r="AK26" s="282">
        <f t="shared" si="25"/>
        <v>117.65</v>
      </c>
      <c r="AL26" s="282">
        <f t="shared" si="26"/>
        <v>160.38</v>
      </c>
      <c r="AM26" s="283">
        <f t="shared" si="27"/>
        <v>95.68</v>
      </c>
      <c r="AN26" s="281">
        <f t="shared" si="28"/>
        <v>190.25</v>
      </c>
      <c r="AO26" s="282">
        <f t="shared" si="29"/>
        <v>139.73000000000002</v>
      </c>
      <c r="AP26" s="282">
        <f t="shared" si="30"/>
        <v>115.14</v>
      </c>
      <c r="AQ26" s="283">
        <f t="shared" si="31"/>
        <v>111.16999999999999</v>
      </c>
      <c r="AR26" s="281">
        <f t="shared" si="32"/>
        <v>137.12</v>
      </c>
      <c r="AS26" s="282">
        <f t="shared" si="33"/>
        <v>137.98000000000002</v>
      </c>
      <c r="AT26" s="282">
        <f t="shared" si="34"/>
        <v>142.54999999999998</v>
      </c>
      <c r="AU26" s="283"/>
      <c r="AV26" s="281">
        <f t="shared" si="77"/>
        <v>467.99</v>
      </c>
      <c r="AW26" s="282">
        <f t="shared" si="78"/>
        <v>395.36</v>
      </c>
      <c r="AX26" s="282">
        <f t="shared" si="79"/>
        <v>418.06999999999994</v>
      </c>
      <c r="AY26" s="283">
        <f t="shared" si="80"/>
        <v>206.85</v>
      </c>
      <c r="AZ26" s="281">
        <f t="shared" si="35"/>
        <v>161.85000000000002</v>
      </c>
      <c r="BA26" s="282">
        <f t="shared" si="36"/>
        <v>143.07</v>
      </c>
      <c r="BB26" s="282">
        <f t="shared" si="37"/>
        <v>199.91000000000003</v>
      </c>
      <c r="BC26" s="283"/>
      <c r="BD26" s="281">
        <f t="shared" si="38"/>
        <v>152.35</v>
      </c>
      <c r="BE26" s="282">
        <f t="shared" si="39"/>
        <v>148.07</v>
      </c>
      <c r="BF26" s="282">
        <f t="shared" si="40"/>
        <v>154.22999999999999</v>
      </c>
      <c r="BG26" s="283"/>
      <c r="BH26" s="281">
        <f t="shared" si="41"/>
        <v>139.48000000000002</v>
      </c>
      <c r="BI26" s="282">
        <f t="shared" si="42"/>
        <v>108.66</v>
      </c>
      <c r="BJ26" s="282">
        <f t="shared" si="43"/>
        <v>96.05</v>
      </c>
      <c r="BK26" s="283"/>
      <c r="BL26" s="281">
        <f t="shared" si="81"/>
        <v>453.68000000000006</v>
      </c>
      <c r="BM26" s="282">
        <f t="shared" si="82"/>
        <v>399.79999999999995</v>
      </c>
      <c r="BN26" s="282">
        <f t="shared" si="83"/>
        <v>450.19</v>
      </c>
      <c r="BO26" s="283">
        <f t="shared" si="84"/>
        <v>0</v>
      </c>
      <c r="BQ26" s="281">
        <f t="shared" si="44"/>
        <v>66.359999999999985</v>
      </c>
      <c r="BR26" s="282">
        <f t="shared" si="45"/>
        <v>-91.75</v>
      </c>
      <c r="BS26" s="283">
        <f t="shared" si="46"/>
        <v>55.319999999999993</v>
      </c>
      <c r="BT26" s="281">
        <f t="shared" si="47"/>
        <v>-29.040000000000049</v>
      </c>
      <c r="BU26" s="282">
        <f t="shared" si="48"/>
        <v>-0.19999999999998863</v>
      </c>
      <c r="BV26" s="283">
        <f t="shared" si="49"/>
        <v>88.27000000000001</v>
      </c>
      <c r="BW26" s="281">
        <f t="shared" si="50"/>
        <v>-72.63</v>
      </c>
      <c r="BX26" s="282">
        <f t="shared" si="51"/>
        <v>22.709999999999923</v>
      </c>
      <c r="BY26" s="283">
        <f t="shared" si="52"/>
        <v>-211.21999999999994</v>
      </c>
      <c r="BZ26" s="281">
        <f t="shared" si="85"/>
        <v>-53.880000000000109</v>
      </c>
      <c r="CA26" s="282">
        <f t="shared" si="86"/>
        <v>50.390000000000043</v>
      </c>
      <c r="CB26" s="283">
        <f t="shared" si="87"/>
        <v>-450.19</v>
      </c>
      <c r="CD26" s="282">
        <f t="shared" si="53"/>
        <v>208.70000000000002</v>
      </c>
      <c r="CE26" s="282">
        <f t="shared" si="54"/>
        <v>275.06</v>
      </c>
      <c r="CF26" s="282">
        <f t="shared" si="55"/>
        <v>183.31</v>
      </c>
      <c r="CG26" s="282">
        <f t="shared" si="56"/>
        <v>238.63</v>
      </c>
      <c r="CH26" s="282">
        <f t="shared" si="57"/>
        <v>491.36</v>
      </c>
      <c r="CI26" s="282">
        <f t="shared" si="58"/>
        <v>528.67999999999995</v>
      </c>
      <c r="CJ26" s="282">
        <f t="shared" si="59"/>
        <v>436.72999999999996</v>
      </c>
      <c r="CK26" s="282">
        <f t="shared" si="60"/>
        <v>580.31999999999994</v>
      </c>
      <c r="CL26" s="282">
        <f t="shared" si="61"/>
        <v>959.35</v>
      </c>
      <c r="CM26" s="282">
        <f t="shared" si="62"/>
        <v>924.04</v>
      </c>
      <c r="CN26" s="282">
        <f t="shared" si="63"/>
        <v>854.79999999999984</v>
      </c>
      <c r="CO26" s="282">
        <f t="shared" si="64"/>
        <v>787.17</v>
      </c>
      <c r="CP26" s="282">
        <f t="shared" si="65"/>
        <v>1413.03</v>
      </c>
      <c r="CQ26" s="282">
        <f t="shared" si="66"/>
        <v>1323.84</v>
      </c>
      <c r="CR26" s="282">
        <f t="shared" si="67"/>
        <v>1304.9899999999998</v>
      </c>
      <c r="CS26" s="282">
        <f t="shared" si="68"/>
        <v>787.17</v>
      </c>
    </row>
    <row r="27" spans="1:97" x14ac:dyDescent="0.25">
      <c r="A27" s="521"/>
      <c r="B27" s="55">
        <v>22</v>
      </c>
      <c r="C27" s="56">
        <v>52.3</v>
      </c>
      <c r="D27" s="281">
        <f t="shared" si="0"/>
        <v>55.309999999999995</v>
      </c>
      <c r="E27" s="282">
        <f t="shared" si="1"/>
        <v>63.79</v>
      </c>
      <c r="F27" s="282">
        <f t="shared" si="2"/>
        <v>58.67</v>
      </c>
      <c r="G27" s="283">
        <f t="shared" si="3"/>
        <v>30.8</v>
      </c>
      <c r="H27" s="281">
        <f t="shared" si="4"/>
        <v>40.28</v>
      </c>
      <c r="I27" s="282">
        <f t="shared" si="5"/>
        <v>38.15</v>
      </c>
      <c r="J27" s="282">
        <f t="shared" si="6"/>
        <v>36.06</v>
      </c>
      <c r="K27" s="283">
        <f t="shared" si="7"/>
        <v>74.5</v>
      </c>
      <c r="L27" s="281">
        <f t="shared" si="8"/>
        <v>37.519999999999996</v>
      </c>
      <c r="M27" s="282">
        <f t="shared" si="9"/>
        <v>63.980000000000004</v>
      </c>
      <c r="N27" s="282">
        <f t="shared" si="10"/>
        <v>27.049999999999997</v>
      </c>
      <c r="O27" s="284">
        <f t="shared" si="11"/>
        <v>55.26</v>
      </c>
      <c r="P27" s="281">
        <f t="shared" si="69"/>
        <v>133.11000000000001</v>
      </c>
      <c r="Q27" s="282">
        <f t="shared" si="70"/>
        <v>165.92000000000002</v>
      </c>
      <c r="R27" s="282">
        <f t="shared" si="71"/>
        <v>121.78</v>
      </c>
      <c r="S27" s="283">
        <f t="shared" si="72"/>
        <v>160.56</v>
      </c>
      <c r="T27" s="281">
        <f t="shared" si="12"/>
        <v>50.19</v>
      </c>
      <c r="U27" s="282">
        <f t="shared" si="13"/>
        <v>44.94</v>
      </c>
      <c r="V27" s="282">
        <f t="shared" si="14"/>
        <v>43.81</v>
      </c>
      <c r="W27" s="283">
        <f t="shared" si="15"/>
        <v>78.13</v>
      </c>
      <c r="X27" s="281">
        <f t="shared" si="16"/>
        <v>78.41</v>
      </c>
      <c r="Y27" s="282">
        <f t="shared" si="17"/>
        <v>55.76</v>
      </c>
      <c r="Z27" s="282">
        <f t="shared" si="18"/>
        <v>38.590000000000003</v>
      </c>
      <c r="AA27" s="283">
        <f t="shared" si="19"/>
        <v>40.56</v>
      </c>
      <c r="AB27" s="281">
        <f t="shared" si="20"/>
        <v>57.33</v>
      </c>
      <c r="AC27" s="282">
        <f t="shared" si="21"/>
        <v>62</v>
      </c>
      <c r="AD27" s="282">
        <f t="shared" si="22"/>
        <v>58.92</v>
      </c>
      <c r="AE27" s="283">
        <f t="shared" si="23"/>
        <v>65</v>
      </c>
      <c r="AF27" s="281">
        <f t="shared" si="73"/>
        <v>185.93</v>
      </c>
      <c r="AG27" s="282">
        <f t="shared" si="74"/>
        <v>162.69999999999999</v>
      </c>
      <c r="AH27" s="282">
        <f t="shared" si="75"/>
        <v>141.32</v>
      </c>
      <c r="AI27" s="283">
        <f t="shared" si="76"/>
        <v>183.69</v>
      </c>
      <c r="AJ27" s="281">
        <f t="shared" si="24"/>
        <v>77.830000000000013</v>
      </c>
      <c r="AK27" s="282">
        <f t="shared" si="25"/>
        <v>83.44</v>
      </c>
      <c r="AL27" s="282">
        <f t="shared" si="26"/>
        <v>68.87</v>
      </c>
      <c r="AM27" s="283">
        <f t="shared" si="27"/>
        <v>66.36</v>
      </c>
      <c r="AN27" s="281">
        <f t="shared" si="28"/>
        <v>137.77000000000001</v>
      </c>
      <c r="AO27" s="282">
        <f t="shared" si="29"/>
        <v>91.12</v>
      </c>
      <c r="AP27" s="282">
        <f t="shared" si="30"/>
        <v>100.56</v>
      </c>
      <c r="AQ27" s="283">
        <f t="shared" si="31"/>
        <v>66.599999999999994</v>
      </c>
      <c r="AR27" s="281">
        <f t="shared" si="32"/>
        <v>87.65</v>
      </c>
      <c r="AS27" s="282">
        <f t="shared" si="33"/>
        <v>89.7</v>
      </c>
      <c r="AT27" s="282">
        <f t="shared" si="34"/>
        <v>75.260000000000005</v>
      </c>
      <c r="AU27" s="283"/>
      <c r="AV27" s="281">
        <f t="shared" si="77"/>
        <v>303.25</v>
      </c>
      <c r="AW27" s="282">
        <f t="shared" si="78"/>
        <v>264.26</v>
      </c>
      <c r="AX27" s="282">
        <f t="shared" si="79"/>
        <v>244.69</v>
      </c>
      <c r="AY27" s="283">
        <f t="shared" si="80"/>
        <v>132.95999999999998</v>
      </c>
      <c r="AZ27" s="281">
        <f t="shared" si="35"/>
        <v>103.59</v>
      </c>
      <c r="BA27" s="282">
        <f t="shared" si="36"/>
        <v>100.33</v>
      </c>
      <c r="BB27" s="282">
        <f t="shared" si="37"/>
        <v>133.42000000000002</v>
      </c>
      <c r="BC27" s="283"/>
      <c r="BD27" s="281">
        <f t="shared" si="38"/>
        <v>83.89</v>
      </c>
      <c r="BE27" s="282">
        <f t="shared" si="39"/>
        <v>96.06</v>
      </c>
      <c r="BF27" s="282">
        <f t="shared" si="40"/>
        <v>93.41</v>
      </c>
      <c r="BG27" s="283"/>
      <c r="BH27" s="281">
        <f t="shared" si="41"/>
        <v>91.81</v>
      </c>
      <c r="BI27" s="282">
        <f t="shared" si="42"/>
        <v>70.740000000000009</v>
      </c>
      <c r="BJ27" s="282">
        <f t="shared" si="43"/>
        <v>67.679999999999993</v>
      </c>
      <c r="BK27" s="283"/>
      <c r="BL27" s="281">
        <f t="shared" si="81"/>
        <v>279.29000000000002</v>
      </c>
      <c r="BM27" s="282">
        <f t="shared" si="82"/>
        <v>267.13</v>
      </c>
      <c r="BN27" s="282">
        <f t="shared" si="83"/>
        <v>294.51</v>
      </c>
      <c r="BO27" s="283">
        <f t="shared" si="84"/>
        <v>0</v>
      </c>
      <c r="BQ27" s="281">
        <f t="shared" si="44"/>
        <v>32.81</v>
      </c>
      <c r="BR27" s="282">
        <f t="shared" si="45"/>
        <v>-44.140000000000015</v>
      </c>
      <c r="BS27" s="283">
        <f t="shared" si="46"/>
        <v>38.78</v>
      </c>
      <c r="BT27" s="281">
        <f t="shared" si="47"/>
        <v>-23.230000000000018</v>
      </c>
      <c r="BU27" s="282">
        <f t="shared" si="48"/>
        <v>-21.379999999999995</v>
      </c>
      <c r="BV27" s="283">
        <f t="shared" si="49"/>
        <v>42.370000000000005</v>
      </c>
      <c r="BW27" s="281">
        <f t="shared" si="50"/>
        <v>-38.990000000000009</v>
      </c>
      <c r="BX27" s="282">
        <f t="shared" si="51"/>
        <v>-19.569999999999993</v>
      </c>
      <c r="BY27" s="283">
        <f t="shared" si="52"/>
        <v>-111.73000000000002</v>
      </c>
      <c r="BZ27" s="281">
        <f t="shared" si="85"/>
        <v>-12.160000000000025</v>
      </c>
      <c r="CA27" s="282">
        <f t="shared" si="86"/>
        <v>27.379999999999995</v>
      </c>
      <c r="CB27" s="283">
        <f t="shared" si="87"/>
        <v>-294.51</v>
      </c>
      <c r="CD27" s="282">
        <f t="shared" si="53"/>
        <v>133.11000000000001</v>
      </c>
      <c r="CE27" s="282">
        <f t="shared" si="54"/>
        <v>165.92000000000002</v>
      </c>
      <c r="CF27" s="282">
        <f t="shared" si="55"/>
        <v>121.78</v>
      </c>
      <c r="CG27" s="282">
        <f t="shared" si="56"/>
        <v>160.56</v>
      </c>
      <c r="CH27" s="282">
        <f t="shared" si="57"/>
        <v>319.04000000000002</v>
      </c>
      <c r="CI27" s="282">
        <f t="shared" si="58"/>
        <v>328.62</v>
      </c>
      <c r="CJ27" s="282">
        <f t="shared" si="59"/>
        <v>263.10000000000002</v>
      </c>
      <c r="CK27" s="282">
        <f t="shared" si="60"/>
        <v>344.25</v>
      </c>
      <c r="CL27" s="282">
        <f t="shared" si="61"/>
        <v>622.29</v>
      </c>
      <c r="CM27" s="282">
        <f t="shared" si="62"/>
        <v>592.88</v>
      </c>
      <c r="CN27" s="282">
        <f t="shared" si="63"/>
        <v>507.79</v>
      </c>
      <c r="CO27" s="282">
        <f t="shared" si="64"/>
        <v>477.21000000000004</v>
      </c>
      <c r="CP27" s="282">
        <f t="shared" si="65"/>
        <v>901.57999999999993</v>
      </c>
      <c r="CQ27" s="282">
        <f t="shared" si="66"/>
        <v>860.01</v>
      </c>
      <c r="CR27" s="282">
        <f t="shared" si="67"/>
        <v>802.3</v>
      </c>
      <c r="CS27" s="282">
        <f t="shared" si="68"/>
        <v>477.21000000000004</v>
      </c>
    </row>
    <row r="28" spans="1:97" ht="15.75" thickBot="1" x14ac:dyDescent="0.3">
      <c r="A28" s="521"/>
      <c r="B28" s="55">
        <v>24</v>
      </c>
      <c r="C28" s="84">
        <v>44.7</v>
      </c>
      <c r="D28" s="281">
        <f t="shared" si="0"/>
        <v>61.879999999999995</v>
      </c>
      <c r="E28" s="282">
        <f t="shared" si="1"/>
        <v>49.75</v>
      </c>
      <c r="F28" s="282">
        <f t="shared" si="2"/>
        <v>52.45</v>
      </c>
      <c r="G28" s="283">
        <f t="shared" si="3"/>
        <v>53.53</v>
      </c>
      <c r="H28" s="281">
        <f t="shared" si="4"/>
        <v>15.52</v>
      </c>
      <c r="I28" s="282">
        <f t="shared" si="5"/>
        <v>34.5</v>
      </c>
      <c r="J28" s="282">
        <f t="shared" si="6"/>
        <v>22.4</v>
      </c>
      <c r="K28" s="283">
        <f t="shared" si="7"/>
        <v>60.35</v>
      </c>
      <c r="L28" s="281">
        <f t="shared" si="8"/>
        <v>25.990000000000002</v>
      </c>
      <c r="M28" s="282">
        <f t="shared" si="9"/>
        <v>29.77</v>
      </c>
      <c r="N28" s="282">
        <f t="shared" si="10"/>
        <v>13.799999999999999</v>
      </c>
      <c r="O28" s="284">
        <f t="shared" si="11"/>
        <v>48.56</v>
      </c>
      <c r="P28" s="281">
        <f t="shared" si="69"/>
        <v>103.38999999999999</v>
      </c>
      <c r="Q28" s="282">
        <f t="shared" si="70"/>
        <v>114.02</v>
      </c>
      <c r="R28" s="282">
        <f t="shared" si="71"/>
        <v>88.649999999999991</v>
      </c>
      <c r="S28" s="283">
        <f t="shared" si="72"/>
        <v>162.44</v>
      </c>
      <c r="T28" s="281">
        <f t="shared" si="12"/>
        <v>42.349999999999994</v>
      </c>
      <c r="U28" s="282">
        <f t="shared" si="13"/>
        <v>29.76</v>
      </c>
      <c r="V28" s="282">
        <f t="shared" si="14"/>
        <v>17.14</v>
      </c>
      <c r="W28" s="283">
        <f t="shared" si="15"/>
        <v>92.41</v>
      </c>
      <c r="X28" s="281">
        <f t="shared" si="16"/>
        <v>35.019999999999996</v>
      </c>
      <c r="Y28" s="282">
        <f t="shared" si="17"/>
        <v>47.11</v>
      </c>
      <c r="Z28" s="282">
        <f t="shared" si="18"/>
        <v>65.12</v>
      </c>
      <c r="AA28" s="283">
        <f t="shared" si="19"/>
        <v>32.630000000000003</v>
      </c>
      <c r="AB28" s="281">
        <f t="shared" si="20"/>
        <v>32.69</v>
      </c>
      <c r="AC28" s="282">
        <f t="shared" si="21"/>
        <v>55.39</v>
      </c>
      <c r="AD28" s="282">
        <f t="shared" si="22"/>
        <v>63.070000000000007</v>
      </c>
      <c r="AE28" s="283">
        <f t="shared" si="23"/>
        <v>64.31</v>
      </c>
      <c r="AF28" s="281">
        <f t="shared" si="73"/>
        <v>110.05999999999999</v>
      </c>
      <c r="AG28" s="282">
        <f t="shared" si="74"/>
        <v>132.26</v>
      </c>
      <c r="AH28" s="282">
        <f t="shared" si="75"/>
        <v>145.33000000000001</v>
      </c>
      <c r="AI28" s="283">
        <f t="shared" si="76"/>
        <v>189.35</v>
      </c>
      <c r="AJ28" s="281">
        <f t="shared" si="24"/>
        <v>37.86</v>
      </c>
      <c r="AK28" s="282">
        <f t="shared" si="25"/>
        <v>53.04</v>
      </c>
      <c r="AL28" s="282">
        <f t="shared" si="26"/>
        <v>57.019999999999996</v>
      </c>
      <c r="AM28" s="283">
        <f t="shared" si="27"/>
        <v>49.339999999999996</v>
      </c>
      <c r="AN28" s="281">
        <f t="shared" si="28"/>
        <v>71.77</v>
      </c>
      <c r="AO28" s="282">
        <f t="shared" si="29"/>
        <v>55.93</v>
      </c>
      <c r="AP28" s="282">
        <f t="shared" si="30"/>
        <v>97.320000000000007</v>
      </c>
      <c r="AQ28" s="283">
        <f t="shared" si="31"/>
        <v>77.790000000000006</v>
      </c>
      <c r="AR28" s="281">
        <f t="shared" si="32"/>
        <v>75.08</v>
      </c>
      <c r="AS28" s="282">
        <f t="shared" si="33"/>
        <v>68.63</v>
      </c>
      <c r="AT28" s="282">
        <f t="shared" si="34"/>
        <v>87.79</v>
      </c>
      <c r="AU28" s="283"/>
      <c r="AV28" s="281">
        <f t="shared" si="77"/>
        <v>184.70999999999998</v>
      </c>
      <c r="AW28" s="282">
        <f t="shared" si="78"/>
        <v>177.6</v>
      </c>
      <c r="AX28" s="282">
        <f t="shared" si="79"/>
        <v>242.13</v>
      </c>
      <c r="AY28" s="283">
        <f t="shared" si="80"/>
        <v>127.13</v>
      </c>
      <c r="AZ28" s="281">
        <f t="shared" si="35"/>
        <v>82.28</v>
      </c>
      <c r="BA28" s="282">
        <f t="shared" si="36"/>
        <v>87.460000000000008</v>
      </c>
      <c r="BB28" s="282">
        <f t="shared" si="37"/>
        <v>131.74</v>
      </c>
      <c r="BC28" s="283"/>
      <c r="BD28" s="281">
        <f t="shared" si="38"/>
        <v>59.83</v>
      </c>
      <c r="BE28" s="282">
        <f t="shared" si="39"/>
        <v>81.02</v>
      </c>
      <c r="BF28" s="282">
        <f t="shared" si="40"/>
        <v>99.53</v>
      </c>
      <c r="BG28" s="283"/>
      <c r="BH28" s="281">
        <f t="shared" si="41"/>
        <v>46.12</v>
      </c>
      <c r="BI28" s="282">
        <f t="shared" si="42"/>
        <v>61.3</v>
      </c>
      <c r="BJ28" s="282">
        <f t="shared" si="43"/>
        <v>87.56</v>
      </c>
      <c r="BK28" s="283"/>
      <c r="BL28" s="281">
        <f t="shared" si="81"/>
        <v>188.23000000000002</v>
      </c>
      <c r="BM28" s="282">
        <f t="shared" si="82"/>
        <v>229.78000000000003</v>
      </c>
      <c r="BN28" s="282">
        <f t="shared" si="83"/>
        <v>318.83000000000004</v>
      </c>
      <c r="BO28" s="283">
        <f t="shared" si="84"/>
        <v>0</v>
      </c>
      <c r="BQ28" s="281">
        <f t="shared" si="44"/>
        <v>10.63000000000001</v>
      </c>
      <c r="BR28" s="282">
        <f t="shared" si="45"/>
        <v>-25.370000000000005</v>
      </c>
      <c r="BS28" s="283">
        <f t="shared" si="46"/>
        <v>73.790000000000006</v>
      </c>
      <c r="BT28" s="281">
        <f t="shared" si="47"/>
        <v>22.200000000000003</v>
      </c>
      <c r="BU28" s="282">
        <f t="shared" si="48"/>
        <v>13.070000000000022</v>
      </c>
      <c r="BV28" s="283">
        <f t="shared" si="49"/>
        <v>44.019999999999982</v>
      </c>
      <c r="BW28" s="281">
        <f t="shared" si="50"/>
        <v>-7.1099999999999852</v>
      </c>
      <c r="BX28" s="282">
        <f t="shared" si="51"/>
        <v>64.53</v>
      </c>
      <c r="BY28" s="283">
        <f t="shared" si="52"/>
        <v>-115</v>
      </c>
      <c r="BZ28" s="281">
        <f t="shared" si="85"/>
        <v>41.550000000000011</v>
      </c>
      <c r="CA28" s="282">
        <f t="shared" si="86"/>
        <v>89.050000000000011</v>
      </c>
      <c r="CB28" s="283">
        <f t="shared" si="87"/>
        <v>-318.83000000000004</v>
      </c>
      <c r="CD28" s="282">
        <f t="shared" si="53"/>
        <v>103.38999999999999</v>
      </c>
      <c r="CE28" s="282">
        <f t="shared" si="54"/>
        <v>114.02</v>
      </c>
      <c r="CF28" s="282">
        <f t="shared" si="55"/>
        <v>88.649999999999991</v>
      </c>
      <c r="CG28" s="282">
        <f t="shared" si="56"/>
        <v>162.44</v>
      </c>
      <c r="CH28" s="282">
        <f t="shared" si="57"/>
        <v>213.45</v>
      </c>
      <c r="CI28" s="282">
        <f t="shared" si="58"/>
        <v>246.27999999999997</v>
      </c>
      <c r="CJ28" s="282">
        <f t="shared" si="59"/>
        <v>233.98000000000002</v>
      </c>
      <c r="CK28" s="282">
        <f t="shared" si="60"/>
        <v>351.79</v>
      </c>
      <c r="CL28" s="282">
        <f t="shared" si="61"/>
        <v>398.15999999999997</v>
      </c>
      <c r="CM28" s="282">
        <f t="shared" si="62"/>
        <v>423.88</v>
      </c>
      <c r="CN28" s="282">
        <f t="shared" si="63"/>
        <v>476.11</v>
      </c>
      <c r="CO28" s="282">
        <f t="shared" si="64"/>
        <v>478.92</v>
      </c>
      <c r="CP28" s="282">
        <f t="shared" si="65"/>
        <v>586.39</v>
      </c>
      <c r="CQ28" s="282">
        <f t="shared" si="66"/>
        <v>653.66</v>
      </c>
      <c r="CR28" s="282">
        <f t="shared" si="67"/>
        <v>794.94</v>
      </c>
      <c r="CS28" s="282">
        <f t="shared" si="68"/>
        <v>478.92</v>
      </c>
    </row>
    <row r="29" spans="1:97" ht="15.75" thickBot="1" x14ac:dyDescent="0.3">
      <c r="A29" s="91" t="s">
        <v>26</v>
      </c>
      <c r="B29" s="116">
        <v>105</v>
      </c>
      <c r="C29" s="90">
        <v>50</v>
      </c>
      <c r="D29" s="281">
        <f t="shared" si="0"/>
        <v>0</v>
      </c>
      <c r="E29" s="282">
        <f t="shared" si="1"/>
        <v>0</v>
      </c>
      <c r="F29" s="282">
        <f t="shared" si="2"/>
        <v>0</v>
      </c>
      <c r="G29" s="283">
        <f t="shared" si="3"/>
        <v>0</v>
      </c>
      <c r="H29" s="281">
        <f t="shared" si="4"/>
        <v>0</v>
      </c>
      <c r="I29" s="282">
        <f t="shared" si="5"/>
        <v>0</v>
      </c>
      <c r="J29" s="282">
        <f t="shared" si="6"/>
        <v>0</v>
      </c>
      <c r="K29" s="283">
        <f t="shared" si="7"/>
        <v>0</v>
      </c>
      <c r="L29" s="281">
        <f t="shared" si="8"/>
        <v>0</v>
      </c>
      <c r="M29" s="282">
        <f t="shared" si="9"/>
        <v>0</v>
      </c>
      <c r="N29" s="282">
        <f t="shared" si="10"/>
        <v>0.15</v>
      </c>
      <c r="O29" s="284">
        <f t="shared" si="11"/>
        <v>0</v>
      </c>
      <c r="P29" s="281">
        <f t="shared" si="69"/>
        <v>0</v>
      </c>
      <c r="Q29" s="282">
        <f t="shared" si="70"/>
        <v>0</v>
      </c>
      <c r="R29" s="282">
        <f t="shared" si="71"/>
        <v>0.15</v>
      </c>
      <c r="S29" s="283">
        <f t="shared" si="72"/>
        <v>0</v>
      </c>
      <c r="T29" s="281">
        <f t="shared" si="12"/>
        <v>0</v>
      </c>
      <c r="U29" s="282">
        <f t="shared" si="13"/>
        <v>0</v>
      </c>
      <c r="V29" s="282">
        <f t="shared" si="14"/>
        <v>0</v>
      </c>
      <c r="W29" s="283">
        <f t="shared" si="15"/>
        <v>0</v>
      </c>
      <c r="X29" s="281">
        <f t="shared" si="16"/>
        <v>0</v>
      </c>
      <c r="Y29" s="282">
        <f t="shared" si="17"/>
        <v>0</v>
      </c>
      <c r="Z29" s="282">
        <f t="shared" si="18"/>
        <v>0</v>
      </c>
      <c r="AA29" s="283">
        <f t="shared" si="19"/>
        <v>0</v>
      </c>
      <c r="AB29" s="281">
        <f t="shared" si="20"/>
        <v>0</v>
      </c>
      <c r="AC29" s="282">
        <f t="shared" si="21"/>
        <v>0</v>
      </c>
      <c r="AD29" s="282">
        <f t="shared" si="22"/>
        <v>0</v>
      </c>
      <c r="AE29" s="283">
        <f t="shared" si="23"/>
        <v>0</v>
      </c>
      <c r="AF29" s="281">
        <f t="shared" si="73"/>
        <v>0</v>
      </c>
      <c r="AG29" s="282">
        <f t="shared" si="74"/>
        <v>0</v>
      </c>
      <c r="AH29" s="282">
        <f t="shared" si="75"/>
        <v>0</v>
      </c>
      <c r="AI29" s="283">
        <f t="shared" si="76"/>
        <v>0</v>
      </c>
      <c r="AJ29" s="281">
        <f t="shared" si="24"/>
        <v>0</v>
      </c>
      <c r="AK29" s="282">
        <f t="shared" si="25"/>
        <v>0</v>
      </c>
      <c r="AL29" s="282">
        <f t="shared" si="26"/>
        <v>0</v>
      </c>
      <c r="AM29" s="283">
        <f t="shared" si="27"/>
        <v>0</v>
      </c>
      <c r="AN29" s="281">
        <f t="shared" si="28"/>
        <v>0</v>
      </c>
      <c r="AO29" s="282">
        <f t="shared" si="29"/>
        <v>0</v>
      </c>
      <c r="AP29" s="282">
        <f t="shared" si="30"/>
        <v>0</v>
      </c>
      <c r="AQ29" s="283">
        <f t="shared" si="31"/>
        <v>0</v>
      </c>
      <c r="AR29" s="281">
        <f t="shared" si="32"/>
        <v>3.05</v>
      </c>
      <c r="AS29" s="282">
        <f t="shared" si="33"/>
        <v>0</v>
      </c>
      <c r="AT29" s="282">
        <f t="shared" si="34"/>
        <v>0</v>
      </c>
      <c r="AU29" s="283"/>
      <c r="AV29" s="281">
        <f t="shared" si="77"/>
        <v>3.05</v>
      </c>
      <c r="AW29" s="282">
        <f t="shared" si="78"/>
        <v>0</v>
      </c>
      <c r="AX29" s="282">
        <f t="shared" si="79"/>
        <v>0</v>
      </c>
      <c r="AY29" s="283">
        <f t="shared" si="80"/>
        <v>0</v>
      </c>
      <c r="AZ29" s="281">
        <f t="shared" si="35"/>
        <v>0</v>
      </c>
      <c r="BA29" s="282">
        <f t="shared" si="36"/>
        <v>0</v>
      </c>
      <c r="BB29" s="282">
        <f t="shared" si="37"/>
        <v>0</v>
      </c>
      <c r="BC29" s="283"/>
      <c r="BD29" s="281">
        <f t="shared" si="38"/>
        <v>0</v>
      </c>
      <c r="BE29" s="282">
        <f t="shared" si="39"/>
        <v>0</v>
      </c>
      <c r="BF29" s="282">
        <f t="shared" si="40"/>
        <v>0</v>
      </c>
      <c r="BG29" s="283"/>
      <c r="BH29" s="281">
        <f t="shared" si="41"/>
        <v>0</v>
      </c>
      <c r="BI29" s="282">
        <f t="shared" si="42"/>
        <v>0</v>
      </c>
      <c r="BJ29" s="282">
        <f t="shared" si="43"/>
        <v>0</v>
      </c>
      <c r="BK29" s="283"/>
      <c r="BL29" s="281">
        <f t="shared" si="81"/>
        <v>0</v>
      </c>
      <c r="BM29" s="282">
        <f t="shared" si="82"/>
        <v>0</v>
      </c>
      <c r="BN29" s="282">
        <f t="shared" si="83"/>
        <v>0</v>
      </c>
      <c r="BO29" s="283">
        <f t="shared" si="84"/>
        <v>0</v>
      </c>
      <c r="BQ29" s="281">
        <f t="shared" si="44"/>
        <v>0</v>
      </c>
      <c r="BR29" s="282">
        <f t="shared" si="45"/>
        <v>0.15</v>
      </c>
      <c r="BS29" s="283">
        <f t="shared" si="46"/>
        <v>-0.15</v>
      </c>
      <c r="BT29" s="281">
        <f t="shared" si="47"/>
        <v>0</v>
      </c>
      <c r="BU29" s="282">
        <f t="shared" si="48"/>
        <v>0</v>
      </c>
      <c r="BV29" s="283">
        <f t="shared" si="49"/>
        <v>0</v>
      </c>
      <c r="BW29" s="281">
        <f t="shared" si="50"/>
        <v>-3.05</v>
      </c>
      <c r="BX29" s="282">
        <f t="shared" si="51"/>
        <v>0</v>
      </c>
      <c r="BY29" s="283">
        <f t="shared" si="52"/>
        <v>0</v>
      </c>
      <c r="BZ29" s="281">
        <f t="shared" si="85"/>
        <v>0</v>
      </c>
      <c r="CA29" s="282">
        <f t="shared" si="86"/>
        <v>0</v>
      </c>
      <c r="CB29" s="283">
        <f t="shared" si="87"/>
        <v>0</v>
      </c>
      <c r="CD29" s="282">
        <f t="shared" si="53"/>
        <v>0</v>
      </c>
      <c r="CE29" s="282">
        <f t="shared" si="54"/>
        <v>0</v>
      </c>
      <c r="CF29" s="282">
        <f t="shared" si="55"/>
        <v>0.15</v>
      </c>
      <c r="CG29" s="282">
        <f t="shared" si="56"/>
        <v>0</v>
      </c>
      <c r="CH29" s="282">
        <f t="shared" si="57"/>
        <v>0</v>
      </c>
      <c r="CI29" s="282">
        <f t="shared" si="58"/>
        <v>0</v>
      </c>
      <c r="CJ29" s="282">
        <f t="shared" si="59"/>
        <v>0.15</v>
      </c>
      <c r="CK29" s="282">
        <f t="shared" si="60"/>
        <v>0</v>
      </c>
      <c r="CL29" s="282">
        <f t="shared" si="61"/>
        <v>3.05</v>
      </c>
      <c r="CM29" s="282">
        <f t="shared" si="62"/>
        <v>0</v>
      </c>
      <c r="CN29" s="282">
        <f t="shared" si="63"/>
        <v>0.15</v>
      </c>
      <c r="CO29" s="282">
        <f t="shared" si="64"/>
        <v>0</v>
      </c>
      <c r="CP29" s="282">
        <f t="shared" si="65"/>
        <v>3.05</v>
      </c>
      <c r="CQ29" s="282">
        <f t="shared" si="66"/>
        <v>0</v>
      </c>
      <c r="CR29" s="282">
        <f t="shared" si="67"/>
        <v>0.15</v>
      </c>
      <c r="CS29" s="282">
        <f t="shared" si="68"/>
        <v>0</v>
      </c>
    </row>
    <row r="30" spans="1:97" ht="15.75" thickBot="1" x14ac:dyDescent="0.3">
      <c r="A30" s="123" t="s">
        <v>27</v>
      </c>
      <c r="B30" s="83">
        <v>114</v>
      </c>
      <c r="C30" s="84">
        <v>46</v>
      </c>
      <c r="D30" s="281">
        <f t="shared" si="0"/>
        <v>0</v>
      </c>
      <c r="E30" s="282">
        <f t="shared" si="1"/>
        <v>0</v>
      </c>
      <c r="F30" s="282">
        <f t="shared" si="2"/>
        <v>0</v>
      </c>
      <c r="G30" s="283">
        <f t="shared" si="3"/>
        <v>0</v>
      </c>
      <c r="H30" s="281">
        <f t="shared" si="4"/>
        <v>0</v>
      </c>
      <c r="I30" s="282">
        <f t="shared" si="5"/>
        <v>0</v>
      </c>
      <c r="J30" s="282">
        <f t="shared" si="6"/>
        <v>0</v>
      </c>
      <c r="K30" s="283">
        <f t="shared" si="7"/>
        <v>0</v>
      </c>
      <c r="L30" s="281">
        <f t="shared" si="8"/>
        <v>0</v>
      </c>
      <c r="M30" s="282">
        <f t="shared" si="9"/>
        <v>0</v>
      </c>
      <c r="N30" s="282">
        <f t="shared" si="10"/>
        <v>0.15</v>
      </c>
      <c r="O30" s="284">
        <f t="shared" si="11"/>
        <v>0</v>
      </c>
      <c r="P30" s="281">
        <f t="shared" si="69"/>
        <v>0</v>
      </c>
      <c r="Q30" s="282">
        <f t="shared" si="70"/>
        <v>0</v>
      </c>
      <c r="R30" s="282">
        <f t="shared" si="71"/>
        <v>0.15</v>
      </c>
      <c r="S30" s="283">
        <f t="shared" si="72"/>
        <v>0</v>
      </c>
      <c r="T30" s="281">
        <f t="shared" si="12"/>
        <v>0</v>
      </c>
      <c r="U30" s="282">
        <f t="shared" si="13"/>
        <v>0</v>
      </c>
      <c r="V30" s="282">
        <f t="shared" si="14"/>
        <v>0</v>
      </c>
      <c r="W30" s="283">
        <f t="shared" si="15"/>
        <v>0</v>
      </c>
      <c r="X30" s="281">
        <f t="shared" si="16"/>
        <v>0</v>
      </c>
      <c r="Y30" s="282">
        <f t="shared" si="17"/>
        <v>0</v>
      </c>
      <c r="Z30" s="282">
        <f t="shared" si="18"/>
        <v>0</v>
      </c>
      <c r="AA30" s="283">
        <f t="shared" si="19"/>
        <v>0</v>
      </c>
      <c r="AB30" s="281">
        <f t="shared" si="20"/>
        <v>0</v>
      </c>
      <c r="AC30" s="282">
        <f t="shared" si="21"/>
        <v>0</v>
      </c>
      <c r="AD30" s="282">
        <f t="shared" si="22"/>
        <v>0</v>
      </c>
      <c r="AE30" s="283">
        <f t="shared" si="23"/>
        <v>0</v>
      </c>
      <c r="AF30" s="281">
        <f t="shared" si="73"/>
        <v>0</v>
      </c>
      <c r="AG30" s="282">
        <f t="shared" si="74"/>
        <v>0</v>
      </c>
      <c r="AH30" s="282">
        <f t="shared" si="75"/>
        <v>0</v>
      </c>
      <c r="AI30" s="283">
        <f t="shared" si="76"/>
        <v>0</v>
      </c>
      <c r="AJ30" s="281">
        <f t="shared" si="24"/>
        <v>0</v>
      </c>
      <c r="AK30" s="282">
        <f t="shared" si="25"/>
        <v>0</v>
      </c>
      <c r="AL30" s="282">
        <f t="shared" si="26"/>
        <v>0</v>
      </c>
      <c r="AM30" s="283">
        <f t="shared" si="27"/>
        <v>0</v>
      </c>
      <c r="AN30" s="281">
        <f t="shared" si="28"/>
        <v>0</v>
      </c>
      <c r="AO30" s="282">
        <f t="shared" si="29"/>
        <v>0</v>
      </c>
      <c r="AP30" s="282">
        <f t="shared" si="30"/>
        <v>0</v>
      </c>
      <c r="AQ30" s="283">
        <f t="shared" si="31"/>
        <v>0</v>
      </c>
      <c r="AR30" s="281">
        <f t="shared" si="32"/>
        <v>0</v>
      </c>
      <c r="AS30" s="282">
        <f t="shared" si="33"/>
        <v>0</v>
      </c>
      <c r="AT30" s="282">
        <f t="shared" si="34"/>
        <v>0</v>
      </c>
      <c r="AU30" s="283"/>
      <c r="AV30" s="281">
        <f t="shared" si="77"/>
        <v>0</v>
      </c>
      <c r="AW30" s="282">
        <f t="shared" si="78"/>
        <v>0</v>
      </c>
      <c r="AX30" s="282">
        <f t="shared" si="79"/>
        <v>0</v>
      </c>
      <c r="AY30" s="283">
        <f t="shared" si="80"/>
        <v>0</v>
      </c>
      <c r="AZ30" s="281">
        <f t="shared" si="35"/>
        <v>0</v>
      </c>
      <c r="BA30" s="282">
        <f t="shared" si="36"/>
        <v>0</v>
      </c>
      <c r="BB30" s="282">
        <f t="shared" si="37"/>
        <v>0</v>
      </c>
      <c r="BC30" s="283"/>
      <c r="BD30" s="281">
        <f t="shared" si="38"/>
        <v>0</v>
      </c>
      <c r="BE30" s="282">
        <f t="shared" si="39"/>
        <v>0</v>
      </c>
      <c r="BF30" s="282">
        <f t="shared" si="40"/>
        <v>0</v>
      </c>
      <c r="BG30" s="283"/>
      <c r="BH30" s="281">
        <f t="shared" si="41"/>
        <v>0</v>
      </c>
      <c r="BI30" s="282">
        <f t="shared" si="42"/>
        <v>0</v>
      </c>
      <c r="BJ30" s="282">
        <f t="shared" si="43"/>
        <v>0</v>
      </c>
      <c r="BK30" s="283"/>
      <c r="BL30" s="281">
        <f t="shared" si="81"/>
        <v>0</v>
      </c>
      <c r="BM30" s="282">
        <f t="shared" si="82"/>
        <v>0</v>
      </c>
      <c r="BN30" s="282">
        <f t="shared" si="83"/>
        <v>0</v>
      </c>
      <c r="BO30" s="283">
        <f t="shared" si="84"/>
        <v>0</v>
      </c>
      <c r="BQ30" s="281">
        <f t="shared" si="44"/>
        <v>0</v>
      </c>
      <c r="BR30" s="282">
        <f t="shared" si="45"/>
        <v>0.15</v>
      </c>
      <c r="BS30" s="283">
        <f t="shared" si="46"/>
        <v>-0.15</v>
      </c>
      <c r="BT30" s="281">
        <f t="shared" si="47"/>
        <v>0</v>
      </c>
      <c r="BU30" s="282">
        <f t="shared" si="48"/>
        <v>0</v>
      </c>
      <c r="BV30" s="283">
        <f t="shared" si="49"/>
        <v>0</v>
      </c>
      <c r="BW30" s="281">
        <f t="shared" si="50"/>
        <v>0</v>
      </c>
      <c r="BX30" s="282">
        <f t="shared" si="51"/>
        <v>0</v>
      </c>
      <c r="BY30" s="283">
        <f t="shared" si="52"/>
        <v>0</v>
      </c>
      <c r="BZ30" s="281">
        <f t="shared" si="85"/>
        <v>0</v>
      </c>
      <c r="CA30" s="282">
        <f t="shared" si="86"/>
        <v>0</v>
      </c>
      <c r="CB30" s="283">
        <f t="shared" si="87"/>
        <v>0</v>
      </c>
      <c r="CD30" s="282">
        <f t="shared" si="53"/>
        <v>0</v>
      </c>
      <c r="CE30" s="282">
        <f t="shared" si="54"/>
        <v>0</v>
      </c>
      <c r="CF30" s="282">
        <f t="shared" si="55"/>
        <v>0.15</v>
      </c>
      <c r="CG30" s="282">
        <f t="shared" si="56"/>
        <v>0</v>
      </c>
      <c r="CH30" s="282">
        <f t="shared" si="57"/>
        <v>0</v>
      </c>
      <c r="CI30" s="282">
        <f t="shared" si="58"/>
        <v>0</v>
      </c>
      <c r="CJ30" s="282">
        <f t="shared" si="59"/>
        <v>0.15</v>
      </c>
      <c r="CK30" s="282">
        <f t="shared" si="60"/>
        <v>0</v>
      </c>
      <c r="CL30" s="282">
        <f t="shared" si="61"/>
        <v>0</v>
      </c>
      <c r="CM30" s="282">
        <f t="shared" si="62"/>
        <v>0</v>
      </c>
      <c r="CN30" s="282">
        <f t="shared" si="63"/>
        <v>0.15</v>
      </c>
      <c r="CO30" s="282">
        <f t="shared" si="64"/>
        <v>0</v>
      </c>
      <c r="CP30" s="282">
        <f t="shared" si="65"/>
        <v>0</v>
      </c>
      <c r="CQ30" s="282">
        <f t="shared" si="66"/>
        <v>0</v>
      </c>
      <c r="CR30" s="282">
        <f t="shared" si="67"/>
        <v>0.15</v>
      </c>
      <c r="CS30" s="282">
        <f t="shared" si="68"/>
        <v>0</v>
      </c>
    </row>
    <row r="31" spans="1:97" x14ac:dyDescent="0.25">
      <c r="A31" s="520" t="s">
        <v>28</v>
      </c>
      <c r="B31" s="23">
        <v>25</v>
      </c>
      <c r="C31" s="24">
        <v>38.22</v>
      </c>
      <c r="D31" s="281">
        <f t="shared" si="0"/>
        <v>0</v>
      </c>
      <c r="E31" s="282">
        <f t="shared" si="1"/>
        <v>1.42</v>
      </c>
      <c r="F31" s="282">
        <f t="shared" si="2"/>
        <v>1.02</v>
      </c>
      <c r="G31" s="283">
        <f t="shared" si="3"/>
        <v>18.25</v>
      </c>
      <c r="H31" s="281">
        <f t="shared" si="4"/>
        <v>0</v>
      </c>
      <c r="I31" s="282">
        <f t="shared" si="5"/>
        <v>0.37</v>
      </c>
      <c r="J31" s="282">
        <f t="shared" si="6"/>
        <v>1.02</v>
      </c>
      <c r="K31" s="283">
        <f t="shared" si="7"/>
        <v>21.46</v>
      </c>
      <c r="L31" s="281">
        <f t="shared" si="8"/>
        <v>0</v>
      </c>
      <c r="M31" s="282">
        <f t="shared" si="9"/>
        <v>0.36</v>
      </c>
      <c r="N31" s="282">
        <f t="shared" si="10"/>
        <v>2.2800000000000002</v>
      </c>
      <c r="O31" s="284">
        <f t="shared" si="11"/>
        <v>18.98</v>
      </c>
      <c r="P31" s="281">
        <f t="shared" si="69"/>
        <v>0</v>
      </c>
      <c r="Q31" s="282">
        <f t="shared" si="70"/>
        <v>2.15</v>
      </c>
      <c r="R31" s="282">
        <f t="shared" si="71"/>
        <v>4.32</v>
      </c>
      <c r="S31" s="283">
        <f t="shared" si="72"/>
        <v>58.69</v>
      </c>
      <c r="T31" s="281">
        <f t="shared" si="12"/>
        <v>0</v>
      </c>
      <c r="U31" s="282">
        <f t="shared" si="13"/>
        <v>1.26</v>
      </c>
      <c r="V31" s="282">
        <f t="shared" si="14"/>
        <v>3.4299999999999997</v>
      </c>
      <c r="W31" s="283">
        <f t="shared" si="15"/>
        <v>28.92</v>
      </c>
      <c r="X31" s="281">
        <f t="shared" si="16"/>
        <v>0</v>
      </c>
      <c r="Y31" s="282">
        <f t="shared" si="17"/>
        <v>2.7600000000000002</v>
      </c>
      <c r="Z31" s="282">
        <f t="shared" si="18"/>
        <v>9.34</v>
      </c>
      <c r="AA31" s="283">
        <f t="shared" si="19"/>
        <v>43.78</v>
      </c>
      <c r="AB31" s="281">
        <f t="shared" si="20"/>
        <v>0</v>
      </c>
      <c r="AC31" s="282">
        <f t="shared" si="21"/>
        <v>0.92</v>
      </c>
      <c r="AD31" s="282">
        <f t="shared" si="22"/>
        <v>12.17</v>
      </c>
      <c r="AE31" s="283">
        <f t="shared" si="23"/>
        <v>24.43</v>
      </c>
      <c r="AF31" s="281">
        <f t="shared" si="73"/>
        <v>0</v>
      </c>
      <c r="AG31" s="282">
        <f t="shared" si="74"/>
        <v>4.9400000000000004</v>
      </c>
      <c r="AH31" s="282">
        <f t="shared" si="75"/>
        <v>24.939999999999998</v>
      </c>
      <c r="AI31" s="283">
        <f t="shared" si="76"/>
        <v>97.13</v>
      </c>
      <c r="AJ31" s="281">
        <f t="shared" si="24"/>
        <v>0</v>
      </c>
      <c r="AK31" s="282">
        <f t="shared" si="25"/>
        <v>1.19</v>
      </c>
      <c r="AL31" s="282">
        <f t="shared" si="26"/>
        <v>8.1</v>
      </c>
      <c r="AM31" s="283">
        <f t="shared" si="27"/>
        <v>23.89</v>
      </c>
      <c r="AN31" s="281">
        <f t="shared" si="28"/>
        <v>0.28999999999999998</v>
      </c>
      <c r="AO31" s="282">
        <f t="shared" si="29"/>
        <v>2.16</v>
      </c>
      <c r="AP31" s="282">
        <f t="shared" si="30"/>
        <v>10.59</v>
      </c>
      <c r="AQ31" s="283">
        <f t="shared" si="31"/>
        <v>30.08</v>
      </c>
      <c r="AR31" s="281">
        <f t="shared" si="32"/>
        <v>0.69</v>
      </c>
      <c r="AS31" s="282">
        <f t="shared" si="33"/>
        <v>0.71</v>
      </c>
      <c r="AT31" s="282">
        <f t="shared" si="34"/>
        <v>14.830000000000002</v>
      </c>
      <c r="AU31" s="283"/>
      <c r="AV31" s="281">
        <f t="shared" si="77"/>
        <v>0.98</v>
      </c>
      <c r="AW31" s="282">
        <f t="shared" si="78"/>
        <v>4.0600000000000005</v>
      </c>
      <c r="AX31" s="282">
        <f t="shared" si="79"/>
        <v>33.519999999999996</v>
      </c>
      <c r="AY31" s="283">
        <f t="shared" si="80"/>
        <v>53.97</v>
      </c>
      <c r="AZ31" s="281">
        <f t="shared" si="35"/>
        <v>0.4</v>
      </c>
      <c r="BA31" s="282">
        <f t="shared" si="36"/>
        <v>1.4</v>
      </c>
      <c r="BB31" s="282">
        <f t="shared" si="37"/>
        <v>13.21</v>
      </c>
      <c r="BC31" s="283"/>
      <c r="BD31" s="281">
        <f t="shared" si="38"/>
        <v>0.71</v>
      </c>
      <c r="BE31" s="282">
        <f t="shared" si="39"/>
        <v>1.57</v>
      </c>
      <c r="BF31" s="282">
        <f t="shared" si="40"/>
        <v>24.810000000000002</v>
      </c>
      <c r="BG31" s="283"/>
      <c r="BH31" s="281">
        <f t="shared" si="41"/>
        <v>0.99</v>
      </c>
      <c r="BI31" s="282">
        <f t="shared" si="42"/>
        <v>1.03</v>
      </c>
      <c r="BJ31" s="282">
        <f t="shared" si="43"/>
        <v>9.11</v>
      </c>
      <c r="BK31" s="283"/>
      <c r="BL31" s="281">
        <f t="shared" si="81"/>
        <v>2.0999999999999996</v>
      </c>
      <c r="BM31" s="282">
        <f t="shared" si="82"/>
        <v>4</v>
      </c>
      <c r="BN31" s="282">
        <f t="shared" si="83"/>
        <v>47.13</v>
      </c>
      <c r="BO31" s="283">
        <f t="shared" si="84"/>
        <v>0</v>
      </c>
      <c r="BQ31" s="281">
        <f t="shared" si="44"/>
        <v>2.15</v>
      </c>
      <c r="BR31" s="282">
        <f t="shared" si="45"/>
        <v>2.1700000000000004</v>
      </c>
      <c r="BS31" s="283">
        <f t="shared" si="46"/>
        <v>54.37</v>
      </c>
      <c r="BT31" s="281">
        <f t="shared" si="47"/>
        <v>4.9400000000000004</v>
      </c>
      <c r="BU31" s="282">
        <f t="shared" si="48"/>
        <v>19.999999999999996</v>
      </c>
      <c r="BV31" s="283">
        <f t="shared" si="49"/>
        <v>72.19</v>
      </c>
      <c r="BW31" s="281">
        <f t="shared" si="50"/>
        <v>3.0800000000000005</v>
      </c>
      <c r="BX31" s="282">
        <f t="shared" si="51"/>
        <v>29.459999999999994</v>
      </c>
      <c r="BY31" s="283">
        <f t="shared" si="52"/>
        <v>20.450000000000003</v>
      </c>
      <c r="BZ31" s="281">
        <f t="shared" si="85"/>
        <v>1.9000000000000004</v>
      </c>
      <c r="CA31" s="282">
        <f t="shared" si="86"/>
        <v>43.13</v>
      </c>
      <c r="CB31" s="283">
        <f t="shared" si="87"/>
        <v>-47.13</v>
      </c>
      <c r="CD31" s="282">
        <f t="shared" si="53"/>
        <v>0</v>
      </c>
      <c r="CE31" s="282">
        <f t="shared" si="54"/>
        <v>2.15</v>
      </c>
      <c r="CF31" s="282">
        <f t="shared" si="55"/>
        <v>4.32</v>
      </c>
      <c r="CG31" s="282">
        <f t="shared" si="56"/>
        <v>58.69</v>
      </c>
      <c r="CH31" s="282">
        <f t="shared" si="57"/>
        <v>0</v>
      </c>
      <c r="CI31" s="282">
        <f t="shared" si="58"/>
        <v>7.09</v>
      </c>
      <c r="CJ31" s="282">
        <f t="shared" si="59"/>
        <v>29.259999999999998</v>
      </c>
      <c r="CK31" s="282">
        <f t="shared" si="60"/>
        <v>155.82</v>
      </c>
      <c r="CL31" s="282">
        <f t="shared" si="61"/>
        <v>0.98</v>
      </c>
      <c r="CM31" s="282">
        <f t="shared" si="62"/>
        <v>11.149999999999999</v>
      </c>
      <c r="CN31" s="282">
        <f t="shared" si="63"/>
        <v>62.78</v>
      </c>
      <c r="CO31" s="282">
        <f t="shared" si="64"/>
        <v>209.78999999999996</v>
      </c>
      <c r="CP31" s="282">
        <f t="shared" si="65"/>
        <v>3.08</v>
      </c>
      <c r="CQ31" s="282">
        <f t="shared" si="66"/>
        <v>15.149999999999999</v>
      </c>
      <c r="CR31" s="282">
        <f t="shared" si="67"/>
        <v>109.91000000000001</v>
      </c>
      <c r="CS31" s="282">
        <f t="shared" si="68"/>
        <v>209.78999999999996</v>
      </c>
    </row>
    <row r="32" spans="1:97" x14ac:dyDescent="0.25">
      <c r="A32" s="521"/>
      <c r="B32" s="55" t="s">
        <v>29</v>
      </c>
      <c r="C32" s="134">
        <v>22.72</v>
      </c>
      <c r="D32" s="281">
        <f t="shared" si="0"/>
        <v>1.03</v>
      </c>
      <c r="E32" s="282">
        <f t="shared" si="1"/>
        <v>4.6099999999999994</v>
      </c>
      <c r="F32" s="282">
        <f t="shared" si="2"/>
        <v>5.78</v>
      </c>
      <c r="G32" s="283">
        <f t="shared" si="3"/>
        <v>18.600000000000001</v>
      </c>
      <c r="H32" s="281">
        <f t="shared" si="4"/>
        <v>0.5</v>
      </c>
      <c r="I32" s="282">
        <f t="shared" si="5"/>
        <v>1.23</v>
      </c>
      <c r="J32" s="282">
        <f t="shared" si="6"/>
        <v>4.8100000000000005</v>
      </c>
      <c r="K32" s="283">
        <f t="shared" si="7"/>
        <v>10.9</v>
      </c>
      <c r="L32" s="281">
        <f t="shared" si="8"/>
        <v>0</v>
      </c>
      <c r="M32" s="282">
        <f t="shared" si="9"/>
        <v>2</v>
      </c>
      <c r="N32" s="282">
        <f t="shared" si="10"/>
        <v>6.07</v>
      </c>
      <c r="O32" s="284">
        <f t="shared" si="11"/>
        <v>23.84</v>
      </c>
      <c r="P32" s="281">
        <f t="shared" si="69"/>
        <v>1.53</v>
      </c>
      <c r="Q32" s="282">
        <f t="shared" si="70"/>
        <v>7.84</v>
      </c>
      <c r="R32" s="282">
        <f t="shared" si="71"/>
        <v>16.66</v>
      </c>
      <c r="S32" s="283">
        <f t="shared" si="72"/>
        <v>53.34</v>
      </c>
      <c r="T32" s="281">
        <f t="shared" si="12"/>
        <v>0</v>
      </c>
      <c r="U32" s="282">
        <f t="shared" si="13"/>
        <v>2.17</v>
      </c>
      <c r="V32" s="282">
        <f t="shared" si="14"/>
        <v>9.06</v>
      </c>
      <c r="W32" s="283">
        <f t="shared" si="15"/>
        <v>19.61</v>
      </c>
      <c r="X32" s="281">
        <f t="shared" si="16"/>
        <v>1.77</v>
      </c>
      <c r="Y32" s="282">
        <f t="shared" si="17"/>
        <v>3.39</v>
      </c>
      <c r="Z32" s="282">
        <f t="shared" si="18"/>
        <v>15.52</v>
      </c>
      <c r="AA32" s="283">
        <f t="shared" si="19"/>
        <v>20.61</v>
      </c>
      <c r="AB32" s="281">
        <f t="shared" si="20"/>
        <v>0.7</v>
      </c>
      <c r="AC32" s="282">
        <f t="shared" si="21"/>
        <v>2.4900000000000002</v>
      </c>
      <c r="AD32" s="282">
        <f t="shared" si="22"/>
        <v>14.17</v>
      </c>
      <c r="AE32" s="283">
        <f t="shared" si="23"/>
        <v>24.740000000000002</v>
      </c>
      <c r="AF32" s="281">
        <f t="shared" si="73"/>
        <v>2.4699999999999998</v>
      </c>
      <c r="AG32" s="282">
        <f t="shared" si="74"/>
        <v>8.0500000000000007</v>
      </c>
      <c r="AH32" s="282">
        <f t="shared" si="75"/>
        <v>38.75</v>
      </c>
      <c r="AI32" s="283">
        <f t="shared" si="76"/>
        <v>64.960000000000008</v>
      </c>
      <c r="AJ32" s="281">
        <f t="shared" si="24"/>
        <v>0.97</v>
      </c>
      <c r="AK32" s="282">
        <f t="shared" si="25"/>
        <v>4.03</v>
      </c>
      <c r="AL32" s="282">
        <f t="shared" si="26"/>
        <v>9.67</v>
      </c>
      <c r="AM32" s="283">
        <f t="shared" si="27"/>
        <v>17.809999999999999</v>
      </c>
      <c r="AN32" s="281">
        <f t="shared" si="28"/>
        <v>1.75</v>
      </c>
      <c r="AO32" s="282">
        <f t="shared" si="29"/>
        <v>3.1</v>
      </c>
      <c r="AP32" s="282">
        <f t="shared" si="30"/>
        <v>21.14</v>
      </c>
      <c r="AQ32" s="283">
        <f t="shared" si="31"/>
        <v>24.36</v>
      </c>
      <c r="AR32" s="281">
        <f t="shared" si="32"/>
        <v>2</v>
      </c>
      <c r="AS32" s="282">
        <f t="shared" si="33"/>
        <v>4.79</v>
      </c>
      <c r="AT32" s="282">
        <f t="shared" si="34"/>
        <v>20.100000000000001</v>
      </c>
      <c r="AU32" s="283"/>
      <c r="AV32" s="281">
        <f t="shared" si="77"/>
        <v>4.72</v>
      </c>
      <c r="AW32" s="282">
        <f t="shared" si="78"/>
        <v>11.920000000000002</v>
      </c>
      <c r="AX32" s="282">
        <f t="shared" si="79"/>
        <v>50.910000000000004</v>
      </c>
      <c r="AY32" s="283">
        <f t="shared" si="80"/>
        <v>42.17</v>
      </c>
      <c r="AZ32" s="281">
        <f t="shared" si="35"/>
        <v>2</v>
      </c>
      <c r="BA32" s="282">
        <f t="shared" si="36"/>
        <v>7.67</v>
      </c>
      <c r="BB32" s="282">
        <f t="shared" si="37"/>
        <v>16.68</v>
      </c>
      <c r="BC32" s="283"/>
      <c r="BD32" s="281">
        <f t="shared" si="38"/>
        <v>3.21</v>
      </c>
      <c r="BE32" s="282">
        <f t="shared" si="39"/>
        <v>8.4699999999999989</v>
      </c>
      <c r="BF32" s="282">
        <f t="shared" si="40"/>
        <v>19.809999999999999</v>
      </c>
      <c r="BG32" s="283"/>
      <c r="BH32" s="281">
        <f t="shared" si="41"/>
        <v>1.5</v>
      </c>
      <c r="BI32" s="282">
        <f t="shared" si="42"/>
        <v>6.1899999999999995</v>
      </c>
      <c r="BJ32" s="282">
        <f t="shared" si="43"/>
        <v>22.05</v>
      </c>
      <c r="BK32" s="283"/>
      <c r="BL32" s="281">
        <f t="shared" si="81"/>
        <v>6.71</v>
      </c>
      <c r="BM32" s="282">
        <f t="shared" si="82"/>
        <v>22.33</v>
      </c>
      <c r="BN32" s="282">
        <f t="shared" si="83"/>
        <v>58.539999999999992</v>
      </c>
      <c r="BO32" s="283">
        <f t="shared" si="84"/>
        <v>0</v>
      </c>
      <c r="BQ32" s="281">
        <f t="shared" si="44"/>
        <v>6.31</v>
      </c>
      <c r="BR32" s="282">
        <f t="shared" si="45"/>
        <v>8.82</v>
      </c>
      <c r="BS32" s="283">
        <f t="shared" si="46"/>
        <v>36.680000000000007</v>
      </c>
      <c r="BT32" s="281">
        <f t="shared" si="47"/>
        <v>5.580000000000001</v>
      </c>
      <c r="BU32" s="282">
        <f t="shared" si="48"/>
        <v>30.7</v>
      </c>
      <c r="BV32" s="283">
        <f t="shared" si="49"/>
        <v>26.210000000000008</v>
      </c>
      <c r="BW32" s="281">
        <f t="shared" si="50"/>
        <v>7.200000000000002</v>
      </c>
      <c r="BX32" s="282">
        <f t="shared" si="51"/>
        <v>38.99</v>
      </c>
      <c r="BY32" s="283">
        <f t="shared" si="52"/>
        <v>-8.740000000000002</v>
      </c>
      <c r="BZ32" s="281">
        <f t="shared" si="85"/>
        <v>15.619999999999997</v>
      </c>
      <c r="CA32" s="282">
        <f t="shared" si="86"/>
        <v>36.209999999999994</v>
      </c>
      <c r="CB32" s="283">
        <f t="shared" si="87"/>
        <v>-58.539999999999992</v>
      </c>
      <c r="CD32" s="282">
        <f t="shared" si="53"/>
        <v>1.53</v>
      </c>
      <c r="CE32" s="282">
        <f t="shared" si="54"/>
        <v>7.84</v>
      </c>
      <c r="CF32" s="282">
        <f t="shared" si="55"/>
        <v>16.66</v>
      </c>
      <c r="CG32" s="282">
        <f t="shared" si="56"/>
        <v>53.34</v>
      </c>
      <c r="CH32" s="282">
        <f t="shared" si="57"/>
        <v>4</v>
      </c>
      <c r="CI32" s="282">
        <f t="shared" si="58"/>
        <v>15.89</v>
      </c>
      <c r="CJ32" s="282">
        <f t="shared" si="59"/>
        <v>55.41</v>
      </c>
      <c r="CK32" s="282">
        <f t="shared" si="60"/>
        <v>118.30000000000001</v>
      </c>
      <c r="CL32" s="282">
        <f t="shared" si="61"/>
        <v>8.7199999999999989</v>
      </c>
      <c r="CM32" s="282">
        <f t="shared" si="62"/>
        <v>27.810000000000002</v>
      </c>
      <c r="CN32" s="282">
        <f t="shared" si="63"/>
        <v>106.32</v>
      </c>
      <c r="CO32" s="282">
        <f t="shared" si="64"/>
        <v>160.47000000000003</v>
      </c>
      <c r="CP32" s="282">
        <f t="shared" si="65"/>
        <v>15.43</v>
      </c>
      <c r="CQ32" s="282">
        <f t="shared" si="66"/>
        <v>50.14</v>
      </c>
      <c r="CR32" s="282">
        <f t="shared" si="67"/>
        <v>164.86</v>
      </c>
      <c r="CS32" s="282">
        <f t="shared" si="68"/>
        <v>160.47000000000003</v>
      </c>
    </row>
    <row r="33" spans="1:97" x14ac:dyDescent="0.25">
      <c r="A33" s="521"/>
      <c r="B33" s="55" t="s">
        <v>30</v>
      </c>
      <c r="C33" s="134"/>
      <c r="D33" s="281">
        <f t="shared" si="0"/>
        <v>0</v>
      </c>
      <c r="E33" s="282">
        <f t="shared" si="1"/>
        <v>0</v>
      </c>
      <c r="F33" s="282">
        <f t="shared" si="2"/>
        <v>0</v>
      </c>
      <c r="G33" s="283">
        <f t="shared" si="3"/>
        <v>0</v>
      </c>
      <c r="H33" s="281">
        <f t="shared" si="4"/>
        <v>0</v>
      </c>
      <c r="I33" s="282">
        <f t="shared" si="5"/>
        <v>0</v>
      </c>
      <c r="J33" s="282">
        <f t="shared" si="6"/>
        <v>0</v>
      </c>
      <c r="K33" s="283">
        <f t="shared" si="7"/>
        <v>0</v>
      </c>
      <c r="L33" s="281">
        <f t="shared" si="8"/>
        <v>0</v>
      </c>
      <c r="M33" s="282">
        <f t="shared" si="9"/>
        <v>0</v>
      </c>
      <c r="N33" s="282">
        <f t="shared" si="10"/>
        <v>0</v>
      </c>
      <c r="O33" s="284">
        <f t="shared" si="11"/>
        <v>0</v>
      </c>
      <c r="P33" s="281">
        <f t="shared" si="69"/>
        <v>0</v>
      </c>
      <c r="Q33" s="282">
        <f t="shared" si="70"/>
        <v>0</v>
      </c>
      <c r="R33" s="282">
        <f t="shared" si="71"/>
        <v>0</v>
      </c>
      <c r="S33" s="283">
        <f t="shared" si="72"/>
        <v>0</v>
      </c>
      <c r="T33" s="281">
        <f t="shared" si="12"/>
        <v>0</v>
      </c>
      <c r="U33" s="282">
        <f t="shared" si="13"/>
        <v>0</v>
      </c>
      <c r="V33" s="282">
        <f t="shared" si="14"/>
        <v>0</v>
      </c>
      <c r="W33" s="283">
        <f t="shared" si="15"/>
        <v>0</v>
      </c>
      <c r="X33" s="281">
        <f t="shared" si="16"/>
        <v>0</v>
      </c>
      <c r="Y33" s="282">
        <f t="shared" si="17"/>
        <v>0</v>
      </c>
      <c r="Z33" s="282">
        <f t="shared" si="18"/>
        <v>0</v>
      </c>
      <c r="AA33" s="283">
        <f t="shared" si="19"/>
        <v>0</v>
      </c>
      <c r="AB33" s="281">
        <f t="shared" si="20"/>
        <v>0</v>
      </c>
      <c r="AC33" s="282">
        <f t="shared" si="21"/>
        <v>0</v>
      </c>
      <c r="AD33" s="282">
        <f t="shared" si="22"/>
        <v>0</v>
      </c>
      <c r="AE33" s="283">
        <f t="shared" si="23"/>
        <v>0</v>
      </c>
      <c r="AF33" s="281">
        <f t="shared" si="73"/>
        <v>0</v>
      </c>
      <c r="AG33" s="282">
        <f t="shared" si="74"/>
        <v>0</v>
      </c>
      <c r="AH33" s="282">
        <f t="shared" si="75"/>
        <v>0</v>
      </c>
      <c r="AI33" s="283">
        <f t="shared" si="76"/>
        <v>0</v>
      </c>
      <c r="AJ33" s="281">
        <f t="shared" si="24"/>
        <v>0</v>
      </c>
      <c r="AK33" s="282">
        <f t="shared" si="25"/>
        <v>0</v>
      </c>
      <c r="AL33" s="282">
        <f t="shared" si="26"/>
        <v>0</v>
      </c>
      <c r="AM33" s="283">
        <f t="shared" si="27"/>
        <v>0</v>
      </c>
      <c r="AN33" s="281">
        <f t="shared" si="28"/>
        <v>0</v>
      </c>
      <c r="AO33" s="282">
        <f t="shared" si="29"/>
        <v>0</v>
      </c>
      <c r="AP33" s="282">
        <f t="shared" si="30"/>
        <v>0</v>
      </c>
      <c r="AQ33" s="283">
        <f t="shared" si="31"/>
        <v>0</v>
      </c>
      <c r="AR33" s="281">
        <f t="shared" si="32"/>
        <v>0</v>
      </c>
      <c r="AS33" s="282">
        <f t="shared" si="33"/>
        <v>0</v>
      </c>
      <c r="AT33" s="282">
        <f t="shared" si="34"/>
        <v>0</v>
      </c>
      <c r="AU33" s="283"/>
      <c r="AV33" s="281">
        <f t="shared" si="77"/>
        <v>0</v>
      </c>
      <c r="AW33" s="282">
        <f t="shared" si="78"/>
        <v>0</v>
      </c>
      <c r="AX33" s="282">
        <f t="shared" si="79"/>
        <v>0</v>
      </c>
      <c r="AY33" s="283">
        <f t="shared" si="80"/>
        <v>0</v>
      </c>
      <c r="AZ33" s="281">
        <f t="shared" si="35"/>
        <v>0</v>
      </c>
      <c r="BA33" s="282">
        <f t="shared" si="36"/>
        <v>0</v>
      </c>
      <c r="BB33" s="282">
        <f t="shared" si="37"/>
        <v>0</v>
      </c>
      <c r="BC33" s="283"/>
      <c r="BD33" s="281">
        <f t="shared" si="38"/>
        <v>0</v>
      </c>
      <c r="BE33" s="282">
        <f t="shared" si="39"/>
        <v>0</v>
      </c>
      <c r="BF33" s="282">
        <f t="shared" si="40"/>
        <v>0</v>
      </c>
      <c r="BG33" s="283"/>
      <c r="BH33" s="281">
        <f t="shared" si="41"/>
        <v>0</v>
      </c>
      <c r="BI33" s="282">
        <f t="shared" si="42"/>
        <v>0</v>
      </c>
      <c r="BJ33" s="282">
        <f t="shared" si="43"/>
        <v>0</v>
      </c>
      <c r="BK33" s="283"/>
      <c r="BL33" s="281">
        <f t="shared" si="81"/>
        <v>0</v>
      </c>
      <c r="BM33" s="282">
        <f t="shared" si="82"/>
        <v>0</v>
      </c>
      <c r="BN33" s="282">
        <f t="shared" si="83"/>
        <v>0</v>
      </c>
      <c r="BO33" s="283">
        <f t="shared" si="84"/>
        <v>0</v>
      </c>
      <c r="BQ33" s="281">
        <f t="shared" si="44"/>
        <v>0</v>
      </c>
      <c r="BR33" s="282">
        <f t="shared" si="45"/>
        <v>0</v>
      </c>
      <c r="BS33" s="283">
        <f t="shared" si="46"/>
        <v>0</v>
      </c>
      <c r="BT33" s="281">
        <f t="shared" si="47"/>
        <v>0</v>
      </c>
      <c r="BU33" s="282">
        <f t="shared" si="48"/>
        <v>0</v>
      </c>
      <c r="BV33" s="283">
        <f t="shared" si="49"/>
        <v>0</v>
      </c>
      <c r="BW33" s="281">
        <f t="shared" si="50"/>
        <v>0</v>
      </c>
      <c r="BX33" s="282">
        <f t="shared" si="51"/>
        <v>0</v>
      </c>
      <c r="BY33" s="283">
        <f t="shared" si="52"/>
        <v>0</v>
      </c>
      <c r="BZ33" s="281">
        <f t="shared" si="85"/>
        <v>0</v>
      </c>
      <c r="CA33" s="282">
        <f t="shared" si="86"/>
        <v>0</v>
      </c>
      <c r="CB33" s="283">
        <f t="shared" si="87"/>
        <v>0</v>
      </c>
      <c r="CD33" s="282">
        <f t="shared" si="53"/>
        <v>0</v>
      </c>
      <c r="CE33" s="282">
        <f t="shared" si="54"/>
        <v>0</v>
      </c>
      <c r="CF33" s="282">
        <f t="shared" si="55"/>
        <v>0</v>
      </c>
      <c r="CG33" s="282">
        <f t="shared" si="56"/>
        <v>0</v>
      </c>
      <c r="CH33" s="282">
        <f t="shared" si="57"/>
        <v>0</v>
      </c>
      <c r="CI33" s="282">
        <f t="shared" si="58"/>
        <v>0</v>
      </c>
      <c r="CJ33" s="282">
        <f t="shared" si="59"/>
        <v>0</v>
      </c>
      <c r="CK33" s="282">
        <f t="shared" si="60"/>
        <v>0</v>
      </c>
      <c r="CL33" s="282">
        <f t="shared" si="61"/>
        <v>0</v>
      </c>
      <c r="CM33" s="282">
        <f t="shared" si="62"/>
        <v>0</v>
      </c>
      <c r="CN33" s="282">
        <f t="shared" si="63"/>
        <v>0</v>
      </c>
      <c r="CO33" s="282">
        <f t="shared" si="64"/>
        <v>0</v>
      </c>
      <c r="CP33" s="282">
        <f t="shared" si="65"/>
        <v>0</v>
      </c>
      <c r="CQ33" s="282">
        <f t="shared" si="66"/>
        <v>0</v>
      </c>
      <c r="CR33" s="282">
        <f t="shared" si="67"/>
        <v>0</v>
      </c>
      <c r="CS33" s="282">
        <f t="shared" si="68"/>
        <v>0</v>
      </c>
    </row>
    <row r="34" spans="1:97" x14ac:dyDescent="0.25">
      <c r="A34" s="521"/>
      <c r="B34" s="55">
        <v>27</v>
      </c>
      <c r="C34" s="134">
        <v>18.64</v>
      </c>
      <c r="D34" s="281">
        <f t="shared" si="0"/>
        <v>0.6</v>
      </c>
      <c r="E34" s="282">
        <f t="shared" si="1"/>
        <v>1.81</v>
      </c>
      <c r="F34" s="282">
        <f t="shared" si="2"/>
        <v>2.19</v>
      </c>
      <c r="G34" s="283">
        <f t="shared" si="3"/>
        <v>2.98</v>
      </c>
      <c r="H34" s="281">
        <f t="shared" si="4"/>
        <v>0.33</v>
      </c>
      <c r="I34" s="282">
        <f t="shared" si="5"/>
        <v>0.61</v>
      </c>
      <c r="J34" s="282">
        <f t="shared" si="6"/>
        <v>1.95</v>
      </c>
      <c r="K34" s="283">
        <f t="shared" si="7"/>
        <v>11.959999999999999</v>
      </c>
      <c r="L34" s="281">
        <f t="shared" si="8"/>
        <v>0</v>
      </c>
      <c r="M34" s="282">
        <f t="shared" si="9"/>
        <v>3.33</v>
      </c>
      <c r="N34" s="282">
        <f t="shared" si="10"/>
        <v>2.97</v>
      </c>
      <c r="O34" s="284">
        <f t="shared" si="11"/>
        <v>9.25</v>
      </c>
      <c r="P34" s="281">
        <f t="shared" si="69"/>
        <v>0.92999999999999994</v>
      </c>
      <c r="Q34" s="282">
        <f t="shared" si="70"/>
        <v>5.75</v>
      </c>
      <c r="R34" s="282">
        <f t="shared" si="71"/>
        <v>7.1099999999999994</v>
      </c>
      <c r="S34" s="283">
        <f t="shared" si="72"/>
        <v>24.189999999999998</v>
      </c>
      <c r="T34" s="281">
        <f t="shared" si="12"/>
        <v>0</v>
      </c>
      <c r="U34" s="282">
        <f t="shared" si="13"/>
        <v>1.27</v>
      </c>
      <c r="V34" s="282">
        <f t="shared" si="14"/>
        <v>7.46</v>
      </c>
      <c r="W34" s="283">
        <f t="shared" si="15"/>
        <v>17.259999999999998</v>
      </c>
      <c r="X34" s="281">
        <f t="shared" si="16"/>
        <v>1.48</v>
      </c>
      <c r="Y34" s="282">
        <f t="shared" si="17"/>
        <v>5.2299999999999995</v>
      </c>
      <c r="Z34" s="282">
        <f t="shared" si="18"/>
        <v>11.2</v>
      </c>
      <c r="AA34" s="283">
        <f t="shared" si="19"/>
        <v>14.31</v>
      </c>
      <c r="AB34" s="281">
        <f t="shared" si="20"/>
        <v>0.6</v>
      </c>
      <c r="AC34" s="282">
        <f t="shared" si="21"/>
        <v>2.19</v>
      </c>
      <c r="AD34" s="282">
        <f t="shared" si="22"/>
        <v>8.01</v>
      </c>
      <c r="AE34" s="283">
        <f t="shared" si="23"/>
        <v>13.73</v>
      </c>
      <c r="AF34" s="281">
        <f t="shared" si="73"/>
        <v>2.08</v>
      </c>
      <c r="AG34" s="282">
        <f t="shared" si="74"/>
        <v>8.69</v>
      </c>
      <c r="AH34" s="282">
        <f t="shared" si="75"/>
        <v>26.67</v>
      </c>
      <c r="AI34" s="283">
        <f t="shared" si="76"/>
        <v>45.3</v>
      </c>
      <c r="AJ34" s="281">
        <f t="shared" si="24"/>
        <v>0.78</v>
      </c>
      <c r="AK34" s="282">
        <f t="shared" si="25"/>
        <v>8.11</v>
      </c>
      <c r="AL34" s="282">
        <f t="shared" si="26"/>
        <v>13.530000000000001</v>
      </c>
      <c r="AM34" s="283">
        <f t="shared" si="27"/>
        <v>16.07</v>
      </c>
      <c r="AN34" s="281">
        <f t="shared" si="28"/>
        <v>1.35</v>
      </c>
      <c r="AO34" s="282">
        <f t="shared" si="29"/>
        <v>4.33</v>
      </c>
      <c r="AP34" s="282">
        <f t="shared" si="30"/>
        <v>7.8</v>
      </c>
      <c r="AQ34" s="283">
        <f t="shared" si="31"/>
        <v>25.27</v>
      </c>
      <c r="AR34" s="281">
        <f t="shared" si="32"/>
        <v>1</v>
      </c>
      <c r="AS34" s="282">
        <f t="shared" si="33"/>
        <v>2.41</v>
      </c>
      <c r="AT34" s="282">
        <f t="shared" si="34"/>
        <v>9.49</v>
      </c>
      <c r="AU34" s="283"/>
      <c r="AV34" s="281">
        <f t="shared" si="77"/>
        <v>3.13</v>
      </c>
      <c r="AW34" s="282">
        <f t="shared" si="78"/>
        <v>14.85</v>
      </c>
      <c r="AX34" s="282">
        <f t="shared" si="79"/>
        <v>30.82</v>
      </c>
      <c r="AY34" s="283">
        <f t="shared" si="80"/>
        <v>41.34</v>
      </c>
      <c r="AZ34" s="281">
        <f t="shared" si="35"/>
        <v>0.9</v>
      </c>
      <c r="BA34" s="282">
        <f t="shared" si="36"/>
        <v>3.62</v>
      </c>
      <c r="BB34" s="282">
        <f t="shared" si="37"/>
        <v>15.47</v>
      </c>
      <c r="BC34" s="283"/>
      <c r="BD34" s="281">
        <f t="shared" si="38"/>
        <v>1.21</v>
      </c>
      <c r="BE34" s="282">
        <f t="shared" si="39"/>
        <v>3.48</v>
      </c>
      <c r="BF34" s="282">
        <f t="shared" si="40"/>
        <v>15.31</v>
      </c>
      <c r="BG34" s="283"/>
      <c r="BH34" s="281">
        <f t="shared" si="41"/>
        <v>0.99</v>
      </c>
      <c r="BI34" s="282">
        <f t="shared" si="42"/>
        <v>2.0699999999999998</v>
      </c>
      <c r="BJ34" s="282">
        <f t="shared" si="43"/>
        <v>13.75</v>
      </c>
      <c r="BK34" s="283"/>
      <c r="BL34" s="281">
        <f t="shared" si="81"/>
        <v>3.0999999999999996</v>
      </c>
      <c r="BM34" s="282">
        <f t="shared" si="82"/>
        <v>9.17</v>
      </c>
      <c r="BN34" s="282">
        <f t="shared" si="83"/>
        <v>44.53</v>
      </c>
      <c r="BO34" s="283">
        <f t="shared" si="84"/>
        <v>0</v>
      </c>
      <c r="BQ34" s="281">
        <f t="shared" si="44"/>
        <v>4.82</v>
      </c>
      <c r="BR34" s="282">
        <f t="shared" si="45"/>
        <v>1.3599999999999994</v>
      </c>
      <c r="BS34" s="283">
        <f t="shared" si="46"/>
        <v>17.079999999999998</v>
      </c>
      <c r="BT34" s="281">
        <f t="shared" si="47"/>
        <v>6.6099999999999994</v>
      </c>
      <c r="BU34" s="282">
        <f t="shared" si="48"/>
        <v>17.980000000000004</v>
      </c>
      <c r="BV34" s="283">
        <f t="shared" si="49"/>
        <v>18.629999999999995</v>
      </c>
      <c r="BW34" s="281">
        <f t="shared" si="50"/>
        <v>11.719999999999999</v>
      </c>
      <c r="BX34" s="282">
        <f t="shared" si="51"/>
        <v>15.97</v>
      </c>
      <c r="BY34" s="283">
        <f t="shared" si="52"/>
        <v>10.520000000000003</v>
      </c>
      <c r="BZ34" s="281">
        <f t="shared" si="85"/>
        <v>6.07</v>
      </c>
      <c r="CA34" s="282">
        <f t="shared" si="86"/>
        <v>35.36</v>
      </c>
      <c r="CB34" s="283">
        <f t="shared" si="87"/>
        <v>-44.53</v>
      </c>
      <c r="CD34" s="282">
        <f t="shared" si="53"/>
        <v>0.92999999999999994</v>
      </c>
      <c r="CE34" s="282">
        <f t="shared" si="54"/>
        <v>5.75</v>
      </c>
      <c r="CF34" s="282">
        <f t="shared" si="55"/>
        <v>7.1099999999999994</v>
      </c>
      <c r="CG34" s="282">
        <f t="shared" si="56"/>
        <v>24.189999999999998</v>
      </c>
      <c r="CH34" s="282">
        <f t="shared" si="57"/>
        <v>3.0100000000000002</v>
      </c>
      <c r="CI34" s="282">
        <f t="shared" si="58"/>
        <v>14.44</v>
      </c>
      <c r="CJ34" s="282">
        <f t="shared" si="59"/>
        <v>33.78</v>
      </c>
      <c r="CK34" s="282">
        <f t="shared" si="60"/>
        <v>69.489999999999995</v>
      </c>
      <c r="CL34" s="282">
        <f t="shared" si="61"/>
        <v>6.1400000000000006</v>
      </c>
      <c r="CM34" s="282">
        <f t="shared" si="62"/>
        <v>29.289999999999996</v>
      </c>
      <c r="CN34" s="282">
        <f t="shared" si="63"/>
        <v>64.599999999999994</v>
      </c>
      <c r="CO34" s="282">
        <f t="shared" si="64"/>
        <v>110.83</v>
      </c>
      <c r="CP34" s="282">
        <f t="shared" si="65"/>
        <v>9.24</v>
      </c>
      <c r="CQ34" s="282">
        <f t="shared" si="66"/>
        <v>38.459999999999994</v>
      </c>
      <c r="CR34" s="282">
        <f t="shared" si="67"/>
        <v>109.13</v>
      </c>
      <c r="CS34" s="282">
        <f t="shared" si="68"/>
        <v>110.83</v>
      </c>
    </row>
    <row r="35" spans="1:97" x14ac:dyDescent="0.25">
      <c r="A35" s="521"/>
      <c r="B35" s="55">
        <v>28</v>
      </c>
      <c r="C35" s="134">
        <v>25.5</v>
      </c>
      <c r="D35" s="281">
        <f t="shared" si="0"/>
        <v>3.6100000000000003</v>
      </c>
      <c r="E35" s="282">
        <f t="shared" si="1"/>
        <v>6.37</v>
      </c>
      <c r="F35" s="282">
        <f t="shared" si="2"/>
        <v>17.89</v>
      </c>
      <c r="G35" s="283">
        <f t="shared" si="3"/>
        <v>26.79</v>
      </c>
      <c r="H35" s="281">
        <f t="shared" si="4"/>
        <v>4.03</v>
      </c>
      <c r="I35" s="282">
        <f t="shared" si="5"/>
        <v>8.07</v>
      </c>
      <c r="J35" s="282">
        <f t="shared" si="6"/>
        <v>15.809999999999999</v>
      </c>
      <c r="K35" s="283">
        <f t="shared" si="7"/>
        <v>16.37</v>
      </c>
      <c r="L35" s="281">
        <f t="shared" si="8"/>
        <v>1.1299999999999999</v>
      </c>
      <c r="M35" s="282">
        <f t="shared" si="9"/>
        <v>11.76</v>
      </c>
      <c r="N35" s="282">
        <f t="shared" si="10"/>
        <v>18.880000000000003</v>
      </c>
      <c r="O35" s="284">
        <f t="shared" si="11"/>
        <v>27.38</v>
      </c>
      <c r="P35" s="281">
        <f t="shared" si="69"/>
        <v>8.77</v>
      </c>
      <c r="Q35" s="282">
        <f t="shared" si="70"/>
        <v>26.200000000000003</v>
      </c>
      <c r="R35" s="282">
        <f t="shared" si="71"/>
        <v>52.580000000000005</v>
      </c>
      <c r="S35" s="283">
        <f t="shared" si="72"/>
        <v>70.539999999999992</v>
      </c>
      <c r="T35" s="281">
        <f t="shared" si="12"/>
        <v>5.29</v>
      </c>
      <c r="U35" s="282">
        <f t="shared" si="13"/>
        <v>10.65</v>
      </c>
      <c r="V35" s="282">
        <f t="shared" si="14"/>
        <v>20.740000000000002</v>
      </c>
      <c r="W35" s="283">
        <f t="shared" si="15"/>
        <v>26.42</v>
      </c>
      <c r="X35" s="281">
        <f t="shared" si="16"/>
        <v>10.54</v>
      </c>
      <c r="Y35" s="282">
        <f t="shared" si="17"/>
        <v>16.98</v>
      </c>
      <c r="Z35" s="282">
        <f t="shared" si="18"/>
        <v>20.47</v>
      </c>
      <c r="AA35" s="283">
        <f t="shared" si="19"/>
        <v>23.19</v>
      </c>
      <c r="AB35" s="281">
        <f t="shared" si="20"/>
        <v>15.27</v>
      </c>
      <c r="AC35" s="282">
        <f t="shared" si="21"/>
        <v>10.629999999999999</v>
      </c>
      <c r="AD35" s="282">
        <f t="shared" si="22"/>
        <v>23.61</v>
      </c>
      <c r="AE35" s="283">
        <f t="shared" si="23"/>
        <v>37.769999999999996</v>
      </c>
      <c r="AF35" s="281">
        <f t="shared" si="73"/>
        <v>31.099999999999998</v>
      </c>
      <c r="AG35" s="282">
        <f t="shared" si="74"/>
        <v>38.260000000000005</v>
      </c>
      <c r="AH35" s="282">
        <f t="shared" si="75"/>
        <v>64.819999999999993</v>
      </c>
      <c r="AI35" s="283">
        <f t="shared" si="76"/>
        <v>87.38</v>
      </c>
      <c r="AJ35" s="281">
        <f t="shared" si="24"/>
        <v>15.45</v>
      </c>
      <c r="AK35" s="282">
        <f t="shared" si="25"/>
        <v>12.780000000000001</v>
      </c>
      <c r="AL35" s="282">
        <f t="shared" si="26"/>
        <v>17.22</v>
      </c>
      <c r="AM35" s="283">
        <f t="shared" si="27"/>
        <v>26.97</v>
      </c>
      <c r="AN35" s="281">
        <f t="shared" si="28"/>
        <v>15.420000000000002</v>
      </c>
      <c r="AO35" s="282">
        <f t="shared" si="29"/>
        <v>15.89</v>
      </c>
      <c r="AP35" s="282">
        <f t="shared" si="30"/>
        <v>23.95</v>
      </c>
      <c r="AQ35" s="283">
        <f t="shared" si="31"/>
        <v>22.040000000000003</v>
      </c>
      <c r="AR35" s="281">
        <f t="shared" si="32"/>
        <v>13.77</v>
      </c>
      <c r="AS35" s="282">
        <f t="shared" si="33"/>
        <v>21.4</v>
      </c>
      <c r="AT35" s="282">
        <f t="shared" si="34"/>
        <v>23.700000000000003</v>
      </c>
      <c r="AU35" s="283"/>
      <c r="AV35" s="281">
        <f t="shared" si="77"/>
        <v>44.64</v>
      </c>
      <c r="AW35" s="282">
        <f t="shared" si="78"/>
        <v>50.07</v>
      </c>
      <c r="AX35" s="282">
        <f t="shared" si="79"/>
        <v>64.87</v>
      </c>
      <c r="AY35" s="283">
        <f t="shared" si="80"/>
        <v>49.010000000000005</v>
      </c>
      <c r="AZ35" s="281">
        <f t="shared" si="35"/>
        <v>18.03</v>
      </c>
      <c r="BA35" s="282">
        <f t="shared" si="36"/>
        <v>22.880000000000003</v>
      </c>
      <c r="BB35" s="282">
        <f t="shared" si="37"/>
        <v>24.700000000000003</v>
      </c>
      <c r="BC35" s="283"/>
      <c r="BD35" s="281">
        <f t="shared" si="38"/>
        <v>14.1</v>
      </c>
      <c r="BE35" s="282">
        <f t="shared" si="39"/>
        <v>17.14</v>
      </c>
      <c r="BF35" s="282">
        <f t="shared" si="40"/>
        <v>22.85</v>
      </c>
      <c r="BG35" s="283"/>
      <c r="BH35" s="281">
        <f t="shared" si="41"/>
        <v>23.28</v>
      </c>
      <c r="BI35" s="282">
        <f t="shared" si="42"/>
        <v>16.149999999999999</v>
      </c>
      <c r="BJ35" s="282">
        <f t="shared" si="43"/>
        <v>19.61</v>
      </c>
      <c r="BK35" s="283"/>
      <c r="BL35" s="281">
        <f t="shared" si="81"/>
        <v>55.410000000000004</v>
      </c>
      <c r="BM35" s="282">
        <f t="shared" si="82"/>
        <v>56.17</v>
      </c>
      <c r="BN35" s="282">
        <f t="shared" si="83"/>
        <v>67.16</v>
      </c>
      <c r="BO35" s="283">
        <f t="shared" si="84"/>
        <v>0</v>
      </c>
      <c r="BQ35" s="281">
        <f t="shared" si="44"/>
        <v>17.430000000000003</v>
      </c>
      <c r="BR35" s="282">
        <f t="shared" si="45"/>
        <v>26.380000000000003</v>
      </c>
      <c r="BS35" s="283">
        <f t="shared" si="46"/>
        <v>17.959999999999987</v>
      </c>
      <c r="BT35" s="281">
        <f t="shared" si="47"/>
        <v>7.1600000000000072</v>
      </c>
      <c r="BU35" s="282">
        <f t="shared" si="48"/>
        <v>26.559999999999988</v>
      </c>
      <c r="BV35" s="283">
        <f t="shared" si="49"/>
        <v>22.560000000000002</v>
      </c>
      <c r="BW35" s="281">
        <f t="shared" si="50"/>
        <v>5.43</v>
      </c>
      <c r="BX35" s="282">
        <f t="shared" si="51"/>
        <v>14.800000000000004</v>
      </c>
      <c r="BY35" s="283">
        <f t="shared" si="52"/>
        <v>-15.86</v>
      </c>
      <c r="BZ35" s="281">
        <f t="shared" si="85"/>
        <v>0.75999999999999801</v>
      </c>
      <c r="CA35" s="282">
        <f t="shared" si="86"/>
        <v>10.989999999999995</v>
      </c>
      <c r="CB35" s="283">
        <f t="shared" si="87"/>
        <v>-67.16</v>
      </c>
      <c r="CD35" s="282">
        <f t="shared" si="53"/>
        <v>8.77</v>
      </c>
      <c r="CE35" s="282">
        <f t="shared" si="54"/>
        <v>26.200000000000003</v>
      </c>
      <c r="CF35" s="282">
        <f t="shared" si="55"/>
        <v>52.580000000000005</v>
      </c>
      <c r="CG35" s="282">
        <f t="shared" si="56"/>
        <v>70.539999999999992</v>
      </c>
      <c r="CH35" s="282">
        <f t="shared" si="57"/>
        <v>39.869999999999997</v>
      </c>
      <c r="CI35" s="282">
        <f t="shared" si="58"/>
        <v>64.459999999999994</v>
      </c>
      <c r="CJ35" s="282">
        <f t="shared" si="59"/>
        <v>117.4</v>
      </c>
      <c r="CK35" s="282">
        <f t="shared" si="60"/>
        <v>157.91999999999999</v>
      </c>
      <c r="CL35" s="282">
        <f t="shared" si="61"/>
        <v>84.509999999999991</v>
      </c>
      <c r="CM35" s="282">
        <f t="shared" si="62"/>
        <v>114.53</v>
      </c>
      <c r="CN35" s="282">
        <f t="shared" si="63"/>
        <v>182.26999999999998</v>
      </c>
      <c r="CO35" s="282">
        <f t="shared" si="64"/>
        <v>206.92999999999998</v>
      </c>
      <c r="CP35" s="282">
        <f t="shared" si="65"/>
        <v>139.91999999999999</v>
      </c>
      <c r="CQ35" s="282">
        <f t="shared" si="66"/>
        <v>170.70000000000002</v>
      </c>
      <c r="CR35" s="282">
        <f t="shared" si="67"/>
        <v>249.42999999999995</v>
      </c>
      <c r="CS35" s="282">
        <f t="shared" si="68"/>
        <v>206.92999999999998</v>
      </c>
    </row>
    <row r="36" spans="1:97" x14ac:dyDescent="0.25">
      <c r="A36" s="521"/>
      <c r="B36" s="55">
        <v>29</v>
      </c>
      <c r="C36" s="134">
        <v>11.38</v>
      </c>
      <c r="D36" s="281">
        <f t="shared" si="0"/>
        <v>0</v>
      </c>
      <c r="E36" s="282">
        <f t="shared" si="1"/>
        <v>0</v>
      </c>
      <c r="F36" s="282">
        <f t="shared" si="2"/>
        <v>0</v>
      </c>
      <c r="G36" s="283">
        <f t="shared" si="3"/>
        <v>1.81</v>
      </c>
      <c r="H36" s="281">
        <f t="shared" si="4"/>
        <v>0</v>
      </c>
      <c r="I36" s="282">
        <f t="shared" si="5"/>
        <v>0</v>
      </c>
      <c r="J36" s="282">
        <f t="shared" si="6"/>
        <v>0</v>
      </c>
      <c r="K36" s="283">
        <f t="shared" si="7"/>
        <v>1.52</v>
      </c>
      <c r="L36" s="281">
        <f t="shared" si="8"/>
        <v>0</v>
      </c>
      <c r="M36" s="282">
        <f t="shared" si="9"/>
        <v>0</v>
      </c>
      <c r="N36" s="282">
        <f t="shared" si="10"/>
        <v>0</v>
      </c>
      <c r="O36" s="284">
        <f t="shared" si="11"/>
        <v>2.64</v>
      </c>
      <c r="P36" s="281">
        <f t="shared" si="69"/>
        <v>0</v>
      </c>
      <c r="Q36" s="282">
        <f t="shared" si="70"/>
        <v>0</v>
      </c>
      <c r="R36" s="282">
        <f t="shared" si="71"/>
        <v>0</v>
      </c>
      <c r="S36" s="283">
        <f t="shared" si="72"/>
        <v>5.9700000000000006</v>
      </c>
      <c r="T36" s="281">
        <f t="shared" si="12"/>
        <v>0</v>
      </c>
      <c r="U36" s="282">
        <f t="shared" si="13"/>
        <v>0</v>
      </c>
      <c r="V36" s="282">
        <f t="shared" si="14"/>
        <v>0</v>
      </c>
      <c r="W36" s="283">
        <f t="shared" si="15"/>
        <v>3.6399999999999997</v>
      </c>
      <c r="X36" s="281">
        <f t="shared" si="16"/>
        <v>0</v>
      </c>
      <c r="Y36" s="282">
        <f t="shared" si="17"/>
        <v>0</v>
      </c>
      <c r="Z36" s="282">
        <f t="shared" si="18"/>
        <v>0</v>
      </c>
      <c r="AA36" s="283">
        <f t="shared" si="19"/>
        <v>5.3</v>
      </c>
      <c r="AB36" s="281">
        <f t="shared" si="20"/>
        <v>0</v>
      </c>
      <c r="AC36" s="282">
        <f t="shared" si="21"/>
        <v>0</v>
      </c>
      <c r="AD36" s="282">
        <f t="shared" si="22"/>
        <v>2.5300000000000002</v>
      </c>
      <c r="AE36" s="283">
        <f t="shared" si="23"/>
        <v>9.23</v>
      </c>
      <c r="AF36" s="281">
        <f t="shared" si="73"/>
        <v>0</v>
      </c>
      <c r="AG36" s="282">
        <f t="shared" si="74"/>
        <v>0</v>
      </c>
      <c r="AH36" s="282">
        <f t="shared" si="75"/>
        <v>2.5300000000000002</v>
      </c>
      <c r="AI36" s="283">
        <f t="shared" si="76"/>
        <v>18.170000000000002</v>
      </c>
      <c r="AJ36" s="281">
        <f t="shared" si="24"/>
        <v>0</v>
      </c>
      <c r="AK36" s="282">
        <f t="shared" si="25"/>
        <v>0</v>
      </c>
      <c r="AL36" s="282">
        <f t="shared" si="26"/>
        <v>1.84</v>
      </c>
      <c r="AM36" s="283">
        <f t="shared" si="27"/>
        <v>5.72</v>
      </c>
      <c r="AN36" s="281">
        <f t="shared" si="28"/>
        <v>0</v>
      </c>
      <c r="AO36" s="282">
        <f t="shared" si="29"/>
        <v>0</v>
      </c>
      <c r="AP36" s="282">
        <f t="shared" si="30"/>
        <v>2.5099999999999998</v>
      </c>
      <c r="AQ36" s="283">
        <f t="shared" si="31"/>
        <v>12.66</v>
      </c>
      <c r="AR36" s="281">
        <f t="shared" si="32"/>
        <v>0</v>
      </c>
      <c r="AS36" s="282">
        <f t="shared" si="33"/>
        <v>0</v>
      </c>
      <c r="AT36" s="282">
        <f t="shared" si="34"/>
        <v>0.9</v>
      </c>
      <c r="AU36" s="283"/>
      <c r="AV36" s="281">
        <f t="shared" si="77"/>
        <v>0</v>
      </c>
      <c r="AW36" s="282">
        <f t="shared" si="78"/>
        <v>0</v>
      </c>
      <c r="AX36" s="282">
        <f t="shared" si="79"/>
        <v>5.25</v>
      </c>
      <c r="AY36" s="283">
        <f t="shared" si="80"/>
        <v>18.38</v>
      </c>
      <c r="AZ36" s="281">
        <f t="shared" si="35"/>
        <v>0</v>
      </c>
      <c r="BA36" s="282">
        <f t="shared" si="36"/>
        <v>0</v>
      </c>
      <c r="BB36" s="282">
        <f t="shared" si="37"/>
        <v>1.83</v>
      </c>
      <c r="BC36" s="283"/>
      <c r="BD36" s="281">
        <f t="shared" si="38"/>
        <v>0</v>
      </c>
      <c r="BE36" s="282">
        <f t="shared" si="39"/>
        <v>0</v>
      </c>
      <c r="BF36" s="282">
        <f t="shared" si="40"/>
        <v>4.3100000000000005</v>
      </c>
      <c r="BG36" s="283"/>
      <c r="BH36" s="281">
        <f t="shared" si="41"/>
        <v>0</v>
      </c>
      <c r="BI36" s="282">
        <f t="shared" si="42"/>
        <v>0</v>
      </c>
      <c r="BJ36" s="282">
        <f t="shared" si="43"/>
        <v>2.7</v>
      </c>
      <c r="BK36" s="283"/>
      <c r="BL36" s="281">
        <f t="shared" si="81"/>
        <v>0</v>
      </c>
      <c r="BM36" s="282">
        <f t="shared" si="82"/>
        <v>0</v>
      </c>
      <c r="BN36" s="282">
        <f t="shared" si="83"/>
        <v>8.84</v>
      </c>
      <c r="BO36" s="283">
        <f t="shared" si="84"/>
        <v>0</v>
      </c>
      <c r="BQ36" s="281">
        <f t="shared" si="44"/>
        <v>0</v>
      </c>
      <c r="BR36" s="282">
        <f t="shared" si="45"/>
        <v>0</v>
      </c>
      <c r="BS36" s="283">
        <f t="shared" si="46"/>
        <v>5.9700000000000006</v>
      </c>
      <c r="BT36" s="281">
        <f t="shared" si="47"/>
        <v>0</v>
      </c>
      <c r="BU36" s="282">
        <f t="shared" si="48"/>
        <v>2.5300000000000002</v>
      </c>
      <c r="BV36" s="283">
        <f t="shared" si="49"/>
        <v>15.64</v>
      </c>
      <c r="BW36" s="281">
        <f t="shared" si="50"/>
        <v>0</v>
      </c>
      <c r="BX36" s="282">
        <f t="shared" si="51"/>
        <v>5.25</v>
      </c>
      <c r="BY36" s="283">
        <f t="shared" si="52"/>
        <v>13.129999999999999</v>
      </c>
      <c r="BZ36" s="281">
        <f t="shared" si="85"/>
        <v>0</v>
      </c>
      <c r="CA36" s="282">
        <f t="shared" si="86"/>
        <v>8.84</v>
      </c>
      <c r="CB36" s="283">
        <f t="shared" si="87"/>
        <v>-8.84</v>
      </c>
      <c r="CD36" s="282">
        <f t="shared" si="53"/>
        <v>0</v>
      </c>
      <c r="CE36" s="282">
        <f t="shared" si="54"/>
        <v>0</v>
      </c>
      <c r="CF36" s="282">
        <f t="shared" si="55"/>
        <v>0</v>
      </c>
      <c r="CG36" s="282">
        <f t="shared" si="56"/>
        <v>5.9700000000000006</v>
      </c>
      <c r="CH36" s="282">
        <f t="shared" si="57"/>
        <v>0</v>
      </c>
      <c r="CI36" s="282">
        <f t="shared" si="58"/>
        <v>0</v>
      </c>
      <c r="CJ36" s="282">
        <f t="shared" si="59"/>
        <v>2.5300000000000002</v>
      </c>
      <c r="CK36" s="282">
        <f t="shared" si="60"/>
        <v>24.14</v>
      </c>
      <c r="CL36" s="282">
        <f t="shared" si="61"/>
        <v>0</v>
      </c>
      <c r="CM36" s="282">
        <f t="shared" si="62"/>
        <v>0</v>
      </c>
      <c r="CN36" s="282">
        <f t="shared" si="63"/>
        <v>7.78</v>
      </c>
      <c r="CO36" s="282">
        <f t="shared" si="64"/>
        <v>42.519999999999996</v>
      </c>
      <c r="CP36" s="282">
        <f t="shared" si="65"/>
        <v>0</v>
      </c>
      <c r="CQ36" s="282">
        <f t="shared" si="66"/>
        <v>0</v>
      </c>
      <c r="CR36" s="282">
        <f t="shared" si="67"/>
        <v>16.62</v>
      </c>
      <c r="CS36" s="282">
        <f t="shared" si="68"/>
        <v>42.519999999999996</v>
      </c>
    </row>
    <row r="37" spans="1:97" x14ac:dyDescent="0.25">
      <c r="A37" s="521"/>
      <c r="B37" s="55">
        <v>30</v>
      </c>
      <c r="C37" s="134">
        <v>24.35</v>
      </c>
      <c r="D37" s="281">
        <f t="shared" si="0"/>
        <v>0</v>
      </c>
      <c r="E37" s="282">
        <f t="shared" si="1"/>
        <v>0</v>
      </c>
      <c r="F37" s="282">
        <f t="shared" si="2"/>
        <v>0</v>
      </c>
      <c r="G37" s="283">
        <f t="shared" si="3"/>
        <v>21.18</v>
      </c>
      <c r="H37" s="281">
        <f t="shared" si="4"/>
        <v>0</v>
      </c>
      <c r="I37" s="282">
        <f t="shared" si="5"/>
        <v>0</v>
      </c>
      <c r="J37" s="282">
        <f t="shared" si="6"/>
        <v>2.44</v>
      </c>
      <c r="K37" s="283">
        <f t="shared" si="7"/>
        <v>11.870000000000001</v>
      </c>
      <c r="L37" s="281">
        <f t="shared" si="8"/>
        <v>0</v>
      </c>
      <c r="M37" s="282">
        <f t="shared" si="9"/>
        <v>0</v>
      </c>
      <c r="N37" s="282">
        <f t="shared" si="10"/>
        <v>1.8199999999999998</v>
      </c>
      <c r="O37" s="284">
        <f t="shared" si="11"/>
        <v>14.02</v>
      </c>
      <c r="P37" s="281">
        <f t="shared" si="69"/>
        <v>0</v>
      </c>
      <c r="Q37" s="282">
        <f t="shared" si="70"/>
        <v>0</v>
      </c>
      <c r="R37" s="282">
        <f t="shared" si="71"/>
        <v>4.26</v>
      </c>
      <c r="S37" s="283">
        <f t="shared" si="72"/>
        <v>47.069999999999993</v>
      </c>
      <c r="T37" s="281">
        <f t="shared" si="12"/>
        <v>0</v>
      </c>
      <c r="U37" s="282">
        <f t="shared" si="13"/>
        <v>0</v>
      </c>
      <c r="V37" s="282">
        <f t="shared" si="14"/>
        <v>1.02</v>
      </c>
      <c r="W37" s="283">
        <f t="shared" si="15"/>
        <v>22.02</v>
      </c>
      <c r="X37" s="281">
        <f t="shared" si="16"/>
        <v>0</v>
      </c>
      <c r="Y37" s="282">
        <f t="shared" si="17"/>
        <v>0</v>
      </c>
      <c r="Z37" s="282">
        <f t="shared" si="18"/>
        <v>2.59</v>
      </c>
      <c r="AA37" s="283">
        <f t="shared" si="19"/>
        <v>24.98</v>
      </c>
      <c r="AB37" s="281">
        <f t="shared" si="20"/>
        <v>0</v>
      </c>
      <c r="AC37" s="282">
        <f t="shared" si="21"/>
        <v>0</v>
      </c>
      <c r="AD37" s="282">
        <f t="shared" si="22"/>
        <v>2.9</v>
      </c>
      <c r="AE37" s="283">
        <f t="shared" si="23"/>
        <v>19.869999999999997</v>
      </c>
      <c r="AF37" s="281">
        <f t="shared" si="73"/>
        <v>0</v>
      </c>
      <c r="AG37" s="282">
        <f t="shared" si="74"/>
        <v>0</v>
      </c>
      <c r="AH37" s="282">
        <f t="shared" si="75"/>
        <v>6.51</v>
      </c>
      <c r="AI37" s="283">
        <f t="shared" si="76"/>
        <v>66.87</v>
      </c>
      <c r="AJ37" s="281">
        <f t="shared" si="24"/>
        <v>0</v>
      </c>
      <c r="AK37" s="282">
        <f t="shared" si="25"/>
        <v>0</v>
      </c>
      <c r="AL37" s="282">
        <f t="shared" si="26"/>
        <v>1.6099999999999999</v>
      </c>
      <c r="AM37" s="283">
        <f t="shared" si="27"/>
        <v>15.129999999999999</v>
      </c>
      <c r="AN37" s="281">
        <f t="shared" si="28"/>
        <v>0</v>
      </c>
      <c r="AO37" s="282">
        <f t="shared" si="29"/>
        <v>0</v>
      </c>
      <c r="AP37" s="282">
        <f t="shared" si="30"/>
        <v>5.45</v>
      </c>
      <c r="AQ37" s="283">
        <f t="shared" si="31"/>
        <v>15.870000000000001</v>
      </c>
      <c r="AR37" s="281">
        <f t="shared" si="32"/>
        <v>0</v>
      </c>
      <c r="AS37" s="282">
        <f t="shared" si="33"/>
        <v>0</v>
      </c>
      <c r="AT37" s="282">
        <f t="shared" si="34"/>
        <v>4.17</v>
      </c>
      <c r="AU37" s="283"/>
      <c r="AV37" s="281">
        <f t="shared" si="77"/>
        <v>0</v>
      </c>
      <c r="AW37" s="282">
        <f t="shared" si="78"/>
        <v>0</v>
      </c>
      <c r="AX37" s="282">
        <f t="shared" si="79"/>
        <v>11.23</v>
      </c>
      <c r="AY37" s="283">
        <f t="shared" si="80"/>
        <v>31</v>
      </c>
      <c r="AZ37" s="281">
        <f t="shared" si="35"/>
        <v>0</v>
      </c>
      <c r="BA37" s="282">
        <f t="shared" si="36"/>
        <v>0</v>
      </c>
      <c r="BB37" s="282">
        <f t="shared" si="37"/>
        <v>4.0999999999999996</v>
      </c>
      <c r="BC37" s="283"/>
      <c r="BD37" s="281">
        <f t="shared" si="38"/>
        <v>0</v>
      </c>
      <c r="BE37" s="282">
        <f t="shared" si="39"/>
        <v>0</v>
      </c>
      <c r="BF37" s="282">
        <f t="shared" si="40"/>
        <v>15.54</v>
      </c>
      <c r="BG37" s="283"/>
      <c r="BH37" s="281">
        <f t="shared" si="41"/>
        <v>0</v>
      </c>
      <c r="BI37" s="282">
        <f t="shared" si="42"/>
        <v>0</v>
      </c>
      <c r="BJ37" s="282">
        <f t="shared" si="43"/>
        <v>2.2400000000000002</v>
      </c>
      <c r="BK37" s="283"/>
      <c r="BL37" s="281">
        <f t="shared" si="81"/>
        <v>0</v>
      </c>
      <c r="BM37" s="282">
        <f t="shared" si="82"/>
        <v>0</v>
      </c>
      <c r="BN37" s="282">
        <f t="shared" si="83"/>
        <v>21.880000000000003</v>
      </c>
      <c r="BO37" s="283">
        <f t="shared" si="84"/>
        <v>0</v>
      </c>
      <c r="BQ37" s="281">
        <f t="shared" si="44"/>
        <v>0</v>
      </c>
      <c r="BR37" s="282">
        <f t="shared" si="45"/>
        <v>4.26</v>
      </c>
      <c r="BS37" s="283">
        <f t="shared" si="46"/>
        <v>42.809999999999995</v>
      </c>
      <c r="BT37" s="281">
        <f t="shared" si="47"/>
        <v>0</v>
      </c>
      <c r="BU37" s="282">
        <f t="shared" si="48"/>
        <v>6.51</v>
      </c>
      <c r="BV37" s="283">
        <f t="shared" si="49"/>
        <v>60.360000000000007</v>
      </c>
      <c r="BW37" s="281">
        <f t="shared" si="50"/>
        <v>0</v>
      </c>
      <c r="BX37" s="282">
        <f t="shared" si="51"/>
        <v>11.23</v>
      </c>
      <c r="BY37" s="283">
        <f t="shared" si="52"/>
        <v>19.77</v>
      </c>
      <c r="BZ37" s="281">
        <f t="shared" si="85"/>
        <v>0</v>
      </c>
      <c r="CA37" s="282">
        <f t="shared" si="86"/>
        <v>21.880000000000003</v>
      </c>
      <c r="CB37" s="283">
        <f t="shared" si="87"/>
        <v>-21.880000000000003</v>
      </c>
      <c r="CD37" s="282">
        <f t="shared" si="53"/>
        <v>0</v>
      </c>
      <c r="CE37" s="282">
        <f t="shared" si="54"/>
        <v>0</v>
      </c>
      <c r="CF37" s="282">
        <f t="shared" si="55"/>
        <v>4.26</v>
      </c>
      <c r="CG37" s="282">
        <f t="shared" si="56"/>
        <v>47.069999999999993</v>
      </c>
      <c r="CH37" s="282">
        <f t="shared" si="57"/>
        <v>0</v>
      </c>
      <c r="CI37" s="282">
        <f t="shared" si="58"/>
        <v>0</v>
      </c>
      <c r="CJ37" s="282">
        <f t="shared" si="59"/>
        <v>10.77</v>
      </c>
      <c r="CK37" s="282">
        <f t="shared" si="60"/>
        <v>113.94</v>
      </c>
      <c r="CL37" s="282">
        <f t="shared" si="61"/>
        <v>0</v>
      </c>
      <c r="CM37" s="282">
        <f t="shared" si="62"/>
        <v>0</v>
      </c>
      <c r="CN37" s="282">
        <f t="shared" si="63"/>
        <v>22</v>
      </c>
      <c r="CO37" s="282">
        <f t="shared" si="64"/>
        <v>144.94</v>
      </c>
      <c r="CP37" s="282">
        <f t="shared" si="65"/>
        <v>0</v>
      </c>
      <c r="CQ37" s="282">
        <f t="shared" si="66"/>
        <v>0</v>
      </c>
      <c r="CR37" s="282">
        <f t="shared" si="67"/>
        <v>43.88</v>
      </c>
      <c r="CS37" s="282">
        <f t="shared" si="68"/>
        <v>144.94</v>
      </c>
    </row>
    <row r="38" spans="1:97" x14ac:dyDescent="0.25">
      <c r="A38" s="521"/>
      <c r="B38" s="55">
        <v>31</v>
      </c>
      <c r="C38" s="134">
        <v>34.08</v>
      </c>
      <c r="D38" s="281">
        <f t="shared" si="0"/>
        <v>0</v>
      </c>
      <c r="E38" s="282">
        <f t="shared" si="1"/>
        <v>0</v>
      </c>
      <c r="F38" s="282">
        <f t="shared" si="2"/>
        <v>0</v>
      </c>
      <c r="G38" s="283">
        <f t="shared" si="3"/>
        <v>17.89</v>
      </c>
      <c r="H38" s="281">
        <f t="shared" si="4"/>
        <v>0</v>
      </c>
      <c r="I38" s="282">
        <f t="shared" si="5"/>
        <v>0</v>
      </c>
      <c r="J38" s="282">
        <f t="shared" si="6"/>
        <v>0.95</v>
      </c>
      <c r="K38" s="283">
        <f t="shared" si="7"/>
        <v>13.149999999999999</v>
      </c>
      <c r="L38" s="281">
        <f t="shared" si="8"/>
        <v>0</v>
      </c>
      <c r="M38" s="282">
        <f t="shared" si="9"/>
        <v>0</v>
      </c>
      <c r="N38" s="282">
        <f t="shared" si="10"/>
        <v>1.62</v>
      </c>
      <c r="O38" s="284">
        <f t="shared" si="11"/>
        <v>13.65</v>
      </c>
      <c r="P38" s="281">
        <f t="shared" si="69"/>
        <v>0</v>
      </c>
      <c r="Q38" s="282">
        <f t="shared" si="70"/>
        <v>0</v>
      </c>
      <c r="R38" s="282">
        <f t="shared" si="71"/>
        <v>2.5700000000000003</v>
      </c>
      <c r="S38" s="283">
        <f t="shared" si="72"/>
        <v>44.69</v>
      </c>
      <c r="T38" s="281">
        <f t="shared" si="12"/>
        <v>0</v>
      </c>
      <c r="U38" s="282">
        <f t="shared" si="13"/>
        <v>0</v>
      </c>
      <c r="V38" s="282">
        <f t="shared" si="14"/>
        <v>1.5329999999999999</v>
      </c>
      <c r="W38" s="283">
        <f t="shared" si="15"/>
        <v>19.29</v>
      </c>
      <c r="X38" s="281">
        <f t="shared" si="16"/>
        <v>0</v>
      </c>
      <c r="Y38" s="282">
        <f t="shared" si="17"/>
        <v>0</v>
      </c>
      <c r="Z38" s="282">
        <f t="shared" si="18"/>
        <v>2.71</v>
      </c>
      <c r="AA38" s="283">
        <f t="shared" si="19"/>
        <v>29.76</v>
      </c>
      <c r="AB38" s="281">
        <f t="shared" si="20"/>
        <v>0</v>
      </c>
      <c r="AC38" s="282">
        <f t="shared" si="21"/>
        <v>0</v>
      </c>
      <c r="AD38" s="282">
        <f t="shared" si="22"/>
        <v>1.88</v>
      </c>
      <c r="AE38" s="283">
        <f t="shared" si="23"/>
        <v>16.940000000000001</v>
      </c>
      <c r="AF38" s="281">
        <f t="shared" si="73"/>
        <v>0</v>
      </c>
      <c r="AG38" s="282">
        <f t="shared" si="74"/>
        <v>0</v>
      </c>
      <c r="AH38" s="282">
        <f t="shared" si="75"/>
        <v>6.1230000000000002</v>
      </c>
      <c r="AI38" s="283">
        <f t="shared" si="76"/>
        <v>65.989999999999995</v>
      </c>
      <c r="AJ38" s="281">
        <f t="shared" si="24"/>
        <v>0</v>
      </c>
      <c r="AK38" s="282">
        <f t="shared" si="25"/>
        <v>0</v>
      </c>
      <c r="AL38" s="282">
        <f t="shared" si="26"/>
        <v>2.77</v>
      </c>
      <c r="AM38" s="283">
        <f t="shared" si="27"/>
        <v>16.240000000000002</v>
      </c>
      <c r="AN38" s="281">
        <f t="shared" si="28"/>
        <v>0</v>
      </c>
      <c r="AO38" s="282">
        <f t="shared" si="29"/>
        <v>0</v>
      </c>
      <c r="AP38" s="282">
        <f t="shared" si="30"/>
        <v>8.5399999999999991</v>
      </c>
      <c r="AQ38" s="283">
        <f t="shared" si="31"/>
        <v>17.2</v>
      </c>
      <c r="AR38" s="281">
        <f t="shared" si="32"/>
        <v>0</v>
      </c>
      <c r="AS38" s="282">
        <f t="shared" si="33"/>
        <v>0</v>
      </c>
      <c r="AT38" s="282">
        <f t="shared" si="34"/>
        <v>5.76</v>
      </c>
      <c r="AU38" s="283"/>
      <c r="AV38" s="281">
        <f t="shared" si="77"/>
        <v>0</v>
      </c>
      <c r="AW38" s="282">
        <f t="shared" si="78"/>
        <v>0</v>
      </c>
      <c r="AX38" s="282">
        <f t="shared" si="79"/>
        <v>17.07</v>
      </c>
      <c r="AY38" s="283">
        <f t="shared" si="80"/>
        <v>33.44</v>
      </c>
      <c r="AZ38" s="281">
        <f t="shared" si="35"/>
        <v>0</v>
      </c>
      <c r="BA38" s="282">
        <f t="shared" si="36"/>
        <v>0</v>
      </c>
      <c r="BB38" s="282">
        <f t="shared" si="37"/>
        <v>7.72</v>
      </c>
      <c r="BC38" s="283"/>
      <c r="BD38" s="281">
        <f t="shared" si="38"/>
        <v>0</v>
      </c>
      <c r="BE38" s="282">
        <f t="shared" si="39"/>
        <v>0</v>
      </c>
      <c r="BF38" s="282">
        <f t="shared" si="40"/>
        <v>14.52</v>
      </c>
      <c r="BG38" s="283"/>
      <c r="BH38" s="281">
        <f t="shared" si="41"/>
        <v>0</v>
      </c>
      <c r="BI38" s="282">
        <f t="shared" si="42"/>
        <v>0</v>
      </c>
      <c r="BJ38" s="282">
        <f t="shared" si="43"/>
        <v>3.33</v>
      </c>
      <c r="BK38" s="283"/>
      <c r="BL38" s="281">
        <f t="shared" si="81"/>
        <v>0</v>
      </c>
      <c r="BM38" s="282">
        <f t="shared" si="82"/>
        <v>0</v>
      </c>
      <c r="BN38" s="282">
        <f t="shared" si="83"/>
        <v>25.57</v>
      </c>
      <c r="BO38" s="283">
        <f t="shared" si="84"/>
        <v>0</v>
      </c>
      <c r="BQ38" s="281">
        <f t="shared" si="44"/>
        <v>0</v>
      </c>
      <c r="BR38" s="282">
        <f t="shared" si="45"/>
        <v>2.5700000000000003</v>
      </c>
      <c r="BS38" s="283">
        <f t="shared" si="46"/>
        <v>42.12</v>
      </c>
      <c r="BT38" s="281">
        <f t="shared" si="47"/>
        <v>0</v>
      </c>
      <c r="BU38" s="282">
        <f t="shared" si="48"/>
        <v>6.1230000000000002</v>
      </c>
      <c r="BV38" s="283">
        <f t="shared" si="49"/>
        <v>59.866999999999997</v>
      </c>
      <c r="BW38" s="281">
        <f t="shared" si="50"/>
        <v>0</v>
      </c>
      <c r="BX38" s="282">
        <f t="shared" si="51"/>
        <v>17.07</v>
      </c>
      <c r="BY38" s="283">
        <f t="shared" si="52"/>
        <v>16.369999999999997</v>
      </c>
      <c r="BZ38" s="281">
        <f t="shared" si="85"/>
        <v>0</v>
      </c>
      <c r="CA38" s="282">
        <f t="shared" si="86"/>
        <v>25.57</v>
      </c>
      <c r="CB38" s="283">
        <f t="shared" si="87"/>
        <v>-25.57</v>
      </c>
      <c r="CD38" s="282">
        <f t="shared" si="53"/>
        <v>0</v>
      </c>
      <c r="CE38" s="282">
        <f t="shared" si="54"/>
        <v>0</v>
      </c>
      <c r="CF38" s="282">
        <f t="shared" si="55"/>
        <v>2.5700000000000003</v>
      </c>
      <c r="CG38" s="282">
        <f t="shared" si="56"/>
        <v>44.69</v>
      </c>
      <c r="CH38" s="282">
        <f t="shared" si="57"/>
        <v>0</v>
      </c>
      <c r="CI38" s="282">
        <f t="shared" si="58"/>
        <v>0</v>
      </c>
      <c r="CJ38" s="282">
        <f t="shared" si="59"/>
        <v>8.6929999999999996</v>
      </c>
      <c r="CK38" s="282">
        <f t="shared" si="60"/>
        <v>110.67999999999999</v>
      </c>
      <c r="CL38" s="282">
        <f t="shared" si="61"/>
        <v>0</v>
      </c>
      <c r="CM38" s="282">
        <f t="shared" si="62"/>
        <v>0</v>
      </c>
      <c r="CN38" s="282">
        <f t="shared" si="63"/>
        <v>25.762999999999998</v>
      </c>
      <c r="CO38" s="282">
        <f t="shared" si="64"/>
        <v>144.11999999999998</v>
      </c>
      <c r="CP38" s="282">
        <f t="shared" si="65"/>
        <v>0</v>
      </c>
      <c r="CQ38" s="282">
        <f t="shared" si="66"/>
        <v>0</v>
      </c>
      <c r="CR38" s="282">
        <f t="shared" si="67"/>
        <v>51.332999999999998</v>
      </c>
      <c r="CS38" s="282">
        <f t="shared" si="68"/>
        <v>144.11999999999998</v>
      </c>
    </row>
    <row r="39" spans="1:97" ht="15.75" thickBot="1" x14ac:dyDescent="0.3">
      <c r="A39" s="522"/>
      <c r="B39" s="103">
        <v>32</v>
      </c>
      <c r="C39" s="138">
        <v>0</v>
      </c>
      <c r="D39" s="281">
        <f t="shared" si="0"/>
        <v>0</v>
      </c>
      <c r="E39" s="282">
        <f t="shared" si="1"/>
        <v>0</v>
      </c>
      <c r="F39" s="282">
        <f t="shared" si="2"/>
        <v>0</v>
      </c>
      <c r="G39" s="283">
        <f t="shared" si="3"/>
        <v>0</v>
      </c>
      <c r="H39" s="281">
        <f t="shared" si="4"/>
        <v>0</v>
      </c>
      <c r="I39" s="282">
        <f t="shared" si="5"/>
        <v>0</v>
      </c>
      <c r="J39" s="282">
        <f t="shared" si="6"/>
        <v>0</v>
      </c>
      <c r="K39" s="283">
        <f t="shared" si="7"/>
        <v>0</v>
      </c>
      <c r="L39" s="281">
        <f t="shared" si="8"/>
        <v>0</v>
      </c>
      <c r="M39" s="282">
        <f t="shared" si="9"/>
        <v>0</v>
      </c>
      <c r="N39" s="282">
        <f t="shared" si="10"/>
        <v>0</v>
      </c>
      <c r="O39" s="284">
        <f t="shared" si="11"/>
        <v>0</v>
      </c>
      <c r="P39" s="281">
        <f t="shared" si="69"/>
        <v>0</v>
      </c>
      <c r="Q39" s="282">
        <f t="shared" si="70"/>
        <v>0</v>
      </c>
      <c r="R39" s="282">
        <f t="shared" si="71"/>
        <v>0</v>
      </c>
      <c r="S39" s="283">
        <f t="shared" si="72"/>
        <v>0</v>
      </c>
      <c r="T39" s="281">
        <f t="shared" si="12"/>
        <v>0</v>
      </c>
      <c r="U39" s="282">
        <f t="shared" si="13"/>
        <v>0</v>
      </c>
      <c r="V39" s="282">
        <f t="shared" si="14"/>
        <v>0</v>
      </c>
      <c r="W39" s="283">
        <f t="shared" si="15"/>
        <v>0</v>
      </c>
      <c r="X39" s="281">
        <f t="shared" si="16"/>
        <v>0</v>
      </c>
      <c r="Y39" s="282">
        <f t="shared" si="17"/>
        <v>0</v>
      </c>
      <c r="Z39" s="282">
        <f t="shared" si="18"/>
        <v>0</v>
      </c>
      <c r="AA39" s="283">
        <f t="shared" si="19"/>
        <v>0</v>
      </c>
      <c r="AB39" s="281">
        <f t="shared" si="20"/>
        <v>0</v>
      </c>
      <c r="AC39" s="282">
        <f t="shared" si="21"/>
        <v>0</v>
      </c>
      <c r="AD39" s="282">
        <f t="shared" si="22"/>
        <v>0</v>
      </c>
      <c r="AE39" s="283">
        <f t="shared" si="23"/>
        <v>0</v>
      </c>
      <c r="AF39" s="281">
        <f t="shared" si="73"/>
        <v>0</v>
      </c>
      <c r="AG39" s="282">
        <f t="shared" si="74"/>
        <v>0</v>
      </c>
      <c r="AH39" s="282">
        <f t="shared" si="75"/>
        <v>0</v>
      </c>
      <c r="AI39" s="283">
        <f t="shared" si="76"/>
        <v>0</v>
      </c>
      <c r="AJ39" s="281">
        <f t="shared" si="24"/>
        <v>0</v>
      </c>
      <c r="AK39" s="282">
        <f t="shared" si="25"/>
        <v>0</v>
      </c>
      <c r="AL39" s="282">
        <f t="shared" si="26"/>
        <v>0</v>
      </c>
      <c r="AM39" s="283">
        <f t="shared" si="27"/>
        <v>0</v>
      </c>
      <c r="AN39" s="281">
        <f t="shared" si="28"/>
        <v>0</v>
      </c>
      <c r="AO39" s="282">
        <f t="shared" si="29"/>
        <v>0</v>
      </c>
      <c r="AP39" s="282">
        <f t="shared" si="30"/>
        <v>0</v>
      </c>
      <c r="AQ39" s="283">
        <f t="shared" si="31"/>
        <v>0</v>
      </c>
      <c r="AR39" s="281">
        <f t="shared" si="32"/>
        <v>0</v>
      </c>
      <c r="AS39" s="282">
        <f t="shared" si="33"/>
        <v>0</v>
      </c>
      <c r="AT39" s="282">
        <f t="shared" si="34"/>
        <v>0</v>
      </c>
      <c r="AU39" s="283"/>
      <c r="AV39" s="281">
        <f t="shared" si="77"/>
        <v>0</v>
      </c>
      <c r="AW39" s="282">
        <f t="shared" si="78"/>
        <v>0</v>
      </c>
      <c r="AX39" s="282">
        <f t="shared" si="79"/>
        <v>0</v>
      </c>
      <c r="AY39" s="283">
        <f t="shared" si="80"/>
        <v>0</v>
      </c>
      <c r="AZ39" s="281">
        <f t="shared" si="35"/>
        <v>0</v>
      </c>
      <c r="BA39" s="282">
        <f t="shared" si="36"/>
        <v>0</v>
      </c>
      <c r="BB39" s="282">
        <f t="shared" si="37"/>
        <v>0</v>
      </c>
      <c r="BC39" s="283"/>
      <c r="BD39" s="281">
        <f t="shared" si="38"/>
        <v>0</v>
      </c>
      <c r="BE39" s="282">
        <f t="shared" si="39"/>
        <v>0</v>
      </c>
      <c r="BF39" s="282">
        <f t="shared" si="40"/>
        <v>0</v>
      </c>
      <c r="BG39" s="283"/>
      <c r="BH39" s="281">
        <f t="shared" si="41"/>
        <v>0</v>
      </c>
      <c r="BI39" s="282">
        <f t="shared" si="42"/>
        <v>0</v>
      </c>
      <c r="BJ39" s="282">
        <f t="shared" si="43"/>
        <v>0</v>
      </c>
      <c r="BK39" s="283"/>
      <c r="BL39" s="281">
        <f t="shared" si="81"/>
        <v>0</v>
      </c>
      <c r="BM39" s="282">
        <f t="shared" si="82"/>
        <v>0</v>
      </c>
      <c r="BN39" s="282">
        <f t="shared" si="83"/>
        <v>0</v>
      </c>
      <c r="BO39" s="283">
        <f t="shared" si="84"/>
        <v>0</v>
      </c>
      <c r="BQ39" s="281">
        <f t="shared" si="44"/>
        <v>0</v>
      </c>
      <c r="BR39" s="282">
        <f t="shared" si="45"/>
        <v>0</v>
      </c>
      <c r="BS39" s="283">
        <f t="shared" si="46"/>
        <v>0</v>
      </c>
      <c r="BT39" s="281">
        <f t="shared" si="47"/>
        <v>0</v>
      </c>
      <c r="BU39" s="282">
        <f t="shared" si="48"/>
        <v>0</v>
      </c>
      <c r="BV39" s="283">
        <f t="shared" si="49"/>
        <v>0</v>
      </c>
      <c r="BW39" s="281">
        <f t="shared" si="50"/>
        <v>0</v>
      </c>
      <c r="BX39" s="282">
        <f t="shared" si="51"/>
        <v>0</v>
      </c>
      <c r="BY39" s="283">
        <f t="shared" si="52"/>
        <v>0</v>
      </c>
      <c r="BZ39" s="281">
        <f t="shared" si="85"/>
        <v>0</v>
      </c>
      <c r="CA39" s="282">
        <f t="shared" si="86"/>
        <v>0</v>
      </c>
      <c r="CB39" s="283">
        <f t="shared" si="87"/>
        <v>0</v>
      </c>
      <c r="CD39" s="282">
        <f t="shared" si="53"/>
        <v>0</v>
      </c>
      <c r="CE39" s="282">
        <f t="shared" si="54"/>
        <v>0</v>
      </c>
      <c r="CF39" s="282">
        <f t="shared" si="55"/>
        <v>0</v>
      </c>
      <c r="CG39" s="282">
        <f t="shared" si="56"/>
        <v>0</v>
      </c>
      <c r="CH39" s="282">
        <f t="shared" si="57"/>
        <v>0</v>
      </c>
      <c r="CI39" s="282">
        <f t="shared" si="58"/>
        <v>0</v>
      </c>
      <c r="CJ39" s="282">
        <f t="shared" si="59"/>
        <v>0</v>
      </c>
      <c r="CK39" s="282">
        <f t="shared" si="60"/>
        <v>0</v>
      </c>
      <c r="CL39" s="282">
        <f t="shared" si="61"/>
        <v>0</v>
      </c>
      <c r="CM39" s="282">
        <f t="shared" si="62"/>
        <v>0</v>
      </c>
      <c r="CN39" s="282">
        <f t="shared" si="63"/>
        <v>0</v>
      </c>
      <c r="CO39" s="282">
        <f t="shared" si="64"/>
        <v>0</v>
      </c>
      <c r="CP39" s="282">
        <f t="shared" si="65"/>
        <v>0</v>
      </c>
      <c r="CQ39" s="282">
        <f t="shared" si="66"/>
        <v>0</v>
      </c>
      <c r="CR39" s="282">
        <f t="shared" si="67"/>
        <v>0</v>
      </c>
      <c r="CS39" s="282">
        <f t="shared" si="68"/>
        <v>0</v>
      </c>
    </row>
    <row r="40" spans="1:97" x14ac:dyDescent="0.25">
      <c r="A40" s="520" t="s">
        <v>31</v>
      </c>
      <c r="B40" s="23" t="s">
        <v>32</v>
      </c>
      <c r="C40" s="24">
        <v>28.72</v>
      </c>
      <c r="D40" s="281">
        <f t="shared" si="0"/>
        <v>4.3999999999999995</v>
      </c>
      <c r="E40" s="282">
        <f t="shared" si="1"/>
        <v>19.55</v>
      </c>
      <c r="F40" s="282">
        <f t="shared" si="2"/>
        <v>20.66</v>
      </c>
      <c r="G40" s="283">
        <f t="shared" si="3"/>
        <v>31.42</v>
      </c>
      <c r="H40" s="281">
        <f t="shared" si="4"/>
        <v>5.31</v>
      </c>
      <c r="I40" s="282">
        <f t="shared" si="5"/>
        <v>19.47</v>
      </c>
      <c r="J40" s="282">
        <f t="shared" si="6"/>
        <v>15.18</v>
      </c>
      <c r="K40" s="283">
        <f t="shared" si="7"/>
        <v>29.16</v>
      </c>
      <c r="L40" s="281">
        <f t="shared" si="8"/>
        <v>7.9</v>
      </c>
      <c r="M40" s="282">
        <f t="shared" si="9"/>
        <v>11.94</v>
      </c>
      <c r="N40" s="282">
        <f t="shared" si="10"/>
        <v>13.39</v>
      </c>
      <c r="O40" s="284">
        <f t="shared" si="11"/>
        <v>37.549999999999997</v>
      </c>
      <c r="P40" s="281">
        <f t="shared" si="69"/>
        <v>17.61</v>
      </c>
      <c r="Q40" s="282">
        <f t="shared" si="70"/>
        <v>50.959999999999994</v>
      </c>
      <c r="R40" s="282">
        <f t="shared" si="71"/>
        <v>49.230000000000004</v>
      </c>
      <c r="S40" s="283">
        <f t="shared" si="72"/>
        <v>98.13</v>
      </c>
      <c r="T40" s="281">
        <f t="shared" si="12"/>
        <v>3.74</v>
      </c>
      <c r="U40" s="282">
        <f t="shared" si="13"/>
        <v>31.75</v>
      </c>
      <c r="V40" s="282">
        <f t="shared" si="14"/>
        <v>23.73</v>
      </c>
      <c r="W40" s="283">
        <f t="shared" si="15"/>
        <v>33.54</v>
      </c>
      <c r="X40" s="281">
        <f t="shared" si="16"/>
        <v>16.18</v>
      </c>
      <c r="Y40" s="282">
        <f t="shared" si="17"/>
        <v>19.45</v>
      </c>
      <c r="Z40" s="282">
        <f t="shared" si="18"/>
        <v>25.97</v>
      </c>
      <c r="AA40" s="283">
        <f t="shared" si="19"/>
        <v>50.2</v>
      </c>
      <c r="AB40" s="281">
        <f t="shared" si="20"/>
        <v>22.7</v>
      </c>
      <c r="AC40" s="282">
        <f t="shared" si="21"/>
        <v>34.459999999999994</v>
      </c>
      <c r="AD40" s="282">
        <f t="shared" si="22"/>
        <v>30.17</v>
      </c>
      <c r="AE40" s="283">
        <f t="shared" si="23"/>
        <v>27.13</v>
      </c>
      <c r="AF40" s="281">
        <f t="shared" si="73"/>
        <v>42.620000000000005</v>
      </c>
      <c r="AG40" s="282">
        <f t="shared" si="74"/>
        <v>85.66</v>
      </c>
      <c r="AH40" s="282">
        <f t="shared" si="75"/>
        <v>79.87</v>
      </c>
      <c r="AI40" s="283">
        <f t="shared" si="76"/>
        <v>110.87</v>
      </c>
      <c r="AJ40" s="281">
        <f t="shared" si="24"/>
        <v>18.490000000000002</v>
      </c>
      <c r="AK40" s="282">
        <f t="shared" si="25"/>
        <v>21.82</v>
      </c>
      <c r="AL40" s="282">
        <f t="shared" si="26"/>
        <v>23.78</v>
      </c>
      <c r="AM40" s="283">
        <f t="shared" si="27"/>
        <v>34.340000000000003</v>
      </c>
      <c r="AN40" s="281">
        <f t="shared" si="28"/>
        <v>17.68</v>
      </c>
      <c r="AO40" s="282">
        <f t="shared" si="29"/>
        <v>36.22</v>
      </c>
      <c r="AP40" s="282">
        <f t="shared" si="30"/>
        <v>37.86</v>
      </c>
      <c r="AQ40" s="283">
        <f t="shared" si="31"/>
        <v>33.130000000000003</v>
      </c>
      <c r="AR40" s="281">
        <f t="shared" si="32"/>
        <v>21.689999999999998</v>
      </c>
      <c r="AS40" s="282">
        <f t="shared" si="33"/>
        <v>26.79</v>
      </c>
      <c r="AT40" s="282">
        <f t="shared" si="34"/>
        <v>45.85</v>
      </c>
      <c r="AU40" s="283"/>
      <c r="AV40" s="281">
        <f t="shared" si="77"/>
        <v>57.86</v>
      </c>
      <c r="AW40" s="282">
        <f t="shared" si="78"/>
        <v>84.83</v>
      </c>
      <c r="AX40" s="282">
        <f t="shared" si="79"/>
        <v>107.49000000000001</v>
      </c>
      <c r="AY40" s="283">
        <f t="shared" si="80"/>
        <v>67.47</v>
      </c>
      <c r="AZ40" s="281">
        <f t="shared" si="35"/>
        <v>33.19</v>
      </c>
      <c r="BA40" s="282">
        <f t="shared" si="36"/>
        <v>33.31</v>
      </c>
      <c r="BB40" s="282">
        <f t="shared" si="37"/>
        <v>47.75</v>
      </c>
      <c r="BC40" s="283"/>
      <c r="BD40" s="281">
        <f t="shared" si="38"/>
        <v>20.69</v>
      </c>
      <c r="BE40" s="282">
        <f t="shared" si="39"/>
        <v>35.339999999999996</v>
      </c>
      <c r="BF40" s="282">
        <f t="shared" si="40"/>
        <v>44.07</v>
      </c>
      <c r="BG40" s="283"/>
      <c r="BH40" s="281">
        <f t="shared" si="41"/>
        <v>20.84</v>
      </c>
      <c r="BI40" s="282">
        <f t="shared" si="42"/>
        <v>25.19</v>
      </c>
      <c r="BJ40" s="282">
        <f t="shared" si="43"/>
        <v>30.79</v>
      </c>
      <c r="BK40" s="283"/>
      <c r="BL40" s="281">
        <f t="shared" si="81"/>
        <v>74.72</v>
      </c>
      <c r="BM40" s="282">
        <f t="shared" si="82"/>
        <v>93.84</v>
      </c>
      <c r="BN40" s="282">
        <f t="shared" si="83"/>
        <v>122.60999999999999</v>
      </c>
      <c r="BO40" s="283">
        <f t="shared" si="84"/>
        <v>0</v>
      </c>
      <c r="BQ40" s="281">
        <f t="shared" si="44"/>
        <v>33.349999999999994</v>
      </c>
      <c r="BR40" s="282">
        <f t="shared" si="45"/>
        <v>-1.7299999999999898</v>
      </c>
      <c r="BS40" s="283">
        <f t="shared" si="46"/>
        <v>48.899999999999991</v>
      </c>
      <c r="BT40" s="281">
        <f t="shared" si="47"/>
        <v>43.039999999999992</v>
      </c>
      <c r="BU40" s="282">
        <f t="shared" si="48"/>
        <v>-5.789999999999992</v>
      </c>
      <c r="BV40" s="283">
        <f t="shared" si="49"/>
        <v>31</v>
      </c>
      <c r="BW40" s="281">
        <f t="shared" si="50"/>
        <v>26.97</v>
      </c>
      <c r="BX40" s="282">
        <f t="shared" si="51"/>
        <v>22.660000000000011</v>
      </c>
      <c r="BY40" s="283">
        <f t="shared" si="52"/>
        <v>-40.02000000000001</v>
      </c>
      <c r="BZ40" s="281">
        <f t="shared" si="85"/>
        <v>19.120000000000005</v>
      </c>
      <c r="CA40" s="282">
        <f t="shared" si="86"/>
        <v>28.769999999999982</v>
      </c>
      <c r="CB40" s="283">
        <f t="shared" si="87"/>
        <v>-122.60999999999999</v>
      </c>
      <c r="CD40" s="282">
        <f t="shared" si="53"/>
        <v>17.61</v>
      </c>
      <c r="CE40" s="282">
        <f t="shared" si="54"/>
        <v>50.959999999999994</v>
      </c>
      <c r="CF40" s="282">
        <f t="shared" si="55"/>
        <v>49.230000000000004</v>
      </c>
      <c r="CG40" s="282">
        <f t="shared" si="56"/>
        <v>98.13</v>
      </c>
      <c r="CH40" s="282">
        <f t="shared" si="57"/>
        <v>60.230000000000004</v>
      </c>
      <c r="CI40" s="282">
        <f t="shared" si="58"/>
        <v>136.62</v>
      </c>
      <c r="CJ40" s="282">
        <f t="shared" si="59"/>
        <v>129.10000000000002</v>
      </c>
      <c r="CK40" s="282">
        <f t="shared" si="60"/>
        <v>209</v>
      </c>
      <c r="CL40" s="282">
        <f t="shared" si="61"/>
        <v>118.09</v>
      </c>
      <c r="CM40" s="282">
        <f t="shared" si="62"/>
        <v>221.45</v>
      </c>
      <c r="CN40" s="282">
        <f t="shared" si="63"/>
        <v>236.59</v>
      </c>
      <c r="CO40" s="282">
        <f t="shared" si="64"/>
        <v>276.47000000000003</v>
      </c>
      <c r="CP40" s="282">
        <f t="shared" si="65"/>
        <v>192.81</v>
      </c>
      <c r="CQ40" s="282">
        <f t="shared" si="66"/>
        <v>315.28999999999996</v>
      </c>
      <c r="CR40" s="282">
        <f t="shared" si="67"/>
        <v>359.20000000000005</v>
      </c>
      <c r="CS40" s="282">
        <f t="shared" si="68"/>
        <v>276.47000000000003</v>
      </c>
    </row>
    <row r="41" spans="1:97" ht="15.75" thickBot="1" x14ac:dyDescent="0.3">
      <c r="A41" s="522"/>
      <c r="B41" s="103">
        <v>39</v>
      </c>
      <c r="C41" s="90">
        <v>4.5</v>
      </c>
      <c r="D41" s="298">
        <f t="shared" si="0"/>
        <v>2.19</v>
      </c>
      <c r="E41" s="299">
        <f t="shared" si="1"/>
        <v>2.0499999999999998</v>
      </c>
      <c r="F41" s="299">
        <f t="shared" si="2"/>
        <v>2.9699999999999998</v>
      </c>
      <c r="G41" s="300">
        <f t="shared" si="3"/>
        <v>2.2599999999999998</v>
      </c>
      <c r="H41" s="298">
        <f t="shared" si="4"/>
        <v>0.74</v>
      </c>
      <c r="I41" s="299">
        <f t="shared" si="5"/>
        <v>0</v>
      </c>
      <c r="J41" s="299">
        <f t="shared" si="6"/>
        <v>0</v>
      </c>
      <c r="K41" s="300">
        <f t="shared" si="7"/>
        <v>3.29</v>
      </c>
      <c r="L41" s="298">
        <f t="shared" si="8"/>
        <v>0</v>
      </c>
      <c r="M41" s="299">
        <f t="shared" si="9"/>
        <v>0</v>
      </c>
      <c r="N41" s="299">
        <f t="shared" si="10"/>
        <v>2.21</v>
      </c>
      <c r="O41" s="301">
        <f t="shared" si="11"/>
        <v>2.25</v>
      </c>
      <c r="P41" s="298">
        <f t="shared" si="69"/>
        <v>2.9299999999999997</v>
      </c>
      <c r="Q41" s="299">
        <f t="shared" si="70"/>
        <v>2.0499999999999998</v>
      </c>
      <c r="R41" s="299">
        <f t="shared" si="71"/>
        <v>5.18</v>
      </c>
      <c r="S41" s="300">
        <f t="shared" si="72"/>
        <v>7.8</v>
      </c>
      <c r="T41" s="298">
        <f t="shared" si="12"/>
        <v>0</v>
      </c>
      <c r="U41" s="299">
        <f t="shared" si="13"/>
        <v>0.98</v>
      </c>
      <c r="V41" s="299">
        <f t="shared" si="14"/>
        <v>1.5</v>
      </c>
      <c r="W41" s="300">
        <f t="shared" si="15"/>
        <v>2.7199999999999998</v>
      </c>
      <c r="X41" s="298">
        <f t="shared" si="16"/>
        <v>2.25</v>
      </c>
      <c r="Y41" s="299">
        <f t="shared" si="17"/>
        <v>1.2</v>
      </c>
      <c r="Z41" s="299">
        <f t="shared" si="18"/>
        <v>2.08</v>
      </c>
      <c r="AA41" s="300">
        <f t="shared" si="19"/>
        <v>2.0299999999999998</v>
      </c>
      <c r="AB41" s="298">
        <f t="shared" si="20"/>
        <v>1.4</v>
      </c>
      <c r="AC41" s="299">
        <f t="shared" si="21"/>
        <v>0.7</v>
      </c>
      <c r="AD41" s="299">
        <f t="shared" si="22"/>
        <v>2.04</v>
      </c>
      <c r="AE41" s="300">
        <f t="shared" si="23"/>
        <v>1.56</v>
      </c>
      <c r="AF41" s="298">
        <f t="shared" si="73"/>
        <v>3.65</v>
      </c>
      <c r="AG41" s="299">
        <f t="shared" si="74"/>
        <v>2.88</v>
      </c>
      <c r="AH41" s="299">
        <f t="shared" si="75"/>
        <v>5.62</v>
      </c>
      <c r="AI41" s="300">
        <f t="shared" si="76"/>
        <v>6.3100000000000005</v>
      </c>
      <c r="AJ41" s="298">
        <f t="shared" si="24"/>
        <v>1.49</v>
      </c>
      <c r="AK41" s="299">
        <f t="shared" si="25"/>
        <v>1.5</v>
      </c>
      <c r="AL41" s="299">
        <f t="shared" si="26"/>
        <v>1.9</v>
      </c>
      <c r="AM41" s="300">
        <f t="shared" si="27"/>
        <v>3.38</v>
      </c>
      <c r="AN41" s="298">
        <f t="shared" si="28"/>
        <v>1.79</v>
      </c>
      <c r="AO41" s="299">
        <f t="shared" si="29"/>
        <v>1.7000000000000002</v>
      </c>
      <c r="AP41" s="299">
        <f t="shared" si="30"/>
        <v>3.4</v>
      </c>
      <c r="AQ41" s="300">
        <f t="shared" si="31"/>
        <v>4.46</v>
      </c>
      <c r="AR41" s="298">
        <f t="shared" si="32"/>
        <v>0</v>
      </c>
      <c r="AS41" s="299">
        <f t="shared" si="33"/>
        <v>1.92</v>
      </c>
      <c r="AT41" s="299">
        <f t="shared" si="34"/>
        <v>4.6899999999999995</v>
      </c>
      <c r="AU41" s="300"/>
      <c r="AV41" s="298">
        <f t="shared" si="77"/>
        <v>3.2800000000000002</v>
      </c>
      <c r="AW41" s="299">
        <f t="shared" si="78"/>
        <v>5.12</v>
      </c>
      <c r="AX41" s="299">
        <f t="shared" si="79"/>
        <v>9.9899999999999984</v>
      </c>
      <c r="AY41" s="300">
        <f t="shared" si="80"/>
        <v>7.84</v>
      </c>
      <c r="AZ41" s="298">
        <f t="shared" si="35"/>
        <v>1.5</v>
      </c>
      <c r="BA41" s="299">
        <f t="shared" si="36"/>
        <v>1.32</v>
      </c>
      <c r="BB41" s="299">
        <f t="shared" si="37"/>
        <v>1.93</v>
      </c>
      <c r="BC41" s="300"/>
      <c r="BD41" s="298">
        <f t="shared" si="38"/>
        <v>2.56</v>
      </c>
      <c r="BE41" s="299">
        <f t="shared" si="39"/>
        <v>2.91</v>
      </c>
      <c r="BF41" s="299">
        <f t="shared" si="40"/>
        <v>4.3100000000000005</v>
      </c>
      <c r="BG41" s="300"/>
      <c r="BH41" s="298">
        <f t="shared" si="41"/>
        <v>0</v>
      </c>
      <c r="BI41" s="299">
        <f t="shared" si="42"/>
        <v>3.0300000000000002</v>
      </c>
      <c r="BJ41" s="299">
        <f t="shared" si="43"/>
        <v>3.21</v>
      </c>
      <c r="BK41" s="300"/>
      <c r="BL41" s="298">
        <f t="shared" si="81"/>
        <v>4.0600000000000005</v>
      </c>
      <c r="BM41" s="299">
        <f t="shared" si="82"/>
        <v>7.2600000000000007</v>
      </c>
      <c r="BN41" s="299">
        <f t="shared" si="83"/>
        <v>9.4499999999999993</v>
      </c>
      <c r="BO41" s="300">
        <f t="shared" si="84"/>
        <v>0</v>
      </c>
      <c r="BQ41" s="298">
        <f t="shared" si="44"/>
        <v>-0.87999999999999989</v>
      </c>
      <c r="BR41" s="299">
        <f t="shared" si="45"/>
        <v>3.13</v>
      </c>
      <c r="BS41" s="300">
        <f t="shared" si="46"/>
        <v>2.62</v>
      </c>
      <c r="BT41" s="298">
        <f t="shared" si="47"/>
        <v>-0.77</v>
      </c>
      <c r="BU41" s="299">
        <f t="shared" si="48"/>
        <v>2.74</v>
      </c>
      <c r="BV41" s="300">
        <f t="shared" si="49"/>
        <v>0.69000000000000039</v>
      </c>
      <c r="BW41" s="298">
        <f t="shared" si="50"/>
        <v>1.8399999999999999</v>
      </c>
      <c r="BX41" s="299">
        <f t="shared" si="51"/>
        <v>4.8699999999999983</v>
      </c>
      <c r="BY41" s="300">
        <f t="shared" si="52"/>
        <v>-2.1499999999999986</v>
      </c>
      <c r="BZ41" s="298">
        <f t="shared" si="85"/>
        <v>3.2</v>
      </c>
      <c r="CA41" s="299">
        <f t="shared" si="86"/>
        <v>2.1899999999999986</v>
      </c>
      <c r="CB41" s="300">
        <f t="shared" si="87"/>
        <v>-9.4499999999999993</v>
      </c>
      <c r="CD41" s="282">
        <f t="shared" si="53"/>
        <v>2.9299999999999997</v>
      </c>
      <c r="CE41" s="282">
        <f t="shared" si="54"/>
        <v>2.0499999999999998</v>
      </c>
      <c r="CF41" s="282">
        <f t="shared" si="55"/>
        <v>5.18</v>
      </c>
      <c r="CG41" s="282">
        <f t="shared" si="56"/>
        <v>7.8</v>
      </c>
      <c r="CH41" s="282">
        <f t="shared" si="57"/>
        <v>6.58</v>
      </c>
      <c r="CI41" s="282">
        <f t="shared" si="58"/>
        <v>4.93</v>
      </c>
      <c r="CJ41" s="282">
        <f t="shared" si="59"/>
        <v>10.8</v>
      </c>
      <c r="CK41" s="282">
        <f t="shared" si="60"/>
        <v>14.11</v>
      </c>
      <c r="CL41" s="282">
        <f t="shared" si="61"/>
        <v>9.86</v>
      </c>
      <c r="CM41" s="282">
        <f t="shared" si="62"/>
        <v>10.049999999999999</v>
      </c>
      <c r="CN41" s="282">
        <f t="shared" si="63"/>
        <v>20.79</v>
      </c>
      <c r="CO41" s="282">
        <f t="shared" si="64"/>
        <v>21.95</v>
      </c>
      <c r="CP41" s="282">
        <f t="shared" si="65"/>
        <v>13.92</v>
      </c>
      <c r="CQ41" s="282">
        <f t="shared" si="66"/>
        <v>17.309999999999999</v>
      </c>
      <c r="CR41" s="282">
        <f t="shared" si="67"/>
        <v>30.240000000000002</v>
      </c>
      <c r="CS41" s="282">
        <f t="shared" si="68"/>
        <v>21.95</v>
      </c>
    </row>
    <row r="42" spans="1:97" s="285" customFormat="1" ht="16.5" thickBot="1" x14ac:dyDescent="0.3">
      <c r="A42" s="185" t="s">
        <v>6</v>
      </c>
      <c r="B42" s="302"/>
      <c r="C42" s="160">
        <f>SUM(C5:C16,C17:C23,C24:C28,C31:C38,C40:C41)</f>
        <v>1416.5100000000002</v>
      </c>
      <c r="D42" s="303">
        <f t="shared" ref="D42:O42" si="88">SUBTOTAL(9,D5:D41)</f>
        <v>1276.75</v>
      </c>
      <c r="E42" s="304">
        <f t="shared" si="88"/>
        <v>1450.9499999999996</v>
      </c>
      <c r="F42" s="304">
        <f t="shared" si="88"/>
        <v>1328.2100000000003</v>
      </c>
      <c r="G42" s="305">
        <f t="shared" si="88"/>
        <v>1367.55</v>
      </c>
      <c r="H42" s="303">
        <f t="shared" si="88"/>
        <v>822.8299999999997</v>
      </c>
      <c r="I42" s="304">
        <f t="shared" si="88"/>
        <v>1191.723</v>
      </c>
      <c r="J42" s="304">
        <f t="shared" si="88"/>
        <v>852.04</v>
      </c>
      <c r="K42" s="305">
        <f t="shared" si="88"/>
        <v>1527.92</v>
      </c>
      <c r="L42" s="303">
        <f t="shared" si="88"/>
        <v>1061.4500000000003</v>
      </c>
      <c r="M42" s="304">
        <f t="shared" si="88"/>
        <v>1334.4799999999998</v>
      </c>
      <c r="N42" s="304">
        <f t="shared" si="88"/>
        <v>655.97</v>
      </c>
      <c r="O42" s="306">
        <f t="shared" si="88"/>
        <v>1404.8000000000004</v>
      </c>
      <c r="P42" s="303">
        <f>D42+H42+L42</f>
        <v>3161.03</v>
      </c>
      <c r="Q42" s="304">
        <f t="shared" si="70"/>
        <v>3977.1529999999993</v>
      </c>
      <c r="R42" s="304">
        <f t="shared" si="71"/>
        <v>2836.2200000000003</v>
      </c>
      <c r="S42" s="305">
        <f t="shared" si="72"/>
        <v>4300.2700000000004</v>
      </c>
      <c r="T42" s="303">
        <f t="shared" ref="T42:AE42" si="89">SUBTOTAL(9,T5:T41)</f>
        <v>1274.5399999999995</v>
      </c>
      <c r="U42" s="304">
        <f t="shared" si="89"/>
        <v>1263.4800000000002</v>
      </c>
      <c r="V42" s="304">
        <f t="shared" si="89"/>
        <v>1064.0929999999998</v>
      </c>
      <c r="W42" s="305">
        <f t="shared" si="89"/>
        <v>1929.2300000000002</v>
      </c>
      <c r="X42" s="303">
        <f t="shared" si="89"/>
        <v>1496.1400000000003</v>
      </c>
      <c r="Y42" s="304">
        <f t="shared" si="89"/>
        <v>1400.8300000000002</v>
      </c>
      <c r="Z42" s="304">
        <f t="shared" si="89"/>
        <v>1352.6299999999999</v>
      </c>
      <c r="AA42" s="305">
        <f t="shared" si="89"/>
        <v>1739.06</v>
      </c>
      <c r="AB42" s="303">
        <f t="shared" si="89"/>
        <v>1363.34</v>
      </c>
      <c r="AC42" s="304">
        <f t="shared" si="89"/>
        <v>1424.1000000000004</v>
      </c>
      <c r="AD42" s="304">
        <f t="shared" si="89"/>
        <v>1285.9600000000003</v>
      </c>
      <c r="AE42" s="305">
        <f t="shared" si="89"/>
        <v>1554.2800000000004</v>
      </c>
      <c r="AF42" s="303">
        <f>T42+X42+AB42</f>
        <v>4134.0199999999995</v>
      </c>
      <c r="AG42" s="304">
        <f t="shared" si="74"/>
        <v>4088.4100000000008</v>
      </c>
      <c r="AH42" s="304">
        <f t="shared" si="75"/>
        <v>3702.683</v>
      </c>
      <c r="AI42" s="305">
        <f t="shared" si="76"/>
        <v>5222.5700000000006</v>
      </c>
      <c r="AJ42" s="303">
        <f t="shared" ref="AJ42:AU42" si="90">SUBTOTAL(9,AJ5:AJ41)</f>
        <v>1483.8200000000002</v>
      </c>
      <c r="AK42" s="304">
        <f t="shared" si="90"/>
        <v>1582.2499999999998</v>
      </c>
      <c r="AL42" s="304">
        <f t="shared" si="90"/>
        <v>1537.55</v>
      </c>
      <c r="AM42" s="305">
        <f t="shared" si="90"/>
        <v>1571.88</v>
      </c>
      <c r="AN42" s="303">
        <f t="shared" si="90"/>
        <v>1896.38</v>
      </c>
      <c r="AO42" s="304">
        <f t="shared" si="90"/>
        <v>1658.3699999999997</v>
      </c>
      <c r="AP42" s="304">
        <f t="shared" si="90"/>
        <v>2136.8200000000002</v>
      </c>
      <c r="AQ42" s="305">
        <f t="shared" si="90"/>
        <v>1751.82</v>
      </c>
      <c r="AR42" s="303">
        <f t="shared" si="90"/>
        <v>1883.4599999999998</v>
      </c>
      <c r="AS42" s="304">
        <f t="shared" si="90"/>
        <v>1806.9199999999998</v>
      </c>
      <c r="AT42" s="304">
        <f t="shared" si="90"/>
        <v>2341.7800000000002</v>
      </c>
      <c r="AU42" s="305">
        <f t="shared" si="90"/>
        <v>0</v>
      </c>
      <c r="AV42" s="303">
        <f>AJ42+AN42+AR42</f>
        <v>5263.66</v>
      </c>
      <c r="AW42" s="304">
        <f t="shared" si="78"/>
        <v>5047.5399999999991</v>
      </c>
      <c r="AX42" s="304">
        <f t="shared" si="79"/>
        <v>6016.15</v>
      </c>
      <c r="AY42" s="305">
        <f t="shared" si="80"/>
        <v>3323.7</v>
      </c>
      <c r="AZ42" s="303">
        <f t="shared" ref="AZ42:BK42" si="91">SUBTOTAL(9,AZ5:AZ41)</f>
        <v>2346.5000000000009</v>
      </c>
      <c r="BA42" s="304">
        <f t="shared" si="91"/>
        <v>1966.14</v>
      </c>
      <c r="BB42" s="304">
        <f t="shared" si="91"/>
        <v>2640.7299999999991</v>
      </c>
      <c r="BC42" s="305">
        <f t="shared" si="91"/>
        <v>0</v>
      </c>
      <c r="BD42" s="303">
        <f t="shared" si="91"/>
        <v>1936.1800000000003</v>
      </c>
      <c r="BE42" s="304">
        <f t="shared" si="91"/>
        <v>1803.11</v>
      </c>
      <c r="BF42" s="304">
        <f t="shared" si="91"/>
        <v>2304.94</v>
      </c>
      <c r="BG42" s="305">
        <f t="shared" si="91"/>
        <v>0</v>
      </c>
      <c r="BH42" s="303">
        <f t="shared" si="91"/>
        <v>1991.0399999999997</v>
      </c>
      <c r="BI42" s="304">
        <f t="shared" si="91"/>
        <v>1545.4199999999998</v>
      </c>
      <c r="BJ42" s="304">
        <f t="shared" si="91"/>
        <v>1989.4299999999998</v>
      </c>
      <c r="BK42" s="305">
        <f t="shared" si="91"/>
        <v>0</v>
      </c>
      <c r="BL42" s="303">
        <f>AZ42+BD42+BH42</f>
        <v>6273.7200000000012</v>
      </c>
      <c r="BM42" s="304">
        <f t="shared" si="82"/>
        <v>5314.67</v>
      </c>
      <c r="BN42" s="304">
        <f t="shared" si="83"/>
        <v>6935.0999999999985</v>
      </c>
      <c r="BO42" s="305">
        <f t="shared" si="84"/>
        <v>0</v>
      </c>
      <c r="BP42" s="307"/>
      <c r="BQ42" s="303">
        <f t="shared" si="44"/>
        <v>816.12299999999914</v>
      </c>
      <c r="BR42" s="304">
        <f t="shared" si="45"/>
        <v>-1140.9329999999991</v>
      </c>
      <c r="BS42" s="305">
        <f t="shared" si="46"/>
        <v>1464.0500000000002</v>
      </c>
      <c r="BT42" s="303">
        <f t="shared" si="47"/>
        <v>-45.609999999998763</v>
      </c>
      <c r="BU42" s="304">
        <f t="shared" si="48"/>
        <v>-385.72700000000077</v>
      </c>
      <c r="BV42" s="305">
        <f t="shared" si="49"/>
        <v>1519.8870000000006</v>
      </c>
      <c r="BW42" s="303">
        <f t="shared" si="50"/>
        <v>-216.1200000000008</v>
      </c>
      <c r="BX42" s="304">
        <f t="shared" si="51"/>
        <v>968.61000000000058</v>
      </c>
      <c r="BY42" s="305">
        <f t="shared" si="52"/>
        <v>-2692.45</v>
      </c>
      <c r="BZ42" s="303">
        <f t="shared" si="85"/>
        <v>-959.05000000000109</v>
      </c>
      <c r="CA42" s="304">
        <f t="shared" si="86"/>
        <v>1620.4299999999985</v>
      </c>
      <c r="CB42" s="305">
        <f t="shared" si="87"/>
        <v>-6935.0999999999985</v>
      </c>
      <c r="CC42" s="307"/>
      <c r="CD42" s="308">
        <f t="shared" si="53"/>
        <v>3161.03</v>
      </c>
      <c r="CE42" s="308">
        <f t="shared" si="54"/>
        <v>3977.1529999999993</v>
      </c>
      <c r="CF42" s="308">
        <f t="shared" si="55"/>
        <v>2836.2200000000003</v>
      </c>
      <c r="CG42" s="309">
        <f t="shared" si="56"/>
        <v>4300.2700000000004</v>
      </c>
      <c r="CH42" s="308">
        <f t="shared" si="57"/>
        <v>7295.05</v>
      </c>
      <c r="CI42" s="308">
        <f t="shared" si="58"/>
        <v>8065.5630000000001</v>
      </c>
      <c r="CJ42" s="308">
        <f t="shared" si="59"/>
        <v>6538.9030000000002</v>
      </c>
      <c r="CK42" s="309">
        <f t="shared" si="60"/>
        <v>9522.840000000002</v>
      </c>
      <c r="CL42" s="308">
        <f t="shared" si="61"/>
        <v>12558.71</v>
      </c>
      <c r="CM42" s="308">
        <f t="shared" si="62"/>
        <v>13113.102999999999</v>
      </c>
      <c r="CN42" s="308">
        <f t="shared" si="63"/>
        <v>12555.053000000002</v>
      </c>
      <c r="CO42" s="309">
        <f t="shared" si="64"/>
        <v>12846.54</v>
      </c>
      <c r="CP42" s="308">
        <f t="shared" si="65"/>
        <v>18832.43</v>
      </c>
      <c r="CQ42" s="308">
        <f t="shared" si="66"/>
        <v>18427.772999999997</v>
      </c>
      <c r="CR42" s="308">
        <f t="shared" si="67"/>
        <v>19490.153000000002</v>
      </c>
      <c r="CS42" s="309">
        <f t="shared" si="68"/>
        <v>12846.54</v>
      </c>
    </row>
    <row r="44" spans="1:97" ht="15.75" customHeight="1" thickBot="1" x14ac:dyDescent="0.3">
      <c r="CP44" s="280">
        <f>D42+H42+L42+T42+X42+AB42+AJ42+AN42+AR42+AZ42+BD42+BH42</f>
        <v>18832.43</v>
      </c>
      <c r="CQ44" s="280">
        <f>E42+I42+M42+U42+Y42+AC42+AK42+AO42+AS42+BA42+BE42+BI42</f>
        <v>18427.772999999997</v>
      </c>
      <c r="CR44" s="280">
        <f>F42+J42+N42+V42+Z42+AD42+AL42+AP42+AT42+BB42+BF42+BJ42</f>
        <v>19490.153000000002</v>
      </c>
      <c r="CS44" s="280">
        <f>G42+K42+O42+W42+AA42+AE42+AM42+AQ42+AU42+BC42+BG42+BK42</f>
        <v>12846.54</v>
      </c>
    </row>
    <row r="45" spans="1:97" ht="15.75" customHeight="1" thickBot="1" x14ac:dyDescent="0.3"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BQ45" s="529" t="s">
        <v>61</v>
      </c>
      <c r="BR45" s="530"/>
      <c r="BS45" s="531"/>
      <c r="BT45" s="529" t="s">
        <v>58</v>
      </c>
      <c r="BU45" s="530"/>
      <c r="BV45" s="531"/>
      <c r="BW45" s="529" t="s">
        <v>55</v>
      </c>
      <c r="BX45" s="530"/>
      <c r="BY45" s="531"/>
      <c r="BZ45" s="529" t="s">
        <v>52</v>
      </c>
      <c r="CA45" s="530"/>
      <c r="CB45" s="531"/>
    </row>
    <row r="46" spans="1:97" ht="15.75" customHeight="1" x14ac:dyDescent="0.25">
      <c r="A46" s="523" t="s">
        <v>3</v>
      </c>
      <c r="B46" s="524"/>
      <c r="C46" s="527" t="s">
        <v>4</v>
      </c>
      <c r="D46" s="498" t="s">
        <v>37</v>
      </c>
      <c r="E46" s="499"/>
      <c r="F46" s="499"/>
      <c r="G46" s="500"/>
      <c r="H46" s="498" t="s">
        <v>38</v>
      </c>
      <c r="I46" s="499"/>
      <c r="J46" s="499"/>
      <c r="K46" s="500"/>
      <c r="L46" s="498" t="s">
        <v>39</v>
      </c>
      <c r="M46" s="499"/>
      <c r="N46" s="499"/>
      <c r="O46" s="500"/>
      <c r="T46" s="498" t="s">
        <v>40</v>
      </c>
      <c r="U46" s="499"/>
      <c r="V46" s="499"/>
      <c r="W46" s="500"/>
      <c r="X46" s="498" t="s">
        <v>11</v>
      </c>
      <c r="Y46" s="499"/>
      <c r="Z46" s="499"/>
      <c r="AA46" s="500"/>
      <c r="AB46" s="498" t="s">
        <v>41</v>
      </c>
      <c r="AC46" s="499"/>
      <c r="AD46" s="499"/>
      <c r="AE46" s="500"/>
      <c r="AJ46" s="498" t="s">
        <v>42</v>
      </c>
      <c r="AK46" s="499"/>
      <c r="AL46" s="499"/>
      <c r="AM46" s="500"/>
      <c r="AN46" s="498" t="s">
        <v>43</v>
      </c>
      <c r="AO46" s="499"/>
      <c r="AP46" s="499"/>
      <c r="AQ46" s="500"/>
      <c r="AR46" s="498" t="s">
        <v>44</v>
      </c>
      <c r="AS46" s="499"/>
      <c r="AT46" s="499"/>
      <c r="AU46" s="500"/>
      <c r="AZ46" s="498" t="s">
        <v>45</v>
      </c>
      <c r="BA46" s="499"/>
      <c r="BB46" s="499"/>
      <c r="BC46" s="500"/>
      <c r="BD46" s="498" t="s">
        <v>46</v>
      </c>
      <c r="BE46" s="499"/>
      <c r="BF46" s="499"/>
      <c r="BG46" s="500"/>
      <c r="BH46" s="498" t="s">
        <v>47</v>
      </c>
      <c r="BI46" s="499"/>
      <c r="BJ46" s="499"/>
      <c r="BK46" s="500"/>
      <c r="BQ46" s="532"/>
      <c r="BR46" s="533"/>
      <c r="BS46" s="534"/>
      <c r="BT46" s="532"/>
      <c r="BU46" s="533"/>
      <c r="BV46" s="534"/>
      <c r="BW46" s="532"/>
      <c r="BX46" s="533"/>
      <c r="BY46" s="534"/>
      <c r="BZ46" s="532"/>
      <c r="CA46" s="533"/>
      <c r="CB46" s="534"/>
    </row>
    <row r="47" spans="1:97" ht="15.75" thickBot="1" x14ac:dyDescent="0.3">
      <c r="A47" s="525"/>
      <c r="B47" s="526"/>
      <c r="C47" s="528"/>
      <c r="D47" s="288">
        <v>2022</v>
      </c>
      <c r="E47" s="289">
        <v>2023</v>
      </c>
      <c r="F47" s="289">
        <v>2024</v>
      </c>
      <c r="G47" s="290">
        <v>2025</v>
      </c>
      <c r="H47" s="288">
        <v>2022</v>
      </c>
      <c r="I47" s="289">
        <v>2023</v>
      </c>
      <c r="J47" s="289">
        <v>2024</v>
      </c>
      <c r="K47" s="290">
        <v>2025</v>
      </c>
      <c r="L47" s="288">
        <v>2022</v>
      </c>
      <c r="M47" s="289">
        <v>2023</v>
      </c>
      <c r="N47" s="289">
        <v>2024</v>
      </c>
      <c r="O47" s="290">
        <v>2025</v>
      </c>
      <c r="T47" s="288">
        <v>2022</v>
      </c>
      <c r="U47" s="289">
        <v>2023</v>
      </c>
      <c r="V47" s="289">
        <v>2024</v>
      </c>
      <c r="W47" s="290">
        <v>2025</v>
      </c>
      <c r="X47" s="288">
        <v>2022</v>
      </c>
      <c r="Y47" s="289">
        <v>2023</v>
      </c>
      <c r="Z47" s="289">
        <v>2024</v>
      </c>
      <c r="AA47" s="290">
        <v>2025</v>
      </c>
      <c r="AB47" s="288">
        <v>2022</v>
      </c>
      <c r="AC47" s="289">
        <v>2023</v>
      </c>
      <c r="AD47" s="289">
        <v>2024</v>
      </c>
      <c r="AE47" s="290">
        <v>2025</v>
      </c>
      <c r="AJ47" s="288">
        <v>2022</v>
      </c>
      <c r="AK47" s="289">
        <v>2023</v>
      </c>
      <c r="AL47" s="289">
        <v>2024</v>
      </c>
      <c r="AM47" s="290">
        <v>2025</v>
      </c>
      <c r="AN47" s="288">
        <v>2022</v>
      </c>
      <c r="AO47" s="289">
        <v>2023</v>
      </c>
      <c r="AP47" s="289">
        <v>2024</v>
      </c>
      <c r="AQ47" s="290">
        <v>2025</v>
      </c>
      <c r="AR47" s="288">
        <v>2022</v>
      </c>
      <c r="AS47" s="289">
        <v>2023</v>
      </c>
      <c r="AT47" s="289">
        <v>2024</v>
      </c>
      <c r="AU47" s="290">
        <v>2025</v>
      </c>
      <c r="AZ47" s="288">
        <v>2022</v>
      </c>
      <c r="BA47" s="289">
        <v>2023</v>
      </c>
      <c r="BB47" s="289">
        <v>2024</v>
      </c>
      <c r="BC47" s="290">
        <v>2025</v>
      </c>
      <c r="BD47" s="288">
        <v>2022</v>
      </c>
      <c r="BE47" s="289">
        <v>2023</v>
      </c>
      <c r="BF47" s="289">
        <v>2024</v>
      </c>
      <c r="BG47" s="290">
        <v>2025</v>
      </c>
      <c r="BH47" s="288">
        <v>2022</v>
      </c>
      <c r="BI47" s="289">
        <v>2023</v>
      </c>
      <c r="BJ47" s="289">
        <v>2024</v>
      </c>
      <c r="BK47" s="290">
        <v>2025</v>
      </c>
      <c r="BQ47" s="288" t="s">
        <v>48</v>
      </c>
      <c r="BR47" s="289" t="s">
        <v>49</v>
      </c>
      <c r="BS47" s="290" t="s">
        <v>50</v>
      </c>
      <c r="BT47" s="288" t="s">
        <v>48</v>
      </c>
      <c r="BU47" s="289" t="s">
        <v>49</v>
      </c>
      <c r="BV47" s="290" t="s">
        <v>50</v>
      </c>
      <c r="BW47" s="288" t="s">
        <v>48</v>
      </c>
      <c r="BX47" s="289" t="s">
        <v>49</v>
      </c>
      <c r="BY47" s="290" t="s">
        <v>50</v>
      </c>
      <c r="BZ47" s="288" t="s">
        <v>48</v>
      </c>
      <c r="CA47" s="289" t="s">
        <v>49</v>
      </c>
      <c r="CB47" s="290" t="s">
        <v>50</v>
      </c>
    </row>
    <row r="48" spans="1:97" x14ac:dyDescent="0.25">
      <c r="A48" s="520" t="s">
        <v>21</v>
      </c>
      <c r="B48" s="23">
        <v>1</v>
      </c>
      <c r="C48" s="24">
        <v>53.2</v>
      </c>
      <c r="D48" s="281">
        <f t="shared" ref="D48:D84" si="92">VLOOKUP(B48,year2022to23,72,FALSE)</f>
        <v>62.09</v>
      </c>
      <c r="E48" s="282">
        <f t="shared" ref="E48:E84" si="93">VLOOKUP(B48,year2022to23,132,FALSE)</f>
        <v>93.17</v>
      </c>
      <c r="F48" s="282">
        <f t="shared" ref="F48:F84" si="94">VLOOKUP(B48,year2022to23,192,FALSE)</f>
        <v>36.94</v>
      </c>
      <c r="G48" s="283">
        <f t="shared" ref="G48:G84" si="95">VLOOKUP(B48,year2022to23,252,FALSE)</f>
        <v>69.42</v>
      </c>
      <c r="H48" s="281">
        <f t="shared" ref="H48:H84" si="96">VLOOKUP(B48,year2022to23,77,FALSE)</f>
        <v>55.72</v>
      </c>
      <c r="I48" s="282">
        <f t="shared" ref="I48:I84" si="97">VLOOKUP(B48,year2022to23,137,FALSE)</f>
        <v>56.28</v>
      </c>
      <c r="J48" s="282">
        <f t="shared" ref="J48:J84" si="98">VLOOKUP(B48,year2022to23,197,FALSE)</f>
        <v>39.44</v>
      </c>
      <c r="K48" s="283">
        <f t="shared" ref="K48:K84" si="99">VLOOKUP(B48,year2022to23,257,FALSE)</f>
        <v>43.2</v>
      </c>
      <c r="L48" s="281">
        <f t="shared" ref="L48:L84" si="100">VLOOKUP(B48,year2022to23,82,FALSE)</f>
        <v>43.06</v>
      </c>
      <c r="M48" s="282">
        <f t="shared" ref="M48:M84" si="101">VLOOKUP(B48,year2022to23,142,FALSE)</f>
        <v>31.12</v>
      </c>
      <c r="N48" s="282">
        <f t="shared" ref="N48:N84" si="102">VLOOKUP(B48,year2022to23,202,FALSE)</f>
        <v>27.55</v>
      </c>
      <c r="O48" s="283">
        <f t="shared" ref="O48:O84" si="103">VLOOKUP(B48,year2022to23,262,FALSE)</f>
        <v>71.900000000000006</v>
      </c>
      <c r="T48" s="281">
        <f t="shared" ref="T48:T84" si="104">VLOOKUP(B48,year2022to23,87,FALSE)</f>
        <v>87.37</v>
      </c>
      <c r="U48" s="282">
        <f t="shared" ref="U48:U84" si="105">VLOOKUP(B48,year2022to23,147,FALSE)</f>
        <v>36.07</v>
      </c>
      <c r="V48" s="282">
        <f t="shared" ref="V48:V84" si="106">VLOOKUP(B48,year2022to23,207,FALSE)</f>
        <v>34.130000000000003</v>
      </c>
      <c r="W48" s="283">
        <f t="shared" ref="W48:W84" si="107">VLOOKUP(B48,year2022to23,267,FALSE)</f>
        <v>82.490000000000009</v>
      </c>
      <c r="X48" s="281">
        <f t="shared" ref="X48:X84" si="108">VLOOKUP(B48,year2022to23,92,FALSE)</f>
        <v>52.38</v>
      </c>
      <c r="Y48" s="282">
        <f t="shared" ref="Y48:Y84" si="109">VLOOKUP(B48,year2022to23,152,FALSE)</f>
        <v>50.52</v>
      </c>
      <c r="Z48" s="282">
        <f t="shared" ref="Z48:Z84" si="110">VLOOKUP(B48,year2022to23,212,FALSE)</f>
        <v>58.91</v>
      </c>
      <c r="AA48" s="283">
        <f t="shared" ref="AA48:AA84" si="111">VLOOKUP(B48,year2022to23,272,FALSE)</f>
        <v>84.13</v>
      </c>
      <c r="AB48" s="281">
        <f t="shared" ref="AB48:AB84" si="112">VLOOKUP(B48,year2022to23,97,FALSE)</f>
        <v>54.89</v>
      </c>
      <c r="AC48" s="282">
        <f t="shared" ref="AC48:AC84" si="113">VLOOKUP(B48,year2022to23,157,FALSE)</f>
        <v>55.36</v>
      </c>
      <c r="AD48" s="282">
        <f t="shared" ref="AD48:AD84" si="114">VLOOKUP(B48,year2022to23,217,FALSE)</f>
        <v>54.04</v>
      </c>
      <c r="AE48" s="283">
        <f t="shared" ref="AE48:AE84" si="115">VLOOKUP(B48,year2022to23,277,FALSE)</f>
        <v>52.52</v>
      </c>
      <c r="AJ48" s="281">
        <f t="shared" ref="AJ48:AJ84" si="116">VLOOKUP(B48,year2022to23,102,FALSE)</f>
        <v>67.599999999999994</v>
      </c>
      <c r="AK48" s="282">
        <f t="shared" ref="AK48:AK84" si="117">VLOOKUP(B48,year2022to23,162,FALSE)</f>
        <v>46.79</v>
      </c>
      <c r="AL48" s="282">
        <f t="shared" ref="AL48:AL84" si="118">VLOOKUP(B48,year2022to23,222,FALSE)</f>
        <v>44.8</v>
      </c>
      <c r="AM48" s="283">
        <f t="shared" ref="AM48:AM84" si="119">VLOOKUP(B48,year2022to23,282,FALSE)</f>
        <v>45.54</v>
      </c>
      <c r="AN48" s="281">
        <f t="shared" ref="AN48:AN84" si="120">VLOOKUP(B48,year2022to23,107,FALSE)</f>
        <v>45.84</v>
      </c>
      <c r="AO48" s="282">
        <f t="shared" ref="AO48:AO84" si="121">VLOOKUP(B48,year2022to23,167,FALSE)</f>
        <v>54.7</v>
      </c>
      <c r="AP48" s="282">
        <f t="shared" ref="AP48:AP84" si="122">VLOOKUP(B48,year2022to23,227,FALSE)</f>
        <v>65.94</v>
      </c>
      <c r="AQ48" s="283">
        <f t="shared" ref="AQ48:AQ84" si="123">IFERROR(VLOOKUP(B48,year2022to23,287,FALSE),0)</f>
        <v>64.97999999999999</v>
      </c>
      <c r="AR48" s="281">
        <f t="shared" ref="AR48:AR84" si="124">VLOOKUP(B48,year2022to23,112,FALSE)</f>
        <v>70.95</v>
      </c>
      <c r="AS48" s="282">
        <f t="shared" ref="AS48:AS84" si="125">VLOOKUP(B48,year2022to23,172,FALSE)</f>
        <v>66.5</v>
      </c>
      <c r="AT48" s="282">
        <f t="shared" ref="AT48:AT84" si="126">VLOOKUP(B48,year2022to23,232,FALSE)</f>
        <v>51.120000000000005</v>
      </c>
      <c r="AU48" s="283"/>
      <c r="AZ48" s="281">
        <f t="shared" ref="AZ48:AZ84" si="127">VLOOKUP(B48,year2022to23,117,FALSE)</f>
        <v>71.67</v>
      </c>
      <c r="BA48" s="282">
        <f t="shared" ref="BA48:BA84" si="128">VLOOKUP(B48,year2022to23,177,FALSE)</f>
        <v>74.05</v>
      </c>
      <c r="BB48" s="282">
        <f t="shared" ref="BB48:BB84" si="129">VLOOKUP(B48,year2022to23,237,FALSE)</f>
        <v>108.35</v>
      </c>
      <c r="BC48" s="283"/>
      <c r="BD48" s="281">
        <f t="shared" ref="BD48:BD84" si="130">VLOOKUP(B48,year2022to23,122,FALSE)</f>
        <v>65.84</v>
      </c>
      <c r="BE48" s="282">
        <f t="shared" ref="BE48:BE84" si="131">VLOOKUP(B48,year2022to23,182,FALSE)</f>
        <v>83.77000000000001</v>
      </c>
      <c r="BF48" s="282">
        <f t="shared" ref="BF48:BF84" si="132">VLOOKUP(B48,year2022to23,242,FALSE)</f>
        <v>103.85</v>
      </c>
      <c r="BG48" s="283"/>
      <c r="BH48" s="281">
        <f t="shared" ref="BH48:BH84" si="133">VLOOKUP(B48,year2022to23,127,FALSE)</f>
        <v>98.16</v>
      </c>
      <c r="BI48" s="282">
        <f t="shared" ref="BI48:BI84" si="134">VLOOKUP(B48,year2022to23,187,FALSE)</f>
        <v>57.010000000000005</v>
      </c>
      <c r="BJ48" s="282">
        <f t="shared" ref="BJ48:BJ84" si="135">VLOOKUP(B48,year2022to23,247,FALSE)</f>
        <v>82.070000000000007</v>
      </c>
      <c r="BK48" s="283"/>
      <c r="BQ48" s="281">
        <f t="shared" ref="BQ48:BQ85" si="136">Q5-P5</f>
        <v>19.699999999999989</v>
      </c>
      <c r="BR48" s="282">
        <f t="shared" ref="BR48:BR85" si="137">R5-Q5</f>
        <v>-76.64</v>
      </c>
      <c r="BS48" s="283">
        <f t="shared" ref="BS48:BS85" si="138">S5-R5</f>
        <v>80.590000000000018</v>
      </c>
      <c r="BT48" s="281">
        <f t="shared" ref="BT48:BT85" si="139">AG5-AF5</f>
        <v>-52.69</v>
      </c>
      <c r="BU48" s="281">
        <f t="shared" ref="BU48:BU85" si="140">AH5-AG5</f>
        <v>5.1299999999999955</v>
      </c>
      <c r="BV48" s="281">
        <f t="shared" ref="BV48:BV85" si="141">AI5-AH5</f>
        <v>72.060000000000031</v>
      </c>
      <c r="BW48" s="281">
        <f t="shared" ref="BW48:BW85" si="142">AW5-AV5</f>
        <v>-16.399999999999977</v>
      </c>
      <c r="BX48" s="281">
        <f t="shared" ref="BX48:BX85" si="143">AX5-AW5</f>
        <v>-6.1299999999999955</v>
      </c>
      <c r="BY48" s="281">
        <f t="shared" ref="BY48:BY85" si="144">AY5-AX5</f>
        <v>-51.340000000000032</v>
      </c>
      <c r="BZ48" s="281">
        <f>BM5-BL5</f>
        <v>-20.840000000000003</v>
      </c>
      <c r="CA48" s="281">
        <f t="shared" ref="CA48:CB48" si="145">BN5-BM5</f>
        <v>79.44</v>
      </c>
      <c r="CB48" s="281">
        <f t="shared" si="145"/>
        <v>-294.27</v>
      </c>
    </row>
    <row r="49" spans="1:80" x14ac:dyDescent="0.25">
      <c r="A49" s="521"/>
      <c r="B49" s="55">
        <v>2</v>
      </c>
      <c r="C49" s="56">
        <v>60.4</v>
      </c>
      <c r="D49" s="281">
        <f t="shared" si="92"/>
        <v>51.989999999999995</v>
      </c>
      <c r="E49" s="282">
        <f t="shared" si="93"/>
        <v>60.95</v>
      </c>
      <c r="F49" s="282">
        <f t="shared" si="94"/>
        <v>72.94</v>
      </c>
      <c r="G49" s="283">
        <f t="shared" si="95"/>
        <v>64.36</v>
      </c>
      <c r="H49" s="281">
        <f t="shared" si="96"/>
        <v>43.8</v>
      </c>
      <c r="I49" s="282">
        <f t="shared" si="97"/>
        <v>64.849999999999994</v>
      </c>
      <c r="J49" s="282">
        <f t="shared" si="98"/>
        <v>36.26</v>
      </c>
      <c r="K49" s="283">
        <f t="shared" si="99"/>
        <v>79.91</v>
      </c>
      <c r="L49" s="281">
        <f t="shared" si="100"/>
        <v>65.31</v>
      </c>
      <c r="M49" s="282">
        <f t="shared" si="101"/>
        <v>58.69</v>
      </c>
      <c r="N49" s="282">
        <f t="shared" si="102"/>
        <v>39.31</v>
      </c>
      <c r="O49" s="283">
        <f t="shared" si="103"/>
        <v>91.039999999999992</v>
      </c>
      <c r="T49" s="281">
        <f t="shared" si="104"/>
        <v>51.57</v>
      </c>
      <c r="U49" s="282">
        <f t="shared" si="105"/>
        <v>40.72</v>
      </c>
      <c r="V49" s="282">
        <f t="shared" si="106"/>
        <v>55.739999999999995</v>
      </c>
      <c r="W49" s="283">
        <f t="shared" si="107"/>
        <v>74.37</v>
      </c>
      <c r="X49" s="281">
        <f t="shared" si="108"/>
        <v>45</v>
      </c>
      <c r="Y49" s="282">
        <f t="shared" si="109"/>
        <v>44.45</v>
      </c>
      <c r="Z49" s="282">
        <f t="shared" si="110"/>
        <v>75.750000000000014</v>
      </c>
      <c r="AA49" s="283">
        <f t="shared" si="111"/>
        <v>93.050000000000011</v>
      </c>
      <c r="AB49" s="281">
        <f t="shared" si="112"/>
        <v>49.9</v>
      </c>
      <c r="AC49" s="282">
        <f t="shared" si="113"/>
        <v>37.950000000000003</v>
      </c>
      <c r="AD49" s="282">
        <f t="shared" si="114"/>
        <v>63.910000000000004</v>
      </c>
      <c r="AE49" s="283">
        <f t="shared" si="115"/>
        <v>39.56</v>
      </c>
      <c r="AJ49" s="281">
        <f t="shared" si="116"/>
        <v>40.17</v>
      </c>
      <c r="AK49" s="282">
        <f t="shared" si="117"/>
        <v>46.84</v>
      </c>
      <c r="AL49" s="282">
        <f t="shared" si="118"/>
        <v>51.46</v>
      </c>
      <c r="AM49" s="283">
        <f t="shared" si="119"/>
        <v>57.839999999999996</v>
      </c>
      <c r="AN49" s="281">
        <f t="shared" si="120"/>
        <v>57.61</v>
      </c>
      <c r="AO49" s="282">
        <f t="shared" si="121"/>
        <v>52.89</v>
      </c>
      <c r="AP49" s="282">
        <f t="shared" si="122"/>
        <v>107.30000000000001</v>
      </c>
      <c r="AQ49" s="283">
        <f t="shared" si="123"/>
        <v>51.16</v>
      </c>
      <c r="AR49" s="281">
        <f t="shared" si="124"/>
        <v>45.47</v>
      </c>
      <c r="AS49" s="282">
        <f t="shared" si="125"/>
        <v>63.92</v>
      </c>
      <c r="AT49" s="282">
        <f t="shared" si="126"/>
        <v>75.03</v>
      </c>
      <c r="AU49" s="283"/>
      <c r="AZ49" s="281">
        <f t="shared" si="127"/>
        <v>85.67</v>
      </c>
      <c r="BA49" s="282">
        <f t="shared" si="128"/>
        <v>67.58</v>
      </c>
      <c r="BB49" s="282">
        <f t="shared" si="129"/>
        <v>84.31</v>
      </c>
      <c r="BC49" s="283"/>
      <c r="BD49" s="281">
        <f t="shared" si="130"/>
        <v>59.79</v>
      </c>
      <c r="BE49" s="282">
        <f t="shared" si="131"/>
        <v>73.8</v>
      </c>
      <c r="BF49" s="282">
        <f t="shared" si="132"/>
        <v>95.713999999999999</v>
      </c>
      <c r="BG49" s="283"/>
      <c r="BH49" s="281">
        <f t="shared" si="133"/>
        <v>67.02000000000001</v>
      </c>
      <c r="BI49" s="282">
        <f t="shared" si="134"/>
        <v>89.22</v>
      </c>
      <c r="BJ49" s="282">
        <f t="shared" si="135"/>
        <v>70.989999999999995</v>
      </c>
      <c r="BK49" s="283"/>
      <c r="BQ49" s="281">
        <f t="shared" si="136"/>
        <v>23.390000000000015</v>
      </c>
      <c r="BR49" s="282">
        <f t="shared" si="137"/>
        <v>-35.980000000000018</v>
      </c>
      <c r="BS49" s="283">
        <f t="shared" si="138"/>
        <v>86.799999999999983</v>
      </c>
      <c r="BT49" s="281">
        <f t="shared" si="139"/>
        <v>-23.349999999999994</v>
      </c>
      <c r="BU49" s="281">
        <f t="shared" si="140"/>
        <v>72.28</v>
      </c>
      <c r="BV49" s="281">
        <f t="shared" si="141"/>
        <v>11.580000000000013</v>
      </c>
      <c r="BW49" s="281">
        <f t="shared" si="142"/>
        <v>20.400000000000006</v>
      </c>
      <c r="BX49" s="282">
        <f t="shared" si="143"/>
        <v>70.140000000000015</v>
      </c>
      <c r="BY49" s="283">
        <f t="shared" si="144"/>
        <v>-124.79000000000002</v>
      </c>
      <c r="BZ49" s="281">
        <f t="shared" ref="BZ49:BZ85" si="146">BM6-BL6</f>
        <v>18.119999999999976</v>
      </c>
      <c r="CA49" s="282">
        <f t="shared" ref="CA49:CA85" si="147">BN6-BM6</f>
        <v>20.414000000000016</v>
      </c>
      <c r="CB49" s="283">
        <f t="shared" ref="CB49:CB85" si="148">BO6-BN6</f>
        <v>-251.01400000000001</v>
      </c>
    </row>
    <row r="50" spans="1:80" x14ac:dyDescent="0.25">
      <c r="A50" s="521"/>
      <c r="B50" s="55">
        <v>3</v>
      </c>
      <c r="C50" s="56">
        <v>69.2</v>
      </c>
      <c r="D50" s="281">
        <f t="shared" si="92"/>
        <v>47.6</v>
      </c>
      <c r="E50" s="282">
        <f t="shared" si="93"/>
        <v>58.34</v>
      </c>
      <c r="F50" s="282">
        <f t="shared" si="94"/>
        <v>71.239999999999995</v>
      </c>
      <c r="G50" s="283">
        <f t="shared" si="95"/>
        <v>53.85</v>
      </c>
      <c r="H50" s="281">
        <f t="shared" si="96"/>
        <v>40.200000000000003</v>
      </c>
      <c r="I50" s="282">
        <f t="shared" si="97"/>
        <v>61.71</v>
      </c>
      <c r="J50" s="282">
        <f t="shared" si="98"/>
        <v>38.61</v>
      </c>
      <c r="K50" s="283">
        <f t="shared" si="99"/>
        <v>79.23</v>
      </c>
      <c r="L50" s="281">
        <f t="shared" si="100"/>
        <v>76.539999999999992</v>
      </c>
      <c r="M50" s="282">
        <f t="shared" si="101"/>
        <v>79.849999999999994</v>
      </c>
      <c r="N50" s="282">
        <f t="shared" si="102"/>
        <v>15.600000000000001</v>
      </c>
      <c r="O50" s="283">
        <f t="shared" si="103"/>
        <v>59.150000000000006</v>
      </c>
      <c r="T50" s="281">
        <f t="shared" si="104"/>
        <v>52.65</v>
      </c>
      <c r="U50" s="282">
        <f t="shared" si="105"/>
        <v>32.980000000000004</v>
      </c>
      <c r="V50" s="282">
        <f t="shared" si="106"/>
        <v>49.739999999999995</v>
      </c>
      <c r="W50" s="283">
        <f t="shared" si="107"/>
        <v>104.87</v>
      </c>
      <c r="X50" s="281">
        <f t="shared" si="108"/>
        <v>81.28</v>
      </c>
      <c r="Y50" s="282">
        <f t="shared" si="109"/>
        <v>60.01</v>
      </c>
      <c r="Z50" s="282">
        <f t="shared" si="110"/>
        <v>60.55</v>
      </c>
      <c r="AA50" s="283">
        <f t="shared" si="111"/>
        <v>73.77000000000001</v>
      </c>
      <c r="AB50" s="281">
        <f t="shared" si="112"/>
        <v>62.95</v>
      </c>
      <c r="AC50" s="282">
        <f t="shared" si="113"/>
        <v>57.480000000000004</v>
      </c>
      <c r="AD50" s="282">
        <f t="shared" si="114"/>
        <v>57.660000000000004</v>
      </c>
      <c r="AE50" s="283">
        <f t="shared" si="115"/>
        <v>65.569999999999993</v>
      </c>
      <c r="AJ50" s="281">
        <f t="shared" si="116"/>
        <v>56.239999999999995</v>
      </c>
      <c r="AK50" s="282">
        <f t="shared" si="117"/>
        <v>76.739999999999995</v>
      </c>
      <c r="AL50" s="282">
        <f t="shared" si="118"/>
        <v>65.39</v>
      </c>
      <c r="AM50" s="283">
        <f t="shared" si="119"/>
        <v>75.8</v>
      </c>
      <c r="AN50" s="281">
        <f t="shared" si="120"/>
        <v>95.52000000000001</v>
      </c>
      <c r="AO50" s="282">
        <f t="shared" si="121"/>
        <v>73.83</v>
      </c>
      <c r="AP50" s="282">
        <f t="shared" si="122"/>
        <v>114.25</v>
      </c>
      <c r="AQ50" s="283">
        <f t="shared" si="123"/>
        <v>92.330000000000013</v>
      </c>
      <c r="AR50" s="281">
        <f t="shared" si="124"/>
        <v>119.56</v>
      </c>
      <c r="AS50" s="282">
        <f t="shared" si="125"/>
        <v>109.43</v>
      </c>
      <c r="AT50" s="282">
        <f t="shared" si="126"/>
        <v>93.92</v>
      </c>
      <c r="AU50" s="283"/>
      <c r="AZ50" s="281">
        <f t="shared" si="127"/>
        <v>166.7</v>
      </c>
      <c r="BA50" s="282">
        <f t="shared" si="128"/>
        <v>113.9</v>
      </c>
      <c r="BB50" s="282">
        <f t="shared" si="129"/>
        <v>146.82</v>
      </c>
      <c r="BC50" s="283"/>
      <c r="BD50" s="281">
        <f t="shared" si="130"/>
        <v>83.02</v>
      </c>
      <c r="BE50" s="282">
        <f t="shared" si="131"/>
        <v>71.92</v>
      </c>
      <c r="BF50" s="282">
        <f t="shared" si="132"/>
        <v>61.61</v>
      </c>
      <c r="BG50" s="283"/>
      <c r="BH50" s="281">
        <f t="shared" si="133"/>
        <v>106.95</v>
      </c>
      <c r="BI50" s="282">
        <f t="shared" si="134"/>
        <v>53</v>
      </c>
      <c r="BJ50" s="282">
        <f t="shared" si="135"/>
        <v>151.68</v>
      </c>
      <c r="BK50" s="283"/>
      <c r="BQ50" s="281">
        <f t="shared" si="136"/>
        <v>35.56</v>
      </c>
      <c r="BR50" s="282">
        <f t="shared" si="137"/>
        <v>-74.450000000000017</v>
      </c>
      <c r="BS50" s="283">
        <f t="shared" si="138"/>
        <v>66.78000000000003</v>
      </c>
      <c r="BT50" s="281">
        <f t="shared" si="139"/>
        <v>-46.409999999999968</v>
      </c>
      <c r="BU50" s="281">
        <f t="shared" si="140"/>
        <v>17.479999999999961</v>
      </c>
      <c r="BV50" s="281">
        <f t="shared" si="141"/>
        <v>76.260000000000019</v>
      </c>
      <c r="BW50" s="281">
        <f t="shared" si="142"/>
        <v>-11.319999999999993</v>
      </c>
      <c r="BX50" s="282">
        <f t="shared" si="143"/>
        <v>13.560000000000002</v>
      </c>
      <c r="BY50" s="283">
        <f t="shared" si="144"/>
        <v>-105.43</v>
      </c>
      <c r="BZ50" s="281">
        <f t="shared" si="146"/>
        <v>-117.84999999999997</v>
      </c>
      <c r="CA50" s="282">
        <f t="shared" si="147"/>
        <v>121.29000000000002</v>
      </c>
      <c r="CB50" s="283">
        <f t="shared" si="148"/>
        <v>-360.11</v>
      </c>
    </row>
    <row r="51" spans="1:80" x14ac:dyDescent="0.25">
      <c r="A51" s="521"/>
      <c r="B51" s="55">
        <v>4</v>
      </c>
      <c r="C51" s="56">
        <v>70.599999999999994</v>
      </c>
      <c r="D51" s="281">
        <f t="shared" si="92"/>
        <v>92.69</v>
      </c>
      <c r="E51" s="282">
        <f t="shared" si="93"/>
        <v>115.94</v>
      </c>
      <c r="F51" s="282">
        <f t="shared" si="94"/>
        <v>76.839999999999989</v>
      </c>
      <c r="G51" s="283">
        <f t="shared" si="95"/>
        <v>106.11</v>
      </c>
      <c r="H51" s="281">
        <f t="shared" si="96"/>
        <v>53.92</v>
      </c>
      <c r="I51" s="282">
        <f t="shared" si="97"/>
        <v>57.12</v>
      </c>
      <c r="J51" s="282">
        <f t="shared" si="98"/>
        <v>55.71</v>
      </c>
      <c r="K51" s="283">
        <f t="shared" si="99"/>
        <v>64.010000000000005</v>
      </c>
      <c r="L51" s="281">
        <f t="shared" si="100"/>
        <v>63.88</v>
      </c>
      <c r="M51" s="282">
        <f t="shared" si="101"/>
        <v>67.13</v>
      </c>
      <c r="N51" s="282">
        <f t="shared" si="102"/>
        <v>20.3</v>
      </c>
      <c r="O51" s="283">
        <f t="shared" si="103"/>
        <v>111.08000000000001</v>
      </c>
      <c r="T51" s="281">
        <f t="shared" si="104"/>
        <v>103.24</v>
      </c>
      <c r="U51" s="282">
        <f t="shared" si="105"/>
        <v>93.68</v>
      </c>
      <c r="V51" s="282">
        <f t="shared" si="106"/>
        <v>54.88</v>
      </c>
      <c r="W51" s="283">
        <f t="shared" si="107"/>
        <v>115.12</v>
      </c>
      <c r="X51" s="281">
        <f t="shared" si="108"/>
        <v>81.430000000000007</v>
      </c>
      <c r="Y51" s="282">
        <f t="shared" si="109"/>
        <v>51.370000000000005</v>
      </c>
      <c r="Z51" s="282">
        <f t="shared" si="110"/>
        <v>76.83</v>
      </c>
      <c r="AA51" s="283">
        <f t="shared" si="111"/>
        <v>103.83</v>
      </c>
      <c r="AB51" s="281">
        <f t="shared" si="112"/>
        <v>56.7</v>
      </c>
      <c r="AC51" s="282">
        <f t="shared" si="113"/>
        <v>58.230000000000004</v>
      </c>
      <c r="AD51" s="282">
        <f t="shared" si="114"/>
        <v>65.08</v>
      </c>
      <c r="AE51" s="283">
        <f t="shared" si="115"/>
        <v>59.24</v>
      </c>
      <c r="AJ51" s="281">
        <f t="shared" si="116"/>
        <v>71.03</v>
      </c>
      <c r="AK51" s="282">
        <f t="shared" si="117"/>
        <v>67.95</v>
      </c>
      <c r="AL51" s="282">
        <f t="shared" si="118"/>
        <v>103.42</v>
      </c>
      <c r="AM51" s="283">
        <f t="shared" si="119"/>
        <v>53.76</v>
      </c>
      <c r="AN51" s="281">
        <f t="shared" si="120"/>
        <v>78.089999999999989</v>
      </c>
      <c r="AO51" s="282">
        <f t="shared" si="121"/>
        <v>72.509999999999991</v>
      </c>
      <c r="AP51" s="282">
        <f t="shared" si="122"/>
        <v>94.57</v>
      </c>
      <c r="AQ51" s="283">
        <f t="shared" si="123"/>
        <v>61.849999999999994</v>
      </c>
      <c r="AR51" s="281">
        <f t="shared" si="124"/>
        <v>172.08999999999997</v>
      </c>
      <c r="AS51" s="282">
        <f t="shared" si="125"/>
        <v>79.75</v>
      </c>
      <c r="AT51" s="282">
        <f t="shared" si="126"/>
        <v>127.55000000000001</v>
      </c>
      <c r="AU51" s="283"/>
      <c r="AZ51" s="281">
        <f t="shared" si="127"/>
        <v>115.32</v>
      </c>
      <c r="BA51" s="282">
        <f t="shared" si="128"/>
        <v>89.35</v>
      </c>
      <c r="BB51" s="282">
        <f t="shared" si="129"/>
        <v>143.9</v>
      </c>
      <c r="BC51" s="283"/>
      <c r="BD51" s="281">
        <f t="shared" si="130"/>
        <v>109.25</v>
      </c>
      <c r="BE51" s="282">
        <f t="shared" si="131"/>
        <v>91.68</v>
      </c>
      <c r="BF51" s="282">
        <f t="shared" si="132"/>
        <v>137.82300000000001</v>
      </c>
      <c r="BG51" s="283"/>
      <c r="BH51" s="281">
        <f t="shared" si="133"/>
        <v>82.56</v>
      </c>
      <c r="BI51" s="282">
        <f t="shared" si="134"/>
        <v>60.49</v>
      </c>
      <c r="BJ51" s="282">
        <f t="shared" si="135"/>
        <v>70.53</v>
      </c>
      <c r="BK51" s="283"/>
      <c r="BQ51" s="281">
        <f t="shared" si="136"/>
        <v>29.699999999999989</v>
      </c>
      <c r="BR51" s="282">
        <f t="shared" si="137"/>
        <v>-87.34</v>
      </c>
      <c r="BS51" s="283">
        <f t="shared" si="138"/>
        <v>128.35000000000005</v>
      </c>
      <c r="BT51" s="281">
        <f t="shared" si="139"/>
        <v>-38.089999999999975</v>
      </c>
      <c r="BU51" s="281">
        <f t="shared" si="140"/>
        <v>-6.4900000000000091</v>
      </c>
      <c r="BV51" s="281">
        <f t="shared" si="141"/>
        <v>81.399999999999977</v>
      </c>
      <c r="BW51" s="281">
        <f t="shared" si="142"/>
        <v>-101</v>
      </c>
      <c r="BX51" s="282">
        <f t="shared" si="143"/>
        <v>105.33000000000004</v>
      </c>
      <c r="BY51" s="283">
        <f t="shared" si="144"/>
        <v>-209.93000000000004</v>
      </c>
      <c r="BZ51" s="281">
        <f t="shared" si="146"/>
        <v>-65.609999999999985</v>
      </c>
      <c r="CA51" s="282">
        <f t="shared" si="147"/>
        <v>110.73300000000003</v>
      </c>
      <c r="CB51" s="283">
        <f t="shared" si="148"/>
        <v>-352.25300000000004</v>
      </c>
    </row>
    <row r="52" spans="1:80" x14ac:dyDescent="0.25">
      <c r="A52" s="521"/>
      <c r="B52" s="55">
        <v>5</v>
      </c>
      <c r="C52" s="56">
        <v>50.4</v>
      </c>
      <c r="D52" s="281">
        <f t="shared" si="92"/>
        <v>63.64</v>
      </c>
      <c r="E52" s="282">
        <f t="shared" si="93"/>
        <v>39.22</v>
      </c>
      <c r="F52" s="282">
        <f t="shared" si="94"/>
        <v>45.32</v>
      </c>
      <c r="G52" s="283">
        <f t="shared" si="95"/>
        <v>50.88</v>
      </c>
      <c r="H52" s="281">
        <f t="shared" si="96"/>
        <v>32.69</v>
      </c>
      <c r="I52" s="282">
        <f t="shared" si="97"/>
        <v>37.86</v>
      </c>
      <c r="J52" s="282">
        <f t="shared" si="98"/>
        <v>26.16</v>
      </c>
      <c r="K52" s="283">
        <f t="shared" si="99"/>
        <v>51.14</v>
      </c>
      <c r="L52" s="281">
        <f t="shared" si="100"/>
        <v>51.55</v>
      </c>
      <c r="M52" s="282">
        <f t="shared" si="101"/>
        <v>44.35</v>
      </c>
      <c r="N52" s="282">
        <f t="shared" si="102"/>
        <v>24.85</v>
      </c>
      <c r="O52" s="283">
        <f t="shared" si="103"/>
        <v>57.42</v>
      </c>
      <c r="T52" s="281">
        <f t="shared" si="104"/>
        <v>42.08</v>
      </c>
      <c r="U52" s="282">
        <f t="shared" si="105"/>
        <v>81.83</v>
      </c>
      <c r="V52" s="282">
        <f t="shared" si="106"/>
        <v>44.879999999999995</v>
      </c>
      <c r="W52" s="283">
        <f t="shared" si="107"/>
        <v>92.55</v>
      </c>
      <c r="X52" s="281">
        <f t="shared" si="108"/>
        <v>68.12</v>
      </c>
      <c r="Y52" s="282">
        <f t="shared" si="109"/>
        <v>45.88</v>
      </c>
      <c r="Z52" s="282">
        <f t="shared" si="110"/>
        <v>66.300000000000011</v>
      </c>
      <c r="AA52" s="283">
        <f t="shared" si="111"/>
        <v>69.02</v>
      </c>
      <c r="AB52" s="281">
        <f t="shared" si="112"/>
        <v>55.98</v>
      </c>
      <c r="AC52" s="282">
        <f t="shared" si="113"/>
        <v>53.33</v>
      </c>
      <c r="AD52" s="282">
        <f t="shared" si="114"/>
        <v>36.520000000000003</v>
      </c>
      <c r="AE52" s="283">
        <f t="shared" si="115"/>
        <v>79.069999999999993</v>
      </c>
      <c r="AJ52" s="281">
        <f t="shared" si="116"/>
        <v>55.230000000000004</v>
      </c>
      <c r="AK52" s="282">
        <f t="shared" si="117"/>
        <v>68.52</v>
      </c>
      <c r="AL52" s="282">
        <f t="shared" si="118"/>
        <v>84.32</v>
      </c>
      <c r="AM52" s="283">
        <f t="shared" si="119"/>
        <v>58.260000000000005</v>
      </c>
      <c r="AN52" s="281">
        <f t="shared" si="120"/>
        <v>80.91</v>
      </c>
      <c r="AO52" s="282">
        <f t="shared" si="121"/>
        <v>46.760000000000005</v>
      </c>
      <c r="AP52" s="282">
        <f t="shared" si="122"/>
        <v>63.39</v>
      </c>
      <c r="AQ52" s="283">
        <f t="shared" si="123"/>
        <v>66.64</v>
      </c>
      <c r="AR52" s="281">
        <f t="shared" si="124"/>
        <v>69.92</v>
      </c>
      <c r="AS52" s="282">
        <f t="shared" si="125"/>
        <v>74.39</v>
      </c>
      <c r="AT52" s="282">
        <f t="shared" si="126"/>
        <v>114.38</v>
      </c>
      <c r="AU52" s="283"/>
      <c r="AZ52" s="281">
        <f t="shared" si="127"/>
        <v>93.72</v>
      </c>
      <c r="BA52" s="282">
        <f t="shared" si="128"/>
        <v>76.599999999999994</v>
      </c>
      <c r="BB52" s="282">
        <f t="shared" si="129"/>
        <v>105.11999999999999</v>
      </c>
      <c r="BC52" s="283"/>
      <c r="BD52" s="281">
        <f t="shared" si="130"/>
        <v>83.75</v>
      </c>
      <c r="BE52" s="282">
        <f t="shared" si="131"/>
        <v>66.23</v>
      </c>
      <c r="BF52" s="282">
        <f t="shared" si="132"/>
        <v>94.22999999999999</v>
      </c>
      <c r="BG52" s="283"/>
      <c r="BH52" s="281">
        <f t="shared" si="133"/>
        <v>104.35</v>
      </c>
      <c r="BI52" s="282">
        <f t="shared" si="134"/>
        <v>69.58</v>
      </c>
      <c r="BJ52" s="282">
        <f t="shared" si="135"/>
        <v>76.289999999999992</v>
      </c>
      <c r="BK52" s="283"/>
      <c r="BQ52" s="281">
        <f t="shared" si="136"/>
        <v>-26.449999999999989</v>
      </c>
      <c r="BR52" s="282">
        <f t="shared" si="137"/>
        <v>-25.099999999999994</v>
      </c>
      <c r="BS52" s="283">
        <f t="shared" si="138"/>
        <v>63.109999999999985</v>
      </c>
      <c r="BT52" s="281">
        <f t="shared" si="139"/>
        <v>14.860000000000014</v>
      </c>
      <c r="BU52" s="281">
        <f t="shared" si="140"/>
        <v>-33.340000000000003</v>
      </c>
      <c r="BV52" s="281">
        <f t="shared" si="141"/>
        <v>92.939999999999969</v>
      </c>
      <c r="BW52" s="281">
        <f t="shared" si="142"/>
        <v>-16.389999999999986</v>
      </c>
      <c r="BX52" s="282">
        <f t="shared" si="143"/>
        <v>72.419999999999959</v>
      </c>
      <c r="BY52" s="283">
        <f t="shared" si="144"/>
        <v>-137.18999999999997</v>
      </c>
      <c r="BZ52" s="281">
        <f t="shared" si="146"/>
        <v>-69.410000000000025</v>
      </c>
      <c r="CA52" s="282">
        <f t="shared" si="147"/>
        <v>63.230000000000018</v>
      </c>
      <c r="CB52" s="283">
        <f t="shared" si="148"/>
        <v>-275.64</v>
      </c>
    </row>
    <row r="53" spans="1:80" x14ac:dyDescent="0.25">
      <c r="A53" s="521"/>
      <c r="B53" s="55">
        <v>6</v>
      </c>
      <c r="C53" s="56">
        <v>58.6</v>
      </c>
      <c r="D53" s="281">
        <f t="shared" si="92"/>
        <v>82.14</v>
      </c>
      <c r="E53" s="282">
        <f t="shared" si="93"/>
        <v>62.2</v>
      </c>
      <c r="F53" s="282">
        <f t="shared" si="94"/>
        <v>88.02</v>
      </c>
      <c r="G53" s="283">
        <f t="shared" si="95"/>
        <v>47.81</v>
      </c>
      <c r="H53" s="281">
        <f t="shared" si="96"/>
        <v>33.700000000000003</v>
      </c>
      <c r="I53" s="282">
        <f t="shared" si="97"/>
        <v>58.660000000000004</v>
      </c>
      <c r="J53" s="282">
        <f t="shared" si="98"/>
        <v>39.82</v>
      </c>
      <c r="K53" s="283">
        <f t="shared" si="99"/>
        <v>85.15</v>
      </c>
      <c r="L53" s="281">
        <f t="shared" si="100"/>
        <v>53.980000000000004</v>
      </c>
      <c r="M53" s="282">
        <f t="shared" si="101"/>
        <v>97.28</v>
      </c>
      <c r="N53" s="282">
        <f t="shared" si="102"/>
        <v>27.39</v>
      </c>
      <c r="O53" s="283">
        <f t="shared" si="103"/>
        <v>43.95</v>
      </c>
      <c r="T53" s="281">
        <f t="shared" si="104"/>
        <v>82.02</v>
      </c>
      <c r="U53" s="282">
        <f t="shared" si="105"/>
        <v>47.78</v>
      </c>
      <c r="V53" s="282">
        <f t="shared" si="106"/>
        <v>39.629999999999995</v>
      </c>
      <c r="W53" s="283">
        <f t="shared" si="107"/>
        <v>88.86</v>
      </c>
      <c r="X53" s="281">
        <f t="shared" si="108"/>
        <v>62.47</v>
      </c>
      <c r="Y53" s="282">
        <f t="shared" si="109"/>
        <v>60.03</v>
      </c>
      <c r="Z53" s="282">
        <f t="shared" si="110"/>
        <v>68.929999999999993</v>
      </c>
      <c r="AA53" s="283">
        <f t="shared" si="111"/>
        <v>56.379999999999995</v>
      </c>
      <c r="AB53" s="281">
        <f t="shared" si="112"/>
        <v>55.129999999999995</v>
      </c>
      <c r="AC53" s="282">
        <f t="shared" si="113"/>
        <v>97.64</v>
      </c>
      <c r="AD53" s="282">
        <f t="shared" si="114"/>
        <v>39.14</v>
      </c>
      <c r="AE53" s="283">
        <f t="shared" si="115"/>
        <v>93.49</v>
      </c>
      <c r="AJ53" s="281">
        <f t="shared" si="116"/>
        <v>59.97</v>
      </c>
      <c r="AK53" s="282">
        <f t="shared" si="117"/>
        <v>68.7</v>
      </c>
      <c r="AL53" s="282">
        <f t="shared" si="118"/>
        <v>127.84</v>
      </c>
      <c r="AM53" s="283">
        <f t="shared" si="119"/>
        <v>52.900000000000006</v>
      </c>
      <c r="AN53" s="281">
        <f t="shared" si="120"/>
        <v>93.3</v>
      </c>
      <c r="AO53" s="282">
        <f t="shared" si="121"/>
        <v>69.800000000000011</v>
      </c>
      <c r="AP53" s="282">
        <f t="shared" si="122"/>
        <v>160.67000000000002</v>
      </c>
      <c r="AQ53" s="283">
        <f t="shared" si="123"/>
        <v>80.460000000000008</v>
      </c>
      <c r="AR53" s="281">
        <f t="shared" si="124"/>
        <v>75.150000000000006</v>
      </c>
      <c r="AS53" s="282">
        <f t="shared" si="125"/>
        <v>84.59</v>
      </c>
      <c r="AT53" s="282">
        <f t="shared" si="126"/>
        <v>99.91</v>
      </c>
      <c r="AU53" s="283"/>
      <c r="AZ53" s="281">
        <f t="shared" si="127"/>
        <v>124.62</v>
      </c>
      <c r="BA53" s="282">
        <f t="shared" si="128"/>
        <v>86</v>
      </c>
      <c r="BB53" s="282">
        <f t="shared" si="129"/>
        <v>113.91</v>
      </c>
      <c r="BC53" s="283"/>
      <c r="BD53" s="281">
        <f t="shared" si="130"/>
        <v>138.05000000000001</v>
      </c>
      <c r="BE53" s="282">
        <f t="shared" si="131"/>
        <v>72.28</v>
      </c>
      <c r="BF53" s="282">
        <f t="shared" si="132"/>
        <v>101.49000000000001</v>
      </c>
      <c r="BG53" s="283"/>
      <c r="BH53" s="281">
        <f t="shared" si="133"/>
        <v>72.959999999999994</v>
      </c>
      <c r="BI53" s="282">
        <f t="shared" si="134"/>
        <v>44.85</v>
      </c>
      <c r="BJ53" s="282">
        <f t="shared" si="135"/>
        <v>107.57</v>
      </c>
      <c r="BK53" s="283"/>
      <c r="BQ53" s="281">
        <f t="shared" si="136"/>
        <v>48.320000000000022</v>
      </c>
      <c r="BR53" s="282">
        <f t="shared" si="137"/>
        <v>-62.91</v>
      </c>
      <c r="BS53" s="283">
        <f t="shared" si="138"/>
        <v>21.680000000000007</v>
      </c>
      <c r="BT53" s="281">
        <f t="shared" si="139"/>
        <v>5.8299999999999841</v>
      </c>
      <c r="BU53" s="281">
        <f t="shared" si="140"/>
        <v>-57.75</v>
      </c>
      <c r="BV53" s="281">
        <f t="shared" si="141"/>
        <v>91.03000000000003</v>
      </c>
      <c r="BW53" s="281">
        <f t="shared" si="142"/>
        <v>-5.3299999999999841</v>
      </c>
      <c r="BX53" s="282">
        <f t="shared" si="143"/>
        <v>165.32999999999996</v>
      </c>
      <c r="BY53" s="283">
        <f t="shared" si="144"/>
        <v>-255.05999999999995</v>
      </c>
      <c r="BZ53" s="281">
        <f t="shared" si="146"/>
        <v>-132.5</v>
      </c>
      <c r="CA53" s="282">
        <f t="shared" si="147"/>
        <v>119.84000000000003</v>
      </c>
      <c r="CB53" s="283">
        <f t="shared" si="148"/>
        <v>-322.97000000000003</v>
      </c>
    </row>
    <row r="54" spans="1:80" x14ac:dyDescent="0.25">
      <c r="A54" s="521"/>
      <c r="B54" s="55">
        <v>7</v>
      </c>
      <c r="C54" s="56">
        <v>23.6</v>
      </c>
      <c r="D54" s="281">
        <f t="shared" si="92"/>
        <v>22.759999999999998</v>
      </c>
      <c r="E54" s="282">
        <f t="shared" si="93"/>
        <v>16.510000000000002</v>
      </c>
      <c r="F54" s="282">
        <f t="shared" si="94"/>
        <v>25.830000000000002</v>
      </c>
      <c r="G54" s="283">
        <f t="shared" si="95"/>
        <v>18.989999999999998</v>
      </c>
      <c r="H54" s="281">
        <f t="shared" si="96"/>
        <v>12.65</v>
      </c>
      <c r="I54" s="282">
        <f t="shared" si="97"/>
        <v>16.84</v>
      </c>
      <c r="J54" s="282">
        <f t="shared" si="98"/>
        <v>11.9</v>
      </c>
      <c r="K54" s="283">
        <f t="shared" si="99"/>
        <v>25.669999999999998</v>
      </c>
      <c r="L54" s="281">
        <f t="shared" si="100"/>
        <v>21.92</v>
      </c>
      <c r="M54" s="282">
        <f t="shared" si="101"/>
        <v>21.41</v>
      </c>
      <c r="N54" s="282">
        <f t="shared" si="102"/>
        <v>13.7</v>
      </c>
      <c r="O54" s="283">
        <f t="shared" si="103"/>
        <v>21.080000000000002</v>
      </c>
      <c r="T54" s="281">
        <f t="shared" si="104"/>
        <v>18.34</v>
      </c>
      <c r="U54" s="282">
        <f t="shared" si="105"/>
        <v>34.83</v>
      </c>
      <c r="V54" s="282">
        <f t="shared" si="106"/>
        <v>24.4</v>
      </c>
      <c r="W54" s="283">
        <f t="shared" si="107"/>
        <v>39.61</v>
      </c>
      <c r="X54" s="281">
        <f t="shared" si="108"/>
        <v>25.35</v>
      </c>
      <c r="Y54" s="282">
        <f t="shared" si="109"/>
        <v>15.27</v>
      </c>
      <c r="Z54" s="282">
        <f t="shared" si="110"/>
        <v>17.649999999999999</v>
      </c>
      <c r="AA54" s="283">
        <f t="shared" si="111"/>
        <v>27.619999999999997</v>
      </c>
      <c r="AB54" s="281">
        <f t="shared" si="112"/>
        <v>17.48</v>
      </c>
      <c r="AC54" s="282">
        <f t="shared" si="113"/>
        <v>19.27</v>
      </c>
      <c r="AD54" s="282">
        <f t="shared" si="114"/>
        <v>19.5</v>
      </c>
      <c r="AE54" s="283">
        <f t="shared" si="115"/>
        <v>29.53</v>
      </c>
      <c r="AJ54" s="281">
        <f t="shared" si="116"/>
        <v>18.63</v>
      </c>
      <c r="AK54" s="282">
        <f t="shared" si="117"/>
        <v>21.53</v>
      </c>
      <c r="AL54" s="282">
        <f t="shared" si="118"/>
        <v>29.25</v>
      </c>
      <c r="AM54" s="283">
        <f t="shared" si="119"/>
        <v>27.06</v>
      </c>
      <c r="AN54" s="281">
        <f t="shared" si="120"/>
        <v>30.490000000000002</v>
      </c>
      <c r="AO54" s="282">
        <f t="shared" si="121"/>
        <v>24.43</v>
      </c>
      <c r="AP54" s="282">
        <f t="shared" si="122"/>
        <v>29.03</v>
      </c>
      <c r="AQ54" s="283">
        <f t="shared" si="123"/>
        <v>26.330000000000002</v>
      </c>
      <c r="AR54" s="281">
        <f t="shared" si="124"/>
        <v>26.76</v>
      </c>
      <c r="AS54" s="282">
        <f t="shared" si="125"/>
        <v>13.77</v>
      </c>
      <c r="AT54" s="282">
        <f t="shared" si="126"/>
        <v>60.980000000000004</v>
      </c>
      <c r="AU54" s="283"/>
      <c r="AZ54" s="281">
        <f t="shared" si="127"/>
        <v>35.340000000000003</v>
      </c>
      <c r="BA54" s="282">
        <f t="shared" si="128"/>
        <v>21.21</v>
      </c>
      <c r="BB54" s="282">
        <f t="shared" si="129"/>
        <v>33.08</v>
      </c>
      <c r="BC54" s="283"/>
      <c r="BD54" s="281">
        <f t="shared" si="130"/>
        <v>34.020000000000003</v>
      </c>
      <c r="BE54" s="282">
        <f t="shared" si="131"/>
        <v>23.759999999999998</v>
      </c>
      <c r="BF54" s="282">
        <f t="shared" si="132"/>
        <v>41.293999999999997</v>
      </c>
      <c r="BG54" s="283"/>
      <c r="BH54" s="281">
        <f t="shared" si="133"/>
        <v>48.28</v>
      </c>
      <c r="BI54" s="282">
        <f t="shared" si="134"/>
        <v>15.62</v>
      </c>
      <c r="BJ54" s="282">
        <f t="shared" si="135"/>
        <v>45.37</v>
      </c>
      <c r="BK54" s="283"/>
      <c r="BQ54" s="281">
        <f t="shared" si="136"/>
        <v>-2.5699999999999932</v>
      </c>
      <c r="BR54" s="282">
        <f t="shared" si="137"/>
        <v>-3.3299999999999983</v>
      </c>
      <c r="BS54" s="283">
        <f t="shared" si="138"/>
        <v>14.309999999999988</v>
      </c>
      <c r="BT54" s="281">
        <f t="shared" si="139"/>
        <v>8.1999999999999886</v>
      </c>
      <c r="BU54" s="281">
        <f t="shared" si="140"/>
        <v>-7.8199999999999932</v>
      </c>
      <c r="BV54" s="281">
        <f t="shared" si="141"/>
        <v>35.209999999999994</v>
      </c>
      <c r="BW54" s="281">
        <f t="shared" si="142"/>
        <v>-16.150000000000006</v>
      </c>
      <c r="BX54" s="282">
        <f t="shared" si="143"/>
        <v>59.53</v>
      </c>
      <c r="BY54" s="283">
        <f t="shared" si="144"/>
        <v>-65.87</v>
      </c>
      <c r="BZ54" s="281">
        <f t="shared" si="146"/>
        <v>-57.050000000000018</v>
      </c>
      <c r="CA54" s="282">
        <f t="shared" si="147"/>
        <v>59.154000000000003</v>
      </c>
      <c r="CB54" s="283">
        <f t="shared" si="148"/>
        <v>-119.744</v>
      </c>
    </row>
    <row r="55" spans="1:80" x14ac:dyDescent="0.25">
      <c r="A55" s="521"/>
      <c r="B55" s="55">
        <v>8</v>
      </c>
      <c r="C55" s="56">
        <v>61.6</v>
      </c>
      <c r="D55" s="281">
        <f t="shared" si="92"/>
        <v>50.760000000000005</v>
      </c>
      <c r="E55" s="282">
        <f t="shared" si="93"/>
        <v>68.63</v>
      </c>
      <c r="F55" s="282">
        <f t="shared" si="94"/>
        <v>61.160000000000004</v>
      </c>
      <c r="G55" s="283">
        <f t="shared" si="95"/>
        <v>44.66</v>
      </c>
      <c r="H55" s="281">
        <f t="shared" si="96"/>
        <v>34.92</v>
      </c>
      <c r="I55" s="282">
        <f t="shared" si="97"/>
        <v>53.54</v>
      </c>
      <c r="J55" s="282">
        <f t="shared" si="98"/>
        <v>52.8</v>
      </c>
      <c r="K55" s="283">
        <f t="shared" si="99"/>
        <v>96.6</v>
      </c>
      <c r="L55" s="281">
        <f t="shared" si="100"/>
        <v>54.47</v>
      </c>
      <c r="M55" s="282">
        <f t="shared" si="101"/>
        <v>70.759999999999991</v>
      </c>
      <c r="N55" s="282">
        <f t="shared" si="102"/>
        <v>41.66</v>
      </c>
      <c r="O55" s="283">
        <f t="shared" si="103"/>
        <v>59.2</v>
      </c>
      <c r="T55" s="281">
        <f t="shared" si="104"/>
        <v>57.42</v>
      </c>
      <c r="U55" s="282">
        <f t="shared" si="105"/>
        <v>55.5</v>
      </c>
      <c r="V55" s="282">
        <f t="shared" si="106"/>
        <v>39.129999999999995</v>
      </c>
      <c r="W55" s="283">
        <f t="shared" si="107"/>
        <v>79.03</v>
      </c>
      <c r="X55" s="281">
        <f t="shared" si="108"/>
        <v>51.88</v>
      </c>
      <c r="Y55" s="282">
        <f t="shared" si="109"/>
        <v>62.94</v>
      </c>
      <c r="Z55" s="282">
        <f t="shared" si="110"/>
        <v>72.48</v>
      </c>
      <c r="AA55" s="283">
        <f t="shared" si="111"/>
        <v>63.73</v>
      </c>
      <c r="AB55" s="281">
        <f t="shared" si="112"/>
        <v>42.86</v>
      </c>
      <c r="AC55" s="282">
        <f t="shared" si="113"/>
        <v>62.16</v>
      </c>
      <c r="AD55" s="282">
        <f t="shared" si="114"/>
        <v>41.769999999999996</v>
      </c>
      <c r="AE55" s="283">
        <f t="shared" si="115"/>
        <v>58.540000000000006</v>
      </c>
      <c r="AJ55" s="281">
        <f t="shared" si="116"/>
        <v>68.03</v>
      </c>
      <c r="AK55" s="282">
        <f t="shared" si="117"/>
        <v>62.61</v>
      </c>
      <c r="AL55" s="282">
        <f t="shared" si="118"/>
        <v>52.96</v>
      </c>
      <c r="AM55" s="283">
        <f t="shared" si="119"/>
        <v>56.069999999999993</v>
      </c>
      <c r="AN55" s="281">
        <f t="shared" si="120"/>
        <v>72.460000000000008</v>
      </c>
      <c r="AO55" s="282">
        <f t="shared" si="121"/>
        <v>105.85</v>
      </c>
      <c r="AP55" s="282">
        <f t="shared" si="122"/>
        <v>114.4</v>
      </c>
      <c r="AQ55" s="283">
        <f t="shared" si="123"/>
        <v>68.81</v>
      </c>
      <c r="AR55" s="281">
        <f t="shared" si="124"/>
        <v>78.78</v>
      </c>
      <c r="AS55" s="282">
        <f t="shared" si="125"/>
        <v>54.25</v>
      </c>
      <c r="AT55" s="282">
        <f t="shared" si="126"/>
        <v>78.790000000000006</v>
      </c>
      <c r="AU55" s="283"/>
      <c r="AZ55" s="281">
        <f t="shared" si="127"/>
        <v>118.71</v>
      </c>
      <c r="BA55" s="282">
        <f t="shared" si="128"/>
        <v>94.95</v>
      </c>
      <c r="BB55" s="282">
        <f t="shared" si="129"/>
        <v>94.64</v>
      </c>
      <c r="BC55" s="283"/>
      <c r="BD55" s="281">
        <f t="shared" si="130"/>
        <v>111.62</v>
      </c>
      <c r="BE55" s="282">
        <f t="shared" si="131"/>
        <v>75.259999999999991</v>
      </c>
      <c r="BF55" s="282">
        <f t="shared" si="132"/>
        <v>151.48000000000002</v>
      </c>
      <c r="BG55" s="283"/>
      <c r="BH55" s="281">
        <f t="shared" si="133"/>
        <v>70.260000000000005</v>
      </c>
      <c r="BI55" s="282">
        <f t="shared" si="134"/>
        <v>96.98</v>
      </c>
      <c r="BJ55" s="282">
        <f t="shared" si="135"/>
        <v>123.15</v>
      </c>
      <c r="BK55" s="283"/>
      <c r="BQ55" s="281">
        <f t="shared" si="136"/>
        <v>52.779999999999973</v>
      </c>
      <c r="BR55" s="282">
        <f t="shared" si="137"/>
        <v>-37.309999999999974</v>
      </c>
      <c r="BS55" s="283">
        <f t="shared" si="138"/>
        <v>44.839999999999975</v>
      </c>
      <c r="BT55" s="281">
        <f t="shared" si="139"/>
        <v>28.439999999999969</v>
      </c>
      <c r="BU55" s="281">
        <f t="shared" si="140"/>
        <v>-27.22</v>
      </c>
      <c r="BV55" s="281">
        <f t="shared" si="141"/>
        <v>47.920000000000016</v>
      </c>
      <c r="BW55" s="281">
        <f t="shared" si="142"/>
        <v>3.4399999999999693</v>
      </c>
      <c r="BX55" s="282">
        <f t="shared" si="143"/>
        <v>23.440000000000055</v>
      </c>
      <c r="BY55" s="283">
        <f t="shared" si="144"/>
        <v>-121.27000000000004</v>
      </c>
      <c r="BZ55" s="281">
        <f t="shared" si="146"/>
        <v>-33.399999999999977</v>
      </c>
      <c r="CA55" s="282">
        <f t="shared" si="147"/>
        <v>102.07999999999998</v>
      </c>
      <c r="CB55" s="283">
        <f t="shared" si="148"/>
        <v>-369.27</v>
      </c>
    </row>
    <row r="56" spans="1:80" x14ac:dyDescent="0.25">
      <c r="A56" s="521"/>
      <c r="B56" s="55">
        <v>9</v>
      </c>
      <c r="C56" s="56">
        <v>38.299999999999997</v>
      </c>
      <c r="D56" s="281">
        <f t="shared" si="92"/>
        <v>27.38</v>
      </c>
      <c r="E56" s="282">
        <f t="shared" si="93"/>
        <v>27.94</v>
      </c>
      <c r="F56" s="282">
        <f t="shared" si="94"/>
        <v>38.049999999999997</v>
      </c>
      <c r="G56" s="283">
        <f t="shared" si="95"/>
        <v>19.18</v>
      </c>
      <c r="H56" s="281">
        <f t="shared" si="96"/>
        <v>25.270000000000003</v>
      </c>
      <c r="I56" s="282">
        <f t="shared" si="97"/>
        <v>33.89</v>
      </c>
      <c r="J56" s="282">
        <f t="shared" si="98"/>
        <v>20.71</v>
      </c>
      <c r="K56" s="283">
        <f t="shared" si="99"/>
        <v>34.56</v>
      </c>
      <c r="L56" s="281">
        <f t="shared" si="100"/>
        <v>19.630000000000003</v>
      </c>
      <c r="M56" s="282">
        <f t="shared" si="101"/>
        <v>46.93</v>
      </c>
      <c r="N56" s="282">
        <f t="shared" si="102"/>
        <v>22.65</v>
      </c>
      <c r="O56" s="283">
        <f t="shared" si="103"/>
        <v>39.230000000000004</v>
      </c>
      <c r="T56" s="281">
        <f t="shared" si="104"/>
        <v>40.680000000000007</v>
      </c>
      <c r="U56" s="282">
        <f t="shared" si="105"/>
        <v>38.409999999999997</v>
      </c>
      <c r="V56" s="282">
        <f t="shared" si="106"/>
        <v>21.23</v>
      </c>
      <c r="W56" s="283">
        <f t="shared" si="107"/>
        <v>16.64</v>
      </c>
      <c r="X56" s="281">
        <f t="shared" si="108"/>
        <v>32.57</v>
      </c>
      <c r="Y56" s="282">
        <f t="shared" si="109"/>
        <v>31.91</v>
      </c>
      <c r="Z56" s="282">
        <f t="shared" si="110"/>
        <v>28.57</v>
      </c>
      <c r="AA56" s="283">
        <f t="shared" si="111"/>
        <v>47.69</v>
      </c>
      <c r="AB56" s="281">
        <f t="shared" si="112"/>
        <v>20.27</v>
      </c>
      <c r="AC56" s="282">
        <f t="shared" si="113"/>
        <v>32.75</v>
      </c>
      <c r="AD56" s="282">
        <f t="shared" si="114"/>
        <v>29.07</v>
      </c>
      <c r="AE56" s="283">
        <f t="shared" si="115"/>
        <v>48.05</v>
      </c>
      <c r="AJ56" s="281">
        <f t="shared" si="116"/>
        <v>18.43</v>
      </c>
      <c r="AK56" s="282">
        <f t="shared" si="117"/>
        <v>35.010000000000005</v>
      </c>
      <c r="AL56" s="282">
        <f t="shared" si="118"/>
        <v>23.439999999999998</v>
      </c>
      <c r="AM56" s="283">
        <f t="shared" si="119"/>
        <v>33.1</v>
      </c>
      <c r="AN56" s="281">
        <f t="shared" si="120"/>
        <v>75.52000000000001</v>
      </c>
      <c r="AO56" s="282">
        <f t="shared" si="121"/>
        <v>43.31</v>
      </c>
      <c r="AP56" s="282">
        <f t="shared" si="122"/>
        <v>43.71</v>
      </c>
      <c r="AQ56" s="283">
        <f t="shared" si="123"/>
        <v>43.36</v>
      </c>
      <c r="AR56" s="281">
        <f t="shared" si="124"/>
        <v>64.02</v>
      </c>
      <c r="AS56" s="282">
        <f t="shared" si="125"/>
        <v>48.209999999999994</v>
      </c>
      <c r="AT56" s="282">
        <f t="shared" si="126"/>
        <v>59.56</v>
      </c>
      <c r="AU56" s="283"/>
      <c r="AZ56" s="281">
        <f t="shared" si="127"/>
        <v>72.98</v>
      </c>
      <c r="BA56" s="282">
        <f t="shared" si="128"/>
        <v>71.400000000000006</v>
      </c>
      <c r="BB56" s="282">
        <f t="shared" si="129"/>
        <v>63.760000000000005</v>
      </c>
      <c r="BC56" s="283"/>
      <c r="BD56" s="281">
        <f t="shared" si="130"/>
        <v>43.4</v>
      </c>
      <c r="BE56" s="282">
        <f t="shared" si="131"/>
        <v>49.980000000000004</v>
      </c>
      <c r="BF56" s="282">
        <f t="shared" si="132"/>
        <v>76.490000000000009</v>
      </c>
      <c r="BG56" s="283"/>
      <c r="BH56" s="281">
        <f t="shared" si="133"/>
        <v>54.92</v>
      </c>
      <c r="BI56" s="282">
        <f t="shared" si="134"/>
        <v>45.25</v>
      </c>
      <c r="BJ56" s="282">
        <f t="shared" si="135"/>
        <v>62.45</v>
      </c>
      <c r="BK56" s="283"/>
      <c r="BQ56" s="281">
        <f t="shared" si="136"/>
        <v>36.47999999999999</v>
      </c>
      <c r="BR56" s="282">
        <f t="shared" si="137"/>
        <v>-27.349999999999994</v>
      </c>
      <c r="BS56" s="283">
        <f t="shared" si="138"/>
        <v>11.560000000000002</v>
      </c>
      <c r="BT56" s="281">
        <f t="shared" si="139"/>
        <v>9.5499999999999972</v>
      </c>
      <c r="BU56" s="281">
        <f t="shared" si="140"/>
        <v>-24.199999999999989</v>
      </c>
      <c r="BV56" s="281">
        <f t="shared" si="141"/>
        <v>33.509999999999991</v>
      </c>
      <c r="BW56" s="281">
        <f t="shared" si="142"/>
        <v>-31.440000000000026</v>
      </c>
      <c r="BX56" s="282">
        <f t="shared" si="143"/>
        <v>0.18000000000000682</v>
      </c>
      <c r="BY56" s="283">
        <f t="shared" si="144"/>
        <v>-50.25</v>
      </c>
      <c r="BZ56" s="281">
        <f t="shared" si="146"/>
        <v>-4.6700000000000159</v>
      </c>
      <c r="CA56" s="282">
        <f t="shared" si="147"/>
        <v>36.069999999999993</v>
      </c>
      <c r="CB56" s="283">
        <f t="shared" si="148"/>
        <v>-202.7</v>
      </c>
    </row>
    <row r="57" spans="1:80" x14ac:dyDescent="0.25">
      <c r="A57" s="521"/>
      <c r="B57" s="55">
        <v>11</v>
      </c>
      <c r="C57" s="56">
        <v>44.5</v>
      </c>
      <c r="D57" s="281">
        <f t="shared" si="92"/>
        <v>49.190000000000005</v>
      </c>
      <c r="E57" s="282">
        <f t="shared" si="93"/>
        <v>38.659999999999997</v>
      </c>
      <c r="F57" s="282">
        <f t="shared" si="94"/>
        <v>29.79</v>
      </c>
      <c r="G57" s="283">
        <f t="shared" si="95"/>
        <v>41.08</v>
      </c>
      <c r="H57" s="281">
        <f t="shared" si="96"/>
        <v>20.090000000000003</v>
      </c>
      <c r="I57" s="282">
        <f t="shared" si="97"/>
        <v>32.729999999999997</v>
      </c>
      <c r="J57" s="282">
        <f t="shared" si="98"/>
        <v>31.44</v>
      </c>
      <c r="K57" s="283">
        <f t="shared" si="99"/>
        <v>27.060000000000002</v>
      </c>
      <c r="L57" s="281">
        <f t="shared" si="100"/>
        <v>37.300000000000004</v>
      </c>
      <c r="M57" s="282">
        <f t="shared" si="101"/>
        <v>36.949999999999996</v>
      </c>
      <c r="N57" s="282">
        <f t="shared" si="102"/>
        <v>30.26</v>
      </c>
      <c r="O57" s="283">
        <f t="shared" si="103"/>
        <v>40.57</v>
      </c>
      <c r="T57" s="281">
        <f t="shared" si="104"/>
        <v>63.84</v>
      </c>
      <c r="U57" s="282">
        <f t="shared" si="105"/>
        <v>82.75</v>
      </c>
      <c r="V57" s="282">
        <f t="shared" si="106"/>
        <v>37.340000000000003</v>
      </c>
      <c r="W57" s="283">
        <f t="shared" si="107"/>
        <v>35.96</v>
      </c>
      <c r="X57" s="281">
        <f t="shared" si="108"/>
        <v>47.269999999999996</v>
      </c>
      <c r="Y57" s="282">
        <f t="shared" si="109"/>
        <v>48.66</v>
      </c>
      <c r="Z57" s="282">
        <f t="shared" si="110"/>
        <v>53.78</v>
      </c>
      <c r="AA57" s="283">
        <f t="shared" si="111"/>
        <v>51.4</v>
      </c>
      <c r="AB57" s="281">
        <f t="shared" si="112"/>
        <v>29.83</v>
      </c>
      <c r="AC57" s="282">
        <f t="shared" si="113"/>
        <v>48.43</v>
      </c>
      <c r="AD57" s="282">
        <f t="shared" si="114"/>
        <v>30.880000000000003</v>
      </c>
      <c r="AE57" s="283">
        <f t="shared" si="115"/>
        <v>44.1</v>
      </c>
      <c r="AJ57" s="281">
        <f t="shared" si="116"/>
        <v>22.3</v>
      </c>
      <c r="AK57" s="282">
        <f t="shared" si="117"/>
        <v>54.44</v>
      </c>
      <c r="AL57" s="282">
        <f t="shared" si="118"/>
        <v>24.82</v>
      </c>
      <c r="AM57" s="283">
        <f t="shared" si="119"/>
        <v>47.35</v>
      </c>
      <c r="AN57" s="281">
        <f t="shared" si="120"/>
        <v>36.81</v>
      </c>
      <c r="AO57" s="282">
        <f t="shared" si="121"/>
        <v>61.24</v>
      </c>
      <c r="AP57" s="282">
        <f t="shared" si="122"/>
        <v>43.08</v>
      </c>
      <c r="AQ57" s="283">
        <f t="shared" si="123"/>
        <v>51.099999999999994</v>
      </c>
      <c r="AR57" s="281">
        <f t="shared" si="124"/>
        <v>87.84</v>
      </c>
      <c r="AS57" s="282">
        <f t="shared" si="125"/>
        <v>59.05</v>
      </c>
      <c r="AT57" s="282">
        <f t="shared" si="126"/>
        <v>98.26</v>
      </c>
      <c r="AU57" s="283"/>
      <c r="AZ57" s="281">
        <f t="shared" si="127"/>
        <v>59.98</v>
      </c>
      <c r="BA57" s="282">
        <f t="shared" si="128"/>
        <v>59.16</v>
      </c>
      <c r="BB57" s="282">
        <f t="shared" si="129"/>
        <v>45.33</v>
      </c>
      <c r="BC57" s="283"/>
      <c r="BD57" s="281">
        <f t="shared" si="130"/>
        <v>85.12</v>
      </c>
      <c r="BE57" s="282">
        <f t="shared" si="131"/>
        <v>28.49</v>
      </c>
      <c r="BF57" s="282">
        <f t="shared" si="132"/>
        <v>62.233999999999995</v>
      </c>
      <c r="BG57" s="283"/>
      <c r="BH57" s="281">
        <f t="shared" si="133"/>
        <v>58.31</v>
      </c>
      <c r="BI57" s="282">
        <f t="shared" si="134"/>
        <v>54.529999999999994</v>
      </c>
      <c r="BJ57" s="282">
        <f t="shared" si="135"/>
        <v>52</v>
      </c>
      <c r="BK57" s="283"/>
      <c r="BQ57" s="281">
        <f t="shared" si="136"/>
        <v>1.7599999999999625</v>
      </c>
      <c r="BR57" s="282">
        <f t="shared" si="137"/>
        <v>-16.849999999999966</v>
      </c>
      <c r="BS57" s="283">
        <f t="shared" si="138"/>
        <v>17.22</v>
      </c>
      <c r="BT57" s="281">
        <f t="shared" si="139"/>
        <v>38.900000000000006</v>
      </c>
      <c r="BU57" s="281">
        <f t="shared" si="140"/>
        <v>-57.84</v>
      </c>
      <c r="BV57" s="281">
        <f t="shared" si="141"/>
        <v>9.460000000000008</v>
      </c>
      <c r="BW57" s="281">
        <f t="shared" si="142"/>
        <v>27.78000000000003</v>
      </c>
      <c r="BX57" s="282">
        <f t="shared" si="143"/>
        <v>-8.5699999999999932</v>
      </c>
      <c r="BY57" s="283">
        <f t="shared" si="144"/>
        <v>-67.710000000000036</v>
      </c>
      <c r="BZ57" s="281">
        <f t="shared" si="146"/>
        <v>-61.230000000000018</v>
      </c>
      <c r="CA57" s="282">
        <f t="shared" si="147"/>
        <v>17.384000000000015</v>
      </c>
      <c r="CB57" s="283">
        <f t="shared" si="148"/>
        <v>-159.56399999999999</v>
      </c>
    </row>
    <row r="58" spans="1:80" x14ac:dyDescent="0.25">
      <c r="A58" s="521"/>
      <c r="B58" s="55">
        <v>12</v>
      </c>
      <c r="C58" s="56">
        <v>71</v>
      </c>
      <c r="D58" s="281">
        <f t="shared" si="92"/>
        <v>103.92</v>
      </c>
      <c r="E58" s="282">
        <f t="shared" si="93"/>
        <v>64.150000000000006</v>
      </c>
      <c r="F58" s="282">
        <f t="shared" si="94"/>
        <v>78.53</v>
      </c>
      <c r="G58" s="283">
        <f t="shared" si="95"/>
        <v>51.83</v>
      </c>
      <c r="H58" s="281">
        <f t="shared" si="96"/>
        <v>41.82</v>
      </c>
      <c r="I58" s="282">
        <f t="shared" si="97"/>
        <v>73.37</v>
      </c>
      <c r="J58" s="282">
        <f t="shared" si="98"/>
        <v>60.73</v>
      </c>
      <c r="K58" s="283">
        <f t="shared" si="99"/>
        <v>82.91</v>
      </c>
      <c r="L58" s="281">
        <f t="shared" si="100"/>
        <v>69.2</v>
      </c>
      <c r="M58" s="282">
        <f t="shared" si="101"/>
        <v>66.05</v>
      </c>
      <c r="N58" s="282">
        <f t="shared" si="102"/>
        <v>41.84</v>
      </c>
      <c r="O58" s="283">
        <f t="shared" si="103"/>
        <v>61.5</v>
      </c>
      <c r="T58" s="281">
        <f t="shared" si="104"/>
        <v>62.67</v>
      </c>
      <c r="U58" s="282">
        <f t="shared" si="105"/>
        <v>72.349999999999994</v>
      </c>
      <c r="V58" s="282">
        <f t="shared" si="106"/>
        <v>85.08</v>
      </c>
      <c r="W58" s="283">
        <f t="shared" si="107"/>
        <v>108.55</v>
      </c>
      <c r="X58" s="281">
        <f t="shared" si="108"/>
        <v>96.63000000000001</v>
      </c>
      <c r="Y58" s="282">
        <f t="shared" si="109"/>
        <v>69.09</v>
      </c>
      <c r="Z58" s="282">
        <f t="shared" si="110"/>
        <v>60.72</v>
      </c>
      <c r="AA58" s="283">
        <f t="shared" si="111"/>
        <v>69.22999999999999</v>
      </c>
      <c r="AB58" s="281">
        <f t="shared" si="112"/>
        <v>57.239999999999995</v>
      </c>
      <c r="AC58" s="282">
        <f t="shared" si="113"/>
        <v>77.56</v>
      </c>
      <c r="AD58" s="282">
        <f t="shared" si="114"/>
        <v>57.980000000000004</v>
      </c>
      <c r="AE58" s="283">
        <f t="shared" si="115"/>
        <v>72.430000000000007</v>
      </c>
      <c r="AJ58" s="281">
        <f t="shared" si="116"/>
        <v>43.55</v>
      </c>
      <c r="AK58" s="282">
        <f t="shared" si="117"/>
        <v>77.760000000000005</v>
      </c>
      <c r="AL58" s="282">
        <f t="shared" si="118"/>
        <v>62.17</v>
      </c>
      <c r="AM58" s="283">
        <f t="shared" si="119"/>
        <v>75.459999999999994</v>
      </c>
      <c r="AN58" s="281">
        <f t="shared" si="120"/>
        <v>58.84</v>
      </c>
      <c r="AO58" s="282">
        <f t="shared" si="121"/>
        <v>74.569999999999993</v>
      </c>
      <c r="AP58" s="282">
        <f t="shared" si="122"/>
        <v>67.44</v>
      </c>
      <c r="AQ58" s="283">
        <f t="shared" si="123"/>
        <v>80.36</v>
      </c>
      <c r="AR58" s="281">
        <f t="shared" si="124"/>
        <v>81.45</v>
      </c>
      <c r="AS58" s="282">
        <f t="shared" si="125"/>
        <v>95.53</v>
      </c>
      <c r="AT58" s="282">
        <f t="shared" si="126"/>
        <v>147.54000000000002</v>
      </c>
      <c r="AU58" s="283"/>
      <c r="AZ58" s="281">
        <f t="shared" si="127"/>
        <v>139.88</v>
      </c>
      <c r="BA58" s="282">
        <f t="shared" si="128"/>
        <v>117.32</v>
      </c>
      <c r="BB58" s="282">
        <f t="shared" si="129"/>
        <v>92.97</v>
      </c>
      <c r="BC58" s="283"/>
      <c r="BD58" s="281">
        <f t="shared" si="130"/>
        <v>122.47</v>
      </c>
      <c r="BE58" s="282">
        <f t="shared" si="131"/>
        <v>97.89</v>
      </c>
      <c r="BF58" s="282">
        <f t="shared" si="132"/>
        <v>143.44999999999999</v>
      </c>
      <c r="BG58" s="283"/>
      <c r="BH58" s="281">
        <f t="shared" si="133"/>
        <v>180.53</v>
      </c>
      <c r="BI58" s="282">
        <f t="shared" si="134"/>
        <v>94.080000000000013</v>
      </c>
      <c r="BJ58" s="282">
        <f t="shared" si="135"/>
        <v>98.47</v>
      </c>
      <c r="BK58" s="283"/>
      <c r="BQ58" s="281">
        <f t="shared" si="136"/>
        <v>-11.370000000000005</v>
      </c>
      <c r="BR58" s="282">
        <f t="shared" si="137"/>
        <v>-22.47</v>
      </c>
      <c r="BS58" s="283">
        <f t="shared" si="138"/>
        <v>15.140000000000015</v>
      </c>
      <c r="BT58" s="281">
        <f t="shared" si="139"/>
        <v>2.4599999999999795</v>
      </c>
      <c r="BU58" s="281">
        <f t="shared" si="140"/>
        <v>-15.21999999999997</v>
      </c>
      <c r="BV58" s="281">
        <f t="shared" si="141"/>
        <v>46.42999999999995</v>
      </c>
      <c r="BW58" s="281">
        <f t="shared" si="142"/>
        <v>64.019999999999982</v>
      </c>
      <c r="BX58" s="282">
        <f t="shared" si="143"/>
        <v>29.290000000000049</v>
      </c>
      <c r="BY58" s="283">
        <f t="shared" si="144"/>
        <v>-121.33000000000004</v>
      </c>
      <c r="BZ58" s="281">
        <f t="shared" si="146"/>
        <v>-133.59000000000003</v>
      </c>
      <c r="CA58" s="282">
        <f t="shared" si="147"/>
        <v>25.600000000000023</v>
      </c>
      <c r="CB58" s="283">
        <f t="shared" si="148"/>
        <v>-334.89</v>
      </c>
    </row>
    <row r="59" spans="1:80" ht="15.75" thickBot="1" x14ac:dyDescent="0.3">
      <c r="A59" s="522"/>
      <c r="B59" s="83">
        <v>23</v>
      </c>
      <c r="C59" s="84">
        <v>14.6</v>
      </c>
      <c r="D59" s="281">
        <f t="shared" si="92"/>
        <v>16.240000000000002</v>
      </c>
      <c r="E59" s="282">
        <f t="shared" si="93"/>
        <v>13.39</v>
      </c>
      <c r="F59" s="282">
        <f t="shared" si="94"/>
        <v>20.83</v>
      </c>
      <c r="G59" s="283">
        <f t="shared" si="95"/>
        <v>15.99</v>
      </c>
      <c r="H59" s="281">
        <f t="shared" si="96"/>
        <v>8.74</v>
      </c>
      <c r="I59" s="282">
        <f t="shared" si="97"/>
        <v>23.380000000000003</v>
      </c>
      <c r="J59" s="282">
        <f t="shared" si="98"/>
        <v>15.02</v>
      </c>
      <c r="K59" s="283">
        <f t="shared" si="99"/>
        <v>20.85</v>
      </c>
      <c r="L59" s="281">
        <f t="shared" si="100"/>
        <v>14.7</v>
      </c>
      <c r="M59" s="282">
        <f t="shared" si="101"/>
        <v>14.47</v>
      </c>
      <c r="N59" s="282">
        <f t="shared" si="102"/>
        <v>7.17</v>
      </c>
      <c r="O59" s="283">
        <f t="shared" si="103"/>
        <v>12.399999999999999</v>
      </c>
      <c r="T59" s="281">
        <f t="shared" si="104"/>
        <v>20.130000000000003</v>
      </c>
      <c r="U59" s="282">
        <f t="shared" si="105"/>
        <v>7.79</v>
      </c>
      <c r="V59" s="282">
        <f t="shared" si="106"/>
        <v>12.370000000000001</v>
      </c>
      <c r="W59" s="283">
        <f t="shared" si="107"/>
        <v>31.32</v>
      </c>
      <c r="X59" s="281">
        <f t="shared" si="108"/>
        <v>18.100000000000001</v>
      </c>
      <c r="Y59" s="282">
        <f t="shared" si="109"/>
        <v>16.48</v>
      </c>
      <c r="Z59" s="282">
        <f t="shared" si="110"/>
        <v>24.14</v>
      </c>
      <c r="AA59" s="283">
        <f t="shared" si="111"/>
        <v>21.55</v>
      </c>
      <c r="AB59" s="281">
        <f t="shared" si="112"/>
        <v>12.600000000000001</v>
      </c>
      <c r="AC59" s="282">
        <f t="shared" si="113"/>
        <v>21.369999999999997</v>
      </c>
      <c r="AD59" s="282">
        <f t="shared" si="114"/>
        <v>15.32</v>
      </c>
      <c r="AE59" s="283">
        <f t="shared" si="115"/>
        <v>21.51</v>
      </c>
      <c r="AJ59" s="281">
        <f t="shared" si="116"/>
        <v>13.33</v>
      </c>
      <c r="AK59" s="282">
        <f t="shared" si="117"/>
        <v>21.189999999999998</v>
      </c>
      <c r="AL59" s="282">
        <f t="shared" si="118"/>
        <v>29.12</v>
      </c>
      <c r="AM59" s="283">
        <f t="shared" si="119"/>
        <v>19.11</v>
      </c>
      <c r="AN59" s="281">
        <f t="shared" si="120"/>
        <v>18.82</v>
      </c>
      <c r="AO59" s="282">
        <f t="shared" si="121"/>
        <v>41.82</v>
      </c>
      <c r="AP59" s="282">
        <f t="shared" si="122"/>
        <v>40.04</v>
      </c>
      <c r="AQ59" s="283">
        <f t="shared" si="123"/>
        <v>29.76</v>
      </c>
      <c r="AR59" s="281">
        <f t="shared" si="124"/>
        <v>14.39</v>
      </c>
      <c r="AS59" s="282">
        <f t="shared" si="125"/>
        <v>22.19</v>
      </c>
      <c r="AT59" s="282">
        <f t="shared" si="126"/>
        <v>25.52</v>
      </c>
      <c r="AU59" s="283"/>
      <c r="AZ59" s="281">
        <f t="shared" si="127"/>
        <v>42.260000000000005</v>
      </c>
      <c r="BA59" s="282">
        <f t="shared" si="128"/>
        <v>23.86</v>
      </c>
      <c r="BB59" s="282">
        <f t="shared" si="129"/>
        <v>44.03</v>
      </c>
      <c r="BC59" s="283"/>
      <c r="BD59" s="281">
        <f t="shared" si="130"/>
        <v>28.15</v>
      </c>
      <c r="BE59" s="282">
        <f t="shared" si="131"/>
        <v>20.75</v>
      </c>
      <c r="BF59" s="282">
        <f t="shared" si="132"/>
        <v>32.370000000000005</v>
      </c>
      <c r="BG59" s="283"/>
      <c r="BH59" s="281">
        <f t="shared" si="133"/>
        <v>18.77</v>
      </c>
      <c r="BI59" s="282">
        <f t="shared" si="134"/>
        <v>16.809999999999999</v>
      </c>
      <c r="BJ59" s="282">
        <f t="shared" si="135"/>
        <v>21.66</v>
      </c>
      <c r="BK59" s="283"/>
      <c r="BQ59" s="281">
        <f t="shared" si="136"/>
        <v>11.559999999999995</v>
      </c>
      <c r="BR59" s="282">
        <f t="shared" si="137"/>
        <v>-8.220000000000006</v>
      </c>
      <c r="BS59" s="283">
        <f t="shared" si="138"/>
        <v>6.220000000000006</v>
      </c>
      <c r="BT59" s="281">
        <f t="shared" si="139"/>
        <v>-5.1900000000000048</v>
      </c>
      <c r="BU59" s="281">
        <f t="shared" si="140"/>
        <v>6.1900000000000048</v>
      </c>
      <c r="BV59" s="281">
        <f t="shared" si="141"/>
        <v>22.550000000000004</v>
      </c>
      <c r="BW59" s="281">
        <f t="shared" si="142"/>
        <v>38.660000000000004</v>
      </c>
      <c r="BX59" s="282">
        <f t="shared" si="143"/>
        <v>9.4799999999999898</v>
      </c>
      <c r="BY59" s="283">
        <f t="shared" si="144"/>
        <v>-45.809999999999988</v>
      </c>
      <c r="BZ59" s="281">
        <f t="shared" si="146"/>
        <v>-27.759999999999991</v>
      </c>
      <c r="CA59" s="282">
        <f t="shared" si="147"/>
        <v>36.64</v>
      </c>
      <c r="CB59" s="283">
        <f t="shared" si="148"/>
        <v>-98.06</v>
      </c>
    </row>
    <row r="60" spans="1:80" x14ac:dyDescent="0.25">
      <c r="A60" s="520" t="s">
        <v>22</v>
      </c>
      <c r="B60" s="85">
        <v>10</v>
      </c>
      <c r="C60" s="86">
        <v>19.100000000000001</v>
      </c>
      <c r="D60" s="281">
        <f t="shared" si="92"/>
        <v>11.7</v>
      </c>
      <c r="E60" s="282">
        <f t="shared" si="93"/>
        <v>16.29</v>
      </c>
      <c r="F60" s="282">
        <f t="shared" si="94"/>
        <v>19.59</v>
      </c>
      <c r="G60" s="283">
        <f t="shared" si="95"/>
        <v>8.8699999999999992</v>
      </c>
      <c r="H60" s="281">
        <f t="shared" si="96"/>
        <v>7.34</v>
      </c>
      <c r="I60" s="282">
        <f t="shared" si="97"/>
        <v>16.53</v>
      </c>
      <c r="J60" s="282">
        <f t="shared" si="98"/>
        <v>10.29</v>
      </c>
      <c r="K60" s="283">
        <f t="shared" si="99"/>
        <v>18.600000000000001</v>
      </c>
      <c r="L60" s="281">
        <f t="shared" si="100"/>
        <v>14.849999999999998</v>
      </c>
      <c r="M60" s="282">
        <f t="shared" si="101"/>
        <v>18.66</v>
      </c>
      <c r="N60" s="282">
        <f t="shared" si="102"/>
        <v>10.94</v>
      </c>
      <c r="O60" s="283">
        <f t="shared" si="103"/>
        <v>21.950000000000003</v>
      </c>
      <c r="T60" s="281">
        <f t="shared" si="104"/>
        <v>19.18</v>
      </c>
      <c r="U60" s="282">
        <f t="shared" si="105"/>
        <v>15.34</v>
      </c>
      <c r="V60" s="282">
        <f t="shared" si="106"/>
        <v>7.91</v>
      </c>
      <c r="W60" s="283">
        <f t="shared" si="107"/>
        <v>17.760000000000002</v>
      </c>
      <c r="X60" s="281">
        <f t="shared" si="108"/>
        <v>26.41</v>
      </c>
      <c r="Y60" s="282">
        <f t="shared" si="109"/>
        <v>25.56</v>
      </c>
      <c r="Z60" s="282">
        <f t="shared" si="110"/>
        <v>16.59</v>
      </c>
      <c r="AA60" s="283">
        <f t="shared" si="111"/>
        <v>21.09</v>
      </c>
      <c r="AB60" s="281">
        <f t="shared" si="112"/>
        <v>22.54</v>
      </c>
      <c r="AC60" s="282">
        <f t="shared" si="113"/>
        <v>21.5</v>
      </c>
      <c r="AD60" s="282">
        <f t="shared" si="114"/>
        <v>20.95</v>
      </c>
      <c r="AE60" s="283">
        <f t="shared" si="115"/>
        <v>29.669999999999998</v>
      </c>
      <c r="AJ60" s="281">
        <f t="shared" si="116"/>
        <v>13.11</v>
      </c>
      <c r="AK60" s="282">
        <f t="shared" si="117"/>
        <v>27.93</v>
      </c>
      <c r="AL60" s="282">
        <f t="shared" si="118"/>
        <v>13.52</v>
      </c>
      <c r="AM60" s="283">
        <f t="shared" si="119"/>
        <v>15.129999999999999</v>
      </c>
      <c r="AN60" s="281">
        <f t="shared" si="120"/>
        <v>20.47</v>
      </c>
      <c r="AO60" s="282">
        <f t="shared" si="121"/>
        <v>29.2</v>
      </c>
      <c r="AP60" s="282">
        <f t="shared" si="122"/>
        <v>27.61</v>
      </c>
      <c r="AQ60" s="283">
        <f t="shared" si="123"/>
        <v>23.62</v>
      </c>
      <c r="AR60" s="281">
        <f t="shared" si="124"/>
        <v>44.04</v>
      </c>
      <c r="AS60" s="282">
        <f t="shared" si="125"/>
        <v>34.06</v>
      </c>
      <c r="AT60" s="282">
        <f t="shared" si="126"/>
        <v>40.57</v>
      </c>
      <c r="AU60" s="283"/>
      <c r="AZ60" s="281">
        <f t="shared" si="127"/>
        <v>36.01</v>
      </c>
      <c r="BA60" s="282">
        <f t="shared" si="128"/>
        <v>29.66</v>
      </c>
      <c r="BB60" s="282">
        <f t="shared" si="129"/>
        <v>28.14</v>
      </c>
      <c r="BC60" s="283"/>
      <c r="BD60" s="281">
        <f t="shared" si="130"/>
        <v>0</v>
      </c>
      <c r="BE60" s="282">
        <f t="shared" si="131"/>
        <v>24.72</v>
      </c>
      <c r="BF60" s="282">
        <f t="shared" si="132"/>
        <v>35.380000000000003</v>
      </c>
      <c r="BG60" s="283"/>
      <c r="BH60" s="281">
        <f t="shared" si="133"/>
        <v>53.05</v>
      </c>
      <c r="BI60" s="282">
        <f t="shared" si="134"/>
        <v>28.05</v>
      </c>
      <c r="BJ60" s="282">
        <f t="shared" si="135"/>
        <v>29.310000000000002</v>
      </c>
      <c r="BK60" s="283"/>
      <c r="BQ60" s="281">
        <f t="shared" si="136"/>
        <v>17.590000000000003</v>
      </c>
      <c r="BR60" s="282">
        <f t="shared" si="137"/>
        <v>-10.660000000000004</v>
      </c>
      <c r="BS60" s="283">
        <f t="shared" si="138"/>
        <v>8.6000000000000014</v>
      </c>
      <c r="BT60" s="281">
        <f t="shared" si="139"/>
        <v>-5.7299999999999969</v>
      </c>
      <c r="BU60" s="281">
        <f t="shared" si="140"/>
        <v>-16.949999999999996</v>
      </c>
      <c r="BV60" s="281">
        <f t="shared" si="141"/>
        <v>23.069999999999993</v>
      </c>
      <c r="BW60" s="281">
        <f t="shared" si="142"/>
        <v>13.569999999999993</v>
      </c>
      <c r="BX60" s="282">
        <f t="shared" si="143"/>
        <v>-9.4900000000000091</v>
      </c>
      <c r="BY60" s="283">
        <f t="shared" si="144"/>
        <v>-42.949999999999989</v>
      </c>
      <c r="BZ60" s="281">
        <f t="shared" si="146"/>
        <v>-6.6300000000000097</v>
      </c>
      <c r="CA60" s="282">
        <f t="shared" si="147"/>
        <v>10.40000000000002</v>
      </c>
      <c r="CB60" s="283">
        <f t="shared" si="148"/>
        <v>-92.830000000000013</v>
      </c>
    </row>
    <row r="61" spans="1:80" x14ac:dyDescent="0.25">
      <c r="A61" s="521"/>
      <c r="B61" s="55">
        <v>13</v>
      </c>
      <c r="C61" s="56">
        <v>60.8</v>
      </c>
      <c r="D61" s="281">
        <f t="shared" si="92"/>
        <v>55.04</v>
      </c>
      <c r="E61" s="282">
        <f t="shared" si="93"/>
        <v>107.76</v>
      </c>
      <c r="F61" s="282">
        <f t="shared" si="94"/>
        <v>74.92</v>
      </c>
      <c r="G61" s="283">
        <f t="shared" si="95"/>
        <v>91.4</v>
      </c>
      <c r="H61" s="281">
        <f t="shared" si="96"/>
        <v>49.260000000000005</v>
      </c>
      <c r="I61" s="282">
        <f t="shared" si="97"/>
        <v>63.97</v>
      </c>
      <c r="J61" s="282">
        <f t="shared" si="98"/>
        <v>56.88</v>
      </c>
      <c r="K61" s="283">
        <f t="shared" si="99"/>
        <v>74.7</v>
      </c>
      <c r="L61" s="281">
        <f t="shared" si="100"/>
        <v>55.06</v>
      </c>
      <c r="M61" s="282">
        <f t="shared" si="101"/>
        <v>61.980000000000004</v>
      </c>
      <c r="N61" s="282">
        <f t="shared" si="102"/>
        <v>44.790000000000006</v>
      </c>
      <c r="O61" s="283">
        <f t="shared" si="103"/>
        <v>57.589999999999996</v>
      </c>
      <c r="T61" s="281">
        <f t="shared" si="104"/>
        <v>51.75</v>
      </c>
      <c r="U61" s="282">
        <f t="shared" si="105"/>
        <v>47.14</v>
      </c>
      <c r="V61" s="282">
        <f t="shared" si="106"/>
        <v>68.010000000000005</v>
      </c>
      <c r="W61" s="283">
        <f t="shared" si="107"/>
        <v>47.86</v>
      </c>
      <c r="X61" s="281">
        <f t="shared" si="108"/>
        <v>86.15</v>
      </c>
      <c r="Y61" s="282">
        <f t="shared" si="109"/>
        <v>85.9</v>
      </c>
      <c r="Z61" s="282">
        <f t="shared" si="110"/>
        <v>48.01</v>
      </c>
      <c r="AA61" s="283">
        <f t="shared" si="111"/>
        <v>90.56</v>
      </c>
      <c r="AB61" s="281">
        <f t="shared" si="112"/>
        <v>76.180000000000007</v>
      </c>
      <c r="AC61" s="282">
        <f t="shared" si="113"/>
        <v>77.59</v>
      </c>
      <c r="AD61" s="282">
        <f t="shared" si="114"/>
        <v>53.45</v>
      </c>
      <c r="AE61" s="283">
        <f t="shared" si="115"/>
        <v>56.22</v>
      </c>
      <c r="AJ61" s="281">
        <f t="shared" si="116"/>
        <v>84.359999999999985</v>
      </c>
      <c r="AK61" s="282">
        <f t="shared" si="117"/>
        <v>93.78</v>
      </c>
      <c r="AL61" s="282">
        <f t="shared" si="118"/>
        <v>71.09</v>
      </c>
      <c r="AM61" s="283">
        <f t="shared" si="119"/>
        <v>89.53</v>
      </c>
      <c r="AN61" s="281">
        <f t="shared" si="120"/>
        <v>80.569999999999993</v>
      </c>
      <c r="AO61" s="282">
        <f t="shared" si="121"/>
        <v>85.92</v>
      </c>
      <c r="AP61" s="282">
        <f t="shared" si="122"/>
        <v>96.89</v>
      </c>
      <c r="AQ61" s="283">
        <f t="shared" si="123"/>
        <v>66.47</v>
      </c>
      <c r="AR61" s="281">
        <f t="shared" si="124"/>
        <v>96.34</v>
      </c>
      <c r="AS61" s="282">
        <f t="shared" si="125"/>
        <v>109.63999999999999</v>
      </c>
      <c r="AT61" s="282">
        <f t="shared" si="126"/>
        <v>80.66</v>
      </c>
      <c r="AU61" s="283"/>
      <c r="AZ61" s="281">
        <f t="shared" si="127"/>
        <v>113.44</v>
      </c>
      <c r="BA61" s="282">
        <f t="shared" si="128"/>
        <v>94.43</v>
      </c>
      <c r="BB61" s="282">
        <f t="shared" si="129"/>
        <v>184.71</v>
      </c>
      <c r="BC61" s="283"/>
      <c r="BD61" s="281">
        <f t="shared" si="130"/>
        <v>119.28</v>
      </c>
      <c r="BE61" s="282">
        <f t="shared" si="131"/>
        <v>112.62</v>
      </c>
      <c r="BF61" s="282">
        <f t="shared" si="132"/>
        <v>139.12900000000002</v>
      </c>
      <c r="BG61" s="283"/>
      <c r="BH61" s="281">
        <f t="shared" si="133"/>
        <v>97.38</v>
      </c>
      <c r="BI61" s="282">
        <f t="shared" si="134"/>
        <v>98.88</v>
      </c>
      <c r="BJ61" s="282">
        <f t="shared" si="135"/>
        <v>80.319999999999993</v>
      </c>
      <c r="BK61" s="283"/>
      <c r="BQ61" s="281">
        <f t="shared" si="136"/>
        <v>74.350000000000023</v>
      </c>
      <c r="BR61" s="282">
        <f t="shared" si="137"/>
        <v>-57.120000000000005</v>
      </c>
      <c r="BS61" s="283">
        <f t="shared" si="138"/>
        <v>47.099999999999994</v>
      </c>
      <c r="BT61" s="281">
        <f t="shared" si="139"/>
        <v>-3.4499999999999886</v>
      </c>
      <c r="BU61" s="281">
        <f t="shared" si="140"/>
        <v>-41.16</v>
      </c>
      <c r="BV61" s="281">
        <f t="shared" si="141"/>
        <v>25.169999999999987</v>
      </c>
      <c r="BW61" s="281">
        <f t="shared" si="142"/>
        <v>28.069999999999993</v>
      </c>
      <c r="BX61" s="282">
        <f t="shared" si="143"/>
        <v>-40.69999999999996</v>
      </c>
      <c r="BY61" s="283">
        <f t="shared" si="144"/>
        <v>-92.640000000000015</v>
      </c>
      <c r="BZ61" s="281">
        <f t="shared" si="146"/>
        <v>-24.170000000000016</v>
      </c>
      <c r="CA61" s="282">
        <f t="shared" si="147"/>
        <v>98.229000000000042</v>
      </c>
      <c r="CB61" s="283">
        <f t="shared" si="148"/>
        <v>-404.15900000000005</v>
      </c>
    </row>
    <row r="62" spans="1:80" x14ac:dyDescent="0.25">
      <c r="A62" s="521"/>
      <c r="B62" s="55">
        <v>14</v>
      </c>
      <c r="C62" s="56">
        <v>41.6</v>
      </c>
      <c r="D62" s="281">
        <f t="shared" si="92"/>
        <v>65.56</v>
      </c>
      <c r="E62" s="282">
        <f t="shared" si="93"/>
        <v>42.41</v>
      </c>
      <c r="F62" s="282">
        <f t="shared" si="94"/>
        <v>52.870000000000005</v>
      </c>
      <c r="G62" s="283">
        <f t="shared" si="95"/>
        <v>46.739999999999995</v>
      </c>
      <c r="H62" s="281">
        <f t="shared" si="96"/>
        <v>34.21</v>
      </c>
      <c r="I62" s="282">
        <f t="shared" si="97"/>
        <v>45.37</v>
      </c>
      <c r="J62" s="282">
        <f t="shared" si="98"/>
        <v>38.82</v>
      </c>
      <c r="K62" s="283">
        <f t="shared" si="99"/>
        <v>39.24</v>
      </c>
      <c r="L62" s="281">
        <f t="shared" si="100"/>
        <v>29.24</v>
      </c>
      <c r="M62" s="282">
        <f t="shared" si="101"/>
        <v>58.05</v>
      </c>
      <c r="N62" s="282">
        <f t="shared" si="102"/>
        <v>18.579999999999998</v>
      </c>
      <c r="O62" s="283">
        <f t="shared" si="103"/>
        <v>32.08</v>
      </c>
      <c r="T62" s="281">
        <f t="shared" si="104"/>
        <v>28.13</v>
      </c>
      <c r="U62" s="282">
        <f t="shared" si="105"/>
        <v>37.229999999999997</v>
      </c>
      <c r="V62" s="282">
        <f t="shared" si="106"/>
        <v>48.01</v>
      </c>
      <c r="W62" s="283">
        <f t="shared" si="107"/>
        <v>61.87</v>
      </c>
      <c r="X62" s="281">
        <f t="shared" si="108"/>
        <v>86.62</v>
      </c>
      <c r="Y62" s="282">
        <f t="shared" si="109"/>
        <v>59.67</v>
      </c>
      <c r="Z62" s="282">
        <f t="shared" si="110"/>
        <v>71.760000000000005</v>
      </c>
      <c r="AA62" s="283">
        <f t="shared" si="111"/>
        <v>55.48</v>
      </c>
      <c r="AB62" s="281">
        <f t="shared" si="112"/>
        <v>44.92</v>
      </c>
      <c r="AC62" s="282">
        <f t="shared" si="113"/>
        <v>55.47</v>
      </c>
      <c r="AD62" s="282">
        <f t="shared" si="114"/>
        <v>41.28</v>
      </c>
      <c r="AE62" s="283">
        <f t="shared" si="115"/>
        <v>76.95</v>
      </c>
      <c r="AJ62" s="281">
        <f t="shared" si="116"/>
        <v>62.59</v>
      </c>
      <c r="AK62" s="282">
        <f t="shared" si="117"/>
        <v>51.68</v>
      </c>
      <c r="AL62" s="282">
        <f t="shared" si="118"/>
        <v>53.03</v>
      </c>
      <c r="AM62" s="283">
        <f t="shared" si="119"/>
        <v>62.519999999999996</v>
      </c>
      <c r="AN62" s="281">
        <f t="shared" si="120"/>
        <v>49.78</v>
      </c>
      <c r="AO62" s="282">
        <f t="shared" si="121"/>
        <v>58.789999999999992</v>
      </c>
      <c r="AP62" s="282">
        <f t="shared" si="122"/>
        <v>105.18</v>
      </c>
      <c r="AQ62" s="283">
        <f t="shared" si="123"/>
        <v>58.45</v>
      </c>
      <c r="AR62" s="281">
        <f t="shared" si="124"/>
        <v>59</v>
      </c>
      <c r="AS62" s="282">
        <f t="shared" si="125"/>
        <v>79.78</v>
      </c>
      <c r="AT62" s="282">
        <f t="shared" si="126"/>
        <v>84.46</v>
      </c>
      <c r="AU62" s="283"/>
      <c r="AZ62" s="281">
        <f t="shared" si="127"/>
        <v>61.58</v>
      </c>
      <c r="BA62" s="282">
        <f t="shared" si="128"/>
        <v>57.91</v>
      </c>
      <c r="BB62" s="282">
        <f t="shared" si="129"/>
        <v>96.19</v>
      </c>
      <c r="BC62" s="283"/>
      <c r="BD62" s="281">
        <f t="shared" si="130"/>
        <v>64.37</v>
      </c>
      <c r="BE62" s="282">
        <f t="shared" si="131"/>
        <v>77.38</v>
      </c>
      <c r="BF62" s="282">
        <f t="shared" si="132"/>
        <v>58.596000000000004</v>
      </c>
      <c r="BG62" s="283"/>
      <c r="BH62" s="281">
        <f t="shared" si="133"/>
        <v>63.52</v>
      </c>
      <c r="BI62" s="282">
        <f t="shared" si="134"/>
        <v>63.4</v>
      </c>
      <c r="BJ62" s="282">
        <f t="shared" si="135"/>
        <v>93.91</v>
      </c>
      <c r="BK62" s="283"/>
      <c r="BQ62" s="281">
        <f t="shared" si="136"/>
        <v>16.819999999999965</v>
      </c>
      <c r="BR62" s="282">
        <f t="shared" si="137"/>
        <v>-35.559999999999988</v>
      </c>
      <c r="BS62" s="283">
        <f t="shared" si="138"/>
        <v>7.789999999999992</v>
      </c>
      <c r="BT62" s="281">
        <f t="shared" si="139"/>
        <v>-7.3000000000000114</v>
      </c>
      <c r="BU62" s="281">
        <f t="shared" si="140"/>
        <v>8.6800000000000068</v>
      </c>
      <c r="BV62" s="281">
        <f t="shared" si="141"/>
        <v>33.25</v>
      </c>
      <c r="BW62" s="281">
        <f t="shared" si="142"/>
        <v>18.879999999999995</v>
      </c>
      <c r="BX62" s="282">
        <f t="shared" si="143"/>
        <v>52.420000000000016</v>
      </c>
      <c r="BY62" s="283">
        <f t="shared" si="144"/>
        <v>-121.70000000000002</v>
      </c>
      <c r="BZ62" s="281">
        <f t="shared" si="146"/>
        <v>9.2199999999999989</v>
      </c>
      <c r="CA62" s="282">
        <f t="shared" si="147"/>
        <v>50.006</v>
      </c>
      <c r="CB62" s="283">
        <f t="shared" si="148"/>
        <v>-248.696</v>
      </c>
    </row>
    <row r="63" spans="1:80" x14ac:dyDescent="0.25">
      <c r="A63" s="521"/>
      <c r="B63" s="55">
        <v>15</v>
      </c>
      <c r="C63" s="56">
        <v>49.3</v>
      </c>
      <c r="D63" s="281">
        <f t="shared" si="92"/>
        <v>25.64</v>
      </c>
      <c r="E63" s="282">
        <f t="shared" si="93"/>
        <v>69.069999999999993</v>
      </c>
      <c r="F63" s="282">
        <f t="shared" si="94"/>
        <v>37.380000000000003</v>
      </c>
      <c r="G63" s="283">
        <f t="shared" si="95"/>
        <v>58.17</v>
      </c>
      <c r="H63" s="281">
        <f t="shared" si="96"/>
        <v>19.36</v>
      </c>
      <c r="I63" s="282">
        <f t="shared" si="97"/>
        <v>56.76</v>
      </c>
      <c r="J63" s="282">
        <f t="shared" si="98"/>
        <v>16.95</v>
      </c>
      <c r="K63" s="283">
        <f t="shared" si="99"/>
        <v>59.539999999999992</v>
      </c>
      <c r="L63" s="281">
        <f t="shared" si="100"/>
        <v>36.07</v>
      </c>
      <c r="M63" s="282">
        <f t="shared" si="101"/>
        <v>60.91</v>
      </c>
      <c r="N63" s="282">
        <f t="shared" si="102"/>
        <v>13.440000000000001</v>
      </c>
      <c r="O63" s="283">
        <f t="shared" si="103"/>
        <v>48.32</v>
      </c>
      <c r="T63" s="281">
        <f t="shared" si="104"/>
        <v>37</v>
      </c>
      <c r="U63" s="282">
        <f t="shared" si="105"/>
        <v>45.019999999999996</v>
      </c>
      <c r="V63" s="282">
        <f t="shared" si="106"/>
        <v>14.53</v>
      </c>
      <c r="W63" s="283">
        <f t="shared" si="107"/>
        <v>46.6</v>
      </c>
      <c r="X63" s="281">
        <f t="shared" si="108"/>
        <v>48.989999999999995</v>
      </c>
      <c r="Y63" s="282">
        <f t="shared" si="109"/>
        <v>52.25</v>
      </c>
      <c r="Z63" s="282">
        <f t="shared" si="110"/>
        <v>32.5</v>
      </c>
      <c r="AA63" s="283">
        <f t="shared" si="111"/>
        <v>59.36</v>
      </c>
      <c r="AB63" s="281">
        <f t="shared" si="112"/>
        <v>81.740000000000009</v>
      </c>
      <c r="AC63" s="282">
        <f t="shared" si="113"/>
        <v>59.48</v>
      </c>
      <c r="AD63" s="282">
        <f t="shared" si="114"/>
        <v>49.5</v>
      </c>
      <c r="AE63" s="283">
        <f t="shared" si="115"/>
        <v>54.86</v>
      </c>
      <c r="AJ63" s="281">
        <f t="shared" si="116"/>
        <v>60.22</v>
      </c>
      <c r="AK63" s="282">
        <f t="shared" si="117"/>
        <v>69.97999999999999</v>
      </c>
      <c r="AL63" s="282">
        <f t="shared" si="118"/>
        <v>34.08</v>
      </c>
      <c r="AM63" s="283">
        <f t="shared" si="119"/>
        <v>51.02</v>
      </c>
      <c r="AN63" s="281">
        <f t="shared" si="120"/>
        <v>72.84</v>
      </c>
      <c r="AO63" s="282">
        <f t="shared" si="121"/>
        <v>65.38</v>
      </c>
      <c r="AP63" s="282">
        <f t="shared" si="122"/>
        <v>96.44</v>
      </c>
      <c r="AQ63" s="283">
        <f t="shared" si="123"/>
        <v>51.72</v>
      </c>
      <c r="AR63" s="281">
        <f t="shared" si="124"/>
        <v>50.53</v>
      </c>
      <c r="AS63" s="282">
        <f t="shared" si="125"/>
        <v>69.63</v>
      </c>
      <c r="AT63" s="282">
        <f t="shared" si="126"/>
        <v>79.52</v>
      </c>
      <c r="AU63" s="283"/>
      <c r="AZ63" s="281">
        <f t="shared" si="127"/>
        <v>110.6</v>
      </c>
      <c r="BA63" s="282">
        <f t="shared" si="128"/>
        <v>75.489999999999995</v>
      </c>
      <c r="BB63" s="282">
        <f t="shared" si="129"/>
        <v>107.01999999999998</v>
      </c>
      <c r="BC63" s="283"/>
      <c r="BD63" s="281">
        <f t="shared" si="130"/>
        <v>61.53</v>
      </c>
      <c r="BE63" s="282">
        <f t="shared" si="131"/>
        <v>71.150000000000006</v>
      </c>
      <c r="BF63" s="282">
        <f t="shared" si="132"/>
        <v>77.91</v>
      </c>
      <c r="BG63" s="283"/>
      <c r="BH63" s="281">
        <f t="shared" si="133"/>
        <v>82.2</v>
      </c>
      <c r="BI63" s="282">
        <f t="shared" si="134"/>
        <v>58.239999999999995</v>
      </c>
      <c r="BJ63" s="282">
        <f t="shared" si="135"/>
        <v>60.49</v>
      </c>
      <c r="BK63" s="283"/>
      <c r="BQ63" s="281">
        <f t="shared" si="136"/>
        <v>105.66999999999999</v>
      </c>
      <c r="BR63" s="282">
        <f t="shared" si="137"/>
        <v>-118.96999999999998</v>
      </c>
      <c r="BS63" s="283">
        <f t="shared" si="138"/>
        <v>98.26</v>
      </c>
      <c r="BT63" s="281">
        <f t="shared" si="139"/>
        <v>-10.980000000000018</v>
      </c>
      <c r="BU63" s="281">
        <f t="shared" si="140"/>
        <v>-60.22</v>
      </c>
      <c r="BV63" s="281">
        <f t="shared" si="141"/>
        <v>64.289999999999992</v>
      </c>
      <c r="BW63" s="281">
        <f t="shared" si="142"/>
        <v>21.399999999999977</v>
      </c>
      <c r="BX63" s="282">
        <f t="shared" si="143"/>
        <v>5.0499999999999829</v>
      </c>
      <c r="BY63" s="283">
        <f t="shared" si="144"/>
        <v>-107.29999999999995</v>
      </c>
      <c r="BZ63" s="281">
        <f t="shared" si="146"/>
        <v>-49.449999999999989</v>
      </c>
      <c r="CA63" s="282">
        <f t="shared" si="147"/>
        <v>40.539999999999992</v>
      </c>
      <c r="CB63" s="283">
        <f t="shared" si="148"/>
        <v>-245.42</v>
      </c>
    </row>
    <row r="64" spans="1:80" x14ac:dyDescent="0.25">
      <c r="A64" s="521"/>
      <c r="B64" s="55">
        <v>16</v>
      </c>
      <c r="C64" s="56">
        <v>53.2</v>
      </c>
      <c r="D64" s="281">
        <f t="shared" si="92"/>
        <v>46.480000000000004</v>
      </c>
      <c r="E64" s="282">
        <f t="shared" si="93"/>
        <v>65.75</v>
      </c>
      <c r="F64" s="282">
        <f t="shared" si="94"/>
        <v>48.33</v>
      </c>
      <c r="G64" s="283">
        <f t="shared" si="95"/>
        <v>42.08</v>
      </c>
      <c r="H64" s="281">
        <f t="shared" si="96"/>
        <v>47.370000000000005</v>
      </c>
      <c r="I64" s="282">
        <f t="shared" si="97"/>
        <v>82.25</v>
      </c>
      <c r="J64" s="282">
        <f t="shared" si="98"/>
        <v>34.19</v>
      </c>
      <c r="K64" s="283">
        <f t="shared" si="99"/>
        <v>65.67</v>
      </c>
      <c r="L64" s="281">
        <f t="shared" si="100"/>
        <v>44.989999999999995</v>
      </c>
      <c r="M64" s="282">
        <f t="shared" si="101"/>
        <v>75.31</v>
      </c>
      <c r="N64" s="282">
        <f t="shared" si="102"/>
        <v>23.630000000000003</v>
      </c>
      <c r="O64" s="283">
        <f t="shared" si="103"/>
        <v>62.629999999999995</v>
      </c>
      <c r="T64" s="281">
        <f t="shared" si="104"/>
        <v>51.67</v>
      </c>
      <c r="U64" s="282">
        <f t="shared" si="105"/>
        <v>49.5</v>
      </c>
      <c r="V64" s="282">
        <f t="shared" si="106"/>
        <v>55.41</v>
      </c>
      <c r="W64" s="283">
        <f t="shared" si="107"/>
        <v>59.59</v>
      </c>
      <c r="X64" s="281">
        <f t="shared" si="108"/>
        <v>71.490000000000009</v>
      </c>
      <c r="Y64" s="282">
        <f t="shared" si="109"/>
        <v>67.050000000000011</v>
      </c>
      <c r="Z64" s="282">
        <f t="shared" si="110"/>
        <v>40.53</v>
      </c>
      <c r="AA64" s="283">
        <f t="shared" si="111"/>
        <v>73.150000000000006</v>
      </c>
      <c r="AB64" s="281">
        <f t="shared" si="112"/>
        <v>112.24000000000001</v>
      </c>
      <c r="AC64" s="282">
        <f t="shared" si="113"/>
        <v>64.47</v>
      </c>
      <c r="AD64" s="282">
        <f t="shared" si="114"/>
        <v>68.680000000000007</v>
      </c>
      <c r="AE64" s="283">
        <f t="shared" si="115"/>
        <v>69.87</v>
      </c>
      <c r="AJ64" s="281">
        <f t="shared" si="116"/>
        <v>91.59</v>
      </c>
      <c r="AK64" s="282">
        <f t="shared" si="117"/>
        <v>103.61</v>
      </c>
      <c r="AL64" s="282">
        <f t="shared" si="118"/>
        <v>68.210000000000008</v>
      </c>
      <c r="AM64" s="283">
        <f t="shared" si="119"/>
        <v>76.2</v>
      </c>
      <c r="AN64" s="281">
        <f t="shared" si="120"/>
        <v>105.17</v>
      </c>
      <c r="AO64" s="282">
        <f t="shared" si="121"/>
        <v>93.17</v>
      </c>
      <c r="AP64" s="282">
        <f t="shared" si="122"/>
        <v>115.72</v>
      </c>
      <c r="AQ64" s="283">
        <f t="shared" si="123"/>
        <v>78.81</v>
      </c>
      <c r="AR64" s="281">
        <f t="shared" si="124"/>
        <v>103.51</v>
      </c>
      <c r="AS64" s="282">
        <f t="shared" si="125"/>
        <v>91.37</v>
      </c>
      <c r="AT64" s="282">
        <f t="shared" si="126"/>
        <v>88.25</v>
      </c>
      <c r="AU64" s="283"/>
      <c r="AZ64" s="281">
        <f t="shared" si="127"/>
        <v>118.93</v>
      </c>
      <c r="BA64" s="282">
        <f t="shared" si="128"/>
        <v>84.15</v>
      </c>
      <c r="BB64" s="282">
        <f t="shared" si="129"/>
        <v>115.61</v>
      </c>
      <c r="BC64" s="283"/>
      <c r="BD64" s="281">
        <f t="shared" si="130"/>
        <v>81.400000000000006</v>
      </c>
      <c r="BE64" s="282">
        <f t="shared" si="131"/>
        <v>83.330000000000013</v>
      </c>
      <c r="BF64" s="282">
        <f t="shared" si="132"/>
        <v>91.01</v>
      </c>
      <c r="BG64" s="283"/>
      <c r="BH64" s="281">
        <f t="shared" si="133"/>
        <v>96.32</v>
      </c>
      <c r="BI64" s="282">
        <f t="shared" si="134"/>
        <v>65.490000000000009</v>
      </c>
      <c r="BJ64" s="282">
        <f t="shared" si="135"/>
        <v>87.66</v>
      </c>
      <c r="BK64" s="283"/>
      <c r="BQ64" s="281">
        <f t="shared" si="136"/>
        <v>84.47</v>
      </c>
      <c r="BR64" s="282">
        <f t="shared" si="137"/>
        <v>-117.16</v>
      </c>
      <c r="BS64" s="283">
        <f t="shared" si="138"/>
        <v>64.22999999999999</v>
      </c>
      <c r="BT64" s="281">
        <f t="shared" si="139"/>
        <v>-54.380000000000024</v>
      </c>
      <c r="BU64" s="281">
        <f t="shared" si="140"/>
        <v>-16.400000000000006</v>
      </c>
      <c r="BV64" s="281">
        <f t="shared" si="141"/>
        <v>37.990000000000009</v>
      </c>
      <c r="BW64" s="281">
        <f t="shared" si="142"/>
        <v>-12.120000000000005</v>
      </c>
      <c r="BX64" s="282">
        <f t="shared" si="143"/>
        <v>-15.96999999999997</v>
      </c>
      <c r="BY64" s="283">
        <f t="shared" si="144"/>
        <v>-117.17000000000002</v>
      </c>
      <c r="BZ64" s="281">
        <f t="shared" si="146"/>
        <v>-63.67999999999995</v>
      </c>
      <c r="CA64" s="282">
        <f t="shared" si="147"/>
        <v>61.309999999999945</v>
      </c>
      <c r="CB64" s="283">
        <f t="shared" si="148"/>
        <v>-294.27999999999997</v>
      </c>
    </row>
    <row r="65" spans="1:80" x14ac:dyDescent="0.25">
      <c r="A65" s="521"/>
      <c r="B65" s="55">
        <v>17</v>
      </c>
      <c r="C65" s="56">
        <v>45.7</v>
      </c>
      <c r="D65" s="281">
        <f t="shared" si="92"/>
        <v>36.549999999999997</v>
      </c>
      <c r="E65" s="282">
        <f t="shared" si="93"/>
        <v>48.370000000000005</v>
      </c>
      <c r="F65" s="282">
        <f t="shared" si="94"/>
        <v>45.769999999999996</v>
      </c>
      <c r="G65" s="283">
        <f t="shared" si="95"/>
        <v>35.18</v>
      </c>
      <c r="H65" s="281">
        <f t="shared" si="96"/>
        <v>44.16</v>
      </c>
      <c r="I65" s="282">
        <f t="shared" si="97"/>
        <v>32.46</v>
      </c>
      <c r="J65" s="282">
        <f t="shared" si="98"/>
        <v>26.55</v>
      </c>
      <c r="K65" s="283">
        <f t="shared" si="99"/>
        <v>78.650000000000006</v>
      </c>
      <c r="L65" s="281">
        <f t="shared" si="100"/>
        <v>40.82</v>
      </c>
      <c r="M65" s="282">
        <f t="shared" si="101"/>
        <v>56.51</v>
      </c>
      <c r="N65" s="282">
        <f t="shared" si="102"/>
        <v>21.46</v>
      </c>
      <c r="O65" s="283">
        <f t="shared" si="103"/>
        <v>56.2</v>
      </c>
      <c r="T65" s="281">
        <f t="shared" si="104"/>
        <v>51.540000000000006</v>
      </c>
      <c r="U65" s="282">
        <f t="shared" si="105"/>
        <v>46.55</v>
      </c>
      <c r="V65" s="282">
        <f t="shared" si="106"/>
        <v>57.06</v>
      </c>
      <c r="W65" s="283">
        <f t="shared" si="107"/>
        <v>48.38</v>
      </c>
      <c r="X65" s="281">
        <f t="shared" si="108"/>
        <v>74.449999999999989</v>
      </c>
      <c r="Y65" s="282">
        <f t="shared" si="109"/>
        <v>63.730000000000004</v>
      </c>
      <c r="Z65" s="282">
        <f t="shared" si="110"/>
        <v>57.019999999999996</v>
      </c>
      <c r="AA65" s="283">
        <f t="shared" si="111"/>
        <v>62.33</v>
      </c>
      <c r="AB65" s="281">
        <f t="shared" si="112"/>
        <v>102.15</v>
      </c>
      <c r="AC65" s="282">
        <f t="shared" si="113"/>
        <v>63.400000000000006</v>
      </c>
      <c r="AD65" s="282">
        <f t="shared" si="114"/>
        <v>59.54</v>
      </c>
      <c r="AE65" s="283">
        <f t="shared" si="115"/>
        <v>71.84</v>
      </c>
      <c r="AJ65" s="281">
        <f t="shared" si="116"/>
        <v>79.64</v>
      </c>
      <c r="AK65" s="282">
        <f t="shared" si="117"/>
        <v>66.400000000000006</v>
      </c>
      <c r="AL65" s="282">
        <f t="shared" si="118"/>
        <v>62.67</v>
      </c>
      <c r="AM65" s="283">
        <f t="shared" si="119"/>
        <v>75.58</v>
      </c>
      <c r="AN65" s="281">
        <f t="shared" si="120"/>
        <v>130.93</v>
      </c>
      <c r="AO65" s="282">
        <f t="shared" si="121"/>
        <v>80.08</v>
      </c>
      <c r="AP65" s="282">
        <f t="shared" si="122"/>
        <v>114.07000000000001</v>
      </c>
      <c r="AQ65" s="283">
        <f t="shared" si="123"/>
        <v>67.88</v>
      </c>
      <c r="AR65" s="281">
        <f t="shared" si="124"/>
        <v>78.13</v>
      </c>
      <c r="AS65" s="282">
        <f t="shared" si="125"/>
        <v>79.959999999999994</v>
      </c>
      <c r="AT65" s="282">
        <f t="shared" si="126"/>
        <v>78.14</v>
      </c>
      <c r="AU65" s="283"/>
      <c r="AZ65" s="281">
        <f t="shared" si="127"/>
        <v>89.15</v>
      </c>
      <c r="BA65" s="282">
        <f t="shared" si="128"/>
        <v>77.740000000000009</v>
      </c>
      <c r="BB65" s="282">
        <f t="shared" si="129"/>
        <v>120.67</v>
      </c>
      <c r="BC65" s="283"/>
      <c r="BD65" s="281">
        <f t="shared" si="130"/>
        <v>60.17</v>
      </c>
      <c r="BE65" s="282">
        <f t="shared" si="131"/>
        <v>69.039999999999992</v>
      </c>
      <c r="BF65" s="282">
        <f t="shared" si="132"/>
        <v>74.709999999999994</v>
      </c>
      <c r="BG65" s="283"/>
      <c r="BH65" s="281">
        <f t="shared" si="133"/>
        <v>83.35</v>
      </c>
      <c r="BI65" s="282">
        <f t="shared" si="134"/>
        <v>52.19</v>
      </c>
      <c r="BJ65" s="282">
        <f t="shared" si="135"/>
        <v>96.89</v>
      </c>
      <c r="BK65" s="283"/>
      <c r="BQ65" s="281">
        <f t="shared" si="136"/>
        <v>15.810000000000002</v>
      </c>
      <c r="BR65" s="282">
        <f t="shared" si="137"/>
        <v>-43.56</v>
      </c>
      <c r="BS65" s="283">
        <f t="shared" si="138"/>
        <v>76.250000000000028</v>
      </c>
      <c r="BT65" s="281">
        <f t="shared" si="139"/>
        <v>-54.45999999999998</v>
      </c>
      <c r="BU65" s="281">
        <f t="shared" si="140"/>
        <v>-6.0000000000002274E-2</v>
      </c>
      <c r="BV65" s="281">
        <f t="shared" si="141"/>
        <v>8.9300000000000068</v>
      </c>
      <c r="BW65" s="281">
        <f t="shared" si="142"/>
        <v>-62.259999999999991</v>
      </c>
      <c r="BX65" s="282">
        <f t="shared" si="143"/>
        <v>28.439999999999998</v>
      </c>
      <c r="BY65" s="283">
        <f t="shared" si="144"/>
        <v>-111.42000000000002</v>
      </c>
      <c r="BZ65" s="281">
        <f t="shared" si="146"/>
        <v>-33.699999999999989</v>
      </c>
      <c r="CA65" s="282">
        <f t="shared" si="147"/>
        <v>93.299999999999983</v>
      </c>
      <c r="CB65" s="283">
        <f t="shared" si="148"/>
        <v>-292.27</v>
      </c>
    </row>
    <row r="66" spans="1:80" ht="15.75" thickBot="1" x14ac:dyDescent="0.3">
      <c r="A66" s="522"/>
      <c r="B66" s="88">
        <v>18</v>
      </c>
      <c r="C66" s="84">
        <v>40.799999999999997</v>
      </c>
      <c r="D66" s="281">
        <f t="shared" si="92"/>
        <v>49.489999999999995</v>
      </c>
      <c r="E66" s="282">
        <f t="shared" si="93"/>
        <v>81.759999999999991</v>
      </c>
      <c r="F66" s="282">
        <f t="shared" si="94"/>
        <v>58.010000000000005</v>
      </c>
      <c r="G66" s="283">
        <f t="shared" si="95"/>
        <v>54.83</v>
      </c>
      <c r="H66" s="281">
        <f t="shared" si="96"/>
        <v>30.770000000000003</v>
      </c>
      <c r="I66" s="282">
        <f t="shared" si="97"/>
        <v>49.31</v>
      </c>
      <c r="J66" s="282">
        <f t="shared" si="98"/>
        <v>38.22</v>
      </c>
      <c r="K66" s="283">
        <f t="shared" si="99"/>
        <v>52.43</v>
      </c>
      <c r="L66" s="281">
        <f t="shared" si="100"/>
        <v>41.150000000000006</v>
      </c>
      <c r="M66" s="282">
        <f t="shared" si="101"/>
        <v>30.29</v>
      </c>
      <c r="N66" s="282">
        <f t="shared" si="102"/>
        <v>30.490000000000002</v>
      </c>
      <c r="O66" s="283">
        <f t="shared" si="103"/>
        <v>45.2</v>
      </c>
      <c r="T66" s="281">
        <f t="shared" si="104"/>
        <v>37.89</v>
      </c>
      <c r="U66" s="282">
        <f t="shared" si="105"/>
        <v>64.37</v>
      </c>
      <c r="V66" s="282">
        <f t="shared" si="106"/>
        <v>55.14</v>
      </c>
      <c r="W66" s="283">
        <f t="shared" si="107"/>
        <v>65.709999999999994</v>
      </c>
      <c r="X66" s="281">
        <f t="shared" si="108"/>
        <v>60.69</v>
      </c>
      <c r="Y66" s="282">
        <f t="shared" si="109"/>
        <v>43.16</v>
      </c>
      <c r="Z66" s="282">
        <f t="shared" si="110"/>
        <v>46.07</v>
      </c>
      <c r="AA66" s="283">
        <f t="shared" si="111"/>
        <v>60.910000000000004</v>
      </c>
      <c r="AB66" s="281">
        <f t="shared" si="112"/>
        <v>81.960000000000008</v>
      </c>
      <c r="AC66" s="282">
        <f t="shared" si="113"/>
        <v>58.78</v>
      </c>
      <c r="AD66" s="282">
        <f t="shared" si="114"/>
        <v>40.53</v>
      </c>
      <c r="AE66" s="283">
        <f t="shared" si="115"/>
        <v>53.150000000000006</v>
      </c>
      <c r="AJ66" s="281">
        <f t="shared" si="116"/>
        <v>47.95</v>
      </c>
      <c r="AK66" s="282">
        <f t="shared" si="117"/>
        <v>62.41</v>
      </c>
      <c r="AL66" s="282">
        <f t="shared" si="118"/>
        <v>59.76</v>
      </c>
      <c r="AM66" s="283">
        <f t="shared" si="119"/>
        <v>69.66</v>
      </c>
      <c r="AN66" s="281">
        <f t="shared" si="120"/>
        <v>65.5</v>
      </c>
      <c r="AO66" s="282">
        <f t="shared" si="121"/>
        <v>55.11</v>
      </c>
      <c r="AP66" s="282">
        <f t="shared" si="122"/>
        <v>64.100000000000009</v>
      </c>
      <c r="AQ66" s="283">
        <f t="shared" si="123"/>
        <v>63.809999999999995</v>
      </c>
      <c r="AR66" s="281">
        <f t="shared" si="124"/>
        <v>71.73</v>
      </c>
      <c r="AS66" s="282">
        <f t="shared" si="125"/>
        <v>68.87</v>
      </c>
      <c r="AT66" s="282">
        <f t="shared" si="126"/>
        <v>79.039999999999992</v>
      </c>
      <c r="AU66" s="283"/>
      <c r="AZ66" s="281">
        <f t="shared" si="127"/>
        <v>66.47</v>
      </c>
      <c r="BA66" s="282">
        <f t="shared" si="128"/>
        <v>81.789999999999992</v>
      </c>
      <c r="BB66" s="282">
        <f t="shared" si="129"/>
        <v>108.66</v>
      </c>
      <c r="BC66" s="283"/>
      <c r="BD66" s="281">
        <f t="shared" si="130"/>
        <v>87.02</v>
      </c>
      <c r="BE66" s="282">
        <f t="shared" si="131"/>
        <v>58.15</v>
      </c>
      <c r="BF66" s="282">
        <f t="shared" si="132"/>
        <v>54.73</v>
      </c>
      <c r="BG66" s="283"/>
      <c r="BH66" s="281">
        <f t="shared" si="133"/>
        <v>67.2</v>
      </c>
      <c r="BI66" s="282">
        <f t="shared" si="134"/>
        <v>60.239999999999995</v>
      </c>
      <c r="BJ66" s="282">
        <f t="shared" si="135"/>
        <v>102.33</v>
      </c>
      <c r="BK66" s="283"/>
      <c r="BQ66" s="281">
        <f t="shared" si="136"/>
        <v>39.949999999999989</v>
      </c>
      <c r="BR66" s="282">
        <f t="shared" si="137"/>
        <v>-34.639999999999986</v>
      </c>
      <c r="BS66" s="283">
        <f t="shared" si="138"/>
        <v>25.739999999999981</v>
      </c>
      <c r="BT66" s="281">
        <f t="shared" si="139"/>
        <v>-14.230000000000018</v>
      </c>
      <c r="BU66" s="281">
        <f t="shared" si="140"/>
        <v>-24.569999999999993</v>
      </c>
      <c r="BV66" s="281">
        <f t="shared" si="141"/>
        <v>38.03</v>
      </c>
      <c r="BW66" s="281">
        <f t="shared" si="142"/>
        <v>1.2099999999999795</v>
      </c>
      <c r="BX66" s="282">
        <f t="shared" si="143"/>
        <v>16.510000000000019</v>
      </c>
      <c r="BY66" s="283">
        <f t="shared" si="144"/>
        <v>-69.430000000000007</v>
      </c>
      <c r="BZ66" s="281">
        <f t="shared" si="146"/>
        <v>-20.509999999999991</v>
      </c>
      <c r="CA66" s="282">
        <f t="shared" si="147"/>
        <v>65.539999999999964</v>
      </c>
      <c r="CB66" s="283">
        <f t="shared" si="148"/>
        <v>-265.71999999999997</v>
      </c>
    </row>
    <row r="67" spans="1:80" x14ac:dyDescent="0.25">
      <c r="A67" s="520" t="s">
        <v>23</v>
      </c>
      <c r="B67" s="23">
        <v>19</v>
      </c>
      <c r="C67" s="86">
        <v>50.62</v>
      </c>
      <c r="D67" s="281">
        <f t="shared" si="92"/>
        <v>48.099999999999994</v>
      </c>
      <c r="E67" s="282">
        <f t="shared" si="93"/>
        <v>54.7</v>
      </c>
      <c r="F67" s="282">
        <f t="shared" si="94"/>
        <v>48.26</v>
      </c>
      <c r="G67" s="283">
        <f t="shared" si="95"/>
        <v>55.03</v>
      </c>
      <c r="H67" s="281">
        <f t="shared" si="96"/>
        <v>35.049999999999997</v>
      </c>
      <c r="I67" s="282">
        <f t="shared" si="97"/>
        <v>57.463000000000001</v>
      </c>
      <c r="J67" s="282">
        <f t="shared" si="98"/>
        <v>26.060000000000002</v>
      </c>
      <c r="K67" s="283">
        <f t="shared" si="99"/>
        <v>63.99</v>
      </c>
      <c r="L67" s="281">
        <f t="shared" si="100"/>
        <v>47.3</v>
      </c>
      <c r="M67" s="282">
        <f t="shared" si="101"/>
        <v>42.13</v>
      </c>
      <c r="N67" s="282">
        <f t="shared" si="102"/>
        <v>27.34</v>
      </c>
      <c r="O67" s="283">
        <f t="shared" si="103"/>
        <v>40.67</v>
      </c>
      <c r="T67" s="281">
        <f t="shared" si="104"/>
        <v>68.430000000000007</v>
      </c>
      <c r="U67" s="282">
        <f t="shared" si="105"/>
        <v>70.790000000000006</v>
      </c>
      <c r="V67" s="282">
        <f t="shared" si="106"/>
        <v>37.159999999999997</v>
      </c>
      <c r="W67" s="283">
        <f t="shared" si="107"/>
        <v>91.65</v>
      </c>
      <c r="X67" s="281">
        <f t="shared" si="108"/>
        <v>54.1</v>
      </c>
      <c r="Y67" s="282">
        <f t="shared" si="109"/>
        <v>94.009999999999991</v>
      </c>
      <c r="Z67" s="282">
        <f t="shared" si="110"/>
        <v>58.52000000000001</v>
      </c>
      <c r="AA67" s="283">
        <f t="shared" si="111"/>
        <v>65.03</v>
      </c>
      <c r="AB67" s="281">
        <f t="shared" si="112"/>
        <v>66</v>
      </c>
      <c r="AC67" s="282">
        <f t="shared" si="113"/>
        <v>74.44</v>
      </c>
      <c r="AD67" s="282">
        <f t="shared" si="114"/>
        <v>51.44</v>
      </c>
      <c r="AE67" s="283">
        <f t="shared" si="115"/>
        <v>52.7</v>
      </c>
      <c r="AJ67" s="281">
        <f t="shared" si="116"/>
        <v>88.17</v>
      </c>
      <c r="AK67" s="282">
        <f t="shared" si="117"/>
        <v>87.85</v>
      </c>
      <c r="AL67" s="282">
        <f t="shared" si="118"/>
        <v>40.230000000000004</v>
      </c>
      <c r="AM67" s="283">
        <f t="shared" si="119"/>
        <v>83.75</v>
      </c>
      <c r="AN67" s="281">
        <f t="shared" si="120"/>
        <v>89.4</v>
      </c>
      <c r="AO67" s="282">
        <f t="shared" si="121"/>
        <v>43.36</v>
      </c>
      <c r="AP67" s="282">
        <f t="shared" si="122"/>
        <v>68.5</v>
      </c>
      <c r="AQ67" s="283">
        <f t="shared" si="123"/>
        <v>82.09</v>
      </c>
      <c r="AR67" s="281">
        <f t="shared" si="124"/>
        <v>62.32</v>
      </c>
      <c r="AS67" s="282">
        <f t="shared" si="125"/>
        <v>81.09</v>
      </c>
      <c r="AT67" s="282">
        <f t="shared" si="126"/>
        <v>174.93</v>
      </c>
      <c r="AU67" s="283"/>
      <c r="AZ67" s="281">
        <f t="shared" si="127"/>
        <v>109.92</v>
      </c>
      <c r="BA67" s="282">
        <f t="shared" si="128"/>
        <v>76.05</v>
      </c>
      <c r="BB67" s="282">
        <f t="shared" si="129"/>
        <v>89.71</v>
      </c>
      <c r="BC67" s="283"/>
      <c r="BD67" s="281">
        <f t="shared" si="130"/>
        <v>67.989999999999995</v>
      </c>
      <c r="BE67" s="282">
        <f t="shared" si="131"/>
        <v>78.8</v>
      </c>
      <c r="BF67" s="282">
        <f t="shared" si="132"/>
        <v>74.45</v>
      </c>
      <c r="BG67" s="283"/>
      <c r="BH67" s="281">
        <f t="shared" si="133"/>
        <v>82.53</v>
      </c>
      <c r="BI67" s="282">
        <f t="shared" si="134"/>
        <v>58.84</v>
      </c>
      <c r="BJ67" s="282">
        <f t="shared" si="135"/>
        <v>49.21</v>
      </c>
      <c r="BK67" s="283"/>
      <c r="BQ67" s="281">
        <f t="shared" si="136"/>
        <v>23.843000000000018</v>
      </c>
      <c r="BR67" s="282">
        <f t="shared" si="137"/>
        <v>-52.63300000000001</v>
      </c>
      <c r="BS67" s="283">
        <f t="shared" si="138"/>
        <v>58.03</v>
      </c>
      <c r="BT67" s="281">
        <f t="shared" si="139"/>
        <v>50.710000000000008</v>
      </c>
      <c r="BU67" s="281">
        <f t="shared" si="140"/>
        <v>-92.12</v>
      </c>
      <c r="BV67" s="281">
        <f t="shared" si="141"/>
        <v>62.259999999999991</v>
      </c>
      <c r="BW67" s="281">
        <f t="shared" si="142"/>
        <v>-27.590000000000003</v>
      </c>
      <c r="BX67" s="282">
        <f t="shared" si="143"/>
        <v>71.360000000000042</v>
      </c>
      <c r="BY67" s="283">
        <f t="shared" si="144"/>
        <v>-117.82000000000002</v>
      </c>
      <c r="BZ67" s="281">
        <f t="shared" si="146"/>
        <v>-46.75</v>
      </c>
      <c r="CA67" s="282">
        <f t="shared" si="147"/>
        <v>-0.31999999999999318</v>
      </c>
      <c r="CB67" s="283">
        <f t="shared" si="148"/>
        <v>-213.37</v>
      </c>
    </row>
    <row r="68" spans="1:80" x14ac:dyDescent="0.25">
      <c r="A68" s="521"/>
      <c r="B68" s="55">
        <v>20</v>
      </c>
      <c r="C68" s="56">
        <v>62.08</v>
      </c>
      <c r="D68" s="281">
        <f t="shared" si="92"/>
        <v>51.910000000000004</v>
      </c>
      <c r="E68" s="282">
        <f t="shared" si="93"/>
        <v>61.47</v>
      </c>
      <c r="F68" s="282">
        <f t="shared" si="94"/>
        <v>49.510000000000005</v>
      </c>
      <c r="G68" s="283">
        <f t="shared" si="95"/>
        <v>70.12</v>
      </c>
      <c r="H68" s="281">
        <f t="shared" si="96"/>
        <v>31.21</v>
      </c>
      <c r="I68" s="282">
        <f t="shared" si="97"/>
        <v>54.67</v>
      </c>
      <c r="J68" s="282">
        <f t="shared" si="98"/>
        <v>24.08</v>
      </c>
      <c r="K68" s="283">
        <f t="shared" si="99"/>
        <v>70.84</v>
      </c>
      <c r="L68" s="281">
        <f t="shared" si="100"/>
        <v>39.92</v>
      </c>
      <c r="M68" s="282">
        <f t="shared" si="101"/>
        <v>52.680000000000007</v>
      </c>
      <c r="N68" s="282">
        <f t="shared" si="102"/>
        <v>16.55</v>
      </c>
      <c r="O68" s="283">
        <f t="shared" si="103"/>
        <v>34.53</v>
      </c>
      <c r="T68" s="281">
        <f t="shared" si="104"/>
        <v>68.349999999999994</v>
      </c>
      <c r="U68" s="282">
        <f t="shared" si="105"/>
        <v>63.680000000000007</v>
      </c>
      <c r="V68" s="282">
        <f t="shared" si="106"/>
        <v>22.51</v>
      </c>
      <c r="W68" s="283">
        <f t="shared" si="107"/>
        <v>116.55000000000001</v>
      </c>
      <c r="X68" s="281">
        <f t="shared" si="108"/>
        <v>52.46</v>
      </c>
      <c r="Y68" s="282">
        <f t="shared" si="109"/>
        <v>108.25999999999999</v>
      </c>
      <c r="Z68" s="282">
        <f t="shared" si="110"/>
        <v>45.83</v>
      </c>
      <c r="AA68" s="283">
        <f t="shared" si="111"/>
        <v>90.210000000000008</v>
      </c>
      <c r="AB68" s="281">
        <f t="shared" si="112"/>
        <v>50.1</v>
      </c>
      <c r="AC68" s="282">
        <f t="shared" si="113"/>
        <v>74.180000000000007</v>
      </c>
      <c r="AD68" s="282">
        <f t="shared" si="114"/>
        <v>64.81</v>
      </c>
      <c r="AE68" s="283">
        <f t="shared" si="115"/>
        <v>51.129999999999995</v>
      </c>
      <c r="AJ68" s="281">
        <f t="shared" si="116"/>
        <v>128.19</v>
      </c>
      <c r="AK68" s="282">
        <f t="shared" si="117"/>
        <v>66.97</v>
      </c>
      <c r="AL68" s="282">
        <f t="shared" si="118"/>
        <v>69.28</v>
      </c>
      <c r="AM68" s="283">
        <f t="shared" si="119"/>
        <v>75.31</v>
      </c>
      <c r="AN68" s="281">
        <f t="shared" si="120"/>
        <v>99.44</v>
      </c>
      <c r="AO68" s="282">
        <f t="shared" si="121"/>
        <v>75.47</v>
      </c>
      <c r="AP68" s="282">
        <f t="shared" si="122"/>
        <v>70.23</v>
      </c>
      <c r="AQ68" s="283">
        <f t="shared" si="123"/>
        <v>101.19999999999999</v>
      </c>
      <c r="AR68" s="281">
        <f t="shared" si="124"/>
        <v>69.430000000000007</v>
      </c>
      <c r="AS68" s="282">
        <f t="shared" si="125"/>
        <v>66.61</v>
      </c>
      <c r="AT68" s="282">
        <f t="shared" si="126"/>
        <v>168.56</v>
      </c>
      <c r="AU68" s="283"/>
      <c r="AZ68" s="281">
        <f t="shared" si="127"/>
        <v>109.81</v>
      </c>
      <c r="BA68" s="282">
        <f t="shared" si="128"/>
        <v>92.47999999999999</v>
      </c>
      <c r="BB68" s="282">
        <f t="shared" si="129"/>
        <v>115.34</v>
      </c>
      <c r="BC68" s="283"/>
      <c r="BD68" s="281">
        <f t="shared" si="130"/>
        <v>91.39</v>
      </c>
      <c r="BE68" s="282">
        <f t="shared" si="131"/>
        <v>78.05</v>
      </c>
      <c r="BF68" s="282">
        <f t="shared" si="132"/>
        <v>84.289999999999992</v>
      </c>
      <c r="BG68" s="283"/>
      <c r="BH68" s="281">
        <f t="shared" si="133"/>
        <v>77.41</v>
      </c>
      <c r="BI68" s="282">
        <f t="shared" si="134"/>
        <v>68.31</v>
      </c>
      <c r="BJ68" s="282">
        <f t="shared" si="135"/>
        <v>69</v>
      </c>
      <c r="BK68" s="283"/>
      <c r="BQ68" s="281">
        <f t="shared" si="136"/>
        <v>45.779999999999987</v>
      </c>
      <c r="BR68" s="282">
        <f t="shared" si="137"/>
        <v>-78.679999999999993</v>
      </c>
      <c r="BS68" s="283">
        <f t="shared" si="138"/>
        <v>85.350000000000009</v>
      </c>
      <c r="BT68" s="281">
        <f t="shared" si="139"/>
        <v>75.210000000000008</v>
      </c>
      <c r="BU68" s="281">
        <f t="shared" si="140"/>
        <v>-112.97</v>
      </c>
      <c r="BV68" s="281">
        <f t="shared" si="141"/>
        <v>124.73999999999998</v>
      </c>
      <c r="BW68" s="281">
        <f t="shared" si="142"/>
        <v>-88.009999999999991</v>
      </c>
      <c r="BX68" s="282">
        <f t="shared" si="143"/>
        <v>99.019999999999982</v>
      </c>
      <c r="BY68" s="283">
        <f t="shared" si="144"/>
        <v>-131.56</v>
      </c>
      <c r="BZ68" s="281">
        <f t="shared" si="146"/>
        <v>-39.770000000000039</v>
      </c>
      <c r="CA68" s="282">
        <f t="shared" si="147"/>
        <v>29.79000000000002</v>
      </c>
      <c r="CB68" s="283">
        <f t="shared" si="148"/>
        <v>-268.63</v>
      </c>
    </row>
    <row r="69" spans="1:80" x14ac:dyDescent="0.25">
      <c r="A69" s="521"/>
      <c r="B69" s="55">
        <v>21</v>
      </c>
      <c r="C69" s="56">
        <v>72.2</v>
      </c>
      <c r="D69" s="281">
        <f t="shared" si="92"/>
        <v>86.86</v>
      </c>
      <c r="E69" s="282">
        <f t="shared" si="93"/>
        <v>94.92</v>
      </c>
      <c r="F69" s="282">
        <f t="shared" si="94"/>
        <v>86.449999999999989</v>
      </c>
      <c r="G69" s="283">
        <f t="shared" si="95"/>
        <v>95.460000000000008</v>
      </c>
      <c r="H69" s="281">
        <f t="shared" si="96"/>
        <v>53.870000000000005</v>
      </c>
      <c r="I69" s="282">
        <f t="shared" si="97"/>
        <v>60.31</v>
      </c>
      <c r="J69" s="282">
        <f t="shared" si="98"/>
        <v>50.78</v>
      </c>
      <c r="K69" s="283">
        <f t="shared" si="99"/>
        <v>59.44</v>
      </c>
      <c r="L69" s="281">
        <f t="shared" si="100"/>
        <v>67.97</v>
      </c>
      <c r="M69" s="282">
        <f t="shared" si="101"/>
        <v>119.83</v>
      </c>
      <c r="N69" s="282">
        <f t="shared" si="102"/>
        <v>46.08</v>
      </c>
      <c r="O69" s="283">
        <f t="shared" si="103"/>
        <v>83.73</v>
      </c>
      <c r="T69" s="281">
        <f t="shared" si="104"/>
        <v>77.02000000000001</v>
      </c>
      <c r="U69" s="282">
        <f t="shared" si="105"/>
        <v>76.39</v>
      </c>
      <c r="V69" s="282">
        <f t="shared" si="106"/>
        <v>70.38</v>
      </c>
      <c r="W69" s="283">
        <f t="shared" si="107"/>
        <v>159.93</v>
      </c>
      <c r="X69" s="281">
        <f t="shared" si="108"/>
        <v>126.65</v>
      </c>
      <c r="Y69" s="282">
        <f t="shared" si="109"/>
        <v>92.749999999999986</v>
      </c>
      <c r="Z69" s="282">
        <f t="shared" si="110"/>
        <v>77.599999999999994</v>
      </c>
      <c r="AA69" s="283">
        <f t="shared" si="111"/>
        <v>112.19</v>
      </c>
      <c r="AB69" s="281">
        <f t="shared" si="112"/>
        <v>78.989999999999995</v>
      </c>
      <c r="AC69" s="282">
        <f t="shared" si="113"/>
        <v>84.47999999999999</v>
      </c>
      <c r="AD69" s="282">
        <f t="shared" si="114"/>
        <v>105.44</v>
      </c>
      <c r="AE69" s="283">
        <f t="shared" si="115"/>
        <v>69.569999999999993</v>
      </c>
      <c r="AJ69" s="281">
        <f t="shared" si="116"/>
        <v>140.62</v>
      </c>
      <c r="AK69" s="282">
        <f t="shared" si="117"/>
        <v>117.65</v>
      </c>
      <c r="AL69" s="282">
        <f t="shared" si="118"/>
        <v>160.38</v>
      </c>
      <c r="AM69" s="283">
        <f t="shared" si="119"/>
        <v>95.68</v>
      </c>
      <c r="AN69" s="281">
        <f t="shared" si="120"/>
        <v>190.25</v>
      </c>
      <c r="AO69" s="282">
        <f t="shared" si="121"/>
        <v>139.73000000000002</v>
      </c>
      <c r="AP69" s="282">
        <f t="shared" si="122"/>
        <v>115.14</v>
      </c>
      <c r="AQ69" s="283">
        <f t="shared" si="123"/>
        <v>111.16999999999999</v>
      </c>
      <c r="AR69" s="281">
        <f t="shared" si="124"/>
        <v>137.12</v>
      </c>
      <c r="AS69" s="282">
        <f t="shared" si="125"/>
        <v>137.98000000000002</v>
      </c>
      <c r="AT69" s="282">
        <f t="shared" si="126"/>
        <v>142.54999999999998</v>
      </c>
      <c r="AU69" s="283"/>
      <c r="AZ69" s="281">
        <f t="shared" si="127"/>
        <v>161.85000000000002</v>
      </c>
      <c r="BA69" s="282">
        <f t="shared" si="128"/>
        <v>143.07</v>
      </c>
      <c r="BB69" s="282">
        <f t="shared" si="129"/>
        <v>199.91000000000003</v>
      </c>
      <c r="BC69" s="283"/>
      <c r="BD69" s="281">
        <f t="shared" si="130"/>
        <v>152.35</v>
      </c>
      <c r="BE69" s="282">
        <f t="shared" si="131"/>
        <v>148.07</v>
      </c>
      <c r="BF69" s="282">
        <f t="shared" si="132"/>
        <v>154.22999999999999</v>
      </c>
      <c r="BG69" s="283"/>
      <c r="BH69" s="281">
        <f t="shared" si="133"/>
        <v>139.48000000000002</v>
      </c>
      <c r="BI69" s="282">
        <f t="shared" si="134"/>
        <v>108.66</v>
      </c>
      <c r="BJ69" s="282">
        <f t="shared" si="135"/>
        <v>96.05</v>
      </c>
      <c r="BK69" s="283"/>
      <c r="BQ69" s="281">
        <f t="shared" si="136"/>
        <v>66.359999999999985</v>
      </c>
      <c r="BR69" s="282">
        <f t="shared" si="137"/>
        <v>-91.75</v>
      </c>
      <c r="BS69" s="283">
        <f t="shared" si="138"/>
        <v>55.319999999999993</v>
      </c>
      <c r="BT69" s="281">
        <f t="shared" si="139"/>
        <v>-29.040000000000049</v>
      </c>
      <c r="BU69" s="281">
        <f t="shared" si="140"/>
        <v>-0.19999999999998863</v>
      </c>
      <c r="BV69" s="281">
        <f t="shared" si="141"/>
        <v>88.27000000000001</v>
      </c>
      <c r="BW69" s="281">
        <f t="shared" si="142"/>
        <v>-72.63</v>
      </c>
      <c r="BX69" s="282">
        <f t="shared" si="143"/>
        <v>22.709999999999923</v>
      </c>
      <c r="BY69" s="283">
        <f t="shared" si="144"/>
        <v>-211.21999999999994</v>
      </c>
      <c r="BZ69" s="281">
        <f t="shared" si="146"/>
        <v>-53.880000000000109</v>
      </c>
      <c r="CA69" s="282">
        <f t="shared" si="147"/>
        <v>50.390000000000043</v>
      </c>
      <c r="CB69" s="283">
        <f t="shared" si="148"/>
        <v>-450.19</v>
      </c>
    </row>
    <row r="70" spans="1:80" x14ac:dyDescent="0.25">
      <c r="A70" s="521"/>
      <c r="B70" s="55">
        <v>22</v>
      </c>
      <c r="C70" s="56">
        <v>52.3</v>
      </c>
      <c r="D70" s="281">
        <f t="shared" si="92"/>
        <v>55.309999999999995</v>
      </c>
      <c r="E70" s="282">
        <f t="shared" si="93"/>
        <v>63.79</v>
      </c>
      <c r="F70" s="282">
        <f t="shared" si="94"/>
        <v>58.67</v>
      </c>
      <c r="G70" s="283">
        <f t="shared" si="95"/>
        <v>30.8</v>
      </c>
      <c r="H70" s="281">
        <f t="shared" si="96"/>
        <v>40.28</v>
      </c>
      <c r="I70" s="282">
        <f t="shared" si="97"/>
        <v>38.15</v>
      </c>
      <c r="J70" s="282">
        <f t="shared" si="98"/>
        <v>36.06</v>
      </c>
      <c r="K70" s="283">
        <f t="shared" si="99"/>
        <v>74.5</v>
      </c>
      <c r="L70" s="281">
        <f t="shared" si="100"/>
        <v>37.519999999999996</v>
      </c>
      <c r="M70" s="282">
        <f t="shared" si="101"/>
        <v>63.980000000000004</v>
      </c>
      <c r="N70" s="282">
        <f t="shared" si="102"/>
        <v>27.049999999999997</v>
      </c>
      <c r="O70" s="283">
        <f t="shared" si="103"/>
        <v>55.26</v>
      </c>
      <c r="T70" s="281">
        <f t="shared" si="104"/>
        <v>50.19</v>
      </c>
      <c r="U70" s="282">
        <f t="shared" si="105"/>
        <v>44.94</v>
      </c>
      <c r="V70" s="282">
        <f t="shared" si="106"/>
        <v>43.81</v>
      </c>
      <c r="W70" s="283">
        <f t="shared" si="107"/>
        <v>78.13</v>
      </c>
      <c r="X70" s="281">
        <f t="shared" si="108"/>
        <v>78.41</v>
      </c>
      <c r="Y70" s="282">
        <f t="shared" si="109"/>
        <v>55.76</v>
      </c>
      <c r="Z70" s="282">
        <f t="shared" si="110"/>
        <v>38.590000000000003</v>
      </c>
      <c r="AA70" s="283">
        <f t="shared" si="111"/>
        <v>40.56</v>
      </c>
      <c r="AB70" s="281">
        <f t="shared" si="112"/>
        <v>57.33</v>
      </c>
      <c r="AC70" s="282">
        <f t="shared" si="113"/>
        <v>62</v>
      </c>
      <c r="AD70" s="282">
        <f t="shared" si="114"/>
        <v>58.92</v>
      </c>
      <c r="AE70" s="283">
        <f t="shared" si="115"/>
        <v>65</v>
      </c>
      <c r="AJ70" s="281">
        <f t="shared" si="116"/>
        <v>77.830000000000013</v>
      </c>
      <c r="AK70" s="282">
        <f t="shared" si="117"/>
        <v>83.44</v>
      </c>
      <c r="AL70" s="282">
        <f t="shared" si="118"/>
        <v>68.87</v>
      </c>
      <c r="AM70" s="283">
        <f t="shared" si="119"/>
        <v>66.36</v>
      </c>
      <c r="AN70" s="281">
        <f t="shared" si="120"/>
        <v>137.77000000000001</v>
      </c>
      <c r="AO70" s="282">
        <f t="shared" si="121"/>
        <v>91.12</v>
      </c>
      <c r="AP70" s="282">
        <f t="shared" si="122"/>
        <v>100.56</v>
      </c>
      <c r="AQ70" s="283">
        <f t="shared" si="123"/>
        <v>66.599999999999994</v>
      </c>
      <c r="AR70" s="281">
        <f t="shared" si="124"/>
        <v>87.65</v>
      </c>
      <c r="AS70" s="282">
        <f t="shared" si="125"/>
        <v>89.7</v>
      </c>
      <c r="AT70" s="282">
        <f t="shared" si="126"/>
        <v>75.260000000000005</v>
      </c>
      <c r="AU70" s="283"/>
      <c r="AZ70" s="281">
        <f t="shared" si="127"/>
        <v>103.59</v>
      </c>
      <c r="BA70" s="282">
        <f t="shared" si="128"/>
        <v>100.33</v>
      </c>
      <c r="BB70" s="282">
        <f t="shared" si="129"/>
        <v>133.42000000000002</v>
      </c>
      <c r="BC70" s="283"/>
      <c r="BD70" s="281">
        <f t="shared" si="130"/>
        <v>83.89</v>
      </c>
      <c r="BE70" s="282">
        <f t="shared" si="131"/>
        <v>96.06</v>
      </c>
      <c r="BF70" s="282">
        <f t="shared" si="132"/>
        <v>93.41</v>
      </c>
      <c r="BG70" s="283"/>
      <c r="BH70" s="281">
        <f t="shared" si="133"/>
        <v>91.81</v>
      </c>
      <c r="BI70" s="282">
        <f t="shared" si="134"/>
        <v>70.740000000000009</v>
      </c>
      <c r="BJ70" s="282">
        <f t="shared" si="135"/>
        <v>67.679999999999993</v>
      </c>
      <c r="BK70" s="283"/>
      <c r="BQ70" s="281">
        <f t="shared" si="136"/>
        <v>32.81</v>
      </c>
      <c r="BR70" s="282">
        <f t="shared" si="137"/>
        <v>-44.140000000000015</v>
      </c>
      <c r="BS70" s="283">
        <f t="shared" si="138"/>
        <v>38.78</v>
      </c>
      <c r="BT70" s="281">
        <f t="shared" si="139"/>
        <v>-23.230000000000018</v>
      </c>
      <c r="BU70" s="281">
        <f t="shared" si="140"/>
        <v>-21.379999999999995</v>
      </c>
      <c r="BV70" s="281">
        <f t="shared" si="141"/>
        <v>42.370000000000005</v>
      </c>
      <c r="BW70" s="281">
        <f t="shared" si="142"/>
        <v>-38.990000000000009</v>
      </c>
      <c r="BX70" s="282">
        <f t="shared" si="143"/>
        <v>-19.569999999999993</v>
      </c>
      <c r="BY70" s="283">
        <f t="shared" si="144"/>
        <v>-111.73000000000002</v>
      </c>
      <c r="BZ70" s="281">
        <f t="shared" si="146"/>
        <v>-12.160000000000025</v>
      </c>
      <c r="CA70" s="282">
        <f t="shared" si="147"/>
        <v>27.379999999999995</v>
      </c>
      <c r="CB70" s="283">
        <f t="shared" si="148"/>
        <v>-294.51</v>
      </c>
    </row>
    <row r="71" spans="1:80" ht="15.75" thickBot="1" x14ac:dyDescent="0.3">
      <c r="A71" s="521"/>
      <c r="B71" s="55">
        <v>24</v>
      </c>
      <c r="C71" s="84">
        <v>44.7</v>
      </c>
      <c r="D71" s="281">
        <f t="shared" si="92"/>
        <v>61.879999999999995</v>
      </c>
      <c r="E71" s="282">
        <f t="shared" si="93"/>
        <v>49.75</v>
      </c>
      <c r="F71" s="282">
        <f t="shared" si="94"/>
        <v>52.45</v>
      </c>
      <c r="G71" s="283">
        <f t="shared" si="95"/>
        <v>53.53</v>
      </c>
      <c r="H71" s="281">
        <f t="shared" si="96"/>
        <v>15.52</v>
      </c>
      <c r="I71" s="282">
        <f t="shared" si="97"/>
        <v>34.5</v>
      </c>
      <c r="J71" s="282">
        <f t="shared" si="98"/>
        <v>22.4</v>
      </c>
      <c r="K71" s="283">
        <f t="shared" si="99"/>
        <v>60.35</v>
      </c>
      <c r="L71" s="281">
        <f t="shared" si="100"/>
        <v>25.990000000000002</v>
      </c>
      <c r="M71" s="282">
        <f t="shared" si="101"/>
        <v>29.77</v>
      </c>
      <c r="N71" s="282">
        <f t="shared" si="102"/>
        <v>13.799999999999999</v>
      </c>
      <c r="O71" s="283">
        <f t="shared" si="103"/>
        <v>48.56</v>
      </c>
      <c r="T71" s="281">
        <f t="shared" si="104"/>
        <v>42.349999999999994</v>
      </c>
      <c r="U71" s="282">
        <f t="shared" si="105"/>
        <v>29.76</v>
      </c>
      <c r="V71" s="282">
        <f t="shared" si="106"/>
        <v>17.14</v>
      </c>
      <c r="W71" s="283">
        <f t="shared" si="107"/>
        <v>92.41</v>
      </c>
      <c r="X71" s="281">
        <f t="shared" si="108"/>
        <v>35.019999999999996</v>
      </c>
      <c r="Y71" s="282">
        <f t="shared" si="109"/>
        <v>47.11</v>
      </c>
      <c r="Z71" s="282">
        <f t="shared" si="110"/>
        <v>65.12</v>
      </c>
      <c r="AA71" s="283">
        <f t="shared" si="111"/>
        <v>32.630000000000003</v>
      </c>
      <c r="AB71" s="281">
        <f t="shared" si="112"/>
        <v>32.69</v>
      </c>
      <c r="AC71" s="282">
        <f t="shared" si="113"/>
        <v>55.39</v>
      </c>
      <c r="AD71" s="282">
        <f t="shared" si="114"/>
        <v>63.070000000000007</v>
      </c>
      <c r="AE71" s="283">
        <f t="shared" si="115"/>
        <v>64.31</v>
      </c>
      <c r="AJ71" s="281">
        <f t="shared" si="116"/>
        <v>37.86</v>
      </c>
      <c r="AK71" s="282">
        <f t="shared" si="117"/>
        <v>53.04</v>
      </c>
      <c r="AL71" s="282">
        <f t="shared" si="118"/>
        <v>57.019999999999996</v>
      </c>
      <c r="AM71" s="283">
        <f t="shared" si="119"/>
        <v>49.339999999999996</v>
      </c>
      <c r="AN71" s="281">
        <f t="shared" si="120"/>
        <v>71.77</v>
      </c>
      <c r="AO71" s="282">
        <f t="shared" si="121"/>
        <v>55.93</v>
      </c>
      <c r="AP71" s="282">
        <f t="shared" si="122"/>
        <v>97.320000000000007</v>
      </c>
      <c r="AQ71" s="283">
        <f t="shared" si="123"/>
        <v>77.790000000000006</v>
      </c>
      <c r="AR71" s="281">
        <f t="shared" si="124"/>
        <v>75.08</v>
      </c>
      <c r="AS71" s="282">
        <f t="shared" si="125"/>
        <v>68.63</v>
      </c>
      <c r="AT71" s="282">
        <f t="shared" si="126"/>
        <v>87.79</v>
      </c>
      <c r="AU71" s="283"/>
      <c r="AZ71" s="281">
        <f t="shared" si="127"/>
        <v>82.28</v>
      </c>
      <c r="BA71" s="282">
        <f t="shared" si="128"/>
        <v>87.460000000000008</v>
      </c>
      <c r="BB71" s="282">
        <f t="shared" si="129"/>
        <v>131.74</v>
      </c>
      <c r="BC71" s="283"/>
      <c r="BD71" s="281">
        <f t="shared" si="130"/>
        <v>59.83</v>
      </c>
      <c r="BE71" s="282">
        <f t="shared" si="131"/>
        <v>81.02</v>
      </c>
      <c r="BF71" s="282">
        <f t="shared" si="132"/>
        <v>99.53</v>
      </c>
      <c r="BG71" s="283"/>
      <c r="BH71" s="281">
        <f t="shared" si="133"/>
        <v>46.12</v>
      </c>
      <c r="BI71" s="282">
        <f t="shared" si="134"/>
        <v>61.3</v>
      </c>
      <c r="BJ71" s="282">
        <f t="shared" si="135"/>
        <v>87.56</v>
      </c>
      <c r="BK71" s="283"/>
      <c r="BQ71" s="281">
        <f t="shared" si="136"/>
        <v>10.63000000000001</v>
      </c>
      <c r="BR71" s="282">
        <f t="shared" si="137"/>
        <v>-25.370000000000005</v>
      </c>
      <c r="BS71" s="283">
        <f t="shared" si="138"/>
        <v>73.790000000000006</v>
      </c>
      <c r="BT71" s="281">
        <f t="shared" si="139"/>
        <v>22.200000000000003</v>
      </c>
      <c r="BU71" s="281">
        <f t="shared" si="140"/>
        <v>13.070000000000022</v>
      </c>
      <c r="BV71" s="281">
        <f t="shared" si="141"/>
        <v>44.019999999999982</v>
      </c>
      <c r="BW71" s="281">
        <f t="shared" si="142"/>
        <v>-7.1099999999999852</v>
      </c>
      <c r="BX71" s="282">
        <f t="shared" si="143"/>
        <v>64.53</v>
      </c>
      <c r="BY71" s="283">
        <f t="shared" si="144"/>
        <v>-115</v>
      </c>
      <c r="BZ71" s="281">
        <f t="shared" si="146"/>
        <v>41.550000000000011</v>
      </c>
      <c r="CA71" s="282">
        <f t="shared" si="147"/>
        <v>89.050000000000011</v>
      </c>
      <c r="CB71" s="283">
        <f t="shared" si="148"/>
        <v>-318.83000000000004</v>
      </c>
    </row>
    <row r="72" spans="1:80" ht="15.75" thickBot="1" x14ac:dyDescent="0.3">
      <c r="A72" s="91" t="s">
        <v>26</v>
      </c>
      <c r="B72" s="116">
        <v>105</v>
      </c>
      <c r="C72" s="90">
        <v>50</v>
      </c>
      <c r="D72" s="281">
        <f t="shared" si="92"/>
        <v>0</v>
      </c>
      <c r="E72" s="282">
        <f t="shared" si="93"/>
        <v>0</v>
      </c>
      <c r="F72" s="282">
        <f t="shared" si="94"/>
        <v>0</v>
      </c>
      <c r="G72" s="283">
        <f t="shared" si="95"/>
        <v>0</v>
      </c>
      <c r="H72" s="281">
        <f t="shared" si="96"/>
        <v>0</v>
      </c>
      <c r="I72" s="282">
        <f t="shared" si="97"/>
        <v>0</v>
      </c>
      <c r="J72" s="282">
        <f t="shared" si="98"/>
        <v>0</v>
      </c>
      <c r="K72" s="283">
        <f t="shared" si="99"/>
        <v>0</v>
      </c>
      <c r="L72" s="281">
        <f t="shared" si="100"/>
        <v>0</v>
      </c>
      <c r="M72" s="282">
        <f t="shared" si="101"/>
        <v>0</v>
      </c>
      <c r="N72" s="282">
        <f t="shared" si="102"/>
        <v>0.15</v>
      </c>
      <c r="O72" s="283">
        <f t="shared" si="103"/>
        <v>0</v>
      </c>
      <c r="T72" s="281">
        <f t="shared" si="104"/>
        <v>0</v>
      </c>
      <c r="U72" s="282">
        <f t="shared" si="105"/>
        <v>0</v>
      </c>
      <c r="V72" s="282">
        <f t="shared" si="106"/>
        <v>0</v>
      </c>
      <c r="W72" s="283">
        <f t="shared" si="107"/>
        <v>0</v>
      </c>
      <c r="X72" s="281">
        <f t="shared" si="108"/>
        <v>0</v>
      </c>
      <c r="Y72" s="282">
        <f t="shared" si="109"/>
        <v>0</v>
      </c>
      <c r="Z72" s="282">
        <f t="shared" si="110"/>
        <v>0</v>
      </c>
      <c r="AA72" s="283">
        <f t="shared" si="111"/>
        <v>0</v>
      </c>
      <c r="AB72" s="281">
        <f t="shared" si="112"/>
        <v>0</v>
      </c>
      <c r="AC72" s="282">
        <f t="shared" si="113"/>
        <v>0</v>
      </c>
      <c r="AD72" s="282">
        <f t="shared" si="114"/>
        <v>0</v>
      </c>
      <c r="AE72" s="283">
        <f t="shared" si="115"/>
        <v>0</v>
      </c>
      <c r="AJ72" s="281">
        <f t="shared" si="116"/>
        <v>0</v>
      </c>
      <c r="AK72" s="282">
        <f t="shared" si="117"/>
        <v>0</v>
      </c>
      <c r="AL72" s="282">
        <f t="shared" si="118"/>
        <v>0</v>
      </c>
      <c r="AM72" s="283">
        <f t="shared" si="119"/>
        <v>0</v>
      </c>
      <c r="AN72" s="281">
        <f t="shared" si="120"/>
        <v>0</v>
      </c>
      <c r="AO72" s="282">
        <f t="shared" si="121"/>
        <v>0</v>
      </c>
      <c r="AP72" s="282">
        <f t="shared" si="122"/>
        <v>0</v>
      </c>
      <c r="AQ72" s="283">
        <f t="shared" si="123"/>
        <v>0</v>
      </c>
      <c r="AR72" s="281">
        <f t="shared" si="124"/>
        <v>3.05</v>
      </c>
      <c r="AS72" s="282">
        <f t="shared" si="125"/>
        <v>0</v>
      </c>
      <c r="AT72" s="282">
        <f t="shared" si="126"/>
        <v>0</v>
      </c>
      <c r="AU72" s="283"/>
      <c r="AZ72" s="281">
        <f t="shared" si="127"/>
        <v>0</v>
      </c>
      <c r="BA72" s="282">
        <f t="shared" si="128"/>
        <v>0</v>
      </c>
      <c r="BB72" s="282">
        <f t="shared" si="129"/>
        <v>0</v>
      </c>
      <c r="BC72" s="283"/>
      <c r="BD72" s="281">
        <f t="shared" si="130"/>
        <v>0</v>
      </c>
      <c r="BE72" s="282">
        <f t="shared" si="131"/>
        <v>0</v>
      </c>
      <c r="BF72" s="282">
        <f t="shared" si="132"/>
        <v>0</v>
      </c>
      <c r="BG72" s="283"/>
      <c r="BH72" s="281">
        <f t="shared" si="133"/>
        <v>0</v>
      </c>
      <c r="BI72" s="282">
        <f t="shared" si="134"/>
        <v>0</v>
      </c>
      <c r="BJ72" s="282">
        <f t="shared" si="135"/>
        <v>0</v>
      </c>
      <c r="BK72" s="283"/>
      <c r="BQ72" s="281">
        <f t="shared" si="136"/>
        <v>0</v>
      </c>
      <c r="BR72" s="282">
        <f t="shared" si="137"/>
        <v>0.15</v>
      </c>
      <c r="BS72" s="283">
        <f t="shared" si="138"/>
        <v>-0.15</v>
      </c>
      <c r="BT72" s="281">
        <f t="shared" si="139"/>
        <v>0</v>
      </c>
      <c r="BU72" s="281">
        <f t="shared" si="140"/>
        <v>0</v>
      </c>
      <c r="BV72" s="281">
        <f t="shared" si="141"/>
        <v>0</v>
      </c>
      <c r="BW72" s="281">
        <f t="shared" si="142"/>
        <v>-3.05</v>
      </c>
      <c r="BX72" s="282">
        <f t="shared" si="143"/>
        <v>0</v>
      </c>
      <c r="BY72" s="283">
        <f t="shared" si="144"/>
        <v>0</v>
      </c>
      <c r="BZ72" s="281">
        <f t="shared" si="146"/>
        <v>0</v>
      </c>
      <c r="CA72" s="282">
        <f t="shared" si="147"/>
        <v>0</v>
      </c>
      <c r="CB72" s="283">
        <f t="shared" si="148"/>
        <v>0</v>
      </c>
    </row>
    <row r="73" spans="1:80" ht="15.75" thickBot="1" x14ac:dyDescent="0.3">
      <c r="A73" s="123" t="s">
        <v>27</v>
      </c>
      <c r="B73" s="83">
        <v>114</v>
      </c>
      <c r="C73" s="84">
        <v>46</v>
      </c>
      <c r="D73" s="281">
        <f t="shared" si="92"/>
        <v>0</v>
      </c>
      <c r="E73" s="282">
        <f t="shared" si="93"/>
        <v>0</v>
      </c>
      <c r="F73" s="282">
        <f t="shared" si="94"/>
        <v>0</v>
      </c>
      <c r="G73" s="283">
        <f t="shared" si="95"/>
        <v>0</v>
      </c>
      <c r="H73" s="281">
        <f t="shared" si="96"/>
        <v>0</v>
      </c>
      <c r="I73" s="282">
        <f t="shared" si="97"/>
        <v>0</v>
      </c>
      <c r="J73" s="282">
        <f t="shared" si="98"/>
        <v>0</v>
      </c>
      <c r="K73" s="283">
        <f t="shared" si="99"/>
        <v>0</v>
      </c>
      <c r="L73" s="281">
        <f t="shared" si="100"/>
        <v>0</v>
      </c>
      <c r="M73" s="282">
        <f t="shared" si="101"/>
        <v>0</v>
      </c>
      <c r="N73" s="282">
        <f t="shared" si="102"/>
        <v>0.15</v>
      </c>
      <c r="O73" s="283">
        <f t="shared" si="103"/>
        <v>0</v>
      </c>
      <c r="T73" s="281">
        <f t="shared" si="104"/>
        <v>0</v>
      </c>
      <c r="U73" s="282">
        <f t="shared" si="105"/>
        <v>0</v>
      </c>
      <c r="V73" s="282">
        <f t="shared" si="106"/>
        <v>0</v>
      </c>
      <c r="W73" s="283">
        <f t="shared" si="107"/>
        <v>0</v>
      </c>
      <c r="X73" s="281">
        <f t="shared" si="108"/>
        <v>0</v>
      </c>
      <c r="Y73" s="282">
        <f t="shared" si="109"/>
        <v>0</v>
      </c>
      <c r="Z73" s="282">
        <f t="shared" si="110"/>
        <v>0</v>
      </c>
      <c r="AA73" s="283">
        <f t="shared" si="111"/>
        <v>0</v>
      </c>
      <c r="AB73" s="281">
        <f t="shared" si="112"/>
        <v>0</v>
      </c>
      <c r="AC73" s="282">
        <f t="shared" si="113"/>
        <v>0</v>
      </c>
      <c r="AD73" s="282">
        <f t="shared" si="114"/>
        <v>0</v>
      </c>
      <c r="AE73" s="283">
        <f t="shared" si="115"/>
        <v>0</v>
      </c>
      <c r="AJ73" s="281">
        <f t="shared" si="116"/>
        <v>0</v>
      </c>
      <c r="AK73" s="282">
        <f t="shared" si="117"/>
        <v>0</v>
      </c>
      <c r="AL73" s="282">
        <f t="shared" si="118"/>
        <v>0</v>
      </c>
      <c r="AM73" s="283">
        <f t="shared" si="119"/>
        <v>0</v>
      </c>
      <c r="AN73" s="281">
        <f t="shared" si="120"/>
        <v>0</v>
      </c>
      <c r="AO73" s="282">
        <f t="shared" si="121"/>
        <v>0</v>
      </c>
      <c r="AP73" s="282">
        <f t="shared" si="122"/>
        <v>0</v>
      </c>
      <c r="AQ73" s="283">
        <f t="shared" si="123"/>
        <v>0</v>
      </c>
      <c r="AR73" s="281">
        <f t="shared" si="124"/>
        <v>0</v>
      </c>
      <c r="AS73" s="282">
        <f t="shared" si="125"/>
        <v>0</v>
      </c>
      <c r="AT73" s="282">
        <f t="shared" si="126"/>
        <v>0</v>
      </c>
      <c r="AU73" s="283"/>
      <c r="AZ73" s="281">
        <f t="shared" si="127"/>
        <v>0</v>
      </c>
      <c r="BA73" s="282">
        <f t="shared" si="128"/>
        <v>0</v>
      </c>
      <c r="BB73" s="282">
        <f t="shared" si="129"/>
        <v>0</v>
      </c>
      <c r="BC73" s="283"/>
      <c r="BD73" s="281">
        <f t="shared" si="130"/>
        <v>0</v>
      </c>
      <c r="BE73" s="282">
        <f t="shared" si="131"/>
        <v>0</v>
      </c>
      <c r="BF73" s="282">
        <f t="shared" si="132"/>
        <v>0</v>
      </c>
      <c r="BG73" s="283"/>
      <c r="BH73" s="281">
        <f t="shared" si="133"/>
        <v>0</v>
      </c>
      <c r="BI73" s="282">
        <f t="shared" si="134"/>
        <v>0</v>
      </c>
      <c r="BJ73" s="282">
        <f t="shared" si="135"/>
        <v>0</v>
      </c>
      <c r="BK73" s="283"/>
      <c r="BQ73" s="281">
        <f t="shared" si="136"/>
        <v>0</v>
      </c>
      <c r="BR73" s="282">
        <f t="shared" si="137"/>
        <v>0.15</v>
      </c>
      <c r="BS73" s="283">
        <f t="shared" si="138"/>
        <v>-0.15</v>
      </c>
      <c r="BT73" s="281">
        <f t="shared" si="139"/>
        <v>0</v>
      </c>
      <c r="BU73" s="281">
        <f t="shared" si="140"/>
        <v>0</v>
      </c>
      <c r="BV73" s="281">
        <f t="shared" si="141"/>
        <v>0</v>
      </c>
      <c r="BW73" s="281">
        <f t="shared" si="142"/>
        <v>0</v>
      </c>
      <c r="BX73" s="282">
        <f t="shared" si="143"/>
        <v>0</v>
      </c>
      <c r="BY73" s="283">
        <f t="shared" si="144"/>
        <v>0</v>
      </c>
      <c r="BZ73" s="281">
        <f t="shared" si="146"/>
        <v>0</v>
      </c>
      <c r="CA73" s="282">
        <f t="shared" si="147"/>
        <v>0</v>
      </c>
      <c r="CB73" s="283">
        <f t="shared" si="148"/>
        <v>0</v>
      </c>
    </row>
    <row r="74" spans="1:80" x14ac:dyDescent="0.25">
      <c r="A74" s="520" t="s">
        <v>28</v>
      </c>
      <c r="B74" s="23">
        <v>25</v>
      </c>
      <c r="C74" s="24">
        <v>38.22</v>
      </c>
      <c r="D74" s="281">
        <f t="shared" si="92"/>
        <v>0</v>
      </c>
      <c r="E74" s="282">
        <f t="shared" si="93"/>
        <v>1.42</v>
      </c>
      <c r="F74" s="282">
        <f t="shared" si="94"/>
        <v>1.02</v>
      </c>
      <c r="G74" s="283">
        <f t="shared" si="95"/>
        <v>18.25</v>
      </c>
      <c r="H74" s="281">
        <f t="shared" si="96"/>
        <v>0</v>
      </c>
      <c r="I74" s="282">
        <f t="shared" si="97"/>
        <v>0.37</v>
      </c>
      <c r="J74" s="282">
        <f t="shared" si="98"/>
        <v>1.02</v>
      </c>
      <c r="K74" s="283">
        <f t="shared" si="99"/>
        <v>21.46</v>
      </c>
      <c r="L74" s="281">
        <f t="shared" si="100"/>
        <v>0</v>
      </c>
      <c r="M74" s="282">
        <f t="shared" si="101"/>
        <v>0.36</v>
      </c>
      <c r="N74" s="282">
        <f t="shared" si="102"/>
        <v>2.2800000000000002</v>
      </c>
      <c r="O74" s="283">
        <f t="shared" si="103"/>
        <v>18.98</v>
      </c>
      <c r="T74" s="281">
        <f t="shared" si="104"/>
        <v>0</v>
      </c>
      <c r="U74" s="282">
        <f t="shared" si="105"/>
        <v>1.26</v>
      </c>
      <c r="V74" s="282">
        <f t="shared" si="106"/>
        <v>3.4299999999999997</v>
      </c>
      <c r="W74" s="283">
        <f t="shared" si="107"/>
        <v>28.92</v>
      </c>
      <c r="X74" s="281">
        <f t="shared" si="108"/>
        <v>0</v>
      </c>
      <c r="Y74" s="282">
        <f t="shared" si="109"/>
        <v>2.7600000000000002</v>
      </c>
      <c r="Z74" s="282">
        <f t="shared" si="110"/>
        <v>9.34</v>
      </c>
      <c r="AA74" s="283">
        <f t="shared" si="111"/>
        <v>43.78</v>
      </c>
      <c r="AB74" s="281">
        <f t="shared" si="112"/>
        <v>0</v>
      </c>
      <c r="AC74" s="282">
        <f t="shared" si="113"/>
        <v>0.92</v>
      </c>
      <c r="AD74" s="282">
        <f t="shared" si="114"/>
        <v>12.17</v>
      </c>
      <c r="AE74" s="283">
        <f t="shared" si="115"/>
        <v>24.43</v>
      </c>
      <c r="AJ74" s="281">
        <f t="shared" si="116"/>
        <v>0</v>
      </c>
      <c r="AK74" s="282">
        <f t="shared" si="117"/>
        <v>1.19</v>
      </c>
      <c r="AL74" s="282">
        <f t="shared" si="118"/>
        <v>8.1</v>
      </c>
      <c r="AM74" s="283">
        <f t="shared" si="119"/>
        <v>23.89</v>
      </c>
      <c r="AN74" s="281">
        <f t="shared" si="120"/>
        <v>0.28999999999999998</v>
      </c>
      <c r="AO74" s="282">
        <f t="shared" si="121"/>
        <v>2.16</v>
      </c>
      <c r="AP74" s="282">
        <f t="shared" si="122"/>
        <v>10.59</v>
      </c>
      <c r="AQ74" s="283">
        <f t="shared" si="123"/>
        <v>30.08</v>
      </c>
      <c r="AR74" s="281">
        <f t="shared" si="124"/>
        <v>0.69</v>
      </c>
      <c r="AS74" s="282">
        <f t="shared" si="125"/>
        <v>0.71</v>
      </c>
      <c r="AT74" s="282">
        <f t="shared" si="126"/>
        <v>14.830000000000002</v>
      </c>
      <c r="AU74" s="283"/>
      <c r="AZ74" s="281">
        <f t="shared" si="127"/>
        <v>0.4</v>
      </c>
      <c r="BA74" s="282">
        <f t="shared" si="128"/>
        <v>1.4</v>
      </c>
      <c r="BB74" s="282">
        <f t="shared" si="129"/>
        <v>13.21</v>
      </c>
      <c r="BC74" s="283"/>
      <c r="BD74" s="281">
        <f t="shared" si="130"/>
        <v>0.71</v>
      </c>
      <c r="BE74" s="282">
        <f t="shared" si="131"/>
        <v>1.57</v>
      </c>
      <c r="BF74" s="282">
        <f t="shared" si="132"/>
        <v>24.810000000000002</v>
      </c>
      <c r="BG74" s="283"/>
      <c r="BH74" s="281">
        <f t="shared" si="133"/>
        <v>0.99</v>
      </c>
      <c r="BI74" s="282">
        <f t="shared" si="134"/>
        <v>1.03</v>
      </c>
      <c r="BJ74" s="282">
        <f t="shared" si="135"/>
        <v>9.11</v>
      </c>
      <c r="BK74" s="283"/>
      <c r="BQ74" s="281">
        <f t="shared" si="136"/>
        <v>2.15</v>
      </c>
      <c r="BR74" s="282">
        <f t="shared" si="137"/>
        <v>2.1700000000000004</v>
      </c>
      <c r="BS74" s="283">
        <f t="shared" si="138"/>
        <v>54.37</v>
      </c>
      <c r="BT74" s="281">
        <f t="shared" si="139"/>
        <v>4.9400000000000004</v>
      </c>
      <c r="BU74" s="281">
        <f t="shared" si="140"/>
        <v>19.999999999999996</v>
      </c>
      <c r="BV74" s="281">
        <f t="shared" si="141"/>
        <v>72.19</v>
      </c>
      <c r="BW74" s="281">
        <f t="shared" si="142"/>
        <v>3.0800000000000005</v>
      </c>
      <c r="BX74" s="282">
        <f t="shared" si="143"/>
        <v>29.459999999999994</v>
      </c>
      <c r="BY74" s="283">
        <f t="shared" si="144"/>
        <v>20.450000000000003</v>
      </c>
      <c r="BZ74" s="281">
        <f t="shared" si="146"/>
        <v>1.9000000000000004</v>
      </c>
      <c r="CA74" s="282">
        <f t="shared" si="147"/>
        <v>43.13</v>
      </c>
      <c r="CB74" s="283">
        <f t="shared" si="148"/>
        <v>-47.13</v>
      </c>
    </row>
    <row r="75" spans="1:80" x14ac:dyDescent="0.25">
      <c r="A75" s="521"/>
      <c r="B75" s="55" t="s">
        <v>29</v>
      </c>
      <c r="C75" s="134">
        <v>22.72</v>
      </c>
      <c r="D75" s="281">
        <f t="shared" si="92"/>
        <v>1.03</v>
      </c>
      <c r="E75" s="282">
        <f t="shared" si="93"/>
        <v>4.6099999999999994</v>
      </c>
      <c r="F75" s="282">
        <f t="shared" si="94"/>
        <v>5.78</v>
      </c>
      <c r="G75" s="283">
        <f t="shared" si="95"/>
        <v>18.600000000000001</v>
      </c>
      <c r="H75" s="281">
        <f t="shared" si="96"/>
        <v>0.5</v>
      </c>
      <c r="I75" s="282">
        <f t="shared" si="97"/>
        <v>1.23</v>
      </c>
      <c r="J75" s="282">
        <f t="shared" si="98"/>
        <v>4.8100000000000005</v>
      </c>
      <c r="K75" s="283">
        <f t="shared" si="99"/>
        <v>10.9</v>
      </c>
      <c r="L75" s="281">
        <f t="shared" si="100"/>
        <v>0</v>
      </c>
      <c r="M75" s="282">
        <f t="shared" si="101"/>
        <v>2</v>
      </c>
      <c r="N75" s="282">
        <f t="shared" si="102"/>
        <v>6.07</v>
      </c>
      <c r="O75" s="283">
        <f t="shared" si="103"/>
        <v>23.84</v>
      </c>
      <c r="T75" s="281">
        <f t="shared" si="104"/>
        <v>0</v>
      </c>
      <c r="U75" s="282">
        <f t="shared" si="105"/>
        <v>2.17</v>
      </c>
      <c r="V75" s="282">
        <f t="shared" si="106"/>
        <v>9.06</v>
      </c>
      <c r="W75" s="283">
        <f t="shared" si="107"/>
        <v>19.61</v>
      </c>
      <c r="X75" s="281">
        <f t="shared" si="108"/>
        <v>1.77</v>
      </c>
      <c r="Y75" s="282">
        <f t="shared" si="109"/>
        <v>3.39</v>
      </c>
      <c r="Z75" s="282">
        <f t="shared" si="110"/>
        <v>15.52</v>
      </c>
      <c r="AA75" s="283">
        <f t="shared" si="111"/>
        <v>20.61</v>
      </c>
      <c r="AB75" s="281">
        <f t="shared" si="112"/>
        <v>0.7</v>
      </c>
      <c r="AC75" s="282">
        <f t="shared" si="113"/>
        <v>2.4900000000000002</v>
      </c>
      <c r="AD75" s="282">
        <f t="shared" si="114"/>
        <v>14.17</v>
      </c>
      <c r="AE75" s="283">
        <f t="shared" si="115"/>
        <v>24.740000000000002</v>
      </c>
      <c r="AJ75" s="281">
        <f t="shared" si="116"/>
        <v>0.97</v>
      </c>
      <c r="AK75" s="282">
        <f t="shared" si="117"/>
        <v>4.03</v>
      </c>
      <c r="AL75" s="282">
        <f t="shared" si="118"/>
        <v>9.67</v>
      </c>
      <c r="AM75" s="283">
        <f t="shared" si="119"/>
        <v>17.809999999999999</v>
      </c>
      <c r="AN75" s="281">
        <f t="shared" si="120"/>
        <v>1.75</v>
      </c>
      <c r="AO75" s="282">
        <f t="shared" si="121"/>
        <v>3.1</v>
      </c>
      <c r="AP75" s="282">
        <f t="shared" si="122"/>
        <v>21.14</v>
      </c>
      <c r="AQ75" s="283">
        <f t="shared" si="123"/>
        <v>24.36</v>
      </c>
      <c r="AR75" s="281">
        <f t="shared" si="124"/>
        <v>2</v>
      </c>
      <c r="AS75" s="282">
        <f t="shared" si="125"/>
        <v>4.79</v>
      </c>
      <c r="AT75" s="282">
        <f t="shared" si="126"/>
        <v>20.100000000000001</v>
      </c>
      <c r="AU75" s="283"/>
      <c r="AZ75" s="281">
        <f t="shared" si="127"/>
        <v>2</v>
      </c>
      <c r="BA75" s="282">
        <f t="shared" si="128"/>
        <v>7.67</v>
      </c>
      <c r="BB75" s="282">
        <f t="shared" si="129"/>
        <v>16.68</v>
      </c>
      <c r="BC75" s="283"/>
      <c r="BD75" s="281">
        <f t="shared" si="130"/>
        <v>3.21</v>
      </c>
      <c r="BE75" s="282">
        <f t="shared" si="131"/>
        <v>8.4699999999999989</v>
      </c>
      <c r="BF75" s="282">
        <f t="shared" si="132"/>
        <v>19.809999999999999</v>
      </c>
      <c r="BG75" s="283"/>
      <c r="BH75" s="281">
        <f t="shared" si="133"/>
        <v>1.5</v>
      </c>
      <c r="BI75" s="282">
        <f t="shared" si="134"/>
        <v>6.1899999999999995</v>
      </c>
      <c r="BJ75" s="282">
        <f t="shared" si="135"/>
        <v>22.05</v>
      </c>
      <c r="BK75" s="283"/>
      <c r="BQ75" s="281">
        <f t="shared" si="136"/>
        <v>6.31</v>
      </c>
      <c r="BR75" s="282">
        <f t="shared" si="137"/>
        <v>8.82</v>
      </c>
      <c r="BS75" s="283">
        <f t="shared" si="138"/>
        <v>36.680000000000007</v>
      </c>
      <c r="BT75" s="281">
        <f t="shared" si="139"/>
        <v>5.580000000000001</v>
      </c>
      <c r="BU75" s="281">
        <f t="shared" si="140"/>
        <v>30.7</v>
      </c>
      <c r="BV75" s="281">
        <f t="shared" si="141"/>
        <v>26.210000000000008</v>
      </c>
      <c r="BW75" s="281">
        <f t="shared" si="142"/>
        <v>7.200000000000002</v>
      </c>
      <c r="BX75" s="282">
        <f t="shared" si="143"/>
        <v>38.99</v>
      </c>
      <c r="BY75" s="283">
        <f t="shared" si="144"/>
        <v>-8.740000000000002</v>
      </c>
      <c r="BZ75" s="281">
        <f t="shared" si="146"/>
        <v>15.619999999999997</v>
      </c>
      <c r="CA75" s="282">
        <f t="shared" si="147"/>
        <v>36.209999999999994</v>
      </c>
      <c r="CB75" s="283">
        <f t="shared" si="148"/>
        <v>-58.539999999999992</v>
      </c>
    </row>
    <row r="76" spans="1:80" x14ac:dyDescent="0.25">
      <c r="A76" s="521"/>
      <c r="B76" s="55" t="s">
        <v>30</v>
      </c>
      <c r="C76" s="134"/>
      <c r="D76" s="281">
        <f t="shared" si="92"/>
        <v>0</v>
      </c>
      <c r="E76" s="282">
        <f t="shared" si="93"/>
        <v>0</v>
      </c>
      <c r="F76" s="282">
        <f t="shared" si="94"/>
        <v>0</v>
      </c>
      <c r="G76" s="283">
        <f t="shared" si="95"/>
        <v>0</v>
      </c>
      <c r="H76" s="281">
        <f t="shared" si="96"/>
        <v>0</v>
      </c>
      <c r="I76" s="282">
        <f t="shared" si="97"/>
        <v>0</v>
      </c>
      <c r="J76" s="282">
        <f t="shared" si="98"/>
        <v>0</v>
      </c>
      <c r="K76" s="283">
        <f t="shared" si="99"/>
        <v>0</v>
      </c>
      <c r="L76" s="281">
        <f t="shared" si="100"/>
        <v>0</v>
      </c>
      <c r="M76" s="282">
        <f t="shared" si="101"/>
        <v>0</v>
      </c>
      <c r="N76" s="282">
        <f t="shared" si="102"/>
        <v>0</v>
      </c>
      <c r="O76" s="283">
        <f t="shared" si="103"/>
        <v>0</v>
      </c>
      <c r="T76" s="281">
        <f t="shared" si="104"/>
        <v>0</v>
      </c>
      <c r="U76" s="282">
        <f t="shared" si="105"/>
        <v>0</v>
      </c>
      <c r="V76" s="282">
        <f t="shared" si="106"/>
        <v>0</v>
      </c>
      <c r="W76" s="283">
        <f t="shared" si="107"/>
        <v>0</v>
      </c>
      <c r="X76" s="281">
        <f t="shared" si="108"/>
        <v>0</v>
      </c>
      <c r="Y76" s="282">
        <f t="shared" si="109"/>
        <v>0</v>
      </c>
      <c r="Z76" s="282">
        <f t="shared" si="110"/>
        <v>0</v>
      </c>
      <c r="AA76" s="283">
        <f t="shared" si="111"/>
        <v>0</v>
      </c>
      <c r="AB76" s="281">
        <f t="shared" si="112"/>
        <v>0</v>
      </c>
      <c r="AC76" s="282">
        <f t="shared" si="113"/>
        <v>0</v>
      </c>
      <c r="AD76" s="282">
        <f t="shared" si="114"/>
        <v>0</v>
      </c>
      <c r="AE76" s="283">
        <f t="shared" si="115"/>
        <v>0</v>
      </c>
      <c r="AJ76" s="281">
        <f t="shared" si="116"/>
        <v>0</v>
      </c>
      <c r="AK76" s="282">
        <f t="shared" si="117"/>
        <v>0</v>
      </c>
      <c r="AL76" s="282">
        <f t="shared" si="118"/>
        <v>0</v>
      </c>
      <c r="AM76" s="283">
        <f t="shared" si="119"/>
        <v>0</v>
      </c>
      <c r="AN76" s="281">
        <f t="shared" si="120"/>
        <v>0</v>
      </c>
      <c r="AO76" s="282">
        <f t="shared" si="121"/>
        <v>0</v>
      </c>
      <c r="AP76" s="282">
        <f t="shared" si="122"/>
        <v>0</v>
      </c>
      <c r="AQ76" s="283">
        <f t="shared" si="123"/>
        <v>0</v>
      </c>
      <c r="AR76" s="281">
        <f t="shared" si="124"/>
        <v>0</v>
      </c>
      <c r="AS76" s="282">
        <f t="shared" si="125"/>
        <v>0</v>
      </c>
      <c r="AT76" s="282">
        <f t="shared" si="126"/>
        <v>0</v>
      </c>
      <c r="AU76" s="283"/>
      <c r="AZ76" s="281">
        <f t="shared" si="127"/>
        <v>0</v>
      </c>
      <c r="BA76" s="282">
        <f t="shared" si="128"/>
        <v>0</v>
      </c>
      <c r="BB76" s="282">
        <f t="shared" si="129"/>
        <v>0</v>
      </c>
      <c r="BC76" s="283"/>
      <c r="BD76" s="281">
        <f t="shared" si="130"/>
        <v>0</v>
      </c>
      <c r="BE76" s="282">
        <f t="shared" si="131"/>
        <v>0</v>
      </c>
      <c r="BF76" s="282">
        <f t="shared" si="132"/>
        <v>0</v>
      </c>
      <c r="BG76" s="283"/>
      <c r="BH76" s="281">
        <f t="shared" si="133"/>
        <v>0</v>
      </c>
      <c r="BI76" s="282">
        <f t="shared" si="134"/>
        <v>0</v>
      </c>
      <c r="BJ76" s="282">
        <f t="shared" si="135"/>
        <v>0</v>
      </c>
      <c r="BK76" s="283"/>
      <c r="BQ76" s="281">
        <f t="shared" si="136"/>
        <v>0</v>
      </c>
      <c r="BR76" s="282">
        <f t="shared" si="137"/>
        <v>0</v>
      </c>
      <c r="BS76" s="283">
        <f t="shared" si="138"/>
        <v>0</v>
      </c>
      <c r="BT76" s="281">
        <f t="shared" si="139"/>
        <v>0</v>
      </c>
      <c r="BU76" s="281">
        <f t="shared" si="140"/>
        <v>0</v>
      </c>
      <c r="BV76" s="281">
        <f t="shared" si="141"/>
        <v>0</v>
      </c>
      <c r="BW76" s="281">
        <f t="shared" si="142"/>
        <v>0</v>
      </c>
      <c r="BX76" s="282">
        <f t="shared" si="143"/>
        <v>0</v>
      </c>
      <c r="BY76" s="283">
        <f t="shared" si="144"/>
        <v>0</v>
      </c>
      <c r="BZ76" s="281">
        <f t="shared" si="146"/>
        <v>0</v>
      </c>
      <c r="CA76" s="282">
        <f t="shared" si="147"/>
        <v>0</v>
      </c>
      <c r="CB76" s="283">
        <f t="shared" si="148"/>
        <v>0</v>
      </c>
    </row>
    <row r="77" spans="1:80" x14ac:dyDescent="0.25">
      <c r="A77" s="521"/>
      <c r="B77" s="55">
        <v>27</v>
      </c>
      <c r="C77" s="134">
        <v>18.64</v>
      </c>
      <c r="D77" s="281">
        <f t="shared" si="92"/>
        <v>0.6</v>
      </c>
      <c r="E77" s="282">
        <f t="shared" si="93"/>
        <v>1.81</v>
      </c>
      <c r="F77" s="282">
        <f t="shared" si="94"/>
        <v>2.19</v>
      </c>
      <c r="G77" s="283">
        <f t="shared" si="95"/>
        <v>2.98</v>
      </c>
      <c r="H77" s="281">
        <f t="shared" si="96"/>
        <v>0.33</v>
      </c>
      <c r="I77" s="282">
        <f t="shared" si="97"/>
        <v>0.61</v>
      </c>
      <c r="J77" s="282">
        <f t="shared" si="98"/>
        <v>1.95</v>
      </c>
      <c r="K77" s="283">
        <f t="shared" si="99"/>
        <v>11.959999999999999</v>
      </c>
      <c r="L77" s="281">
        <f t="shared" si="100"/>
        <v>0</v>
      </c>
      <c r="M77" s="282">
        <f t="shared" si="101"/>
        <v>3.33</v>
      </c>
      <c r="N77" s="282">
        <f t="shared" si="102"/>
        <v>2.97</v>
      </c>
      <c r="O77" s="283">
        <f t="shared" si="103"/>
        <v>9.25</v>
      </c>
      <c r="T77" s="281">
        <f t="shared" si="104"/>
        <v>0</v>
      </c>
      <c r="U77" s="282">
        <f t="shared" si="105"/>
        <v>1.27</v>
      </c>
      <c r="V77" s="282">
        <f t="shared" si="106"/>
        <v>7.46</v>
      </c>
      <c r="W77" s="283">
        <f t="shared" si="107"/>
        <v>17.259999999999998</v>
      </c>
      <c r="X77" s="281">
        <f t="shared" si="108"/>
        <v>1.48</v>
      </c>
      <c r="Y77" s="282">
        <f t="shared" si="109"/>
        <v>5.2299999999999995</v>
      </c>
      <c r="Z77" s="282">
        <f t="shared" si="110"/>
        <v>11.2</v>
      </c>
      <c r="AA77" s="283">
        <f t="shared" si="111"/>
        <v>14.31</v>
      </c>
      <c r="AB77" s="281">
        <f t="shared" si="112"/>
        <v>0.6</v>
      </c>
      <c r="AC77" s="282">
        <f t="shared" si="113"/>
        <v>2.19</v>
      </c>
      <c r="AD77" s="282">
        <f t="shared" si="114"/>
        <v>8.01</v>
      </c>
      <c r="AE77" s="283">
        <f t="shared" si="115"/>
        <v>13.73</v>
      </c>
      <c r="AJ77" s="281">
        <f t="shared" si="116"/>
        <v>0.78</v>
      </c>
      <c r="AK77" s="282">
        <f t="shared" si="117"/>
        <v>8.11</v>
      </c>
      <c r="AL77" s="282">
        <f t="shared" si="118"/>
        <v>13.530000000000001</v>
      </c>
      <c r="AM77" s="283">
        <f t="shared" si="119"/>
        <v>16.07</v>
      </c>
      <c r="AN77" s="281">
        <f t="shared" si="120"/>
        <v>1.35</v>
      </c>
      <c r="AO77" s="282">
        <f t="shared" si="121"/>
        <v>4.33</v>
      </c>
      <c r="AP77" s="282">
        <f t="shared" si="122"/>
        <v>7.8</v>
      </c>
      <c r="AQ77" s="283">
        <f t="shared" si="123"/>
        <v>25.27</v>
      </c>
      <c r="AR77" s="281">
        <f t="shared" si="124"/>
        <v>1</v>
      </c>
      <c r="AS77" s="282">
        <f t="shared" si="125"/>
        <v>2.41</v>
      </c>
      <c r="AT77" s="282">
        <f t="shared" si="126"/>
        <v>9.49</v>
      </c>
      <c r="AU77" s="283"/>
      <c r="AZ77" s="281">
        <f t="shared" si="127"/>
        <v>0.9</v>
      </c>
      <c r="BA77" s="282">
        <f t="shared" si="128"/>
        <v>3.62</v>
      </c>
      <c r="BB77" s="282">
        <f t="shared" si="129"/>
        <v>15.47</v>
      </c>
      <c r="BC77" s="283"/>
      <c r="BD77" s="281">
        <f t="shared" si="130"/>
        <v>1.21</v>
      </c>
      <c r="BE77" s="282">
        <f t="shared" si="131"/>
        <v>3.48</v>
      </c>
      <c r="BF77" s="282">
        <f t="shared" si="132"/>
        <v>15.31</v>
      </c>
      <c r="BG77" s="283"/>
      <c r="BH77" s="281">
        <f t="shared" si="133"/>
        <v>0.99</v>
      </c>
      <c r="BI77" s="282">
        <f t="shared" si="134"/>
        <v>2.0699999999999998</v>
      </c>
      <c r="BJ77" s="282">
        <f t="shared" si="135"/>
        <v>13.75</v>
      </c>
      <c r="BK77" s="283"/>
      <c r="BQ77" s="281">
        <f t="shared" si="136"/>
        <v>4.82</v>
      </c>
      <c r="BR77" s="282">
        <f t="shared" si="137"/>
        <v>1.3599999999999994</v>
      </c>
      <c r="BS77" s="283">
        <f t="shared" si="138"/>
        <v>17.079999999999998</v>
      </c>
      <c r="BT77" s="281">
        <f t="shared" si="139"/>
        <v>6.6099999999999994</v>
      </c>
      <c r="BU77" s="281">
        <f t="shared" si="140"/>
        <v>17.980000000000004</v>
      </c>
      <c r="BV77" s="281">
        <f t="shared" si="141"/>
        <v>18.629999999999995</v>
      </c>
      <c r="BW77" s="281">
        <f t="shared" si="142"/>
        <v>11.719999999999999</v>
      </c>
      <c r="BX77" s="282">
        <f t="shared" si="143"/>
        <v>15.97</v>
      </c>
      <c r="BY77" s="283">
        <f t="shared" si="144"/>
        <v>10.520000000000003</v>
      </c>
      <c r="BZ77" s="281">
        <f t="shared" si="146"/>
        <v>6.07</v>
      </c>
      <c r="CA77" s="282">
        <f t="shared" si="147"/>
        <v>35.36</v>
      </c>
      <c r="CB77" s="283">
        <f t="shared" si="148"/>
        <v>-44.53</v>
      </c>
    </row>
    <row r="78" spans="1:80" x14ac:dyDescent="0.25">
      <c r="A78" s="521"/>
      <c r="B78" s="55">
        <v>28</v>
      </c>
      <c r="C78" s="134">
        <v>25.5</v>
      </c>
      <c r="D78" s="281">
        <f t="shared" si="92"/>
        <v>3.6100000000000003</v>
      </c>
      <c r="E78" s="282">
        <f t="shared" si="93"/>
        <v>6.37</v>
      </c>
      <c r="F78" s="282">
        <f t="shared" si="94"/>
        <v>17.89</v>
      </c>
      <c r="G78" s="283">
        <f t="shared" si="95"/>
        <v>26.79</v>
      </c>
      <c r="H78" s="281">
        <f t="shared" si="96"/>
        <v>4.03</v>
      </c>
      <c r="I78" s="282">
        <f t="shared" si="97"/>
        <v>8.07</v>
      </c>
      <c r="J78" s="282">
        <f t="shared" si="98"/>
        <v>15.809999999999999</v>
      </c>
      <c r="K78" s="283">
        <f t="shared" si="99"/>
        <v>16.37</v>
      </c>
      <c r="L78" s="281">
        <f t="shared" si="100"/>
        <v>1.1299999999999999</v>
      </c>
      <c r="M78" s="282">
        <f t="shared" si="101"/>
        <v>11.76</v>
      </c>
      <c r="N78" s="282">
        <f t="shared" si="102"/>
        <v>18.880000000000003</v>
      </c>
      <c r="O78" s="283">
        <f t="shared" si="103"/>
        <v>27.38</v>
      </c>
      <c r="T78" s="281">
        <f t="shared" si="104"/>
        <v>5.29</v>
      </c>
      <c r="U78" s="282">
        <f t="shared" si="105"/>
        <v>10.65</v>
      </c>
      <c r="V78" s="282">
        <f t="shared" si="106"/>
        <v>20.740000000000002</v>
      </c>
      <c r="W78" s="283">
        <f t="shared" si="107"/>
        <v>26.42</v>
      </c>
      <c r="X78" s="281">
        <f t="shared" si="108"/>
        <v>10.54</v>
      </c>
      <c r="Y78" s="282">
        <f t="shared" si="109"/>
        <v>16.98</v>
      </c>
      <c r="Z78" s="282">
        <f t="shared" si="110"/>
        <v>20.47</v>
      </c>
      <c r="AA78" s="283">
        <f t="shared" si="111"/>
        <v>23.19</v>
      </c>
      <c r="AB78" s="281">
        <f t="shared" si="112"/>
        <v>15.27</v>
      </c>
      <c r="AC78" s="282">
        <f t="shared" si="113"/>
        <v>10.629999999999999</v>
      </c>
      <c r="AD78" s="282">
        <f t="shared" si="114"/>
        <v>23.61</v>
      </c>
      <c r="AE78" s="283">
        <f t="shared" si="115"/>
        <v>37.769999999999996</v>
      </c>
      <c r="AJ78" s="281">
        <f t="shared" si="116"/>
        <v>15.45</v>
      </c>
      <c r="AK78" s="282">
        <f t="shared" si="117"/>
        <v>12.780000000000001</v>
      </c>
      <c r="AL78" s="282">
        <f t="shared" si="118"/>
        <v>17.22</v>
      </c>
      <c r="AM78" s="283">
        <f t="shared" si="119"/>
        <v>26.97</v>
      </c>
      <c r="AN78" s="281">
        <f t="shared" si="120"/>
        <v>15.420000000000002</v>
      </c>
      <c r="AO78" s="282">
        <f t="shared" si="121"/>
        <v>15.89</v>
      </c>
      <c r="AP78" s="282">
        <f t="shared" si="122"/>
        <v>23.95</v>
      </c>
      <c r="AQ78" s="283">
        <f t="shared" si="123"/>
        <v>22.040000000000003</v>
      </c>
      <c r="AR78" s="281">
        <f t="shared" si="124"/>
        <v>13.77</v>
      </c>
      <c r="AS78" s="282">
        <f t="shared" si="125"/>
        <v>21.4</v>
      </c>
      <c r="AT78" s="282">
        <f t="shared" si="126"/>
        <v>23.700000000000003</v>
      </c>
      <c r="AU78" s="283"/>
      <c r="AZ78" s="281">
        <f t="shared" si="127"/>
        <v>18.03</v>
      </c>
      <c r="BA78" s="282">
        <f t="shared" si="128"/>
        <v>22.880000000000003</v>
      </c>
      <c r="BB78" s="282">
        <f t="shared" si="129"/>
        <v>24.700000000000003</v>
      </c>
      <c r="BC78" s="283"/>
      <c r="BD78" s="281">
        <f t="shared" si="130"/>
        <v>14.1</v>
      </c>
      <c r="BE78" s="282">
        <f t="shared" si="131"/>
        <v>17.14</v>
      </c>
      <c r="BF78" s="282">
        <f t="shared" si="132"/>
        <v>22.85</v>
      </c>
      <c r="BG78" s="283"/>
      <c r="BH78" s="281">
        <f t="shared" si="133"/>
        <v>23.28</v>
      </c>
      <c r="BI78" s="282">
        <f t="shared" si="134"/>
        <v>16.149999999999999</v>
      </c>
      <c r="BJ78" s="282">
        <f t="shared" si="135"/>
        <v>19.61</v>
      </c>
      <c r="BK78" s="283"/>
      <c r="BQ78" s="281">
        <f t="shared" si="136"/>
        <v>17.430000000000003</v>
      </c>
      <c r="BR78" s="282">
        <f t="shared" si="137"/>
        <v>26.380000000000003</v>
      </c>
      <c r="BS78" s="283">
        <f t="shared" si="138"/>
        <v>17.959999999999987</v>
      </c>
      <c r="BT78" s="281">
        <f t="shared" si="139"/>
        <v>7.1600000000000072</v>
      </c>
      <c r="BU78" s="281">
        <f t="shared" si="140"/>
        <v>26.559999999999988</v>
      </c>
      <c r="BV78" s="281">
        <f t="shared" si="141"/>
        <v>22.560000000000002</v>
      </c>
      <c r="BW78" s="281">
        <f t="shared" si="142"/>
        <v>5.43</v>
      </c>
      <c r="BX78" s="282">
        <f t="shared" si="143"/>
        <v>14.800000000000004</v>
      </c>
      <c r="BY78" s="283">
        <f t="shared" si="144"/>
        <v>-15.86</v>
      </c>
      <c r="BZ78" s="281">
        <f t="shared" si="146"/>
        <v>0.75999999999999801</v>
      </c>
      <c r="CA78" s="282">
        <f t="shared" si="147"/>
        <v>10.989999999999995</v>
      </c>
      <c r="CB78" s="283">
        <f t="shared" si="148"/>
        <v>-67.16</v>
      </c>
    </row>
    <row r="79" spans="1:80" x14ac:dyDescent="0.25">
      <c r="A79" s="521"/>
      <c r="B79" s="55">
        <v>29</v>
      </c>
      <c r="C79" s="134">
        <v>11.38</v>
      </c>
      <c r="D79" s="281">
        <f t="shared" si="92"/>
        <v>0</v>
      </c>
      <c r="E79" s="282">
        <f t="shared" si="93"/>
        <v>0</v>
      </c>
      <c r="F79" s="282">
        <f t="shared" si="94"/>
        <v>0</v>
      </c>
      <c r="G79" s="283">
        <f t="shared" si="95"/>
        <v>1.81</v>
      </c>
      <c r="H79" s="281">
        <f t="shared" si="96"/>
        <v>0</v>
      </c>
      <c r="I79" s="282">
        <f t="shared" si="97"/>
        <v>0</v>
      </c>
      <c r="J79" s="282">
        <f t="shared" si="98"/>
        <v>0</v>
      </c>
      <c r="K79" s="283">
        <f t="shared" si="99"/>
        <v>1.52</v>
      </c>
      <c r="L79" s="281">
        <f t="shared" si="100"/>
        <v>0</v>
      </c>
      <c r="M79" s="282">
        <f t="shared" si="101"/>
        <v>0</v>
      </c>
      <c r="N79" s="282">
        <f t="shared" si="102"/>
        <v>0</v>
      </c>
      <c r="O79" s="283">
        <f t="shared" si="103"/>
        <v>2.64</v>
      </c>
      <c r="T79" s="281">
        <f t="shared" si="104"/>
        <v>0</v>
      </c>
      <c r="U79" s="282">
        <f t="shared" si="105"/>
        <v>0</v>
      </c>
      <c r="V79" s="282">
        <f t="shared" si="106"/>
        <v>0</v>
      </c>
      <c r="W79" s="283">
        <f t="shared" si="107"/>
        <v>3.6399999999999997</v>
      </c>
      <c r="X79" s="281">
        <f t="shared" si="108"/>
        <v>0</v>
      </c>
      <c r="Y79" s="282">
        <f t="shared" si="109"/>
        <v>0</v>
      </c>
      <c r="Z79" s="282">
        <f t="shared" si="110"/>
        <v>0</v>
      </c>
      <c r="AA79" s="283">
        <f t="shared" si="111"/>
        <v>5.3</v>
      </c>
      <c r="AB79" s="281">
        <f t="shared" si="112"/>
        <v>0</v>
      </c>
      <c r="AC79" s="282">
        <f t="shared" si="113"/>
        <v>0</v>
      </c>
      <c r="AD79" s="282">
        <f t="shared" si="114"/>
        <v>2.5300000000000002</v>
      </c>
      <c r="AE79" s="283">
        <f t="shared" si="115"/>
        <v>9.23</v>
      </c>
      <c r="AJ79" s="281">
        <f t="shared" si="116"/>
        <v>0</v>
      </c>
      <c r="AK79" s="282">
        <f t="shared" si="117"/>
        <v>0</v>
      </c>
      <c r="AL79" s="282">
        <f t="shared" si="118"/>
        <v>1.84</v>
      </c>
      <c r="AM79" s="283">
        <f t="shared" si="119"/>
        <v>5.72</v>
      </c>
      <c r="AN79" s="281">
        <f t="shared" si="120"/>
        <v>0</v>
      </c>
      <c r="AO79" s="282">
        <f t="shared" si="121"/>
        <v>0</v>
      </c>
      <c r="AP79" s="282">
        <f t="shared" si="122"/>
        <v>2.5099999999999998</v>
      </c>
      <c r="AQ79" s="283">
        <f t="shared" si="123"/>
        <v>12.66</v>
      </c>
      <c r="AR79" s="281">
        <f t="shared" si="124"/>
        <v>0</v>
      </c>
      <c r="AS79" s="282">
        <f t="shared" si="125"/>
        <v>0</v>
      </c>
      <c r="AT79" s="282">
        <f t="shared" si="126"/>
        <v>0.9</v>
      </c>
      <c r="AU79" s="283"/>
      <c r="AZ79" s="281">
        <f t="shared" si="127"/>
        <v>0</v>
      </c>
      <c r="BA79" s="282">
        <f t="shared" si="128"/>
        <v>0</v>
      </c>
      <c r="BB79" s="282">
        <f t="shared" si="129"/>
        <v>1.83</v>
      </c>
      <c r="BC79" s="283"/>
      <c r="BD79" s="281">
        <f t="shared" si="130"/>
        <v>0</v>
      </c>
      <c r="BE79" s="282">
        <f t="shared" si="131"/>
        <v>0</v>
      </c>
      <c r="BF79" s="282">
        <f t="shared" si="132"/>
        <v>4.3100000000000005</v>
      </c>
      <c r="BG79" s="283"/>
      <c r="BH79" s="281">
        <f t="shared" si="133"/>
        <v>0</v>
      </c>
      <c r="BI79" s="282">
        <f t="shared" si="134"/>
        <v>0</v>
      </c>
      <c r="BJ79" s="282">
        <f t="shared" si="135"/>
        <v>2.7</v>
      </c>
      <c r="BK79" s="283"/>
      <c r="BQ79" s="281">
        <f t="shared" si="136"/>
        <v>0</v>
      </c>
      <c r="BR79" s="282">
        <f t="shared" si="137"/>
        <v>0</v>
      </c>
      <c r="BS79" s="283">
        <f t="shared" si="138"/>
        <v>5.9700000000000006</v>
      </c>
      <c r="BT79" s="281">
        <f t="shared" si="139"/>
        <v>0</v>
      </c>
      <c r="BU79" s="281">
        <f t="shared" si="140"/>
        <v>2.5300000000000002</v>
      </c>
      <c r="BV79" s="281">
        <f t="shared" si="141"/>
        <v>15.64</v>
      </c>
      <c r="BW79" s="281">
        <f t="shared" si="142"/>
        <v>0</v>
      </c>
      <c r="BX79" s="282">
        <f t="shared" si="143"/>
        <v>5.25</v>
      </c>
      <c r="BY79" s="283">
        <f t="shared" si="144"/>
        <v>13.129999999999999</v>
      </c>
      <c r="BZ79" s="281">
        <f t="shared" si="146"/>
        <v>0</v>
      </c>
      <c r="CA79" s="282">
        <f t="shared" si="147"/>
        <v>8.84</v>
      </c>
      <c r="CB79" s="283">
        <f t="shared" si="148"/>
        <v>-8.84</v>
      </c>
    </row>
    <row r="80" spans="1:80" x14ac:dyDescent="0.25">
      <c r="A80" s="521"/>
      <c r="B80" s="55">
        <v>30</v>
      </c>
      <c r="C80" s="134">
        <v>24.35</v>
      </c>
      <c r="D80" s="281">
        <f t="shared" si="92"/>
        <v>0</v>
      </c>
      <c r="E80" s="282">
        <f t="shared" si="93"/>
        <v>0</v>
      </c>
      <c r="F80" s="282">
        <f t="shared" si="94"/>
        <v>0</v>
      </c>
      <c r="G80" s="283">
        <f t="shared" si="95"/>
        <v>21.18</v>
      </c>
      <c r="H80" s="281">
        <f t="shared" si="96"/>
        <v>0</v>
      </c>
      <c r="I80" s="282">
        <f t="shared" si="97"/>
        <v>0</v>
      </c>
      <c r="J80" s="282">
        <f t="shared" si="98"/>
        <v>2.44</v>
      </c>
      <c r="K80" s="283">
        <f t="shared" si="99"/>
        <v>11.870000000000001</v>
      </c>
      <c r="L80" s="281">
        <f t="shared" si="100"/>
        <v>0</v>
      </c>
      <c r="M80" s="282">
        <f t="shared" si="101"/>
        <v>0</v>
      </c>
      <c r="N80" s="282">
        <f t="shared" si="102"/>
        <v>1.8199999999999998</v>
      </c>
      <c r="O80" s="283">
        <f t="shared" si="103"/>
        <v>14.02</v>
      </c>
      <c r="T80" s="281">
        <f t="shared" si="104"/>
        <v>0</v>
      </c>
      <c r="U80" s="282">
        <f t="shared" si="105"/>
        <v>0</v>
      </c>
      <c r="V80" s="282">
        <f t="shared" si="106"/>
        <v>1.02</v>
      </c>
      <c r="W80" s="283">
        <f t="shared" si="107"/>
        <v>22.02</v>
      </c>
      <c r="X80" s="281">
        <f t="shared" si="108"/>
        <v>0</v>
      </c>
      <c r="Y80" s="282">
        <f t="shared" si="109"/>
        <v>0</v>
      </c>
      <c r="Z80" s="282">
        <f t="shared" si="110"/>
        <v>2.59</v>
      </c>
      <c r="AA80" s="283">
        <f t="shared" si="111"/>
        <v>24.98</v>
      </c>
      <c r="AB80" s="281">
        <f t="shared" si="112"/>
        <v>0</v>
      </c>
      <c r="AC80" s="282">
        <f t="shared" si="113"/>
        <v>0</v>
      </c>
      <c r="AD80" s="282">
        <f t="shared" si="114"/>
        <v>2.9</v>
      </c>
      <c r="AE80" s="283">
        <f t="shared" si="115"/>
        <v>19.869999999999997</v>
      </c>
      <c r="AJ80" s="281">
        <f t="shared" si="116"/>
        <v>0</v>
      </c>
      <c r="AK80" s="282">
        <f t="shared" si="117"/>
        <v>0</v>
      </c>
      <c r="AL80" s="282">
        <f t="shared" si="118"/>
        <v>1.6099999999999999</v>
      </c>
      <c r="AM80" s="283">
        <f t="shared" si="119"/>
        <v>15.129999999999999</v>
      </c>
      <c r="AN80" s="281">
        <f t="shared" si="120"/>
        <v>0</v>
      </c>
      <c r="AO80" s="282">
        <f t="shared" si="121"/>
        <v>0</v>
      </c>
      <c r="AP80" s="282">
        <f t="shared" si="122"/>
        <v>5.45</v>
      </c>
      <c r="AQ80" s="283">
        <f t="shared" si="123"/>
        <v>15.870000000000001</v>
      </c>
      <c r="AR80" s="281">
        <f t="shared" si="124"/>
        <v>0</v>
      </c>
      <c r="AS80" s="282">
        <f t="shared" si="125"/>
        <v>0</v>
      </c>
      <c r="AT80" s="282">
        <f t="shared" si="126"/>
        <v>4.17</v>
      </c>
      <c r="AU80" s="283"/>
      <c r="AZ80" s="281">
        <f t="shared" si="127"/>
        <v>0</v>
      </c>
      <c r="BA80" s="282">
        <f t="shared" si="128"/>
        <v>0</v>
      </c>
      <c r="BB80" s="282">
        <f t="shared" si="129"/>
        <v>4.0999999999999996</v>
      </c>
      <c r="BC80" s="283"/>
      <c r="BD80" s="281">
        <f t="shared" si="130"/>
        <v>0</v>
      </c>
      <c r="BE80" s="282">
        <f t="shared" si="131"/>
        <v>0</v>
      </c>
      <c r="BF80" s="282">
        <f t="shared" si="132"/>
        <v>15.54</v>
      </c>
      <c r="BG80" s="283"/>
      <c r="BH80" s="281">
        <f t="shared" si="133"/>
        <v>0</v>
      </c>
      <c r="BI80" s="282">
        <f t="shared" si="134"/>
        <v>0</v>
      </c>
      <c r="BJ80" s="282">
        <f t="shared" si="135"/>
        <v>2.2400000000000002</v>
      </c>
      <c r="BK80" s="283"/>
      <c r="BQ80" s="281">
        <f t="shared" si="136"/>
        <v>0</v>
      </c>
      <c r="BR80" s="282">
        <f t="shared" si="137"/>
        <v>4.26</v>
      </c>
      <c r="BS80" s="283">
        <f t="shared" si="138"/>
        <v>42.809999999999995</v>
      </c>
      <c r="BT80" s="281">
        <f t="shared" si="139"/>
        <v>0</v>
      </c>
      <c r="BU80" s="281">
        <f t="shared" si="140"/>
        <v>6.51</v>
      </c>
      <c r="BV80" s="281">
        <f t="shared" si="141"/>
        <v>60.360000000000007</v>
      </c>
      <c r="BW80" s="281">
        <f t="shared" si="142"/>
        <v>0</v>
      </c>
      <c r="BX80" s="282">
        <f t="shared" si="143"/>
        <v>11.23</v>
      </c>
      <c r="BY80" s="283">
        <f t="shared" si="144"/>
        <v>19.77</v>
      </c>
      <c r="BZ80" s="281">
        <f t="shared" si="146"/>
        <v>0</v>
      </c>
      <c r="CA80" s="282">
        <f t="shared" si="147"/>
        <v>21.880000000000003</v>
      </c>
      <c r="CB80" s="283">
        <f t="shared" si="148"/>
        <v>-21.880000000000003</v>
      </c>
    </row>
    <row r="81" spans="1:97" x14ac:dyDescent="0.25">
      <c r="A81" s="521"/>
      <c r="B81" s="55">
        <v>31</v>
      </c>
      <c r="C81" s="134">
        <v>34.08</v>
      </c>
      <c r="D81" s="281">
        <f t="shared" si="92"/>
        <v>0</v>
      </c>
      <c r="E81" s="282">
        <f t="shared" si="93"/>
        <v>0</v>
      </c>
      <c r="F81" s="282">
        <f t="shared" si="94"/>
        <v>0</v>
      </c>
      <c r="G81" s="283">
        <f t="shared" si="95"/>
        <v>17.89</v>
      </c>
      <c r="H81" s="281">
        <f t="shared" si="96"/>
        <v>0</v>
      </c>
      <c r="I81" s="282">
        <f t="shared" si="97"/>
        <v>0</v>
      </c>
      <c r="J81" s="282">
        <f t="shared" si="98"/>
        <v>0.95</v>
      </c>
      <c r="K81" s="283">
        <f t="shared" si="99"/>
        <v>13.149999999999999</v>
      </c>
      <c r="L81" s="281">
        <f t="shared" si="100"/>
        <v>0</v>
      </c>
      <c r="M81" s="282">
        <f t="shared" si="101"/>
        <v>0</v>
      </c>
      <c r="N81" s="282">
        <f t="shared" si="102"/>
        <v>1.62</v>
      </c>
      <c r="O81" s="283">
        <f t="shared" si="103"/>
        <v>13.65</v>
      </c>
      <c r="T81" s="281">
        <f t="shared" si="104"/>
        <v>0</v>
      </c>
      <c r="U81" s="282">
        <f t="shared" si="105"/>
        <v>0</v>
      </c>
      <c r="V81" s="282">
        <f t="shared" si="106"/>
        <v>1.5329999999999999</v>
      </c>
      <c r="W81" s="283">
        <f t="shared" si="107"/>
        <v>19.29</v>
      </c>
      <c r="X81" s="281">
        <f t="shared" si="108"/>
        <v>0</v>
      </c>
      <c r="Y81" s="282">
        <f t="shared" si="109"/>
        <v>0</v>
      </c>
      <c r="Z81" s="282">
        <f t="shared" si="110"/>
        <v>2.71</v>
      </c>
      <c r="AA81" s="283">
        <f t="shared" si="111"/>
        <v>29.76</v>
      </c>
      <c r="AB81" s="281">
        <f t="shared" si="112"/>
        <v>0</v>
      </c>
      <c r="AC81" s="282">
        <f t="shared" si="113"/>
        <v>0</v>
      </c>
      <c r="AD81" s="282">
        <f t="shared" si="114"/>
        <v>1.88</v>
      </c>
      <c r="AE81" s="283">
        <f t="shared" si="115"/>
        <v>16.940000000000001</v>
      </c>
      <c r="AJ81" s="281">
        <f t="shared" si="116"/>
        <v>0</v>
      </c>
      <c r="AK81" s="282">
        <f t="shared" si="117"/>
        <v>0</v>
      </c>
      <c r="AL81" s="282">
        <f t="shared" si="118"/>
        <v>2.77</v>
      </c>
      <c r="AM81" s="283">
        <f t="shared" si="119"/>
        <v>16.240000000000002</v>
      </c>
      <c r="AN81" s="281">
        <f t="shared" si="120"/>
        <v>0</v>
      </c>
      <c r="AO81" s="282">
        <f t="shared" si="121"/>
        <v>0</v>
      </c>
      <c r="AP81" s="282">
        <f t="shared" si="122"/>
        <v>8.5399999999999991</v>
      </c>
      <c r="AQ81" s="283">
        <f t="shared" si="123"/>
        <v>17.2</v>
      </c>
      <c r="AR81" s="281">
        <f t="shared" si="124"/>
        <v>0</v>
      </c>
      <c r="AS81" s="282">
        <f t="shared" si="125"/>
        <v>0</v>
      </c>
      <c r="AT81" s="282">
        <f t="shared" si="126"/>
        <v>5.76</v>
      </c>
      <c r="AU81" s="283"/>
      <c r="AZ81" s="281">
        <f t="shared" si="127"/>
        <v>0</v>
      </c>
      <c r="BA81" s="282">
        <f t="shared" si="128"/>
        <v>0</v>
      </c>
      <c r="BB81" s="282">
        <f t="shared" si="129"/>
        <v>7.72</v>
      </c>
      <c r="BC81" s="283"/>
      <c r="BD81" s="281">
        <f t="shared" si="130"/>
        <v>0</v>
      </c>
      <c r="BE81" s="282">
        <f t="shared" si="131"/>
        <v>0</v>
      </c>
      <c r="BF81" s="282">
        <f t="shared" si="132"/>
        <v>14.52</v>
      </c>
      <c r="BG81" s="283"/>
      <c r="BH81" s="281">
        <f t="shared" si="133"/>
        <v>0</v>
      </c>
      <c r="BI81" s="282">
        <f t="shared" si="134"/>
        <v>0</v>
      </c>
      <c r="BJ81" s="282">
        <f t="shared" si="135"/>
        <v>3.33</v>
      </c>
      <c r="BK81" s="283"/>
      <c r="BQ81" s="281">
        <f t="shared" si="136"/>
        <v>0</v>
      </c>
      <c r="BR81" s="282">
        <f t="shared" si="137"/>
        <v>2.5700000000000003</v>
      </c>
      <c r="BS81" s="283">
        <f t="shared" si="138"/>
        <v>42.12</v>
      </c>
      <c r="BT81" s="281">
        <f t="shared" si="139"/>
        <v>0</v>
      </c>
      <c r="BU81" s="281">
        <f t="shared" si="140"/>
        <v>6.1230000000000002</v>
      </c>
      <c r="BV81" s="281">
        <f t="shared" si="141"/>
        <v>59.866999999999997</v>
      </c>
      <c r="BW81" s="281">
        <f t="shared" si="142"/>
        <v>0</v>
      </c>
      <c r="BX81" s="282">
        <f t="shared" si="143"/>
        <v>17.07</v>
      </c>
      <c r="BY81" s="283">
        <f t="shared" si="144"/>
        <v>16.369999999999997</v>
      </c>
      <c r="BZ81" s="281">
        <f t="shared" si="146"/>
        <v>0</v>
      </c>
      <c r="CA81" s="282">
        <f t="shared" si="147"/>
        <v>25.57</v>
      </c>
      <c r="CB81" s="283">
        <f t="shared" si="148"/>
        <v>-25.57</v>
      </c>
    </row>
    <row r="82" spans="1:97" ht="15.75" thickBot="1" x14ac:dyDescent="0.3">
      <c r="A82" s="522"/>
      <c r="B82" s="103">
        <v>32</v>
      </c>
      <c r="C82" s="138">
        <v>0</v>
      </c>
      <c r="D82" s="281">
        <f t="shared" si="92"/>
        <v>0</v>
      </c>
      <c r="E82" s="282">
        <f t="shared" si="93"/>
        <v>0</v>
      </c>
      <c r="F82" s="282">
        <f t="shared" si="94"/>
        <v>0</v>
      </c>
      <c r="G82" s="283">
        <f t="shared" si="95"/>
        <v>0</v>
      </c>
      <c r="H82" s="281">
        <f t="shared" si="96"/>
        <v>0</v>
      </c>
      <c r="I82" s="282">
        <f t="shared" si="97"/>
        <v>0</v>
      </c>
      <c r="J82" s="282">
        <f t="shared" si="98"/>
        <v>0</v>
      </c>
      <c r="K82" s="283">
        <f t="shared" si="99"/>
        <v>0</v>
      </c>
      <c r="L82" s="281">
        <f t="shared" si="100"/>
        <v>0</v>
      </c>
      <c r="M82" s="282">
        <f t="shared" si="101"/>
        <v>0</v>
      </c>
      <c r="N82" s="282">
        <f t="shared" si="102"/>
        <v>0</v>
      </c>
      <c r="O82" s="283">
        <f t="shared" si="103"/>
        <v>0</v>
      </c>
      <c r="T82" s="281">
        <f t="shared" si="104"/>
        <v>0</v>
      </c>
      <c r="U82" s="282">
        <f t="shared" si="105"/>
        <v>0</v>
      </c>
      <c r="V82" s="282">
        <f t="shared" si="106"/>
        <v>0</v>
      </c>
      <c r="W82" s="283">
        <f t="shared" si="107"/>
        <v>0</v>
      </c>
      <c r="X82" s="281">
        <f t="shared" si="108"/>
        <v>0</v>
      </c>
      <c r="Y82" s="282">
        <f t="shared" si="109"/>
        <v>0</v>
      </c>
      <c r="Z82" s="282">
        <f t="shared" si="110"/>
        <v>0</v>
      </c>
      <c r="AA82" s="283">
        <f t="shared" si="111"/>
        <v>0</v>
      </c>
      <c r="AB82" s="281">
        <f t="shared" si="112"/>
        <v>0</v>
      </c>
      <c r="AC82" s="282">
        <f t="shared" si="113"/>
        <v>0</v>
      </c>
      <c r="AD82" s="282">
        <f t="shared" si="114"/>
        <v>0</v>
      </c>
      <c r="AE82" s="283">
        <f t="shared" si="115"/>
        <v>0</v>
      </c>
      <c r="AJ82" s="281">
        <f t="shared" si="116"/>
        <v>0</v>
      </c>
      <c r="AK82" s="282">
        <f t="shared" si="117"/>
        <v>0</v>
      </c>
      <c r="AL82" s="282">
        <f t="shared" si="118"/>
        <v>0</v>
      </c>
      <c r="AM82" s="283">
        <f t="shared" si="119"/>
        <v>0</v>
      </c>
      <c r="AN82" s="281">
        <f t="shared" si="120"/>
        <v>0</v>
      </c>
      <c r="AO82" s="282">
        <f t="shared" si="121"/>
        <v>0</v>
      </c>
      <c r="AP82" s="282">
        <f t="shared" si="122"/>
        <v>0</v>
      </c>
      <c r="AQ82" s="283">
        <f t="shared" si="123"/>
        <v>0</v>
      </c>
      <c r="AR82" s="281">
        <f t="shared" si="124"/>
        <v>0</v>
      </c>
      <c r="AS82" s="282">
        <f t="shared" si="125"/>
        <v>0</v>
      </c>
      <c r="AT82" s="282">
        <f t="shared" si="126"/>
        <v>0</v>
      </c>
      <c r="AU82" s="283"/>
      <c r="AZ82" s="281">
        <f t="shared" si="127"/>
        <v>0</v>
      </c>
      <c r="BA82" s="282">
        <f t="shared" si="128"/>
        <v>0</v>
      </c>
      <c r="BB82" s="282">
        <f t="shared" si="129"/>
        <v>0</v>
      </c>
      <c r="BC82" s="283"/>
      <c r="BD82" s="281">
        <f t="shared" si="130"/>
        <v>0</v>
      </c>
      <c r="BE82" s="282">
        <f t="shared" si="131"/>
        <v>0</v>
      </c>
      <c r="BF82" s="282">
        <f t="shared" si="132"/>
        <v>0</v>
      </c>
      <c r="BG82" s="283"/>
      <c r="BH82" s="281">
        <f t="shared" si="133"/>
        <v>0</v>
      </c>
      <c r="BI82" s="282">
        <f t="shared" si="134"/>
        <v>0</v>
      </c>
      <c r="BJ82" s="282">
        <f t="shared" si="135"/>
        <v>0</v>
      </c>
      <c r="BK82" s="283"/>
      <c r="BQ82" s="281">
        <f t="shared" si="136"/>
        <v>0</v>
      </c>
      <c r="BR82" s="282">
        <f t="shared" si="137"/>
        <v>0</v>
      </c>
      <c r="BS82" s="283">
        <f t="shared" si="138"/>
        <v>0</v>
      </c>
      <c r="BT82" s="281">
        <f t="shared" si="139"/>
        <v>0</v>
      </c>
      <c r="BU82" s="281">
        <f t="shared" si="140"/>
        <v>0</v>
      </c>
      <c r="BV82" s="281">
        <f t="shared" si="141"/>
        <v>0</v>
      </c>
      <c r="BW82" s="281">
        <f t="shared" si="142"/>
        <v>0</v>
      </c>
      <c r="BX82" s="282">
        <f t="shared" si="143"/>
        <v>0</v>
      </c>
      <c r="BY82" s="283">
        <f t="shared" si="144"/>
        <v>0</v>
      </c>
      <c r="BZ82" s="281">
        <f t="shared" si="146"/>
        <v>0</v>
      </c>
      <c r="CA82" s="282">
        <f t="shared" si="147"/>
        <v>0</v>
      </c>
      <c r="CB82" s="283">
        <f t="shared" si="148"/>
        <v>0</v>
      </c>
    </row>
    <row r="83" spans="1:97" x14ac:dyDescent="0.25">
      <c r="A83" s="520" t="s">
        <v>31</v>
      </c>
      <c r="B83" s="23" t="s">
        <v>32</v>
      </c>
      <c r="C83" s="24">
        <v>28.72</v>
      </c>
      <c r="D83" s="281">
        <f t="shared" si="92"/>
        <v>4.3999999999999995</v>
      </c>
      <c r="E83" s="282">
        <f t="shared" si="93"/>
        <v>19.55</v>
      </c>
      <c r="F83" s="282">
        <f t="shared" si="94"/>
        <v>20.66</v>
      </c>
      <c r="G83" s="283">
        <f t="shared" si="95"/>
        <v>31.42</v>
      </c>
      <c r="H83" s="281">
        <f t="shared" si="96"/>
        <v>5.31</v>
      </c>
      <c r="I83" s="282">
        <f t="shared" si="97"/>
        <v>19.47</v>
      </c>
      <c r="J83" s="282">
        <f t="shared" si="98"/>
        <v>15.18</v>
      </c>
      <c r="K83" s="283">
        <f t="shared" si="99"/>
        <v>29.16</v>
      </c>
      <c r="L83" s="281">
        <f t="shared" si="100"/>
        <v>7.9</v>
      </c>
      <c r="M83" s="282">
        <f t="shared" si="101"/>
        <v>11.94</v>
      </c>
      <c r="N83" s="282">
        <f t="shared" si="102"/>
        <v>13.39</v>
      </c>
      <c r="O83" s="283">
        <f t="shared" si="103"/>
        <v>37.549999999999997</v>
      </c>
      <c r="T83" s="281">
        <f t="shared" si="104"/>
        <v>3.74</v>
      </c>
      <c r="U83" s="282">
        <f t="shared" si="105"/>
        <v>31.75</v>
      </c>
      <c r="V83" s="282">
        <f t="shared" si="106"/>
        <v>23.73</v>
      </c>
      <c r="W83" s="283">
        <f t="shared" si="107"/>
        <v>33.54</v>
      </c>
      <c r="X83" s="281">
        <f t="shared" si="108"/>
        <v>16.18</v>
      </c>
      <c r="Y83" s="282">
        <f t="shared" si="109"/>
        <v>19.45</v>
      </c>
      <c r="Z83" s="282">
        <f t="shared" si="110"/>
        <v>25.97</v>
      </c>
      <c r="AA83" s="283">
        <f t="shared" si="111"/>
        <v>50.2</v>
      </c>
      <c r="AB83" s="281">
        <f t="shared" si="112"/>
        <v>22.7</v>
      </c>
      <c r="AC83" s="282">
        <f t="shared" si="113"/>
        <v>34.459999999999994</v>
      </c>
      <c r="AD83" s="282">
        <f t="shared" si="114"/>
        <v>30.17</v>
      </c>
      <c r="AE83" s="283">
        <f t="shared" si="115"/>
        <v>27.13</v>
      </c>
      <c r="AJ83" s="281">
        <f t="shared" si="116"/>
        <v>18.490000000000002</v>
      </c>
      <c r="AK83" s="282">
        <f t="shared" si="117"/>
        <v>21.82</v>
      </c>
      <c r="AL83" s="282">
        <f t="shared" si="118"/>
        <v>23.78</v>
      </c>
      <c r="AM83" s="283">
        <f t="shared" si="119"/>
        <v>34.340000000000003</v>
      </c>
      <c r="AN83" s="281">
        <f t="shared" si="120"/>
        <v>17.68</v>
      </c>
      <c r="AO83" s="282">
        <f t="shared" si="121"/>
        <v>36.22</v>
      </c>
      <c r="AP83" s="282">
        <f t="shared" si="122"/>
        <v>37.86</v>
      </c>
      <c r="AQ83" s="283">
        <f t="shared" si="123"/>
        <v>33.130000000000003</v>
      </c>
      <c r="AR83" s="281">
        <f t="shared" si="124"/>
        <v>21.689999999999998</v>
      </c>
      <c r="AS83" s="282">
        <f t="shared" si="125"/>
        <v>26.79</v>
      </c>
      <c r="AT83" s="282">
        <f t="shared" si="126"/>
        <v>45.85</v>
      </c>
      <c r="AU83" s="283"/>
      <c r="AZ83" s="281">
        <f t="shared" si="127"/>
        <v>33.19</v>
      </c>
      <c r="BA83" s="282">
        <f t="shared" si="128"/>
        <v>33.31</v>
      </c>
      <c r="BB83" s="282">
        <f t="shared" si="129"/>
        <v>47.75</v>
      </c>
      <c r="BC83" s="283"/>
      <c r="BD83" s="281">
        <f t="shared" si="130"/>
        <v>20.69</v>
      </c>
      <c r="BE83" s="282">
        <f t="shared" si="131"/>
        <v>35.339999999999996</v>
      </c>
      <c r="BF83" s="282">
        <f t="shared" si="132"/>
        <v>44.07</v>
      </c>
      <c r="BG83" s="283"/>
      <c r="BH83" s="281">
        <f t="shared" si="133"/>
        <v>20.84</v>
      </c>
      <c r="BI83" s="282">
        <f t="shared" si="134"/>
        <v>25.19</v>
      </c>
      <c r="BJ83" s="282">
        <f t="shared" si="135"/>
        <v>30.79</v>
      </c>
      <c r="BK83" s="283"/>
      <c r="BQ83" s="281">
        <f t="shared" si="136"/>
        <v>33.349999999999994</v>
      </c>
      <c r="BR83" s="282">
        <f t="shared" si="137"/>
        <v>-1.7299999999999898</v>
      </c>
      <c r="BS83" s="283">
        <f t="shared" si="138"/>
        <v>48.899999999999991</v>
      </c>
      <c r="BT83" s="281">
        <f t="shared" si="139"/>
        <v>43.039999999999992</v>
      </c>
      <c r="BU83" s="281">
        <f t="shared" si="140"/>
        <v>-5.789999999999992</v>
      </c>
      <c r="BV83" s="281">
        <f t="shared" si="141"/>
        <v>31</v>
      </c>
      <c r="BW83" s="281">
        <f t="shared" si="142"/>
        <v>26.97</v>
      </c>
      <c r="BX83" s="282">
        <f t="shared" si="143"/>
        <v>22.660000000000011</v>
      </c>
      <c r="BY83" s="283">
        <f t="shared" si="144"/>
        <v>-40.02000000000001</v>
      </c>
      <c r="BZ83" s="281">
        <f t="shared" si="146"/>
        <v>19.120000000000005</v>
      </c>
      <c r="CA83" s="282">
        <f t="shared" si="147"/>
        <v>28.769999999999982</v>
      </c>
      <c r="CB83" s="283">
        <f t="shared" si="148"/>
        <v>-122.60999999999999</v>
      </c>
    </row>
    <row r="84" spans="1:97" ht="15.75" thickBot="1" x14ac:dyDescent="0.3">
      <c r="A84" s="522"/>
      <c r="B84" s="103">
        <v>39</v>
      </c>
      <c r="C84" s="90">
        <v>4.5</v>
      </c>
      <c r="D84" s="281">
        <f t="shared" si="92"/>
        <v>2.19</v>
      </c>
      <c r="E84" s="282">
        <f t="shared" si="93"/>
        <v>2.0499999999999998</v>
      </c>
      <c r="F84" s="282">
        <f t="shared" si="94"/>
        <v>2.9699999999999998</v>
      </c>
      <c r="G84" s="283">
        <f t="shared" si="95"/>
        <v>2.2599999999999998</v>
      </c>
      <c r="H84" s="281">
        <f t="shared" si="96"/>
        <v>0.74</v>
      </c>
      <c r="I84" s="282">
        <f t="shared" si="97"/>
        <v>0</v>
      </c>
      <c r="J84" s="282">
        <f t="shared" si="98"/>
        <v>0</v>
      </c>
      <c r="K84" s="283">
        <f t="shared" si="99"/>
        <v>3.29</v>
      </c>
      <c r="L84" s="281">
        <f t="shared" si="100"/>
        <v>0</v>
      </c>
      <c r="M84" s="282">
        <f t="shared" si="101"/>
        <v>0</v>
      </c>
      <c r="N84" s="282">
        <f t="shared" si="102"/>
        <v>2.21</v>
      </c>
      <c r="O84" s="283">
        <f t="shared" si="103"/>
        <v>2.25</v>
      </c>
      <c r="T84" s="281">
        <f t="shared" si="104"/>
        <v>0</v>
      </c>
      <c r="U84" s="282">
        <f t="shared" si="105"/>
        <v>0.98</v>
      </c>
      <c r="V84" s="282">
        <f t="shared" si="106"/>
        <v>1.5</v>
      </c>
      <c r="W84" s="283">
        <f t="shared" si="107"/>
        <v>2.7199999999999998</v>
      </c>
      <c r="X84" s="281">
        <f t="shared" si="108"/>
        <v>2.25</v>
      </c>
      <c r="Y84" s="282">
        <f t="shared" si="109"/>
        <v>1.2</v>
      </c>
      <c r="Z84" s="282">
        <f t="shared" si="110"/>
        <v>2.08</v>
      </c>
      <c r="AA84" s="283">
        <f t="shared" si="111"/>
        <v>2.0299999999999998</v>
      </c>
      <c r="AB84" s="281">
        <f t="shared" si="112"/>
        <v>1.4</v>
      </c>
      <c r="AC84" s="282">
        <f t="shared" si="113"/>
        <v>0.7</v>
      </c>
      <c r="AD84" s="282">
        <f t="shared" si="114"/>
        <v>2.04</v>
      </c>
      <c r="AE84" s="283">
        <f t="shared" si="115"/>
        <v>1.56</v>
      </c>
      <c r="AJ84" s="281">
        <f t="shared" si="116"/>
        <v>1.49</v>
      </c>
      <c r="AK84" s="282">
        <f t="shared" si="117"/>
        <v>1.5</v>
      </c>
      <c r="AL84" s="282">
        <f t="shared" si="118"/>
        <v>1.9</v>
      </c>
      <c r="AM84" s="283">
        <f t="shared" si="119"/>
        <v>3.38</v>
      </c>
      <c r="AN84" s="281">
        <f t="shared" si="120"/>
        <v>1.79</v>
      </c>
      <c r="AO84" s="282">
        <f t="shared" si="121"/>
        <v>1.7000000000000002</v>
      </c>
      <c r="AP84" s="282">
        <f t="shared" si="122"/>
        <v>3.4</v>
      </c>
      <c r="AQ84" s="283">
        <f t="shared" si="123"/>
        <v>4.46</v>
      </c>
      <c r="AR84" s="281">
        <f t="shared" si="124"/>
        <v>0</v>
      </c>
      <c r="AS84" s="282">
        <f t="shared" si="125"/>
        <v>1.92</v>
      </c>
      <c r="AT84" s="282">
        <f t="shared" si="126"/>
        <v>4.6899999999999995</v>
      </c>
      <c r="AU84" s="283"/>
      <c r="AZ84" s="281">
        <f t="shared" si="127"/>
        <v>1.5</v>
      </c>
      <c r="BA84" s="282">
        <f t="shared" si="128"/>
        <v>1.32</v>
      </c>
      <c r="BB84" s="282">
        <f t="shared" si="129"/>
        <v>1.93</v>
      </c>
      <c r="BC84" s="283"/>
      <c r="BD84" s="281">
        <f t="shared" si="130"/>
        <v>2.56</v>
      </c>
      <c r="BE84" s="282">
        <f t="shared" si="131"/>
        <v>2.91</v>
      </c>
      <c r="BF84" s="282">
        <f t="shared" si="132"/>
        <v>4.3100000000000005</v>
      </c>
      <c r="BG84" s="283"/>
      <c r="BH84" s="281">
        <f t="shared" si="133"/>
        <v>0</v>
      </c>
      <c r="BI84" s="282">
        <f t="shared" si="134"/>
        <v>3.0300000000000002</v>
      </c>
      <c r="BJ84" s="282">
        <f t="shared" si="135"/>
        <v>3.21</v>
      </c>
      <c r="BK84" s="283"/>
      <c r="BQ84" s="281">
        <f t="shared" si="136"/>
        <v>-0.87999999999999989</v>
      </c>
      <c r="BR84" s="282">
        <f t="shared" si="137"/>
        <v>3.13</v>
      </c>
      <c r="BS84" s="283">
        <f t="shared" si="138"/>
        <v>2.62</v>
      </c>
      <c r="BT84" s="281">
        <f t="shared" si="139"/>
        <v>-0.77</v>
      </c>
      <c r="BU84" s="281">
        <f t="shared" si="140"/>
        <v>2.74</v>
      </c>
      <c r="BV84" s="281">
        <f t="shared" si="141"/>
        <v>0.69000000000000039</v>
      </c>
      <c r="BW84" s="281">
        <f t="shared" si="142"/>
        <v>1.8399999999999999</v>
      </c>
      <c r="BX84" s="282">
        <f t="shared" si="143"/>
        <v>4.8699999999999983</v>
      </c>
      <c r="BY84" s="283">
        <f t="shared" si="144"/>
        <v>-2.1499999999999986</v>
      </c>
      <c r="BZ84" s="281">
        <f t="shared" si="146"/>
        <v>3.2</v>
      </c>
      <c r="CA84" s="282">
        <f t="shared" si="147"/>
        <v>2.1899999999999986</v>
      </c>
      <c r="CB84" s="283">
        <f t="shared" si="148"/>
        <v>-9.4499999999999993</v>
      </c>
    </row>
    <row r="85" spans="1:97" ht="16.5" thickBot="1" x14ac:dyDescent="0.3">
      <c r="A85" s="185" t="s">
        <v>6</v>
      </c>
      <c r="B85" s="186"/>
      <c r="C85" s="160">
        <f>SUM(C48:C59,C60:C66,C67:C71,C74:C81,C83:C84)</f>
        <v>1416.5100000000002</v>
      </c>
      <c r="D85" s="294">
        <f t="shared" ref="D85:O85" si="149">SUBTOTAL(9,D48:D84)</f>
        <v>1276.75</v>
      </c>
      <c r="E85" s="295">
        <f t="shared" si="149"/>
        <v>1450.9499999999996</v>
      </c>
      <c r="F85" s="295">
        <f t="shared" si="149"/>
        <v>1328.2100000000003</v>
      </c>
      <c r="G85" s="296">
        <f t="shared" si="149"/>
        <v>1367.55</v>
      </c>
      <c r="H85" s="294">
        <f t="shared" si="149"/>
        <v>822.8299999999997</v>
      </c>
      <c r="I85" s="295">
        <f t="shared" si="149"/>
        <v>1191.723</v>
      </c>
      <c r="J85" s="295">
        <f t="shared" si="149"/>
        <v>852.04</v>
      </c>
      <c r="K85" s="296">
        <f t="shared" si="149"/>
        <v>1527.92</v>
      </c>
      <c r="L85" s="294">
        <f t="shared" si="149"/>
        <v>1061.4500000000003</v>
      </c>
      <c r="M85" s="295">
        <f t="shared" si="149"/>
        <v>1334.4799999999998</v>
      </c>
      <c r="N85" s="295">
        <f t="shared" si="149"/>
        <v>655.97</v>
      </c>
      <c r="O85" s="296">
        <f t="shared" si="149"/>
        <v>1404.8000000000004</v>
      </c>
      <c r="T85" s="294">
        <f t="shared" ref="T85:AE85" si="150">SUBTOTAL(9,T48:T84)</f>
        <v>1274.5399999999995</v>
      </c>
      <c r="U85" s="295">
        <f t="shared" si="150"/>
        <v>1263.4800000000002</v>
      </c>
      <c r="V85" s="295">
        <f t="shared" si="150"/>
        <v>1064.0929999999998</v>
      </c>
      <c r="W85" s="296">
        <f t="shared" si="150"/>
        <v>1929.2300000000002</v>
      </c>
      <c r="X85" s="294">
        <f t="shared" si="150"/>
        <v>1496.1400000000003</v>
      </c>
      <c r="Y85" s="295">
        <f t="shared" si="150"/>
        <v>1400.8300000000002</v>
      </c>
      <c r="Z85" s="295">
        <f t="shared" si="150"/>
        <v>1352.6299999999999</v>
      </c>
      <c r="AA85" s="296">
        <f t="shared" si="150"/>
        <v>1739.06</v>
      </c>
      <c r="AB85" s="294">
        <f t="shared" si="150"/>
        <v>1363.34</v>
      </c>
      <c r="AC85" s="295">
        <f t="shared" si="150"/>
        <v>1424.1000000000004</v>
      </c>
      <c r="AD85" s="295">
        <f t="shared" si="150"/>
        <v>1285.9600000000003</v>
      </c>
      <c r="AE85" s="296">
        <f t="shared" si="150"/>
        <v>1554.2800000000004</v>
      </c>
      <c r="AJ85" s="294">
        <f t="shared" ref="AJ85:AU85" si="151">SUBTOTAL(9,AJ48:AJ84)</f>
        <v>1483.8200000000002</v>
      </c>
      <c r="AK85" s="295">
        <f t="shared" si="151"/>
        <v>1582.2499999999998</v>
      </c>
      <c r="AL85" s="295">
        <f t="shared" si="151"/>
        <v>1537.55</v>
      </c>
      <c r="AM85" s="296">
        <f t="shared" si="151"/>
        <v>1571.88</v>
      </c>
      <c r="AN85" s="294">
        <f t="shared" si="151"/>
        <v>1896.38</v>
      </c>
      <c r="AO85" s="295">
        <f t="shared" si="151"/>
        <v>1658.3699999999997</v>
      </c>
      <c r="AP85" s="295">
        <f t="shared" si="151"/>
        <v>2136.8200000000002</v>
      </c>
      <c r="AQ85" s="296">
        <f t="shared" si="151"/>
        <v>1751.82</v>
      </c>
      <c r="AR85" s="294">
        <f t="shared" si="151"/>
        <v>1883.4599999999998</v>
      </c>
      <c r="AS85" s="295">
        <f t="shared" si="151"/>
        <v>1806.9199999999998</v>
      </c>
      <c r="AT85" s="295">
        <f t="shared" si="151"/>
        <v>2341.7800000000002</v>
      </c>
      <c r="AU85" s="296">
        <f t="shared" si="151"/>
        <v>0</v>
      </c>
      <c r="AZ85" s="294">
        <f t="shared" ref="AZ85:BK85" si="152">SUBTOTAL(9,AZ48:AZ84)</f>
        <v>2346.5000000000009</v>
      </c>
      <c r="BA85" s="295">
        <f t="shared" si="152"/>
        <v>1966.14</v>
      </c>
      <c r="BB85" s="295">
        <f t="shared" si="152"/>
        <v>2640.7299999999991</v>
      </c>
      <c r="BC85" s="296">
        <f t="shared" si="152"/>
        <v>0</v>
      </c>
      <c r="BD85" s="294">
        <f t="shared" si="152"/>
        <v>1936.1800000000003</v>
      </c>
      <c r="BE85" s="295">
        <f t="shared" si="152"/>
        <v>1803.11</v>
      </c>
      <c r="BF85" s="295">
        <f t="shared" si="152"/>
        <v>2304.94</v>
      </c>
      <c r="BG85" s="296">
        <f t="shared" si="152"/>
        <v>0</v>
      </c>
      <c r="BH85" s="294">
        <f t="shared" si="152"/>
        <v>1991.0399999999997</v>
      </c>
      <c r="BI85" s="295">
        <f t="shared" si="152"/>
        <v>1545.4199999999998</v>
      </c>
      <c r="BJ85" s="295">
        <f t="shared" si="152"/>
        <v>1989.4299999999998</v>
      </c>
      <c r="BK85" s="296">
        <f t="shared" si="152"/>
        <v>0</v>
      </c>
      <c r="BQ85" s="294">
        <f t="shared" si="136"/>
        <v>816.12299999999914</v>
      </c>
      <c r="BR85" s="295">
        <f t="shared" si="137"/>
        <v>-1140.9329999999991</v>
      </c>
      <c r="BS85" s="296">
        <f t="shared" si="138"/>
        <v>1464.0500000000002</v>
      </c>
      <c r="BT85" s="294">
        <f t="shared" si="139"/>
        <v>-45.609999999998763</v>
      </c>
      <c r="BU85" s="295">
        <f t="shared" si="140"/>
        <v>-385.72700000000077</v>
      </c>
      <c r="BV85" s="296">
        <f t="shared" si="141"/>
        <v>1519.8870000000006</v>
      </c>
      <c r="BW85" s="294">
        <f t="shared" si="142"/>
        <v>-216.1200000000008</v>
      </c>
      <c r="BX85" s="295">
        <f t="shared" si="143"/>
        <v>968.61000000000058</v>
      </c>
      <c r="BY85" s="296">
        <f t="shared" si="144"/>
        <v>-2692.45</v>
      </c>
      <c r="BZ85" s="294">
        <f t="shared" si="146"/>
        <v>-959.05000000000109</v>
      </c>
      <c r="CA85" s="295">
        <f t="shared" si="147"/>
        <v>1620.4299999999985</v>
      </c>
      <c r="CB85" s="296">
        <f t="shared" si="148"/>
        <v>-6935.0999999999985</v>
      </c>
    </row>
    <row r="87" spans="1:97" ht="15.75" thickBot="1" x14ac:dyDescent="0.3"/>
    <row r="88" spans="1:97" ht="15.75" thickBot="1" x14ac:dyDescent="0.3">
      <c r="CD88" s="529" t="s">
        <v>60</v>
      </c>
      <c r="CE88" s="530"/>
      <c r="CF88" s="530"/>
      <c r="CG88" s="531"/>
      <c r="CH88" s="529" t="s">
        <v>57</v>
      </c>
      <c r="CI88" s="530"/>
      <c r="CJ88" s="530"/>
      <c r="CK88" s="531"/>
      <c r="CL88" s="529" t="s">
        <v>54</v>
      </c>
      <c r="CM88" s="530"/>
      <c r="CN88" s="530"/>
      <c r="CO88" s="531"/>
      <c r="CP88" s="529" t="s">
        <v>51</v>
      </c>
      <c r="CQ88" s="530"/>
      <c r="CR88" s="530"/>
      <c r="CS88" s="531"/>
    </row>
    <row r="89" spans="1:97" ht="15" customHeight="1" x14ac:dyDescent="0.25">
      <c r="A89" s="523" t="s">
        <v>3</v>
      </c>
      <c r="B89" s="524"/>
      <c r="C89" s="527" t="s">
        <v>4</v>
      </c>
      <c r="D89" s="498" t="s">
        <v>37</v>
      </c>
      <c r="E89" s="499"/>
      <c r="F89" s="499"/>
      <c r="G89" s="500"/>
      <c r="H89" s="498" t="s">
        <v>38</v>
      </c>
      <c r="I89" s="499"/>
      <c r="J89" s="499"/>
      <c r="K89" s="500"/>
      <c r="L89" s="498" t="s">
        <v>39</v>
      </c>
      <c r="M89" s="499"/>
      <c r="N89" s="499"/>
      <c r="O89" s="500"/>
      <c r="T89" s="498" t="s">
        <v>40</v>
      </c>
      <c r="U89" s="499"/>
      <c r="V89" s="499"/>
      <c r="W89" s="500"/>
      <c r="X89" s="498" t="s">
        <v>11</v>
      </c>
      <c r="Y89" s="499"/>
      <c r="Z89" s="499"/>
      <c r="AA89" s="500"/>
      <c r="AB89" s="498" t="s">
        <v>41</v>
      </c>
      <c r="AC89" s="499"/>
      <c r="AD89" s="499"/>
      <c r="AE89" s="500"/>
      <c r="AJ89" s="498" t="s">
        <v>42</v>
      </c>
      <c r="AK89" s="499"/>
      <c r="AL89" s="499"/>
      <c r="AM89" s="500"/>
      <c r="AN89" s="498" t="s">
        <v>43</v>
      </c>
      <c r="AO89" s="499"/>
      <c r="AP89" s="499"/>
      <c r="AQ89" s="500"/>
      <c r="AR89" s="498" t="s">
        <v>44</v>
      </c>
      <c r="AS89" s="499"/>
      <c r="AT89" s="499"/>
      <c r="AU89" s="500"/>
      <c r="AZ89" s="498" t="s">
        <v>45</v>
      </c>
      <c r="BA89" s="499"/>
      <c r="BB89" s="499"/>
      <c r="BC89" s="500"/>
      <c r="BD89" s="498" t="s">
        <v>46</v>
      </c>
      <c r="BE89" s="499"/>
      <c r="BF89" s="499"/>
      <c r="BG89" s="500"/>
      <c r="BH89" s="498" t="s">
        <v>47</v>
      </c>
      <c r="BI89" s="499"/>
      <c r="BJ89" s="499"/>
      <c r="BK89" s="500"/>
      <c r="CD89" s="532"/>
      <c r="CE89" s="533"/>
      <c r="CF89" s="533"/>
      <c r="CG89" s="534"/>
      <c r="CH89" s="532"/>
      <c r="CI89" s="533"/>
      <c r="CJ89" s="533"/>
      <c r="CK89" s="534"/>
      <c r="CL89" s="532"/>
      <c r="CM89" s="533"/>
      <c r="CN89" s="533"/>
      <c r="CO89" s="534"/>
      <c r="CP89" s="532"/>
      <c r="CQ89" s="533"/>
      <c r="CR89" s="533"/>
      <c r="CS89" s="534"/>
    </row>
    <row r="90" spans="1:97" ht="15.75" thickBot="1" x14ac:dyDescent="0.3">
      <c r="A90" s="525"/>
      <c r="B90" s="526"/>
      <c r="C90" s="528"/>
      <c r="D90" s="288">
        <v>2022</v>
      </c>
      <c r="E90" s="289">
        <v>2023</v>
      </c>
      <c r="F90" s="289">
        <v>2024</v>
      </c>
      <c r="G90" s="290">
        <v>2025</v>
      </c>
      <c r="H90" s="288">
        <v>2022</v>
      </c>
      <c r="I90" s="289">
        <v>2023</v>
      </c>
      <c r="J90" s="289">
        <v>2024</v>
      </c>
      <c r="K90" s="290">
        <v>2025</v>
      </c>
      <c r="L90" s="288">
        <v>2022</v>
      </c>
      <c r="M90" s="289">
        <v>2023</v>
      </c>
      <c r="N90" s="289">
        <v>2024</v>
      </c>
      <c r="O90" s="290">
        <v>2025</v>
      </c>
      <c r="T90" s="288">
        <v>2022</v>
      </c>
      <c r="U90" s="289">
        <v>2023</v>
      </c>
      <c r="V90" s="289">
        <v>2024</v>
      </c>
      <c r="W90" s="290">
        <v>2025</v>
      </c>
      <c r="X90" s="288">
        <v>2022</v>
      </c>
      <c r="Y90" s="289">
        <v>2023</v>
      </c>
      <c r="Z90" s="289">
        <v>2024</v>
      </c>
      <c r="AA90" s="290">
        <v>2025</v>
      </c>
      <c r="AB90" s="288">
        <v>2022</v>
      </c>
      <c r="AC90" s="289">
        <v>2023</v>
      </c>
      <c r="AD90" s="289">
        <v>2024</v>
      </c>
      <c r="AE90" s="290">
        <v>2025</v>
      </c>
      <c r="AJ90" s="288">
        <v>2022</v>
      </c>
      <c r="AK90" s="289">
        <v>2023</v>
      </c>
      <c r="AL90" s="289">
        <v>2024</v>
      </c>
      <c r="AM90" s="290">
        <v>2025</v>
      </c>
      <c r="AN90" s="288">
        <v>2022</v>
      </c>
      <c r="AO90" s="289">
        <v>2023</v>
      </c>
      <c r="AP90" s="289">
        <v>2024</v>
      </c>
      <c r="AQ90" s="290">
        <v>2025</v>
      </c>
      <c r="AR90" s="288">
        <v>2022</v>
      </c>
      <c r="AS90" s="289">
        <v>2023</v>
      </c>
      <c r="AT90" s="289">
        <v>2024</v>
      </c>
      <c r="AU90" s="290">
        <v>2025</v>
      </c>
      <c r="AZ90" s="288">
        <v>2022</v>
      </c>
      <c r="BA90" s="289">
        <v>2023</v>
      </c>
      <c r="BB90" s="289">
        <v>2024</v>
      </c>
      <c r="BC90" s="290">
        <v>2025</v>
      </c>
      <c r="BD90" s="288">
        <v>2022</v>
      </c>
      <c r="BE90" s="289">
        <v>2023</v>
      </c>
      <c r="BF90" s="289">
        <v>2024</v>
      </c>
      <c r="BG90" s="290">
        <v>2025</v>
      </c>
      <c r="BH90" s="288">
        <v>2022</v>
      </c>
      <c r="BI90" s="289">
        <v>2023</v>
      </c>
      <c r="BJ90" s="289">
        <v>2024</v>
      </c>
      <c r="BK90" s="290">
        <v>2025</v>
      </c>
      <c r="CD90" s="288">
        <v>2022</v>
      </c>
      <c r="CE90" s="289">
        <v>2023</v>
      </c>
      <c r="CF90" s="289">
        <v>2024</v>
      </c>
      <c r="CG90" s="290">
        <v>2025</v>
      </c>
      <c r="CH90" s="288">
        <v>2022</v>
      </c>
      <c r="CI90" s="289">
        <v>2023</v>
      </c>
      <c r="CJ90" s="289">
        <v>2024</v>
      </c>
      <c r="CK90" s="290">
        <v>2025</v>
      </c>
      <c r="CL90" s="288">
        <v>2022</v>
      </c>
      <c r="CM90" s="289">
        <v>2023</v>
      </c>
      <c r="CN90" s="289">
        <v>2024</v>
      </c>
      <c r="CO90" s="290">
        <v>2025</v>
      </c>
      <c r="CP90" s="288">
        <v>2022</v>
      </c>
      <c r="CQ90" s="289">
        <v>2023</v>
      </c>
      <c r="CR90" s="289">
        <v>2024</v>
      </c>
      <c r="CS90" s="290">
        <v>2025</v>
      </c>
    </row>
    <row r="91" spans="1:97" x14ac:dyDescent="0.25">
      <c r="A91" s="520" t="s">
        <v>21</v>
      </c>
      <c r="B91" s="23">
        <v>1</v>
      </c>
      <c r="C91" s="24">
        <v>53.2</v>
      </c>
      <c r="D91" s="281">
        <f t="shared" ref="D91:D127" si="153">VLOOKUP(B91,year2022to23,72,FALSE)</f>
        <v>62.09</v>
      </c>
      <c r="E91" s="282">
        <f t="shared" ref="E91:E127" si="154">VLOOKUP(B91,year2022to23,132,FALSE)</f>
        <v>93.17</v>
      </c>
      <c r="F91" s="282">
        <f t="shared" ref="F91:F127" si="155">VLOOKUP(B91,year2022to23,192,FALSE)</f>
        <v>36.94</v>
      </c>
      <c r="G91" s="283">
        <f t="shared" ref="G91:G127" si="156">VLOOKUP(B91,year2022to23,252,FALSE)</f>
        <v>69.42</v>
      </c>
      <c r="H91" s="281">
        <f t="shared" ref="H91:H127" si="157">VLOOKUP(B91,year2022to23,77,FALSE)</f>
        <v>55.72</v>
      </c>
      <c r="I91" s="282">
        <f t="shared" ref="I91:I127" si="158">VLOOKUP(B91,year2022to23,137,FALSE)</f>
        <v>56.28</v>
      </c>
      <c r="J91" s="282">
        <f t="shared" ref="J91:J127" si="159">VLOOKUP(B91,year2022to23,197,FALSE)</f>
        <v>39.44</v>
      </c>
      <c r="K91" s="283">
        <f t="shared" ref="K91:K127" si="160">VLOOKUP(B91,year2022to23,257,FALSE)</f>
        <v>43.2</v>
      </c>
      <c r="L91" s="281">
        <f t="shared" ref="L91:L127" si="161">VLOOKUP(B91,year2022to23,82,FALSE)</f>
        <v>43.06</v>
      </c>
      <c r="M91" s="282">
        <f t="shared" ref="M91:M127" si="162">VLOOKUP(B91,year2022to23,142,FALSE)</f>
        <v>31.12</v>
      </c>
      <c r="N91" s="282">
        <f t="shared" ref="N91:N127" si="163">VLOOKUP(B91,year2022to23,202,FALSE)</f>
        <v>27.55</v>
      </c>
      <c r="O91" s="283">
        <f t="shared" ref="O91:O127" si="164">VLOOKUP(B91,year2022to23,262,FALSE)</f>
        <v>71.900000000000006</v>
      </c>
      <c r="T91" s="281">
        <f t="shared" ref="T91:T127" si="165">VLOOKUP(B91,year2022to23,87,FALSE)</f>
        <v>87.37</v>
      </c>
      <c r="U91" s="282">
        <f t="shared" ref="U91:U127" si="166">VLOOKUP(B91,year2022to23,147,FALSE)</f>
        <v>36.07</v>
      </c>
      <c r="V91" s="282">
        <f t="shared" ref="V91:V127" si="167">VLOOKUP(B91,year2022to23,207,FALSE)</f>
        <v>34.130000000000003</v>
      </c>
      <c r="W91" s="283">
        <f t="shared" ref="W91:W127" si="168">VLOOKUP(B91,year2022to23,267,FALSE)</f>
        <v>82.490000000000009</v>
      </c>
      <c r="X91" s="281">
        <f t="shared" ref="X91:X127" si="169">VLOOKUP(B91,year2022to23,92,FALSE)</f>
        <v>52.38</v>
      </c>
      <c r="Y91" s="282">
        <f t="shared" ref="Y91:Y127" si="170">VLOOKUP(B91,year2022to23,152,FALSE)</f>
        <v>50.52</v>
      </c>
      <c r="Z91" s="282">
        <f t="shared" ref="Z91:Z127" si="171">VLOOKUP(B91,year2022to23,212,FALSE)</f>
        <v>58.91</v>
      </c>
      <c r="AA91" s="283">
        <f t="shared" ref="AA91:AA127" si="172">VLOOKUP(B91,year2022to23,272,FALSE)</f>
        <v>84.13</v>
      </c>
      <c r="AB91" s="281">
        <f t="shared" ref="AB91:AB127" si="173">VLOOKUP(B91,year2022to23,97,FALSE)</f>
        <v>54.89</v>
      </c>
      <c r="AC91" s="282">
        <f t="shared" ref="AC91:AC127" si="174">VLOOKUP(B91,year2022to23,157,FALSE)</f>
        <v>55.36</v>
      </c>
      <c r="AD91" s="282">
        <f t="shared" ref="AD91:AD127" si="175">VLOOKUP(B91,year2022to23,217,FALSE)</f>
        <v>54.04</v>
      </c>
      <c r="AE91" s="283">
        <f t="shared" ref="AE91:AE127" si="176">VLOOKUP(B91,year2022to23,277,FALSE)</f>
        <v>52.52</v>
      </c>
      <c r="AJ91" s="281">
        <f t="shared" ref="AJ91:AJ127" si="177">VLOOKUP(B91,year2022to23,102,FALSE)</f>
        <v>67.599999999999994</v>
      </c>
      <c r="AK91" s="282">
        <f t="shared" ref="AK91:AK127" si="178">VLOOKUP(B91,year2022to23,162,FALSE)</f>
        <v>46.79</v>
      </c>
      <c r="AL91" s="282">
        <f t="shared" ref="AL91:AL127" si="179">VLOOKUP(B91,year2022to23,222,FALSE)</f>
        <v>44.8</v>
      </c>
      <c r="AM91" s="283">
        <f t="shared" ref="AM91:AM127" si="180">VLOOKUP(B91,year2022to23,282,FALSE)</f>
        <v>45.54</v>
      </c>
      <c r="AN91" s="281">
        <f t="shared" ref="AN91:AN127" si="181">VLOOKUP(B91,year2022to23,107,FALSE)</f>
        <v>45.84</v>
      </c>
      <c r="AO91" s="282">
        <f t="shared" ref="AO91:AO127" si="182">VLOOKUP(B91,year2022to23,167,FALSE)</f>
        <v>54.7</v>
      </c>
      <c r="AP91" s="282">
        <f t="shared" ref="AP91:AP127" si="183">VLOOKUP(B91,year2022to23,227,FALSE)</f>
        <v>65.94</v>
      </c>
      <c r="AQ91" s="283">
        <f t="shared" ref="AQ91:AQ127" si="184">IFERROR(VLOOKUP(B91,year2022to23,287,FALSE),0)</f>
        <v>64.97999999999999</v>
      </c>
      <c r="AR91" s="281">
        <f t="shared" ref="AR91:AR127" si="185">VLOOKUP(B91,year2022to23,112,FALSE)</f>
        <v>70.95</v>
      </c>
      <c r="AS91" s="282">
        <f t="shared" ref="AS91:AS127" si="186">VLOOKUP(B91,year2022to23,172,FALSE)</f>
        <v>66.5</v>
      </c>
      <c r="AT91" s="282">
        <f t="shared" ref="AT91:AT127" si="187">VLOOKUP(B91,year2022to23,232,FALSE)</f>
        <v>51.120000000000005</v>
      </c>
      <c r="AU91" s="283"/>
      <c r="AZ91" s="281">
        <f t="shared" ref="AZ91:AZ127" si="188">VLOOKUP(B91,year2022to23,117,FALSE)</f>
        <v>71.67</v>
      </c>
      <c r="BA91" s="282">
        <f t="shared" ref="BA91:BA127" si="189">VLOOKUP(B91,year2022to23,177,FALSE)</f>
        <v>74.05</v>
      </c>
      <c r="BB91" s="282">
        <f t="shared" ref="BB91:BB127" si="190">VLOOKUP(B91,year2022to23,237,FALSE)</f>
        <v>108.35</v>
      </c>
      <c r="BC91" s="283"/>
      <c r="BD91" s="281">
        <f t="shared" ref="BD91:BD127" si="191">VLOOKUP(B91,year2022to23,122,FALSE)</f>
        <v>65.84</v>
      </c>
      <c r="BE91" s="282">
        <f t="shared" ref="BE91:BE127" si="192">VLOOKUP(B91,year2022to23,182,FALSE)</f>
        <v>83.77000000000001</v>
      </c>
      <c r="BF91" s="282">
        <f t="shared" ref="BF91:BF127" si="193">VLOOKUP(B91,year2022to23,242,FALSE)</f>
        <v>103.85</v>
      </c>
      <c r="BG91" s="283"/>
      <c r="BH91" s="281">
        <f t="shared" ref="BH91:BH127" si="194">VLOOKUP(B91,year2022to23,127,FALSE)</f>
        <v>98.16</v>
      </c>
      <c r="BI91" s="282">
        <f t="shared" ref="BI91:BI127" si="195">VLOOKUP(B91,year2022to23,187,FALSE)</f>
        <v>57.010000000000005</v>
      </c>
      <c r="BJ91" s="282">
        <f t="shared" ref="BJ91:BJ127" si="196">VLOOKUP(B91,year2022to23,247,FALSE)</f>
        <v>82.070000000000007</v>
      </c>
      <c r="BK91" s="283"/>
      <c r="CD91" s="281">
        <f t="shared" ref="CD91:CD128" si="197">D91+H91+L91</f>
        <v>160.87</v>
      </c>
      <c r="CE91" s="281">
        <f t="shared" ref="CE91:CE128" si="198">E91+I91+M91</f>
        <v>180.57</v>
      </c>
      <c r="CF91" s="281">
        <f t="shared" ref="CF91:CF128" si="199">F91+J91+N91</f>
        <v>103.92999999999999</v>
      </c>
      <c r="CG91" s="293">
        <f t="shared" ref="CG91:CG128" si="200">G91+K91+O91</f>
        <v>184.52</v>
      </c>
      <c r="CH91" s="281">
        <f t="shared" ref="CH91:CH128" si="201">CD91+T91+X91+AB91</f>
        <v>355.51</v>
      </c>
      <c r="CI91" s="281">
        <f t="shared" ref="CI91:CI128" si="202">CE91+U91+Y91+AC91</f>
        <v>322.52</v>
      </c>
      <c r="CJ91" s="281">
        <f t="shared" ref="CJ91:CJ128" si="203">CF91+V91+Z91+AD91</f>
        <v>251.01</v>
      </c>
      <c r="CK91" s="281">
        <f t="shared" ref="CK91:CK128" si="204">CG91+W91+AA91+AE91</f>
        <v>403.65999999999997</v>
      </c>
      <c r="CL91" s="281">
        <f t="shared" ref="CL91:CL128" si="205">CH91+AJ91+AN91+AR91</f>
        <v>539.90000000000009</v>
      </c>
      <c r="CM91" s="281">
        <f t="shared" ref="CM91:CM128" si="206">CI91+AK91+AO91+AS91</f>
        <v>490.51</v>
      </c>
      <c r="CN91" s="281">
        <f t="shared" ref="CN91:CN128" si="207">CJ91+AL91+AP91+AT91</f>
        <v>412.87</v>
      </c>
      <c r="CO91" s="281">
        <f t="shared" ref="CO91:CO128" si="208">CK91+AM91+AQ91+AU91</f>
        <v>514.17999999999995</v>
      </c>
      <c r="CP91" s="281">
        <f t="shared" ref="CP91:CP128" si="209">CL91+AZ91+BD91+BH91</f>
        <v>775.57</v>
      </c>
      <c r="CQ91" s="281">
        <f t="shared" ref="CQ91:CQ128" si="210">CM91+BA91+BE91+BI91</f>
        <v>705.33999999999992</v>
      </c>
      <c r="CR91" s="281">
        <f t="shared" ref="CR91:CR128" si="211">CN91+BB91+BF91+BJ91</f>
        <v>707.1400000000001</v>
      </c>
      <c r="CS91" s="281">
        <f t="shared" ref="CS91:CS128" si="212">CO91+BC91+BG91+BK91</f>
        <v>514.17999999999995</v>
      </c>
    </row>
    <row r="92" spans="1:97" x14ac:dyDescent="0.25">
      <c r="A92" s="521"/>
      <c r="B92" s="55">
        <v>2</v>
      </c>
      <c r="C92" s="56">
        <v>60.4</v>
      </c>
      <c r="D92" s="281">
        <f t="shared" si="153"/>
        <v>51.989999999999995</v>
      </c>
      <c r="E92" s="282">
        <f t="shared" si="154"/>
        <v>60.95</v>
      </c>
      <c r="F92" s="282">
        <f t="shared" si="155"/>
        <v>72.94</v>
      </c>
      <c r="G92" s="283">
        <f t="shared" si="156"/>
        <v>64.36</v>
      </c>
      <c r="H92" s="281">
        <f t="shared" si="157"/>
        <v>43.8</v>
      </c>
      <c r="I92" s="282">
        <f t="shared" si="158"/>
        <v>64.849999999999994</v>
      </c>
      <c r="J92" s="282">
        <f t="shared" si="159"/>
        <v>36.26</v>
      </c>
      <c r="K92" s="283">
        <f t="shared" si="160"/>
        <v>79.91</v>
      </c>
      <c r="L92" s="281">
        <f t="shared" si="161"/>
        <v>65.31</v>
      </c>
      <c r="M92" s="282">
        <f t="shared" si="162"/>
        <v>58.69</v>
      </c>
      <c r="N92" s="282">
        <f t="shared" si="163"/>
        <v>39.31</v>
      </c>
      <c r="O92" s="283">
        <f t="shared" si="164"/>
        <v>91.039999999999992</v>
      </c>
      <c r="T92" s="281">
        <f t="shared" si="165"/>
        <v>51.57</v>
      </c>
      <c r="U92" s="282">
        <f t="shared" si="166"/>
        <v>40.72</v>
      </c>
      <c r="V92" s="282">
        <f t="shared" si="167"/>
        <v>55.739999999999995</v>
      </c>
      <c r="W92" s="283">
        <f t="shared" si="168"/>
        <v>74.37</v>
      </c>
      <c r="X92" s="281">
        <f t="shared" si="169"/>
        <v>45</v>
      </c>
      <c r="Y92" s="282">
        <f t="shared" si="170"/>
        <v>44.45</v>
      </c>
      <c r="Z92" s="282">
        <f t="shared" si="171"/>
        <v>75.750000000000014</v>
      </c>
      <c r="AA92" s="283">
        <f t="shared" si="172"/>
        <v>93.050000000000011</v>
      </c>
      <c r="AB92" s="281">
        <f t="shared" si="173"/>
        <v>49.9</v>
      </c>
      <c r="AC92" s="282">
        <f t="shared" si="174"/>
        <v>37.950000000000003</v>
      </c>
      <c r="AD92" s="282">
        <f t="shared" si="175"/>
        <v>63.910000000000004</v>
      </c>
      <c r="AE92" s="283">
        <f t="shared" si="176"/>
        <v>39.56</v>
      </c>
      <c r="AJ92" s="281">
        <f t="shared" si="177"/>
        <v>40.17</v>
      </c>
      <c r="AK92" s="282">
        <f t="shared" si="178"/>
        <v>46.84</v>
      </c>
      <c r="AL92" s="282">
        <f t="shared" si="179"/>
        <v>51.46</v>
      </c>
      <c r="AM92" s="283">
        <f t="shared" si="180"/>
        <v>57.839999999999996</v>
      </c>
      <c r="AN92" s="281">
        <f t="shared" si="181"/>
        <v>57.61</v>
      </c>
      <c r="AO92" s="282">
        <f t="shared" si="182"/>
        <v>52.89</v>
      </c>
      <c r="AP92" s="282">
        <f t="shared" si="183"/>
        <v>107.30000000000001</v>
      </c>
      <c r="AQ92" s="283">
        <f t="shared" si="184"/>
        <v>51.16</v>
      </c>
      <c r="AR92" s="281">
        <f t="shared" si="185"/>
        <v>45.47</v>
      </c>
      <c r="AS92" s="282">
        <f t="shared" si="186"/>
        <v>63.92</v>
      </c>
      <c r="AT92" s="282">
        <f t="shared" si="187"/>
        <v>75.03</v>
      </c>
      <c r="AU92" s="283"/>
      <c r="AZ92" s="281">
        <f t="shared" si="188"/>
        <v>85.67</v>
      </c>
      <c r="BA92" s="282">
        <f t="shared" si="189"/>
        <v>67.58</v>
      </c>
      <c r="BB92" s="282">
        <f t="shared" si="190"/>
        <v>84.31</v>
      </c>
      <c r="BC92" s="283"/>
      <c r="BD92" s="281">
        <f t="shared" si="191"/>
        <v>59.79</v>
      </c>
      <c r="BE92" s="282">
        <f t="shared" si="192"/>
        <v>73.8</v>
      </c>
      <c r="BF92" s="282">
        <f t="shared" si="193"/>
        <v>95.713999999999999</v>
      </c>
      <c r="BG92" s="283"/>
      <c r="BH92" s="281">
        <f t="shared" si="194"/>
        <v>67.02000000000001</v>
      </c>
      <c r="BI92" s="282">
        <f t="shared" si="195"/>
        <v>89.22</v>
      </c>
      <c r="BJ92" s="282">
        <f t="shared" si="196"/>
        <v>70.989999999999995</v>
      </c>
      <c r="BK92" s="283"/>
      <c r="CD92" s="281">
        <f t="shared" si="197"/>
        <v>161.1</v>
      </c>
      <c r="CE92" s="281">
        <f t="shared" si="198"/>
        <v>184.49</v>
      </c>
      <c r="CF92" s="281">
        <f t="shared" si="199"/>
        <v>148.51</v>
      </c>
      <c r="CG92" s="293">
        <f t="shared" si="200"/>
        <v>235.30999999999997</v>
      </c>
      <c r="CH92" s="281">
        <f t="shared" si="201"/>
        <v>307.56999999999994</v>
      </c>
      <c r="CI92" s="281">
        <f t="shared" si="202"/>
        <v>307.61</v>
      </c>
      <c r="CJ92" s="281">
        <f t="shared" si="203"/>
        <v>343.91</v>
      </c>
      <c r="CK92" s="293">
        <f t="shared" si="204"/>
        <v>442.28999999999996</v>
      </c>
      <c r="CL92" s="281">
        <f t="shared" si="205"/>
        <v>450.81999999999994</v>
      </c>
      <c r="CM92" s="281">
        <f t="shared" si="206"/>
        <v>471.26000000000005</v>
      </c>
      <c r="CN92" s="281">
        <f t="shared" si="207"/>
        <v>577.70000000000005</v>
      </c>
      <c r="CO92" s="293">
        <f t="shared" si="208"/>
        <v>551.29</v>
      </c>
      <c r="CP92" s="281">
        <f t="shared" si="209"/>
        <v>663.29999999999984</v>
      </c>
      <c r="CQ92" s="281">
        <f t="shared" si="210"/>
        <v>701.86</v>
      </c>
      <c r="CR92" s="281">
        <f t="shared" si="211"/>
        <v>828.71399999999994</v>
      </c>
      <c r="CS92" s="293">
        <f t="shared" si="212"/>
        <v>551.29</v>
      </c>
    </row>
    <row r="93" spans="1:97" x14ac:dyDescent="0.25">
      <c r="A93" s="521"/>
      <c r="B93" s="55">
        <v>3</v>
      </c>
      <c r="C93" s="56">
        <v>69.2</v>
      </c>
      <c r="D93" s="281">
        <f t="shared" si="153"/>
        <v>47.6</v>
      </c>
      <c r="E93" s="282">
        <f t="shared" si="154"/>
        <v>58.34</v>
      </c>
      <c r="F93" s="282">
        <f t="shared" si="155"/>
        <v>71.239999999999995</v>
      </c>
      <c r="G93" s="283">
        <f t="shared" si="156"/>
        <v>53.85</v>
      </c>
      <c r="H93" s="281">
        <f t="shared" si="157"/>
        <v>40.200000000000003</v>
      </c>
      <c r="I93" s="282">
        <f t="shared" si="158"/>
        <v>61.71</v>
      </c>
      <c r="J93" s="282">
        <f t="shared" si="159"/>
        <v>38.61</v>
      </c>
      <c r="K93" s="283">
        <f t="shared" si="160"/>
        <v>79.23</v>
      </c>
      <c r="L93" s="281">
        <f t="shared" si="161"/>
        <v>76.539999999999992</v>
      </c>
      <c r="M93" s="282">
        <f t="shared" si="162"/>
        <v>79.849999999999994</v>
      </c>
      <c r="N93" s="282">
        <f t="shared" si="163"/>
        <v>15.600000000000001</v>
      </c>
      <c r="O93" s="283">
        <f t="shared" si="164"/>
        <v>59.150000000000006</v>
      </c>
      <c r="T93" s="281">
        <f t="shared" si="165"/>
        <v>52.65</v>
      </c>
      <c r="U93" s="282">
        <f t="shared" si="166"/>
        <v>32.980000000000004</v>
      </c>
      <c r="V93" s="282">
        <f t="shared" si="167"/>
        <v>49.739999999999995</v>
      </c>
      <c r="W93" s="283">
        <f t="shared" si="168"/>
        <v>104.87</v>
      </c>
      <c r="X93" s="281">
        <f t="shared" si="169"/>
        <v>81.28</v>
      </c>
      <c r="Y93" s="282">
        <f t="shared" si="170"/>
        <v>60.01</v>
      </c>
      <c r="Z93" s="282">
        <f t="shared" si="171"/>
        <v>60.55</v>
      </c>
      <c r="AA93" s="283">
        <f t="shared" si="172"/>
        <v>73.77000000000001</v>
      </c>
      <c r="AB93" s="281">
        <f t="shared" si="173"/>
        <v>62.95</v>
      </c>
      <c r="AC93" s="282">
        <f t="shared" si="174"/>
        <v>57.480000000000004</v>
      </c>
      <c r="AD93" s="282">
        <f t="shared" si="175"/>
        <v>57.660000000000004</v>
      </c>
      <c r="AE93" s="283">
        <f t="shared" si="176"/>
        <v>65.569999999999993</v>
      </c>
      <c r="AJ93" s="281">
        <f t="shared" si="177"/>
        <v>56.239999999999995</v>
      </c>
      <c r="AK93" s="282">
        <f t="shared" si="178"/>
        <v>76.739999999999995</v>
      </c>
      <c r="AL93" s="282">
        <f t="shared" si="179"/>
        <v>65.39</v>
      </c>
      <c r="AM93" s="283">
        <f t="shared" si="180"/>
        <v>75.8</v>
      </c>
      <c r="AN93" s="281">
        <f t="shared" si="181"/>
        <v>95.52000000000001</v>
      </c>
      <c r="AO93" s="282">
        <f t="shared" si="182"/>
        <v>73.83</v>
      </c>
      <c r="AP93" s="282">
        <f t="shared" si="183"/>
        <v>114.25</v>
      </c>
      <c r="AQ93" s="283">
        <f t="shared" si="184"/>
        <v>92.330000000000013</v>
      </c>
      <c r="AR93" s="281">
        <f t="shared" si="185"/>
        <v>119.56</v>
      </c>
      <c r="AS93" s="282">
        <f t="shared" si="186"/>
        <v>109.43</v>
      </c>
      <c r="AT93" s="282">
        <f t="shared" si="187"/>
        <v>93.92</v>
      </c>
      <c r="AU93" s="283"/>
      <c r="AZ93" s="281">
        <f t="shared" si="188"/>
        <v>166.7</v>
      </c>
      <c r="BA93" s="282">
        <f t="shared" si="189"/>
        <v>113.9</v>
      </c>
      <c r="BB93" s="282">
        <f t="shared" si="190"/>
        <v>146.82</v>
      </c>
      <c r="BC93" s="283"/>
      <c r="BD93" s="281">
        <f t="shared" si="191"/>
        <v>83.02</v>
      </c>
      <c r="BE93" s="282">
        <f t="shared" si="192"/>
        <v>71.92</v>
      </c>
      <c r="BF93" s="282">
        <f t="shared" si="193"/>
        <v>61.61</v>
      </c>
      <c r="BG93" s="283"/>
      <c r="BH93" s="281">
        <f t="shared" si="194"/>
        <v>106.95</v>
      </c>
      <c r="BI93" s="282">
        <f t="shared" si="195"/>
        <v>53</v>
      </c>
      <c r="BJ93" s="282">
        <f t="shared" si="196"/>
        <v>151.68</v>
      </c>
      <c r="BK93" s="283"/>
      <c r="CD93" s="281">
        <f t="shared" si="197"/>
        <v>164.34</v>
      </c>
      <c r="CE93" s="281">
        <f t="shared" si="198"/>
        <v>199.9</v>
      </c>
      <c r="CF93" s="281">
        <f t="shared" si="199"/>
        <v>125.44999999999999</v>
      </c>
      <c r="CG93" s="293">
        <f t="shared" si="200"/>
        <v>192.23000000000002</v>
      </c>
      <c r="CH93" s="281">
        <f t="shared" si="201"/>
        <v>361.21999999999997</v>
      </c>
      <c r="CI93" s="281">
        <f t="shared" si="202"/>
        <v>350.37</v>
      </c>
      <c r="CJ93" s="281">
        <f t="shared" si="203"/>
        <v>293.40000000000003</v>
      </c>
      <c r="CK93" s="293">
        <f t="shared" si="204"/>
        <v>436.44</v>
      </c>
      <c r="CL93" s="281">
        <f t="shared" si="205"/>
        <v>632.54</v>
      </c>
      <c r="CM93" s="281">
        <f t="shared" si="206"/>
        <v>610.37</v>
      </c>
      <c r="CN93" s="281">
        <f t="shared" si="207"/>
        <v>566.96</v>
      </c>
      <c r="CO93" s="293">
        <f t="shared" si="208"/>
        <v>604.57000000000005</v>
      </c>
      <c r="CP93" s="281">
        <f t="shared" si="209"/>
        <v>989.21</v>
      </c>
      <c r="CQ93" s="281">
        <f t="shared" si="210"/>
        <v>849.18999999999994</v>
      </c>
      <c r="CR93" s="281">
        <f t="shared" si="211"/>
        <v>927.06999999999994</v>
      </c>
      <c r="CS93" s="293">
        <f t="shared" si="212"/>
        <v>604.57000000000005</v>
      </c>
    </row>
    <row r="94" spans="1:97" x14ac:dyDescent="0.25">
      <c r="A94" s="521"/>
      <c r="B94" s="55">
        <v>4</v>
      </c>
      <c r="C94" s="56">
        <v>70.599999999999994</v>
      </c>
      <c r="D94" s="281">
        <f t="shared" si="153"/>
        <v>92.69</v>
      </c>
      <c r="E94" s="282">
        <f t="shared" si="154"/>
        <v>115.94</v>
      </c>
      <c r="F94" s="282">
        <f t="shared" si="155"/>
        <v>76.839999999999989</v>
      </c>
      <c r="G94" s="283">
        <f t="shared" si="156"/>
        <v>106.11</v>
      </c>
      <c r="H94" s="281">
        <f t="shared" si="157"/>
        <v>53.92</v>
      </c>
      <c r="I94" s="282">
        <f t="shared" si="158"/>
        <v>57.12</v>
      </c>
      <c r="J94" s="282">
        <f t="shared" si="159"/>
        <v>55.71</v>
      </c>
      <c r="K94" s="283">
        <f t="shared" si="160"/>
        <v>64.010000000000005</v>
      </c>
      <c r="L94" s="281">
        <f t="shared" si="161"/>
        <v>63.88</v>
      </c>
      <c r="M94" s="282">
        <f t="shared" si="162"/>
        <v>67.13</v>
      </c>
      <c r="N94" s="282">
        <f t="shared" si="163"/>
        <v>20.3</v>
      </c>
      <c r="O94" s="283">
        <f t="shared" si="164"/>
        <v>111.08000000000001</v>
      </c>
      <c r="T94" s="281">
        <f t="shared" si="165"/>
        <v>103.24</v>
      </c>
      <c r="U94" s="282">
        <f t="shared" si="166"/>
        <v>93.68</v>
      </c>
      <c r="V94" s="282">
        <f t="shared" si="167"/>
        <v>54.88</v>
      </c>
      <c r="W94" s="283">
        <f t="shared" si="168"/>
        <v>115.12</v>
      </c>
      <c r="X94" s="281">
        <f t="shared" si="169"/>
        <v>81.430000000000007</v>
      </c>
      <c r="Y94" s="282">
        <f t="shared" si="170"/>
        <v>51.370000000000005</v>
      </c>
      <c r="Z94" s="282">
        <f t="shared" si="171"/>
        <v>76.83</v>
      </c>
      <c r="AA94" s="283">
        <f t="shared" si="172"/>
        <v>103.83</v>
      </c>
      <c r="AB94" s="281">
        <f t="shared" si="173"/>
        <v>56.7</v>
      </c>
      <c r="AC94" s="282">
        <f t="shared" si="174"/>
        <v>58.230000000000004</v>
      </c>
      <c r="AD94" s="282">
        <f t="shared" si="175"/>
        <v>65.08</v>
      </c>
      <c r="AE94" s="283">
        <f t="shared" si="176"/>
        <v>59.24</v>
      </c>
      <c r="AJ94" s="281">
        <f t="shared" si="177"/>
        <v>71.03</v>
      </c>
      <c r="AK94" s="282">
        <f t="shared" si="178"/>
        <v>67.95</v>
      </c>
      <c r="AL94" s="282">
        <f t="shared" si="179"/>
        <v>103.42</v>
      </c>
      <c r="AM94" s="283">
        <f t="shared" si="180"/>
        <v>53.76</v>
      </c>
      <c r="AN94" s="281">
        <f t="shared" si="181"/>
        <v>78.089999999999989</v>
      </c>
      <c r="AO94" s="282">
        <f t="shared" si="182"/>
        <v>72.509999999999991</v>
      </c>
      <c r="AP94" s="282">
        <f t="shared" si="183"/>
        <v>94.57</v>
      </c>
      <c r="AQ94" s="283">
        <f t="shared" si="184"/>
        <v>61.849999999999994</v>
      </c>
      <c r="AR94" s="281">
        <f t="shared" si="185"/>
        <v>172.08999999999997</v>
      </c>
      <c r="AS94" s="282">
        <f t="shared" si="186"/>
        <v>79.75</v>
      </c>
      <c r="AT94" s="282">
        <f t="shared" si="187"/>
        <v>127.55000000000001</v>
      </c>
      <c r="AU94" s="283"/>
      <c r="AZ94" s="281">
        <f t="shared" si="188"/>
        <v>115.32</v>
      </c>
      <c r="BA94" s="282">
        <f t="shared" si="189"/>
        <v>89.35</v>
      </c>
      <c r="BB94" s="282">
        <f t="shared" si="190"/>
        <v>143.9</v>
      </c>
      <c r="BC94" s="283"/>
      <c r="BD94" s="281">
        <f t="shared" si="191"/>
        <v>109.25</v>
      </c>
      <c r="BE94" s="282">
        <f t="shared" si="192"/>
        <v>91.68</v>
      </c>
      <c r="BF94" s="282">
        <f t="shared" si="193"/>
        <v>137.82300000000001</v>
      </c>
      <c r="BG94" s="283"/>
      <c r="BH94" s="281">
        <f t="shared" si="194"/>
        <v>82.56</v>
      </c>
      <c r="BI94" s="282">
        <f t="shared" si="195"/>
        <v>60.49</v>
      </c>
      <c r="BJ94" s="282">
        <f t="shared" si="196"/>
        <v>70.53</v>
      </c>
      <c r="BK94" s="283"/>
      <c r="CD94" s="281">
        <f t="shared" si="197"/>
        <v>210.49</v>
      </c>
      <c r="CE94" s="281">
        <f t="shared" si="198"/>
        <v>240.19</v>
      </c>
      <c r="CF94" s="281">
        <f t="shared" si="199"/>
        <v>152.85</v>
      </c>
      <c r="CG94" s="293">
        <f t="shared" si="200"/>
        <v>281.20000000000005</v>
      </c>
      <c r="CH94" s="281">
        <f t="shared" si="201"/>
        <v>451.86</v>
      </c>
      <c r="CI94" s="281">
        <f t="shared" si="202"/>
        <v>443.47</v>
      </c>
      <c r="CJ94" s="281">
        <f t="shared" si="203"/>
        <v>349.64</v>
      </c>
      <c r="CK94" s="293">
        <f t="shared" si="204"/>
        <v>559.39</v>
      </c>
      <c r="CL94" s="281">
        <f t="shared" si="205"/>
        <v>773.06999999999994</v>
      </c>
      <c r="CM94" s="281">
        <f t="shared" si="206"/>
        <v>663.68000000000006</v>
      </c>
      <c r="CN94" s="281">
        <f t="shared" si="207"/>
        <v>675.18000000000006</v>
      </c>
      <c r="CO94" s="293">
        <f t="shared" si="208"/>
        <v>675</v>
      </c>
      <c r="CP94" s="281">
        <f t="shared" si="209"/>
        <v>1080.1999999999998</v>
      </c>
      <c r="CQ94" s="281">
        <f t="shared" si="210"/>
        <v>905.2</v>
      </c>
      <c r="CR94" s="281">
        <f t="shared" si="211"/>
        <v>1027.433</v>
      </c>
      <c r="CS94" s="293">
        <f t="shared" si="212"/>
        <v>675</v>
      </c>
    </row>
    <row r="95" spans="1:97" x14ac:dyDescent="0.25">
      <c r="A95" s="521"/>
      <c r="B95" s="55">
        <v>5</v>
      </c>
      <c r="C95" s="56">
        <v>50.4</v>
      </c>
      <c r="D95" s="281">
        <f t="shared" si="153"/>
        <v>63.64</v>
      </c>
      <c r="E95" s="282">
        <f t="shared" si="154"/>
        <v>39.22</v>
      </c>
      <c r="F95" s="282">
        <f t="shared" si="155"/>
        <v>45.32</v>
      </c>
      <c r="G95" s="283">
        <f t="shared" si="156"/>
        <v>50.88</v>
      </c>
      <c r="H95" s="281">
        <f t="shared" si="157"/>
        <v>32.69</v>
      </c>
      <c r="I95" s="282">
        <f t="shared" si="158"/>
        <v>37.86</v>
      </c>
      <c r="J95" s="282">
        <f t="shared" si="159"/>
        <v>26.16</v>
      </c>
      <c r="K95" s="283">
        <f t="shared" si="160"/>
        <v>51.14</v>
      </c>
      <c r="L95" s="281">
        <f t="shared" si="161"/>
        <v>51.55</v>
      </c>
      <c r="M95" s="282">
        <f t="shared" si="162"/>
        <v>44.35</v>
      </c>
      <c r="N95" s="282">
        <f t="shared" si="163"/>
        <v>24.85</v>
      </c>
      <c r="O95" s="283">
        <f t="shared" si="164"/>
        <v>57.42</v>
      </c>
      <c r="T95" s="281">
        <f t="shared" si="165"/>
        <v>42.08</v>
      </c>
      <c r="U95" s="282">
        <f t="shared" si="166"/>
        <v>81.83</v>
      </c>
      <c r="V95" s="282">
        <f t="shared" si="167"/>
        <v>44.879999999999995</v>
      </c>
      <c r="W95" s="283">
        <f t="shared" si="168"/>
        <v>92.55</v>
      </c>
      <c r="X95" s="281">
        <f t="shared" si="169"/>
        <v>68.12</v>
      </c>
      <c r="Y95" s="282">
        <f t="shared" si="170"/>
        <v>45.88</v>
      </c>
      <c r="Z95" s="282">
        <f t="shared" si="171"/>
        <v>66.300000000000011</v>
      </c>
      <c r="AA95" s="283">
        <f t="shared" si="172"/>
        <v>69.02</v>
      </c>
      <c r="AB95" s="281">
        <f t="shared" si="173"/>
        <v>55.98</v>
      </c>
      <c r="AC95" s="282">
        <f t="shared" si="174"/>
        <v>53.33</v>
      </c>
      <c r="AD95" s="282">
        <f t="shared" si="175"/>
        <v>36.520000000000003</v>
      </c>
      <c r="AE95" s="283">
        <f t="shared" si="176"/>
        <v>79.069999999999993</v>
      </c>
      <c r="AJ95" s="281">
        <f t="shared" si="177"/>
        <v>55.230000000000004</v>
      </c>
      <c r="AK95" s="282">
        <f t="shared" si="178"/>
        <v>68.52</v>
      </c>
      <c r="AL95" s="282">
        <f t="shared" si="179"/>
        <v>84.32</v>
      </c>
      <c r="AM95" s="283">
        <f t="shared" si="180"/>
        <v>58.260000000000005</v>
      </c>
      <c r="AN95" s="281">
        <f t="shared" si="181"/>
        <v>80.91</v>
      </c>
      <c r="AO95" s="282">
        <f t="shared" si="182"/>
        <v>46.760000000000005</v>
      </c>
      <c r="AP95" s="282">
        <f t="shared" si="183"/>
        <v>63.39</v>
      </c>
      <c r="AQ95" s="283">
        <f t="shared" si="184"/>
        <v>66.64</v>
      </c>
      <c r="AR95" s="281">
        <f t="shared" si="185"/>
        <v>69.92</v>
      </c>
      <c r="AS95" s="282">
        <f t="shared" si="186"/>
        <v>74.39</v>
      </c>
      <c r="AT95" s="282">
        <f t="shared" si="187"/>
        <v>114.38</v>
      </c>
      <c r="AU95" s="283"/>
      <c r="AZ95" s="281">
        <f t="shared" si="188"/>
        <v>93.72</v>
      </c>
      <c r="BA95" s="282">
        <f t="shared" si="189"/>
        <v>76.599999999999994</v>
      </c>
      <c r="BB95" s="282">
        <f t="shared" si="190"/>
        <v>105.11999999999999</v>
      </c>
      <c r="BC95" s="283"/>
      <c r="BD95" s="281">
        <f t="shared" si="191"/>
        <v>83.75</v>
      </c>
      <c r="BE95" s="282">
        <f t="shared" si="192"/>
        <v>66.23</v>
      </c>
      <c r="BF95" s="282">
        <f t="shared" si="193"/>
        <v>94.22999999999999</v>
      </c>
      <c r="BG95" s="283"/>
      <c r="BH95" s="281">
        <f t="shared" si="194"/>
        <v>104.35</v>
      </c>
      <c r="BI95" s="282">
        <f t="shared" si="195"/>
        <v>69.58</v>
      </c>
      <c r="BJ95" s="282">
        <f t="shared" si="196"/>
        <v>76.289999999999992</v>
      </c>
      <c r="BK95" s="283"/>
      <c r="CD95" s="281">
        <f t="shared" si="197"/>
        <v>147.88</v>
      </c>
      <c r="CE95" s="281">
        <f t="shared" si="198"/>
        <v>121.43</v>
      </c>
      <c r="CF95" s="281">
        <f t="shared" si="199"/>
        <v>96.330000000000013</v>
      </c>
      <c r="CG95" s="293">
        <f t="shared" si="200"/>
        <v>159.44</v>
      </c>
      <c r="CH95" s="281">
        <f t="shared" si="201"/>
        <v>314.06</v>
      </c>
      <c r="CI95" s="281">
        <f t="shared" si="202"/>
        <v>302.46999999999997</v>
      </c>
      <c r="CJ95" s="281">
        <f t="shared" si="203"/>
        <v>244.03000000000003</v>
      </c>
      <c r="CK95" s="293">
        <f t="shared" si="204"/>
        <v>400.08</v>
      </c>
      <c r="CL95" s="281">
        <f t="shared" si="205"/>
        <v>520.12</v>
      </c>
      <c r="CM95" s="281">
        <f t="shared" si="206"/>
        <v>492.13999999999993</v>
      </c>
      <c r="CN95" s="281">
        <f t="shared" si="207"/>
        <v>506.12</v>
      </c>
      <c r="CO95" s="293">
        <f t="shared" si="208"/>
        <v>524.98</v>
      </c>
      <c r="CP95" s="281">
        <f t="shared" si="209"/>
        <v>801.94</v>
      </c>
      <c r="CQ95" s="281">
        <f t="shared" si="210"/>
        <v>704.55</v>
      </c>
      <c r="CR95" s="281">
        <f t="shared" si="211"/>
        <v>781.76</v>
      </c>
      <c r="CS95" s="293">
        <f t="shared" si="212"/>
        <v>524.98</v>
      </c>
    </row>
    <row r="96" spans="1:97" x14ac:dyDescent="0.25">
      <c r="A96" s="521"/>
      <c r="B96" s="55">
        <v>6</v>
      </c>
      <c r="C96" s="56">
        <v>58.6</v>
      </c>
      <c r="D96" s="281">
        <f t="shared" si="153"/>
        <v>82.14</v>
      </c>
      <c r="E96" s="282">
        <f t="shared" si="154"/>
        <v>62.2</v>
      </c>
      <c r="F96" s="282">
        <f t="shared" si="155"/>
        <v>88.02</v>
      </c>
      <c r="G96" s="283">
        <f t="shared" si="156"/>
        <v>47.81</v>
      </c>
      <c r="H96" s="281">
        <f t="shared" si="157"/>
        <v>33.700000000000003</v>
      </c>
      <c r="I96" s="282">
        <f t="shared" si="158"/>
        <v>58.660000000000004</v>
      </c>
      <c r="J96" s="282">
        <f t="shared" si="159"/>
        <v>39.82</v>
      </c>
      <c r="K96" s="283">
        <f t="shared" si="160"/>
        <v>85.15</v>
      </c>
      <c r="L96" s="281">
        <f t="shared" si="161"/>
        <v>53.980000000000004</v>
      </c>
      <c r="M96" s="282">
        <f t="shared" si="162"/>
        <v>97.28</v>
      </c>
      <c r="N96" s="282">
        <f t="shared" si="163"/>
        <v>27.39</v>
      </c>
      <c r="O96" s="283">
        <f t="shared" si="164"/>
        <v>43.95</v>
      </c>
      <c r="T96" s="281">
        <f t="shared" si="165"/>
        <v>82.02</v>
      </c>
      <c r="U96" s="282">
        <f t="shared" si="166"/>
        <v>47.78</v>
      </c>
      <c r="V96" s="282">
        <f t="shared" si="167"/>
        <v>39.629999999999995</v>
      </c>
      <c r="W96" s="283">
        <f t="shared" si="168"/>
        <v>88.86</v>
      </c>
      <c r="X96" s="281">
        <f t="shared" si="169"/>
        <v>62.47</v>
      </c>
      <c r="Y96" s="282">
        <f t="shared" si="170"/>
        <v>60.03</v>
      </c>
      <c r="Z96" s="282">
        <f t="shared" si="171"/>
        <v>68.929999999999993</v>
      </c>
      <c r="AA96" s="283">
        <f t="shared" si="172"/>
        <v>56.379999999999995</v>
      </c>
      <c r="AB96" s="281">
        <f t="shared" si="173"/>
        <v>55.129999999999995</v>
      </c>
      <c r="AC96" s="282">
        <f t="shared" si="174"/>
        <v>97.64</v>
      </c>
      <c r="AD96" s="282">
        <f t="shared" si="175"/>
        <v>39.14</v>
      </c>
      <c r="AE96" s="283">
        <f t="shared" si="176"/>
        <v>93.49</v>
      </c>
      <c r="AJ96" s="281">
        <f t="shared" si="177"/>
        <v>59.97</v>
      </c>
      <c r="AK96" s="282">
        <f t="shared" si="178"/>
        <v>68.7</v>
      </c>
      <c r="AL96" s="282">
        <f t="shared" si="179"/>
        <v>127.84</v>
      </c>
      <c r="AM96" s="283">
        <f t="shared" si="180"/>
        <v>52.900000000000006</v>
      </c>
      <c r="AN96" s="281">
        <f t="shared" si="181"/>
        <v>93.3</v>
      </c>
      <c r="AO96" s="282">
        <f t="shared" si="182"/>
        <v>69.800000000000011</v>
      </c>
      <c r="AP96" s="282">
        <f t="shared" si="183"/>
        <v>160.67000000000002</v>
      </c>
      <c r="AQ96" s="283">
        <f t="shared" si="184"/>
        <v>80.460000000000008</v>
      </c>
      <c r="AR96" s="281">
        <f t="shared" si="185"/>
        <v>75.150000000000006</v>
      </c>
      <c r="AS96" s="282">
        <f t="shared" si="186"/>
        <v>84.59</v>
      </c>
      <c r="AT96" s="282">
        <f t="shared" si="187"/>
        <v>99.91</v>
      </c>
      <c r="AU96" s="283"/>
      <c r="AZ96" s="281">
        <f t="shared" si="188"/>
        <v>124.62</v>
      </c>
      <c r="BA96" s="282">
        <f t="shared" si="189"/>
        <v>86</v>
      </c>
      <c r="BB96" s="282">
        <f t="shared" si="190"/>
        <v>113.91</v>
      </c>
      <c r="BC96" s="283"/>
      <c r="BD96" s="281">
        <f t="shared" si="191"/>
        <v>138.05000000000001</v>
      </c>
      <c r="BE96" s="282">
        <f t="shared" si="192"/>
        <v>72.28</v>
      </c>
      <c r="BF96" s="282">
        <f t="shared" si="193"/>
        <v>101.49000000000001</v>
      </c>
      <c r="BG96" s="283"/>
      <c r="BH96" s="281">
        <f t="shared" si="194"/>
        <v>72.959999999999994</v>
      </c>
      <c r="BI96" s="282">
        <f t="shared" si="195"/>
        <v>44.85</v>
      </c>
      <c r="BJ96" s="282">
        <f t="shared" si="196"/>
        <v>107.57</v>
      </c>
      <c r="BK96" s="283"/>
      <c r="CD96" s="281">
        <f t="shared" si="197"/>
        <v>169.82</v>
      </c>
      <c r="CE96" s="281">
        <f t="shared" si="198"/>
        <v>218.14000000000001</v>
      </c>
      <c r="CF96" s="281">
        <f t="shared" si="199"/>
        <v>155.23000000000002</v>
      </c>
      <c r="CG96" s="293">
        <f t="shared" si="200"/>
        <v>176.91000000000003</v>
      </c>
      <c r="CH96" s="281">
        <f t="shared" si="201"/>
        <v>369.43999999999994</v>
      </c>
      <c r="CI96" s="281">
        <f t="shared" si="202"/>
        <v>423.59000000000003</v>
      </c>
      <c r="CJ96" s="281">
        <f t="shared" si="203"/>
        <v>302.93</v>
      </c>
      <c r="CK96" s="293">
        <f t="shared" si="204"/>
        <v>415.64000000000004</v>
      </c>
      <c r="CL96" s="281">
        <f t="shared" si="205"/>
        <v>597.8599999999999</v>
      </c>
      <c r="CM96" s="281">
        <f t="shared" si="206"/>
        <v>646.68000000000006</v>
      </c>
      <c r="CN96" s="281">
        <f t="shared" si="207"/>
        <v>691.35</v>
      </c>
      <c r="CO96" s="293">
        <f t="shared" si="208"/>
        <v>549.00000000000011</v>
      </c>
      <c r="CP96" s="281">
        <f t="shared" si="209"/>
        <v>933.49</v>
      </c>
      <c r="CQ96" s="281">
        <f t="shared" si="210"/>
        <v>849.81000000000006</v>
      </c>
      <c r="CR96" s="281">
        <f t="shared" si="211"/>
        <v>1014.3199999999999</v>
      </c>
      <c r="CS96" s="293">
        <f t="shared" si="212"/>
        <v>549.00000000000011</v>
      </c>
    </row>
    <row r="97" spans="1:97" x14ac:dyDescent="0.25">
      <c r="A97" s="521"/>
      <c r="B97" s="55">
        <v>7</v>
      </c>
      <c r="C97" s="56">
        <v>23.6</v>
      </c>
      <c r="D97" s="281">
        <f t="shared" si="153"/>
        <v>22.759999999999998</v>
      </c>
      <c r="E97" s="282">
        <f t="shared" si="154"/>
        <v>16.510000000000002</v>
      </c>
      <c r="F97" s="282">
        <f t="shared" si="155"/>
        <v>25.830000000000002</v>
      </c>
      <c r="G97" s="283">
        <f t="shared" si="156"/>
        <v>18.989999999999998</v>
      </c>
      <c r="H97" s="281">
        <f t="shared" si="157"/>
        <v>12.65</v>
      </c>
      <c r="I97" s="282">
        <f t="shared" si="158"/>
        <v>16.84</v>
      </c>
      <c r="J97" s="282">
        <f t="shared" si="159"/>
        <v>11.9</v>
      </c>
      <c r="K97" s="283">
        <f t="shared" si="160"/>
        <v>25.669999999999998</v>
      </c>
      <c r="L97" s="281">
        <f t="shared" si="161"/>
        <v>21.92</v>
      </c>
      <c r="M97" s="282">
        <f t="shared" si="162"/>
        <v>21.41</v>
      </c>
      <c r="N97" s="282">
        <f t="shared" si="163"/>
        <v>13.7</v>
      </c>
      <c r="O97" s="283">
        <f t="shared" si="164"/>
        <v>21.080000000000002</v>
      </c>
      <c r="T97" s="281">
        <f t="shared" si="165"/>
        <v>18.34</v>
      </c>
      <c r="U97" s="282">
        <f t="shared" si="166"/>
        <v>34.83</v>
      </c>
      <c r="V97" s="282">
        <f t="shared" si="167"/>
        <v>24.4</v>
      </c>
      <c r="W97" s="283">
        <f t="shared" si="168"/>
        <v>39.61</v>
      </c>
      <c r="X97" s="281">
        <f t="shared" si="169"/>
        <v>25.35</v>
      </c>
      <c r="Y97" s="282">
        <f t="shared" si="170"/>
        <v>15.27</v>
      </c>
      <c r="Z97" s="282">
        <f t="shared" si="171"/>
        <v>17.649999999999999</v>
      </c>
      <c r="AA97" s="283">
        <f t="shared" si="172"/>
        <v>27.619999999999997</v>
      </c>
      <c r="AB97" s="281">
        <f t="shared" si="173"/>
        <v>17.48</v>
      </c>
      <c r="AC97" s="282">
        <f t="shared" si="174"/>
        <v>19.27</v>
      </c>
      <c r="AD97" s="282">
        <f t="shared" si="175"/>
        <v>19.5</v>
      </c>
      <c r="AE97" s="283">
        <f t="shared" si="176"/>
        <v>29.53</v>
      </c>
      <c r="AJ97" s="281">
        <f t="shared" si="177"/>
        <v>18.63</v>
      </c>
      <c r="AK97" s="282">
        <f t="shared" si="178"/>
        <v>21.53</v>
      </c>
      <c r="AL97" s="282">
        <f t="shared" si="179"/>
        <v>29.25</v>
      </c>
      <c r="AM97" s="283">
        <f t="shared" si="180"/>
        <v>27.06</v>
      </c>
      <c r="AN97" s="281">
        <f t="shared" si="181"/>
        <v>30.490000000000002</v>
      </c>
      <c r="AO97" s="282">
        <f t="shared" si="182"/>
        <v>24.43</v>
      </c>
      <c r="AP97" s="282">
        <f t="shared" si="183"/>
        <v>29.03</v>
      </c>
      <c r="AQ97" s="283">
        <f t="shared" si="184"/>
        <v>26.330000000000002</v>
      </c>
      <c r="AR97" s="281">
        <f t="shared" si="185"/>
        <v>26.76</v>
      </c>
      <c r="AS97" s="282">
        <f t="shared" si="186"/>
        <v>13.77</v>
      </c>
      <c r="AT97" s="282">
        <f t="shared" si="187"/>
        <v>60.980000000000004</v>
      </c>
      <c r="AU97" s="283"/>
      <c r="AZ97" s="281">
        <f t="shared" si="188"/>
        <v>35.340000000000003</v>
      </c>
      <c r="BA97" s="282">
        <f t="shared" si="189"/>
        <v>21.21</v>
      </c>
      <c r="BB97" s="282">
        <f t="shared" si="190"/>
        <v>33.08</v>
      </c>
      <c r="BC97" s="283"/>
      <c r="BD97" s="281">
        <f t="shared" si="191"/>
        <v>34.020000000000003</v>
      </c>
      <c r="BE97" s="282">
        <f t="shared" si="192"/>
        <v>23.759999999999998</v>
      </c>
      <c r="BF97" s="282">
        <f t="shared" si="193"/>
        <v>41.293999999999997</v>
      </c>
      <c r="BG97" s="283"/>
      <c r="BH97" s="281">
        <f t="shared" si="194"/>
        <v>48.28</v>
      </c>
      <c r="BI97" s="282">
        <f t="shared" si="195"/>
        <v>15.62</v>
      </c>
      <c r="BJ97" s="282">
        <f t="shared" si="196"/>
        <v>45.37</v>
      </c>
      <c r="BK97" s="283"/>
      <c r="CD97" s="281">
        <f t="shared" si="197"/>
        <v>57.33</v>
      </c>
      <c r="CE97" s="281">
        <f t="shared" si="198"/>
        <v>54.760000000000005</v>
      </c>
      <c r="CF97" s="281">
        <f t="shared" si="199"/>
        <v>51.430000000000007</v>
      </c>
      <c r="CG97" s="293">
        <f t="shared" si="200"/>
        <v>65.739999999999995</v>
      </c>
      <c r="CH97" s="281">
        <f t="shared" si="201"/>
        <v>118.50000000000001</v>
      </c>
      <c r="CI97" s="281">
        <f t="shared" si="202"/>
        <v>124.13</v>
      </c>
      <c r="CJ97" s="281">
        <f t="shared" si="203"/>
        <v>112.98000000000002</v>
      </c>
      <c r="CK97" s="293">
        <f t="shared" si="204"/>
        <v>162.5</v>
      </c>
      <c r="CL97" s="281">
        <f t="shared" si="205"/>
        <v>194.38000000000002</v>
      </c>
      <c r="CM97" s="281">
        <f t="shared" si="206"/>
        <v>183.86</v>
      </c>
      <c r="CN97" s="281">
        <f t="shared" si="207"/>
        <v>232.24</v>
      </c>
      <c r="CO97" s="293">
        <f t="shared" si="208"/>
        <v>215.89000000000001</v>
      </c>
      <c r="CP97" s="281">
        <f t="shared" si="209"/>
        <v>312.02</v>
      </c>
      <c r="CQ97" s="281">
        <f t="shared" si="210"/>
        <v>244.45000000000002</v>
      </c>
      <c r="CR97" s="281">
        <f t="shared" si="211"/>
        <v>351.98399999999998</v>
      </c>
      <c r="CS97" s="293">
        <f t="shared" si="212"/>
        <v>215.89000000000001</v>
      </c>
    </row>
    <row r="98" spans="1:97" x14ac:dyDescent="0.25">
      <c r="A98" s="521"/>
      <c r="B98" s="55">
        <v>8</v>
      </c>
      <c r="C98" s="56">
        <v>61.6</v>
      </c>
      <c r="D98" s="281">
        <f t="shared" si="153"/>
        <v>50.760000000000005</v>
      </c>
      <c r="E98" s="282">
        <f t="shared" si="154"/>
        <v>68.63</v>
      </c>
      <c r="F98" s="282">
        <f t="shared" si="155"/>
        <v>61.160000000000004</v>
      </c>
      <c r="G98" s="283">
        <f t="shared" si="156"/>
        <v>44.66</v>
      </c>
      <c r="H98" s="281">
        <f t="shared" si="157"/>
        <v>34.92</v>
      </c>
      <c r="I98" s="282">
        <f t="shared" si="158"/>
        <v>53.54</v>
      </c>
      <c r="J98" s="282">
        <f t="shared" si="159"/>
        <v>52.8</v>
      </c>
      <c r="K98" s="283">
        <f t="shared" si="160"/>
        <v>96.6</v>
      </c>
      <c r="L98" s="281">
        <f t="shared" si="161"/>
        <v>54.47</v>
      </c>
      <c r="M98" s="282">
        <f t="shared" si="162"/>
        <v>70.759999999999991</v>
      </c>
      <c r="N98" s="282">
        <f t="shared" si="163"/>
        <v>41.66</v>
      </c>
      <c r="O98" s="283">
        <f t="shared" si="164"/>
        <v>59.2</v>
      </c>
      <c r="T98" s="281">
        <f t="shared" si="165"/>
        <v>57.42</v>
      </c>
      <c r="U98" s="282">
        <f t="shared" si="166"/>
        <v>55.5</v>
      </c>
      <c r="V98" s="282">
        <f t="shared" si="167"/>
        <v>39.129999999999995</v>
      </c>
      <c r="W98" s="283">
        <f t="shared" si="168"/>
        <v>79.03</v>
      </c>
      <c r="X98" s="281">
        <f t="shared" si="169"/>
        <v>51.88</v>
      </c>
      <c r="Y98" s="282">
        <f t="shared" si="170"/>
        <v>62.94</v>
      </c>
      <c r="Z98" s="282">
        <f t="shared" si="171"/>
        <v>72.48</v>
      </c>
      <c r="AA98" s="283">
        <f t="shared" si="172"/>
        <v>63.73</v>
      </c>
      <c r="AB98" s="281">
        <f t="shared" si="173"/>
        <v>42.86</v>
      </c>
      <c r="AC98" s="282">
        <f t="shared" si="174"/>
        <v>62.16</v>
      </c>
      <c r="AD98" s="282">
        <f t="shared" si="175"/>
        <v>41.769999999999996</v>
      </c>
      <c r="AE98" s="283">
        <f t="shared" si="176"/>
        <v>58.540000000000006</v>
      </c>
      <c r="AJ98" s="281">
        <f t="shared" si="177"/>
        <v>68.03</v>
      </c>
      <c r="AK98" s="282">
        <f t="shared" si="178"/>
        <v>62.61</v>
      </c>
      <c r="AL98" s="282">
        <f t="shared" si="179"/>
        <v>52.96</v>
      </c>
      <c r="AM98" s="283">
        <f t="shared" si="180"/>
        <v>56.069999999999993</v>
      </c>
      <c r="AN98" s="281">
        <f t="shared" si="181"/>
        <v>72.460000000000008</v>
      </c>
      <c r="AO98" s="282">
        <f t="shared" si="182"/>
        <v>105.85</v>
      </c>
      <c r="AP98" s="282">
        <f t="shared" si="183"/>
        <v>114.4</v>
      </c>
      <c r="AQ98" s="283">
        <f t="shared" si="184"/>
        <v>68.81</v>
      </c>
      <c r="AR98" s="281">
        <f t="shared" si="185"/>
        <v>78.78</v>
      </c>
      <c r="AS98" s="282">
        <f t="shared" si="186"/>
        <v>54.25</v>
      </c>
      <c r="AT98" s="282">
        <f t="shared" si="187"/>
        <v>78.790000000000006</v>
      </c>
      <c r="AU98" s="283"/>
      <c r="AZ98" s="281">
        <f t="shared" si="188"/>
        <v>118.71</v>
      </c>
      <c r="BA98" s="282">
        <f t="shared" si="189"/>
        <v>94.95</v>
      </c>
      <c r="BB98" s="282">
        <f t="shared" si="190"/>
        <v>94.64</v>
      </c>
      <c r="BC98" s="283"/>
      <c r="BD98" s="281">
        <f t="shared" si="191"/>
        <v>111.62</v>
      </c>
      <c r="BE98" s="282">
        <f t="shared" si="192"/>
        <v>75.259999999999991</v>
      </c>
      <c r="BF98" s="282">
        <f t="shared" si="193"/>
        <v>151.48000000000002</v>
      </c>
      <c r="BG98" s="283"/>
      <c r="BH98" s="281">
        <f t="shared" si="194"/>
        <v>70.260000000000005</v>
      </c>
      <c r="BI98" s="282">
        <f t="shared" si="195"/>
        <v>96.98</v>
      </c>
      <c r="BJ98" s="282">
        <f t="shared" si="196"/>
        <v>123.15</v>
      </c>
      <c r="BK98" s="283"/>
      <c r="CD98" s="281">
        <f t="shared" si="197"/>
        <v>140.15</v>
      </c>
      <c r="CE98" s="281">
        <f t="shared" si="198"/>
        <v>192.92999999999998</v>
      </c>
      <c r="CF98" s="281">
        <f t="shared" si="199"/>
        <v>155.62</v>
      </c>
      <c r="CG98" s="293">
        <f t="shared" si="200"/>
        <v>200.45999999999998</v>
      </c>
      <c r="CH98" s="281">
        <f t="shared" si="201"/>
        <v>292.31</v>
      </c>
      <c r="CI98" s="281">
        <f t="shared" si="202"/>
        <v>373.53</v>
      </c>
      <c r="CJ98" s="281">
        <f t="shared" si="203"/>
        <v>309</v>
      </c>
      <c r="CK98" s="293">
        <f t="shared" si="204"/>
        <v>401.76000000000005</v>
      </c>
      <c r="CL98" s="281">
        <f t="shared" si="205"/>
        <v>511.58000000000004</v>
      </c>
      <c r="CM98" s="281">
        <f t="shared" si="206"/>
        <v>596.24</v>
      </c>
      <c r="CN98" s="281">
        <f t="shared" si="207"/>
        <v>555.15</v>
      </c>
      <c r="CO98" s="293">
        <f t="shared" si="208"/>
        <v>526.6400000000001</v>
      </c>
      <c r="CP98" s="281">
        <f t="shared" si="209"/>
        <v>812.17000000000007</v>
      </c>
      <c r="CQ98" s="281">
        <f t="shared" si="210"/>
        <v>863.43000000000006</v>
      </c>
      <c r="CR98" s="281">
        <f t="shared" si="211"/>
        <v>924.42</v>
      </c>
      <c r="CS98" s="293">
        <f t="shared" si="212"/>
        <v>526.6400000000001</v>
      </c>
    </row>
    <row r="99" spans="1:97" x14ac:dyDescent="0.25">
      <c r="A99" s="521"/>
      <c r="B99" s="55">
        <v>9</v>
      </c>
      <c r="C99" s="56">
        <v>38.299999999999997</v>
      </c>
      <c r="D99" s="281">
        <f t="shared" si="153"/>
        <v>27.38</v>
      </c>
      <c r="E99" s="282">
        <f t="shared" si="154"/>
        <v>27.94</v>
      </c>
      <c r="F99" s="282">
        <f t="shared" si="155"/>
        <v>38.049999999999997</v>
      </c>
      <c r="G99" s="283">
        <f t="shared" si="156"/>
        <v>19.18</v>
      </c>
      <c r="H99" s="281">
        <f t="shared" si="157"/>
        <v>25.270000000000003</v>
      </c>
      <c r="I99" s="282">
        <f t="shared" si="158"/>
        <v>33.89</v>
      </c>
      <c r="J99" s="282">
        <f t="shared" si="159"/>
        <v>20.71</v>
      </c>
      <c r="K99" s="283">
        <f t="shared" si="160"/>
        <v>34.56</v>
      </c>
      <c r="L99" s="281">
        <f t="shared" si="161"/>
        <v>19.630000000000003</v>
      </c>
      <c r="M99" s="282">
        <f t="shared" si="162"/>
        <v>46.93</v>
      </c>
      <c r="N99" s="282">
        <f t="shared" si="163"/>
        <v>22.65</v>
      </c>
      <c r="O99" s="283">
        <f t="shared" si="164"/>
        <v>39.230000000000004</v>
      </c>
      <c r="T99" s="281">
        <f t="shared" si="165"/>
        <v>40.680000000000007</v>
      </c>
      <c r="U99" s="282">
        <f t="shared" si="166"/>
        <v>38.409999999999997</v>
      </c>
      <c r="V99" s="282">
        <f t="shared" si="167"/>
        <v>21.23</v>
      </c>
      <c r="W99" s="283">
        <f t="shared" si="168"/>
        <v>16.64</v>
      </c>
      <c r="X99" s="281">
        <f t="shared" si="169"/>
        <v>32.57</v>
      </c>
      <c r="Y99" s="282">
        <f t="shared" si="170"/>
        <v>31.91</v>
      </c>
      <c r="Z99" s="282">
        <f t="shared" si="171"/>
        <v>28.57</v>
      </c>
      <c r="AA99" s="283">
        <f t="shared" si="172"/>
        <v>47.69</v>
      </c>
      <c r="AB99" s="281">
        <f t="shared" si="173"/>
        <v>20.27</v>
      </c>
      <c r="AC99" s="282">
        <f t="shared" si="174"/>
        <v>32.75</v>
      </c>
      <c r="AD99" s="282">
        <f t="shared" si="175"/>
        <v>29.07</v>
      </c>
      <c r="AE99" s="283">
        <f t="shared" si="176"/>
        <v>48.05</v>
      </c>
      <c r="AJ99" s="281">
        <f t="shared" si="177"/>
        <v>18.43</v>
      </c>
      <c r="AK99" s="282">
        <f t="shared" si="178"/>
        <v>35.010000000000005</v>
      </c>
      <c r="AL99" s="282">
        <f t="shared" si="179"/>
        <v>23.439999999999998</v>
      </c>
      <c r="AM99" s="283">
        <f t="shared" si="180"/>
        <v>33.1</v>
      </c>
      <c r="AN99" s="281">
        <f t="shared" si="181"/>
        <v>75.52000000000001</v>
      </c>
      <c r="AO99" s="282">
        <f t="shared" si="182"/>
        <v>43.31</v>
      </c>
      <c r="AP99" s="282">
        <f t="shared" si="183"/>
        <v>43.71</v>
      </c>
      <c r="AQ99" s="283">
        <f t="shared" si="184"/>
        <v>43.36</v>
      </c>
      <c r="AR99" s="281">
        <f t="shared" si="185"/>
        <v>64.02</v>
      </c>
      <c r="AS99" s="282">
        <f t="shared" si="186"/>
        <v>48.209999999999994</v>
      </c>
      <c r="AT99" s="282">
        <f t="shared" si="187"/>
        <v>59.56</v>
      </c>
      <c r="AU99" s="283"/>
      <c r="AZ99" s="281">
        <f t="shared" si="188"/>
        <v>72.98</v>
      </c>
      <c r="BA99" s="282">
        <f t="shared" si="189"/>
        <v>71.400000000000006</v>
      </c>
      <c r="BB99" s="282">
        <f t="shared" si="190"/>
        <v>63.760000000000005</v>
      </c>
      <c r="BC99" s="283"/>
      <c r="BD99" s="281">
        <f t="shared" si="191"/>
        <v>43.4</v>
      </c>
      <c r="BE99" s="282">
        <f t="shared" si="192"/>
        <v>49.980000000000004</v>
      </c>
      <c r="BF99" s="282">
        <f t="shared" si="193"/>
        <v>76.490000000000009</v>
      </c>
      <c r="BG99" s="283"/>
      <c r="BH99" s="281">
        <f t="shared" si="194"/>
        <v>54.92</v>
      </c>
      <c r="BI99" s="282">
        <f t="shared" si="195"/>
        <v>45.25</v>
      </c>
      <c r="BJ99" s="282">
        <f t="shared" si="196"/>
        <v>62.45</v>
      </c>
      <c r="BK99" s="283"/>
      <c r="CD99" s="281">
        <f t="shared" si="197"/>
        <v>72.28</v>
      </c>
      <c r="CE99" s="281">
        <f t="shared" si="198"/>
        <v>108.75999999999999</v>
      </c>
      <c r="CF99" s="281">
        <f t="shared" si="199"/>
        <v>81.41</v>
      </c>
      <c r="CG99" s="293">
        <f t="shared" si="200"/>
        <v>92.97</v>
      </c>
      <c r="CH99" s="281">
        <f t="shared" si="201"/>
        <v>165.8</v>
      </c>
      <c r="CI99" s="281">
        <f t="shared" si="202"/>
        <v>211.82999999999998</v>
      </c>
      <c r="CJ99" s="281">
        <f t="shared" si="203"/>
        <v>160.28</v>
      </c>
      <c r="CK99" s="293">
        <f t="shared" si="204"/>
        <v>205.35000000000002</v>
      </c>
      <c r="CL99" s="281">
        <f t="shared" si="205"/>
        <v>323.77</v>
      </c>
      <c r="CM99" s="281">
        <f t="shared" si="206"/>
        <v>338.35999999999996</v>
      </c>
      <c r="CN99" s="281">
        <f t="shared" si="207"/>
        <v>286.99</v>
      </c>
      <c r="CO99" s="293">
        <f t="shared" si="208"/>
        <v>281.81</v>
      </c>
      <c r="CP99" s="281">
        <f t="shared" si="209"/>
        <v>495.07</v>
      </c>
      <c r="CQ99" s="281">
        <f t="shared" si="210"/>
        <v>504.99</v>
      </c>
      <c r="CR99" s="281">
        <f t="shared" si="211"/>
        <v>489.69</v>
      </c>
      <c r="CS99" s="293">
        <f t="shared" si="212"/>
        <v>281.81</v>
      </c>
    </row>
    <row r="100" spans="1:97" x14ac:dyDescent="0.25">
      <c r="A100" s="521"/>
      <c r="B100" s="55">
        <v>11</v>
      </c>
      <c r="C100" s="56">
        <v>44.5</v>
      </c>
      <c r="D100" s="281">
        <f t="shared" si="153"/>
        <v>49.190000000000005</v>
      </c>
      <c r="E100" s="282">
        <f t="shared" si="154"/>
        <v>38.659999999999997</v>
      </c>
      <c r="F100" s="282">
        <f t="shared" si="155"/>
        <v>29.79</v>
      </c>
      <c r="G100" s="283">
        <f t="shared" si="156"/>
        <v>41.08</v>
      </c>
      <c r="H100" s="281">
        <f t="shared" si="157"/>
        <v>20.090000000000003</v>
      </c>
      <c r="I100" s="282">
        <f t="shared" si="158"/>
        <v>32.729999999999997</v>
      </c>
      <c r="J100" s="282">
        <f t="shared" si="159"/>
        <v>31.44</v>
      </c>
      <c r="K100" s="283">
        <f t="shared" si="160"/>
        <v>27.060000000000002</v>
      </c>
      <c r="L100" s="281">
        <f t="shared" si="161"/>
        <v>37.300000000000004</v>
      </c>
      <c r="M100" s="282">
        <f t="shared" si="162"/>
        <v>36.949999999999996</v>
      </c>
      <c r="N100" s="282">
        <f t="shared" si="163"/>
        <v>30.26</v>
      </c>
      <c r="O100" s="283">
        <f t="shared" si="164"/>
        <v>40.57</v>
      </c>
      <c r="T100" s="281">
        <f t="shared" si="165"/>
        <v>63.84</v>
      </c>
      <c r="U100" s="282">
        <f t="shared" si="166"/>
        <v>82.75</v>
      </c>
      <c r="V100" s="282">
        <f t="shared" si="167"/>
        <v>37.340000000000003</v>
      </c>
      <c r="W100" s="283">
        <f t="shared" si="168"/>
        <v>35.96</v>
      </c>
      <c r="X100" s="281">
        <f t="shared" si="169"/>
        <v>47.269999999999996</v>
      </c>
      <c r="Y100" s="282">
        <f t="shared" si="170"/>
        <v>48.66</v>
      </c>
      <c r="Z100" s="282">
        <f t="shared" si="171"/>
        <v>53.78</v>
      </c>
      <c r="AA100" s="283">
        <f t="shared" si="172"/>
        <v>51.4</v>
      </c>
      <c r="AB100" s="281">
        <f t="shared" si="173"/>
        <v>29.83</v>
      </c>
      <c r="AC100" s="282">
        <f t="shared" si="174"/>
        <v>48.43</v>
      </c>
      <c r="AD100" s="282">
        <f t="shared" si="175"/>
        <v>30.880000000000003</v>
      </c>
      <c r="AE100" s="283">
        <f t="shared" si="176"/>
        <v>44.1</v>
      </c>
      <c r="AJ100" s="281">
        <f t="shared" si="177"/>
        <v>22.3</v>
      </c>
      <c r="AK100" s="282">
        <f t="shared" si="178"/>
        <v>54.44</v>
      </c>
      <c r="AL100" s="282">
        <f t="shared" si="179"/>
        <v>24.82</v>
      </c>
      <c r="AM100" s="283">
        <f t="shared" si="180"/>
        <v>47.35</v>
      </c>
      <c r="AN100" s="281">
        <f t="shared" si="181"/>
        <v>36.81</v>
      </c>
      <c r="AO100" s="282">
        <f t="shared" si="182"/>
        <v>61.24</v>
      </c>
      <c r="AP100" s="282">
        <f t="shared" si="183"/>
        <v>43.08</v>
      </c>
      <c r="AQ100" s="283">
        <f t="shared" si="184"/>
        <v>51.099999999999994</v>
      </c>
      <c r="AR100" s="281">
        <f t="shared" si="185"/>
        <v>87.84</v>
      </c>
      <c r="AS100" s="282">
        <f t="shared" si="186"/>
        <v>59.05</v>
      </c>
      <c r="AT100" s="282">
        <f t="shared" si="187"/>
        <v>98.26</v>
      </c>
      <c r="AU100" s="283"/>
      <c r="AZ100" s="281">
        <f t="shared" si="188"/>
        <v>59.98</v>
      </c>
      <c r="BA100" s="282">
        <f t="shared" si="189"/>
        <v>59.16</v>
      </c>
      <c r="BB100" s="282">
        <f t="shared" si="190"/>
        <v>45.33</v>
      </c>
      <c r="BC100" s="283"/>
      <c r="BD100" s="281">
        <f t="shared" si="191"/>
        <v>85.12</v>
      </c>
      <c r="BE100" s="282">
        <f t="shared" si="192"/>
        <v>28.49</v>
      </c>
      <c r="BF100" s="282">
        <f t="shared" si="193"/>
        <v>62.233999999999995</v>
      </c>
      <c r="BG100" s="283"/>
      <c r="BH100" s="281">
        <f t="shared" si="194"/>
        <v>58.31</v>
      </c>
      <c r="BI100" s="282">
        <f t="shared" si="195"/>
        <v>54.529999999999994</v>
      </c>
      <c r="BJ100" s="282">
        <f t="shared" si="196"/>
        <v>52</v>
      </c>
      <c r="BK100" s="283"/>
      <c r="CD100" s="281">
        <f t="shared" si="197"/>
        <v>106.58000000000001</v>
      </c>
      <c r="CE100" s="281">
        <f t="shared" si="198"/>
        <v>108.33999999999997</v>
      </c>
      <c r="CF100" s="281">
        <f t="shared" si="199"/>
        <v>91.490000000000009</v>
      </c>
      <c r="CG100" s="293">
        <f t="shared" si="200"/>
        <v>108.71000000000001</v>
      </c>
      <c r="CH100" s="281">
        <f t="shared" si="201"/>
        <v>247.51999999999998</v>
      </c>
      <c r="CI100" s="281">
        <f t="shared" si="202"/>
        <v>288.17999999999995</v>
      </c>
      <c r="CJ100" s="281">
        <f t="shared" si="203"/>
        <v>213.49</v>
      </c>
      <c r="CK100" s="293">
        <f t="shared" si="204"/>
        <v>240.17000000000002</v>
      </c>
      <c r="CL100" s="281">
        <f t="shared" si="205"/>
        <v>394.47</v>
      </c>
      <c r="CM100" s="281">
        <f t="shared" si="206"/>
        <v>462.90999999999997</v>
      </c>
      <c r="CN100" s="281">
        <f t="shared" si="207"/>
        <v>379.65</v>
      </c>
      <c r="CO100" s="293">
        <f t="shared" si="208"/>
        <v>338.62</v>
      </c>
      <c r="CP100" s="281">
        <f t="shared" si="209"/>
        <v>597.88000000000011</v>
      </c>
      <c r="CQ100" s="281">
        <f t="shared" si="210"/>
        <v>605.08999999999992</v>
      </c>
      <c r="CR100" s="281">
        <f t="shared" si="211"/>
        <v>539.21399999999994</v>
      </c>
      <c r="CS100" s="293">
        <f t="shared" si="212"/>
        <v>338.62</v>
      </c>
    </row>
    <row r="101" spans="1:97" x14ac:dyDescent="0.25">
      <c r="A101" s="521"/>
      <c r="B101" s="55">
        <v>12</v>
      </c>
      <c r="C101" s="56">
        <v>71</v>
      </c>
      <c r="D101" s="281">
        <f t="shared" si="153"/>
        <v>103.92</v>
      </c>
      <c r="E101" s="282">
        <f t="shared" si="154"/>
        <v>64.150000000000006</v>
      </c>
      <c r="F101" s="282">
        <f t="shared" si="155"/>
        <v>78.53</v>
      </c>
      <c r="G101" s="283">
        <f t="shared" si="156"/>
        <v>51.83</v>
      </c>
      <c r="H101" s="281">
        <f t="shared" si="157"/>
        <v>41.82</v>
      </c>
      <c r="I101" s="282">
        <f t="shared" si="158"/>
        <v>73.37</v>
      </c>
      <c r="J101" s="282">
        <f t="shared" si="159"/>
        <v>60.73</v>
      </c>
      <c r="K101" s="283">
        <f t="shared" si="160"/>
        <v>82.91</v>
      </c>
      <c r="L101" s="281">
        <f t="shared" si="161"/>
        <v>69.2</v>
      </c>
      <c r="M101" s="282">
        <f t="shared" si="162"/>
        <v>66.05</v>
      </c>
      <c r="N101" s="282">
        <f t="shared" si="163"/>
        <v>41.84</v>
      </c>
      <c r="O101" s="283">
        <f t="shared" si="164"/>
        <v>61.5</v>
      </c>
      <c r="T101" s="281">
        <f t="shared" si="165"/>
        <v>62.67</v>
      </c>
      <c r="U101" s="282">
        <f t="shared" si="166"/>
        <v>72.349999999999994</v>
      </c>
      <c r="V101" s="282">
        <f t="shared" si="167"/>
        <v>85.08</v>
      </c>
      <c r="W101" s="283">
        <f t="shared" si="168"/>
        <v>108.55</v>
      </c>
      <c r="X101" s="281">
        <f t="shared" si="169"/>
        <v>96.63000000000001</v>
      </c>
      <c r="Y101" s="282">
        <f t="shared" si="170"/>
        <v>69.09</v>
      </c>
      <c r="Z101" s="282">
        <f t="shared" si="171"/>
        <v>60.72</v>
      </c>
      <c r="AA101" s="283">
        <f t="shared" si="172"/>
        <v>69.22999999999999</v>
      </c>
      <c r="AB101" s="281">
        <f t="shared" si="173"/>
        <v>57.239999999999995</v>
      </c>
      <c r="AC101" s="282">
        <f t="shared" si="174"/>
        <v>77.56</v>
      </c>
      <c r="AD101" s="282">
        <f t="shared" si="175"/>
        <v>57.980000000000004</v>
      </c>
      <c r="AE101" s="283">
        <f t="shared" si="176"/>
        <v>72.430000000000007</v>
      </c>
      <c r="AJ101" s="281">
        <f t="shared" si="177"/>
        <v>43.55</v>
      </c>
      <c r="AK101" s="282">
        <f t="shared" si="178"/>
        <v>77.760000000000005</v>
      </c>
      <c r="AL101" s="282">
        <f t="shared" si="179"/>
        <v>62.17</v>
      </c>
      <c r="AM101" s="283">
        <f t="shared" si="180"/>
        <v>75.459999999999994</v>
      </c>
      <c r="AN101" s="281">
        <f t="shared" si="181"/>
        <v>58.84</v>
      </c>
      <c r="AO101" s="282">
        <f t="shared" si="182"/>
        <v>74.569999999999993</v>
      </c>
      <c r="AP101" s="282">
        <f t="shared" si="183"/>
        <v>67.44</v>
      </c>
      <c r="AQ101" s="283">
        <f t="shared" si="184"/>
        <v>80.36</v>
      </c>
      <c r="AR101" s="281">
        <f t="shared" si="185"/>
        <v>81.45</v>
      </c>
      <c r="AS101" s="282">
        <f t="shared" si="186"/>
        <v>95.53</v>
      </c>
      <c r="AT101" s="282">
        <f t="shared" si="187"/>
        <v>147.54000000000002</v>
      </c>
      <c r="AU101" s="283"/>
      <c r="AZ101" s="281">
        <f t="shared" si="188"/>
        <v>139.88</v>
      </c>
      <c r="BA101" s="282">
        <f t="shared" si="189"/>
        <v>117.32</v>
      </c>
      <c r="BB101" s="282">
        <f t="shared" si="190"/>
        <v>92.97</v>
      </c>
      <c r="BC101" s="283"/>
      <c r="BD101" s="281">
        <f t="shared" si="191"/>
        <v>122.47</v>
      </c>
      <c r="BE101" s="282">
        <f t="shared" si="192"/>
        <v>97.89</v>
      </c>
      <c r="BF101" s="282">
        <f t="shared" si="193"/>
        <v>143.44999999999999</v>
      </c>
      <c r="BG101" s="283"/>
      <c r="BH101" s="281">
        <f t="shared" si="194"/>
        <v>180.53</v>
      </c>
      <c r="BI101" s="282">
        <f t="shared" si="195"/>
        <v>94.080000000000013</v>
      </c>
      <c r="BJ101" s="282">
        <f t="shared" si="196"/>
        <v>98.47</v>
      </c>
      <c r="BK101" s="283"/>
      <c r="CD101" s="281">
        <f t="shared" si="197"/>
        <v>214.94</v>
      </c>
      <c r="CE101" s="281">
        <f t="shared" si="198"/>
        <v>203.57</v>
      </c>
      <c r="CF101" s="281">
        <f t="shared" si="199"/>
        <v>181.1</v>
      </c>
      <c r="CG101" s="293">
        <f t="shared" si="200"/>
        <v>196.24</v>
      </c>
      <c r="CH101" s="281">
        <f t="shared" si="201"/>
        <v>431.48</v>
      </c>
      <c r="CI101" s="281">
        <f t="shared" si="202"/>
        <v>422.57</v>
      </c>
      <c r="CJ101" s="281">
        <f t="shared" si="203"/>
        <v>384.88</v>
      </c>
      <c r="CK101" s="293">
        <f t="shared" si="204"/>
        <v>446.45</v>
      </c>
      <c r="CL101" s="281">
        <f t="shared" si="205"/>
        <v>615.32000000000005</v>
      </c>
      <c r="CM101" s="281">
        <f t="shared" si="206"/>
        <v>670.43</v>
      </c>
      <c r="CN101" s="281">
        <f t="shared" si="207"/>
        <v>662.03</v>
      </c>
      <c r="CO101" s="293">
        <f t="shared" si="208"/>
        <v>602.27</v>
      </c>
      <c r="CP101" s="281">
        <f t="shared" si="209"/>
        <v>1058.2</v>
      </c>
      <c r="CQ101" s="281">
        <f t="shared" si="210"/>
        <v>979.72</v>
      </c>
      <c r="CR101" s="281">
        <f t="shared" si="211"/>
        <v>996.92000000000007</v>
      </c>
      <c r="CS101" s="293">
        <f t="shared" si="212"/>
        <v>602.27</v>
      </c>
    </row>
    <row r="102" spans="1:97" ht="15.75" thickBot="1" x14ac:dyDescent="0.3">
      <c r="A102" s="522"/>
      <c r="B102" s="83">
        <v>23</v>
      </c>
      <c r="C102" s="84">
        <v>14.6</v>
      </c>
      <c r="D102" s="281">
        <f t="shared" si="153"/>
        <v>16.240000000000002</v>
      </c>
      <c r="E102" s="282">
        <f t="shared" si="154"/>
        <v>13.39</v>
      </c>
      <c r="F102" s="282">
        <f t="shared" si="155"/>
        <v>20.83</v>
      </c>
      <c r="G102" s="283">
        <f t="shared" si="156"/>
        <v>15.99</v>
      </c>
      <c r="H102" s="281">
        <f t="shared" si="157"/>
        <v>8.74</v>
      </c>
      <c r="I102" s="282">
        <f t="shared" si="158"/>
        <v>23.380000000000003</v>
      </c>
      <c r="J102" s="282">
        <f t="shared" si="159"/>
        <v>15.02</v>
      </c>
      <c r="K102" s="283">
        <f t="shared" si="160"/>
        <v>20.85</v>
      </c>
      <c r="L102" s="281">
        <f t="shared" si="161"/>
        <v>14.7</v>
      </c>
      <c r="M102" s="282">
        <f t="shared" si="162"/>
        <v>14.47</v>
      </c>
      <c r="N102" s="282">
        <f t="shared" si="163"/>
        <v>7.17</v>
      </c>
      <c r="O102" s="283">
        <f t="shared" si="164"/>
        <v>12.399999999999999</v>
      </c>
      <c r="T102" s="281">
        <f t="shared" si="165"/>
        <v>20.130000000000003</v>
      </c>
      <c r="U102" s="282">
        <f t="shared" si="166"/>
        <v>7.79</v>
      </c>
      <c r="V102" s="282">
        <f t="shared" si="167"/>
        <v>12.370000000000001</v>
      </c>
      <c r="W102" s="283">
        <f t="shared" si="168"/>
        <v>31.32</v>
      </c>
      <c r="X102" s="281">
        <f t="shared" si="169"/>
        <v>18.100000000000001</v>
      </c>
      <c r="Y102" s="282">
        <f t="shared" si="170"/>
        <v>16.48</v>
      </c>
      <c r="Z102" s="282">
        <f t="shared" si="171"/>
        <v>24.14</v>
      </c>
      <c r="AA102" s="283">
        <f t="shared" si="172"/>
        <v>21.55</v>
      </c>
      <c r="AB102" s="281">
        <f t="shared" si="173"/>
        <v>12.600000000000001</v>
      </c>
      <c r="AC102" s="282">
        <f t="shared" si="174"/>
        <v>21.369999999999997</v>
      </c>
      <c r="AD102" s="282">
        <f t="shared" si="175"/>
        <v>15.32</v>
      </c>
      <c r="AE102" s="283">
        <f t="shared" si="176"/>
        <v>21.51</v>
      </c>
      <c r="AJ102" s="281">
        <f t="shared" si="177"/>
        <v>13.33</v>
      </c>
      <c r="AK102" s="282">
        <f t="shared" si="178"/>
        <v>21.189999999999998</v>
      </c>
      <c r="AL102" s="282">
        <f t="shared" si="179"/>
        <v>29.12</v>
      </c>
      <c r="AM102" s="283">
        <f t="shared" si="180"/>
        <v>19.11</v>
      </c>
      <c r="AN102" s="281">
        <f t="shared" si="181"/>
        <v>18.82</v>
      </c>
      <c r="AO102" s="282">
        <f t="shared" si="182"/>
        <v>41.82</v>
      </c>
      <c r="AP102" s="282">
        <f t="shared" si="183"/>
        <v>40.04</v>
      </c>
      <c r="AQ102" s="283">
        <f t="shared" si="184"/>
        <v>29.76</v>
      </c>
      <c r="AR102" s="281">
        <f t="shared" si="185"/>
        <v>14.39</v>
      </c>
      <c r="AS102" s="282">
        <f t="shared" si="186"/>
        <v>22.19</v>
      </c>
      <c r="AT102" s="282">
        <f t="shared" si="187"/>
        <v>25.52</v>
      </c>
      <c r="AU102" s="283"/>
      <c r="AZ102" s="281">
        <f t="shared" si="188"/>
        <v>42.260000000000005</v>
      </c>
      <c r="BA102" s="282">
        <f t="shared" si="189"/>
        <v>23.86</v>
      </c>
      <c r="BB102" s="282">
        <f t="shared" si="190"/>
        <v>44.03</v>
      </c>
      <c r="BC102" s="283"/>
      <c r="BD102" s="281">
        <f t="shared" si="191"/>
        <v>28.15</v>
      </c>
      <c r="BE102" s="282">
        <f t="shared" si="192"/>
        <v>20.75</v>
      </c>
      <c r="BF102" s="282">
        <f t="shared" si="193"/>
        <v>32.370000000000005</v>
      </c>
      <c r="BG102" s="283"/>
      <c r="BH102" s="281">
        <f t="shared" si="194"/>
        <v>18.77</v>
      </c>
      <c r="BI102" s="282">
        <f t="shared" si="195"/>
        <v>16.809999999999999</v>
      </c>
      <c r="BJ102" s="282">
        <f t="shared" si="196"/>
        <v>21.66</v>
      </c>
      <c r="BK102" s="283"/>
      <c r="CD102" s="281">
        <f t="shared" si="197"/>
        <v>39.680000000000007</v>
      </c>
      <c r="CE102" s="281">
        <f t="shared" si="198"/>
        <v>51.24</v>
      </c>
      <c r="CF102" s="281">
        <f t="shared" si="199"/>
        <v>43.019999999999996</v>
      </c>
      <c r="CG102" s="293">
        <f t="shared" si="200"/>
        <v>49.24</v>
      </c>
      <c r="CH102" s="281">
        <f t="shared" si="201"/>
        <v>90.510000000000019</v>
      </c>
      <c r="CI102" s="281">
        <f t="shared" si="202"/>
        <v>96.88</v>
      </c>
      <c r="CJ102" s="281">
        <f t="shared" si="203"/>
        <v>94.85</v>
      </c>
      <c r="CK102" s="293">
        <f t="shared" si="204"/>
        <v>123.62</v>
      </c>
      <c r="CL102" s="281">
        <f t="shared" si="205"/>
        <v>137.05000000000001</v>
      </c>
      <c r="CM102" s="281">
        <f t="shared" si="206"/>
        <v>182.07999999999998</v>
      </c>
      <c r="CN102" s="281">
        <f t="shared" si="207"/>
        <v>189.53</v>
      </c>
      <c r="CO102" s="293">
        <f t="shared" si="208"/>
        <v>172.49</v>
      </c>
      <c r="CP102" s="281">
        <f t="shared" si="209"/>
        <v>226.23000000000002</v>
      </c>
      <c r="CQ102" s="281">
        <f t="shared" si="210"/>
        <v>243.5</v>
      </c>
      <c r="CR102" s="281">
        <f t="shared" si="211"/>
        <v>287.59000000000003</v>
      </c>
      <c r="CS102" s="293">
        <f t="shared" si="212"/>
        <v>172.49</v>
      </c>
    </row>
    <row r="103" spans="1:97" x14ac:dyDescent="0.25">
      <c r="A103" s="520" t="s">
        <v>22</v>
      </c>
      <c r="B103" s="85">
        <v>10</v>
      </c>
      <c r="C103" s="86">
        <v>19.100000000000001</v>
      </c>
      <c r="D103" s="281">
        <f t="shared" si="153"/>
        <v>11.7</v>
      </c>
      <c r="E103" s="282">
        <f t="shared" si="154"/>
        <v>16.29</v>
      </c>
      <c r="F103" s="282">
        <f t="shared" si="155"/>
        <v>19.59</v>
      </c>
      <c r="G103" s="283">
        <f t="shared" si="156"/>
        <v>8.8699999999999992</v>
      </c>
      <c r="H103" s="281">
        <f t="shared" si="157"/>
        <v>7.34</v>
      </c>
      <c r="I103" s="282">
        <f t="shared" si="158"/>
        <v>16.53</v>
      </c>
      <c r="J103" s="282">
        <f t="shared" si="159"/>
        <v>10.29</v>
      </c>
      <c r="K103" s="283">
        <f t="shared" si="160"/>
        <v>18.600000000000001</v>
      </c>
      <c r="L103" s="281">
        <f t="shared" si="161"/>
        <v>14.849999999999998</v>
      </c>
      <c r="M103" s="282">
        <f t="shared" si="162"/>
        <v>18.66</v>
      </c>
      <c r="N103" s="282">
        <f t="shared" si="163"/>
        <v>10.94</v>
      </c>
      <c r="O103" s="283">
        <f t="shared" si="164"/>
        <v>21.950000000000003</v>
      </c>
      <c r="T103" s="281">
        <f t="shared" si="165"/>
        <v>19.18</v>
      </c>
      <c r="U103" s="282">
        <f t="shared" si="166"/>
        <v>15.34</v>
      </c>
      <c r="V103" s="282">
        <f t="shared" si="167"/>
        <v>7.91</v>
      </c>
      <c r="W103" s="283">
        <f t="shared" si="168"/>
        <v>17.760000000000002</v>
      </c>
      <c r="X103" s="281">
        <f t="shared" si="169"/>
        <v>26.41</v>
      </c>
      <c r="Y103" s="282">
        <f t="shared" si="170"/>
        <v>25.56</v>
      </c>
      <c r="Z103" s="282">
        <f t="shared" si="171"/>
        <v>16.59</v>
      </c>
      <c r="AA103" s="283">
        <f t="shared" si="172"/>
        <v>21.09</v>
      </c>
      <c r="AB103" s="281">
        <f t="shared" si="173"/>
        <v>22.54</v>
      </c>
      <c r="AC103" s="282">
        <f t="shared" si="174"/>
        <v>21.5</v>
      </c>
      <c r="AD103" s="282">
        <f t="shared" si="175"/>
        <v>20.95</v>
      </c>
      <c r="AE103" s="283">
        <f t="shared" si="176"/>
        <v>29.669999999999998</v>
      </c>
      <c r="AJ103" s="281">
        <f t="shared" si="177"/>
        <v>13.11</v>
      </c>
      <c r="AK103" s="282">
        <f t="shared" si="178"/>
        <v>27.93</v>
      </c>
      <c r="AL103" s="282">
        <f t="shared" si="179"/>
        <v>13.52</v>
      </c>
      <c r="AM103" s="283">
        <f t="shared" si="180"/>
        <v>15.129999999999999</v>
      </c>
      <c r="AN103" s="281">
        <f t="shared" si="181"/>
        <v>20.47</v>
      </c>
      <c r="AO103" s="282">
        <f t="shared" si="182"/>
        <v>29.2</v>
      </c>
      <c r="AP103" s="282">
        <f t="shared" si="183"/>
        <v>27.61</v>
      </c>
      <c r="AQ103" s="283">
        <f t="shared" si="184"/>
        <v>23.62</v>
      </c>
      <c r="AR103" s="281">
        <f t="shared" si="185"/>
        <v>44.04</v>
      </c>
      <c r="AS103" s="282">
        <f t="shared" si="186"/>
        <v>34.06</v>
      </c>
      <c r="AT103" s="282">
        <f t="shared" si="187"/>
        <v>40.57</v>
      </c>
      <c r="AU103" s="283"/>
      <c r="AZ103" s="281">
        <f t="shared" si="188"/>
        <v>36.01</v>
      </c>
      <c r="BA103" s="282">
        <f t="shared" si="189"/>
        <v>29.66</v>
      </c>
      <c r="BB103" s="282">
        <f t="shared" si="190"/>
        <v>28.14</v>
      </c>
      <c r="BC103" s="283"/>
      <c r="BD103" s="281">
        <f t="shared" si="191"/>
        <v>0</v>
      </c>
      <c r="BE103" s="282">
        <f t="shared" si="192"/>
        <v>24.72</v>
      </c>
      <c r="BF103" s="282">
        <f t="shared" si="193"/>
        <v>35.380000000000003</v>
      </c>
      <c r="BG103" s="283"/>
      <c r="BH103" s="281">
        <f t="shared" si="194"/>
        <v>53.05</v>
      </c>
      <c r="BI103" s="282">
        <f t="shared" si="195"/>
        <v>28.05</v>
      </c>
      <c r="BJ103" s="282">
        <f t="shared" si="196"/>
        <v>29.310000000000002</v>
      </c>
      <c r="BK103" s="283"/>
      <c r="CD103" s="281">
        <f t="shared" si="197"/>
        <v>33.89</v>
      </c>
      <c r="CE103" s="281">
        <f t="shared" si="198"/>
        <v>51.480000000000004</v>
      </c>
      <c r="CF103" s="281">
        <f t="shared" si="199"/>
        <v>40.82</v>
      </c>
      <c r="CG103" s="293">
        <f t="shared" si="200"/>
        <v>49.42</v>
      </c>
      <c r="CH103" s="281">
        <f t="shared" si="201"/>
        <v>102.02000000000001</v>
      </c>
      <c r="CI103" s="281">
        <f t="shared" si="202"/>
        <v>113.88000000000001</v>
      </c>
      <c r="CJ103" s="281">
        <f t="shared" si="203"/>
        <v>86.27000000000001</v>
      </c>
      <c r="CK103" s="293">
        <f t="shared" si="204"/>
        <v>117.94000000000001</v>
      </c>
      <c r="CL103" s="281">
        <f t="shared" si="205"/>
        <v>179.64000000000001</v>
      </c>
      <c r="CM103" s="281">
        <f t="shared" si="206"/>
        <v>205.07</v>
      </c>
      <c r="CN103" s="281">
        <f t="shared" si="207"/>
        <v>167.97</v>
      </c>
      <c r="CO103" s="293">
        <f t="shared" si="208"/>
        <v>156.69000000000003</v>
      </c>
      <c r="CP103" s="281">
        <f t="shared" si="209"/>
        <v>268.7</v>
      </c>
      <c r="CQ103" s="281">
        <f t="shared" si="210"/>
        <v>287.5</v>
      </c>
      <c r="CR103" s="281">
        <f t="shared" si="211"/>
        <v>260.8</v>
      </c>
      <c r="CS103" s="293">
        <f t="shared" si="212"/>
        <v>156.69000000000003</v>
      </c>
    </row>
    <row r="104" spans="1:97" x14ac:dyDescent="0.25">
      <c r="A104" s="521"/>
      <c r="B104" s="55">
        <v>13</v>
      </c>
      <c r="C104" s="56">
        <v>60.8</v>
      </c>
      <c r="D104" s="281">
        <f t="shared" si="153"/>
        <v>55.04</v>
      </c>
      <c r="E104" s="282">
        <f t="shared" si="154"/>
        <v>107.76</v>
      </c>
      <c r="F104" s="282">
        <f t="shared" si="155"/>
        <v>74.92</v>
      </c>
      <c r="G104" s="283">
        <f t="shared" si="156"/>
        <v>91.4</v>
      </c>
      <c r="H104" s="281">
        <f t="shared" si="157"/>
        <v>49.260000000000005</v>
      </c>
      <c r="I104" s="282">
        <f t="shared" si="158"/>
        <v>63.97</v>
      </c>
      <c r="J104" s="282">
        <f t="shared" si="159"/>
        <v>56.88</v>
      </c>
      <c r="K104" s="283">
        <f t="shared" si="160"/>
        <v>74.7</v>
      </c>
      <c r="L104" s="281">
        <f t="shared" si="161"/>
        <v>55.06</v>
      </c>
      <c r="M104" s="282">
        <f t="shared" si="162"/>
        <v>61.980000000000004</v>
      </c>
      <c r="N104" s="282">
        <f t="shared" si="163"/>
        <v>44.790000000000006</v>
      </c>
      <c r="O104" s="283">
        <f t="shared" si="164"/>
        <v>57.589999999999996</v>
      </c>
      <c r="T104" s="281">
        <f t="shared" si="165"/>
        <v>51.75</v>
      </c>
      <c r="U104" s="282">
        <f t="shared" si="166"/>
        <v>47.14</v>
      </c>
      <c r="V104" s="282">
        <f t="shared" si="167"/>
        <v>68.010000000000005</v>
      </c>
      <c r="W104" s="283">
        <f t="shared" si="168"/>
        <v>47.86</v>
      </c>
      <c r="X104" s="281">
        <f t="shared" si="169"/>
        <v>86.15</v>
      </c>
      <c r="Y104" s="282">
        <f t="shared" si="170"/>
        <v>85.9</v>
      </c>
      <c r="Z104" s="282">
        <f t="shared" si="171"/>
        <v>48.01</v>
      </c>
      <c r="AA104" s="283">
        <f t="shared" si="172"/>
        <v>90.56</v>
      </c>
      <c r="AB104" s="281">
        <f t="shared" si="173"/>
        <v>76.180000000000007</v>
      </c>
      <c r="AC104" s="282">
        <f t="shared" si="174"/>
        <v>77.59</v>
      </c>
      <c r="AD104" s="282">
        <f t="shared" si="175"/>
        <v>53.45</v>
      </c>
      <c r="AE104" s="283">
        <f t="shared" si="176"/>
        <v>56.22</v>
      </c>
      <c r="AJ104" s="281">
        <f t="shared" si="177"/>
        <v>84.359999999999985</v>
      </c>
      <c r="AK104" s="282">
        <f t="shared" si="178"/>
        <v>93.78</v>
      </c>
      <c r="AL104" s="282">
        <f t="shared" si="179"/>
        <v>71.09</v>
      </c>
      <c r="AM104" s="283">
        <f t="shared" si="180"/>
        <v>89.53</v>
      </c>
      <c r="AN104" s="281">
        <f t="shared" si="181"/>
        <v>80.569999999999993</v>
      </c>
      <c r="AO104" s="282">
        <f t="shared" si="182"/>
        <v>85.92</v>
      </c>
      <c r="AP104" s="282">
        <f t="shared" si="183"/>
        <v>96.89</v>
      </c>
      <c r="AQ104" s="283">
        <f t="shared" si="184"/>
        <v>66.47</v>
      </c>
      <c r="AR104" s="281">
        <f t="shared" si="185"/>
        <v>96.34</v>
      </c>
      <c r="AS104" s="282">
        <f t="shared" si="186"/>
        <v>109.63999999999999</v>
      </c>
      <c r="AT104" s="282">
        <f t="shared" si="187"/>
        <v>80.66</v>
      </c>
      <c r="AU104" s="283"/>
      <c r="AZ104" s="281">
        <f t="shared" si="188"/>
        <v>113.44</v>
      </c>
      <c r="BA104" s="282">
        <f t="shared" si="189"/>
        <v>94.43</v>
      </c>
      <c r="BB104" s="282">
        <f t="shared" si="190"/>
        <v>184.71</v>
      </c>
      <c r="BC104" s="283"/>
      <c r="BD104" s="281">
        <f t="shared" si="191"/>
        <v>119.28</v>
      </c>
      <c r="BE104" s="282">
        <f t="shared" si="192"/>
        <v>112.62</v>
      </c>
      <c r="BF104" s="282">
        <f t="shared" si="193"/>
        <v>139.12900000000002</v>
      </c>
      <c r="BG104" s="283"/>
      <c r="BH104" s="281">
        <f t="shared" si="194"/>
        <v>97.38</v>
      </c>
      <c r="BI104" s="282">
        <f t="shared" si="195"/>
        <v>98.88</v>
      </c>
      <c r="BJ104" s="282">
        <f t="shared" si="196"/>
        <v>80.319999999999993</v>
      </c>
      <c r="BK104" s="283"/>
      <c r="CD104" s="281">
        <f t="shared" si="197"/>
        <v>159.36000000000001</v>
      </c>
      <c r="CE104" s="281">
        <f t="shared" si="198"/>
        <v>233.71000000000004</v>
      </c>
      <c r="CF104" s="281">
        <f t="shared" si="199"/>
        <v>176.59000000000003</v>
      </c>
      <c r="CG104" s="293">
        <f t="shared" si="200"/>
        <v>223.69000000000003</v>
      </c>
      <c r="CH104" s="281">
        <f t="shared" si="201"/>
        <v>373.44</v>
      </c>
      <c r="CI104" s="281">
        <f t="shared" si="202"/>
        <v>444.34000000000003</v>
      </c>
      <c r="CJ104" s="281">
        <f t="shared" si="203"/>
        <v>346.06</v>
      </c>
      <c r="CK104" s="293">
        <f t="shared" si="204"/>
        <v>418.33000000000004</v>
      </c>
      <c r="CL104" s="281">
        <f t="shared" si="205"/>
        <v>634.70999999999992</v>
      </c>
      <c r="CM104" s="281">
        <f t="shared" si="206"/>
        <v>733.68</v>
      </c>
      <c r="CN104" s="281">
        <f t="shared" si="207"/>
        <v>594.69999999999993</v>
      </c>
      <c r="CO104" s="293">
        <f t="shared" si="208"/>
        <v>574.33000000000004</v>
      </c>
      <c r="CP104" s="281">
        <f t="shared" si="209"/>
        <v>964.80999999999983</v>
      </c>
      <c r="CQ104" s="281">
        <f t="shared" si="210"/>
        <v>1039.6099999999999</v>
      </c>
      <c r="CR104" s="281">
        <f t="shared" si="211"/>
        <v>998.85899999999992</v>
      </c>
      <c r="CS104" s="293">
        <f t="shared" si="212"/>
        <v>574.33000000000004</v>
      </c>
    </row>
    <row r="105" spans="1:97" x14ac:dyDescent="0.25">
      <c r="A105" s="521"/>
      <c r="B105" s="55">
        <v>14</v>
      </c>
      <c r="C105" s="56">
        <v>41.6</v>
      </c>
      <c r="D105" s="281">
        <f t="shared" si="153"/>
        <v>65.56</v>
      </c>
      <c r="E105" s="282">
        <f t="shared" si="154"/>
        <v>42.41</v>
      </c>
      <c r="F105" s="282">
        <f t="shared" si="155"/>
        <v>52.870000000000005</v>
      </c>
      <c r="G105" s="283">
        <f t="shared" si="156"/>
        <v>46.739999999999995</v>
      </c>
      <c r="H105" s="281">
        <f t="shared" si="157"/>
        <v>34.21</v>
      </c>
      <c r="I105" s="282">
        <f t="shared" si="158"/>
        <v>45.37</v>
      </c>
      <c r="J105" s="282">
        <f t="shared" si="159"/>
        <v>38.82</v>
      </c>
      <c r="K105" s="283">
        <f t="shared" si="160"/>
        <v>39.24</v>
      </c>
      <c r="L105" s="281">
        <f t="shared" si="161"/>
        <v>29.24</v>
      </c>
      <c r="M105" s="282">
        <f t="shared" si="162"/>
        <v>58.05</v>
      </c>
      <c r="N105" s="282">
        <f t="shared" si="163"/>
        <v>18.579999999999998</v>
      </c>
      <c r="O105" s="283">
        <f t="shared" si="164"/>
        <v>32.08</v>
      </c>
      <c r="T105" s="281">
        <f t="shared" si="165"/>
        <v>28.13</v>
      </c>
      <c r="U105" s="282">
        <f t="shared" si="166"/>
        <v>37.229999999999997</v>
      </c>
      <c r="V105" s="282">
        <f t="shared" si="167"/>
        <v>48.01</v>
      </c>
      <c r="W105" s="283">
        <f t="shared" si="168"/>
        <v>61.87</v>
      </c>
      <c r="X105" s="281">
        <f t="shared" si="169"/>
        <v>86.62</v>
      </c>
      <c r="Y105" s="282">
        <f t="shared" si="170"/>
        <v>59.67</v>
      </c>
      <c r="Z105" s="282">
        <f t="shared" si="171"/>
        <v>71.760000000000005</v>
      </c>
      <c r="AA105" s="283">
        <f t="shared" si="172"/>
        <v>55.48</v>
      </c>
      <c r="AB105" s="281">
        <f t="shared" si="173"/>
        <v>44.92</v>
      </c>
      <c r="AC105" s="282">
        <f t="shared" si="174"/>
        <v>55.47</v>
      </c>
      <c r="AD105" s="282">
        <f t="shared" si="175"/>
        <v>41.28</v>
      </c>
      <c r="AE105" s="283">
        <f t="shared" si="176"/>
        <v>76.95</v>
      </c>
      <c r="AJ105" s="281">
        <f t="shared" si="177"/>
        <v>62.59</v>
      </c>
      <c r="AK105" s="282">
        <f t="shared" si="178"/>
        <v>51.68</v>
      </c>
      <c r="AL105" s="282">
        <f t="shared" si="179"/>
        <v>53.03</v>
      </c>
      <c r="AM105" s="283">
        <f t="shared" si="180"/>
        <v>62.519999999999996</v>
      </c>
      <c r="AN105" s="281">
        <f t="shared" si="181"/>
        <v>49.78</v>
      </c>
      <c r="AO105" s="282">
        <f t="shared" si="182"/>
        <v>58.789999999999992</v>
      </c>
      <c r="AP105" s="282">
        <f t="shared" si="183"/>
        <v>105.18</v>
      </c>
      <c r="AQ105" s="283">
        <f t="shared" si="184"/>
        <v>58.45</v>
      </c>
      <c r="AR105" s="281">
        <f t="shared" si="185"/>
        <v>59</v>
      </c>
      <c r="AS105" s="282">
        <f t="shared" si="186"/>
        <v>79.78</v>
      </c>
      <c r="AT105" s="282">
        <f t="shared" si="187"/>
        <v>84.46</v>
      </c>
      <c r="AU105" s="283"/>
      <c r="AZ105" s="281">
        <f t="shared" si="188"/>
        <v>61.58</v>
      </c>
      <c r="BA105" s="282">
        <f t="shared" si="189"/>
        <v>57.91</v>
      </c>
      <c r="BB105" s="282">
        <f t="shared" si="190"/>
        <v>96.19</v>
      </c>
      <c r="BC105" s="283"/>
      <c r="BD105" s="281">
        <f t="shared" si="191"/>
        <v>64.37</v>
      </c>
      <c r="BE105" s="282">
        <f t="shared" si="192"/>
        <v>77.38</v>
      </c>
      <c r="BF105" s="282">
        <f t="shared" si="193"/>
        <v>58.596000000000004</v>
      </c>
      <c r="BG105" s="283"/>
      <c r="BH105" s="281">
        <f t="shared" si="194"/>
        <v>63.52</v>
      </c>
      <c r="BI105" s="282">
        <f t="shared" si="195"/>
        <v>63.4</v>
      </c>
      <c r="BJ105" s="282">
        <f t="shared" si="196"/>
        <v>93.91</v>
      </c>
      <c r="BK105" s="283"/>
      <c r="CD105" s="281">
        <f t="shared" si="197"/>
        <v>129.01000000000002</v>
      </c>
      <c r="CE105" s="281">
        <f t="shared" si="198"/>
        <v>145.82999999999998</v>
      </c>
      <c r="CF105" s="281">
        <f t="shared" si="199"/>
        <v>110.27</v>
      </c>
      <c r="CG105" s="293">
        <f t="shared" si="200"/>
        <v>118.05999999999999</v>
      </c>
      <c r="CH105" s="281">
        <f t="shared" si="201"/>
        <v>288.68</v>
      </c>
      <c r="CI105" s="281">
        <f t="shared" si="202"/>
        <v>298.19999999999993</v>
      </c>
      <c r="CJ105" s="281">
        <f t="shared" si="203"/>
        <v>271.32000000000005</v>
      </c>
      <c r="CK105" s="293">
        <f t="shared" si="204"/>
        <v>312.35999999999996</v>
      </c>
      <c r="CL105" s="281">
        <f t="shared" si="205"/>
        <v>460.04999999999995</v>
      </c>
      <c r="CM105" s="281">
        <f t="shared" si="206"/>
        <v>488.44999999999993</v>
      </c>
      <c r="CN105" s="281">
        <f t="shared" si="207"/>
        <v>513.99</v>
      </c>
      <c r="CO105" s="293">
        <f t="shared" si="208"/>
        <v>433.32999999999993</v>
      </c>
      <c r="CP105" s="281">
        <f t="shared" si="209"/>
        <v>649.52</v>
      </c>
      <c r="CQ105" s="281">
        <f t="shared" si="210"/>
        <v>687.13999999999987</v>
      </c>
      <c r="CR105" s="281">
        <f t="shared" si="211"/>
        <v>762.68600000000004</v>
      </c>
      <c r="CS105" s="293">
        <f t="shared" si="212"/>
        <v>433.32999999999993</v>
      </c>
    </row>
    <row r="106" spans="1:97" x14ac:dyDescent="0.25">
      <c r="A106" s="521"/>
      <c r="B106" s="55">
        <v>15</v>
      </c>
      <c r="C106" s="56">
        <v>49.3</v>
      </c>
      <c r="D106" s="281">
        <f t="shared" si="153"/>
        <v>25.64</v>
      </c>
      <c r="E106" s="282">
        <f t="shared" si="154"/>
        <v>69.069999999999993</v>
      </c>
      <c r="F106" s="282">
        <f t="shared" si="155"/>
        <v>37.380000000000003</v>
      </c>
      <c r="G106" s="283">
        <f t="shared" si="156"/>
        <v>58.17</v>
      </c>
      <c r="H106" s="281">
        <f t="shared" si="157"/>
        <v>19.36</v>
      </c>
      <c r="I106" s="282">
        <f t="shared" si="158"/>
        <v>56.76</v>
      </c>
      <c r="J106" s="282">
        <f t="shared" si="159"/>
        <v>16.95</v>
      </c>
      <c r="K106" s="283">
        <f t="shared" si="160"/>
        <v>59.539999999999992</v>
      </c>
      <c r="L106" s="281">
        <f t="shared" si="161"/>
        <v>36.07</v>
      </c>
      <c r="M106" s="282">
        <f t="shared" si="162"/>
        <v>60.91</v>
      </c>
      <c r="N106" s="282">
        <f t="shared" si="163"/>
        <v>13.440000000000001</v>
      </c>
      <c r="O106" s="283">
        <f t="shared" si="164"/>
        <v>48.32</v>
      </c>
      <c r="T106" s="281">
        <f t="shared" si="165"/>
        <v>37</v>
      </c>
      <c r="U106" s="282">
        <f t="shared" si="166"/>
        <v>45.019999999999996</v>
      </c>
      <c r="V106" s="282">
        <f t="shared" si="167"/>
        <v>14.53</v>
      </c>
      <c r="W106" s="283">
        <f t="shared" si="168"/>
        <v>46.6</v>
      </c>
      <c r="X106" s="281">
        <f t="shared" si="169"/>
        <v>48.989999999999995</v>
      </c>
      <c r="Y106" s="282">
        <f t="shared" si="170"/>
        <v>52.25</v>
      </c>
      <c r="Z106" s="282">
        <f t="shared" si="171"/>
        <v>32.5</v>
      </c>
      <c r="AA106" s="283">
        <f t="shared" si="172"/>
        <v>59.36</v>
      </c>
      <c r="AB106" s="281">
        <f t="shared" si="173"/>
        <v>81.740000000000009</v>
      </c>
      <c r="AC106" s="282">
        <f t="shared" si="174"/>
        <v>59.48</v>
      </c>
      <c r="AD106" s="282">
        <f t="shared" si="175"/>
        <v>49.5</v>
      </c>
      <c r="AE106" s="283">
        <f t="shared" si="176"/>
        <v>54.86</v>
      </c>
      <c r="AJ106" s="281">
        <f t="shared" si="177"/>
        <v>60.22</v>
      </c>
      <c r="AK106" s="282">
        <f t="shared" si="178"/>
        <v>69.97999999999999</v>
      </c>
      <c r="AL106" s="282">
        <f t="shared" si="179"/>
        <v>34.08</v>
      </c>
      <c r="AM106" s="283">
        <f t="shared" si="180"/>
        <v>51.02</v>
      </c>
      <c r="AN106" s="281">
        <f t="shared" si="181"/>
        <v>72.84</v>
      </c>
      <c r="AO106" s="282">
        <f t="shared" si="182"/>
        <v>65.38</v>
      </c>
      <c r="AP106" s="282">
        <f t="shared" si="183"/>
        <v>96.44</v>
      </c>
      <c r="AQ106" s="283">
        <f t="shared" si="184"/>
        <v>51.72</v>
      </c>
      <c r="AR106" s="281">
        <f t="shared" si="185"/>
        <v>50.53</v>
      </c>
      <c r="AS106" s="282">
        <f t="shared" si="186"/>
        <v>69.63</v>
      </c>
      <c r="AT106" s="282">
        <f t="shared" si="187"/>
        <v>79.52</v>
      </c>
      <c r="AU106" s="283"/>
      <c r="AZ106" s="281">
        <f t="shared" si="188"/>
        <v>110.6</v>
      </c>
      <c r="BA106" s="282">
        <f t="shared" si="189"/>
        <v>75.489999999999995</v>
      </c>
      <c r="BB106" s="282">
        <f t="shared" si="190"/>
        <v>107.01999999999998</v>
      </c>
      <c r="BC106" s="283"/>
      <c r="BD106" s="281">
        <f t="shared" si="191"/>
        <v>61.53</v>
      </c>
      <c r="BE106" s="282">
        <f t="shared" si="192"/>
        <v>71.150000000000006</v>
      </c>
      <c r="BF106" s="282">
        <f t="shared" si="193"/>
        <v>77.91</v>
      </c>
      <c r="BG106" s="283"/>
      <c r="BH106" s="281">
        <f t="shared" si="194"/>
        <v>82.2</v>
      </c>
      <c r="BI106" s="282">
        <f t="shared" si="195"/>
        <v>58.239999999999995</v>
      </c>
      <c r="BJ106" s="282">
        <f t="shared" si="196"/>
        <v>60.49</v>
      </c>
      <c r="BK106" s="283"/>
      <c r="CD106" s="281">
        <f t="shared" si="197"/>
        <v>81.069999999999993</v>
      </c>
      <c r="CE106" s="281">
        <f t="shared" si="198"/>
        <v>186.73999999999998</v>
      </c>
      <c r="CF106" s="281">
        <f t="shared" si="199"/>
        <v>67.77</v>
      </c>
      <c r="CG106" s="293">
        <f t="shared" si="200"/>
        <v>166.03</v>
      </c>
      <c r="CH106" s="281">
        <f t="shared" si="201"/>
        <v>248.8</v>
      </c>
      <c r="CI106" s="281">
        <f t="shared" si="202"/>
        <v>343.49</v>
      </c>
      <c r="CJ106" s="281">
        <f t="shared" si="203"/>
        <v>164.3</v>
      </c>
      <c r="CK106" s="293">
        <f t="shared" si="204"/>
        <v>326.85000000000002</v>
      </c>
      <c r="CL106" s="281">
        <f t="shared" si="205"/>
        <v>432.39</v>
      </c>
      <c r="CM106" s="281">
        <f t="shared" si="206"/>
        <v>548.48</v>
      </c>
      <c r="CN106" s="281">
        <f t="shared" si="207"/>
        <v>374.34</v>
      </c>
      <c r="CO106" s="293">
        <f t="shared" si="208"/>
        <v>429.59000000000003</v>
      </c>
      <c r="CP106" s="281">
        <f t="shared" si="209"/>
        <v>686.72</v>
      </c>
      <c r="CQ106" s="281">
        <f t="shared" si="210"/>
        <v>753.36</v>
      </c>
      <c r="CR106" s="281">
        <f t="shared" si="211"/>
        <v>619.76</v>
      </c>
      <c r="CS106" s="293">
        <f t="shared" si="212"/>
        <v>429.59000000000003</v>
      </c>
    </row>
    <row r="107" spans="1:97" x14ac:dyDescent="0.25">
      <c r="A107" s="521"/>
      <c r="B107" s="55">
        <v>16</v>
      </c>
      <c r="C107" s="56">
        <v>53.2</v>
      </c>
      <c r="D107" s="281">
        <f t="shared" si="153"/>
        <v>46.480000000000004</v>
      </c>
      <c r="E107" s="282">
        <f t="shared" si="154"/>
        <v>65.75</v>
      </c>
      <c r="F107" s="282">
        <f t="shared" si="155"/>
        <v>48.33</v>
      </c>
      <c r="G107" s="283">
        <f t="shared" si="156"/>
        <v>42.08</v>
      </c>
      <c r="H107" s="281">
        <f t="shared" si="157"/>
        <v>47.370000000000005</v>
      </c>
      <c r="I107" s="282">
        <f t="shared" si="158"/>
        <v>82.25</v>
      </c>
      <c r="J107" s="282">
        <f t="shared" si="159"/>
        <v>34.19</v>
      </c>
      <c r="K107" s="283">
        <f t="shared" si="160"/>
        <v>65.67</v>
      </c>
      <c r="L107" s="281">
        <f t="shared" si="161"/>
        <v>44.989999999999995</v>
      </c>
      <c r="M107" s="282">
        <f t="shared" si="162"/>
        <v>75.31</v>
      </c>
      <c r="N107" s="282">
        <f t="shared" si="163"/>
        <v>23.630000000000003</v>
      </c>
      <c r="O107" s="283">
        <f t="shared" si="164"/>
        <v>62.629999999999995</v>
      </c>
      <c r="T107" s="281">
        <f t="shared" si="165"/>
        <v>51.67</v>
      </c>
      <c r="U107" s="282">
        <f t="shared" si="166"/>
        <v>49.5</v>
      </c>
      <c r="V107" s="282">
        <f t="shared" si="167"/>
        <v>55.41</v>
      </c>
      <c r="W107" s="283">
        <f t="shared" si="168"/>
        <v>59.59</v>
      </c>
      <c r="X107" s="281">
        <f t="shared" si="169"/>
        <v>71.490000000000009</v>
      </c>
      <c r="Y107" s="282">
        <f t="shared" si="170"/>
        <v>67.050000000000011</v>
      </c>
      <c r="Z107" s="282">
        <f t="shared" si="171"/>
        <v>40.53</v>
      </c>
      <c r="AA107" s="283">
        <f t="shared" si="172"/>
        <v>73.150000000000006</v>
      </c>
      <c r="AB107" s="281">
        <f t="shared" si="173"/>
        <v>112.24000000000001</v>
      </c>
      <c r="AC107" s="282">
        <f t="shared" si="174"/>
        <v>64.47</v>
      </c>
      <c r="AD107" s="282">
        <f t="shared" si="175"/>
        <v>68.680000000000007</v>
      </c>
      <c r="AE107" s="283">
        <f t="shared" si="176"/>
        <v>69.87</v>
      </c>
      <c r="AJ107" s="281">
        <f t="shared" si="177"/>
        <v>91.59</v>
      </c>
      <c r="AK107" s="282">
        <f t="shared" si="178"/>
        <v>103.61</v>
      </c>
      <c r="AL107" s="282">
        <f t="shared" si="179"/>
        <v>68.210000000000008</v>
      </c>
      <c r="AM107" s="283">
        <f t="shared" si="180"/>
        <v>76.2</v>
      </c>
      <c r="AN107" s="281">
        <f t="shared" si="181"/>
        <v>105.17</v>
      </c>
      <c r="AO107" s="282">
        <f t="shared" si="182"/>
        <v>93.17</v>
      </c>
      <c r="AP107" s="282">
        <f t="shared" si="183"/>
        <v>115.72</v>
      </c>
      <c r="AQ107" s="283">
        <f t="shared" si="184"/>
        <v>78.81</v>
      </c>
      <c r="AR107" s="281">
        <f t="shared" si="185"/>
        <v>103.51</v>
      </c>
      <c r="AS107" s="282">
        <f t="shared" si="186"/>
        <v>91.37</v>
      </c>
      <c r="AT107" s="282">
        <f t="shared" si="187"/>
        <v>88.25</v>
      </c>
      <c r="AU107" s="283"/>
      <c r="AZ107" s="281">
        <f t="shared" si="188"/>
        <v>118.93</v>
      </c>
      <c r="BA107" s="282">
        <f t="shared" si="189"/>
        <v>84.15</v>
      </c>
      <c r="BB107" s="282">
        <f t="shared" si="190"/>
        <v>115.61</v>
      </c>
      <c r="BC107" s="283"/>
      <c r="BD107" s="281">
        <f t="shared" si="191"/>
        <v>81.400000000000006</v>
      </c>
      <c r="BE107" s="282">
        <f t="shared" si="192"/>
        <v>83.330000000000013</v>
      </c>
      <c r="BF107" s="282">
        <f t="shared" si="193"/>
        <v>91.01</v>
      </c>
      <c r="BG107" s="283"/>
      <c r="BH107" s="281">
        <f t="shared" si="194"/>
        <v>96.32</v>
      </c>
      <c r="BI107" s="282">
        <f t="shared" si="195"/>
        <v>65.490000000000009</v>
      </c>
      <c r="BJ107" s="282">
        <f t="shared" si="196"/>
        <v>87.66</v>
      </c>
      <c r="BK107" s="283"/>
      <c r="CD107" s="281">
        <f t="shared" si="197"/>
        <v>138.84</v>
      </c>
      <c r="CE107" s="281">
        <f t="shared" si="198"/>
        <v>223.31</v>
      </c>
      <c r="CF107" s="281">
        <f t="shared" si="199"/>
        <v>106.15</v>
      </c>
      <c r="CG107" s="293">
        <f t="shared" si="200"/>
        <v>170.38</v>
      </c>
      <c r="CH107" s="281">
        <f t="shared" si="201"/>
        <v>374.24</v>
      </c>
      <c r="CI107" s="281">
        <f t="shared" si="202"/>
        <v>404.33000000000004</v>
      </c>
      <c r="CJ107" s="281">
        <f t="shared" si="203"/>
        <v>270.77</v>
      </c>
      <c r="CK107" s="293">
        <f t="shared" si="204"/>
        <v>372.99</v>
      </c>
      <c r="CL107" s="281">
        <f t="shared" si="205"/>
        <v>674.51</v>
      </c>
      <c r="CM107" s="281">
        <f t="shared" si="206"/>
        <v>692.48</v>
      </c>
      <c r="CN107" s="281">
        <f t="shared" si="207"/>
        <v>542.95000000000005</v>
      </c>
      <c r="CO107" s="293">
        <f t="shared" si="208"/>
        <v>528</v>
      </c>
      <c r="CP107" s="281">
        <f t="shared" si="209"/>
        <v>971.16000000000008</v>
      </c>
      <c r="CQ107" s="281">
        <f t="shared" si="210"/>
        <v>925.45</v>
      </c>
      <c r="CR107" s="281">
        <f t="shared" si="211"/>
        <v>837.23</v>
      </c>
      <c r="CS107" s="293">
        <f t="shared" si="212"/>
        <v>528</v>
      </c>
    </row>
    <row r="108" spans="1:97" x14ac:dyDescent="0.25">
      <c r="A108" s="521"/>
      <c r="B108" s="55">
        <v>17</v>
      </c>
      <c r="C108" s="56">
        <v>45.7</v>
      </c>
      <c r="D108" s="281">
        <f t="shared" si="153"/>
        <v>36.549999999999997</v>
      </c>
      <c r="E108" s="282">
        <f t="shared" si="154"/>
        <v>48.370000000000005</v>
      </c>
      <c r="F108" s="282">
        <f t="shared" si="155"/>
        <v>45.769999999999996</v>
      </c>
      <c r="G108" s="283">
        <f t="shared" si="156"/>
        <v>35.18</v>
      </c>
      <c r="H108" s="281">
        <f t="shared" si="157"/>
        <v>44.16</v>
      </c>
      <c r="I108" s="282">
        <f t="shared" si="158"/>
        <v>32.46</v>
      </c>
      <c r="J108" s="282">
        <f t="shared" si="159"/>
        <v>26.55</v>
      </c>
      <c r="K108" s="283">
        <f t="shared" si="160"/>
        <v>78.650000000000006</v>
      </c>
      <c r="L108" s="281">
        <f t="shared" si="161"/>
        <v>40.82</v>
      </c>
      <c r="M108" s="282">
        <f t="shared" si="162"/>
        <v>56.51</v>
      </c>
      <c r="N108" s="282">
        <f t="shared" si="163"/>
        <v>21.46</v>
      </c>
      <c r="O108" s="283">
        <f t="shared" si="164"/>
        <v>56.2</v>
      </c>
      <c r="T108" s="281">
        <f t="shared" si="165"/>
        <v>51.540000000000006</v>
      </c>
      <c r="U108" s="282">
        <f t="shared" si="166"/>
        <v>46.55</v>
      </c>
      <c r="V108" s="282">
        <f t="shared" si="167"/>
        <v>57.06</v>
      </c>
      <c r="W108" s="283">
        <f t="shared" si="168"/>
        <v>48.38</v>
      </c>
      <c r="X108" s="281">
        <f t="shared" si="169"/>
        <v>74.449999999999989</v>
      </c>
      <c r="Y108" s="282">
        <f t="shared" si="170"/>
        <v>63.730000000000004</v>
      </c>
      <c r="Z108" s="282">
        <f t="shared" si="171"/>
        <v>57.019999999999996</v>
      </c>
      <c r="AA108" s="283">
        <f t="shared" si="172"/>
        <v>62.33</v>
      </c>
      <c r="AB108" s="281">
        <f t="shared" si="173"/>
        <v>102.15</v>
      </c>
      <c r="AC108" s="282">
        <f t="shared" si="174"/>
        <v>63.400000000000006</v>
      </c>
      <c r="AD108" s="282">
        <f t="shared" si="175"/>
        <v>59.54</v>
      </c>
      <c r="AE108" s="283">
        <f t="shared" si="176"/>
        <v>71.84</v>
      </c>
      <c r="AJ108" s="281">
        <f t="shared" si="177"/>
        <v>79.64</v>
      </c>
      <c r="AK108" s="282">
        <f t="shared" si="178"/>
        <v>66.400000000000006</v>
      </c>
      <c r="AL108" s="282">
        <f t="shared" si="179"/>
        <v>62.67</v>
      </c>
      <c r="AM108" s="283">
        <f t="shared" si="180"/>
        <v>75.58</v>
      </c>
      <c r="AN108" s="281">
        <f t="shared" si="181"/>
        <v>130.93</v>
      </c>
      <c r="AO108" s="282">
        <f t="shared" si="182"/>
        <v>80.08</v>
      </c>
      <c r="AP108" s="282">
        <f t="shared" si="183"/>
        <v>114.07000000000001</v>
      </c>
      <c r="AQ108" s="283">
        <f t="shared" si="184"/>
        <v>67.88</v>
      </c>
      <c r="AR108" s="281">
        <f t="shared" si="185"/>
        <v>78.13</v>
      </c>
      <c r="AS108" s="282">
        <f t="shared" si="186"/>
        <v>79.959999999999994</v>
      </c>
      <c r="AT108" s="282">
        <f t="shared" si="187"/>
        <v>78.14</v>
      </c>
      <c r="AU108" s="283"/>
      <c r="AZ108" s="281">
        <f t="shared" si="188"/>
        <v>89.15</v>
      </c>
      <c r="BA108" s="282">
        <f t="shared" si="189"/>
        <v>77.740000000000009</v>
      </c>
      <c r="BB108" s="282">
        <f t="shared" si="190"/>
        <v>120.67</v>
      </c>
      <c r="BC108" s="283"/>
      <c r="BD108" s="281">
        <f t="shared" si="191"/>
        <v>60.17</v>
      </c>
      <c r="BE108" s="282">
        <f t="shared" si="192"/>
        <v>69.039999999999992</v>
      </c>
      <c r="BF108" s="282">
        <f t="shared" si="193"/>
        <v>74.709999999999994</v>
      </c>
      <c r="BG108" s="283"/>
      <c r="BH108" s="281">
        <f t="shared" si="194"/>
        <v>83.35</v>
      </c>
      <c r="BI108" s="282">
        <f t="shared" si="195"/>
        <v>52.19</v>
      </c>
      <c r="BJ108" s="282">
        <f t="shared" si="196"/>
        <v>96.89</v>
      </c>
      <c r="BK108" s="283"/>
      <c r="CD108" s="281">
        <f t="shared" si="197"/>
        <v>121.53</v>
      </c>
      <c r="CE108" s="281">
        <f t="shared" si="198"/>
        <v>137.34</v>
      </c>
      <c r="CF108" s="281">
        <f t="shared" si="199"/>
        <v>93.78</v>
      </c>
      <c r="CG108" s="293">
        <f t="shared" si="200"/>
        <v>170.03000000000003</v>
      </c>
      <c r="CH108" s="281">
        <f t="shared" si="201"/>
        <v>349.66999999999996</v>
      </c>
      <c r="CI108" s="281">
        <f t="shared" si="202"/>
        <v>311.02</v>
      </c>
      <c r="CJ108" s="281">
        <f t="shared" si="203"/>
        <v>267.40000000000003</v>
      </c>
      <c r="CK108" s="293">
        <f t="shared" si="204"/>
        <v>352.58000000000004</v>
      </c>
      <c r="CL108" s="281">
        <f t="shared" si="205"/>
        <v>638.37</v>
      </c>
      <c r="CM108" s="281">
        <f t="shared" si="206"/>
        <v>537.45999999999992</v>
      </c>
      <c r="CN108" s="281">
        <f t="shared" si="207"/>
        <v>522.28000000000009</v>
      </c>
      <c r="CO108" s="293">
        <f t="shared" si="208"/>
        <v>496.04</v>
      </c>
      <c r="CP108" s="281">
        <f t="shared" si="209"/>
        <v>871.04</v>
      </c>
      <c r="CQ108" s="281">
        <f t="shared" si="210"/>
        <v>736.42999999999984</v>
      </c>
      <c r="CR108" s="281">
        <f t="shared" si="211"/>
        <v>814.55000000000007</v>
      </c>
      <c r="CS108" s="293">
        <f t="shared" si="212"/>
        <v>496.04</v>
      </c>
    </row>
    <row r="109" spans="1:97" ht="15.75" thickBot="1" x14ac:dyDescent="0.3">
      <c r="A109" s="522"/>
      <c r="B109" s="88">
        <v>18</v>
      </c>
      <c r="C109" s="84">
        <v>40.799999999999997</v>
      </c>
      <c r="D109" s="281">
        <f t="shared" si="153"/>
        <v>49.489999999999995</v>
      </c>
      <c r="E109" s="282">
        <f t="shared" si="154"/>
        <v>81.759999999999991</v>
      </c>
      <c r="F109" s="282">
        <f t="shared" si="155"/>
        <v>58.010000000000005</v>
      </c>
      <c r="G109" s="283">
        <f t="shared" si="156"/>
        <v>54.83</v>
      </c>
      <c r="H109" s="281">
        <f t="shared" si="157"/>
        <v>30.770000000000003</v>
      </c>
      <c r="I109" s="282">
        <f t="shared" si="158"/>
        <v>49.31</v>
      </c>
      <c r="J109" s="282">
        <f t="shared" si="159"/>
        <v>38.22</v>
      </c>
      <c r="K109" s="283">
        <f t="shared" si="160"/>
        <v>52.43</v>
      </c>
      <c r="L109" s="281">
        <f t="shared" si="161"/>
        <v>41.150000000000006</v>
      </c>
      <c r="M109" s="282">
        <f t="shared" si="162"/>
        <v>30.29</v>
      </c>
      <c r="N109" s="282">
        <f t="shared" si="163"/>
        <v>30.490000000000002</v>
      </c>
      <c r="O109" s="283">
        <f t="shared" si="164"/>
        <v>45.2</v>
      </c>
      <c r="T109" s="281">
        <f t="shared" si="165"/>
        <v>37.89</v>
      </c>
      <c r="U109" s="282">
        <f t="shared" si="166"/>
        <v>64.37</v>
      </c>
      <c r="V109" s="282">
        <f t="shared" si="167"/>
        <v>55.14</v>
      </c>
      <c r="W109" s="283">
        <f t="shared" si="168"/>
        <v>65.709999999999994</v>
      </c>
      <c r="X109" s="281">
        <f t="shared" si="169"/>
        <v>60.69</v>
      </c>
      <c r="Y109" s="282">
        <f t="shared" si="170"/>
        <v>43.16</v>
      </c>
      <c r="Z109" s="282">
        <f t="shared" si="171"/>
        <v>46.07</v>
      </c>
      <c r="AA109" s="283">
        <f t="shared" si="172"/>
        <v>60.910000000000004</v>
      </c>
      <c r="AB109" s="281">
        <f t="shared" si="173"/>
        <v>81.960000000000008</v>
      </c>
      <c r="AC109" s="282">
        <f t="shared" si="174"/>
        <v>58.78</v>
      </c>
      <c r="AD109" s="282">
        <f t="shared" si="175"/>
        <v>40.53</v>
      </c>
      <c r="AE109" s="283">
        <f t="shared" si="176"/>
        <v>53.150000000000006</v>
      </c>
      <c r="AJ109" s="281">
        <f t="shared" si="177"/>
        <v>47.95</v>
      </c>
      <c r="AK109" s="282">
        <f t="shared" si="178"/>
        <v>62.41</v>
      </c>
      <c r="AL109" s="282">
        <f t="shared" si="179"/>
        <v>59.76</v>
      </c>
      <c r="AM109" s="283">
        <f t="shared" si="180"/>
        <v>69.66</v>
      </c>
      <c r="AN109" s="281">
        <f t="shared" si="181"/>
        <v>65.5</v>
      </c>
      <c r="AO109" s="282">
        <f t="shared" si="182"/>
        <v>55.11</v>
      </c>
      <c r="AP109" s="282">
        <f t="shared" si="183"/>
        <v>64.100000000000009</v>
      </c>
      <c r="AQ109" s="283">
        <f t="shared" si="184"/>
        <v>63.809999999999995</v>
      </c>
      <c r="AR109" s="281">
        <f t="shared" si="185"/>
        <v>71.73</v>
      </c>
      <c r="AS109" s="282">
        <f t="shared" si="186"/>
        <v>68.87</v>
      </c>
      <c r="AT109" s="282">
        <f t="shared" si="187"/>
        <v>79.039999999999992</v>
      </c>
      <c r="AU109" s="283"/>
      <c r="AZ109" s="281">
        <f t="shared" si="188"/>
        <v>66.47</v>
      </c>
      <c r="BA109" s="282">
        <f t="shared" si="189"/>
        <v>81.789999999999992</v>
      </c>
      <c r="BB109" s="282">
        <f t="shared" si="190"/>
        <v>108.66</v>
      </c>
      <c r="BC109" s="283"/>
      <c r="BD109" s="281">
        <f t="shared" si="191"/>
        <v>87.02</v>
      </c>
      <c r="BE109" s="282">
        <f t="shared" si="192"/>
        <v>58.15</v>
      </c>
      <c r="BF109" s="282">
        <f t="shared" si="193"/>
        <v>54.73</v>
      </c>
      <c r="BG109" s="283"/>
      <c r="BH109" s="281">
        <f t="shared" si="194"/>
        <v>67.2</v>
      </c>
      <c r="BI109" s="282">
        <f t="shared" si="195"/>
        <v>60.239999999999995</v>
      </c>
      <c r="BJ109" s="282">
        <f t="shared" si="196"/>
        <v>102.33</v>
      </c>
      <c r="BK109" s="283"/>
      <c r="CD109" s="281">
        <f t="shared" si="197"/>
        <v>121.41</v>
      </c>
      <c r="CE109" s="281">
        <f t="shared" si="198"/>
        <v>161.35999999999999</v>
      </c>
      <c r="CF109" s="281">
        <f t="shared" si="199"/>
        <v>126.72</v>
      </c>
      <c r="CG109" s="293">
        <f t="shared" si="200"/>
        <v>152.45999999999998</v>
      </c>
      <c r="CH109" s="281">
        <f t="shared" si="201"/>
        <v>301.95000000000005</v>
      </c>
      <c r="CI109" s="281">
        <f t="shared" si="202"/>
        <v>327.66999999999996</v>
      </c>
      <c r="CJ109" s="281">
        <f t="shared" si="203"/>
        <v>268.46000000000004</v>
      </c>
      <c r="CK109" s="293">
        <f t="shared" si="204"/>
        <v>332.23</v>
      </c>
      <c r="CL109" s="281">
        <f t="shared" si="205"/>
        <v>487.13000000000005</v>
      </c>
      <c r="CM109" s="281">
        <f t="shared" si="206"/>
        <v>514.05999999999995</v>
      </c>
      <c r="CN109" s="281">
        <f t="shared" si="207"/>
        <v>471.36</v>
      </c>
      <c r="CO109" s="293">
        <f t="shared" si="208"/>
        <v>465.7</v>
      </c>
      <c r="CP109" s="281">
        <f t="shared" si="209"/>
        <v>707.82</v>
      </c>
      <c r="CQ109" s="281">
        <f t="shared" si="210"/>
        <v>714.2399999999999</v>
      </c>
      <c r="CR109" s="281">
        <f t="shared" si="211"/>
        <v>737.08</v>
      </c>
      <c r="CS109" s="293">
        <f t="shared" si="212"/>
        <v>465.7</v>
      </c>
    </row>
    <row r="110" spans="1:97" x14ac:dyDescent="0.25">
      <c r="A110" s="520" t="s">
        <v>23</v>
      </c>
      <c r="B110" s="23">
        <v>19</v>
      </c>
      <c r="C110" s="86">
        <v>50.62</v>
      </c>
      <c r="D110" s="281">
        <f t="shared" si="153"/>
        <v>48.099999999999994</v>
      </c>
      <c r="E110" s="282">
        <f t="shared" si="154"/>
        <v>54.7</v>
      </c>
      <c r="F110" s="282">
        <f t="shared" si="155"/>
        <v>48.26</v>
      </c>
      <c r="G110" s="283">
        <f t="shared" si="156"/>
        <v>55.03</v>
      </c>
      <c r="H110" s="281">
        <f t="shared" si="157"/>
        <v>35.049999999999997</v>
      </c>
      <c r="I110" s="282">
        <f t="shared" si="158"/>
        <v>57.463000000000001</v>
      </c>
      <c r="J110" s="282">
        <f t="shared" si="159"/>
        <v>26.060000000000002</v>
      </c>
      <c r="K110" s="283">
        <f t="shared" si="160"/>
        <v>63.99</v>
      </c>
      <c r="L110" s="281">
        <f t="shared" si="161"/>
        <v>47.3</v>
      </c>
      <c r="M110" s="282">
        <f t="shared" si="162"/>
        <v>42.13</v>
      </c>
      <c r="N110" s="282">
        <f t="shared" si="163"/>
        <v>27.34</v>
      </c>
      <c r="O110" s="283">
        <f t="shared" si="164"/>
        <v>40.67</v>
      </c>
      <c r="T110" s="281">
        <f t="shared" si="165"/>
        <v>68.430000000000007</v>
      </c>
      <c r="U110" s="282">
        <f t="shared" si="166"/>
        <v>70.790000000000006</v>
      </c>
      <c r="V110" s="282">
        <f t="shared" si="167"/>
        <v>37.159999999999997</v>
      </c>
      <c r="W110" s="283">
        <f t="shared" si="168"/>
        <v>91.65</v>
      </c>
      <c r="X110" s="281">
        <f t="shared" si="169"/>
        <v>54.1</v>
      </c>
      <c r="Y110" s="282">
        <f t="shared" si="170"/>
        <v>94.009999999999991</v>
      </c>
      <c r="Z110" s="282">
        <f t="shared" si="171"/>
        <v>58.52000000000001</v>
      </c>
      <c r="AA110" s="283">
        <f t="shared" si="172"/>
        <v>65.03</v>
      </c>
      <c r="AB110" s="281">
        <f t="shared" si="173"/>
        <v>66</v>
      </c>
      <c r="AC110" s="282">
        <f t="shared" si="174"/>
        <v>74.44</v>
      </c>
      <c r="AD110" s="282">
        <f t="shared" si="175"/>
        <v>51.44</v>
      </c>
      <c r="AE110" s="283">
        <f t="shared" si="176"/>
        <v>52.7</v>
      </c>
      <c r="AJ110" s="281">
        <f t="shared" si="177"/>
        <v>88.17</v>
      </c>
      <c r="AK110" s="282">
        <f t="shared" si="178"/>
        <v>87.85</v>
      </c>
      <c r="AL110" s="282">
        <f t="shared" si="179"/>
        <v>40.230000000000004</v>
      </c>
      <c r="AM110" s="283">
        <f t="shared" si="180"/>
        <v>83.75</v>
      </c>
      <c r="AN110" s="281">
        <f t="shared" si="181"/>
        <v>89.4</v>
      </c>
      <c r="AO110" s="282">
        <f t="shared" si="182"/>
        <v>43.36</v>
      </c>
      <c r="AP110" s="282">
        <f t="shared" si="183"/>
        <v>68.5</v>
      </c>
      <c r="AQ110" s="283">
        <f t="shared" si="184"/>
        <v>82.09</v>
      </c>
      <c r="AR110" s="281">
        <f t="shared" si="185"/>
        <v>62.32</v>
      </c>
      <c r="AS110" s="282">
        <f t="shared" si="186"/>
        <v>81.09</v>
      </c>
      <c r="AT110" s="282">
        <f t="shared" si="187"/>
        <v>174.93</v>
      </c>
      <c r="AU110" s="283"/>
      <c r="AZ110" s="281">
        <f t="shared" si="188"/>
        <v>109.92</v>
      </c>
      <c r="BA110" s="282">
        <f t="shared" si="189"/>
        <v>76.05</v>
      </c>
      <c r="BB110" s="282">
        <f t="shared" si="190"/>
        <v>89.71</v>
      </c>
      <c r="BC110" s="283"/>
      <c r="BD110" s="281">
        <f t="shared" si="191"/>
        <v>67.989999999999995</v>
      </c>
      <c r="BE110" s="282">
        <f t="shared" si="192"/>
        <v>78.8</v>
      </c>
      <c r="BF110" s="282">
        <f t="shared" si="193"/>
        <v>74.45</v>
      </c>
      <c r="BG110" s="283"/>
      <c r="BH110" s="281">
        <f t="shared" si="194"/>
        <v>82.53</v>
      </c>
      <c r="BI110" s="282">
        <f t="shared" si="195"/>
        <v>58.84</v>
      </c>
      <c r="BJ110" s="282">
        <f t="shared" si="196"/>
        <v>49.21</v>
      </c>
      <c r="BK110" s="283"/>
      <c r="CD110" s="281">
        <f t="shared" si="197"/>
        <v>130.44999999999999</v>
      </c>
      <c r="CE110" s="281">
        <f t="shared" si="198"/>
        <v>154.29300000000001</v>
      </c>
      <c r="CF110" s="281">
        <f t="shared" si="199"/>
        <v>101.66</v>
      </c>
      <c r="CG110" s="293">
        <f t="shared" si="200"/>
        <v>159.69</v>
      </c>
      <c r="CH110" s="281">
        <f t="shared" si="201"/>
        <v>318.98</v>
      </c>
      <c r="CI110" s="281">
        <f t="shared" si="202"/>
        <v>393.53300000000002</v>
      </c>
      <c r="CJ110" s="281">
        <f t="shared" si="203"/>
        <v>248.78</v>
      </c>
      <c r="CK110" s="293">
        <f t="shared" si="204"/>
        <v>369.07</v>
      </c>
      <c r="CL110" s="281">
        <f t="shared" si="205"/>
        <v>558.87000000000012</v>
      </c>
      <c r="CM110" s="281">
        <f t="shared" si="206"/>
        <v>605.83300000000008</v>
      </c>
      <c r="CN110" s="281">
        <f t="shared" si="207"/>
        <v>532.44000000000005</v>
      </c>
      <c r="CO110" s="293">
        <f t="shared" si="208"/>
        <v>534.91</v>
      </c>
      <c r="CP110" s="281">
        <f t="shared" si="209"/>
        <v>819.31000000000006</v>
      </c>
      <c r="CQ110" s="281">
        <f t="shared" si="210"/>
        <v>819.52300000000002</v>
      </c>
      <c r="CR110" s="281">
        <f t="shared" si="211"/>
        <v>745.81000000000017</v>
      </c>
      <c r="CS110" s="293">
        <f t="shared" si="212"/>
        <v>534.91</v>
      </c>
    </row>
    <row r="111" spans="1:97" x14ac:dyDescent="0.25">
      <c r="A111" s="521"/>
      <c r="B111" s="55">
        <v>20</v>
      </c>
      <c r="C111" s="56">
        <v>62.08</v>
      </c>
      <c r="D111" s="281">
        <f t="shared" si="153"/>
        <v>51.910000000000004</v>
      </c>
      <c r="E111" s="282">
        <f t="shared" si="154"/>
        <v>61.47</v>
      </c>
      <c r="F111" s="282">
        <f t="shared" si="155"/>
        <v>49.510000000000005</v>
      </c>
      <c r="G111" s="283">
        <f t="shared" si="156"/>
        <v>70.12</v>
      </c>
      <c r="H111" s="281">
        <f t="shared" si="157"/>
        <v>31.21</v>
      </c>
      <c r="I111" s="282">
        <f t="shared" si="158"/>
        <v>54.67</v>
      </c>
      <c r="J111" s="282">
        <f t="shared" si="159"/>
        <v>24.08</v>
      </c>
      <c r="K111" s="283">
        <f t="shared" si="160"/>
        <v>70.84</v>
      </c>
      <c r="L111" s="281">
        <f t="shared" si="161"/>
        <v>39.92</v>
      </c>
      <c r="M111" s="282">
        <f t="shared" si="162"/>
        <v>52.680000000000007</v>
      </c>
      <c r="N111" s="282">
        <f t="shared" si="163"/>
        <v>16.55</v>
      </c>
      <c r="O111" s="283">
        <f t="shared" si="164"/>
        <v>34.53</v>
      </c>
      <c r="T111" s="281">
        <f t="shared" si="165"/>
        <v>68.349999999999994</v>
      </c>
      <c r="U111" s="282">
        <f t="shared" si="166"/>
        <v>63.680000000000007</v>
      </c>
      <c r="V111" s="282">
        <f t="shared" si="167"/>
        <v>22.51</v>
      </c>
      <c r="W111" s="283">
        <f t="shared" si="168"/>
        <v>116.55000000000001</v>
      </c>
      <c r="X111" s="281">
        <f t="shared" si="169"/>
        <v>52.46</v>
      </c>
      <c r="Y111" s="282">
        <f t="shared" si="170"/>
        <v>108.25999999999999</v>
      </c>
      <c r="Z111" s="282">
        <f t="shared" si="171"/>
        <v>45.83</v>
      </c>
      <c r="AA111" s="283">
        <f t="shared" si="172"/>
        <v>90.210000000000008</v>
      </c>
      <c r="AB111" s="281">
        <f t="shared" si="173"/>
        <v>50.1</v>
      </c>
      <c r="AC111" s="282">
        <f t="shared" si="174"/>
        <v>74.180000000000007</v>
      </c>
      <c r="AD111" s="282">
        <f t="shared" si="175"/>
        <v>64.81</v>
      </c>
      <c r="AE111" s="283">
        <f t="shared" si="176"/>
        <v>51.129999999999995</v>
      </c>
      <c r="AJ111" s="281">
        <f t="shared" si="177"/>
        <v>128.19</v>
      </c>
      <c r="AK111" s="282">
        <f t="shared" si="178"/>
        <v>66.97</v>
      </c>
      <c r="AL111" s="282">
        <f t="shared" si="179"/>
        <v>69.28</v>
      </c>
      <c r="AM111" s="283">
        <f t="shared" si="180"/>
        <v>75.31</v>
      </c>
      <c r="AN111" s="281">
        <f t="shared" si="181"/>
        <v>99.44</v>
      </c>
      <c r="AO111" s="282">
        <f t="shared" si="182"/>
        <v>75.47</v>
      </c>
      <c r="AP111" s="282">
        <f t="shared" si="183"/>
        <v>70.23</v>
      </c>
      <c r="AQ111" s="283">
        <f t="shared" si="184"/>
        <v>101.19999999999999</v>
      </c>
      <c r="AR111" s="281">
        <f t="shared" si="185"/>
        <v>69.430000000000007</v>
      </c>
      <c r="AS111" s="282">
        <f t="shared" si="186"/>
        <v>66.61</v>
      </c>
      <c r="AT111" s="282">
        <f t="shared" si="187"/>
        <v>168.56</v>
      </c>
      <c r="AU111" s="283"/>
      <c r="AZ111" s="281">
        <f t="shared" si="188"/>
        <v>109.81</v>
      </c>
      <c r="BA111" s="282">
        <f t="shared" si="189"/>
        <v>92.47999999999999</v>
      </c>
      <c r="BB111" s="282">
        <f t="shared" si="190"/>
        <v>115.34</v>
      </c>
      <c r="BC111" s="283"/>
      <c r="BD111" s="281">
        <f t="shared" si="191"/>
        <v>91.39</v>
      </c>
      <c r="BE111" s="282">
        <f t="shared" si="192"/>
        <v>78.05</v>
      </c>
      <c r="BF111" s="282">
        <f t="shared" si="193"/>
        <v>84.289999999999992</v>
      </c>
      <c r="BG111" s="283"/>
      <c r="BH111" s="281">
        <f t="shared" si="194"/>
        <v>77.41</v>
      </c>
      <c r="BI111" s="282">
        <f t="shared" si="195"/>
        <v>68.31</v>
      </c>
      <c r="BJ111" s="282">
        <f t="shared" si="196"/>
        <v>69</v>
      </c>
      <c r="BK111" s="283"/>
      <c r="CD111" s="281">
        <f t="shared" si="197"/>
        <v>123.04</v>
      </c>
      <c r="CE111" s="281">
        <f t="shared" si="198"/>
        <v>168.82</v>
      </c>
      <c r="CF111" s="281">
        <f t="shared" si="199"/>
        <v>90.14</v>
      </c>
      <c r="CG111" s="293">
        <f t="shared" si="200"/>
        <v>175.49</v>
      </c>
      <c r="CH111" s="281">
        <f t="shared" si="201"/>
        <v>293.95</v>
      </c>
      <c r="CI111" s="281">
        <f t="shared" si="202"/>
        <v>414.94</v>
      </c>
      <c r="CJ111" s="281">
        <f t="shared" si="203"/>
        <v>223.29000000000002</v>
      </c>
      <c r="CK111" s="293">
        <f t="shared" si="204"/>
        <v>433.38</v>
      </c>
      <c r="CL111" s="281">
        <f t="shared" si="205"/>
        <v>591.01</v>
      </c>
      <c r="CM111" s="281">
        <f t="shared" si="206"/>
        <v>623.99</v>
      </c>
      <c r="CN111" s="281">
        <f t="shared" si="207"/>
        <v>531.36000000000013</v>
      </c>
      <c r="CO111" s="293">
        <f t="shared" si="208"/>
        <v>609.89</v>
      </c>
      <c r="CP111" s="281">
        <f t="shared" si="209"/>
        <v>869.61999999999989</v>
      </c>
      <c r="CQ111" s="281">
        <f t="shared" si="210"/>
        <v>862.82999999999993</v>
      </c>
      <c r="CR111" s="281">
        <f t="shared" si="211"/>
        <v>799.99000000000012</v>
      </c>
      <c r="CS111" s="293">
        <f t="shared" si="212"/>
        <v>609.89</v>
      </c>
    </row>
    <row r="112" spans="1:97" x14ac:dyDescent="0.25">
      <c r="A112" s="521"/>
      <c r="B112" s="55">
        <v>21</v>
      </c>
      <c r="C112" s="56">
        <v>72.2</v>
      </c>
      <c r="D112" s="281">
        <f t="shared" si="153"/>
        <v>86.86</v>
      </c>
      <c r="E112" s="282">
        <f t="shared" si="154"/>
        <v>94.92</v>
      </c>
      <c r="F112" s="282">
        <f t="shared" si="155"/>
        <v>86.449999999999989</v>
      </c>
      <c r="G112" s="283">
        <f t="shared" si="156"/>
        <v>95.460000000000008</v>
      </c>
      <c r="H112" s="281">
        <f t="shared" si="157"/>
        <v>53.870000000000005</v>
      </c>
      <c r="I112" s="282">
        <f t="shared" si="158"/>
        <v>60.31</v>
      </c>
      <c r="J112" s="282">
        <f t="shared" si="159"/>
        <v>50.78</v>
      </c>
      <c r="K112" s="283">
        <f t="shared" si="160"/>
        <v>59.44</v>
      </c>
      <c r="L112" s="281">
        <f t="shared" si="161"/>
        <v>67.97</v>
      </c>
      <c r="M112" s="282">
        <f t="shared" si="162"/>
        <v>119.83</v>
      </c>
      <c r="N112" s="282">
        <f t="shared" si="163"/>
        <v>46.08</v>
      </c>
      <c r="O112" s="283">
        <f t="shared" si="164"/>
        <v>83.73</v>
      </c>
      <c r="T112" s="281">
        <f t="shared" si="165"/>
        <v>77.02000000000001</v>
      </c>
      <c r="U112" s="282">
        <f t="shared" si="166"/>
        <v>76.39</v>
      </c>
      <c r="V112" s="282">
        <f t="shared" si="167"/>
        <v>70.38</v>
      </c>
      <c r="W112" s="283">
        <f t="shared" si="168"/>
        <v>159.93</v>
      </c>
      <c r="X112" s="281">
        <f t="shared" si="169"/>
        <v>126.65</v>
      </c>
      <c r="Y112" s="282">
        <f t="shared" si="170"/>
        <v>92.749999999999986</v>
      </c>
      <c r="Z112" s="282">
        <f t="shared" si="171"/>
        <v>77.599999999999994</v>
      </c>
      <c r="AA112" s="283">
        <f t="shared" si="172"/>
        <v>112.19</v>
      </c>
      <c r="AB112" s="281">
        <f t="shared" si="173"/>
        <v>78.989999999999995</v>
      </c>
      <c r="AC112" s="282">
        <f t="shared" si="174"/>
        <v>84.47999999999999</v>
      </c>
      <c r="AD112" s="282">
        <f t="shared" si="175"/>
        <v>105.44</v>
      </c>
      <c r="AE112" s="283">
        <f t="shared" si="176"/>
        <v>69.569999999999993</v>
      </c>
      <c r="AJ112" s="281">
        <f t="shared" si="177"/>
        <v>140.62</v>
      </c>
      <c r="AK112" s="282">
        <f t="shared" si="178"/>
        <v>117.65</v>
      </c>
      <c r="AL112" s="282">
        <f t="shared" si="179"/>
        <v>160.38</v>
      </c>
      <c r="AM112" s="283">
        <f t="shared" si="180"/>
        <v>95.68</v>
      </c>
      <c r="AN112" s="281">
        <f t="shared" si="181"/>
        <v>190.25</v>
      </c>
      <c r="AO112" s="282">
        <f t="shared" si="182"/>
        <v>139.73000000000002</v>
      </c>
      <c r="AP112" s="282">
        <f t="shared" si="183"/>
        <v>115.14</v>
      </c>
      <c r="AQ112" s="283">
        <f t="shared" si="184"/>
        <v>111.16999999999999</v>
      </c>
      <c r="AR112" s="281">
        <f t="shared" si="185"/>
        <v>137.12</v>
      </c>
      <c r="AS112" s="282">
        <f t="shared" si="186"/>
        <v>137.98000000000002</v>
      </c>
      <c r="AT112" s="282">
        <f t="shared" si="187"/>
        <v>142.54999999999998</v>
      </c>
      <c r="AU112" s="283"/>
      <c r="AZ112" s="281">
        <f t="shared" si="188"/>
        <v>161.85000000000002</v>
      </c>
      <c r="BA112" s="282">
        <f t="shared" si="189"/>
        <v>143.07</v>
      </c>
      <c r="BB112" s="282">
        <f t="shared" si="190"/>
        <v>199.91000000000003</v>
      </c>
      <c r="BC112" s="283"/>
      <c r="BD112" s="281">
        <f t="shared" si="191"/>
        <v>152.35</v>
      </c>
      <c r="BE112" s="282">
        <f t="shared" si="192"/>
        <v>148.07</v>
      </c>
      <c r="BF112" s="282">
        <f t="shared" si="193"/>
        <v>154.22999999999999</v>
      </c>
      <c r="BG112" s="283"/>
      <c r="BH112" s="281">
        <f t="shared" si="194"/>
        <v>139.48000000000002</v>
      </c>
      <c r="BI112" s="282">
        <f t="shared" si="195"/>
        <v>108.66</v>
      </c>
      <c r="BJ112" s="282">
        <f t="shared" si="196"/>
        <v>96.05</v>
      </c>
      <c r="BK112" s="283"/>
      <c r="CD112" s="281">
        <f t="shared" si="197"/>
        <v>208.70000000000002</v>
      </c>
      <c r="CE112" s="281">
        <f t="shared" si="198"/>
        <v>275.06</v>
      </c>
      <c r="CF112" s="281">
        <f t="shared" si="199"/>
        <v>183.31</v>
      </c>
      <c r="CG112" s="293">
        <f t="shared" si="200"/>
        <v>238.63</v>
      </c>
      <c r="CH112" s="281">
        <f t="shared" si="201"/>
        <v>491.36</v>
      </c>
      <c r="CI112" s="281">
        <f t="shared" si="202"/>
        <v>528.67999999999995</v>
      </c>
      <c r="CJ112" s="281">
        <f t="shared" si="203"/>
        <v>436.72999999999996</v>
      </c>
      <c r="CK112" s="293">
        <f t="shared" si="204"/>
        <v>580.31999999999994</v>
      </c>
      <c r="CL112" s="281">
        <f t="shared" si="205"/>
        <v>959.35</v>
      </c>
      <c r="CM112" s="281">
        <f t="shared" si="206"/>
        <v>924.04</v>
      </c>
      <c r="CN112" s="281">
        <f t="shared" si="207"/>
        <v>854.79999999999984</v>
      </c>
      <c r="CO112" s="293">
        <f t="shared" si="208"/>
        <v>787.17</v>
      </c>
      <c r="CP112" s="281">
        <f t="shared" si="209"/>
        <v>1413.03</v>
      </c>
      <c r="CQ112" s="281">
        <f t="shared" si="210"/>
        <v>1323.84</v>
      </c>
      <c r="CR112" s="281">
        <f t="shared" si="211"/>
        <v>1304.9899999999998</v>
      </c>
      <c r="CS112" s="293">
        <f t="shared" si="212"/>
        <v>787.17</v>
      </c>
    </row>
    <row r="113" spans="1:97" x14ac:dyDescent="0.25">
      <c r="A113" s="521"/>
      <c r="B113" s="55">
        <v>22</v>
      </c>
      <c r="C113" s="56">
        <v>52.3</v>
      </c>
      <c r="D113" s="281">
        <f t="shared" si="153"/>
        <v>55.309999999999995</v>
      </c>
      <c r="E113" s="282">
        <f t="shared" si="154"/>
        <v>63.79</v>
      </c>
      <c r="F113" s="282">
        <f t="shared" si="155"/>
        <v>58.67</v>
      </c>
      <c r="G113" s="283">
        <f t="shared" si="156"/>
        <v>30.8</v>
      </c>
      <c r="H113" s="281">
        <f t="shared" si="157"/>
        <v>40.28</v>
      </c>
      <c r="I113" s="282">
        <f t="shared" si="158"/>
        <v>38.15</v>
      </c>
      <c r="J113" s="282">
        <f t="shared" si="159"/>
        <v>36.06</v>
      </c>
      <c r="K113" s="283">
        <f t="shared" si="160"/>
        <v>74.5</v>
      </c>
      <c r="L113" s="281">
        <f t="shared" si="161"/>
        <v>37.519999999999996</v>
      </c>
      <c r="M113" s="282">
        <f t="shared" si="162"/>
        <v>63.980000000000004</v>
      </c>
      <c r="N113" s="282">
        <f t="shared" si="163"/>
        <v>27.049999999999997</v>
      </c>
      <c r="O113" s="283">
        <f t="shared" si="164"/>
        <v>55.26</v>
      </c>
      <c r="T113" s="281">
        <f t="shared" si="165"/>
        <v>50.19</v>
      </c>
      <c r="U113" s="282">
        <f t="shared" si="166"/>
        <v>44.94</v>
      </c>
      <c r="V113" s="282">
        <f t="shared" si="167"/>
        <v>43.81</v>
      </c>
      <c r="W113" s="283">
        <f t="shared" si="168"/>
        <v>78.13</v>
      </c>
      <c r="X113" s="281">
        <f t="shared" si="169"/>
        <v>78.41</v>
      </c>
      <c r="Y113" s="282">
        <f t="shared" si="170"/>
        <v>55.76</v>
      </c>
      <c r="Z113" s="282">
        <f t="shared" si="171"/>
        <v>38.590000000000003</v>
      </c>
      <c r="AA113" s="283">
        <f t="shared" si="172"/>
        <v>40.56</v>
      </c>
      <c r="AB113" s="281">
        <f t="shared" si="173"/>
        <v>57.33</v>
      </c>
      <c r="AC113" s="282">
        <f t="shared" si="174"/>
        <v>62</v>
      </c>
      <c r="AD113" s="282">
        <f t="shared" si="175"/>
        <v>58.92</v>
      </c>
      <c r="AE113" s="283">
        <f t="shared" si="176"/>
        <v>65</v>
      </c>
      <c r="AJ113" s="281">
        <f t="shared" si="177"/>
        <v>77.830000000000013</v>
      </c>
      <c r="AK113" s="282">
        <f t="shared" si="178"/>
        <v>83.44</v>
      </c>
      <c r="AL113" s="282">
        <f t="shared" si="179"/>
        <v>68.87</v>
      </c>
      <c r="AM113" s="283">
        <f t="shared" si="180"/>
        <v>66.36</v>
      </c>
      <c r="AN113" s="281">
        <f t="shared" si="181"/>
        <v>137.77000000000001</v>
      </c>
      <c r="AO113" s="282">
        <f t="shared" si="182"/>
        <v>91.12</v>
      </c>
      <c r="AP113" s="282">
        <f t="shared" si="183"/>
        <v>100.56</v>
      </c>
      <c r="AQ113" s="283">
        <f t="shared" si="184"/>
        <v>66.599999999999994</v>
      </c>
      <c r="AR113" s="281">
        <f t="shared" si="185"/>
        <v>87.65</v>
      </c>
      <c r="AS113" s="282">
        <f t="shared" si="186"/>
        <v>89.7</v>
      </c>
      <c r="AT113" s="282">
        <f t="shared" si="187"/>
        <v>75.260000000000005</v>
      </c>
      <c r="AU113" s="283"/>
      <c r="AZ113" s="281">
        <f t="shared" si="188"/>
        <v>103.59</v>
      </c>
      <c r="BA113" s="282">
        <f t="shared" si="189"/>
        <v>100.33</v>
      </c>
      <c r="BB113" s="282">
        <f t="shared" si="190"/>
        <v>133.42000000000002</v>
      </c>
      <c r="BC113" s="283"/>
      <c r="BD113" s="281">
        <f t="shared" si="191"/>
        <v>83.89</v>
      </c>
      <c r="BE113" s="282">
        <f t="shared" si="192"/>
        <v>96.06</v>
      </c>
      <c r="BF113" s="282">
        <f t="shared" si="193"/>
        <v>93.41</v>
      </c>
      <c r="BG113" s="283"/>
      <c r="BH113" s="281">
        <f t="shared" si="194"/>
        <v>91.81</v>
      </c>
      <c r="BI113" s="282">
        <f t="shared" si="195"/>
        <v>70.740000000000009</v>
      </c>
      <c r="BJ113" s="282">
        <f t="shared" si="196"/>
        <v>67.679999999999993</v>
      </c>
      <c r="BK113" s="283"/>
      <c r="CD113" s="281">
        <f t="shared" si="197"/>
        <v>133.11000000000001</v>
      </c>
      <c r="CE113" s="281">
        <f t="shared" si="198"/>
        <v>165.92000000000002</v>
      </c>
      <c r="CF113" s="281">
        <f t="shared" si="199"/>
        <v>121.78</v>
      </c>
      <c r="CG113" s="293">
        <f t="shared" si="200"/>
        <v>160.56</v>
      </c>
      <c r="CH113" s="281">
        <f t="shared" si="201"/>
        <v>319.04000000000002</v>
      </c>
      <c r="CI113" s="281">
        <f t="shared" si="202"/>
        <v>328.62</v>
      </c>
      <c r="CJ113" s="281">
        <f t="shared" si="203"/>
        <v>263.10000000000002</v>
      </c>
      <c r="CK113" s="293">
        <f t="shared" si="204"/>
        <v>344.25</v>
      </c>
      <c r="CL113" s="281">
        <f t="shared" si="205"/>
        <v>622.29</v>
      </c>
      <c r="CM113" s="281">
        <f t="shared" si="206"/>
        <v>592.88</v>
      </c>
      <c r="CN113" s="281">
        <f t="shared" si="207"/>
        <v>507.79</v>
      </c>
      <c r="CO113" s="293">
        <f t="shared" si="208"/>
        <v>477.21000000000004</v>
      </c>
      <c r="CP113" s="281">
        <f t="shared" si="209"/>
        <v>901.57999999999993</v>
      </c>
      <c r="CQ113" s="281">
        <f t="shared" si="210"/>
        <v>860.01</v>
      </c>
      <c r="CR113" s="281">
        <f t="shared" si="211"/>
        <v>802.3</v>
      </c>
      <c r="CS113" s="293">
        <f t="shared" si="212"/>
        <v>477.21000000000004</v>
      </c>
    </row>
    <row r="114" spans="1:97" ht="15.75" thickBot="1" x14ac:dyDescent="0.3">
      <c r="A114" s="521"/>
      <c r="B114" s="55">
        <v>24</v>
      </c>
      <c r="C114" s="84">
        <v>44.7</v>
      </c>
      <c r="D114" s="281">
        <f t="shared" si="153"/>
        <v>61.879999999999995</v>
      </c>
      <c r="E114" s="282">
        <f t="shared" si="154"/>
        <v>49.75</v>
      </c>
      <c r="F114" s="282">
        <f t="shared" si="155"/>
        <v>52.45</v>
      </c>
      <c r="G114" s="283">
        <f t="shared" si="156"/>
        <v>53.53</v>
      </c>
      <c r="H114" s="281">
        <f t="shared" si="157"/>
        <v>15.52</v>
      </c>
      <c r="I114" s="282">
        <f t="shared" si="158"/>
        <v>34.5</v>
      </c>
      <c r="J114" s="282">
        <f t="shared" si="159"/>
        <v>22.4</v>
      </c>
      <c r="K114" s="283">
        <f t="shared" si="160"/>
        <v>60.35</v>
      </c>
      <c r="L114" s="281">
        <f t="shared" si="161"/>
        <v>25.990000000000002</v>
      </c>
      <c r="M114" s="282">
        <f t="shared" si="162"/>
        <v>29.77</v>
      </c>
      <c r="N114" s="282">
        <f t="shared" si="163"/>
        <v>13.799999999999999</v>
      </c>
      <c r="O114" s="283">
        <f t="shared" si="164"/>
        <v>48.56</v>
      </c>
      <c r="T114" s="281">
        <f t="shared" si="165"/>
        <v>42.349999999999994</v>
      </c>
      <c r="U114" s="282">
        <f t="shared" si="166"/>
        <v>29.76</v>
      </c>
      <c r="V114" s="282">
        <f t="shared" si="167"/>
        <v>17.14</v>
      </c>
      <c r="W114" s="283">
        <f t="shared" si="168"/>
        <v>92.41</v>
      </c>
      <c r="X114" s="281">
        <f t="shared" si="169"/>
        <v>35.019999999999996</v>
      </c>
      <c r="Y114" s="282">
        <f t="shared" si="170"/>
        <v>47.11</v>
      </c>
      <c r="Z114" s="282">
        <f t="shared" si="171"/>
        <v>65.12</v>
      </c>
      <c r="AA114" s="283">
        <f t="shared" si="172"/>
        <v>32.630000000000003</v>
      </c>
      <c r="AB114" s="281">
        <f t="shared" si="173"/>
        <v>32.69</v>
      </c>
      <c r="AC114" s="282">
        <f t="shared" si="174"/>
        <v>55.39</v>
      </c>
      <c r="AD114" s="282">
        <f t="shared" si="175"/>
        <v>63.070000000000007</v>
      </c>
      <c r="AE114" s="283">
        <f t="shared" si="176"/>
        <v>64.31</v>
      </c>
      <c r="AJ114" s="281">
        <f t="shared" si="177"/>
        <v>37.86</v>
      </c>
      <c r="AK114" s="282">
        <f t="shared" si="178"/>
        <v>53.04</v>
      </c>
      <c r="AL114" s="282">
        <f t="shared" si="179"/>
        <v>57.019999999999996</v>
      </c>
      <c r="AM114" s="283">
        <f t="shared" si="180"/>
        <v>49.339999999999996</v>
      </c>
      <c r="AN114" s="281">
        <f t="shared" si="181"/>
        <v>71.77</v>
      </c>
      <c r="AO114" s="282">
        <f t="shared" si="182"/>
        <v>55.93</v>
      </c>
      <c r="AP114" s="282">
        <f t="shared" si="183"/>
        <v>97.320000000000007</v>
      </c>
      <c r="AQ114" s="283">
        <f t="shared" si="184"/>
        <v>77.790000000000006</v>
      </c>
      <c r="AR114" s="281">
        <f t="shared" si="185"/>
        <v>75.08</v>
      </c>
      <c r="AS114" s="282">
        <f t="shared" si="186"/>
        <v>68.63</v>
      </c>
      <c r="AT114" s="282">
        <f t="shared" si="187"/>
        <v>87.79</v>
      </c>
      <c r="AU114" s="283"/>
      <c r="AZ114" s="281">
        <f t="shared" si="188"/>
        <v>82.28</v>
      </c>
      <c r="BA114" s="282">
        <f t="shared" si="189"/>
        <v>87.460000000000008</v>
      </c>
      <c r="BB114" s="282">
        <f t="shared" si="190"/>
        <v>131.74</v>
      </c>
      <c r="BC114" s="283"/>
      <c r="BD114" s="281">
        <f t="shared" si="191"/>
        <v>59.83</v>
      </c>
      <c r="BE114" s="282">
        <f t="shared" si="192"/>
        <v>81.02</v>
      </c>
      <c r="BF114" s="282">
        <f t="shared" si="193"/>
        <v>99.53</v>
      </c>
      <c r="BG114" s="283"/>
      <c r="BH114" s="281">
        <f t="shared" si="194"/>
        <v>46.12</v>
      </c>
      <c r="BI114" s="282">
        <f t="shared" si="195"/>
        <v>61.3</v>
      </c>
      <c r="BJ114" s="282">
        <f t="shared" si="196"/>
        <v>87.56</v>
      </c>
      <c r="BK114" s="283"/>
      <c r="CD114" s="281">
        <f t="shared" si="197"/>
        <v>103.38999999999999</v>
      </c>
      <c r="CE114" s="281">
        <f t="shared" si="198"/>
        <v>114.02</v>
      </c>
      <c r="CF114" s="281">
        <f t="shared" si="199"/>
        <v>88.649999999999991</v>
      </c>
      <c r="CG114" s="293">
        <f t="shared" si="200"/>
        <v>162.44</v>
      </c>
      <c r="CH114" s="281">
        <f t="shared" si="201"/>
        <v>213.45</v>
      </c>
      <c r="CI114" s="281">
        <f t="shared" si="202"/>
        <v>246.27999999999997</v>
      </c>
      <c r="CJ114" s="281">
        <f t="shared" si="203"/>
        <v>233.98000000000002</v>
      </c>
      <c r="CK114" s="293">
        <f t="shared" si="204"/>
        <v>351.79</v>
      </c>
      <c r="CL114" s="281">
        <f t="shared" si="205"/>
        <v>398.15999999999997</v>
      </c>
      <c r="CM114" s="281">
        <f t="shared" si="206"/>
        <v>423.88</v>
      </c>
      <c r="CN114" s="281">
        <f t="shared" si="207"/>
        <v>476.11</v>
      </c>
      <c r="CO114" s="293">
        <f t="shared" si="208"/>
        <v>478.92</v>
      </c>
      <c r="CP114" s="281">
        <f t="shared" si="209"/>
        <v>586.39</v>
      </c>
      <c r="CQ114" s="281">
        <f t="shared" si="210"/>
        <v>653.66</v>
      </c>
      <c r="CR114" s="281">
        <f t="shared" si="211"/>
        <v>794.94</v>
      </c>
      <c r="CS114" s="293">
        <f t="shared" si="212"/>
        <v>478.92</v>
      </c>
    </row>
    <row r="115" spans="1:97" ht="15.75" thickBot="1" x14ac:dyDescent="0.3">
      <c r="A115" s="91" t="s">
        <v>26</v>
      </c>
      <c r="B115" s="116">
        <v>105</v>
      </c>
      <c r="C115" s="90">
        <v>50</v>
      </c>
      <c r="D115" s="281">
        <f t="shared" si="153"/>
        <v>0</v>
      </c>
      <c r="E115" s="282">
        <f t="shared" si="154"/>
        <v>0</v>
      </c>
      <c r="F115" s="282">
        <f t="shared" si="155"/>
        <v>0</v>
      </c>
      <c r="G115" s="283">
        <f t="shared" si="156"/>
        <v>0</v>
      </c>
      <c r="H115" s="281">
        <f t="shared" si="157"/>
        <v>0</v>
      </c>
      <c r="I115" s="282">
        <f t="shared" si="158"/>
        <v>0</v>
      </c>
      <c r="J115" s="282">
        <f t="shared" si="159"/>
        <v>0</v>
      </c>
      <c r="K115" s="283">
        <f t="shared" si="160"/>
        <v>0</v>
      </c>
      <c r="L115" s="281">
        <f t="shared" si="161"/>
        <v>0</v>
      </c>
      <c r="M115" s="282">
        <f t="shared" si="162"/>
        <v>0</v>
      </c>
      <c r="N115" s="282">
        <f t="shared" si="163"/>
        <v>0.15</v>
      </c>
      <c r="O115" s="283">
        <f t="shared" si="164"/>
        <v>0</v>
      </c>
      <c r="T115" s="281">
        <f t="shared" si="165"/>
        <v>0</v>
      </c>
      <c r="U115" s="282">
        <f t="shared" si="166"/>
        <v>0</v>
      </c>
      <c r="V115" s="282">
        <f t="shared" si="167"/>
        <v>0</v>
      </c>
      <c r="W115" s="283">
        <f t="shared" si="168"/>
        <v>0</v>
      </c>
      <c r="X115" s="281">
        <f t="shared" si="169"/>
        <v>0</v>
      </c>
      <c r="Y115" s="282">
        <f t="shared" si="170"/>
        <v>0</v>
      </c>
      <c r="Z115" s="282">
        <f t="shared" si="171"/>
        <v>0</v>
      </c>
      <c r="AA115" s="283">
        <f t="shared" si="172"/>
        <v>0</v>
      </c>
      <c r="AB115" s="281">
        <f t="shared" si="173"/>
        <v>0</v>
      </c>
      <c r="AC115" s="282">
        <f t="shared" si="174"/>
        <v>0</v>
      </c>
      <c r="AD115" s="282">
        <f t="shared" si="175"/>
        <v>0</v>
      </c>
      <c r="AE115" s="283">
        <f t="shared" si="176"/>
        <v>0</v>
      </c>
      <c r="AJ115" s="281">
        <f t="shared" si="177"/>
        <v>0</v>
      </c>
      <c r="AK115" s="282">
        <f t="shared" si="178"/>
        <v>0</v>
      </c>
      <c r="AL115" s="282">
        <f t="shared" si="179"/>
        <v>0</v>
      </c>
      <c r="AM115" s="283">
        <f t="shared" si="180"/>
        <v>0</v>
      </c>
      <c r="AN115" s="281">
        <f t="shared" si="181"/>
        <v>0</v>
      </c>
      <c r="AO115" s="282">
        <f t="shared" si="182"/>
        <v>0</v>
      </c>
      <c r="AP115" s="282">
        <f t="shared" si="183"/>
        <v>0</v>
      </c>
      <c r="AQ115" s="283">
        <f t="shared" si="184"/>
        <v>0</v>
      </c>
      <c r="AR115" s="281">
        <f t="shared" si="185"/>
        <v>3.05</v>
      </c>
      <c r="AS115" s="282">
        <f t="shared" si="186"/>
        <v>0</v>
      </c>
      <c r="AT115" s="282">
        <f t="shared" si="187"/>
        <v>0</v>
      </c>
      <c r="AU115" s="283"/>
      <c r="AZ115" s="281">
        <f t="shared" si="188"/>
        <v>0</v>
      </c>
      <c r="BA115" s="282">
        <f t="shared" si="189"/>
        <v>0</v>
      </c>
      <c r="BB115" s="282">
        <f t="shared" si="190"/>
        <v>0</v>
      </c>
      <c r="BC115" s="283"/>
      <c r="BD115" s="281">
        <f t="shared" si="191"/>
        <v>0</v>
      </c>
      <c r="BE115" s="282">
        <f t="shared" si="192"/>
        <v>0</v>
      </c>
      <c r="BF115" s="282">
        <f t="shared" si="193"/>
        <v>0</v>
      </c>
      <c r="BG115" s="283"/>
      <c r="BH115" s="281">
        <f t="shared" si="194"/>
        <v>0</v>
      </c>
      <c r="BI115" s="282">
        <f t="shared" si="195"/>
        <v>0</v>
      </c>
      <c r="BJ115" s="282">
        <f t="shared" si="196"/>
        <v>0</v>
      </c>
      <c r="BK115" s="283"/>
      <c r="CD115" s="281">
        <f t="shared" si="197"/>
        <v>0</v>
      </c>
      <c r="CE115" s="281">
        <f t="shared" si="198"/>
        <v>0</v>
      </c>
      <c r="CF115" s="281">
        <f t="shared" si="199"/>
        <v>0.15</v>
      </c>
      <c r="CG115" s="293">
        <f t="shared" si="200"/>
        <v>0</v>
      </c>
      <c r="CH115" s="281">
        <f t="shared" si="201"/>
        <v>0</v>
      </c>
      <c r="CI115" s="281">
        <f t="shared" si="202"/>
        <v>0</v>
      </c>
      <c r="CJ115" s="281">
        <f t="shared" si="203"/>
        <v>0.15</v>
      </c>
      <c r="CK115" s="293">
        <f t="shared" si="204"/>
        <v>0</v>
      </c>
      <c r="CL115" s="281">
        <f t="shared" si="205"/>
        <v>3.05</v>
      </c>
      <c r="CM115" s="281">
        <f t="shared" si="206"/>
        <v>0</v>
      </c>
      <c r="CN115" s="281">
        <f t="shared" si="207"/>
        <v>0.15</v>
      </c>
      <c r="CO115" s="293">
        <f t="shared" si="208"/>
        <v>0</v>
      </c>
      <c r="CP115" s="281">
        <f t="shared" si="209"/>
        <v>3.05</v>
      </c>
      <c r="CQ115" s="281">
        <f t="shared" si="210"/>
        <v>0</v>
      </c>
      <c r="CR115" s="281">
        <f t="shared" si="211"/>
        <v>0.15</v>
      </c>
      <c r="CS115" s="293">
        <f t="shared" si="212"/>
        <v>0</v>
      </c>
    </row>
    <row r="116" spans="1:97" ht="15.75" thickBot="1" x14ac:dyDescent="0.3">
      <c r="A116" s="123" t="s">
        <v>27</v>
      </c>
      <c r="B116" s="83">
        <v>114</v>
      </c>
      <c r="C116" s="84">
        <v>46</v>
      </c>
      <c r="D116" s="281">
        <f t="shared" si="153"/>
        <v>0</v>
      </c>
      <c r="E116" s="282">
        <f t="shared" si="154"/>
        <v>0</v>
      </c>
      <c r="F116" s="282">
        <f t="shared" si="155"/>
        <v>0</v>
      </c>
      <c r="G116" s="283">
        <f t="shared" si="156"/>
        <v>0</v>
      </c>
      <c r="H116" s="281">
        <f t="shared" si="157"/>
        <v>0</v>
      </c>
      <c r="I116" s="282">
        <f t="shared" si="158"/>
        <v>0</v>
      </c>
      <c r="J116" s="282">
        <f t="shared" si="159"/>
        <v>0</v>
      </c>
      <c r="K116" s="283">
        <f t="shared" si="160"/>
        <v>0</v>
      </c>
      <c r="L116" s="281">
        <f t="shared" si="161"/>
        <v>0</v>
      </c>
      <c r="M116" s="282">
        <f t="shared" si="162"/>
        <v>0</v>
      </c>
      <c r="N116" s="282">
        <f t="shared" si="163"/>
        <v>0.15</v>
      </c>
      <c r="O116" s="283">
        <f t="shared" si="164"/>
        <v>0</v>
      </c>
      <c r="T116" s="281">
        <f t="shared" si="165"/>
        <v>0</v>
      </c>
      <c r="U116" s="282">
        <f t="shared" si="166"/>
        <v>0</v>
      </c>
      <c r="V116" s="282">
        <f t="shared" si="167"/>
        <v>0</v>
      </c>
      <c r="W116" s="283">
        <f t="shared" si="168"/>
        <v>0</v>
      </c>
      <c r="X116" s="281">
        <f t="shared" si="169"/>
        <v>0</v>
      </c>
      <c r="Y116" s="282">
        <f t="shared" si="170"/>
        <v>0</v>
      </c>
      <c r="Z116" s="282">
        <f t="shared" si="171"/>
        <v>0</v>
      </c>
      <c r="AA116" s="283">
        <f t="shared" si="172"/>
        <v>0</v>
      </c>
      <c r="AB116" s="281">
        <f t="shared" si="173"/>
        <v>0</v>
      </c>
      <c r="AC116" s="282">
        <f t="shared" si="174"/>
        <v>0</v>
      </c>
      <c r="AD116" s="282">
        <f t="shared" si="175"/>
        <v>0</v>
      </c>
      <c r="AE116" s="283">
        <f t="shared" si="176"/>
        <v>0</v>
      </c>
      <c r="AJ116" s="281">
        <f t="shared" si="177"/>
        <v>0</v>
      </c>
      <c r="AK116" s="282">
        <f t="shared" si="178"/>
        <v>0</v>
      </c>
      <c r="AL116" s="282">
        <f t="shared" si="179"/>
        <v>0</v>
      </c>
      <c r="AM116" s="283">
        <f t="shared" si="180"/>
        <v>0</v>
      </c>
      <c r="AN116" s="281">
        <f t="shared" si="181"/>
        <v>0</v>
      </c>
      <c r="AO116" s="282">
        <f t="shared" si="182"/>
        <v>0</v>
      </c>
      <c r="AP116" s="282">
        <f t="shared" si="183"/>
        <v>0</v>
      </c>
      <c r="AQ116" s="283">
        <f t="shared" si="184"/>
        <v>0</v>
      </c>
      <c r="AR116" s="281">
        <f t="shared" si="185"/>
        <v>0</v>
      </c>
      <c r="AS116" s="282">
        <f t="shared" si="186"/>
        <v>0</v>
      </c>
      <c r="AT116" s="282">
        <f t="shared" si="187"/>
        <v>0</v>
      </c>
      <c r="AU116" s="283"/>
      <c r="AZ116" s="281">
        <f t="shared" si="188"/>
        <v>0</v>
      </c>
      <c r="BA116" s="282">
        <f t="shared" si="189"/>
        <v>0</v>
      </c>
      <c r="BB116" s="282">
        <f t="shared" si="190"/>
        <v>0</v>
      </c>
      <c r="BC116" s="283"/>
      <c r="BD116" s="281">
        <f t="shared" si="191"/>
        <v>0</v>
      </c>
      <c r="BE116" s="282">
        <f t="shared" si="192"/>
        <v>0</v>
      </c>
      <c r="BF116" s="282">
        <f t="shared" si="193"/>
        <v>0</v>
      </c>
      <c r="BG116" s="283"/>
      <c r="BH116" s="281">
        <f t="shared" si="194"/>
        <v>0</v>
      </c>
      <c r="BI116" s="282">
        <f t="shared" si="195"/>
        <v>0</v>
      </c>
      <c r="BJ116" s="282">
        <f t="shared" si="196"/>
        <v>0</v>
      </c>
      <c r="BK116" s="283"/>
      <c r="CD116" s="281">
        <f t="shared" si="197"/>
        <v>0</v>
      </c>
      <c r="CE116" s="281">
        <f t="shared" si="198"/>
        <v>0</v>
      </c>
      <c r="CF116" s="281">
        <f t="shared" si="199"/>
        <v>0.15</v>
      </c>
      <c r="CG116" s="293">
        <f t="shared" si="200"/>
        <v>0</v>
      </c>
      <c r="CH116" s="281">
        <f t="shared" si="201"/>
        <v>0</v>
      </c>
      <c r="CI116" s="281">
        <f t="shared" si="202"/>
        <v>0</v>
      </c>
      <c r="CJ116" s="281">
        <f t="shared" si="203"/>
        <v>0.15</v>
      </c>
      <c r="CK116" s="293">
        <f t="shared" si="204"/>
        <v>0</v>
      </c>
      <c r="CL116" s="281">
        <f t="shared" si="205"/>
        <v>0</v>
      </c>
      <c r="CM116" s="281">
        <f t="shared" si="206"/>
        <v>0</v>
      </c>
      <c r="CN116" s="281">
        <f t="shared" si="207"/>
        <v>0.15</v>
      </c>
      <c r="CO116" s="293">
        <f t="shared" si="208"/>
        <v>0</v>
      </c>
      <c r="CP116" s="281">
        <f t="shared" si="209"/>
        <v>0</v>
      </c>
      <c r="CQ116" s="281">
        <f t="shared" si="210"/>
        <v>0</v>
      </c>
      <c r="CR116" s="281">
        <f t="shared" si="211"/>
        <v>0.15</v>
      </c>
      <c r="CS116" s="293">
        <f t="shared" si="212"/>
        <v>0</v>
      </c>
    </row>
    <row r="117" spans="1:97" x14ac:dyDescent="0.25">
      <c r="A117" s="520" t="s">
        <v>28</v>
      </c>
      <c r="B117" s="23">
        <v>25</v>
      </c>
      <c r="C117" s="24">
        <v>38.22</v>
      </c>
      <c r="D117" s="281">
        <f t="shared" si="153"/>
        <v>0</v>
      </c>
      <c r="E117" s="282">
        <f t="shared" si="154"/>
        <v>1.42</v>
      </c>
      <c r="F117" s="282">
        <f t="shared" si="155"/>
        <v>1.02</v>
      </c>
      <c r="G117" s="283">
        <f t="shared" si="156"/>
        <v>18.25</v>
      </c>
      <c r="H117" s="281">
        <f t="shared" si="157"/>
        <v>0</v>
      </c>
      <c r="I117" s="282">
        <f t="shared" si="158"/>
        <v>0.37</v>
      </c>
      <c r="J117" s="282">
        <f t="shared" si="159"/>
        <v>1.02</v>
      </c>
      <c r="K117" s="283">
        <f t="shared" si="160"/>
        <v>21.46</v>
      </c>
      <c r="L117" s="281">
        <f t="shared" si="161"/>
        <v>0</v>
      </c>
      <c r="M117" s="282">
        <f t="shared" si="162"/>
        <v>0.36</v>
      </c>
      <c r="N117" s="282">
        <f t="shared" si="163"/>
        <v>2.2800000000000002</v>
      </c>
      <c r="O117" s="283">
        <f t="shared" si="164"/>
        <v>18.98</v>
      </c>
      <c r="T117" s="281">
        <f t="shared" si="165"/>
        <v>0</v>
      </c>
      <c r="U117" s="282">
        <f t="shared" si="166"/>
        <v>1.26</v>
      </c>
      <c r="V117" s="282">
        <f t="shared" si="167"/>
        <v>3.4299999999999997</v>
      </c>
      <c r="W117" s="283">
        <f t="shared" si="168"/>
        <v>28.92</v>
      </c>
      <c r="X117" s="281">
        <f t="shared" si="169"/>
        <v>0</v>
      </c>
      <c r="Y117" s="282">
        <f t="shared" si="170"/>
        <v>2.7600000000000002</v>
      </c>
      <c r="Z117" s="282">
        <f t="shared" si="171"/>
        <v>9.34</v>
      </c>
      <c r="AA117" s="283">
        <f t="shared" si="172"/>
        <v>43.78</v>
      </c>
      <c r="AB117" s="281">
        <f t="shared" si="173"/>
        <v>0</v>
      </c>
      <c r="AC117" s="282">
        <f t="shared" si="174"/>
        <v>0.92</v>
      </c>
      <c r="AD117" s="282">
        <f t="shared" si="175"/>
        <v>12.17</v>
      </c>
      <c r="AE117" s="283">
        <f t="shared" si="176"/>
        <v>24.43</v>
      </c>
      <c r="AJ117" s="281">
        <f t="shared" si="177"/>
        <v>0</v>
      </c>
      <c r="AK117" s="282">
        <f t="shared" si="178"/>
        <v>1.19</v>
      </c>
      <c r="AL117" s="282">
        <f t="shared" si="179"/>
        <v>8.1</v>
      </c>
      <c r="AM117" s="283">
        <f t="shared" si="180"/>
        <v>23.89</v>
      </c>
      <c r="AN117" s="281">
        <f t="shared" si="181"/>
        <v>0.28999999999999998</v>
      </c>
      <c r="AO117" s="282">
        <f t="shared" si="182"/>
        <v>2.16</v>
      </c>
      <c r="AP117" s="282">
        <f t="shared" si="183"/>
        <v>10.59</v>
      </c>
      <c r="AQ117" s="283">
        <f t="shared" si="184"/>
        <v>30.08</v>
      </c>
      <c r="AR117" s="281">
        <f t="shared" si="185"/>
        <v>0.69</v>
      </c>
      <c r="AS117" s="282">
        <f t="shared" si="186"/>
        <v>0.71</v>
      </c>
      <c r="AT117" s="282">
        <f t="shared" si="187"/>
        <v>14.830000000000002</v>
      </c>
      <c r="AU117" s="283"/>
      <c r="AZ117" s="281">
        <f t="shared" si="188"/>
        <v>0.4</v>
      </c>
      <c r="BA117" s="282">
        <f t="shared" si="189"/>
        <v>1.4</v>
      </c>
      <c r="BB117" s="282">
        <f t="shared" si="190"/>
        <v>13.21</v>
      </c>
      <c r="BC117" s="283"/>
      <c r="BD117" s="281">
        <f t="shared" si="191"/>
        <v>0.71</v>
      </c>
      <c r="BE117" s="282">
        <f t="shared" si="192"/>
        <v>1.57</v>
      </c>
      <c r="BF117" s="282">
        <f t="shared" si="193"/>
        <v>24.810000000000002</v>
      </c>
      <c r="BG117" s="283"/>
      <c r="BH117" s="281">
        <f t="shared" si="194"/>
        <v>0.99</v>
      </c>
      <c r="BI117" s="282">
        <f t="shared" si="195"/>
        <v>1.03</v>
      </c>
      <c r="BJ117" s="282">
        <f t="shared" si="196"/>
        <v>9.11</v>
      </c>
      <c r="BK117" s="283"/>
      <c r="CD117" s="281">
        <f t="shared" si="197"/>
        <v>0</v>
      </c>
      <c r="CE117" s="281">
        <f t="shared" si="198"/>
        <v>2.15</v>
      </c>
      <c r="CF117" s="281">
        <f t="shared" si="199"/>
        <v>4.32</v>
      </c>
      <c r="CG117" s="293">
        <f t="shared" si="200"/>
        <v>58.69</v>
      </c>
      <c r="CH117" s="281">
        <f t="shared" si="201"/>
        <v>0</v>
      </c>
      <c r="CI117" s="281">
        <f t="shared" si="202"/>
        <v>7.09</v>
      </c>
      <c r="CJ117" s="281">
        <f t="shared" si="203"/>
        <v>29.259999999999998</v>
      </c>
      <c r="CK117" s="293">
        <f t="shared" si="204"/>
        <v>155.82</v>
      </c>
      <c r="CL117" s="281">
        <f t="shared" si="205"/>
        <v>0.98</v>
      </c>
      <c r="CM117" s="281">
        <f t="shared" si="206"/>
        <v>11.149999999999999</v>
      </c>
      <c r="CN117" s="281">
        <f t="shared" si="207"/>
        <v>62.78</v>
      </c>
      <c r="CO117" s="293">
        <f t="shared" si="208"/>
        <v>209.78999999999996</v>
      </c>
      <c r="CP117" s="281">
        <f t="shared" si="209"/>
        <v>3.08</v>
      </c>
      <c r="CQ117" s="281">
        <f t="shared" si="210"/>
        <v>15.149999999999999</v>
      </c>
      <c r="CR117" s="281">
        <f t="shared" si="211"/>
        <v>109.91000000000001</v>
      </c>
      <c r="CS117" s="293">
        <f t="shared" si="212"/>
        <v>209.78999999999996</v>
      </c>
    </row>
    <row r="118" spans="1:97" x14ac:dyDescent="0.25">
      <c r="A118" s="521"/>
      <c r="B118" s="55" t="s">
        <v>29</v>
      </c>
      <c r="C118" s="134">
        <v>22.72</v>
      </c>
      <c r="D118" s="281">
        <f t="shared" si="153"/>
        <v>1.03</v>
      </c>
      <c r="E118" s="282">
        <f t="shared" si="154"/>
        <v>4.6099999999999994</v>
      </c>
      <c r="F118" s="282">
        <f t="shared" si="155"/>
        <v>5.78</v>
      </c>
      <c r="G118" s="283">
        <f t="shared" si="156"/>
        <v>18.600000000000001</v>
      </c>
      <c r="H118" s="281">
        <f t="shared" si="157"/>
        <v>0.5</v>
      </c>
      <c r="I118" s="282">
        <f t="shared" si="158"/>
        <v>1.23</v>
      </c>
      <c r="J118" s="282">
        <f t="shared" si="159"/>
        <v>4.8100000000000005</v>
      </c>
      <c r="K118" s="283">
        <f t="shared" si="160"/>
        <v>10.9</v>
      </c>
      <c r="L118" s="281">
        <f t="shared" si="161"/>
        <v>0</v>
      </c>
      <c r="M118" s="282">
        <f t="shared" si="162"/>
        <v>2</v>
      </c>
      <c r="N118" s="282">
        <f t="shared" si="163"/>
        <v>6.07</v>
      </c>
      <c r="O118" s="283">
        <f t="shared" si="164"/>
        <v>23.84</v>
      </c>
      <c r="T118" s="281">
        <f t="shared" si="165"/>
        <v>0</v>
      </c>
      <c r="U118" s="282">
        <f t="shared" si="166"/>
        <v>2.17</v>
      </c>
      <c r="V118" s="282">
        <f t="shared" si="167"/>
        <v>9.06</v>
      </c>
      <c r="W118" s="283">
        <f t="shared" si="168"/>
        <v>19.61</v>
      </c>
      <c r="X118" s="281">
        <f t="shared" si="169"/>
        <v>1.77</v>
      </c>
      <c r="Y118" s="282">
        <f t="shared" si="170"/>
        <v>3.39</v>
      </c>
      <c r="Z118" s="282">
        <f t="shared" si="171"/>
        <v>15.52</v>
      </c>
      <c r="AA118" s="283">
        <f t="shared" si="172"/>
        <v>20.61</v>
      </c>
      <c r="AB118" s="281">
        <f t="shared" si="173"/>
        <v>0.7</v>
      </c>
      <c r="AC118" s="282">
        <f t="shared" si="174"/>
        <v>2.4900000000000002</v>
      </c>
      <c r="AD118" s="282">
        <f t="shared" si="175"/>
        <v>14.17</v>
      </c>
      <c r="AE118" s="283">
        <f t="shared" si="176"/>
        <v>24.740000000000002</v>
      </c>
      <c r="AJ118" s="281">
        <f t="shared" si="177"/>
        <v>0.97</v>
      </c>
      <c r="AK118" s="282">
        <f t="shared" si="178"/>
        <v>4.03</v>
      </c>
      <c r="AL118" s="282">
        <f t="shared" si="179"/>
        <v>9.67</v>
      </c>
      <c r="AM118" s="283">
        <f t="shared" si="180"/>
        <v>17.809999999999999</v>
      </c>
      <c r="AN118" s="281">
        <f t="shared" si="181"/>
        <v>1.75</v>
      </c>
      <c r="AO118" s="282">
        <f t="shared" si="182"/>
        <v>3.1</v>
      </c>
      <c r="AP118" s="282">
        <f t="shared" si="183"/>
        <v>21.14</v>
      </c>
      <c r="AQ118" s="283">
        <f t="shared" si="184"/>
        <v>24.36</v>
      </c>
      <c r="AR118" s="281">
        <f t="shared" si="185"/>
        <v>2</v>
      </c>
      <c r="AS118" s="282">
        <f t="shared" si="186"/>
        <v>4.79</v>
      </c>
      <c r="AT118" s="282">
        <f t="shared" si="187"/>
        <v>20.100000000000001</v>
      </c>
      <c r="AU118" s="283"/>
      <c r="AZ118" s="281">
        <f t="shared" si="188"/>
        <v>2</v>
      </c>
      <c r="BA118" s="282">
        <f t="shared" si="189"/>
        <v>7.67</v>
      </c>
      <c r="BB118" s="282">
        <f t="shared" si="190"/>
        <v>16.68</v>
      </c>
      <c r="BC118" s="283"/>
      <c r="BD118" s="281">
        <f t="shared" si="191"/>
        <v>3.21</v>
      </c>
      <c r="BE118" s="282">
        <f t="shared" si="192"/>
        <v>8.4699999999999989</v>
      </c>
      <c r="BF118" s="282">
        <f t="shared" si="193"/>
        <v>19.809999999999999</v>
      </c>
      <c r="BG118" s="283"/>
      <c r="BH118" s="281">
        <f t="shared" si="194"/>
        <v>1.5</v>
      </c>
      <c r="BI118" s="282">
        <f t="shared" si="195"/>
        <v>6.1899999999999995</v>
      </c>
      <c r="BJ118" s="282">
        <f t="shared" si="196"/>
        <v>22.05</v>
      </c>
      <c r="BK118" s="283"/>
      <c r="CD118" s="281">
        <f t="shared" si="197"/>
        <v>1.53</v>
      </c>
      <c r="CE118" s="281">
        <f t="shared" si="198"/>
        <v>7.84</v>
      </c>
      <c r="CF118" s="281">
        <f t="shared" si="199"/>
        <v>16.66</v>
      </c>
      <c r="CG118" s="293">
        <f t="shared" si="200"/>
        <v>53.34</v>
      </c>
      <c r="CH118" s="281">
        <f t="shared" si="201"/>
        <v>4</v>
      </c>
      <c r="CI118" s="281">
        <f t="shared" si="202"/>
        <v>15.89</v>
      </c>
      <c r="CJ118" s="281">
        <f t="shared" si="203"/>
        <v>55.41</v>
      </c>
      <c r="CK118" s="293">
        <f t="shared" si="204"/>
        <v>118.30000000000001</v>
      </c>
      <c r="CL118" s="281">
        <f t="shared" si="205"/>
        <v>8.7199999999999989</v>
      </c>
      <c r="CM118" s="281">
        <f t="shared" si="206"/>
        <v>27.810000000000002</v>
      </c>
      <c r="CN118" s="281">
        <f t="shared" si="207"/>
        <v>106.32</v>
      </c>
      <c r="CO118" s="293">
        <f t="shared" si="208"/>
        <v>160.47000000000003</v>
      </c>
      <c r="CP118" s="281">
        <f t="shared" si="209"/>
        <v>15.43</v>
      </c>
      <c r="CQ118" s="281">
        <f t="shared" si="210"/>
        <v>50.14</v>
      </c>
      <c r="CR118" s="281">
        <f t="shared" si="211"/>
        <v>164.86</v>
      </c>
      <c r="CS118" s="293">
        <f t="shared" si="212"/>
        <v>160.47000000000003</v>
      </c>
    </row>
    <row r="119" spans="1:97" x14ac:dyDescent="0.25">
      <c r="A119" s="521"/>
      <c r="B119" s="55" t="s">
        <v>30</v>
      </c>
      <c r="C119" s="134"/>
      <c r="D119" s="281">
        <f t="shared" si="153"/>
        <v>0</v>
      </c>
      <c r="E119" s="282">
        <f t="shared" si="154"/>
        <v>0</v>
      </c>
      <c r="F119" s="282">
        <f t="shared" si="155"/>
        <v>0</v>
      </c>
      <c r="G119" s="283">
        <f t="shared" si="156"/>
        <v>0</v>
      </c>
      <c r="H119" s="281">
        <f t="shared" si="157"/>
        <v>0</v>
      </c>
      <c r="I119" s="282">
        <f t="shared" si="158"/>
        <v>0</v>
      </c>
      <c r="J119" s="282">
        <f t="shared" si="159"/>
        <v>0</v>
      </c>
      <c r="K119" s="283">
        <f t="shared" si="160"/>
        <v>0</v>
      </c>
      <c r="L119" s="281">
        <f t="shared" si="161"/>
        <v>0</v>
      </c>
      <c r="M119" s="282">
        <f t="shared" si="162"/>
        <v>0</v>
      </c>
      <c r="N119" s="282">
        <f t="shared" si="163"/>
        <v>0</v>
      </c>
      <c r="O119" s="283">
        <f t="shared" si="164"/>
        <v>0</v>
      </c>
      <c r="T119" s="281">
        <f t="shared" si="165"/>
        <v>0</v>
      </c>
      <c r="U119" s="282">
        <f t="shared" si="166"/>
        <v>0</v>
      </c>
      <c r="V119" s="282">
        <f t="shared" si="167"/>
        <v>0</v>
      </c>
      <c r="W119" s="283">
        <f t="shared" si="168"/>
        <v>0</v>
      </c>
      <c r="X119" s="281">
        <f t="shared" si="169"/>
        <v>0</v>
      </c>
      <c r="Y119" s="282">
        <f t="shared" si="170"/>
        <v>0</v>
      </c>
      <c r="Z119" s="282">
        <f t="shared" si="171"/>
        <v>0</v>
      </c>
      <c r="AA119" s="283">
        <f t="shared" si="172"/>
        <v>0</v>
      </c>
      <c r="AB119" s="281">
        <f t="shared" si="173"/>
        <v>0</v>
      </c>
      <c r="AC119" s="282">
        <f t="shared" si="174"/>
        <v>0</v>
      </c>
      <c r="AD119" s="282">
        <f t="shared" si="175"/>
        <v>0</v>
      </c>
      <c r="AE119" s="283">
        <f t="shared" si="176"/>
        <v>0</v>
      </c>
      <c r="AJ119" s="281">
        <f t="shared" si="177"/>
        <v>0</v>
      </c>
      <c r="AK119" s="282">
        <f t="shared" si="178"/>
        <v>0</v>
      </c>
      <c r="AL119" s="282">
        <f t="shared" si="179"/>
        <v>0</v>
      </c>
      <c r="AM119" s="283">
        <f t="shared" si="180"/>
        <v>0</v>
      </c>
      <c r="AN119" s="281">
        <f t="shared" si="181"/>
        <v>0</v>
      </c>
      <c r="AO119" s="282">
        <f t="shared" si="182"/>
        <v>0</v>
      </c>
      <c r="AP119" s="282">
        <f t="shared" si="183"/>
        <v>0</v>
      </c>
      <c r="AQ119" s="283">
        <f t="shared" si="184"/>
        <v>0</v>
      </c>
      <c r="AR119" s="281">
        <f t="shared" si="185"/>
        <v>0</v>
      </c>
      <c r="AS119" s="282">
        <f t="shared" si="186"/>
        <v>0</v>
      </c>
      <c r="AT119" s="282">
        <f t="shared" si="187"/>
        <v>0</v>
      </c>
      <c r="AU119" s="283"/>
      <c r="AZ119" s="281">
        <f t="shared" si="188"/>
        <v>0</v>
      </c>
      <c r="BA119" s="282">
        <f t="shared" si="189"/>
        <v>0</v>
      </c>
      <c r="BB119" s="282">
        <f t="shared" si="190"/>
        <v>0</v>
      </c>
      <c r="BC119" s="283"/>
      <c r="BD119" s="281">
        <f t="shared" si="191"/>
        <v>0</v>
      </c>
      <c r="BE119" s="282">
        <f t="shared" si="192"/>
        <v>0</v>
      </c>
      <c r="BF119" s="282">
        <f t="shared" si="193"/>
        <v>0</v>
      </c>
      <c r="BG119" s="283"/>
      <c r="BH119" s="281">
        <f t="shared" si="194"/>
        <v>0</v>
      </c>
      <c r="BI119" s="282">
        <f t="shared" si="195"/>
        <v>0</v>
      </c>
      <c r="BJ119" s="282">
        <f t="shared" si="196"/>
        <v>0</v>
      </c>
      <c r="BK119" s="283"/>
      <c r="CD119" s="281">
        <f t="shared" si="197"/>
        <v>0</v>
      </c>
      <c r="CE119" s="281">
        <f t="shared" si="198"/>
        <v>0</v>
      </c>
      <c r="CF119" s="281">
        <f t="shared" si="199"/>
        <v>0</v>
      </c>
      <c r="CG119" s="293">
        <f t="shared" si="200"/>
        <v>0</v>
      </c>
      <c r="CH119" s="281">
        <f t="shared" si="201"/>
        <v>0</v>
      </c>
      <c r="CI119" s="281">
        <f t="shared" si="202"/>
        <v>0</v>
      </c>
      <c r="CJ119" s="281">
        <f t="shared" si="203"/>
        <v>0</v>
      </c>
      <c r="CK119" s="293">
        <f t="shared" si="204"/>
        <v>0</v>
      </c>
      <c r="CL119" s="281">
        <f t="shared" si="205"/>
        <v>0</v>
      </c>
      <c r="CM119" s="281">
        <f t="shared" si="206"/>
        <v>0</v>
      </c>
      <c r="CN119" s="281">
        <f t="shared" si="207"/>
        <v>0</v>
      </c>
      <c r="CO119" s="293">
        <f t="shared" si="208"/>
        <v>0</v>
      </c>
      <c r="CP119" s="281">
        <f t="shared" si="209"/>
        <v>0</v>
      </c>
      <c r="CQ119" s="281">
        <f t="shared" si="210"/>
        <v>0</v>
      </c>
      <c r="CR119" s="281">
        <f t="shared" si="211"/>
        <v>0</v>
      </c>
      <c r="CS119" s="293">
        <f t="shared" si="212"/>
        <v>0</v>
      </c>
    </row>
    <row r="120" spans="1:97" x14ac:dyDescent="0.25">
      <c r="A120" s="521"/>
      <c r="B120" s="55">
        <v>27</v>
      </c>
      <c r="C120" s="134">
        <v>18.64</v>
      </c>
      <c r="D120" s="281">
        <f t="shared" si="153"/>
        <v>0.6</v>
      </c>
      <c r="E120" s="282">
        <f t="shared" si="154"/>
        <v>1.81</v>
      </c>
      <c r="F120" s="282">
        <f t="shared" si="155"/>
        <v>2.19</v>
      </c>
      <c r="G120" s="283">
        <f t="shared" si="156"/>
        <v>2.98</v>
      </c>
      <c r="H120" s="281">
        <f t="shared" si="157"/>
        <v>0.33</v>
      </c>
      <c r="I120" s="282">
        <f t="shared" si="158"/>
        <v>0.61</v>
      </c>
      <c r="J120" s="282">
        <f t="shared" si="159"/>
        <v>1.95</v>
      </c>
      <c r="K120" s="283">
        <f t="shared" si="160"/>
        <v>11.959999999999999</v>
      </c>
      <c r="L120" s="281">
        <f t="shared" si="161"/>
        <v>0</v>
      </c>
      <c r="M120" s="282">
        <f t="shared" si="162"/>
        <v>3.33</v>
      </c>
      <c r="N120" s="282">
        <f t="shared" si="163"/>
        <v>2.97</v>
      </c>
      <c r="O120" s="283">
        <f t="shared" si="164"/>
        <v>9.25</v>
      </c>
      <c r="T120" s="281">
        <f t="shared" si="165"/>
        <v>0</v>
      </c>
      <c r="U120" s="282">
        <f t="shared" si="166"/>
        <v>1.27</v>
      </c>
      <c r="V120" s="282">
        <f t="shared" si="167"/>
        <v>7.46</v>
      </c>
      <c r="W120" s="283">
        <f t="shared" si="168"/>
        <v>17.259999999999998</v>
      </c>
      <c r="X120" s="281">
        <f t="shared" si="169"/>
        <v>1.48</v>
      </c>
      <c r="Y120" s="282">
        <f t="shared" si="170"/>
        <v>5.2299999999999995</v>
      </c>
      <c r="Z120" s="282">
        <f t="shared" si="171"/>
        <v>11.2</v>
      </c>
      <c r="AA120" s="283">
        <f t="shared" si="172"/>
        <v>14.31</v>
      </c>
      <c r="AB120" s="281">
        <f t="shared" si="173"/>
        <v>0.6</v>
      </c>
      <c r="AC120" s="282">
        <f t="shared" si="174"/>
        <v>2.19</v>
      </c>
      <c r="AD120" s="282">
        <f t="shared" si="175"/>
        <v>8.01</v>
      </c>
      <c r="AE120" s="283">
        <f t="shared" si="176"/>
        <v>13.73</v>
      </c>
      <c r="AJ120" s="281">
        <f t="shared" si="177"/>
        <v>0.78</v>
      </c>
      <c r="AK120" s="282">
        <f t="shared" si="178"/>
        <v>8.11</v>
      </c>
      <c r="AL120" s="282">
        <f t="shared" si="179"/>
        <v>13.530000000000001</v>
      </c>
      <c r="AM120" s="283">
        <f t="shared" si="180"/>
        <v>16.07</v>
      </c>
      <c r="AN120" s="281">
        <f t="shared" si="181"/>
        <v>1.35</v>
      </c>
      <c r="AO120" s="282">
        <f t="shared" si="182"/>
        <v>4.33</v>
      </c>
      <c r="AP120" s="282">
        <f t="shared" si="183"/>
        <v>7.8</v>
      </c>
      <c r="AQ120" s="283">
        <f t="shared" si="184"/>
        <v>25.27</v>
      </c>
      <c r="AR120" s="281">
        <f t="shared" si="185"/>
        <v>1</v>
      </c>
      <c r="AS120" s="282">
        <f t="shared" si="186"/>
        <v>2.41</v>
      </c>
      <c r="AT120" s="282">
        <f t="shared" si="187"/>
        <v>9.49</v>
      </c>
      <c r="AU120" s="283"/>
      <c r="AZ120" s="281">
        <f t="shared" si="188"/>
        <v>0.9</v>
      </c>
      <c r="BA120" s="282">
        <f t="shared" si="189"/>
        <v>3.62</v>
      </c>
      <c r="BB120" s="282">
        <f t="shared" si="190"/>
        <v>15.47</v>
      </c>
      <c r="BC120" s="283"/>
      <c r="BD120" s="281">
        <f t="shared" si="191"/>
        <v>1.21</v>
      </c>
      <c r="BE120" s="282">
        <f t="shared" si="192"/>
        <v>3.48</v>
      </c>
      <c r="BF120" s="282">
        <f t="shared" si="193"/>
        <v>15.31</v>
      </c>
      <c r="BG120" s="283"/>
      <c r="BH120" s="281">
        <f t="shared" si="194"/>
        <v>0.99</v>
      </c>
      <c r="BI120" s="282">
        <f t="shared" si="195"/>
        <v>2.0699999999999998</v>
      </c>
      <c r="BJ120" s="282">
        <f t="shared" si="196"/>
        <v>13.75</v>
      </c>
      <c r="BK120" s="283"/>
      <c r="CD120" s="281">
        <f t="shared" si="197"/>
        <v>0.92999999999999994</v>
      </c>
      <c r="CE120" s="281">
        <f t="shared" si="198"/>
        <v>5.75</v>
      </c>
      <c r="CF120" s="281">
        <f t="shared" si="199"/>
        <v>7.1099999999999994</v>
      </c>
      <c r="CG120" s="293">
        <f t="shared" si="200"/>
        <v>24.189999999999998</v>
      </c>
      <c r="CH120" s="281">
        <f t="shared" si="201"/>
        <v>3.0100000000000002</v>
      </c>
      <c r="CI120" s="281">
        <f t="shared" si="202"/>
        <v>14.44</v>
      </c>
      <c r="CJ120" s="281">
        <f t="shared" si="203"/>
        <v>33.78</v>
      </c>
      <c r="CK120" s="293">
        <f t="shared" si="204"/>
        <v>69.489999999999995</v>
      </c>
      <c r="CL120" s="281">
        <f t="shared" si="205"/>
        <v>6.1400000000000006</v>
      </c>
      <c r="CM120" s="281">
        <f t="shared" si="206"/>
        <v>29.289999999999996</v>
      </c>
      <c r="CN120" s="281">
        <f t="shared" si="207"/>
        <v>64.599999999999994</v>
      </c>
      <c r="CO120" s="293">
        <f t="shared" si="208"/>
        <v>110.83</v>
      </c>
      <c r="CP120" s="281">
        <f t="shared" si="209"/>
        <v>9.24</v>
      </c>
      <c r="CQ120" s="281">
        <f t="shared" si="210"/>
        <v>38.459999999999994</v>
      </c>
      <c r="CR120" s="281">
        <f t="shared" si="211"/>
        <v>109.13</v>
      </c>
      <c r="CS120" s="293">
        <f t="shared" si="212"/>
        <v>110.83</v>
      </c>
    </row>
    <row r="121" spans="1:97" x14ac:dyDescent="0.25">
      <c r="A121" s="521"/>
      <c r="B121" s="55">
        <v>28</v>
      </c>
      <c r="C121" s="134">
        <v>25.5</v>
      </c>
      <c r="D121" s="281">
        <f t="shared" si="153"/>
        <v>3.6100000000000003</v>
      </c>
      <c r="E121" s="282">
        <f t="shared" si="154"/>
        <v>6.37</v>
      </c>
      <c r="F121" s="282">
        <f t="shared" si="155"/>
        <v>17.89</v>
      </c>
      <c r="G121" s="283">
        <f t="shared" si="156"/>
        <v>26.79</v>
      </c>
      <c r="H121" s="281">
        <f t="shared" si="157"/>
        <v>4.03</v>
      </c>
      <c r="I121" s="282">
        <f t="shared" si="158"/>
        <v>8.07</v>
      </c>
      <c r="J121" s="282">
        <f t="shared" si="159"/>
        <v>15.809999999999999</v>
      </c>
      <c r="K121" s="283">
        <f t="shared" si="160"/>
        <v>16.37</v>
      </c>
      <c r="L121" s="281">
        <f t="shared" si="161"/>
        <v>1.1299999999999999</v>
      </c>
      <c r="M121" s="282">
        <f t="shared" si="162"/>
        <v>11.76</v>
      </c>
      <c r="N121" s="282">
        <f t="shared" si="163"/>
        <v>18.880000000000003</v>
      </c>
      <c r="O121" s="283">
        <f t="shared" si="164"/>
        <v>27.38</v>
      </c>
      <c r="T121" s="281">
        <f t="shared" si="165"/>
        <v>5.29</v>
      </c>
      <c r="U121" s="282">
        <f t="shared" si="166"/>
        <v>10.65</v>
      </c>
      <c r="V121" s="282">
        <f t="shared" si="167"/>
        <v>20.740000000000002</v>
      </c>
      <c r="W121" s="283">
        <f t="shared" si="168"/>
        <v>26.42</v>
      </c>
      <c r="X121" s="281">
        <f t="shared" si="169"/>
        <v>10.54</v>
      </c>
      <c r="Y121" s="282">
        <f t="shared" si="170"/>
        <v>16.98</v>
      </c>
      <c r="Z121" s="282">
        <f t="shared" si="171"/>
        <v>20.47</v>
      </c>
      <c r="AA121" s="283">
        <f t="shared" si="172"/>
        <v>23.19</v>
      </c>
      <c r="AB121" s="281">
        <f t="shared" si="173"/>
        <v>15.27</v>
      </c>
      <c r="AC121" s="282">
        <f t="shared" si="174"/>
        <v>10.629999999999999</v>
      </c>
      <c r="AD121" s="282">
        <f t="shared" si="175"/>
        <v>23.61</v>
      </c>
      <c r="AE121" s="283">
        <f t="shared" si="176"/>
        <v>37.769999999999996</v>
      </c>
      <c r="AJ121" s="281">
        <f t="shared" si="177"/>
        <v>15.45</v>
      </c>
      <c r="AK121" s="282">
        <f t="shared" si="178"/>
        <v>12.780000000000001</v>
      </c>
      <c r="AL121" s="282">
        <f t="shared" si="179"/>
        <v>17.22</v>
      </c>
      <c r="AM121" s="283">
        <f t="shared" si="180"/>
        <v>26.97</v>
      </c>
      <c r="AN121" s="281">
        <f t="shared" si="181"/>
        <v>15.420000000000002</v>
      </c>
      <c r="AO121" s="282">
        <f t="shared" si="182"/>
        <v>15.89</v>
      </c>
      <c r="AP121" s="282">
        <f t="shared" si="183"/>
        <v>23.95</v>
      </c>
      <c r="AQ121" s="283">
        <f t="shared" si="184"/>
        <v>22.040000000000003</v>
      </c>
      <c r="AR121" s="281">
        <f t="shared" si="185"/>
        <v>13.77</v>
      </c>
      <c r="AS121" s="282">
        <f t="shared" si="186"/>
        <v>21.4</v>
      </c>
      <c r="AT121" s="282">
        <f t="shared" si="187"/>
        <v>23.700000000000003</v>
      </c>
      <c r="AU121" s="283"/>
      <c r="AZ121" s="281">
        <f t="shared" si="188"/>
        <v>18.03</v>
      </c>
      <c r="BA121" s="282">
        <f t="shared" si="189"/>
        <v>22.880000000000003</v>
      </c>
      <c r="BB121" s="282">
        <f t="shared" si="190"/>
        <v>24.700000000000003</v>
      </c>
      <c r="BC121" s="283"/>
      <c r="BD121" s="281">
        <f t="shared" si="191"/>
        <v>14.1</v>
      </c>
      <c r="BE121" s="282">
        <f t="shared" si="192"/>
        <v>17.14</v>
      </c>
      <c r="BF121" s="282">
        <f t="shared" si="193"/>
        <v>22.85</v>
      </c>
      <c r="BG121" s="283"/>
      <c r="BH121" s="281">
        <f t="shared" si="194"/>
        <v>23.28</v>
      </c>
      <c r="BI121" s="282">
        <f t="shared" si="195"/>
        <v>16.149999999999999</v>
      </c>
      <c r="BJ121" s="282">
        <f t="shared" si="196"/>
        <v>19.61</v>
      </c>
      <c r="BK121" s="283"/>
      <c r="CD121" s="281">
        <f t="shared" si="197"/>
        <v>8.77</v>
      </c>
      <c r="CE121" s="281">
        <f t="shared" si="198"/>
        <v>26.200000000000003</v>
      </c>
      <c r="CF121" s="281">
        <f t="shared" si="199"/>
        <v>52.580000000000005</v>
      </c>
      <c r="CG121" s="293">
        <f t="shared" si="200"/>
        <v>70.539999999999992</v>
      </c>
      <c r="CH121" s="281">
        <f t="shared" si="201"/>
        <v>39.869999999999997</v>
      </c>
      <c r="CI121" s="281">
        <f t="shared" si="202"/>
        <v>64.459999999999994</v>
      </c>
      <c r="CJ121" s="281">
        <f t="shared" si="203"/>
        <v>117.4</v>
      </c>
      <c r="CK121" s="293">
        <f t="shared" si="204"/>
        <v>157.91999999999999</v>
      </c>
      <c r="CL121" s="281">
        <f t="shared" si="205"/>
        <v>84.509999999999991</v>
      </c>
      <c r="CM121" s="281">
        <f t="shared" si="206"/>
        <v>114.53</v>
      </c>
      <c r="CN121" s="281">
        <f t="shared" si="207"/>
        <v>182.26999999999998</v>
      </c>
      <c r="CO121" s="293">
        <f t="shared" si="208"/>
        <v>206.92999999999998</v>
      </c>
      <c r="CP121" s="281">
        <f t="shared" si="209"/>
        <v>139.91999999999999</v>
      </c>
      <c r="CQ121" s="281">
        <f t="shared" si="210"/>
        <v>170.70000000000002</v>
      </c>
      <c r="CR121" s="281">
        <f t="shared" si="211"/>
        <v>249.42999999999995</v>
      </c>
      <c r="CS121" s="293">
        <f t="shared" si="212"/>
        <v>206.92999999999998</v>
      </c>
    </row>
    <row r="122" spans="1:97" x14ac:dyDescent="0.25">
      <c r="A122" s="521"/>
      <c r="B122" s="55">
        <v>29</v>
      </c>
      <c r="C122" s="134">
        <v>11.38</v>
      </c>
      <c r="D122" s="281">
        <f t="shared" si="153"/>
        <v>0</v>
      </c>
      <c r="E122" s="282">
        <f t="shared" si="154"/>
        <v>0</v>
      </c>
      <c r="F122" s="282">
        <f t="shared" si="155"/>
        <v>0</v>
      </c>
      <c r="G122" s="283">
        <f t="shared" si="156"/>
        <v>1.81</v>
      </c>
      <c r="H122" s="281">
        <f t="shared" si="157"/>
        <v>0</v>
      </c>
      <c r="I122" s="282">
        <f t="shared" si="158"/>
        <v>0</v>
      </c>
      <c r="J122" s="282">
        <f t="shared" si="159"/>
        <v>0</v>
      </c>
      <c r="K122" s="283">
        <f t="shared" si="160"/>
        <v>1.52</v>
      </c>
      <c r="L122" s="281">
        <f t="shared" si="161"/>
        <v>0</v>
      </c>
      <c r="M122" s="282">
        <f t="shared" si="162"/>
        <v>0</v>
      </c>
      <c r="N122" s="282">
        <f t="shared" si="163"/>
        <v>0</v>
      </c>
      <c r="O122" s="283">
        <f t="shared" si="164"/>
        <v>2.64</v>
      </c>
      <c r="T122" s="281">
        <f t="shared" si="165"/>
        <v>0</v>
      </c>
      <c r="U122" s="282">
        <f t="shared" si="166"/>
        <v>0</v>
      </c>
      <c r="V122" s="282">
        <f t="shared" si="167"/>
        <v>0</v>
      </c>
      <c r="W122" s="283">
        <f t="shared" si="168"/>
        <v>3.6399999999999997</v>
      </c>
      <c r="X122" s="281">
        <f t="shared" si="169"/>
        <v>0</v>
      </c>
      <c r="Y122" s="282">
        <f t="shared" si="170"/>
        <v>0</v>
      </c>
      <c r="Z122" s="282">
        <f t="shared" si="171"/>
        <v>0</v>
      </c>
      <c r="AA122" s="283">
        <f t="shared" si="172"/>
        <v>5.3</v>
      </c>
      <c r="AB122" s="281">
        <f t="shared" si="173"/>
        <v>0</v>
      </c>
      <c r="AC122" s="282">
        <f t="shared" si="174"/>
        <v>0</v>
      </c>
      <c r="AD122" s="282">
        <f t="shared" si="175"/>
        <v>2.5300000000000002</v>
      </c>
      <c r="AE122" s="283">
        <f t="shared" si="176"/>
        <v>9.23</v>
      </c>
      <c r="AJ122" s="281">
        <f t="shared" si="177"/>
        <v>0</v>
      </c>
      <c r="AK122" s="282">
        <f t="shared" si="178"/>
        <v>0</v>
      </c>
      <c r="AL122" s="282">
        <f t="shared" si="179"/>
        <v>1.84</v>
      </c>
      <c r="AM122" s="283">
        <f t="shared" si="180"/>
        <v>5.72</v>
      </c>
      <c r="AN122" s="281">
        <f t="shared" si="181"/>
        <v>0</v>
      </c>
      <c r="AO122" s="282">
        <f t="shared" si="182"/>
        <v>0</v>
      </c>
      <c r="AP122" s="282">
        <f t="shared" si="183"/>
        <v>2.5099999999999998</v>
      </c>
      <c r="AQ122" s="283">
        <f t="shared" si="184"/>
        <v>12.66</v>
      </c>
      <c r="AR122" s="281">
        <f t="shared" si="185"/>
        <v>0</v>
      </c>
      <c r="AS122" s="282">
        <f t="shared" si="186"/>
        <v>0</v>
      </c>
      <c r="AT122" s="282">
        <f t="shared" si="187"/>
        <v>0.9</v>
      </c>
      <c r="AU122" s="283"/>
      <c r="AZ122" s="281">
        <f t="shared" si="188"/>
        <v>0</v>
      </c>
      <c r="BA122" s="282">
        <f t="shared" si="189"/>
        <v>0</v>
      </c>
      <c r="BB122" s="282">
        <f t="shared" si="190"/>
        <v>1.83</v>
      </c>
      <c r="BC122" s="283"/>
      <c r="BD122" s="281">
        <f t="shared" si="191"/>
        <v>0</v>
      </c>
      <c r="BE122" s="282">
        <f t="shared" si="192"/>
        <v>0</v>
      </c>
      <c r="BF122" s="282">
        <f t="shared" si="193"/>
        <v>4.3100000000000005</v>
      </c>
      <c r="BG122" s="283"/>
      <c r="BH122" s="281">
        <f t="shared" si="194"/>
        <v>0</v>
      </c>
      <c r="BI122" s="282">
        <f t="shared" si="195"/>
        <v>0</v>
      </c>
      <c r="BJ122" s="282">
        <f t="shared" si="196"/>
        <v>2.7</v>
      </c>
      <c r="BK122" s="283"/>
      <c r="CD122" s="281">
        <f t="shared" si="197"/>
        <v>0</v>
      </c>
      <c r="CE122" s="281">
        <f t="shared" si="198"/>
        <v>0</v>
      </c>
      <c r="CF122" s="281">
        <f t="shared" si="199"/>
        <v>0</v>
      </c>
      <c r="CG122" s="293">
        <f t="shared" si="200"/>
        <v>5.9700000000000006</v>
      </c>
      <c r="CH122" s="281">
        <f t="shared" si="201"/>
        <v>0</v>
      </c>
      <c r="CI122" s="281">
        <f t="shared" si="202"/>
        <v>0</v>
      </c>
      <c r="CJ122" s="281">
        <f t="shared" si="203"/>
        <v>2.5300000000000002</v>
      </c>
      <c r="CK122" s="293">
        <f t="shared" si="204"/>
        <v>24.14</v>
      </c>
      <c r="CL122" s="281">
        <f t="shared" si="205"/>
        <v>0</v>
      </c>
      <c r="CM122" s="281">
        <f t="shared" si="206"/>
        <v>0</v>
      </c>
      <c r="CN122" s="281">
        <f t="shared" si="207"/>
        <v>7.78</v>
      </c>
      <c r="CO122" s="293">
        <f t="shared" si="208"/>
        <v>42.519999999999996</v>
      </c>
      <c r="CP122" s="281">
        <f t="shared" si="209"/>
        <v>0</v>
      </c>
      <c r="CQ122" s="281">
        <f t="shared" si="210"/>
        <v>0</v>
      </c>
      <c r="CR122" s="281">
        <f t="shared" si="211"/>
        <v>16.62</v>
      </c>
      <c r="CS122" s="293">
        <f t="shared" si="212"/>
        <v>42.519999999999996</v>
      </c>
    </row>
    <row r="123" spans="1:97" x14ac:dyDescent="0.25">
      <c r="A123" s="521"/>
      <c r="B123" s="55">
        <v>30</v>
      </c>
      <c r="C123" s="134">
        <v>24.35</v>
      </c>
      <c r="D123" s="281">
        <f t="shared" si="153"/>
        <v>0</v>
      </c>
      <c r="E123" s="282">
        <f t="shared" si="154"/>
        <v>0</v>
      </c>
      <c r="F123" s="282">
        <f t="shared" si="155"/>
        <v>0</v>
      </c>
      <c r="G123" s="283">
        <f t="shared" si="156"/>
        <v>21.18</v>
      </c>
      <c r="H123" s="281">
        <f t="shared" si="157"/>
        <v>0</v>
      </c>
      <c r="I123" s="282">
        <f t="shared" si="158"/>
        <v>0</v>
      </c>
      <c r="J123" s="282">
        <f t="shared" si="159"/>
        <v>2.44</v>
      </c>
      <c r="K123" s="283">
        <f t="shared" si="160"/>
        <v>11.870000000000001</v>
      </c>
      <c r="L123" s="281">
        <f t="shared" si="161"/>
        <v>0</v>
      </c>
      <c r="M123" s="282">
        <f t="shared" si="162"/>
        <v>0</v>
      </c>
      <c r="N123" s="282">
        <f t="shared" si="163"/>
        <v>1.8199999999999998</v>
      </c>
      <c r="O123" s="283">
        <f t="shared" si="164"/>
        <v>14.02</v>
      </c>
      <c r="T123" s="281">
        <f t="shared" si="165"/>
        <v>0</v>
      </c>
      <c r="U123" s="282">
        <f t="shared" si="166"/>
        <v>0</v>
      </c>
      <c r="V123" s="282">
        <f t="shared" si="167"/>
        <v>1.02</v>
      </c>
      <c r="W123" s="283">
        <f t="shared" si="168"/>
        <v>22.02</v>
      </c>
      <c r="X123" s="281">
        <f t="shared" si="169"/>
        <v>0</v>
      </c>
      <c r="Y123" s="282">
        <f t="shared" si="170"/>
        <v>0</v>
      </c>
      <c r="Z123" s="282">
        <f t="shared" si="171"/>
        <v>2.59</v>
      </c>
      <c r="AA123" s="283">
        <f t="shared" si="172"/>
        <v>24.98</v>
      </c>
      <c r="AB123" s="281">
        <f t="shared" si="173"/>
        <v>0</v>
      </c>
      <c r="AC123" s="282">
        <f t="shared" si="174"/>
        <v>0</v>
      </c>
      <c r="AD123" s="282">
        <f t="shared" si="175"/>
        <v>2.9</v>
      </c>
      <c r="AE123" s="283">
        <f t="shared" si="176"/>
        <v>19.869999999999997</v>
      </c>
      <c r="AJ123" s="281">
        <f t="shared" si="177"/>
        <v>0</v>
      </c>
      <c r="AK123" s="282">
        <f t="shared" si="178"/>
        <v>0</v>
      </c>
      <c r="AL123" s="282">
        <f t="shared" si="179"/>
        <v>1.6099999999999999</v>
      </c>
      <c r="AM123" s="283">
        <f t="shared" si="180"/>
        <v>15.129999999999999</v>
      </c>
      <c r="AN123" s="281">
        <f t="shared" si="181"/>
        <v>0</v>
      </c>
      <c r="AO123" s="282">
        <f t="shared" si="182"/>
        <v>0</v>
      </c>
      <c r="AP123" s="282">
        <f t="shared" si="183"/>
        <v>5.45</v>
      </c>
      <c r="AQ123" s="283">
        <f t="shared" si="184"/>
        <v>15.870000000000001</v>
      </c>
      <c r="AR123" s="281">
        <f t="shared" si="185"/>
        <v>0</v>
      </c>
      <c r="AS123" s="282">
        <f t="shared" si="186"/>
        <v>0</v>
      </c>
      <c r="AT123" s="282">
        <f t="shared" si="187"/>
        <v>4.17</v>
      </c>
      <c r="AU123" s="283"/>
      <c r="AZ123" s="281">
        <f t="shared" si="188"/>
        <v>0</v>
      </c>
      <c r="BA123" s="282">
        <f t="shared" si="189"/>
        <v>0</v>
      </c>
      <c r="BB123" s="282">
        <f t="shared" si="190"/>
        <v>4.0999999999999996</v>
      </c>
      <c r="BC123" s="283"/>
      <c r="BD123" s="281">
        <f t="shared" si="191"/>
        <v>0</v>
      </c>
      <c r="BE123" s="282">
        <f t="shared" si="192"/>
        <v>0</v>
      </c>
      <c r="BF123" s="282">
        <f t="shared" si="193"/>
        <v>15.54</v>
      </c>
      <c r="BG123" s="283"/>
      <c r="BH123" s="281">
        <f t="shared" si="194"/>
        <v>0</v>
      </c>
      <c r="BI123" s="282">
        <f t="shared" si="195"/>
        <v>0</v>
      </c>
      <c r="BJ123" s="282">
        <f t="shared" si="196"/>
        <v>2.2400000000000002</v>
      </c>
      <c r="BK123" s="283"/>
      <c r="CD123" s="281">
        <f t="shared" si="197"/>
        <v>0</v>
      </c>
      <c r="CE123" s="281">
        <f t="shared" si="198"/>
        <v>0</v>
      </c>
      <c r="CF123" s="281">
        <f t="shared" si="199"/>
        <v>4.26</v>
      </c>
      <c r="CG123" s="293">
        <f t="shared" si="200"/>
        <v>47.069999999999993</v>
      </c>
      <c r="CH123" s="281">
        <f t="shared" si="201"/>
        <v>0</v>
      </c>
      <c r="CI123" s="281">
        <f t="shared" si="202"/>
        <v>0</v>
      </c>
      <c r="CJ123" s="281">
        <f t="shared" si="203"/>
        <v>10.77</v>
      </c>
      <c r="CK123" s="293">
        <f t="shared" si="204"/>
        <v>113.94</v>
      </c>
      <c r="CL123" s="281">
        <f t="shared" si="205"/>
        <v>0</v>
      </c>
      <c r="CM123" s="281">
        <f t="shared" si="206"/>
        <v>0</v>
      </c>
      <c r="CN123" s="281">
        <f t="shared" si="207"/>
        <v>22</v>
      </c>
      <c r="CO123" s="293">
        <f t="shared" si="208"/>
        <v>144.94</v>
      </c>
      <c r="CP123" s="281">
        <f t="shared" si="209"/>
        <v>0</v>
      </c>
      <c r="CQ123" s="281">
        <f t="shared" si="210"/>
        <v>0</v>
      </c>
      <c r="CR123" s="281">
        <f t="shared" si="211"/>
        <v>43.88</v>
      </c>
      <c r="CS123" s="293">
        <f t="shared" si="212"/>
        <v>144.94</v>
      </c>
    </row>
    <row r="124" spans="1:97" x14ac:dyDescent="0.25">
      <c r="A124" s="521"/>
      <c r="B124" s="55">
        <v>31</v>
      </c>
      <c r="C124" s="134">
        <v>34.08</v>
      </c>
      <c r="D124" s="281">
        <f t="shared" si="153"/>
        <v>0</v>
      </c>
      <c r="E124" s="282">
        <f t="shared" si="154"/>
        <v>0</v>
      </c>
      <c r="F124" s="282">
        <f t="shared" si="155"/>
        <v>0</v>
      </c>
      <c r="G124" s="283">
        <f t="shared" si="156"/>
        <v>17.89</v>
      </c>
      <c r="H124" s="281">
        <f t="shared" si="157"/>
        <v>0</v>
      </c>
      <c r="I124" s="282">
        <f t="shared" si="158"/>
        <v>0</v>
      </c>
      <c r="J124" s="282">
        <f t="shared" si="159"/>
        <v>0.95</v>
      </c>
      <c r="K124" s="283">
        <f t="shared" si="160"/>
        <v>13.149999999999999</v>
      </c>
      <c r="L124" s="281">
        <f t="shared" si="161"/>
        <v>0</v>
      </c>
      <c r="M124" s="282">
        <f t="shared" si="162"/>
        <v>0</v>
      </c>
      <c r="N124" s="282">
        <f t="shared" si="163"/>
        <v>1.62</v>
      </c>
      <c r="O124" s="283">
        <f t="shared" si="164"/>
        <v>13.65</v>
      </c>
      <c r="T124" s="281">
        <f t="shared" si="165"/>
        <v>0</v>
      </c>
      <c r="U124" s="282">
        <f t="shared" si="166"/>
        <v>0</v>
      </c>
      <c r="V124" s="282">
        <f t="shared" si="167"/>
        <v>1.5329999999999999</v>
      </c>
      <c r="W124" s="283">
        <f t="shared" si="168"/>
        <v>19.29</v>
      </c>
      <c r="X124" s="281">
        <f t="shared" si="169"/>
        <v>0</v>
      </c>
      <c r="Y124" s="282">
        <f t="shared" si="170"/>
        <v>0</v>
      </c>
      <c r="Z124" s="282">
        <f t="shared" si="171"/>
        <v>2.71</v>
      </c>
      <c r="AA124" s="283">
        <f t="shared" si="172"/>
        <v>29.76</v>
      </c>
      <c r="AB124" s="281">
        <f t="shared" si="173"/>
        <v>0</v>
      </c>
      <c r="AC124" s="282">
        <f t="shared" si="174"/>
        <v>0</v>
      </c>
      <c r="AD124" s="282">
        <f t="shared" si="175"/>
        <v>1.88</v>
      </c>
      <c r="AE124" s="283">
        <f t="shared" si="176"/>
        <v>16.940000000000001</v>
      </c>
      <c r="AJ124" s="281">
        <f t="shared" si="177"/>
        <v>0</v>
      </c>
      <c r="AK124" s="282">
        <f t="shared" si="178"/>
        <v>0</v>
      </c>
      <c r="AL124" s="282">
        <f t="shared" si="179"/>
        <v>2.77</v>
      </c>
      <c r="AM124" s="283">
        <f t="shared" si="180"/>
        <v>16.240000000000002</v>
      </c>
      <c r="AN124" s="281">
        <f t="shared" si="181"/>
        <v>0</v>
      </c>
      <c r="AO124" s="282">
        <f t="shared" si="182"/>
        <v>0</v>
      </c>
      <c r="AP124" s="282">
        <f t="shared" si="183"/>
        <v>8.5399999999999991</v>
      </c>
      <c r="AQ124" s="283">
        <f t="shared" si="184"/>
        <v>17.2</v>
      </c>
      <c r="AR124" s="281">
        <f t="shared" si="185"/>
        <v>0</v>
      </c>
      <c r="AS124" s="282">
        <f t="shared" si="186"/>
        <v>0</v>
      </c>
      <c r="AT124" s="282">
        <f t="shared" si="187"/>
        <v>5.76</v>
      </c>
      <c r="AU124" s="283"/>
      <c r="AZ124" s="281">
        <f t="shared" si="188"/>
        <v>0</v>
      </c>
      <c r="BA124" s="282">
        <f t="shared" si="189"/>
        <v>0</v>
      </c>
      <c r="BB124" s="282">
        <f t="shared" si="190"/>
        <v>7.72</v>
      </c>
      <c r="BC124" s="283"/>
      <c r="BD124" s="281">
        <f t="shared" si="191"/>
        <v>0</v>
      </c>
      <c r="BE124" s="282">
        <f t="shared" si="192"/>
        <v>0</v>
      </c>
      <c r="BF124" s="282">
        <f t="shared" si="193"/>
        <v>14.52</v>
      </c>
      <c r="BG124" s="283"/>
      <c r="BH124" s="281">
        <f t="shared" si="194"/>
        <v>0</v>
      </c>
      <c r="BI124" s="282">
        <f t="shared" si="195"/>
        <v>0</v>
      </c>
      <c r="BJ124" s="282">
        <f t="shared" si="196"/>
        <v>3.33</v>
      </c>
      <c r="BK124" s="283"/>
      <c r="CD124" s="281">
        <f t="shared" si="197"/>
        <v>0</v>
      </c>
      <c r="CE124" s="281">
        <f t="shared" si="198"/>
        <v>0</v>
      </c>
      <c r="CF124" s="281">
        <f t="shared" si="199"/>
        <v>2.5700000000000003</v>
      </c>
      <c r="CG124" s="293">
        <f t="shared" si="200"/>
        <v>44.69</v>
      </c>
      <c r="CH124" s="281">
        <f t="shared" si="201"/>
        <v>0</v>
      </c>
      <c r="CI124" s="281">
        <f t="shared" si="202"/>
        <v>0</v>
      </c>
      <c r="CJ124" s="281">
        <f t="shared" si="203"/>
        <v>8.6929999999999996</v>
      </c>
      <c r="CK124" s="293">
        <f t="shared" si="204"/>
        <v>110.67999999999999</v>
      </c>
      <c r="CL124" s="281">
        <f t="shared" si="205"/>
        <v>0</v>
      </c>
      <c r="CM124" s="281">
        <f t="shared" si="206"/>
        <v>0</v>
      </c>
      <c r="CN124" s="281">
        <f t="shared" si="207"/>
        <v>25.762999999999998</v>
      </c>
      <c r="CO124" s="293">
        <f t="shared" si="208"/>
        <v>144.11999999999998</v>
      </c>
      <c r="CP124" s="281">
        <f t="shared" si="209"/>
        <v>0</v>
      </c>
      <c r="CQ124" s="281">
        <f t="shared" si="210"/>
        <v>0</v>
      </c>
      <c r="CR124" s="281">
        <f t="shared" si="211"/>
        <v>51.332999999999998</v>
      </c>
      <c r="CS124" s="293">
        <f t="shared" si="212"/>
        <v>144.11999999999998</v>
      </c>
    </row>
    <row r="125" spans="1:97" ht="15.75" thickBot="1" x14ac:dyDescent="0.3">
      <c r="A125" s="522"/>
      <c r="B125" s="103">
        <v>32</v>
      </c>
      <c r="C125" s="138">
        <v>0</v>
      </c>
      <c r="D125" s="281">
        <f t="shared" si="153"/>
        <v>0</v>
      </c>
      <c r="E125" s="282">
        <f t="shared" si="154"/>
        <v>0</v>
      </c>
      <c r="F125" s="282">
        <f t="shared" si="155"/>
        <v>0</v>
      </c>
      <c r="G125" s="283">
        <f t="shared" si="156"/>
        <v>0</v>
      </c>
      <c r="H125" s="281">
        <f t="shared" si="157"/>
        <v>0</v>
      </c>
      <c r="I125" s="282">
        <f t="shared" si="158"/>
        <v>0</v>
      </c>
      <c r="J125" s="282">
        <f t="shared" si="159"/>
        <v>0</v>
      </c>
      <c r="K125" s="283">
        <f t="shared" si="160"/>
        <v>0</v>
      </c>
      <c r="L125" s="281">
        <f t="shared" si="161"/>
        <v>0</v>
      </c>
      <c r="M125" s="282">
        <f t="shared" si="162"/>
        <v>0</v>
      </c>
      <c r="N125" s="282">
        <f t="shared" si="163"/>
        <v>0</v>
      </c>
      <c r="O125" s="283">
        <f t="shared" si="164"/>
        <v>0</v>
      </c>
      <c r="T125" s="281">
        <f t="shared" si="165"/>
        <v>0</v>
      </c>
      <c r="U125" s="282">
        <f t="shared" si="166"/>
        <v>0</v>
      </c>
      <c r="V125" s="282">
        <f t="shared" si="167"/>
        <v>0</v>
      </c>
      <c r="W125" s="283">
        <f t="shared" si="168"/>
        <v>0</v>
      </c>
      <c r="X125" s="281">
        <f t="shared" si="169"/>
        <v>0</v>
      </c>
      <c r="Y125" s="282">
        <f t="shared" si="170"/>
        <v>0</v>
      </c>
      <c r="Z125" s="282">
        <f t="shared" si="171"/>
        <v>0</v>
      </c>
      <c r="AA125" s="283">
        <f t="shared" si="172"/>
        <v>0</v>
      </c>
      <c r="AB125" s="281">
        <f t="shared" si="173"/>
        <v>0</v>
      </c>
      <c r="AC125" s="282">
        <f t="shared" si="174"/>
        <v>0</v>
      </c>
      <c r="AD125" s="282">
        <f t="shared" si="175"/>
        <v>0</v>
      </c>
      <c r="AE125" s="283">
        <f t="shared" si="176"/>
        <v>0</v>
      </c>
      <c r="AJ125" s="281">
        <f t="shared" si="177"/>
        <v>0</v>
      </c>
      <c r="AK125" s="282">
        <f t="shared" si="178"/>
        <v>0</v>
      </c>
      <c r="AL125" s="282">
        <f t="shared" si="179"/>
        <v>0</v>
      </c>
      <c r="AM125" s="283">
        <f t="shared" si="180"/>
        <v>0</v>
      </c>
      <c r="AN125" s="281">
        <f t="shared" si="181"/>
        <v>0</v>
      </c>
      <c r="AO125" s="282">
        <f t="shared" si="182"/>
        <v>0</v>
      </c>
      <c r="AP125" s="282">
        <f t="shared" si="183"/>
        <v>0</v>
      </c>
      <c r="AQ125" s="283">
        <f t="shared" si="184"/>
        <v>0</v>
      </c>
      <c r="AR125" s="281">
        <f t="shared" si="185"/>
        <v>0</v>
      </c>
      <c r="AS125" s="282">
        <f t="shared" si="186"/>
        <v>0</v>
      </c>
      <c r="AT125" s="282">
        <f t="shared" si="187"/>
        <v>0</v>
      </c>
      <c r="AU125" s="283"/>
      <c r="AZ125" s="281">
        <f t="shared" si="188"/>
        <v>0</v>
      </c>
      <c r="BA125" s="282">
        <f t="shared" si="189"/>
        <v>0</v>
      </c>
      <c r="BB125" s="282">
        <f t="shared" si="190"/>
        <v>0</v>
      </c>
      <c r="BC125" s="283"/>
      <c r="BD125" s="281">
        <f t="shared" si="191"/>
        <v>0</v>
      </c>
      <c r="BE125" s="282">
        <f t="shared" si="192"/>
        <v>0</v>
      </c>
      <c r="BF125" s="282">
        <f t="shared" si="193"/>
        <v>0</v>
      </c>
      <c r="BG125" s="283"/>
      <c r="BH125" s="281">
        <f t="shared" si="194"/>
        <v>0</v>
      </c>
      <c r="BI125" s="282">
        <f t="shared" si="195"/>
        <v>0</v>
      </c>
      <c r="BJ125" s="282">
        <f t="shared" si="196"/>
        <v>0</v>
      </c>
      <c r="BK125" s="283"/>
      <c r="CD125" s="281">
        <f t="shared" si="197"/>
        <v>0</v>
      </c>
      <c r="CE125" s="281">
        <f t="shared" si="198"/>
        <v>0</v>
      </c>
      <c r="CF125" s="281">
        <f t="shared" si="199"/>
        <v>0</v>
      </c>
      <c r="CG125" s="293">
        <f t="shared" si="200"/>
        <v>0</v>
      </c>
      <c r="CH125" s="281">
        <f t="shared" si="201"/>
        <v>0</v>
      </c>
      <c r="CI125" s="281">
        <f t="shared" si="202"/>
        <v>0</v>
      </c>
      <c r="CJ125" s="281">
        <f t="shared" si="203"/>
        <v>0</v>
      </c>
      <c r="CK125" s="293">
        <f t="shared" si="204"/>
        <v>0</v>
      </c>
      <c r="CL125" s="281">
        <f t="shared" si="205"/>
        <v>0</v>
      </c>
      <c r="CM125" s="281">
        <f t="shared" si="206"/>
        <v>0</v>
      </c>
      <c r="CN125" s="281">
        <f t="shared" si="207"/>
        <v>0</v>
      </c>
      <c r="CO125" s="293">
        <f t="shared" si="208"/>
        <v>0</v>
      </c>
      <c r="CP125" s="281">
        <f t="shared" si="209"/>
        <v>0</v>
      </c>
      <c r="CQ125" s="281">
        <f t="shared" si="210"/>
        <v>0</v>
      </c>
      <c r="CR125" s="281">
        <f t="shared" si="211"/>
        <v>0</v>
      </c>
      <c r="CS125" s="293">
        <f t="shared" si="212"/>
        <v>0</v>
      </c>
    </row>
    <row r="126" spans="1:97" x14ac:dyDescent="0.25">
      <c r="A126" s="520" t="s">
        <v>31</v>
      </c>
      <c r="B126" s="23" t="s">
        <v>32</v>
      </c>
      <c r="C126" s="24">
        <v>28.72</v>
      </c>
      <c r="D126" s="281">
        <f t="shared" si="153"/>
        <v>4.3999999999999995</v>
      </c>
      <c r="E126" s="282">
        <f t="shared" si="154"/>
        <v>19.55</v>
      </c>
      <c r="F126" s="282">
        <f t="shared" si="155"/>
        <v>20.66</v>
      </c>
      <c r="G126" s="283">
        <f t="shared" si="156"/>
        <v>31.42</v>
      </c>
      <c r="H126" s="281">
        <f t="shared" si="157"/>
        <v>5.31</v>
      </c>
      <c r="I126" s="282">
        <f t="shared" si="158"/>
        <v>19.47</v>
      </c>
      <c r="J126" s="282">
        <f t="shared" si="159"/>
        <v>15.18</v>
      </c>
      <c r="K126" s="283">
        <f t="shared" si="160"/>
        <v>29.16</v>
      </c>
      <c r="L126" s="281">
        <f t="shared" si="161"/>
        <v>7.9</v>
      </c>
      <c r="M126" s="282">
        <f t="shared" si="162"/>
        <v>11.94</v>
      </c>
      <c r="N126" s="282">
        <f t="shared" si="163"/>
        <v>13.39</v>
      </c>
      <c r="O126" s="283">
        <f t="shared" si="164"/>
        <v>37.549999999999997</v>
      </c>
      <c r="T126" s="281">
        <f t="shared" si="165"/>
        <v>3.74</v>
      </c>
      <c r="U126" s="282">
        <f t="shared" si="166"/>
        <v>31.75</v>
      </c>
      <c r="V126" s="282">
        <f t="shared" si="167"/>
        <v>23.73</v>
      </c>
      <c r="W126" s="283">
        <f t="shared" si="168"/>
        <v>33.54</v>
      </c>
      <c r="X126" s="281">
        <f t="shared" si="169"/>
        <v>16.18</v>
      </c>
      <c r="Y126" s="282">
        <f t="shared" si="170"/>
        <v>19.45</v>
      </c>
      <c r="Z126" s="282">
        <f t="shared" si="171"/>
        <v>25.97</v>
      </c>
      <c r="AA126" s="283">
        <f t="shared" si="172"/>
        <v>50.2</v>
      </c>
      <c r="AB126" s="281">
        <f t="shared" si="173"/>
        <v>22.7</v>
      </c>
      <c r="AC126" s="282">
        <f t="shared" si="174"/>
        <v>34.459999999999994</v>
      </c>
      <c r="AD126" s="282">
        <f t="shared" si="175"/>
        <v>30.17</v>
      </c>
      <c r="AE126" s="283">
        <f t="shared" si="176"/>
        <v>27.13</v>
      </c>
      <c r="AJ126" s="281">
        <f t="shared" si="177"/>
        <v>18.490000000000002</v>
      </c>
      <c r="AK126" s="282">
        <f t="shared" si="178"/>
        <v>21.82</v>
      </c>
      <c r="AL126" s="282">
        <f t="shared" si="179"/>
        <v>23.78</v>
      </c>
      <c r="AM126" s="283">
        <f t="shared" si="180"/>
        <v>34.340000000000003</v>
      </c>
      <c r="AN126" s="281">
        <f t="shared" si="181"/>
        <v>17.68</v>
      </c>
      <c r="AO126" s="282">
        <f t="shared" si="182"/>
        <v>36.22</v>
      </c>
      <c r="AP126" s="282">
        <f t="shared" si="183"/>
        <v>37.86</v>
      </c>
      <c r="AQ126" s="283">
        <f t="shared" si="184"/>
        <v>33.130000000000003</v>
      </c>
      <c r="AR126" s="281">
        <f t="shared" si="185"/>
        <v>21.689999999999998</v>
      </c>
      <c r="AS126" s="282">
        <f t="shared" si="186"/>
        <v>26.79</v>
      </c>
      <c r="AT126" s="282">
        <f t="shared" si="187"/>
        <v>45.85</v>
      </c>
      <c r="AU126" s="283"/>
      <c r="AZ126" s="281">
        <f t="shared" si="188"/>
        <v>33.19</v>
      </c>
      <c r="BA126" s="282">
        <f t="shared" si="189"/>
        <v>33.31</v>
      </c>
      <c r="BB126" s="282">
        <f t="shared" si="190"/>
        <v>47.75</v>
      </c>
      <c r="BC126" s="283"/>
      <c r="BD126" s="281">
        <f t="shared" si="191"/>
        <v>20.69</v>
      </c>
      <c r="BE126" s="282">
        <f t="shared" si="192"/>
        <v>35.339999999999996</v>
      </c>
      <c r="BF126" s="282">
        <f t="shared" si="193"/>
        <v>44.07</v>
      </c>
      <c r="BG126" s="283"/>
      <c r="BH126" s="281">
        <f t="shared" si="194"/>
        <v>20.84</v>
      </c>
      <c r="BI126" s="282">
        <f t="shared" si="195"/>
        <v>25.19</v>
      </c>
      <c r="BJ126" s="282">
        <f t="shared" si="196"/>
        <v>30.79</v>
      </c>
      <c r="BK126" s="283"/>
      <c r="CD126" s="281">
        <f t="shared" si="197"/>
        <v>17.61</v>
      </c>
      <c r="CE126" s="281">
        <f t="shared" si="198"/>
        <v>50.959999999999994</v>
      </c>
      <c r="CF126" s="281">
        <f t="shared" si="199"/>
        <v>49.230000000000004</v>
      </c>
      <c r="CG126" s="293">
        <f t="shared" si="200"/>
        <v>98.13</v>
      </c>
      <c r="CH126" s="281">
        <f t="shared" si="201"/>
        <v>60.230000000000004</v>
      </c>
      <c r="CI126" s="281">
        <f t="shared" si="202"/>
        <v>136.62</v>
      </c>
      <c r="CJ126" s="281">
        <f t="shared" si="203"/>
        <v>129.10000000000002</v>
      </c>
      <c r="CK126" s="293">
        <f t="shared" si="204"/>
        <v>209</v>
      </c>
      <c r="CL126" s="281">
        <f t="shared" si="205"/>
        <v>118.09</v>
      </c>
      <c r="CM126" s="281">
        <f t="shared" si="206"/>
        <v>221.45</v>
      </c>
      <c r="CN126" s="281">
        <f t="shared" si="207"/>
        <v>236.59</v>
      </c>
      <c r="CO126" s="293">
        <f t="shared" si="208"/>
        <v>276.47000000000003</v>
      </c>
      <c r="CP126" s="281">
        <f t="shared" si="209"/>
        <v>192.81</v>
      </c>
      <c r="CQ126" s="281">
        <f t="shared" si="210"/>
        <v>315.28999999999996</v>
      </c>
      <c r="CR126" s="281">
        <f t="shared" si="211"/>
        <v>359.20000000000005</v>
      </c>
      <c r="CS126" s="293">
        <f t="shared" si="212"/>
        <v>276.47000000000003</v>
      </c>
    </row>
    <row r="127" spans="1:97" ht="15.75" thickBot="1" x14ac:dyDescent="0.3">
      <c r="A127" s="522"/>
      <c r="B127" s="103">
        <v>39</v>
      </c>
      <c r="C127" s="90">
        <v>4.5</v>
      </c>
      <c r="D127" s="281">
        <f t="shared" si="153"/>
        <v>2.19</v>
      </c>
      <c r="E127" s="282">
        <f t="shared" si="154"/>
        <v>2.0499999999999998</v>
      </c>
      <c r="F127" s="282">
        <f t="shared" si="155"/>
        <v>2.9699999999999998</v>
      </c>
      <c r="G127" s="283">
        <f t="shared" si="156"/>
        <v>2.2599999999999998</v>
      </c>
      <c r="H127" s="281">
        <f t="shared" si="157"/>
        <v>0.74</v>
      </c>
      <c r="I127" s="282">
        <f t="shared" si="158"/>
        <v>0</v>
      </c>
      <c r="J127" s="282">
        <f t="shared" si="159"/>
        <v>0</v>
      </c>
      <c r="K127" s="283">
        <f t="shared" si="160"/>
        <v>3.29</v>
      </c>
      <c r="L127" s="281">
        <f t="shared" si="161"/>
        <v>0</v>
      </c>
      <c r="M127" s="282">
        <f t="shared" si="162"/>
        <v>0</v>
      </c>
      <c r="N127" s="282">
        <f t="shared" si="163"/>
        <v>2.21</v>
      </c>
      <c r="O127" s="283">
        <f t="shared" si="164"/>
        <v>2.25</v>
      </c>
      <c r="T127" s="281">
        <f t="shared" si="165"/>
        <v>0</v>
      </c>
      <c r="U127" s="282">
        <f t="shared" si="166"/>
        <v>0.98</v>
      </c>
      <c r="V127" s="282">
        <f t="shared" si="167"/>
        <v>1.5</v>
      </c>
      <c r="W127" s="283">
        <f t="shared" si="168"/>
        <v>2.7199999999999998</v>
      </c>
      <c r="X127" s="281">
        <f t="shared" si="169"/>
        <v>2.25</v>
      </c>
      <c r="Y127" s="282">
        <f t="shared" si="170"/>
        <v>1.2</v>
      </c>
      <c r="Z127" s="282">
        <f t="shared" si="171"/>
        <v>2.08</v>
      </c>
      <c r="AA127" s="283">
        <f t="shared" si="172"/>
        <v>2.0299999999999998</v>
      </c>
      <c r="AB127" s="281">
        <f t="shared" si="173"/>
        <v>1.4</v>
      </c>
      <c r="AC127" s="282">
        <f t="shared" si="174"/>
        <v>0.7</v>
      </c>
      <c r="AD127" s="282">
        <f t="shared" si="175"/>
        <v>2.04</v>
      </c>
      <c r="AE127" s="283">
        <f t="shared" si="176"/>
        <v>1.56</v>
      </c>
      <c r="AJ127" s="281">
        <f t="shared" si="177"/>
        <v>1.49</v>
      </c>
      <c r="AK127" s="282">
        <f t="shared" si="178"/>
        <v>1.5</v>
      </c>
      <c r="AL127" s="282">
        <f t="shared" si="179"/>
        <v>1.9</v>
      </c>
      <c r="AM127" s="283">
        <f t="shared" si="180"/>
        <v>3.38</v>
      </c>
      <c r="AN127" s="281">
        <f t="shared" si="181"/>
        <v>1.79</v>
      </c>
      <c r="AO127" s="282">
        <f t="shared" si="182"/>
        <v>1.7000000000000002</v>
      </c>
      <c r="AP127" s="282">
        <f t="shared" si="183"/>
        <v>3.4</v>
      </c>
      <c r="AQ127" s="283">
        <f t="shared" si="184"/>
        <v>4.46</v>
      </c>
      <c r="AR127" s="281">
        <f t="shared" si="185"/>
        <v>0</v>
      </c>
      <c r="AS127" s="282">
        <f t="shared" si="186"/>
        <v>1.92</v>
      </c>
      <c r="AT127" s="282">
        <f t="shared" si="187"/>
        <v>4.6899999999999995</v>
      </c>
      <c r="AU127" s="283"/>
      <c r="AZ127" s="281">
        <f t="shared" si="188"/>
        <v>1.5</v>
      </c>
      <c r="BA127" s="282">
        <f t="shared" si="189"/>
        <v>1.32</v>
      </c>
      <c r="BB127" s="282">
        <f t="shared" si="190"/>
        <v>1.93</v>
      </c>
      <c r="BC127" s="283"/>
      <c r="BD127" s="281">
        <f t="shared" si="191"/>
        <v>2.56</v>
      </c>
      <c r="BE127" s="282">
        <f t="shared" si="192"/>
        <v>2.91</v>
      </c>
      <c r="BF127" s="282">
        <f t="shared" si="193"/>
        <v>4.3100000000000005</v>
      </c>
      <c r="BG127" s="283"/>
      <c r="BH127" s="281">
        <f t="shared" si="194"/>
        <v>0</v>
      </c>
      <c r="BI127" s="282">
        <f t="shared" si="195"/>
        <v>3.0300000000000002</v>
      </c>
      <c r="BJ127" s="282">
        <f t="shared" si="196"/>
        <v>3.21</v>
      </c>
      <c r="BK127" s="283"/>
      <c r="CD127" s="281">
        <f t="shared" si="197"/>
        <v>2.9299999999999997</v>
      </c>
      <c r="CE127" s="281">
        <f t="shared" si="198"/>
        <v>2.0499999999999998</v>
      </c>
      <c r="CF127" s="281">
        <f t="shared" si="199"/>
        <v>5.18</v>
      </c>
      <c r="CG127" s="293">
        <f t="shared" si="200"/>
        <v>7.8</v>
      </c>
      <c r="CH127" s="281">
        <f t="shared" si="201"/>
        <v>6.58</v>
      </c>
      <c r="CI127" s="281">
        <f t="shared" si="202"/>
        <v>4.93</v>
      </c>
      <c r="CJ127" s="281">
        <f t="shared" si="203"/>
        <v>10.8</v>
      </c>
      <c r="CK127" s="293">
        <f t="shared" si="204"/>
        <v>14.11</v>
      </c>
      <c r="CL127" s="281">
        <f t="shared" si="205"/>
        <v>9.86</v>
      </c>
      <c r="CM127" s="281">
        <f t="shared" si="206"/>
        <v>10.049999999999999</v>
      </c>
      <c r="CN127" s="281">
        <f t="shared" si="207"/>
        <v>20.79</v>
      </c>
      <c r="CO127" s="293">
        <f t="shared" si="208"/>
        <v>21.95</v>
      </c>
      <c r="CP127" s="281">
        <f t="shared" si="209"/>
        <v>13.92</v>
      </c>
      <c r="CQ127" s="281">
        <f t="shared" si="210"/>
        <v>17.309999999999999</v>
      </c>
      <c r="CR127" s="281">
        <f t="shared" si="211"/>
        <v>30.240000000000002</v>
      </c>
      <c r="CS127" s="293">
        <f t="shared" si="212"/>
        <v>21.95</v>
      </c>
    </row>
    <row r="128" spans="1:97" ht="16.5" thickBot="1" x14ac:dyDescent="0.3">
      <c r="A128" s="185" t="s">
        <v>6</v>
      </c>
      <c r="B128" s="186"/>
      <c r="C128" s="160">
        <f>SUM(C91:C102,C103:C109,C110:C114,C117:C124,C126:C127)</f>
        <v>1416.5100000000002</v>
      </c>
      <c r="D128" s="294">
        <f t="shared" ref="D128:O128" si="213">SUBTOTAL(9,D91:D127)</f>
        <v>1276.75</v>
      </c>
      <c r="E128" s="295">
        <f t="shared" si="213"/>
        <v>1450.9499999999996</v>
      </c>
      <c r="F128" s="295">
        <f t="shared" si="213"/>
        <v>1328.2100000000003</v>
      </c>
      <c r="G128" s="296">
        <f t="shared" si="213"/>
        <v>1367.55</v>
      </c>
      <c r="H128" s="294">
        <f t="shared" si="213"/>
        <v>822.8299999999997</v>
      </c>
      <c r="I128" s="295">
        <f t="shared" si="213"/>
        <v>1191.723</v>
      </c>
      <c r="J128" s="295">
        <f t="shared" si="213"/>
        <v>852.04</v>
      </c>
      <c r="K128" s="296">
        <f t="shared" si="213"/>
        <v>1527.92</v>
      </c>
      <c r="L128" s="294">
        <f t="shared" si="213"/>
        <v>1061.4500000000003</v>
      </c>
      <c r="M128" s="295">
        <f t="shared" si="213"/>
        <v>1334.4799999999998</v>
      </c>
      <c r="N128" s="295">
        <f t="shared" si="213"/>
        <v>655.97</v>
      </c>
      <c r="O128" s="296">
        <f t="shared" si="213"/>
        <v>1404.8000000000004</v>
      </c>
      <c r="T128" s="294">
        <f t="shared" ref="T128:AE128" si="214">SUBTOTAL(9,T91:T127)</f>
        <v>1274.5399999999995</v>
      </c>
      <c r="U128" s="295">
        <f t="shared" si="214"/>
        <v>1263.4800000000002</v>
      </c>
      <c r="V128" s="295">
        <f t="shared" si="214"/>
        <v>1064.0929999999998</v>
      </c>
      <c r="W128" s="296">
        <f t="shared" si="214"/>
        <v>1929.2300000000002</v>
      </c>
      <c r="X128" s="294">
        <f t="shared" si="214"/>
        <v>1496.1400000000003</v>
      </c>
      <c r="Y128" s="295">
        <f t="shared" si="214"/>
        <v>1400.8300000000002</v>
      </c>
      <c r="Z128" s="295">
        <f t="shared" si="214"/>
        <v>1352.6299999999999</v>
      </c>
      <c r="AA128" s="296">
        <f t="shared" si="214"/>
        <v>1739.06</v>
      </c>
      <c r="AB128" s="294">
        <f t="shared" si="214"/>
        <v>1363.34</v>
      </c>
      <c r="AC128" s="295">
        <f t="shared" si="214"/>
        <v>1424.1000000000004</v>
      </c>
      <c r="AD128" s="295">
        <f t="shared" si="214"/>
        <v>1285.9600000000003</v>
      </c>
      <c r="AE128" s="296">
        <f t="shared" si="214"/>
        <v>1554.2800000000004</v>
      </c>
      <c r="AJ128" s="294">
        <f t="shared" ref="AJ128:AU128" si="215">SUBTOTAL(9,AJ91:AJ127)</f>
        <v>1483.8200000000002</v>
      </c>
      <c r="AK128" s="295">
        <f t="shared" si="215"/>
        <v>1582.2499999999998</v>
      </c>
      <c r="AL128" s="295">
        <f t="shared" si="215"/>
        <v>1537.55</v>
      </c>
      <c r="AM128" s="296">
        <f t="shared" si="215"/>
        <v>1571.88</v>
      </c>
      <c r="AN128" s="294">
        <f t="shared" si="215"/>
        <v>1896.38</v>
      </c>
      <c r="AO128" s="295">
        <f t="shared" si="215"/>
        <v>1658.3699999999997</v>
      </c>
      <c r="AP128" s="295">
        <f t="shared" si="215"/>
        <v>2136.8200000000002</v>
      </c>
      <c r="AQ128" s="296">
        <f t="shared" si="215"/>
        <v>1751.82</v>
      </c>
      <c r="AR128" s="294">
        <f t="shared" si="215"/>
        <v>1883.4599999999998</v>
      </c>
      <c r="AS128" s="295">
        <f t="shared" si="215"/>
        <v>1806.9199999999998</v>
      </c>
      <c r="AT128" s="295">
        <f t="shared" si="215"/>
        <v>2341.7800000000002</v>
      </c>
      <c r="AU128" s="296">
        <f t="shared" si="215"/>
        <v>0</v>
      </c>
      <c r="AZ128" s="294">
        <f t="shared" ref="AZ128:BK128" si="216">SUBTOTAL(9,AZ91:AZ127)</f>
        <v>2346.5000000000009</v>
      </c>
      <c r="BA128" s="295">
        <f t="shared" si="216"/>
        <v>1966.14</v>
      </c>
      <c r="BB128" s="295">
        <f t="shared" si="216"/>
        <v>2640.7299999999991</v>
      </c>
      <c r="BC128" s="296">
        <f t="shared" si="216"/>
        <v>0</v>
      </c>
      <c r="BD128" s="294">
        <f t="shared" si="216"/>
        <v>1936.1800000000003</v>
      </c>
      <c r="BE128" s="295">
        <f t="shared" si="216"/>
        <v>1803.11</v>
      </c>
      <c r="BF128" s="295">
        <f t="shared" si="216"/>
        <v>2304.94</v>
      </c>
      <c r="BG128" s="296">
        <f t="shared" si="216"/>
        <v>0</v>
      </c>
      <c r="BH128" s="294">
        <f t="shared" si="216"/>
        <v>1991.0399999999997</v>
      </c>
      <c r="BI128" s="295">
        <f t="shared" si="216"/>
        <v>1545.4199999999998</v>
      </c>
      <c r="BJ128" s="295">
        <f t="shared" si="216"/>
        <v>1989.4299999999998</v>
      </c>
      <c r="BK128" s="296">
        <f t="shared" si="216"/>
        <v>0</v>
      </c>
      <c r="CD128" s="294">
        <f t="shared" si="197"/>
        <v>3161.03</v>
      </c>
      <c r="CE128" s="294">
        <f t="shared" si="198"/>
        <v>3977.1529999999993</v>
      </c>
      <c r="CF128" s="294">
        <f t="shared" si="199"/>
        <v>2836.2200000000003</v>
      </c>
      <c r="CG128" s="297">
        <f t="shared" si="200"/>
        <v>4300.2700000000004</v>
      </c>
      <c r="CH128" s="294">
        <f t="shared" si="201"/>
        <v>7295.05</v>
      </c>
      <c r="CI128" s="294">
        <f t="shared" si="202"/>
        <v>8065.5630000000001</v>
      </c>
      <c r="CJ128" s="294">
        <f t="shared" si="203"/>
        <v>6538.9030000000002</v>
      </c>
      <c r="CK128" s="297">
        <f t="shared" si="204"/>
        <v>9522.840000000002</v>
      </c>
      <c r="CL128" s="294">
        <f t="shared" si="205"/>
        <v>12558.71</v>
      </c>
      <c r="CM128" s="294">
        <f t="shared" si="206"/>
        <v>13113.102999999999</v>
      </c>
      <c r="CN128" s="294">
        <f t="shared" si="207"/>
        <v>12555.053000000002</v>
      </c>
      <c r="CO128" s="297">
        <f t="shared" si="208"/>
        <v>12846.54</v>
      </c>
      <c r="CP128" s="294">
        <f t="shared" si="209"/>
        <v>18832.43</v>
      </c>
      <c r="CQ128" s="294">
        <f t="shared" si="210"/>
        <v>18427.772999999997</v>
      </c>
      <c r="CR128" s="294">
        <f t="shared" si="211"/>
        <v>19490.153000000002</v>
      </c>
      <c r="CS128" s="297">
        <f t="shared" si="212"/>
        <v>12846.54</v>
      </c>
    </row>
  </sheetData>
  <mergeCells count="77">
    <mergeCell ref="CP88:CS89"/>
    <mergeCell ref="AZ89:BC89"/>
    <mergeCell ref="BD89:BG89"/>
    <mergeCell ref="BH89:BK89"/>
    <mergeCell ref="AZ46:BC46"/>
    <mergeCell ref="BD46:BG46"/>
    <mergeCell ref="BH46:BK46"/>
    <mergeCell ref="AR46:AU46"/>
    <mergeCell ref="BW45:BY46"/>
    <mergeCell ref="CL88:CO89"/>
    <mergeCell ref="AJ89:AM89"/>
    <mergeCell ref="AN89:AQ89"/>
    <mergeCell ref="AR89:AU89"/>
    <mergeCell ref="BT45:BV46"/>
    <mergeCell ref="CH88:CK89"/>
    <mergeCell ref="BZ45:CB46"/>
    <mergeCell ref="T46:W46"/>
    <mergeCell ref="X46:AA46"/>
    <mergeCell ref="AB46:AE46"/>
    <mergeCell ref="AJ46:AM46"/>
    <mergeCell ref="AN46:AQ46"/>
    <mergeCell ref="A103:A109"/>
    <mergeCell ref="A110:A114"/>
    <mergeCell ref="A117:A125"/>
    <mergeCell ref="A126:A127"/>
    <mergeCell ref="CD88:CG89"/>
    <mergeCell ref="A89:B90"/>
    <mergeCell ref="C89:C90"/>
    <mergeCell ref="D89:G89"/>
    <mergeCell ref="H89:K89"/>
    <mergeCell ref="L89:O89"/>
    <mergeCell ref="A91:A102"/>
    <mergeCell ref="T89:W89"/>
    <mergeCell ref="X89:AA89"/>
    <mergeCell ref="AB89:AE89"/>
    <mergeCell ref="A48:A59"/>
    <mergeCell ref="A60:A66"/>
    <mergeCell ref="A67:A71"/>
    <mergeCell ref="A74:A82"/>
    <mergeCell ref="A83:A84"/>
    <mergeCell ref="BL2:BO3"/>
    <mergeCell ref="BZ2:CB3"/>
    <mergeCell ref="CP2:CS3"/>
    <mergeCell ref="A46:B47"/>
    <mergeCell ref="C46:C47"/>
    <mergeCell ref="D46:G46"/>
    <mergeCell ref="H46:K46"/>
    <mergeCell ref="L46:O46"/>
    <mergeCell ref="BQ45:BS46"/>
    <mergeCell ref="AF2:AI3"/>
    <mergeCell ref="C3:C4"/>
    <mergeCell ref="A3:B4"/>
    <mergeCell ref="BQ2:BS3"/>
    <mergeCell ref="CD2:CG3"/>
    <mergeCell ref="BT2:BV3"/>
    <mergeCell ref="CH2:CK3"/>
    <mergeCell ref="A5:A16"/>
    <mergeCell ref="A24:A28"/>
    <mergeCell ref="A17:A23"/>
    <mergeCell ref="A40:A41"/>
    <mergeCell ref="A31:A39"/>
    <mergeCell ref="BH3:BK3"/>
    <mergeCell ref="AV2:AY3"/>
    <mergeCell ref="BW2:BY3"/>
    <mergeCell ref="CL2:CO3"/>
    <mergeCell ref="D3:G3"/>
    <mergeCell ref="H3:K3"/>
    <mergeCell ref="L3:O3"/>
    <mergeCell ref="T3:W3"/>
    <mergeCell ref="X3:AA3"/>
    <mergeCell ref="AB3:AE3"/>
    <mergeCell ref="P2:S3"/>
    <mergeCell ref="AJ3:AM3"/>
    <mergeCell ref="AN3:AQ3"/>
    <mergeCell ref="AR3:AU3"/>
    <mergeCell ref="AZ3:BC3"/>
    <mergeCell ref="BD3:BG3"/>
  </mergeCells>
  <phoneticPr fontId="14" type="noConversion"/>
  <pageMargins left="0.25" right="0.25" top="0.75" bottom="0.75" header="0.3" footer="0.3"/>
  <pageSetup paperSize="9" scale="2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6BA0-A658-4796-AF75-76B6B704CD82}">
  <sheetPr>
    <pageSetUpPr fitToPage="1"/>
  </sheetPr>
  <dimension ref="A1:EF165"/>
  <sheetViews>
    <sheetView tabSelected="1" topLeftCell="F28" workbookViewId="0">
      <selection activeCell="DD155" sqref="DD155"/>
    </sheetView>
  </sheetViews>
  <sheetFormatPr defaultRowHeight="15" outlineLevelCol="1" x14ac:dyDescent="0.25"/>
  <cols>
    <col min="1" max="1" width="14.42578125" style="280" bestFit="1" customWidth="1"/>
    <col min="2" max="2" width="9.140625" style="280"/>
    <col min="3" max="5" width="10.140625" style="335" hidden="1" customWidth="1"/>
    <col min="6" max="6" width="10.140625" style="335" bestFit="1" customWidth="1"/>
    <col min="7" max="18" width="9.140625" style="280" hidden="1" customWidth="1" outlineLevel="1"/>
    <col min="19" max="19" width="9.140625" style="280" hidden="1" customWidth="1" collapsed="1"/>
    <col min="20" max="22" width="9.140625" style="280" hidden="1" customWidth="1"/>
    <col min="23" max="34" width="9.140625" style="280" hidden="1" customWidth="1" outlineLevel="1"/>
    <col min="35" max="35" width="9.140625" style="280" hidden="1" customWidth="1" collapsed="1"/>
    <col min="36" max="38" width="9.140625" style="280" hidden="1" customWidth="1"/>
    <col min="39" max="50" width="9.140625" style="280" hidden="1" customWidth="1" outlineLevel="1"/>
    <col min="51" max="51" width="9.140625" style="280" hidden="1" customWidth="1" collapsed="1"/>
    <col min="52" max="54" width="9.140625" style="280" hidden="1" customWidth="1"/>
    <col min="55" max="66" width="9.140625" style="280" hidden="1" customWidth="1" outlineLevel="1"/>
    <col min="67" max="67" width="9.140625" style="280" hidden="1" customWidth="1" collapsed="1"/>
    <col min="68" max="70" width="9.140625" style="280" hidden="1" customWidth="1"/>
    <col min="71" max="71" width="1.28515625" style="280" hidden="1" customWidth="1"/>
    <col min="72" max="83" width="12.7109375" style="280" hidden="1" customWidth="1"/>
    <col min="84" max="84" width="1.28515625" style="280" hidden="1" customWidth="1"/>
    <col min="85" max="85" width="10.140625" style="280" hidden="1" customWidth="1"/>
    <col min="86" max="86" width="9.7109375" style="280" customWidth="1"/>
    <col min="87" max="88" width="9.140625" style="280"/>
    <col min="89" max="89" width="9.140625" style="280" hidden="1" customWidth="1"/>
    <col min="90" max="92" width="9.140625" style="280"/>
    <col min="93" max="93" width="9.140625" style="280" hidden="1" customWidth="1"/>
    <col min="94" max="96" width="9.140625" style="280"/>
    <col min="97" max="97" width="9.140625" style="280" hidden="1" customWidth="1"/>
    <col min="98" max="98" width="9.140625" style="280"/>
    <col min="99" max="99" width="10.140625" style="280" bestFit="1" customWidth="1"/>
    <col min="100" max="100" width="9.140625" style="280" customWidth="1"/>
    <col min="101" max="101" width="1.28515625" style="280" customWidth="1"/>
    <col min="102" max="102" width="10.5703125" style="317" customWidth="1"/>
    <col min="103" max="105" width="9.140625" style="317"/>
    <col min="106" max="106" width="9.140625" style="280" hidden="1" customWidth="1"/>
    <col min="107" max="109" width="9.140625" style="280"/>
    <col min="110" max="110" width="0" style="280" hidden="1" customWidth="1"/>
    <col min="111" max="113" width="9.140625" style="280"/>
    <col min="114" max="114" width="0" style="280" hidden="1" customWidth="1"/>
    <col min="115" max="116" width="9.140625" style="280"/>
    <col min="117" max="117" width="9.140625" style="335" customWidth="1"/>
    <col min="118" max="16384" width="9.140625" style="280"/>
  </cols>
  <sheetData>
    <row r="1" spans="1:117" s="388" customFormat="1" ht="18.75" hidden="1" customHeight="1" x14ac:dyDescent="0.3">
      <c r="A1" s="391" t="s">
        <v>79</v>
      </c>
      <c r="C1" s="389"/>
      <c r="D1" s="389"/>
      <c r="E1" s="389"/>
      <c r="F1" s="389"/>
      <c r="CX1" s="390"/>
      <c r="CY1" s="390"/>
      <c r="CZ1" s="390"/>
      <c r="DA1" s="390"/>
      <c r="DM1" s="389"/>
    </row>
    <row r="2" spans="1:117" s="285" customFormat="1" x14ac:dyDescent="0.25">
      <c r="C2" s="365"/>
      <c r="D2" s="365"/>
      <c r="E2" s="365"/>
      <c r="F2" s="365"/>
      <c r="CX2" s="312"/>
      <c r="CY2" s="312"/>
      <c r="CZ2" s="312"/>
      <c r="DA2" s="312"/>
      <c r="DM2" s="365"/>
    </row>
    <row r="3" spans="1:117" s="285" customFormat="1" ht="15.75" thickBot="1" x14ac:dyDescent="0.3">
      <c r="A3" s="285" t="s">
        <v>75</v>
      </c>
      <c r="C3" s="365"/>
      <c r="D3" s="365"/>
      <c r="E3" s="365"/>
      <c r="F3" s="365"/>
      <c r="CX3" s="312"/>
      <c r="CY3" s="312"/>
      <c r="CZ3" s="312"/>
      <c r="DA3" s="312"/>
      <c r="DM3" s="365"/>
    </row>
    <row r="4" spans="1:117" s="285" customFormat="1" ht="15.75" customHeight="1" thickBot="1" x14ac:dyDescent="0.3">
      <c r="A4" s="287"/>
      <c r="B4" s="287"/>
      <c r="C4" s="366"/>
      <c r="D4" s="366"/>
      <c r="E4" s="366"/>
      <c r="F4" s="366"/>
      <c r="S4" s="501" t="s">
        <v>62</v>
      </c>
      <c r="T4" s="502"/>
      <c r="U4" s="502"/>
      <c r="V4" s="503"/>
      <c r="AI4" s="501" t="s">
        <v>59</v>
      </c>
      <c r="AJ4" s="502"/>
      <c r="AK4" s="502"/>
      <c r="AL4" s="503"/>
      <c r="AY4" s="501" t="s">
        <v>56</v>
      </c>
      <c r="AZ4" s="502"/>
      <c r="BA4" s="502"/>
      <c r="BB4" s="503"/>
      <c r="BO4" s="501" t="s">
        <v>53</v>
      </c>
      <c r="BP4" s="502"/>
      <c r="BQ4" s="502"/>
      <c r="BR4" s="503"/>
      <c r="BS4" s="292"/>
      <c r="BT4" s="507" t="s">
        <v>61</v>
      </c>
      <c r="BU4" s="508"/>
      <c r="BV4" s="509"/>
      <c r="BW4" s="507" t="s">
        <v>58</v>
      </c>
      <c r="BX4" s="508"/>
      <c r="BY4" s="509"/>
      <c r="BZ4" s="507" t="s">
        <v>55</v>
      </c>
      <c r="CA4" s="508"/>
      <c r="CB4" s="509"/>
      <c r="CC4" s="507" t="s">
        <v>52</v>
      </c>
      <c r="CD4" s="508"/>
      <c r="CE4" s="509"/>
      <c r="CF4" s="292"/>
      <c r="CG4" s="537" t="s">
        <v>60</v>
      </c>
      <c r="CH4" s="538"/>
      <c r="CI4" s="538"/>
      <c r="CJ4" s="539"/>
      <c r="CK4" s="513" t="s">
        <v>57</v>
      </c>
      <c r="CL4" s="514"/>
      <c r="CM4" s="514"/>
      <c r="CN4" s="515"/>
      <c r="CO4" s="513" t="s">
        <v>54</v>
      </c>
      <c r="CP4" s="514"/>
      <c r="CQ4" s="514"/>
      <c r="CR4" s="515"/>
      <c r="CS4" s="513" t="s">
        <v>51</v>
      </c>
      <c r="CT4" s="514"/>
      <c r="CU4" s="514"/>
      <c r="CV4" s="515"/>
      <c r="CW4" s="292"/>
      <c r="CX4" s="554" t="s">
        <v>63</v>
      </c>
      <c r="CY4" s="555"/>
      <c r="CZ4" s="555"/>
      <c r="DA4" s="556"/>
      <c r="DB4" s="560" t="s">
        <v>66</v>
      </c>
      <c r="DC4" s="561"/>
      <c r="DD4" s="561"/>
      <c r="DE4" s="562"/>
      <c r="DF4" s="560" t="s">
        <v>65</v>
      </c>
      <c r="DG4" s="561"/>
      <c r="DH4" s="561"/>
      <c r="DI4" s="562"/>
      <c r="DJ4" s="560" t="s">
        <v>64</v>
      </c>
      <c r="DK4" s="561"/>
      <c r="DL4" s="561"/>
      <c r="DM4" s="562"/>
    </row>
    <row r="5" spans="1:117" s="286" customFormat="1" x14ac:dyDescent="0.25">
      <c r="A5" s="523" t="s">
        <v>3</v>
      </c>
      <c r="B5" s="524"/>
      <c r="C5" s="535" t="s">
        <v>68</v>
      </c>
      <c r="D5" s="535" t="s">
        <v>69</v>
      </c>
      <c r="E5" s="535" t="s">
        <v>70</v>
      </c>
      <c r="F5" s="535" t="s">
        <v>67</v>
      </c>
      <c r="G5" s="498" t="s">
        <v>37</v>
      </c>
      <c r="H5" s="499"/>
      <c r="I5" s="499"/>
      <c r="J5" s="500"/>
      <c r="K5" s="498" t="s">
        <v>38</v>
      </c>
      <c r="L5" s="499"/>
      <c r="M5" s="499"/>
      <c r="N5" s="500"/>
      <c r="O5" s="498" t="s">
        <v>39</v>
      </c>
      <c r="P5" s="499"/>
      <c r="Q5" s="499"/>
      <c r="R5" s="519"/>
      <c r="S5" s="504"/>
      <c r="T5" s="505"/>
      <c r="U5" s="505"/>
      <c r="V5" s="506"/>
      <c r="W5" s="498" t="s">
        <v>40</v>
      </c>
      <c r="X5" s="499"/>
      <c r="Y5" s="499"/>
      <c r="Z5" s="500"/>
      <c r="AA5" s="498" t="s">
        <v>11</v>
      </c>
      <c r="AB5" s="499"/>
      <c r="AC5" s="499"/>
      <c r="AD5" s="500"/>
      <c r="AE5" s="498" t="s">
        <v>41</v>
      </c>
      <c r="AF5" s="499"/>
      <c r="AG5" s="499"/>
      <c r="AH5" s="500"/>
      <c r="AI5" s="504"/>
      <c r="AJ5" s="505"/>
      <c r="AK5" s="505"/>
      <c r="AL5" s="506"/>
      <c r="AM5" s="498" t="s">
        <v>42</v>
      </c>
      <c r="AN5" s="499"/>
      <c r="AO5" s="499"/>
      <c r="AP5" s="500"/>
      <c r="AQ5" s="498" t="s">
        <v>43</v>
      </c>
      <c r="AR5" s="499"/>
      <c r="AS5" s="499"/>
      <c r="AT5" s="500"/>
      <c r="AU5" s="498" t="s">
        <v>44</v>
      </c>
      <c r="AV5" s="499"/>
      <c r="AW5" s="499"/>
      <c r="AX5" s="500"/>
      <c r="AY5" s="504"/>
      <c r="AZ5" s="505"/>
      <c r="BA5" s="505"/>
      <c r="BB5" s="506"/>
      <c r="BC5" s="498" t="s">
        <v>45</v>
      </c>
      <c r="BD5" s="499"/>
      <c r="BE5" s="499"/>
      <c r="BF5" s="500"/>
      <c r="BG5" s="498" t="s">
        <v>46</v>
      </c>
      <c r="BH5" s="499"/>
      <c r="BI5" s="499"/>
      <c r="BJ5" s="500"/>
      <c r="BK5" s="498" t="s">
        <v>47</v>
      </c>
      <c r="BL5" s="499"/>
      <c r="BM5" s="499"/>
      <c r="BN5" s="500"/>
      <c r="BO5" s="504"/>
      <c r="BP5" s="505"/>
      <c r="BQ5" s="505"/>
      <c r="BR5" s="506"/>
      <c r="BS5" s="292"/>
      <c r="BT5" s="510"/>
      <c r="BU5" s="511"/>
      <c r="BV5" s="512"/>
      <c r="BW5" s="510"/>
      <c r="BX5" s="511"/>
      <c r="BY5" s="512"/>
      <c r="BZ5" s="510"/>
      <c r="CA5" s="511"/>
      <c r="CB5" s="512"/>
      <c r="CC5" s="510"/>
      <c r="CD5" s="511"/>
      <c r="CE5" s="512"/>
      <c r="CF5" s="292"/>
      <c r="CG5" s="540"/>
      <c r="CH5" s="541"/>
      <c r="CI5" s="541"/>
      <c r="CJ5" s="542"/>
      <c r="CK5" s="516"/>
      <c r="CL5" s="517"/>
      <c r="CM5" s="517"/>
      <c r="CN5" s="518"/>
      <c r="CO5" s="516"/>
      <c r="CP5" s="517"/>
      <c r="CQ5" s="517"/>
      <c r="CR5" s="518"/>
      <c r="CS5" s="516"/>
      <c r="CT5" s="517"/>
      <c r="CU5" s="517"/>
      <c r="CV5" s="518"/>
      <c r="CW5" s="292"/>
      <c r="CX5" s="557"/>
      <c r="CY5" s="558"/>
      <c r="CZ5" s="558"/>
      <c r="DA5" s="559"/>
      <c r="DB5" s="563"/>
      <c r="DC5" s="564"/>
      <c r="DD5" s="564"/>
      <c r="DE5" s="565"/>
      <c r="DF5" s="563"/>
      <c r="DG5" s="564"/>
      <c r="DH5" s="564"/>
      <c r="DI5" s="565"/>
      <c r="DJ5" s="563"/>
      <c r="DK5" s="564"/>
      <c r="DL5" s="564"/>
      <c r="DM5" s="565"/>
    </row>
    <row r="6" spans="1:117" s="286" customFormat="1" ht="15.75" thickBot="1" x14ac:dyDescent="0.3">
      <c r="A6" s="525"/>
      <c r="B6" s="526"/>
      <c r="C6" s="536"/>
      <c r="D6" s="536"/>
      <c r="E6" s="536"/>
      <c r="F6" s="536"/>
      <c r="G6" s="288">
        <v>2022</v>
      </c>
      <c r="H6" s="289">
        <v>2023</v>
      </c>
      <c r="I6" s="289">
        <v>2024</v>
      </c>
      <c r="J6" s="290">
        <v>2025</v>
      </c>
      <c r="K6" s="288">
        <v>2022</v>
      </c>
      <c r="L6" s="289">
        <v>2023</v>
      </c>
      <c r="M6" s="289">
        <v>2024</v>
      </c>
      <c r="N6" s="290">
        <v>2025</v>
      </c>
      <c r="O6" s="288">
        <v>2022</v>
      </c>
      <c r="P6" s="289">
        <v>2023</v>
      </c>
      <c r="Q6" s="289">
        <v>2024</v>
      </c>
      <c r="R6" s="291">
        <v>2025</v>
      </c>
      <c r="S6" s="288">
        <v>2022</v>
      </c>
      <c r="T6" s="289">
        <v>2023</v>
      </c>
      <c r="U6" s="289">
        <v>2024</v>
      </c>
      <c r="V6" s="290">
        <v>2025</v>
      </c>
      <c r="W6" s="288">
        <v>2022</v>
      </c>
      <c r="X6" s="289">
        <v>2023</v>
      </c>
      <c r="Y6" s="289">
        <v>2024</v>
      </c>
      <c r="Z6" s="290">
        <v>2025</v>
      </c>
      <c r="AA6" s="288">
        <v>2022</v>
      </c>
      <c r="AB6" s="289">
        <v>2023</v>
      </c>
      <c r="AC6" s="289">
        <v>2024</v>
      </c>
      <c r="AD6" s="290">
        <v>2025</v>
      </c>
      <c r="AE6" s="288">
        <v>2022</v>
      </c>
      <c r="AF6" s="289">
        <v>2023</v>
      </c>
      <c r="AG6" s="289">
        <v>2024</v>
      </c>
      <c r="AH6" s="290">
        <v>2025</v>
      </c>
      <c r="AI6" s="288">
        <v>2022</v>
      </c>
      <c r="AJ6" s="289">
        <v>2023</v>
      </c>
      <c r="AK6" s="289">
        <v>2024</v>
      </c>
      <c r="AL6" s="290">
        <v>2025</v>
      </c>
      <c r="AM6" s="288">
        <v>2022</v>
      </c>
      <c r="AN6" s="289">
        <v>2023</v>
      </c>
      <c r="AO6" s="289">
        <v>2024</v>
      </c>
      <c r="AP6" s="290">
        <v>2025</v>
      </c>
      <c r="AQ6" s="288">
        <v>2022</v>
      </c>
      <c r="AR6" s="289">
        <v>2023</v>
      </c>
      <c r="AS6" s="289">
        <v>2024</v>
      </c>
      <c r="AT6" s="290">
        <v>2025</v>
      </c>
      <c r="AU6" s="288">
        <v>2022</v>
      </c>
      <c r="AV6" s="289">
        <v>2023</v>
      </c>
      <c r="AW6" s="289">
        <v>2024</v>
      </c>
      <c r="AX6" s="290">
        <v>2025</v>
      </c>
      <c r="AY6" s="288">
        <v>2022</v>
      </c>
      <c r="AZ6" s="289">
        <v>2023</v>
      </c>
      <c r="BA6" s="289">
        <v>2024</v>
      </c>
      <c r="BB6" s="290">
        <v>2025</v>
      </c>
      <c r="BC6" s="288">
        <v>2022</v>
      </c>
      <c r="BD6" s="289">
        <v>2023</v>
      </c>
      <c r="BE6" s="289">
        <v>2024</v>
      </c>
      <c r="BF6" s="290">
        <v>2025</v>
      </c>
      <c r="BG6" s="288">
        <v>2022</v>
      </c>
      <c r="BH6" s="289">
        <v>2023</v>
      </c>
      <c r="BI6" s="289">
        <v>2024</v>
      </c>
      <c r="BJ6" s="290">
        <v>2025</v>
      </c>
      <c r="BK6" s="288">
        <v>2022</v>
      </c>
      <c r="BL6" s="289">
        <v>2023</v>
      </c>
      <c r="BM6" s="289">
        <v>2024</v>
      </c>
      <c r="BN6" s="290">
        <v>2025</v>
      </c>
      <c r="BO6" s="288">
        <v>2022</v>
      </c>
      <c r="BP6" s="289">
        <v>2023</v>
      </c>
      <c r="BQ6" s="289">
        <v>2024</v>
      </c>
      <c r="BR6" s="290">
        <v>2025</v>
      </c>
      <c r="BT6" s="288" t="s">
        <v>48</v>
      </c>
      <c r="BU6" s="289" t="s">
        <v>49</v>
      </c>
      <c r="BV6" s="290" t="s">
        <v>50</v>
      </c>
      <c r="BW6" s="288" t="s">
        <v>48</v>
      </c>
      <c r="BX6" s="289" t="s">
        <v>49</v>
      </c>
      <c r="BY6" s="290" t="s">
        <v>50</v>
      </c>
      <c r="BZ6" s="288" t="s">
        <v>48</v>
      </c>
      <c r="CA6" s="289" t="s">
        <v>49</v>
      </c>
      <c r="CB6" s="290" t="s">
        <v>50</v>
      </c>
      <c r="CC6" s="288" t="s">
        <v>48</v>
      </c>
      <c r="CD6" s="289" t="s">
        <v>49</v>
      </c>
      <c r="CE6" s="290" t="s">
        <v>50</v>
      </c>
      <c r="CG6" s="288">
        <v>2022</v>
      </c>
      <c r="CH6" s="289">
        <v>2023</v>
      </c>
      <c r="CI6" s="289">
        <v>2024</v>
      </c>
      <c r="CJ6" s="290">
        <v>2025</v>
      </c>
      <c r="CK6" s="288">
        <v>2022</v>
      </c>
      <c r="CL6" s="289">
        <v>2023</v>
      </c>
      <c r="CM6" s="289">
        <v>2024</v>
      </c>
      <c r="CN6" s="290">
        <v>2025</v>
      </c>
      <c r="CO6" s="288">
        <v>2022</v>
      </c>
      <c r="CP6" s="289">
        <v>2023</v>
      </c>
      <c r="CQ6" s="289">
        <v>2024</v>
      </c>
      <c r="CR6" s="290">
        <v>2025</v>
      </c>
      <c r="CS6" s="288">
        <v>2022</v>
      </c>
      <c r="CT6" s="289">
        <v>2023</v>
      </c>
      <c r="CU6" s="289">
        <v>2024</v>
      </c>
      <c r="CV6" s="290">
        <v>2025</v>
      </c>
      <c r="CX6" s="321">
        <v>2022</v>
      </c>
      <c r="CY6" s="322">
        <v>2023</v>
      </c>
      <c r="CZ6" s="322">
        <v>2024</v>
      </c>
      <c r="DA6" s="323">
        <v>2025</v>
      </c>
      <c r="DB6" s="288">
        <v>2022</v>
      </c>
      <c r="DC6" s="289">
        <v>2023</v>
      </c>
      <c r="DD6" s="289">
        <v>2024</v>
      </c>
      <c r="DE6" s="290">
        <v>2025</v>
      </c>
      <c r="DF6" s="288">
        <v>2022</v>
      </c>
      <c r="DG6" s="289">
        <v>2023</v>
      </c>
      <c r="DH6" s="289">
        <v>2024</v>
      </c>
      <c r="DI6" s="290">
        <v>2025</v>
      </c>
      <c r="DJ6" s="288">
        <v>2022</v>
      </c>
      <c r="DK6" s="289">
        <v>2023</v>
      </c>
      <c r="DL6" s="289">
        <v>2024</v>
      </c>
      <c r="DM6" s="290">
        <v>2025</v>
      </c>
    </row>
    <row r="7" spans="1:117" x14ac:dyDescent="0.25">
      <c r="A7" s="520" t="s">
        <v>21</v>
      </c>
      <c r="B7" s="23">
        <v>1</v>
      </c>
      <c r="C7" s="367">
        <v>53.2</v>
      </c>
      <c r="D7" s="367">
        <v>53.2</v>
      </c>
      <c r="E7" s="367">
        <v>53.2</v>
      </c>
      <c r="F7" s="367">
        <v>53.2</v>
      </c>
      <c r="G7" s="326">
        <f t="shared" ref="G7:G30" si="0">VLOOKUP(B7,year2022to23,72,FALSE)</f>
        <v>62.09</v>
      </c>
      <c r="H7" s="327">
        <f t="shared" ref="H7:H30" si="1">VLOOKUP(B7,year2022to23,132,FALSE)</f>
        <v>93.17</v>
      </c>
      <c r="I7" s="327">
        <f t="shared" ref="I7:I30" si="2">VLOOKUP(B7,year2022to23,192,FALSE)</f>
        <v>36.94</v>
      </c>
      <c r="J7" s="328">
        <f t="shared" ref="J7:J30" si="3">VLOOKUP(B7,year2022to23,252,FALSE)</f>
        <v>69.42</v>
      </c>
      <c r="K7" s="326">
        <f t="shared" ref="K7:K30" si="4">VLOOKUP(B7,year2022to23,77,FALSE)</f>
        <v>55.72</v>
      </c>
      <c r="L7" s="327">
        <f t="shared" ref="L7:L30" si="5">VLOOKUP(B7,year2022to23,137,FALSE)</f>
        <v>56.28</v>
      </c>
      <c r="M7" s="327">
        <f t="shared" ref="M7:M30" si="6">VLOOKUP(B7,year2022to23,197,FALSE)</f>
        <v>39.44</v>
      </c>
      <c r="N7" s="328">
        <f t="shared" ref="N7:N30" si="7">VLOOKUP(B7,year2022to23,257,FALSE)</f>
        <v>43.2</v>
      </c>
      <c r="O7" s="326">
        <f t="shared" ref="O7:O30" si="8">VLOOKUP(B7,year2022to23,82,FALSE)</f>
        <v>43.06</v>
      </c>
      <c r="P7" s="327">
        <f t="shared" ref="P7:P30" si="9">VLOOKUP(B7,year2022to23,142,FALSE)</f>
        <v>31.12</v>
      </c>
      <c r="Q7" s="327">
        <f t="shared" ref="Q7:Q30" si="10">VLOOKUP(B7,year2022to23,202,FALSE)</f>
        <v>27.55</v>
      </c>
      <c r="R7" s="334">
        <f t="shared" ref="R7:R30" si="11">VLOOKUP(B7,year2022to23,262,FALSE)</f>
        <v>71.900000000000006</v>
      </c>
      <c r="S7" s="326">
        <f>G7+K7+O7</f>
        <v>160.87</v>
      </c>
      <c r="T7" s="327">
        <f>H7+L7+P7</f>
        <v>180.57</v>
      </c>
      <c r="U7" s="327">
        <f>I7+M7+Q7</f>
        <v>103.92999999999999</v>
      </c>
      <c r="V7" s="328">
        <f>J7+N7+R7</f>
        <v>184.52</v>
      </c>
      <c r="W7" s="326">
        <f t="shared" ref="W7:W30" si="12">VLOOKUP(B7,year2022to23,87,FALSE)</f>
        <v>87.37</v>
      </c>
      <c r="X7" s="327">
        <f t="shared" ref="X7:X30" si="13">VLOOKUP(B7,year2022to23,147,FALSE)</f>
        <v>36.07</v>
      </c>
      <c r="Y7" s="327">
        <f t="shared" ref="Y7:Y30" si="14">VLOOKUP(B7,year2022to23,207,FALSE)</f>
        <v>34.130000000000003</v>
      </c>
      <c r="Z7" s="328">
        <f t="shared" ref="Z7:Z30" si="15">VLOOKUP(B7,year2022to23,267,FALSE)</f>
        <v>82.490000000000009</v>
      </c>
      <c r="AA7" s="326">
        <f t="shared" ref="AA7:AA30" si="16">VLOOKUP(B7,year2022to23,92,FALSE)</f>
        <v>52.38</v>
      </c>
      <c r="AB7" s="327">
        <f t="shared" ref="AB7:AB30" si="17">VLOOKUP(B7,year2022to23,152,FALSE)</f>
        <v>50.52</v>
      </c>
      <c r="AC7" s="327">
        <f t="shared" ref="AC7:AC30" si="18">VLOOKUP(B7,year2022to23,212,FALSE)</f>
        <v>58.91</v>
      </c>
      <c r="AD7" s="328">
        <f t="shared" ref="AD7:AD30" si="19">VLOOKUP(B7,year2022to23,272,FALSE)</f>
        <v>84.13</v>
      </c>
      <c r="AE7" s="326">
        <f t="shared" ref="AE7:AE30" si="20">VLOOKUP(B7,year2022to23,97,FALSE)</f>
        <v>54.89</v>
      </c>
      <c r="AF7" s="327">
        <f t="shared" ref="AF7:AF30" si="21">VLOOKUP(B7,year2022to23,157,FALSE)</f>
        <v>55.36</v>
      </c>
      <c r="AG7" s="327">
        <f t="shared" ref="AG7:AG30" si="22">VLOOKUP(B7,year2022to23,217,FALSE)</f>
        <v>54.04</v>
      </c>
      <c r="AH7" s="328">
        <f t="shared" ref="AH7:AH30" si="23">VLOOKUP(B7,year2022to23,277,FALSE)</f>
        <v>52.52</v>
      </c>
      <c r="AI7" s="326">
        <f>W7+AA7+AE7</f>
        <v>194.64</v>
      </c>
      <c r="AJ7" s="327">
        <f>X7+AB7+AF7</f>
        <v>141.94999999999999</v>
      </c>
      <c r="AK7" s="327">
        <f>Y7+AC7+AG7</f>
        <v>147.07999999999998</v>
      </c>
      <c r="AL7" s="328">
        <f>Z7+AD7+AH7</f>
        <v>219.14000000000001</v>
      </c>
      <c r="AM7" s="326">
        <f t="shared" ref="AM7:AM30" si="24">VLOOKUP(B7,year2022to23,102,FALSE)</f>
        <v>67.599999999999994</v>
      </c>
      <c r="AN7" s="327">
        <f t="shared" ref="AN7:AN30" si="25">VLOOKUP(B7,year2022to23,162,FALSE)</f>
        <v>46.79</v>
      </c>
      <c r="AO7" s="327">
        <f t="shared" ref="AO7:AO30" si="26">VLOOKUP(B7,year2022to23,222,FALSE)</f>
        <v>44.8</v>
      </c>
      <c r="AP7" s="328">
        <f t="shared" ref="AP7:AP30" si="27">VLOOKUP(B7,year2022to23,282,FALSE)</f>
        <v>45.54</v>
      </c>
      <c r="AQ7" s="326">
        <f t="shared" ref="AQ7:AQ30" si="28">VLOOKUP(B7,year2022to23,107,FALSE)</f>
        <v>45.84</v>
      </c>
      <c r="AR7" s="327">
        <f t="shared" ref="AR7:AR30" si="29">VLOOKUP(B7,year2022to23,167,FALSE)</f>
        <v>54.7</v>
      </c>
      <c r="AS7" s="327">
        <f t="shared" ref="AS7:AS30" si="30">VLOOKUP(B7,year2022to23,227,FALSE)</f>
        <v>65.94</v>
      </c>
      <c r="AT7" s="328">
        <f t="shared" ref="AT7:AT30" si="31">VLOOKUP(B7,year2022to23,287,FALSE)</f>
        <v>64.97999999999999</v>
      </c>
      <c r="AU7" s="326">
        <f t="shared" ref="AU7:AU30" si="32">VLOOKUP(B7,year2022to23,112,FALSE)</f>
        <v>70.95</v>
      </c>
      <c r="AV7" s="327">
        <f t="shared" ref="AV7:AV30" si="33">VLOOKUP(B7,year2022to23,172,FALSE)</f>
        <v>66.5</v>
      </c>
      <c r="AW7" s="327">
        <f>VLOOKUP(B7,year2022to23,232,FALSE)</f>
        <v>51.120000000000005</v>
      </c>
      <c r="AX7" s="328">
        <f>VLOOKUP(B7,year2022to23,292,FALSE)</f>
        <v>76.31</v>
      </c>
      <c r="AY7" s="326">
        <f>AM7+AQ7+AU7</f>
        <v>184.39</v>
      </c>
      <c r="AZ7" s="327">
        <f>AN7+AR7+AV7</f>
        <v>167.99</v>
      </c>
      <c r="BA7" s="327">
        <f>AO7+AS7+AW7</f>
        <v>161.86000000000001</v>
      </c>
      <c r="BB7" s="327">
        <f>AP7+AT7+AX7</f>
        <v>186.82999999999998</v>
      </c>
      <c r="BC7" s="326">
        <f t="shared" ref="BC7:BC30" si="34">VLOOKUP(B7,year2022to23,117,FALSE)</f>
        <v>71.67</v>
      </c>
      <c r="BD7" s="327">
        <f t="shared" ref="BD7:BD30" si="35">VLOOKUP(B7,year2022to23,177,FALSE)</f>
        <v>74.05</v>
      </c>
      <c r="BE7" s="327">
        <f t="shared" ref="BE7:BE30" si="36">VLOOKUP(B7,year2022to23,237,FALSE)</f>
        <v>108.35</v>
      </c>
      <c r="BF7" s="328">
        <f>VLOOKUP(B7,year2022to23,297,FALSE)</f>
        <v>89.320000000000007</v>
      </c>
      <c r="BG7" s="326">
        <f t="shared" ref="BG7:BG30" si="37">VLOOKUP(B7,year2022to23,122,FALSE)</f>
        <v>65.84</v>
      </c>
      <c r="BH7" s="327">
        <f t="shared" ref="BH7:BH30" si="38">VLOOKUP(B7,year2022to23,182,FALSE)</f>
        <v>83.77000000000001</v>
      </c>
      <c r="BI7" s="327">
        <f t="shared" ref="BI7:BI30" si="39">VLOOKUP(B7,year2022to23,242,FALSE)</f>
        <v>103.85</v>
      </c>
      <c r="BJ7" s="328">
        <f t="shared" ref="BJ7:BJ30" si="40">VLOOKUP(B7,year2022to23,302,FALSE)</f>
        <v>123.33000000000001</v>
      </c>
      <c r="BK7" s="326">
        <f t="shared" ref="BK7:BK30" si="41">VLOOKUP(B7,year2022to23,127,FALSE)</f>
        <v>98.16</v>
      </c>
      <c r="BL7" s="327">
        <f t="shared" ref="BL7:BL30" si="42">VLOOKUP(B7,year2022to23,187,FALSE)</f>
        <v>57.010000000000005</v>
      </c>
      <c r="BM7" s="327">
        <f>VLOOKUP(B7,year2022to23,247,FALSE)</f>
        <v>82.070000000000007</v>
      </c>
      <c r="BN7" s="328">
        <f t="shared" ref="BN7:BN30" si="43">VLOOKUP(B7,year2022to23,307,FALSE)</f>
        <v>106.65</v>
      </c>
      <c r="BO7" s="326">
        <f>BC7+BG7+BK7</f>
        <v>235.67</v>
      </c>
      <c r="BP7" s="327">
        <f>BD7+BH7+BL7</f>
        <v>214.82999999999998</v>
      </c>
      <c r="BQ7" s="327">
        <f>BE7+BI7+BM7</f>
        <v>294.27</v>
      </c>
      <c r="BR7" s="329"/>
      <c r="BS7" s="335"/>
      <c r="BT7" s="326">
        <f t="shared" ref="BT7:BT31" si="44">T7-S7</f>
        <v>19.699999999999989</v>
      </c>
      <c r="BU7" s="327">
        <f t="shared" ref="BU7:BU31" si="45">U7-T7</f>
        <v>-76.64</v>
      </c>
      <c r="BV7" s="328">
        <f t="shared" ref="BV7:BV31" si="46">V7-U7</f>
        <v>80.590000000000018</v>
      </c>
      <c r="BW7" s="326">
        <f t="shared" ref="BW7:BW31" si="47">AJ7-AI7</f>
        <v>-52.69</v>
      </c>
      <c r="BX7" s="327">
        <f t="shared" ref="BX7:BX31" si="48">AK7-AJ7</f>
        <v>5.1299999999999955</v>
      </c>
      <c r="BY7" s="328">
        <f t="shared" ref="BY7:BY31" si="49">AL7-AK7</f>
        <v>72.060000000000031</v>
      </c>
      <c r="BZ7" s="326">
        <f t="shared" ref="BZ7:BZ31" si="50">AZ7-AY7</f>
        <v>-16.399999999999977</v>
      </c>
      <c r="CA7" s="327">
        <f>BA7-AZ7</f>
        <v>-6.1299999999999955</v>
      </c>
      <c r="CB7" s="327">
        <f>BB7-BA7</f>
        <v>24.96999999999997</v>
      </c>
      <c r="CC7" s="326">
        <f>BP7-BO7</f>
        <v>-20.840000000000003</v>
      </c>
      <c r="CD7" s="327">
        <f>BQ7-BP7</f>
        <v>79.44</v>
      </c>
      <c r="CE7" s="329"/>
      <c r="CF7" s="335"/>
      <c r="CG7" s="326">
        <f t="shared" ref="CG7:CG31" si="51">G7+K7+O7</f>
        <v>160.87</v>
      </c>
      <c r="CH7" s="327">
        <f t="shared" ref="CH7:CH31" si="52">H7+L7+P7</f>
        <v>180.57</v>
      </c>
      <c r="CI7" s="327">
        <f t="shared" ref="CI7:CI31" si="53">I7+M7+Q7</f>
        <v>103.92999999999999</v>
      </c>
      <c r="CJ7" s="328">
        <f t="shared" ref="CJ7:CJ31" si="54">J7+N7+R7</f>
        <v>184.52</v>
      </c>
      <c r="CK7" s="326">
        <f t="shared" ref="CK7:CK31" si="55">CG7+W7+AA7+AE7</f>
        <v>355.51</v>
      </c>
      <c r="CL7" s="327">
        <f t="shared" ref="CL7:CL31" si="56">CH7+X7+AB7+AF7</f>
        <v>322.52</v>
      </c>
      <c r="CM7" s="327">
        <f t="shared" ref="CM7:CM31" si="57">CI7+Y7+AC7+AG7</f>
        <v>251.01</v>
      </c>
      <c r="CN7" s="328">
        <f>CJ7+Z7+AD7+AH7</f>
        <v>403.65999999999997</v>
      </c>
      <c r="CO7" s="326">
        <f t="shared" ref="CO7:CO31" si="58">CK7+AM7+AQ7+AU7</f>
        <v>539.90000000000009</v>
      </c>
      <c r="CP7" s="327">
        <f t="shared" ref="CP7:CP31" si="59">CL7+AN7+AR7+AV7</f>
        <v>490.51</v>
      </c>
      <c r="CQ7" s="327">
        <f>CM7+AO7+AS7+AW7</f>
        <v>412.87</v>
      </c>
      <c r="CR7" s="327">
        <f>CN7+AP7+AT7+AX7</f>
        <v>590.49</v>
      </c>
      <c r="CS7" s="326">
        <f t="shared" ref="CS7:CS31" si="60">CO7+BC7+BG7+BK7</f>
        <v>775.57</v>
      </c>
      <c r="CT7" s="327">
        <f t="shared" ref="CT7:CT31" si="61">CP7+BD7+BH7+BL7</f>
        <v>705.33999999999992</v>
      </c>
      <c r="CU7" s="327">
        <f>CQ7+BE7+BI7+BM7</f>
        <v>707.1400000000001</v>
      </c>
      <c r="CV7" s="327">
        <f>CR7+BF7+BJ7+BN7</f>
        <v>909.79000000000008</v>
      </c>
      <c r="CW7" s="335"/>
      <c r="CX7" s="326">
        <f>CG7/C7</f>
        <v>3.0238721804511277</v>
      </c>
      <c r="CY7" s="326">
        <f>CH7/D7</f>
        <v>3.394172932330827</v>
      </c>
      <c r="CZ7" s="326">
        <f>CI7/E7</f>
        <v>1.9535714285714283</v>
      </c>
      <c r="DA7" s="326">
        <f>CJ7/F7</f>
        <v>3.4684210526315788</v>
      </c>
      <c r="DB7" s="326">
        <f>CK7/C7</f>
        <v>6.6825187969924809</v>
      </c>
      <c r="DC7" s="327">
        <f>CL7/D7</f>
        <v>6.0624060150375936</v>
      </c>
      <c r="DD7" s="327">
        <f>CM7/E7</f>
        <v>4.7182330827067664</v>
      </c>
      <c r="DE7" s="328">
        <f>CN7/F7</f>
        <v>7.587593984962405</v>
      </c>
      <c r="DF7" s="326">
        <f>CO7/C7</f>
        <v>10.148496240601505</v>
      </c>
      <c r="DG7" s="327">
        <f>CP7/D7</f>
        <v>9.2201127819548869</v>
      </c>
      <c r="DH7" s="327">
        <f>CQ7/E7</f>
        <v>7.7607142857142852</v>
      </c>
      <c r="DI7" s="328">
        <f>CR7/F7</f>
        <v>11.099436090225563</v>
      </c>
      <c r="DJ7" s="326">
        <f>CS7/C7</f>
        <v>14.578383458646616</v>
      </c>
      <c r="DK7" s="327">
        <f>CT7/D7</f>
        <v>13.258270676691726</v>
      </c>
      <c r="DL7" s="327">
        <f>CU7/E7</f>
        <v>13.292105263157897</v>
      </c>
      <c r="DM7" s="328">
        <f>CV7/F7</f>
        <v>17.101315789473684</v>
      </c>
    </row>
    <row r="8" spans="1:117" x14ac:dyDescent="0.25">
      <c r="A8" s="521"/>
      <c r="B8" s="55">
        <v>2</v>
      </c>
      <c r="C8" s="368">
        <v>60.4</v>
      </c>
      <c r="D8" s="368">
        <v>60.4</v>
      </c>
      <c r="E8" s="368">
        <v>60.4</v>
      </c>
      <c r="F8" s="368">
        <v>60.4</v>
      </c>
      <c r="G8" s="326">
        <f t="shared" si="0"/>
        <v>51.989999999999995</v>
      </c>
      <c r="H8" s="327">
        <f t="shared" si="1"/>
        <v>60.95</v>
      </c>
      <c r="I8" s="327">
        <f t="shared" si="2"/>
        <v>72.94</v>
      </c>
      <c r="J8" s="328">
        <f t="shared" si="3"/>
        <v>64.36</v>
      </c>
      <c r="K8" s="326">
        <f t="shared" si="4"/>
        <v>43.8</v>
      </c>
      <c r="L8" s="327">
        <f t="shared" si="5"/>
        <v>64.849999999999994</v>
      </c>
      <c r="M8" s="327">
        <f t="shared" si="6"/>
        <v>36.26</v>
      </c>
      <c r="N8" s="328">
        <f t="shared" si="7"/>
        <v>79.91</v>
      </c>
      <c r="O8" s="326">
        <f t="shared" si="8"/>
        <v>65.31</v>
      </c>
      <c r="P8" s="327">
        <f t="shared" si="9"/>
        <v>58.69</v>
      </c>
      <c r="Q8" s="327">
        <f t="shared" si="10"/>
        <v>39.31</v>
      </c>
      <c r="R8" s="334">
        <f t="shared" si="11"/>
        <v>91.039999999999992</v>
      </c>
      <c r="S8" s="326">
        <f t="shared" ref="S8:V30" si="62">G8+K8+O8</f>
        <v>161.1</v>
      </c>
      <c r="T8" s="327">
        <f t="shared" si="62"/>
        <v>184.49</v>
      </c>
      <c r="U8" s="327">
        <f t="shared" si="62"/>
        <v>148.51</v>
      </c>
      <c r="V8" s="328">
        <f t="shared" si="62"/>
        <v>235.30999999999997</v>
      </c>
      <c r="W8" s="326">
        <f t="shared" si="12"/>
        <v>51.57</v>
      </c>
      <c r="X8" s="327">
        <f t="shared" si="13"/>
        <v>40.72</v>
      </c>
      <c r="Y8" s="327">
        <f t="shared" si="14"/>
        <v>55.739999999999995</v>
      </c>
      <c r="Z8" s="328">
        <f t="shared" si="15"/>
        <v>74.37</v>
      </c>
      <c r="AA8" s="326">
        <f t="shared" si="16"/>
        <v>45</v>
      </c>
      <c r="AB8" s="327">
        <f t="shared" si="17"/>
        <v>44.45</v>
      </c>
      <c r="AC8" s="327">
        <f t="shared" si="18"/>
        <v>75.750000000000014</v>
      </c>
      <c r="AD8" s="328">
        <f t="shared" si="19"/>
        <v>93.050000000000011</v>
      </c>
      <c r="AE8" s="326">
        <f t="shared" si="20"/>
        <v>49.9</v>
      </c>
      <c r="AF8" s="327">
        <f t="shared" si="21"/>
        <v>37.950000000000003</v>
      </c>
      <c r="AG8" s="327">
        <f t="shared" si="22"/>
        <v>63.910000000000004</v>
      </c>
      <c r="AH8" s="328">
        <f t="shared" si="23"/>
        <v>39.56</v>
      </c>
      <c r="AI8" s="326">
        <f t="shared" ref="AI8:AL30" si="63">W8+AA8+AE8</f>
        <v>146.47</v>
      </c>
      <c r="AJ8" s="327">
        <f t="shared" si="63"/>
        <v>123.12</v>
      </c>
      <c r="AK8" s="327">
        <f t="shared" si="63"/>
        <v>195.4</v>
      </c>
      <c r="AL8" s="328">
        <f t="shared" si="63"/>
        <v>206.98000000000002</v>
      </c>
      <c r="AM8" s="326">
        <f t="shared" si="24"/>
        <v>40.17</v>
      </c>
      <c r="AN8" s="327">
        <f t="shared" si="25"/>
        <v>46.84</v>
      </c>
      <c r="AO8" s="327">
        <f t="shared" si="26"/>
        <v>51.46</v>
      </c>
      <c r="AP8" s="328">
        <f t="shared" si="27"/>
        <v>57.839999999999996</v>
      </c>
      <c r="AQ8" s="326">
        <f t="shared" si="28"/>
        <v>57.61</v>
      </c>
      <c r="AR8" s="327">
        <f t="shared" si="29"/>
        <v>52.89</v>
      </c>
      <c r="AS8" s="327">
        <f t="shared" si="30"/>
        <v>107.30000000000001</v>
      </c>
      <c r="AT8" s="328">
        <f t="shared" si="31"/>
        <v>51.16</v>
      </c>
      <c r="AU8" s="326">
        <f t="shared" si="32"/>
        <v>45.47</v>
      </c>
      <c r="AV8" s="327">
        <f t="shared" si="33"/>
        <v>63.92</v>
      </c>
      <c r="AW8" s="327">
        <f t="shared" ref="AW8:AW30" si="64">VLOOKUP(B8,year2022to23,232,FALSE)</f>
        <v>75.03</v>
      </c>
      <c r="AX8" s="328">
        <f t="shared" ref="AX8:AX30" si="65">VLOOKUP(B8,year2022to23,292,FALSE)</f>
        <v>76.25</v>
      </c>
      <c r="AY8" s="326">
        <f t="shared" ref="AY8:BA30" si="66">AM8+AQ8+AU8</f>
        <v>143.25</v>
      </c>
      <c r="AZ8" s="327">
        <f t="shared" si="66"/>
        <v>163.65</v>
      </c>
      <c r="BA8" s="327">
        <f t="shared" si="66"/>
        <v>233.79000000000002</v>
      </c>
      <c r="BB8" s="328">
        <f t="shared" ref="BB8:BB30" si="67">AP8+AT8+AX8</f>
        <v>185.25</v>
      </c>
      <c r="BC8" s="326">
        <f t="shared" si="34"/>
        <v>85.67</v>
      </c>
      <c r="BD8" s="327">
        <f t="shared" si="35"/>
        <v>67.58</v>
      </c>
      <c r="BE8" s="327">
        <f t="shared" si="36"/>
        <v>84.31</v>
      </c>
      <c r="BF8" s="328">
        <f t="shared" ref="BF8:BF30" si="68">VLOOKUP(B8,year2022to23,297,FALSE)</f>
        <v>80.539999999999992</v>
      </c>
      <c r="BG8" s="326">
        <f t="shared" si="37"/>
        <v>59.79</v>
      </c>
      <c r="BH8" s="327">
        <f t="shared" si="38"/>
        <v>73.8</v>
      </c>
      <c r="BI8" s="327">
        <f t="shared" si="39"/>
        <v>95.713999999999999</v>
      </c>
      <c r="BJ8" s="328">
        <f t="shared" si="40"/>
        <v>124.18</v>
      </c>
      <c r="BK8" s="326">
        <f t="shared" si="41"/>
        <v>67.02000000000001</v>
      </c>
      <c r="BL8" s="327">
        <f t="shared" si="42"/>
        <v>89.22</v>
      </c>
      <c r="BM8" s="327">
        <f t="shared" ref="BM8:BM30" si="69">VLOOKUP(B8,year2022to23,247,FALSE)</f>
        <v>70.989999999999995</v>
      </c>
      <c r="BN8" s="328">
        <f t="shared" si="43"/>
        <v>57.309999999999995</v>
      </c>
      <c r="BO8" s="326">
        <f t="shared" ref="BO8:BQ30" si="70">BC8+BG8+BK8</f>
        <v>212.48000000000002</v>
      </c>
      <c r="BP8" s="327">
        <f t="shared" si="70"/>
        <v>230.6</v>
      </c>
      <c r="BQ8" s="327">
        <f t="shared" si="70"/>
        <v>251.01400000000001</v>
      </c>
      <c r="BR8" s="329"/>
      <c r="BS8" s="335"/>
      <c r="BT8" s="326">
        <f t="shared" si="44"/>
        <v>23.390000000000015</v>
      </c>
      <c r="BU8" s="327">
        <f t="shared" si="45"/>
        <v>-35.980000000000018</v>
      </c>
      <c r="BV8" s="328">
        <f t="shared" si="46"/>
        <v>86.799999999999983</v>
      </c>
      <c r="BW8" s="326">
        <f t="shared" si="47"/>
        <v>-23.349999999999994</v>
      </c>
      <c r="BX8" s="327">
        <f t="shared" si="48"/>
        <v>72.28</v>
      </c>
      <c r="BY8" s="328">
        <f t="shared" si="49"/>
        <v>11.580000000000013</v>
      </c>
      <c r="BZ8" s="326">
        <f t="shared" si="50"/>
        <v>20.400000000000006</v>
      </c>
      <c r="CA8" s="327">
        <f t="shared" ref="CA8:CA31" si="71">BA8-AZ8</f>
        <v>70.140000000000015</v>
      </c>
      <c r="CB8" s="328">
        <f t="shared" ref="CB8:CB29" si="72">BB8-BA8</f>
        <v>-48.54000000000002</v>
      </c>
      <c r="CC8" s="326">
        <f t="shared" ref="CC8:CE31" si="73">BP8-BO8</f>
        <v>18.119999999999976</v>
      </c>
      <c r="CD8" s="327">
        <f t="shared" si="73"/>
        <v>20.414000000000016</v>
      </c>
      <c r="CE8" s="329"/>
      <c r="CF8" s="335"/>
      <c r="CG8" s="326">
        <f t="shared" si="51"/>
        <v>161.1</v>
      </c>
      <c r="CH8" s="327">
        <f t="shared" si="52"/>
        <v>184.49</v>
      </c>
      <c r="CI8" s="327">
        <f t="shared" si="53"/>
        <v>148.51</v>
      </c>
      <c r="CJ8" s="328">
        <f t="shared" si="54"/>
        <v>235.30999999999997</v>
      </c>
      <c r="CK8" s="326">
        <f t="shared" si="55"/>
        <v>307.56999999999994</v>
      </c>
      <c r="CL8" s="327">
        <f t="shared" si="56"/>
        <v>307.61</v>
      </c>
      <c r="CM8" s="327">
        <f t="shared" si="57"/>
        <v>343.91</v>
      </c>
      <c r="CN8" s="328">
        <f t="shared" ref="CN8:CN31" si="74">CJ8+Z8+AD8+AH8</f>
        <v>442.28999999999996</v>
      </c>
      <c r="CO8" s="326">
        <f t="shared" si="58"/>
        <v>450.81999999999994</v>
      </c>
      <c r="CP8" s="327">
        <f t="shared" si="59"/>
        <v>471.26000000000005</v>
      </c>
      <c r="CQ8" s="327">
        <f t="shared" ref="CQ8:CR31" si="75">CM8+AO8+AS8+AW8</f>
        <v>577.70000000000005</v>
      </c>
      <c r="CR8" s="328">
        <f t="shared" ref="CR8:CR30" si="76">CN8+AP8+AT8+AX8</f>
        <v>627.54</v>
      </c>
      <c r="CS8" s="326">
        <f t="shared" si="60"/>
        <v>663.29999999999984</v>
      </c>
      <c r="CT8" s="327">
        <f t="shared" si="61"/>
        <v>701.86</v>
      </c>
      <c r="CU8" s="327">
        <f t="shared" ref="CU8:CU31" si="77">CQ8+BE8+BI8+BM8</f>
        <v>828.71399999999994</v>
      </c>
      <c r="CV8" s="328">
        <f t="shared" ref="CV8:CV30" si="78">CR8+BF8+BJ8+BN8</f>
        <v>889.56999999999994</v>
      </c>
      <c r="CW8" s="335"/>
      <c r="CX8" s="326">
        <f t="shared" ref="CX8:CX31" si="79">CG8/C8</f>
        <v>2.6672185430463577</v>
      </c>
      <c r="CY8" s="327">
        <f t="shared" ref="CY8:CY31" si="80">CH8/D8</f>
        <v>3.0544701986754967</v>
      </c>
      <c r="CZ8" s="327">
        <f t="shared" ref="CZ8:CZ31" si="81">CI8/E8</f>
        <v>2.4587748344370861</v>
      </c>
      <c r="DA8" s="328">
        <f t="shared" ref="DA8:DA31" si="82">CJ8/F8</f>
        <v>3.8958609271523175</v>
      </c>
      <c r="DB8" s="326">
        <f t="shared" ref="DB8:DB31" si="83">CK8/C8</f>
        <v>5.0922185430463562</v>
      </c>
      <c r="DC8" s="327">
        <f t="shared" ref="DC8:DC31" si="84">CL8/D8</f>
        <v>5.092880794701987</v>
      </c>
      <c r="DD8" s="327">
        <f t="shared" ref="DD8:DD31" si="85">CM8/E8</f>
        <v>5.6938741721854313</v>
      </c>
      <c r="DE8" s="328">
        <f t="shared" ref="DE8:DE31" si="86">CN8/F8</f>
        <v>7.3226821192052975</v>
      </c>
      <c r="DF8" s="326">
        <f t="shared" ref="DF8:DF31" si="87">CO8/C8</f>
        <v>7.4639072847682106</v>
      </c>
      <c r="DG8" s="327">
        <f t="shared" ref="DG8:DG31" si="88">CP8/D8</f>
        <v>7.8023178807947033</v>
      </c>
      <c r="DH8" s="327">
        <f t="shared" ref="DH8:DH31" si="89">CQ8/E8</f>
        <v>9.5645695364238428</v>
      </c>
      <c r="DI8" s="328">
        <f t="shared" ref="DI8:DI30" si="90">CR8/F8</f>
        <v>10.389735099337749</v>
      </c>
      <c r="DJ8" s="326">
        <f t="shared" ref="DJ8:DJ31" si="91">CS8/C8</f>
        <v>10.981788079470196</v>
      </c>
      <c r="DK8" s="327">
        <f t="shared" ref="DK8:DK31" si="92">CT8/D8</f>
        <v>11.62019867549669</v>
      </c>
      <c r="DL8" s="327">
        <f t="shared" ref="DL8:DM31" si="93">CU8/E8</f>
        <v>13.720430463576159</v>
      </c>
      <c r="DM8" s="328">
        <f t="shared" ref="DM8:DM30" si="94">CV8/F8</f>
        <v>14.72798013245033</v>
      </c>
    </row>
    <row r="9" spans="1:117" x14ac:dyDescent="0.25">
      <c r="A9" s="521"/>
      <c r="B9" s="55">
        <v>3</v>
      </c>
      <c r="C9" s="368">
        <v>69.2</v>
      </c>
      <c r="D9" s="368">
        <v>69.2</v>
      </c>
      <c r="E9" s="368">
        <v>69.2</v>
      </c>
      <c r="F9" s="368">
        <v>69.2</v>
      </c>
      <c r="G9" s="326">
        <f t="shared" si="0"/>
        <v>47.6</v>
      </c>
      <c r="H9" s="327">
        <f t="shared" si="1"/>
        <v>58.34</v>
      </c>
      <c r="I9" s="327">
        <f t="shared" si="2"/>
        <v>71.239999999999995</v>
      </c>
      <c r="J9" s="328">
        <f t="shared" si="3"/>
        <v>53.85</v>
      </c>
      <c r="K9" s="326">
        <f t="shared" si="4"/>
        <v>40.200000000000003</v>
      </c>
      <c r="L9" s="327">
        <f t="shared" si="5"/>
        <v>61.71</v>
      </c>
      <c r="M9" s="327">
        <f t="shared" si="6"/>
        <v>38.61</v>
      </c>
      <c r="N9" s="328">
        <f t="shared" si="7"/>
        <v>79.23</v>
      </c>
      <c r="O9" s="326">
        <f t="shared" si="8"/>
        <v>76.539999999999992</v>
      </c>
      <c r="P9" s="327">
        <f t="shared" si="9"/>
        <v>79.849999999999994</v>
      </c>
      <c r="Q9" s="327">
        <f t="shared" si="10"/>
        <v>15.600000000000001</v>
      </c>
      <c r="R9" s="334">
        <f t="shared" si="11"/>
        <v>59.150000000000006</v>
      </c>
      <c r="S9" s="326">
        <f t="shared" si="62"/>
        <v>164.34</v>
      </c>
      <c r="T9" s="327">
        <f t="shared" si="62"/>
        <v>199.9</v>
      </c>
      <c r="U9" s="327">
        <f t="shared" si="62"/>
        <v>125.44999999999999</v>
      </c>
      <c r="V9" s="328">
        <f t="shared" si="62"/>
        <v>192.23000000000002</v>
      </c>
      <c r="W9" s="326">
        <f t="shared" si="12"/>
        <v>52.65</v>
      </c>
      <c r="X9" s="327">
        <f t="shared" si="13"/>
        <v>32.980000000000004</v>
      </c>
      <c r="Y9" s="327">
        <f t="shared" si="14"/>
        <v>49.739999999999995</v>
      </c>
      <c r="Z9" s="328">
        <f t="shared" si="15"/>
        <v>104.87</v>
      </c>
      <c r="AA9" s="326">
        <f t="shared" si="16"/>
        <v>81.28</v>
      </c>
      <c r="AB9" s="327">
        <f t="shared" si="17"/>
        <v>60.01</v>
      </c>
      <c r="AC9" s="327">
        <f t="shared" si="18"/>
        <v>60.55</v>
      </c>
      <c r="AD9" s="328">
        <f t="shared" si="19"/>
        <v>73.77000000000001</v>
      </c>
      <c r="AE9" s="326">
        <f t="shared" si="20"/>
        <v>62.95</v>
      </c>
      <c r="AF9" s="327">
        <f t="shared" si="21"/>
        <v>57.480000000000004</v>
      </c>
      <c r="AG9" s="327">
        <f t="shared" si="22"/>
        <v>57.660000000000004</v>
      </c>
      <c r="AH9" s="328">
        <f t="shared" si="23"/>
        <v>65.569999999999993</v>
      </c>
      <c r="AI9" s="326">
        <f t="shared" si="63"/>
        <v>196.88</v>
      </c>
      <c r="AJ9" s="327">
        <f t="shared" si="63"/>
        <v>150.47000000000003</v>
      </c>
      <c r="AK9" s="327">
        <f t="shared" si="63"/>
        <v>167.95</v>
      </c>
      <c r="AL9" s="328">
        <f t="shared" si="63"/>
        <v>244.21</v>
      </c>
      <c r="AM9" s="326">
        <f t="shared" si="24"/>
        <v>56.239999999999995</v>
      </c>
      <c r="AN9" s="327">
        <f t="shared" si="25"/>
        <v>76.739999999999995</v>
      </c>
      <c r="AO9" s="327">
        <f t="shared" si="26"/>
        <v>65.39</v>
      </c>
      <c r="AP9" s="328">
        <f t="shared" si="27"/>
        <v>75.8</v>
      </c>
      <c r="AQ9" s="326">
        <f t="shared" si="28"/>
        <v>95.52000000000001</v>
      </c>
      <c r="AR9" s="327">
        <f t="shared" si="29"/>
        <v>73.83</v>
      </c>
      <c r="AS9" s="327">
        <f t="shared" si="30"/>
        <v>114.25</v>
      </c>
      <c r="AT9" s="328">
        <f t="shared" si="31"/>
        <v>92.330000000000013</v>
      </c>
      <c r="AU9" s="326">
        <f t="shared" si="32"/>
        <v>119.56</v>
      </c>
      <c r="AV9" s="327">
        <f t="shared" si="33"/>
        <v>109.43</v>
      </c>
      <c r="AW9" s="327">
        <f t="shared" si="64"/>
        <v>93.92</v>
      </c>
      <c r="AX9" s="328">
        <f t="shared" si="65"/>
        <v>92.47</v>
      </c>
      <c r="AY9" s="326">
        <f t="shared" si="66"/>
        <v>271.32</v>
      </c>
      <c r="AZ9" s="327">
        <f t="shared" si="66"/>
        <v>260</v>
      </c>
      <c r="BA9" s="327">
        <f t="shared" si="66"/>
        <v>273.56</v>
      </c>
      <c r="BB9" s="328">
        <f t="shared" si="67"/>
        <v>260.60000000000002</v>
      </c>
      <c r="BC9" s="326">
        <f t="shared" si="34"/>
        <v>166.7</v>
      </c>
      <c r="BD9" s="327">
        <f t="shared" si="35"/>
        <v>113.9</v>
      </c>
      <c r="BE9" s="327">
        <f t="shared" si="36"/>
        <v>146.82</v>
      </c>
      <c r="BF9" s="328">
        <f t="shared" si="68"/>
        <v>186.60000000000002</v>
      </c>
      <c r="BG9" s="326">
        <f t="shared" si="37"/>
        <v>83.02</v>
      </c>
      <c r="BH9" s="327">
        <f t="shared" si="38"/>
        <v>71.92</v>
      </c>
      <c r="BI9" s="327">
        <f t="shared" si="39"/>
        <v>61.61</v>
      </c>
      <c r="BJ9" s="328">
        <f t="shared" si="40"/>
        <v>122.1</v>
      </c>
      <c r="BK9" s="326">
        <f t="shared" si="41"/>
        <v>106.95</v>
      </c>
      <c r="BL9" s="327">
        <f t="shared" si="42"/>
        <v>53</v>
      </c>
      <c r="BM9" s="327">
        <f t="shared" si="69"/>
        <v>151.68</v>
      </c>
      <c r="BN9" s="328">
        <f t="shared" si="43"/>
        <v>80.009999999999991</v>
      </c>
      <c r="BO9" s="326">
        <f t="shared" si="70"/>
        <v>356.66999999999996</v>
      </c>
      <c r="BP9" s="327">
        <f t="shared" si="70"/>
        <v>238.82</v>
      </c>
      <c r="BQ9" s="327">
        <f t="shared" si="70"/>
        <v>360.11</v>
      </c>
      <c r="BR9" s="329"/>
      <c r="BS9" s="335"/>
      <c r="BT9" s="326">
        <f t="shared" si="44"/>
        <v>35.56</v>
      </c>
      <c r="BU9" s="327">
        <f t="shared" si="45"/>
        <v>-74.450000000000017</v>
      </c>
      <c r="BV9" s="328">
        <f t="shared" si="46"/>
        <v>66.78000000000003</v>
      </c>
      <c r="BW9" s="326">
        <f t="shared" si="47"/>
        <v>-46.409999999999968</v>
      </c>
      <c r="BX9" s="327">
        <f t="shared" si="48"/>
        <v>17.479999999999961</v>
      </c>
      <c r="BY9" s="328">
        <f t="shared" si="49"/>
        <v>76.260000000000019</v>
      </c>
      <c r="BZ9" s="326">
        <f t="shared" si="50"/>
        <v>-11.319999999999993</v>
      </c>
      <c r="CA9" s="327">
        <f t="shared" si="71"/>
        <v>13.560000000000002</v>
      </c>
      <c r="CB9" s="328">
        <f t="shared" si="72"/>
        <v>-12.95999999999998</v>
      </c>
      <c r="CC9" s="326">
        <f t="shared" si="73"/>
        <v>-117.84999999999997</v>
      </c>
      <c r="CD9" s="327">
        <f t="shared" si="73"/>
        <v>121.29000000000002</v>
      </c>
      <c r="CE9" s="329"/>
      <c r="CF9" s="335"/>
      <c r="CG9" s="326">
        <f t="shared" si="51"/>
        <v>164.34</v>
      </c>
      <c r="CH9" s="327">
        <f t="shared" si="52"/>
        <v>199.9</v>
      </c>
      <c r="CI9" s="327">
        <f t="shared" si="53"/>
        <v>125.44999999999999</v>
      </c>
      <c r="CJ9" s="328">
        <f t="shared" si="54"/>
        <v>192.23000000000002</v>
      </c>
      <c r="CK9" s="326">
        <f t="shared" si="55"/>
        <v>361.21999999999997</v>
      </c>
      <c r="CL9" s="327">
        <f t="shared" si="56"/>
        <v>350.37</v>
      </c>
      <c r="CM9" s="327">
        <f t="shared" si="57"/>
        <v>293.40000000000003</v>
      </c>
      <c r="CN9" s="328">
        <f t="shared" si="74"/>
        <v>436.44</v>
      </c>
      <c r="CO9" s="326">
        <f t="shared" si="58"/>
        <v>632.54</v>
      </c>
      <c r="CP9" s="327">
        <f t="shared" si="59"/>
        <v>610.37</v>
      </c>
      <c r="CQ9" s="327">
        <f t="shared" si="75"/>
        <v>566.96</v>
      </c>
      <c r="CR9" s="328">
        <f t="shared" si="76"/>
        <v>697.04000000000008</v>
      </c>
      <c r="CS9" s="326">
        <f t="shared" si="60"/>
        <v>989.21</v>
      </c>
      <c r="CT9" s="327">
        <f t="shared" si="61"/>
        <v>849.18999999999994</v>
      </c>
      <c r="CU9" s="327">
        <f t="shared" si="77"/>
        <v>927.06999999999994</v>
      </c>
      <c r="CV9" s="328">
        <f t="shared" si="78"/>
        <v>1085.75</v>
      </c>
      <c r="CW9" s="335"/>
      <c r="CX9" s="326">
        <f t="shared" si="79"/>
        <v>2.3748554913294799</v>
      </c>
      <c r="CY9" s="327">
        <f t="shared" si="80"/>
        <v>2.8887283236994219</v>
      </c>
      <c r="CZ9" s="327">
        <f t="shared" si="81"/>
        <v>1.8128612716763004</v>
      </c>
      <c r="DA9" s="328">
        <f t="shared" si="82"/>
        <v>2.7778901734104049</v>
      </c>
      <c r="DB9" s="326">
        <f t="shared" si="83"/>
        <v>5.2199421965317914</v>
      </c>
      <c r="DC9" s="327">
        <f t="shared" si="84"/>
        <v>5.063150289017341</v>
      </c>
      <c r="DD9" s="327">
        <f t="shared" si="85"/>
        <v>4.2398843930635843</v>
      </c>
      <c r="DE9" s="328">
        <f t="shared" si="86"/>
        <v>6.3069364161849713</v>
      </c>
      <c r="DF9" s="326">
        <f t="shared" si="87"/>
        <v>9.1407514450867051</v>
      </c>
      <c r="DG9" s="327">
        <f t="shared" si="88"/>
        <v>8.8203757225433517</v>
      </c>
      <c r="DH9" s="327">
        <f t="shared" si="89"/>
        <v>8.1930635838150287</v>
      </c>
      <c r="DI9" s="328">
        <f t="shared" si="90"/>
        <v>10.072832369942198</v>
      </c>
      <c r="DJ9" s="326">
        <f t="shared" si="91"/>
        <v>14.294942196531792</v>
      </c>
      <c r="DK9" s="327">
        <f t="shared" si="92"/>
        <v>12.271531791907513</v>
      </c>
      <c r="DL9" s="327">
        <f t="shared" si="93"/>
        <v>13.396965317919074</v>
      </c>
      <c r="DM9" s="328">
        <f t="shared" si="94"/>
        <v>15.690028901734104</v>
      </c>
    </row>
    <row r="10" spans="1:117" x14ac:dyDescent="0.25">
      <c r="A10" s="521"/>
      <c r="B10" s="55">
        <v>4</v>
      </c>
      <c r="C10" s="368">
        <v>70.599999999999994</v>
      </c>
      <c r="D10" s="368">
        <v>70.599999999999994</v>
      </c>
      <c r="E10" s="368">
        <v>70.599999999999994</v>
      </c>
      <c r="F10" s="368">
        <v>70.599999999999994</v>
      </c>
      <c r="G10" s="326">
        <f t="shared" si="0"/>
        <v>92.69</v>
      </c>
      <c r="H10" s="327">
        <f t="shared" si="1"/>
        <v>115.94</v>
      </c>
      <c r="I10" s="327">
        <f t="shared" si="2"/>
        <v>76.839999999999989</v>
      </c>
      <c r="J10" s="328">
        <f t="shared" si="3"/>
        <v>106.11</v>
      </c>
      <c r="K10" s="326">
        <f t="shared" si="4"/>
        <v>53.92</v>
      </c>
      <c r="L10" s="327">
        <f t="shared" si="5"/>
        <v>57.12</v>
      </c>
      <c r="M10" s="327">
        <f t="shared" si="6"/>
        <v>55.71</v>
      </c>
      <c r="N10" s="328">
        <f t="shared" si="7"/>
        <v>64.010000000000005</v>
      </c>
      <c r="O10" s="326">
        <f t="shared" si="8"/>
        <v>63.88</v>
      </c>
      <c r="P10" s="327">
        <f t="shared" si="9"/>
        <v>67.13</v>
      </c>
      <c r="Q10" s="327">
        <f t="shared" si="10"/>
        <v>20.3</v>
      </c>
      <c r="R10" s="334">
        <f t="shared" si="11"/>
        <v>111.08000000000001</v>
      </c>
      <c r="S10" s="326">
        <f t="shared" si="62"/>
        <v>210.49</v>
      </c>
      <c r="T10" s="327">
        <f t="shared" si="62"/>
        <v>240.19</v>
      </c>
      <c r="U10" s="327">
        <f t="shared" si="62"/>
        <v>152.85</v>
      </c>
      <c r="V10" s="328">
        <f t="shared" si="62"/>
        <v>281.20000000000005</v>
      </c>
      <c r="W10" s="326">
        <f t="shared" si="12"/>
        <v>103.24</v>
      </c>
      <c r="X10" s="327">
        <f t="shared" si="13"/>
        <v>93.68</v>
      </c>
      <c r="Y10" s="327">
        <f t="shared" si="14"/>
        <v>54.88</v>
      </c>
      <c r="Z10" s="328">
        <f t="shared" si="15"/>
        <v>115.12</v>
      </c>
      <c r="AA10" s="326">
        <f t="shared" si="16"/>
        <v>81.430000000000007</v>
      </c>
      <c r="AB10" s="327">
        <f t="shared" si="17"/>
        <v>51.370000000000005</v>
      </c>
      <c r="AC10" s="327">
        <f t="shared" si="18"/>
        <v>76.83</v>
      </c>
      <c r="AD10" s="328">
        <f t="shared" si="19"/>
        <v>103.83</v>
      </c>
      <c r="AE10" s="326">
        <f t="shared" si="20"/>
        <v>56.7</v>
      </c>
      <c r="AF10" s="327">
        <f t="shared" si="21"/>
        <v>58.230000000000004</v>
      </c>
      <c r="AG10" s="327">
        <f t="shared" si="22"/>
        <v>65.08</v>
      </c>
      <c r="AH10" s="328">
        <f t="shared" si="23"/>
        <v>59.24</v>
      </c>
      <c r="AI10" s="326">
        <f t="shared" si="63"/>
        <v>241.37</v>
      </c>
      <c r="AJ10" s="327">
        <f t="shared" si="63"/>
        <v>203.28000000000003</v>
      </c>
      <c r="AK10" s="327">
        <f t="shared" si="63"/>
        <v>196.79000000000002</v>
      </c>
      <c r="AL10" s="328">
        <f t="shared" si="63"/>
        <v>278.19</v>
      </c>
      <c r="AM10" s="326">
        <f t="shared" si="24"/>
        <v>71.03</v>
      </c>
      <c r="AN10" s="327">
        <f t="shared" si="25"/>
        <v>67.95</v>
      </c>
      <c r="AO10" s="327">
        <f t="shared" si="26"/>
        <v>103.42</v>
      </c>
      <c r="AP10" s="328">
        <f t="shared" si="27"/>
        <v>53.76</v>
      </c>
      <c r="AQ10" s="326">
        <f t="shared" si="28"/>
        <v>78.089999999999989</v>
      </c>
      <c r="AR10" s="327">
        <f t="shared" si="29"/>
        <v>72.509999999999991</v>
      </c>
      <c r="AS10" s="327">
        <f t="shared" si="30"/>
        <v>94.57</v>
      </c>
      <c r="AT10" s="328">
        <f t="shared" si="31"/>
        <v>61.849999999999994</v>
      </c>
      <c r="AU10" s="326">
        <f t="shared" si="32"/>
        <v>172.08999999999997</v>
      </c>
      <c r="AV10" s="327">
        <f t="shared" si="33"/>
        <v>79.75</v>
      </c>
      <c r="AW10" s="327">
        <f t="shared" si="64"/>
        <v>127.55000000000001</v>
      </c>
      <c r="AX10" s="328">
        <f t="shared" si="65"/>
        <v>69.680000000000007</v>
      </c>
      <c r="AY10" s="326">
        <f t="shared" si="66"/>
        <v>321.20999999999998</v>
      </c>
      <c r="AZ10" s="327">
        <f t="shared" si="66"/>
        <v>220.20999999999998</v>
      </c>
      <c r="BA10" s="327">
        <f t="shared" si="66"/>
        <v>325.54000000000002</v>
      </c>
      <c r="BB10" s="328">
        <f t="shared" si="67"/>
        <v>185.29</v>
      </c>
      <c r="BC10" s="326">
        <f t="shared" si="34"/>
        <v>115.32</v>
      </c>
      <c r="BD10" s="327">
        <f t="shared" si="35"/>
        <v>89.35</v>
      </c>
      <c r="BE10" s="327">
        <f t="shared" si="36"/>
        <v>143.9</v>
      </c>
      <c r="BF10" s="328">
        <f t="shared" si="68"/>
        <v>116.65</v>
      </c>
      <c r="BG10" s="326">
        <f t="shared" si="37"/>
        <v>109.25</v>
      </c>
      <c r="BH10" s="327">
        <f t="shared" si="38"/>
        <v>91.68</v>
      </c>
      <c r="BI10" s="327">
        <f t="shared" si="39"/>
        <v>137.82300000000001</v>
      </c>
      <c r="BJ10" s="328">
        <f t="shared" si="40"/>
        <v>137.19999999999999</v>
      </c>
      <c r="BK10" s="326">
        <f t="shared" si="41"/>
        <v>82.56</v>
      </c>
      <c r="BL10" s="327">
        <f t="shared" si="42"/>
        <v>60.49</v>
      </c>
      <c r="BM10" s="327">
        <f t="shared" si="69"/>
        <v>70.53</v>
      </c>
      <c r="BN10" s="328">
        <f t="shared" si="43"/>
        <v>65.040000000000006</v>
      </c>
      <c r="BO10" s="326">
        <f t="shared" si="70"/>
        <v>307.13</v>
      </c>
      <c r="BP10" s="327">
        <f t="shared" si="70"/>
        <v>241.52</v>
      </c>
      <c r="BQ10" s="327">
        <f t="shared" si="70"/>
        <v>352.25300000000004</v>
      </c>
      <c r="BR10" s="329"/>
      <c r="BS10" s="335"/>
      <c r="BT10" s="326">
        <f t="shared" si="44"/>
        <v>29.699999999999989</v>
      </c>
      <c r="BU10" s="327">
        <f t="shared" si="45"/>
        <v>-87.34</v>
      </c>
      <c r="BV10" s="328">
        <f t="shared" si="46"/>
        <v>128.35000000000005</v>
      </c>
      <c r="BW10" s="326">
        <f t="shared" si="47"/>
        <v>-38.089999999999975</v>
      </c>
      <c r="BX10" s="327">
        <f t="shared" si="48"/>
        <v>-6.4900000000000091</v>
      </c>
      <c r="BY10" s="328">
        <f t="shared" si="49"/>
        <v>81.399999999999977</v>
      </c>
      <c r="BZ10" s="326">
        <f t="shared" si="50"/>
        <v>-101</v>
      </c>
      <c r="CA10" s="327">
        <f t="shared" si="71"/>
        <v>105.33000000000004</v>
      </c>
      <c r="CB10" s="328">
        <f t="shared" si="72"/>
        <v>-140.25000000000003</v>
      </c>
      <c r="CC10" s="326">
        <f t="shared" si="73"/>
        <v>-65.609999999999985</v>
      </c>
      <c r="CD10" s="327">
        <f t="shared" si="73"/>
        <v>110.73300000000003</v>
      </c>
      <c r="CE10" s="329"/>
      <c r="CF10" s="335"/>
      <c r="CG10" s="326">
        <f t="shared" si="51"/>
        <v>210.49</v>
      </c>
      <c r="CH10" s="327">
        <f t="shared" si="52"/>
        <v>240.19</v>
      </c>
      <c r="CI10" s="327">
        <f t="shared" si="53"/>
        <v>152.85</v>
      </c>
      <c r="CJ10" s="328">
        <f t="shared" si="54"/>
        <v>281.20000000000005</v>
      </c>
      <c r="CK10" s="326">
        <f t="shared" si="55"/>
        <v>451.86</v>
      </c>
      <c r="CL10" s="327">
        <f t="shared" si="56"/>
        <v>443.47</v>
      </c>
      <c r="CM10" s="327">
        <f t="shared" si="57"/>
        <v>349.64</v>
      </c>
      <c r="CN10" s="328">
        <f t="shared" si="74"/>
        <v>559.39</v>
      </c>
      <c r="CO10" s="326">
        <f t="shared" si="58"/>
        <v>773.06999999999994</v>
      </c>
      <c r="CP10" s="327">
        <f t="shared" si="59"/>
        <v>663.68000000000006</v>
      </c>
      <c r="CQ10" s="327">
        <f t="shared" si="75"/>
        <v>675.18000000000006</v>
      </c>
      <c r="CR10" s="328">
        <f t="shared" si="76"/>
        <v>744.68000000000006</v>
      </c>
      <c r="CS10" s="326">
        <f t="shared" si="60"/>
        <v>1080.1999999999998</v>
      </c>
      <c r="CT10" s="327">
        <f t="shared" si="61"/>
        <v>905.2</v>
      </c>
      <c r="CU10" s="327">
        <f t="shared" si="77"/>
        <v>1027.433</v>
      </c>
      <c r="CV10" s="328">
        <f t="shared" si="78"/>
        <v>1063.57</v>
      </c>
      <c r="CW10" s="335"/>
      <c r="CX10" s="326">
        <f t="shared" si="79"/>
        <v>2.9814447592067994</v>
      </c>
      <c r="CY10" s="327">
        <f t="shared" si="80"/>
        <v>3.4021246458923513</v>
      </c>
      <c r="CZ10" s="327">
        <f t="shared" si="81"/>
        <v>2.1650141643059491</v>
      </c>
      <c r="DA10" s="328">
        <f t="shared" si="82"/>
        <v>3.9830028328611906</v>
      </c>
      <c r="DB10" s="326">
        <f t="shared" si="83"/>
        <v>6.4002832861189809</v>
      </c>
      <c r="DC10" s="327">
        <f t="shared" si="84"/>
        <v>6.2814447592068001</v>
      </c>
      <c r="DD10" s="327">
        <f t="shared" si="85"/>
        <v>4.9524079320113312</v>
      </c>
      <c r="DE10" s="328">
        <f t="shared" si="86"/>
        <v>7.9233711048158648</v>
      </c>
      <c r="DF10" s="326">
        <f t="shared" si="87"/>
        <v>10.95</v>
      </c>
      <c r="DG10" s="327">
        <f t="shared" si="88"/>
        <v>9.4005665722379614</v>
      </c>
      <c r="DH10" s="327">
        <f t="shared" si="89"/>
        <v>9.5634560906515595</v>
      </c>
      <c r="DI10" s="328">
        <f t="shared" si="90"/>
        <v>10.547875354107651</v>
      </c>
      <c r="DJ10" s="326">
        <f t="shared" si="91"/>
        <v>15.300283286118979</v>
      </c>
      <c r="DK10" s="327">
        <f t="shared" si="92"/>
        <v>12.821529745042495</v>
      </c>
      <c r="DL10" s="327">
        <f t="shared" si="93"/>
        <v>14.55287535410765</v>
      </c>
      <c r="DM10" s="328">
        <f t="shared" si="94"/>
        <v>15.064730878186969</v>
      </c>
    </row>
    <row r="11" spans="1:117" x14ac:dyDescent="0.25">
      <c r="A11" s="521"/>
      <c r="B11" s="55">
        <v>5</v>
      </c>
      <c r="C11" s="368">
        <v>50.4</v>
      </c>
      <c r="D11" s="368">
        <v>50.4</v>
      </c>
      <c r="E11" s="368">
        <v>50.4</v>
      </c>
      <c r="F11" s="368">
        <v>50.4</v>
      </c>
      <c r="G11" s="326">
        <f t="shared" si="0"/>
        <v>63.64</v>
      </c>
      <c r="H11" s="327">
        <f t="shared" si="1"/>
        <v>39.22</v>
      </c>
      <c r="I11" s="327">
        <f t="shared" si="2"/>
        <v>45.32</v>
      </c>
      <c r="J11" s="328">
        <f t="shared" si="3"/>
        <v>50.88</v>
      </c>
      <c r="K11" s="326">
        <f t="shared" si="4"/>
        <v>32.69</v>
      </c>
      <c r="L11" s="327">
        <f t="shared" si="5"/>
        <v>37.86</v>
      </c>
      <c r="M11" s="327">
        <f t="shared" si="6"/>
        <v>26.16</v>
      </c>
      <c r="N11" s="328">
        <f t="shared" si="7"/>
        <v>51.14</v>
      </c>
      <c r="O11" s="326">
        <f t="shared" si="8"/>
        <v>51.55</v>
      </c>
      <c r="P11" s="327">
        <f t="shared" si="9"/>
        <v>44.35</v>
      </c>
      <c r="Q11" s="327">
        <f t="shared" si="10"/>
        <v>24.85</v>
      </c>
      <c r="R11" s="334">
        <f t="shared" si="11"/>
        <v>57.42</v>
      </c>
      <c r="S11" s="326">
        <f t="shared" si="62"/>
        <v>147.88</v>
      </c>
      <c r="T11" s="327">
        <f t="shared" si="62"/>
        <v>121.43</v>
      </c>
      <c r="U11" s="327">
        <f t="shared" si="62"/>
        <v>96.330000000000013</v>
      </c>
      <c r="V11" s="328">
        <f t="shared" si="62"/>
        <v>159.44</v>
      </c>
      <c r="W11" s="326">
        <f t="shared" si="12"/>
        <v>42.08</v>
      </c>
      <c r="X11" s="327">
        <f t="shared" si="13"/>
        <v>81.83</v>
      </c>
      <c r="Y11" s="327">
        <f t="shared" si="14"/>
        <v>44.879999999999995</v>
      </c>
      <c r="Z11" s="328">
        <f t="shared" si="15"/>
        <v>92.55</v>
      </c>
      <c r="AA11" s="326">
        <f t="shared" si="16"/>
        <v>68.12</v>
      </c>
      <c r="AB11" s="327">
        <f t="shared" si="17"/>
        <v>45.88</v>
      </c>
      <c r="AC11" s="327">
        <f t="shared" si="18"/>
        <v>66.300000000000011</v>
      </c>
      <c r="AD11" s="328">
        <f t="shared" si="19"/>
        <v>69.02</v>
      </c>
      <c r="AE11" s="326">
        <f t="shared" si="20"/>
        <v>55.98</v>
      </c>
      <c r="AF11" s="327">
        <f t="shared" si="21"/>
        <v>53.33</v>
      </c>
      <c r="AG11" s="327">
        <f t="shared" si="22"/>
        <v>36.520000000000003</v>
      </c>
      <c r="AH11" s="328">
        <f t="shared" si="23"/>
        <v>79.069999999999993</v>
      </c>
      <c r="AI11" s="326">
        <f t="shared" si="63"/>
        <v>166.18</v>
      </c>
      <c r="AJ11" s="327">
        <f t="shared" si="63"/>
        <v>181.04000000000002</v>
      </c>
      <c r="AK11" s="327">
        <f t="shared" si="63"/>
        <v>147.70000000000002</v>
      </c>
      <c r="AL11" s="328">
        <f t="shared" si="63"/>
        <v>240.64</v>
      </c>
      <c r="AM11" s="326">
        <f t="shared" si="24"/>
        <v>55.230000000000004</v>
      </c>
      <c r="AN11" s="327">
        <f t="shared" si="25"/>
        <v>68.52</v>
      </c>
      <c r="AO11" s="327">
        <f t="shared" si="26"/>
        <v>84.32</v>
      </c>
      <c r="AP11" s="328">
        <f t="shared" si="27"/>
        <v>58.260000000000005</v>
      </c>
      <c r="AQ11" s="326">
        <f t="shared" si="28"/>
        <v>80.91</v>
      </c>
      <c r="AR11" s="327">
        <f t="shared" si="29"/>
        <v>46.760000000000005</v>
      </c>
      <c r="AS11" s="327">
        <f t="shared" si="30"/>
        <v>63.39</v>
      </c>
      <c r="AT11" s="328">
        <f t="shared" si="31"/>
        <v>66.64</v>
      </c>
      <c r="AU11" s="326">
        <f t="shared" si="32"/>
        <v>69.92</v>
      </c>
      <c r="AV11" s="327">
        <f t="shared" si="33"/>
        <v>74.39</v>
      </c>
      <c r="AW11" s="327">
        <f t="shared" si="64"/>
        <v>114.38</v>
      </c>
      <c r="AX11" s="328">
        <f t="shared" si="65"/>
        <v>63.83</v>
      </c>
      <c r="AY11" s="326">
        <f t="shared" si="66"/>
        <v>206.06</v>
      </c>
      <c r="AZ11" s="327">
        <f t="shared" si="66"/>
        <v>189.67000000000002</v>
      </c>
      <c r="BA11" s="327">
        <f t="shared" si="66"/>
        <v>262.08999999999997</v>
      </c>
      <c r="BB11" s="328">
        <f t="shared" si="67"/>
        <v>188.73000000000002</v>
      </c>
      <c r="BC11" s="326">
        <f t="shared" si="34"/>
        <v>93.72</v>
      </c>
      <c r="BD11" s="327">
        <f t="shared" si="35"/>
        <v>76.599999999999994</v>
      </c>
      <c r="BE11" s="327">
        <f t="shared" si="36"/>
        <v>105.11999999999999</v>
      </c>
      <c r="BF11" s="328">
        <f t="shared" si="68"/>
        <v>64.44</v>
      </c>
      <c r="BG11" s="326">
        <f t="shared" si="37"/>
        <v>83.75</v>
      </c>
      <c r="BH11" s="327">
        <f t="shared" si="38"/>
        <v>66.23</v>
      </c>
      <c r="BI11" s="327">
        <f t="shared" si="39"/>
        <v>94.22999999999999</v>
      </c>
      <c r="BJ11" s="328">
        <f t="shared" si="40"/>
        <v>102.50999999999999</v>
      </c>
      <c r="BK11" s="326">
        <f t="shared" si="41"/>
        <v>104.35</v>
      </c>
      <c r="BL11" s="327">
        <f t="shared" si="42"/>
        <v>69.58</v>
      </c>
      <c r="BM11" s="327">
        <f t="shared" si="69"/>
        <v>76.289999999999992</v>
      </c>
      <c r="BN11" s="328">
        <f t="shared" si="43"/>
        <v>79.53</v>
      </c>
      <c r="BO11" s="326">
        <f t="shared" si="70"/>
        <v>281.82</v>
      </c>
      <c r="BP11" s="327">
        <f t="shared" si="70"/>
        <v>212.40999999999997</v>
      </c>
      <c r="BQ11" s="327">
        <f t="shared" si="70"/>
        <v>275.64</v>
      </c>
      <c r="BR11" s="329"/>
      <c r="BS11" s="335"/>
      <c r="BT11" s="326">
        <f t="shared" si="44"/>
        <v>-26.449999999999989</v>
      </c>
      <c r="BU11" s="327">
        <f t="shared" si="45"/>
        <v>-25.099999999999994</v>
      </c>
      <c r="BV11" s="328">
        <f t="shared" si="46"/>
        <v>63.109999999999985</v>
      </c>
      <c r="BW11" s="326">
        <f t="shared" si="47"/>
        <v>14.860000000000014</v>
      </c>
      <c r="BX11" s="327">
        <f t="shared" si="48"/>
        <v>-33.340000000000003</v>
      </c>
      <c r="BY11" s="328">
        <f t="shared" si="49"/>
        <v>92.939999999999969</v>
      </c>
      <c r="BZ11" s="326">
        <f t="shared" si="50"/>
        <v>-16.389999999999986</v>
      </c>
      <c r="CA11" s="327">
        <f t="shared" si="71"/>
        <v>72.419999999999959</v>
      </c>
      <c r="CB11" s="328">
        <f t="shared" si="72"/>
        <v>-73.359999999999957</v>
      </c>
      <c r="CC11" s="326">
        <f t="shared" si="73"/>
        <v>-69.410000000000025</v>
      </c>
      <c r="CD11" s="327">
        <f t="shared" si="73"/>
        <v>63.230000000000018</v>
      </c>
      <c r="CE11" s="329"/>
      <c r="CF11" s="335"/>
      <c r="CG11" s="326">
        <f t="shared" si="51"/>
        <v>147.88</v>
      </c>
      <c r="CH11" s="327">
        <f t="shared" si="52"/>
        <v>121.43</v>
      </c>
      <c r="CI11" s="327">
        <f t="shared" si="53"/>
        <v>96.330000000000013</v>
      </c>
      <c r="CJ11" s="328">
        <f t="shared" si="54"/>
        <v>159.44</v>
      </c>
      <c r="CK11" s="326">
        <f t="shared" si="55"/>
        <v>314.06</v>
      </c>
      <c r="CL11" s="327">
        <f t="shared" si="56"/>
        <v>302.46999999999997</v>
      </c>
      <c r="CM11" s="327">
        <f t="shared" si="57"/>
        <v>244.03000000000003</v>
      </c>
      <c r="CN11" s="328">
        <f t="shared" si="74"/>
        <v>400.08</v>
      </c>
      <c r="CO11" s="326">
        <f t="shared" si="58"/>
        <v>520.12</v>
      </c>
      <c r="CP11" s="327">
        <f t="shared" si="59"/>
        <v>492.13999999999993</v>
      </c>
      <c r="CQ11" s="327">
        <f t="shared" si="75"/>
        <v>506.12</v>
      </c>
      <c r="CR11" s="328">
        <f t="shared" si="76"/>
        <v>588.81000000000006</v>
      </c>
      <c r="CS11" s="326">
        <f t="shared" si="60"/>
        <v>801.94</v>
      </c>
      <c r="CT11" s="327">
        <f t="shared" si="61"/>
        <v>704.55</v>
      </c>
      <c r="CU11" s="327">
        <f t="shared" si="77"/>
        <v>781.76</v>
      </c>
      <c r="CV11" s="328">
        <f t="shared" si="78"/>
        <v>835.29</v>
      </c>
      <c r="CW11" s="335"/>
      <c r="CX11" s="326">
        <f t="shared" si="79"/>
        <v>2.9341269841269839</v>
      </c>
      <c r="CY11" s="327">
        <f t="shared" si="80"/>
        <v>2.4093253968253969</v>
      </c>
      <c r="CZ11" s="327">
        <f t="shared" si="81"/>
        <v>1.9113095238095241</v>
      </c>
      <c r="DA11" s="328">
        <f t="shared" si="82"/>
        <v>3.1634920634920634</v>
      </c>
      <c r="DB11" s="326">
        <f t="shared" si="83"/>
        <v>6.2313492063492069</v>
      </c>
      <c r="DC11" s="327">
        <f t="shared" si="84"/>
        <v>6.0013888888888882</v>
      </c>
      <c r="DD11" s="327">
        <f t="shared" si="85"/>
        <v>4.8418650793650801</v>
      </c>
      <c r="DE11" s="328">
        <f t="shared" si="86"/>
        <v>7.9380952380952383</v>
      </c>
      <c r="DF11" s="326">
        <f t="shared" si="87"/>
        <v>10.31984126984127</v>
      </c>
      <c r="DG11" s="327">
        <f t="shared" si="88"/>
        <v>9.7646825396825392</v>
      </c>
      <c r="DH11" s="327">
        <f t="shared" si="89"/>
        <v>10.042063492063493</v>
      </c>
      <c r="DI11" s="328">
        <f t="shared" si="90"/>
        <v>11.682738095238097</v>
      </c>
      <c r="DJ11" s="326">
        <f t="shared" si="91"/>
        <v>15.911507936507938</v>
      </c>
      <c r="DK11" s="327">
        <f t="shared" si="92"/>
        <v>13.979166666666666</v>
      </c>
      <c r="DL11" s="327">
        <f t="shared" si="93"/>
        <v>15.511111111111111</v>
      </c>
      <c r="DM11" s="328">
        <f t="shared" si="94"/>
        <v>16.573214285714286</v>
      </c>
    </row>
    <row r="12" spans="1:117" x14ac:dyDescent="0.25">
      <c r="A12" s="521"/>
      <c r="B12" s="55">
        <v>6</v>
      </c>
      <c r="C12" s="368">
        <v>58.6</v>
      </c>
      <c r="D12" s="368">
        <v>58.6</v>
      </c>
      <c r="E12" s="368">
        <v>58.6</v>
      </c>
      <c r="F12" s="368">
        <v>58.6</v>
      </c>
      <c r="G12" s="326">
        <f t="shared" si="0"/>
        <v>82.14</v>
      </c>
      <c r="H12" s="327">
        <f t="shared" si="1"/>
        <v>62.2</v>
      </c>
      <c r="I12" s="327">
        <f t="shared" si="2"/>
        <v>88.02</v>
      </c>
      <c r="J12" s="328">
        <f t="shared" si="3"/>
        <v>47.81</v>
      </c>
      <c r="K12" s="326">
        <f t="shared" si="4"/>
        <v>33.700000000000003</v>
      </c>
      <c r="L12" s="327">
        <f t="shared" si="5"/>
        <v>58.660000000000004</v>
      </c>
      <c r="M12" s="327">
        <f t="shared" si="6"/>
        <v>39.82</v>
      </c>
      <c r="N12" s="328">
        <f t="shared" si="7"/>
        <v>85.15</v>
      </c>
      <c r="O12" s="326">
        <f t="shared" si="8"/>
        <v>53.980000000000004</v>
      </c>
      <c r="P12" s="327">
        <f t="shared" si="9"/>
        <v>97.28</v>
      </c>
      <c r="Q12" s="327">
        <f t="shared" si="10"/>
        <v>27.39</v>
      </c>
      <c r="R12" s="334">
        <f t="shared" si="11"/>
        <v>43.95</v>
      </c>
      <c r="S12" s="326">
        <f t="shared" si="62"/>
        <v>169.82</v>
      </c>
      <c r="T12" s="327">
        <f t="shared" si="62"/>
        <v>218.14000000000001</v>
      </c>
      <c r="U12" s="327">
        <f t="shared" si="62"/>
        <v>155.23000000000002</v>
      </c>
      <c r="V12" s="328">
        <f t="shared" si="62"/>
        <v>176.91000000000003</v>
      </c>
      <c r="W12" s="326">
        <f t="shared" si="12"/>
        <v>82.02</v>
      </c>
      <c r="X12" s="327">
        <f t="shared" si="13"/>
        <v>47.78</v>
      </c>
      <c r="Y12" s="327">
        <f t="shared" si="14"/>
        <v>39.629999999999995</v>
      </c>
      <c r="Z12" s="328">
        <f t="shared" si="15"/>
        <v>88.86</v>
      </c>
      <c r="AA12" s="326">
        <f t="shared" si="16"/>
        <v>62.47</v>
      </c>
      <c r="AB12" s="327">
        <f t="shared" si="17"/>
        <v>60.03</v>
      </c>
      <c r="AC12" s="327">
        <f t="shared" si="18"/>
        <v>68.929999999999993</v>
      </c>
      <c r="AD12" s="328">
        <f t="shared" si="19"/>
        <v>56.379999999999995</v>
      </c>
      <c r="AE12" s="326">
        <f t="shared" si="20"/>
        <v>55.129999999999995</v>
      </c>
      <c r="AF12" s="327">
        <f t="shared" si="21"/>
        <v>97.64</v>
      </c>
      <c r="AG12" s="327">
        <f t="shared" si="22"/>
        <v>39.14</v>
      </c>
      <c r="AH12" s="328">
        <f t="shared" si="23"/>
        <v>93.49</v>
      </c>
      <c r="AI12" s="326">
        <f t="shared" si="63"/>
        <v>199.62</v>
      </c>
      <c r="AJ12" s="327">
        <f t="shared" si="63"/>
        <v>205.45</v>
      </c>
      <c r="AK12" s="327">
        <f t="shared" si="63"/>
        <v>147.69999999999999</v>
      </c>
      <c r="AL12" s="328">
        <f t="shared" si="63"/>
        <v>238.73000000000002</v>
      </c>
      <c r="AM12" s="326">
        <f t="shared" si="24"/>
        <v>59.97</v>
      </c>
      <c r="AN12" s="327">
        <f t="shared" si="25"/>
        <v>68.7</v>
      </c>
      <c r="AO12" s="327">
        <f t="shared" si="26"/>
        <v>127.84</v>
      </c>
      <c r="AP12" s="328">
        <f t="shared" si="27"/>
        <v>52.900000000000006</v>
      </c>
      <c r="AQ12" s="326">
        <f t="shared" si="28"/>
        <v>93.3</v>
      </c>
      <c r="AR12" s="327">
        <f t="shared" si="29"/>
        <v>69.800000000000011</v>
      </c>
      <c r="AS12" s="327">
        <f t="shared" si="30"/>
        <v>160.67000000000002</v>
      </c>
      <c r="AT12" s="328">
        <f t="shared" si="31"/>
        <v>80.460000000000008</v>
      </c>
      <c r="AU12" s="326">
        <f t="shared" si="32"/>
        <v>75.150000000000006</v>
      </c>
      <c r="AV12" s="327">
        <f t="shared" si="33"/>
        <v>84.59</v>
      </c>
      <c r="AW12" s="327">
        <f t="shared" si="64"/>
        <v>99.91</v>
      </c>
      <c r="AX12" s="328">
        <f t="shared" si="65"/>
        <v>79.11</v>
      </c>
      <c r="AY12" s="326">
        <f t="shared" si="66"/>
        <v>228.42</v>
      </c>
      <c r="AZ12" s="327">
        <f t="shared" si="66"/>
        <v>223.09</v>
      </c>
      <c r="BA12" s="327">
        <f t="shared" si="66"/>
        <v>388.41999999999996</v>
      </c>
      <c r="BB12" s="328">
        <f t="shared" si="67"/>
        <v>212.47000000000003</v>
      </c>
      <c r="BC12" s="326">
        <f t="shared" si="34"/>
        <v>124.62</v>
      </c>
      <c r="BD12" s="327">
        <f t="shared" si="35"/>
        <v>86</v>
      </c>
      <c r="BE12" s="327">
        <f t="shared" si="36"/>
        <v>113.91</v>
      </c>
      <c r="BF12" s="328">
        <f t="shared" si="68"/>
        <v>144.55000000000001</v>
      </c>
      <c r="BG12" s="326">
        <f t="shared" si="37"/>
        <v>138.05000000000001</v>
      </c>
      <c r="BH12" s="327">
        <f t="shared" si="38"/>
        <v>72.28</v>
      </c>
      <c r="BI12" s="327">
        <f t="shared" si="39"/>
        <v>101.49000000000001</v>
      </c>
      <c r="BJ12" s="328">
        <f t="shared" si="40"/>
        <v>63.34</v>
      </c>
      <c r="BK12" s="326">
        <f t="shared" si="41"/>
        <v>72.959999999999994</v>
      </c>
      <c r="BL12" s="327">
        <f t="shared" si="42"/>
        <v>44.85</v>
      </c>
      <c r="BM12" s="327">
        <f t="shared" si="69"/>
        <v>107.57</v>
      </c>
      <c r="BN12" s="328">
        <f t="shared" si="43"/>
        <v>125.24</v>
      </c>
      <c r="BO12" s="326">
        <f t="shared" si="70"/>
        <v>335.63</v>
      </c>
      <c r="BP12" s="327">
        <f t="shared" si="70"/>
        <v>203.13</v>
      </c>
      <c r="BQ12" s="327">
        <f t="shared" si="70"/>
        <v>322.97000000000003</v>
      </c>
      <c r="BR12" s="329"/>
      <c r="BS12" s="335"/>
      <c r="BT12" s="326">
        <f t="shared" si="44"/>
        <v>48.320000000000022</v>
      </c>
      <c r="BU12" s="327">
        <f t="shared" si="45"/>
        <v>-62.91</v>
      </c>
      <c r="BV12" s="328">
        <f t="shared" si="46"/>
        <v>21.680000000000007</v>
      </c>
      <c r="BW12" s="326">
        <f t="shared" si="47"/>
        <v>5.8299999999999841</v>
      </c>
      <c r="BX12" s="327">
        <f t="shared" si="48"/>
        <v>-57.75</v>
      </c>
      <c r="BY12" s="328">
        <f t="shared" si="49"/>
        <v>91.03000000000003</v>
      </c>
      <c r="BZ12" s="326">
        <f t="shared" si="50"/>
        <v>-5.3299999999999841</v>
      </c>
      <c r="CA12" s="327">
        <f t="shared" si="71"/>
        <v>165.32999999999996</v>
      </c>
      <c r="CB12" s="328">
        <f t="shared" si="72"/>
        <v>-175.94999999999993</v>
      </c>
      <c r="CC12" s="326">
        <f t="shared" si="73"/>
        <v>-132.5</v>
      </c>
      <c r="CD12" s="327">
        <f t="shared" si="73"/>
        <v>119.84000000000003</v>
      </c>
      <c r="CE12" s="329"/>
      <c r="CF12" s="335"/>
      <c r="CG12" s="326">
        <f t="shared" si="51"/>
        <v>169.82</v>
      </c>
      <c r="CH12" s="327">
        <f t="shared" si="52"/>
        <v>218.14000000000001</v>
      </c>
      <c r="CI12" s="327">
        <f t="shared" si="53"/>
        <v>155.23000000000002</v>
      </c>
      <c r="CJ12" s="328">
        <f t="shared" si="54"/>
        <v>176.91000000000003</v>
      </c>
      <c r="CK12" s="326">
        <f t="shared" si="55"/>
        <v>369.43999999999994</v>
      </c>
      <c r="CL12" s="327">
        <f t="shared" si="56"/>
        <v>423.59000000000003</v>
      </c>
      <c r="CM12" s="327">
        <f t="shared" si="57"/>
        <v>302.93</v>
      </c>
      <c r="CN12" s="328">
        <f t="shared" si="74"/>
        <v>415.64000000000004</v>
      </c>
      <c r="CO12" s="326">
        <f t="shared" si="58"/>
        <v>597.8599999999999</v>
      </c>
      <c r="CP12" s="327">
        <f t="shared" si="59"/>
        <v>646.68000000000006</v>
      </c>
      <c r="CQ12" s="327">
        <f t="shared" si="75"/>
        <v>691.35</v>
      </c>
      <c r="CR12" s="328">
        <f t="shared" si="76"/>
        <v>628.11000000000013</v>
      </c>
      <c r="CS12" s="326">
        <f t="shared" si="60"/>
        <v>933.49</v>
      </c>
      <c r="CT12" s="327">
        <f t="shared" si="61"/>
        <v>849.81000000000006</v>
      </c>
      <c r="CU12" s="327">
        <f t="shared" si="77"/>
        <v>1014.3199999999999</v>
      </c>
      <c r="CV12" s="328">
        <f t="shared" si="78"/>
        <v>961.24000000000012</v>
      </c>
      <c r="CW12" s="335"/>
      <c r="CX12" s="326">
        <f t="shared" si="79"/>
        <v>2.8979522184300341</v>
      </c>
      <c r="CY12" s="327">
        <f t="shared" si="80"/>
        <v>3.722525597269625</v>
      </c>
      <c r="CZ12" s="327">
        <f t="shared" si="81"/>
        <v>2.6489761092150172</v>
      </c>
      <c r="DA12" s="328">
        <f t="shared" si="82"/>
        <v>3.0189419795221846</v>
      </c>
      <c r="DB12" s="326">
        <f t="shared" si="83"/>
        <v>6.3044368600682583</v>
      </c>
      <c r="DC12" s="327">
        <f t="shared" si="84"/>
        <v>7.2284982935153588</v>
      </c>
      <c r="DD12" s="327">
        <f t="shared" si="85"/>
        <v>5.1694539249146754</v>
      </c>
      <c r="DE12" s="328">
        <f t="shared" si="86"/>
        <v>7.0928327645051201</v>
      </c>
      <c r="DF12" s="326">
        <f t="shared" si="87"/>
        <v>10.202389078498291</v>
      </c>
      <c r="DG12" s="327">
        <f t="shared" si="88"/>
        <v>11.035494880546075</v>
      </c>
      <c r="DH12" s="327">
        <f t="shared" si="89"/>
        <v>11.797781569965871</v>
      </c>
      <c r="DI12" s="328">
        <f t="shared" si="90"/>
        <v>10.718600682593859</v>
      </c>
      <c r="DJ12" s="326">
        <f t="shared" si="91"/>
        <v>15.929863481228669</v>
      </c>
      <c r="DK12" s="327">
        <f t="shared" si="92"/>
        <v>14.501877133105802</v>
      </c>
      <c r="DL12" s="327">
        <f t="shared" si="93"/>
        <v>17.309215017064844</v>
      </c>
      <c r="DM12" s="328">
        <f t="shared" si="94"/>
        <v>16.403412969283277</v>
      </c>
    </row>
    <row r="13" spans="1:117" x14ac:dyDescent="0.25">
      <c r="A13" s="521"/>
      <c r="B13" s="55">
        <v>7</v>
      </c>
      <c r="C13" s="368">
        <v>23.6</v>
      </c>
      <c r="D13" s="368">
        <v>23.6</v>
      </c>
      <c r="E13" s="368">
        <v>23.6</v>
      </c>
      <c r="F13" s="368">
        <v>23.6</v>
      </c>
      <c r="G13" s="326">
        <f t="shared" si="0"/>
        <v>22.759999999999998</v>
      </c>
      <c r="H13" s="327">
        <f t="shared" si="1"/>
        <v>16.510000000000002</v>
      </c>
      <c r="I13" s="327">
        <f t="shared" si="2"/>
        <v>25.830000000000002</v>
      </c>
      <c r="J13" s="328">
        <f t="shared" si="3"/>
        <v>18.989999999999998</v>
      </c>
      <c r="K13" s="326">
        <f t="shared" si="4"/>
        <v>12.65</v>
      </c>
      <c r="L13" s="327">
        <f t="shared" si="5"/>
        <v>16.84</v>
      </c>
      <c r="M13" s="327">
        <f t="shared" si="6"/>
        <v>11.9</v>
      </c>
      <c r="N13" s="328">
        <f t="shared" si="7"/>
        <v>25.669999999999998</v>
      </c>
      <c r="O13" s="326">
        <f t="shared" si="8"/>
        <v>21.92</v>
      </c>
      <c r="P13" s="327">
        <f t="shared" si="9"/>
        <v>21.41</v>
      </c>
      <c r="Q13" s="327">
        <f t="shared" si="10"/>
        <v>13.7</v>
      </c>
      <c r="R13" s="334">
        <f t="shared" si="11"/>
        <v>21.080000000000002</v>
      </c>
      <c r="S13" s="326">
        <f t="shared" si="62"/>
        <v>57.33</v>
      </c>
      <c r="T13" s="327">
        <f t="shared" si="62"/>
        <v>54.760000000000005</v>
      </c>
      <c r="U13" s="327">
        <f t="shared" si="62"/>
        <v>51.430000000000007</v>
      </c>
      <c r="V13" s="328">
        <f t="shared" si="62"/>
        <v>65.739999999999995</v>
      </c>
      <c r="W13" s="326">
        <f t="shared" si="12"/>
        <v>18.34</v>
      </c>
      <c r="X13" s="327">
        <f t="shared" si="13"/>
        <v>34.83</v>
      </c>
      <c r="Y13" s="327">
        <f t="shared" si="14"/>
        <v>24.4</v>
      </c>
      <c r="Z13" s="328">
        <f t="shared" si="15"/>
        <v>39.61</v>
      </c>
      <c r="AA13" s="326">
        <f t="shared" si="16"/>
        <v>25.35</v>
      </c>
      <c r="AB13" s="327">
        <f t="shared" si="17"/>
        <v>15.27</v>
      </c>
      <c r="AC13" s="327">
        <f t="shared" si="18"/>
        <v>17.649999999999999</v>
      </c>
      <c r="AD13" s="328">
        <f t="shared" si="19"/>
        <v>27.619999999999997</v>
      </c>
      <c r="AE13" s="326">
        <f t="shared" si="20"/>
        <v>17.48</v>
      </c>
      <c r="AF13" s="327">
        <f t="shared" si="21"/>
        <v>19.27</v>
      </c>
      <c r="AG13" s="327">
        <f t="shared" si="22"/>
        <v>19.5</v>
      </c>
      <c r="AH13" s="328">
        <f t="shared" si="23"/>
        <v>29.53</v>
      </c>
      <c r="AI13" s="326">
        <f t="shared" si="63"/>
        <v>61.17</v>
      </c>
      <c r="AJ13" s="327">
        <f t="shared" si="63"/>
        <v>69.36999999999999</v>
      </c>
      <c r="AK13" s="327">
        <f t="shared" si="63"/>
        <v>61.55</v>
      </c>
      <c r="AL13" s="328">
        <f t="shared" si="63"/>
        <v>96.759999999999991</v>
      </c>
      <c r="AM13" s="326">
        <f t="shared" si="24"/>
        <v>18.63</v>
      </c>
      <c r="AN13" s="327">
        <f t="shared" si="25"/>
        <v>21.53</v>
      </c>
      <c r="AO13" s="327">
        <f t="shared" si="26"/>
        <v>29.25</v>
      </c>
      <c r="AP13" s="328">
        <f t="shared" si="27"/>
        <v>27.06</v>
      </c>
      <c r="AQ13" s="326">
        <f t="shared" si="28"/>
        <v>30.490000000000002</v>
      </c>
      <c r="AR13" s="327">
        <f t="shared" si="29"/>
        <v>24.43</v>
      </c>
      <c r="AS13" s="327">
        <f t="shared" si="30"/>
        <v>29.03</v>
      </c>
      <c r="AT13" s="328">
        <f t="shared" si="31"/>
        <v>26.330000000000002</v>
      </c>
      <c r="AU13" s="326">
        <f t="shared" si="32"/>
        <v>26.76</v>
      </c>
      <c r="AV13" s="327">
        <f t="shared" si="33"/>
        <v>13.77</v>
      </c>
      <c r="AW13" s="327">
        <f t="shared" si="64"/>
        <v>60.980000000000004</v>
      </c>
      <c r="AX13" s="328">
        <f t="shared" si="65"/>
        <v>31.75</v>
      </c>
      <c r="AY13" s="326">
        <f t="shared" si="66"/>
        <v>75.88000000000001</v>
      </c>
      <c r="AZ13" s="327">
        <f t="shared" si="66"/>
        <v>59.730000000000004</v>
      </c>
      <c r="BA13" s="327">
        <f t="shared" si="66"/>
        <v>119.26</v>
      </c>
      <c r="BB13" s="328">
        <f t="shared" si="67"/>
        <v>85.14</v>
      </c>
      <c r="BC13" s="326">
        <f t="shared" si="34"/>
        <v>35.340000000000003</v>
      </c>
      <c r="BD13" s="327">
        <f t="shared" si="35"/>
        <v>21.21</v>
      </c>
      <c r="BE13" s="327">
        <f t="shared" si="36"/>
        <v>33.08</v>
      </c>
      <c r="BF13" s="328">
        <f t="shared" si="68"/>
        <v>25.9</v>
      </c>
      <c r="BG13" s="326">
        <f t="shared" si="37"/>
        <v>34.020000000000003</v>
      </c>
      <c r="BH13" s="327">
        <f t="shared" si="38"/>
        <v>23.759999999999998</v>
      </c>
      <c r="BI13" s="327">
        <f t="shared" si="39"/>
        <v>41.293999999999997</v>
      </c>
      <c r="BJ13" s="328">
        <f t="shared" si="40"/>
        <v>41.92</v>
      </c>
      <c r="BK13" s="326">
        <f t="shared" si="41"/>
        <v>48.28</v>
      </c>
      <c r="BL13" s="327">
        <f t="shared" si="42"/>
        <v>15.62</v>
      </c>
      <c r="BM13" s="327">
        <f t="shared" si="69"/>
        <v>45.37</v>
      </c>
      <c r="BN13" s="328">
        <f t="shared" si="43"/>
        <v>19.149999999999999</v>
      </c>
      <c r="BO13" s="326">
        <f t="shared" si="70"/>
        <v>117.64000000000001</v>
      </c>
      <c r="BP13" s="327">
        <f t="shared" si="70"/>
        <v>60.589999999999996</v>
      </c>
      <c r="BQ13" s="327">
        <f t="shared" si="70"/>
        <v>119.744</v>
      </c>
      <c r="BR13" s="329"/>
      <c r="BS13" s="335"/>
      <c r="BT13" s="326">
        <f t="shared" si="44"/>
        <v>-2.5699999999999932</v>
      </c>
      <c r="BU13" s="327">
        <f t="shared" si="45"/>
        <v>-3.3299999999999983</v>
      </c>
      <c r="BV13" s="328">
        <f t="shared" si="46"/>
        <v>14.309999999999988</v>
      </c>
      <c r="BW13" s="326">
        <f t="shared" si="47"/>
        <v>8.1999999999999886</v>
      </c>
      <c r="BX13" s="327">
        <f t="shared" si="48"/>
        <v>-7.8199999999999932</v>
      </c>
      <c r="BY13" s="328">
        <f t="shared" si="49"/>
        <v>35.209999999999994</v>
      </c>
      <c r="BZ13" s="326">
        <f t="shared" si="50"/>
        <v>-16.150000000000006</v>
      </c>
      <c r="CA13" s="327">
        <f t="shared" si="71"/>
        <v>59.53</v>
      </c>
      <c r="CB13" s="328">
        <f t="shared" si="72"/>
        <v>-34.120000000000005</v>
      </c>
      <c r="CC13" s="326">
        <f t="shared" si="73"/>
        <v>-57.050000000000018</v>
      </c>
      <c r="CD13" s="327">
        <f t="shared" si="73"/>
        <v>59.154000000000003</v>
      </c>
      <c r="CE13" s="329"/>
      <c r="CF13" s="335"/>
      <c r="CG13" s="326">
        <f t="shared" si="51"/>
        <v>57.33</v>
      </c>
      <c r="CH13" s="327">
        <f t="shared" si="52"/>
        <v>54.760000000000005</v>
      </c>
      <c r="CI13" s="327">
        <f t="shared" si="53"/>
        <v>51.430000000000007</v>
      </c>
      <c r="CJ13" s="328">
        <f t="shared" si="54"/>
        <v>65.739999999999995</v>
      </c>
      <c r="CK13" s="326">
        <f t="shared" si="55"/>
        <v>118.50000000000001</v>
      </c>
      <c r="CL13" s="327">
        <f t="shared" si="56"/>
        <v>124.13</v>
      </c>
      <c r="CM13" s="327">
        <f t="shared" si="57"/>
        <v>112.98000000000002</v>
      </c>
      <c r="CN13" s="328">
        <f t="shared" si="74"/>
        <v>162.5</v>
      </c>
      <c r="CO13" s="326">
        <f t="shared" si="58"/>
        <v>194.38000000000002</v>
      </c>
      <c r="CP13" s="327">
        <f t="shared" si="59"/>
        <v>183.86</v>
      </c>
      <c r="CQ13" s="327">
        <f t="shared" si="75"/>
        <v>232.24</v>
      </c>
      <c r="CR13" s="328">
        <f t="shared" si="76"/>
        <v>247.64000000000001</v>
      </c>
      <c r="CS13" s="326">
        <f t="shared" si="60"/>
        <v>312.02</v>
      </c>
      <c r="CT13" s="327">
        <f t="shared" si="61"/>
        <v>244.45000000000002</v>
      </c>
      <c r="CU13" s="327">
        <f t="shared" si="77"/>
        <v>351.98399999999998</v>
      </c>
      <c r="CV13" s="328">
        <f t="shared" si="78"/>
        <v>334.61</v>
      </c>
      <c r="CW13" s="335"/>
      <c r="CX13" s="326">
        <f t="shared" si="79"/>
        <v>2.4292372881355928</v>
      </c>
      <c r="CY13" s="327">
        <f t="shared" si="80"/>
        <v>2.3203389830508474</v>
      </c>
      <c r="CZ13" s="327">
        <f t="shared" si="81"/>
        <v>2.1792372881355933</v>
      </c>
      <c r="DA13" s="328">
        <f t="shared" si="82"/>
        <v>2.7855932203389826</v>
      </c>
      <c r="DB13" s="326">
        <f t="shared" si="83"/>
        <v>5.0211864406779663</v>
      </c>
      <c r="DC13" s="327">
        <f t="shared" si="84"/>
        <v>5.259745762711864</v>
      </c>
      <c r="DD13" s="327">
        <f t="shared" si="85"/>
        <v>4.7872881355932204</v>
      </c>
      <c r="DE13" s="328">
        <f t="shared" si="86"/>
        <v>6.8855932203389827</v>
      </c>
      <c r="DF13" s="326">
        <f t="shared" si="87"/>
        <v>8.2364406779661028</v>
      </c>
      <c r="DG13" s="327">
        <f t="shared" si="88"/>
        <v>7.7906779661016952</v>
      </c>
      <c r="DH13" s="327">
        <f t="shared" si="89"/>
        <v>9.8406779661016941</v>
      </c>
      <c r="DI13" s="328">
        <f t="shared" si="90"/>
        <v>10.493220338983051</v>
      </c>
      <c r="DJ13" s="326">
        <f t="shared" si="91"/>
        <v>13.221186440677965</v>
      </c>
      <c r="DK13" s="327">
        <f t="shared" si="92"/>
        <v>10.358050847457628</v>
      </c>
      <c r="DL13" s="327">
        <f t="shared" si="93"/>
        <v>14.914576271186439</v>
      </c>
      <c r="DM13" s="328">
        <f t="shared" si="94"/>
        <v>14.178389830508474</v>
      </c>
    </row>
    <row r="14" spans="1:117" x14ac:dyDescent="0.25">
      <c r="A14" s="521"/>
      <c r="B14" s="55">
        <v>8</v>
      </c>
      <c r="C14" s="368">
        <v>61.6</v>
      </c>
      <c r="D14" s="368">
        <v>61.6</v>
      </c>
      <c r="E14" s="368">
        <v>61.6</v>
      </c>
      <c r="F14" s="368">
        <v>61.6</v>
      </c>
      <c r="G14" s="326">
        <f t="shared" si="0"/>
        <v>50.760000000000005</v>
      </c>
      <c r="H14" s="327">
        <f t="shared" si="1"/>
        <v>68.63</v>
      </c>
      <c r="I14" s="327">
        <f t="shared" si="2"/>
        <v>61.160000000000004</v>
      </c>
      <c r="J14" s="328">
        <f t="shared" si="3"/>
        <v>44.66</v>
      </c>
      <c r="K14" s="326">
        <f t="shared" si="4"/>
        <v>34.92</v>
      </c>
      <c r="L14" s="327">
        <f t="shared" si="5"/>
        <v>53.54</v>
      </c>
      <c r="M14" s="327">
        <f t="shared" si="6"/>
        <v>52.8</v>
      </c>
      <c r="N14" s="328">
        <f t="shared" si="7"/>
        <v>96.6</v>
      </c>
      <c r="O14" s="326">
        <f t="shared" si="8"/>
        <v>54.47</v>
      </c>
      <c r="P14" s="327">
        <f t="shared" si="9"/>
        <v>70.759999999999991</v>
      </c>
      <c r="Q14" s="327">
        <f t="shared" si="10"/>
        <v>41.66</v>
      </c>
      <c r="R14" s="334">
        <f t="shared" si="11"/>
        <v>59.2</v>
      </c>
      <c r="S14" s="326">
        <f t="shared" si="62"/>
        <v>140.15</v>
      </c>
      <c r="T14" s="327">
        <f t="shared" si="62"/>
        <v>192.92999999999998</v>
      </c>
      <c r="U14" s="327">
        <f t="shared" si="62"/>
        <v>155.62</v>
      </c>
      <c r="V14" s="328">
        <f t="shared" si="62"/>
        <v>200.45999999999998</v>
      </c>
      <c r="W14" s="326">
        <f t="shared" si="12"/>
        <v>57.42</v>
      </c>
      <c r="X14" s="327">
        <f t="shared" si="13"/>
        <v>55.5</v>
      </c>
      <c r="Y14" s="327">
        <f t="shared" si="14"/>
        <v>39.129999999999995</v>
      </c>
      <c r="Z14" s="328">
        <f t="shared" si="15"/>
        <v>79.03</v>
      </c>
      <c r="AA14" s="326">
        <f t="shared" si="16"/>
        <v>51.88</v>
      </c>
      <c r="AB14" s="327">
        <f t="shared" si="17"/>
        <v>62.94</v>
      </c>
      <c r="AC14" s="327">
        <f t="shared" si="18"/>
        <v>72.48</v>
      </c>
      <c r="AD14" s="328">
        <f t="shared" si="19"/>
        <v>63.73</v>
      </c>
      <c r="AE14" s="326">
        <f t="shared" si="20"/>
        <v>42.86</v>
      </c>
      <c r="AF14" s="327">
        <f t="shared" si="21"/>
        <v>62.16</v>
      </c>
      <c r="AG14" s="327">
        <f t="shared" si="22"/>
        <v>41.769999999999996</v>
      </c>
      <c r="AH14" s="328">
        <f t="shared" si="23"/>
        <v>58.540000000000006</v>
      </c>
      <c r="AI14" s="326">
        <f t="shared" si="63"/>
        <v>152.16000000000003</v>
      </c>
      <c r="AJ14" s="327">
        <f t="shared" si="63"/>
        <v>180.6</v>
      </c>
      <c r="AK14" s="327">
        <f t="shared" si="63"/>
        <v>153.38</v>
      </c>
      <c r="AL14" s="328">
        <f t="shared" si="63"/>
        <v>201.3</v>
      </c>
      <c r="AM14" s="326">
        <f t="shared" si="24"/>
        <v>68.03</v>
      </c>
      <c r="AN14" s="327">
        <f t="shared" si="25"/>
        <v>62.61</v>
      </c>
      <c r="AO14" s="327">
        <f t="shared" si="26"/>
        <v>52.96</v>
      </c>
      <c r="AP14" s="328">
        <f t="shared" si="27"/>
        <v>56.069999999999993</v>
      </c>
      <c r="AQ14" s="326">
        <f t="shared" si="28"/>
        <v>72.460000000000008</v>
      </c>
      <c r="AR14" s="327">
        <f t="shared" si="29"/>
        <v>105.85</v>
      </c>
      <c r="AS14" s="327">
        <f t="shared" si="30"/>
        <v>114.4</v>
      </c>
      <c r="AT14" s="328">
        <f t="shared" si="31"/>
        <v>68.81</v>
      </c>
      <c r="AU14" s="326">
        <f t="shared" si="32"/>
        <v>78.78</v>
      </c>
      <c r="AV14" s="327">
        <f t="shared" si="33"/>
        <v>54.25</v>
      </c>
      <c r="AW14" s="327">
        <f t="shared" si="64"/>
        <v>78.790000000000006</v>
      </c>
      <c r="AX14" s="328">
        <f t="shared" si="65"/>
        <v>81.760000000000005</v>
      </c>
      <c r="AY14" s="326">
        <f t="shared" si="66"/>
        <v>219.27</v>
      </c>
      <c r="AZ14" s="327">
        <f t="shared" si="66"/>
        <v>222.70999999999998</v>
      </c>
      <c r="BA14" s="327">
        <f t="shared" si="66"/>
        <v>246.15000000000003</v>
      </c>
      <c r="BB14" s="328">
        <f t="shared" si="67"/>
        <v>206.64</v>
      </c>
      <c r="BC14" s="326">
        <f t="shared" si="34"/>
        <v>118.71</v>
      </c>
      <c r="BD14" s="327">
        <f t="shared" si="35"/>
        <v>94.95</v>
      </c>
      <c r="BE14" s="327">
        <f t="shared" si="36"/>
        <v>94.64</v>
      </c>
      <c r="BF14" s="328">
        <f t="shared" si="68"/>
        <v>109.34</v>
      </c>
      <c r="BG14" s="326">
        <f t="shared" si="37"/>
        <v>111.62</v>
      </c>
      <c r="BH14" s="327">
        <f t="shared" si="38"/>
        <v>75.259999999999991</v>
      </c>
      <c r="BI14" s="327">
        <f t="shared" si="39"/>
        <v>151.48000000000002</v>
      </c>
      <c r="BJ14" s="328">
        <f t="shared" si="40"/>
        <v>121.44</v>
      </c>
      <c r="BK14" s="326">
        <f t="shared" si="41"/>
        <v>70.260000000000005</v>
      </c>
      <c r="BL14" s="327">
        <f t="shared" si="42"/>
        <v>96.98</v>
      </c>
      <c r="BM14" s="327">
        <f t="shared" si="69"/>
        <v>123.15</v>
      </c>
      <c r="BN14" s="328">
        <f t="shared" si="43"/>
        <v>66.94</v>
      </c>
      <c r="BO14" s="326">
        <f t="shared" si="70"/>
        <v>300.58999999999997</v>
      </c>
      <c r="BP14" s="327">
        <f t="shared" si="70"/>
        <v>267.19</v>
      </c>
      <c r="BQ14" s="327">
        <f t="shared" si="70"/>
        <v>369.27</v>
      </c>
      <c r="BR14" s="329"/>
      <c r="BS14" s="335"/>
      <c r="BT14" s="326">
        <f t="shared" si="44"/>
        <v>52.779999999999973</v>
      </c>
      <c r="BU14" s="327">
        <f t="shared" si="45"/>
        <v>-37.309999999999974</v>
      </c>
      <c r="BV14" s="328">
        <f t="shared" si="46"/>
        <v>44.839999999999975</v>
      </c>
      <c r="BW14" s="326">
        <f t="shared" si="47"/>
        <v>28.439999999999969</v>
      </c>
      <c r="BX14" s="327">
        <f t="shared" si="48"/>
        <v>-27.22</v>
      </c>
      <c r="BY14" s="328">
        <f t="shared" si="49"/>
        <v>47.920000000000016</v>
      </c>
      <c r="BZ14" s="326">
        <f t="shared" si="50"/>
        <v>3.4399999999999693</v>
      </c>
      <c r="CA14" s="327">
        <f t="shared" si="71"/>
        <v>23.440000000000055</v>
      </c>
      <c r="CB14" s="328">
        <f t="shared" si="72"/>
        <v>-39.510000000000048</v>
      </c>
      <c r="CC14" s="326">
        <f t="shared" si="73"/>
        <v>-33.399999999999977</v>
      </c>
      <c r="CD14" s="327">
        <f t="shared" si="73"/>
        <v>102.07999999999998</v>
      </c>
      <c r="CE14" s="329"/>
      <c r="CF14" s="335"/>
      <c r="CG14" s="326">
        <f t="shared" si="51"/>
        <v>140.15</v>
      </c>
      <c r="CH14" s="327">
        <f t="shared" si="52"/>
        <v>192.92999999999998</v>
      </c>
      <c r="CI14" s="327">
        <f t="shared" si="53"/>
        <v>155.62</v>
      </c>
      <c r="CJ14" s="328">
        <f t="shared" si="54"/>
        <v>200.45999999999998</v>
      </c>
      <c r="CK14" s="326">
        <f t="shared" si="55"/>
        <v>292.31</v>
      </c>
      <c r="CL14" s="327">
        <f t="shared" si="56"/>
        <v>373.53</v>
      </c>
      <c r="CM14" s="327">
        <f t="shared" si="57"/>
        <v>309</v>
      </c>
      <c r="CN14" s="328">
        <f t="shared" si="74"/>
        <v>401.76000000000005</v>
      </c>
      <c r="CO14" s="326">
        <f t="shared" si="58"/>
        <v>511.58000000000004</v>
      </c>
      <c r="CP14" s="327">
        <f t="shared" si="59"/>
        <v>596.24</v>
      </c>
      <c r="CQ14" s="327">
        <f t="shared" si="75"/>
        <v>555.15</v>
      </c>
      <c r="CR14" s="328">
        <f t="shared" si="76"/>
        <v>608.40000000000009</v>
      </c>
      <c r="CS14" s="326">
        <f t="shared" si="60"/>
        <v>812.17000000000007</v>
      </c>
      <c r="CT14" s="327">
        <f t="shared" si="61"/>
        <v>863.43000000000006</v>
      </c>
      <c r="CU14" s="327">
        <f t="shared" si="77"/>
        <v>924.42</v>
      </c>
      <c r="CV14" s="328">
        <f t="shared" si="78"/>
        <v>906.12000000000012</v>
      </c>
      <c r="CW14" s="335"/>
      <c r="CX14" s="326">
        <f t="shared" si="79"/>
        <v>2.2751623376623376</v>
      </c>
      <c r="CY14" s="327">
        <f t="shared" si="80"/>
        <v>3.131980519480519</v>
      </c>
      <c r="CZ14" s="327">
        <f t="shared" si="81"/>
        <v>2.5262987012987015</v>
      </c>
      <c r="DA14" s="328">
        <f t="shared" si="82"/>
        <v>3.2542207792207787</v>
      </c>
      <c r="DB14" s="326">
        <f t="shared" si="83"/>
        <v>4.7452922077922075</v>
      </c>
      <c r="DC14" s="327">
        <f t="shared" si="84"/>
        <v>6.0637987012987011</v>
      </c>
      <c r="DD14" s="327">
        <f t="shared" si="85"/>
        <v>5.0162337662337659</v>
      </c>
      <c r="DE14" s="328">
        <f t="shared" si="86"/>
        <v>6.5220779220779228</v>
      </c>
      <c r="DF14" s="326">
        <f t="shared" si="87"/>
        <v>8.30487012987013</v>
      </c>
      <c r="DG14" s="327">
        <f t="shared" si="88"/>
        <v>9.6792207792207794</v>
      </c>
      <c r="DH14" s="327">
        <f t="shared" si="89"/>
        <v>9.012175324675324</v>
      </c>
      <c r="DI14" s="328">
        <f t="shared" si="90"/>
        <v>9.8766233766233782</v>
      </c>
      <c r="DJ14" s="326">
        <f t="shared" si="91"/>
        <v>13.184577922077922</v>
      </c>
      <c r="DK14" s="327">
        <f t="shared" si="92"/>
        <v>14.01672077922078</v>
      </c>
      <c r="DL14" s="327">
        <f t="shared" si="93"/>
        <v>15.006818181818181</v>
      </c>
      <c r="DM14" s="328">
        <f t="shared" si="94"/>
        <v>14.709740259740261</v>
      </c>
    </row>
    <row r="15" spans="1:117" x14ac:dyDescent="0.25">
      <c r="A15" s="521"/>
      <c r="B15" s="55">
        <v>9</v>
      </c>
      <c r="C15" s="368">
        <v>38.299999999999997</v>
      </c>
      <c r="D15" s="368">
        <v>38.299999999999997</v>
      </c>
      <c r="E15" s="368">
        <v>38.299999999999997</v>
      </c>
      <c r="F15" s="368">
        <v>38.299999999999997</v>
      </c>
      <c r="G15" s="326">
        <f t="shared" si="0"/>
        <v>27.38</v>
      </c>
      <c r="H15" s="327">
        <f t="shared" si="1"/>
        <v>27.94</v>
      </c>
      <c r="I15" s="327">
        <f t="shared" si="2"/>
        <v>38.049999999999997</v>
      </c>
      <c r="J15" s="328">
        <f t="shared" si="3"/>
        <v>19.18</v>
      </c>
      <c r="K15" s="326">
        <f t="shared" si="4"/>
        <v>25.270000000000003</v>
      </c>
      <c r="L15" s="327">
        <f t="shared" si="5"/>
        <v>33.89</v>
      </c>
      <c r="M15" s="327">
        <f t="shared" si="6"/>
        <v>20.71</v>
      </c>
      <c r="N15" s="328">
        <f t="shared" si="7"/>
        <v>34.56</v>
      </c>
      <c r="O15" s="326">
        <f t="shared" si="8"/>
        <v>19.630000000000003</v>
      </c>
      <c r="P15" s="327">
        <f t="shared" si="9"/>
        <v>46.93</v>
      </c>
      <c r="Q15" s="327">
        <f t="shared" si="10"/>
        <v>22.65</v>
      </c>
      <c r="R15" s="334">
        <f t="shared" si="11"/>
        <v>39.230000000000004</v>
      </c>
      <c r="S15" s="326">
        <f t="shared" si="62"/>
        <v>72.28</v>
      </c>
      <c r="T15" s="327">
        <f t="shared" si="62"/>
        <v>108.75999999999999</v>
      </c>
      <c r="U15" s="327">
        <f t="shared" si="62"/>
        <v>81.41</v>
      </c>
      <c r="V15" s="328">
        <f t="shared" si="62"/>
        <v>92.97</v>
      </c>
      <c r="W15" s="326">
        <f t="shared" si="12"/>
        <v>40.680000000000007</v>
      </c>
      <c r="X15" s="327">
        <f t="shared" si="13"/>
        <v>38.409999999999997</v>
      </c>
      <c r="Y15" s="327">
        <f t="shared" si="14"/>
        <v>21.23</v>
      </c>
      <c r="Z15" s="328">
        <f t="shared" si="15"/>
        <v>16.64</v>
      </c>
      <c r="AA15" s="326">
        <f t="shared" si="16"/>
        <v>32.57</v>
      </c>
      <c r="AB15" s="327">
        <f t="shared" si="17"/>
        <v>31.91</v>
      </c>
      <c r="AC15" s="327">
        <f t="shared" si="18"/>
        <v>28.57</v>
      </c>
      <c r="AD15" s="328">
        <f t="shared" si="19"/>
        <v>47.69</v>
      </c>
      <c r="AE15" s="326">
        <f t="shared" si="20"/>
        <v>20.27</v>
      </c>
      <c r="AF15" s="327">
        <f t="shared" si="21"/>
        <v>32.75</v>
      </c>
      <c r="AG15" s="327">
        <f t="shared" si="22"/>
        <v>29.07</v>
      </c>
      <c r="AH15" s="328">
        <f t="shared" si="23"/>
        <v>48.05</v>
      </c>
      <c r="AI15" s="326">
        <f t="shared" si="63"/>
        <v>93.52</v>
      </c>
      <c r="AJ15" s="327">
        <f t="shared" si="63"/>
        <v>103.07</v>
      </c>
      <c r="AK15" s="327">
        <f t="shared" si="63"/>
        <v>78.87</v>
      </c>
      <c r="AL15" s="328">
        <f t="shared" si="63"/>
        <v>112.38</v>
      </c>
      <c r="AM15" s="326">
        <f t="shared" si="24"/>
        <v>18.43</v>
      </c>
      <c r="AN15" s="327">
        <f t="shared" si="25"/>
        <v>35.010000000000005</v>
      </c>
      <c r="AO15" s="327">
        <f t="shared" si="26"/>
        <v>23.439999999999998</v>
      </c>
      <c r="AP15" s="328">
        <f t="shared" si="27"/>
        <v>33.1</v>
      </c>
      <c r="AQ15" s="326">
        <f t="shared" si="28"/>
        <v>75.52000000000001</v>
      </c>
      <c r="AR15" s="327">
        <f t="shared" si="29"/>
        <v>43.31</v>
      </c>
      <c r="AS15" s="327">
        <f t="shared" si="30"/>
        <v>43.71</v>
      </c>
      <c r="AT15" s="328">
        <f t="shared" si="31"/>
        <v>43.36</v>
      </c>
      <c r="AU15" s="326">
        <f t="shared" si="32"/>
        <v>64.02</v>
      </c>
      <c r="AV15" s="327">
        <f t="shared" si="33"/>
        <v>48.209999999999994</v>
      </c>
      <c r="AW15" s="327">
        <f t="shared" si="64"/>
        <v>59.56</v>
      </c>
      <c r="AX15" s="328">
        <f t="shared" si="65"/>
        <v>38.1</v>
      </c>
      <c r="AY15" s="326">
        <f t="shared" si="66"/>
        <v>157.97000000000003</v>
      </c>
      <c r="AZ15" s="327">
        <f t="shared" si="66"/>
        <v>126.53</v>
      </c>
      <c r="BA15" s="327">
        <f t="shared" si="66"/>
        <v>126.71000000000001</v>
      </c>
      <c r="BB15" s="328">
        <f t="shared" si="67"/>
        <v>114.56</v>
      </c>
      <c r="BC15" s="326">
        <f t="shared" si="34"/>
        <v>72.98</v>
      </c>
      <c r="BD15" s="327">
        <f t="shared" si="35"/>
        <v>71.400000000000006</v>
      </c>
      <c r="BE15" s="327">
        <f t="shared" si="36"/>
        <v>63.760000000000005</v>
      </c>
      <c r="BF15" s="328">
        <f t="shared" si="68"/>
        <v>68.179999999999993</v>
      </c>
      <c r="BG15" s="326">
        <f t="shared" si="37"/>
        <v>43.4</v>
      </c>
      <c r="BH15" s="327">
        <f t="shared" si="38"/>
        <v>49.980000000000004</v>
      </c>
      <c r="BI15" s="327">
        <f t="shared" si="39"/>
        <v>76.490000000000009</v>
      </c>
      <c r="BJ15" s="328">
        <f t="shared" si="40"/>
        <v>65.02</v>
      </c>
      <c r="BK15" s="326">
        <f t="shared" si="41"/>
        <v>54.92</v>
      </c>
      <c r="BL15" s="327">
        <f t="shared" si="42"/>
        <v>45.25</v>
      </c>
      <c r="BM15" s="327">
        <f t="shared" si="69"/>
        <v>62.45</v>
      </c>
      <c r="BN15" s="328">
        <f t="shared" si="43"/>
        <v>33.010000000000005</v>
      </c>
      <c r="BO15" s="326">
        <f t="shared" si="70"/>
        <v>171.3</v>
      </c>
      <c r="BP15" s="327">
        <f t="shared" si="70"/>
        <v>166.63</v>
      </c>
      <c r="BQ15" s="327">
        <f t="shared" si="70"/>
        <v>202.7</v>
      </c>
      <c r="BR15" s="329"/>
      <c r="BS15" s="335"/>
      <c r="BT15" s="326">
        <f t="shared" si="44"/>
        <v>36.47999999999999</v>
      </c>
      <c r="BU15" s="327">
        <f t="shared" si="45"/>
        <v>-27.349999999999994</v>
      </c>
      <c r="BV15" s="328">
        <f t="shared" si="46"/>
        <v>11.560000000000002</v>
      </c>
      <c r="BW15" s="326">
        <f t="shared" si="47"/>
        <v>9.5499999999999972</v>
      </c>
      <c r="BX15" s="327">
        <f t="shared" si="48"/>
        <v>-24.199999999999989</v>
      </c>
      <c r="BY15" s="328">
        <f t="shared" si="49"/>
        <v>33.509999999999991</v>
      </c>
      <c r="BZ15" s="326">
        <f t="shared" si="50"/>
        <v>-31.440000000000026</v>
      </c>
      <c r="CA15" s="327">
        <f t="shared" si="71"/>
        <v>0.18000000000000682</v>
      </c>
      <c r="CB15" s="328">
        <f t="shared" si="72"/>
        <v>-12.150000000000006</v>
      </c>
      <c r="CC15" s="326">
        <f t="shared" si="73"/>
        <v>-4.6700000000000159</v>
      </c>
      <c r="CD15" s="327">
        <f t="shared" si="73"/>
        <v>36.069999999999993</v>
      </c>
      <c r="CE15" s="329"/>
      <c r="CF15" s="335"/>
      <c r="CG15" s="326">
        <f t="shared" si="51"/>
        <v>72.28</v>
      </c>
      <c r="CH15" s="327">
        <f t="shared" si="52"/>
        <v>108.75999999999999</v>
      </c>
      <c r="CI15" s="327">
        <f t="shared" si="53"/>
        <v>81.41</v>
      </c>
      <c r="CJ15" s="328">
        <f t="shared" si="54"/>
        <v>92.97</v>
      </c>
      <c r="CK15" s="326">
        <f t="shared" si="55"/>
        <v>165.8</v>
      </c>
      <c r="CL15" s="327">
        <f t="shared" si="56"/>
        <v>211.82999999999998</v>
      </c>
      <c r="CM15" s="327">
        <f t="shared" si="57"/>
        <v>160.28</v>
      </c>
      <c r="CN15" s="328">
        <f t="shared" si="74"/>
        <v>205.35000000000002</v>
      </c>
      <c r="CO15" s="326">
        <f t="shared" si="58"/>
        <v>323.77</v>
      </c>
      <c r="CP15" s="327">
        <f t="shared" si="59"/>
        <v>338.35999999999996</v>
      </c>
      <c r="CQ15" s="327">
        <f t="shared" si="75"/>
        <v>286.99</v>
      </c>
      <c r="CR15" s="328">
        <f t="shared" si="76"/>
        <v>319.91000000000003</v>
      </c>
      <c r="CS15" s="326">
        <f t="shared" si="60"/>
        <v>495.07</v>
      </c>
      <c r="CT15" s="327">
        <f t="shared" si="61"/>
        <v>504.99</v>
      </c>
      <c r="CU15" s="327">
        <f t="shared" si="77"/>
        <v>489.69</v>
      </c>
      <c r="CV15" s="328">
        <f t="shared" si="78"/>
        <v>486.12</v>
      </c>
      <c r="CW15" s="335"/>
      <c r="CX15" s="326">
        <f t="shared" si="79"/>
        <v>1.8872062663185381</v>
      </c>
      <c r="CY15" s="327">
        <f t="shared" si="80"/>
        <v>2.839686684073107</v>
      </c>
      <c r="CZ15" s="327">
        <f t="shared" si="81"/>
        <v>2.1255874673629243</v>
      </c>
      <c r="DA15" s="328">
        <f t="shared" si="82"/>
        <v>2.4274151436031333</v>
      </c>
      <c r="DB15" s="326">
        <f t="shared" si="83"/>
        <v>4.3289817232375984</v>
      </c>
      <c r="DC15" s="327">
        <f t="shared" si="84"/>
        <v>5.5308093994778069</v>
      </c>
      <c r="DD15" s="327">
        <f t="shared" si="85"/>
        <v>4.1848563968668406</v>
      </c>
      <c r="DE15" s="328">
        <f t="shared" si="86"/>
        <v>5.3616187989556146</v>
      </c>
      <c r="DF15" s="326">
        <f t="shared" si="87"/>
        <v>8.4535248041775457</v>
      </c>
      <c r="DG15" s="327">
        <f t="shared" si="88"/>
        <v>8.8344647519582242</v>
      </c>
      <c r="DH15" s="327">
        <f t="shared" si="89"/>
        <v>7.4932114882506538</v>
      </c>
      <c r="DI15" s="328">
        <f t="shared" si="90"/>
        <v>8.3527415143603143</v>
      </c>
      <c r="DJ15" s="326">
        <f t="shared" si="91"/>
        <v>12.926109660574413</v>
      </c>
      <c r="DK15" s="327">
        <f t="shared" si="92"/>
        <v>13.185117493472585</v>
      </c>
      <c r="DL15" s="327">
        <f t="shared" si="93"/>
        <v>12.785639686684075</v>
      </c>
      <c r="DM15" s="328">
        <f t="shared" si="94"/>
        <v>12.692428198433422</v>
      </c>
    </row>
    <row r="16" spans="1:117" x14ac:dyDescent="0.25">
      <c r="A16" s="521"/>
      <c r="B16" s="55">
        <v>11</v>
      </c>
      <c r="C16" s="368">
        <v>44.5</v>
      </c>
      <c r="D16" s="368">
        <v>44.5</v>
      </c>
      <c r="E16" s="368">
        <v>44.5</v>
      </c>
      <c r="F16" s="368">
        <v>44.5</v>
      </c>
      <c r="G16" s="326">
        <f t="shared" si="0"/>
        <v>49.190000000000005</v>
      </c>
      <c r="H16" s="327">
        <f t="shared" si="1"/>
        <v>38.659999999999997</v>
      </c>
      <c r="I16" s="327">
        <f t="shared" si="2"/>
        <v>29.79</v>
      </c>
      <c r="J16" s="328">
        <f t="shared" si="3"/>
        <v>41.08</v>
      </c>
      <c r="K16" s="326">
        <f t="shared" si="4"/>
        <v>20.090000000000003</v>
      </c>
      <c r="L16" s="327">
        <f t="shared" si="5"/>
        <v>32.729999999999997</v>
      </c>
      <c r="M16" s="327">
        <f t="shared" si="6"/>
        <v>31.44</v>
      </c>
      <c r="N16" s="328">
        <f t="shared" si="7"/>
        <v>27.060000000000002</v>
      </c>
      <c r="O16" s="326">
        <f t="shared" si="8"/>
        <v>37.300000000000004</v>
      </c>
      <c r="P16" s="327">
        <f t="shared" si="9"/>
        <v>36.949999999999996</v>
      </c>
      <c r="Q16" s="327">
        <f t="shared" si="10"/>
        <v>30.26</v>
      </c>
      <c r="R16" s="334">
        <f t="shared" si="11"/>
        <v>40.57</v>
      </c>
      <c r="S16" s="326">
        <f t="shared" si="62"/>
        <v>106.58000000000001</v>
      </c>
      <c r="T16" s="327">
        <f t="shared" si="62"/>
        <v>108.33999999999997</v>
      </c>
      <c r="U16" s="327">
        <f t="shared" si="62"/>
        <v>91.490000000000009</v>
      </c>
      <c r="V16" s="328">
        <f t="shared" si="62"/>
        <v>108.71000000000001</v>
      </c>
      <c r="W16" s="326">
        <f t="shared" si="12"/>
        <v>63.84</v>
      </c>
      <c r="X16" s="327">
        <f t="shared" si="13"/>
        <v>82.75</v>
      </c>
      <c r="Y16" s="327">
        <f t="shared" si="14"/>
        <v>37.340000000000003</v>
      </c>
      <c r="Z16" s="328">
        <f t="shared" si="15"/>
        <v>35.96</v>
      </c>
      <c r="AA16" s="326">
        <f t="shared" si="16"/>
        <v>47.269999999999996</v>
      </c>
      <c r="AB16" s="327">
        <f t="shared" si="17"/>
        <v>48.66</v>
      </c>
      <c r="AC16" s="327">
        <f t="shared" si="18"/>
        <v>53.78</v>
      </c>
      <c r="AD16" s="328">
        <f t="shared" si="19"/>
        <v>51.4</v>
      </c>
      <c r="AE16" s="326">
        <f t="shared" si="20"/>
        <v>29.83</v>
      </c>
      <c r="AF16" s="327">
        <f t="shared" si="21"/>
        <v>48.43</v>
      </c>
      <c r="AG16" s="327">
        <f t="shared" si="22"/>
        <v>30.880000000000003</v>
      </c>
      <c r="AH16" s="328">
        <f t="shared" si="23"/>
        <v>44.1</v>
      </c>
      <c r="AI16" s="326">
        <f t="shared" si="63"/>
        <v>140.94</v>
      </c>
      <c r="AJ16" s="327">
        <f t="shared" si="63"/>
        <v>179.84</v>
      </c>
      <c r="AK16" s="327">
        <f t="shared" si="63"/>
        <v>122</v>
      </c>
      <c r="AL16" s="328">
        <f t="shared" si="63"/>
        <v>131.46</v>
      </c>
      <c r="AM16" s="326">
        <f t="shared" si="24"/>
        <v>22.3</v>
      </c>
      <c r="AN16" s="327">
        <f t="shared" si="25"/>
        <v>54.44</v>
      </c>
      <c r="AO16" s="327">
        <f t="shared" si="26"/>
        <v>24.82</v>
      </c>
      <c r="AP16" s="328">
        <f t="shared" si="27"/>
        <v>47.35</v>
      </c>
      <c r="AQ16" s="326">
        <f t="shared" si="28"/>
        <v>36.81</v>
      </c>
      <c r="AR16" s="327">
        <f t="shared" si="29"/>
        <v>61.24</v>
      </c>
      <c r="AS16" s="327">
        <f t="shared" si="30"/>
        <v>43.08</v>
      </c>
      <c r="AT16" s="328">
        <f t="shared" si="31"/>
        <v>51.099999999999994</v>
      </c>
      <c r="AU16" s="326">
        <f t="shared" si="32"/>
        <v>87.84</v>
      </c>
      <c r="AV16" s="327">
        <f t="shared" si="33"/>
        <v>59.05</v>
      </c>
      <c r="AW16" s="327">
        <f t="shared" si="64"/>
        <v>98.26</v>
      </c>
      <c r="AX16" s="328">
        <f t="shared" si="65"/>
        <v>51.02</v>
      </c>
      <c r="AY16" s="326">
        <f t="shared" si="66"/>
        <v>146.94999999999999</v>
      </c>
      <c r="AZ16" s="327">
        <f t="shared" si="66"/>
        <v>174.73000000000002</v>
      </c>
      <c r="BA16" s="327">
        <f t="shared" si="66"/>
        <v>166.16000000000003</v>
      </c>
      <c r="BB16" s="328">
        <f t="shared" si="67"/>
        <v>149.47</v>
      </c>
      <c r="BC16" s="326">
        <f t="shared" si="34"/>
        <v>59.98</v>
      </c>
      <c r="BD16" s="327">
        <f t="shared" si="35"/>
        <v>59.16</v>
      </c>
      <c r="BE16" s="327">
        <f t="shared" si="36"/>
        <v>45.33</v>
      </c>
      <c r="BF16" s="328">
        <f t="shared" si="68"/>
        <v>63.94</v>
      </c>
      <c r="BG16" s="326">
        <f t="shared" si="37"/>
        <v>85.12</v>
      </c>
      <c r="BH16" s="327">
        <f t="shared" si="38"/>
        <v>28.49</v>
      </c>
      <c r="BI16" s="327">
        <f t="shared" si="39"/>
        <v>62.233999999999995</v>
      </c>
      <c r="BJ16" s="328">
        <f t="shared" si="40"/>
        <v>43.89</v>
      </c>
      <c r="BK16" s="326">
        <f t="shared" si="41"/>
        <v>58.31</v>
      </c>
      <c r="BL16" s="327">
        <f t="shared" si="42"/>
        <v>54.529999999999994</v>
      </c>
      <c r="BM16" s="327">
        <f t="shared" si="69"/>
        <v>52</v>
      </c>
      <c r="BN16" s="328">
        <f t="shared" si="43"/>
        <v>32.42</v>
      </c>
      <c r="BO16" s="326">
        <f t="shared" si="70"/>
        <v>203.41</v>
      </c>
      <c r="BP16" s="327">
        <f t="shared" si="70"/>
        <v>142.17999999999998</v>
      </c>
      <c r="BQ16" s="327">
        <f t="shared" si="70"/>
        <v>159.56399999999999</v>
      </c>
      <c r="BR16" s="329"/>
      <c r="BS16" s="335"/>
      <c r="BT16" s="326">
        <f t="shared" si="44"/>
        <v>1.7599999999999625</v>
      </c>
      <c r="BU16" s="327">
        <f t="shared" si="45"/>
        <v>-16.849999999999966</v>
      </c>
      <c r="BV16" s="328">
        <f t="shared" si="46"/>
        <v>17.22</v>
      </c>
      <c r="BW16" s="326">
        <f t="shared" si="47"/>
        <v>38.900000000000006</v>
      </c>
      <c r="BX16" s="327">
        <f t="shared" si="48"/>
        <v>-57.84</v>
      </c>
      <c r="BY16" s="328">
        <f t="shared" si="49"/>
        <v>9.460000000000008</v>
      </c>
      <c r="BZ16" s="326">
        <f t="shared" si="50"/>
        <v>27.78000000000003</v>
      </c>
      <c r="CA16" s="327">
        <f t="shared" si="71"/>
        <v>-8.5699999999999932</v>
      </c>
      <c r="CB16" s="328">
        <f t="shared" si="72"/>
        <v>-16.690000000000026</v>
      </c>
      <c r="CC16" s="326">
        <f t="shared" si="73"/>
        <v>-61.230000000000018</v>
      </c>
      <c r="CD16" s="327">
        <f t="shared" si="73"/>
        <v>17.384000000000015</v>
      </c>
      <c r="CE16" s="329"/>
      <c r="CF16" s="335"/>
      <c r="CG16" s="326">
        <f t="shared" si="51"/>
        <v>106.58000000000001</v>
      </c>
      <c r="CH16" s="327">
        <f t="shared" si="52"/>
        <v>108.33999999999997</v>
      </c>
      <c r="CI16" s="327">
        <f t="shared" si="53"/>
        <v>91.490000000000009</v>
      </c>
      <c r="CJ16" s="328">
        <f t="shared" si="54"/>
        <v>108.71000000000001</v>
      </c>
      <c r="CK16" s="326">
        <f t="shared" si="55"/>
        <v>247.51999999999998</v>
      </c>
      <c r="CL16" s="327">
        <f t="shared" si="56"/>
        <v>288.17999999999995</v>
      </c>
      <c r="CM16" s="327">
        <f t="shared" si="57"/>
        <v>213.49</v>
      </c>
      <c r="CN16" s="328">
        <f t="shared" si="74"/>
        <v>240.17000000000002</v>
      </c>
      <c r="CO16" s="326">
        <f t="shared" si="58"/>
        <v>394.47</v>
      </c>
      <c r="CP16" s="327">
        <f t="shared" si="59"/>
        <v>462.90999999999997</v>
      </c>
      <c r="CQ16" s="327">
        <f t="shared" si="75"/>
        <v>379.65</v>
      </c>
      <c r="CR16" s="328">
        <f t="shared" si="76"/>
        <v>389.64</v>
      </c>
      <c r="CS16" s="326">
        <f t="shared" si="60"/>
        <v>597.88000000000011</v>
      </c>
      <c r="CT16" s="327">
        <f t="shared" si="61"/>
        <v>605.08999999999992</v>
      </c>
      <c r="CU16" s="327">
        <f t="shared" si="77"/>
        <v>539.21399999999994</v>
      </c>
      <c r="CV16" s="328">
        <f t="shared" si="78"/>
        <v>529.89</v>
      </c>
      <c r="CW16" s="335"/>
      <c r="CX16" s="326">
        <f t="shared" si="79"/>
        <v>2.3950561797752812</v>
      </c>
      <c r="CY16" s="327">
        <f t="shared" si="80"/>
        <v>2.4346067415730333</v>
      </c>
      <c r="CZ16" s="327">
        <f t="shared" si="81"/>
        <v>2.0559550561797755</v>
      </c>
      <c r="DA16" s="328">
        <f t="shared" si="82"/>
        <v>2.4429213483146071</v>
      </c>
      <c r="DB16" s="326">
        <f t="shared" si="83"/>
        <v>5.5622471910112354</v>
      </c>
      <c r="DC16" s="327">
        <f t="shared" si="84"/>
        <v>6.4759550561797745</v>
      </c>
      <c r="DD16" s="327">
        <f t="shared" si="85"/>
        <v>4.7975280898876402</v>
      </c>
      <c r="DE16" s="328">
        <f t="shared" si="86"/>
        <v>5.3970786516853932</v>
      </c>
      <c r="DF16" s="326">
        <f t="shared" si="87"/>
        <v>8.8644943820224729</v>
      </c>
      <c r="DG16" s="327">
        <f t="shared" si="88"/>
        <v>10.402471910112359</v>
      </c>
      <c r="DH16" s="327">
        <f t="shared" si="89"/>
        <v>8.5314606741573034</v>
      </c>
      <c r="DI16" s="328">
        <f t="shared" si="90"/>
        <v>8.7559550561797757</v>
      </c>
      <c r="DJ16" s="326">
        <f t="shared" si="91"/>
        <v>13.435505617977531</v>
      </c>
      <c r="DK16" s="327">
        <f t="shared" si="92"/>
        <v>13.597528089887639</v>
      </c>
      <c r="DL16" s="327">
        <f t="shared" si="93"/>
        <v>12.117168539325842</v>
      </c>
      <c r="DM16" s="328">
        <f t="shared" si="94"/>
        <v>11.907640449438201</v>
      </c>
    </row>
    <row r="17" spans="1:117" x14ac:dyDescent="0.25">
      <c r="A17" s="521"/>
      <c r="B17" s="55">
        <v>12</v>
      </c>
      <c r="C17" s="368">
        <v>76.2</v>
      </c>
      <c r="D17" s="368">
        <v>76.2</v>
      </c>
      <c r="E17" s="368">
        <v>71</v>
      </c>
      <c r="F17" s="368">
        <v>71</v>
      </c>
      <c r="G17" s="326">
        <f t="shared" si="0"/>
        <v>103.92</v>
      </c>
      <c r="H17" s="327">
        <f t="shared" si="1"/>
        <v>64.150000000000006</v>
      </c>
      <c r="I17" s="327">
        <f t="shared" si="2"/>
        <v>78.53</v>
      </c>
      <c r="J17" s="328">
        <f t="shared" si="3"/>
        <v>51.83</v>
      </c>
      <c r="K17" s="326">
        <f t="shared" si="4"/>
        <v>41.82</v>
      </c>
      <c r="L17" s="327">
        <f t="shared" si="5"/>
        <v>73.37</v>
      </c>
      <c r="M17" s="327">
        <f t="shared" si="6"/>
        <v>60.73</v>
      </c>
      <c r="N17" s="328">
        <f t="shared" si="7"/>
        <v>82.91</v>
      </c>
      <c r="O17" s="326">
        <f t="shared" si="8"/>
        <v>69.2</v>
      </c>
      <c r="P17" s="327">
        <f t="shared" si="9"/>
        <v>66.05</v>
      </c>
      <c r="Q17" s="327">
        <f t="shared" si="10"/>
        <v>41.84</v>
      </c>
      <c r="R17" s="334">
        <f t="shared" si="11"/>
        <v>61.5</v>
      </c>
      <c r="S17" s="326">
        <f t="shared" si="62"/>
        <v>214.94</v>
      </c>
      <c r="T17" s="327">
        <f t="shared" si="62"/>
        <v>203.57</v>
      </c>
      <c r="U17" s="327">
        <f t="shared" si="62"/>
        <v>181.1</v>
      </c>
      <c r="V17" s="328">
        <f t="shared" si="62"/>
        <v>196.24</v>
      </c>
      <c r="W17" s="326">
        <f t="shared" si="12"/>
        <v>62.67</v>
      </c>
      <c r="X17" s="327">
        <f t="shared" si="13"/>
        <v>72.349999999999994</v>
      </c>
      <c r="Y17" s="327">
        <f t="shared" si="14"/>
        <v>85.08</v>
      </c>
      <c r="Z17" s="328">
        <f t="shared" si="15"/>
        <v>108.55</v>
      </c>
      <c r="AA17" s="326">
        <f t="shared" si="16"/>
        <v>96.63000000000001</v>
      </c>
      <c r="AB17" s="327">
        <f t="shared" si="17"/>
        <v>69.09</v>
      </c>
      <c r="AC17" s="327">
        <f t="shared" si="18"/>
        <v>60.72</v>
      </c>
      <c r="AD17" s="328">
        <f t="shared" si="19"/>
        <v>69.22999999999999</v>
      </c>
      <c r="AE17" s="326">
        <f t="shared" si="20"/>
        <v>57.239999999999995</v>
      </c>
      <c r="AF17" s="327">
        <f t="shared" si="21"/>
        <v>77.56</v>
      </c>
      <c r="AG17" s="327">
        <f t="shared" si="22"/>
        <v>57.980000000000004</v>
      </c>
      <c r="AH17" s="328">
        <f t="shared" si="23"/>
        <v>72.430000000000007</v>
      </c>
      <c r="AI17" s="326">
        <f t="shared" si="63"/>
        <v>216.54000000000002</v>
      </c>
      <c r="AJ17" s="327">
        <f t="shared" si="63"/>
        <v>219</v>
      </c>
      <c r="AK17" s="327">
        <f t="shared" si="63"/>
        <v>203.78000000000003</v>
      </c>
      <c r="AL17" s="328">
        <f t="shared" si="63"/>
        <v>250.20999999999998</v>
      </c>
      <c r="AM17" s="326">
        <f t="shared" si="24"/>
        <v>43.55</v>
      </c>
      <c r="AN17" s="327">
        <f t="shared" si="25"/>
        <v>77.760000000000005</v>
      </c>
      <c r="AO17" s="327">
        <f t="shared" si="26"/>
        <v>62.17</v>
      </c>
      <c r="AP17" s="328">
        <f t="shared" si="27"/>
        <v>75.459999999999994</v>
      </c>
      <c r="AQ17" s="326">
        <f t="shared" si="28"/>
        <v>58.84</v>
      </c>
      <c r="AR17" s="327">
        <f t="shared" si="29"/>
        <v>74.569999999999993</v>
      </c>
      <c r="AS17" s="327">
        <f t="shared" si="30"/>
        <v>67.44</v>
      </c>
      <c r="AT17" s="328">
        <f t="shared" si="31"/>
        <v>80.36</v>
      </c>
      <c r="AU17" s="326">
        <f t="shared" si="32"/>
        <v>81.45</v>
      </c>
      <c r="AV17" s="327">
        <f t="shared" si="33"/>
        <v>95.53</v>
      </c>
      <c r="AW17" s="327">
        <f t="shared" si="64"/>
        <v>147.54000000000002</v>
      </c>
      <c r="AX17" s="328">
        <f t="shared" si="65"/>
        <v>104.3</v>
      </c>
      <c r="AY17" s="326">
        <f t="shared" si="66"/>
        <v>183.84</v>
      </c>
      <c r="AZ17" s="327">
        <f t="shared" si="66"/>
        <v>247.85999999999999</v>
      </c>
      <c r="BA17" s="327">
        <f t="shared" si="66"/>
        <v>277.15000000000003</v>
      </c>
      <c r="BB17" s="328">
        <f t="shared" si="67"/>
        <v>260.12</v>
      </c>
      <c r="BC17" s="326">
        <f t="shared" si="34"/>
        <v>139.88</v>
      </c>
      <c r="BD17" s="327">
        <f t="shared" si="35"/>
        <v>117.32</v>
      </c>
      <c r="BE17" s="327">
        <f t="shared" si="36"/>
        <v>92.97</v>
      </c>
      <c r="BF17" s="328">
        <f t="shared" si="68"/>
        <v>106.28</v>
      </c>
      <c r="BG17" s="326">
        <f t="shared" si="37"/>
        <v>122.47</v>
      </c>
      <c r="BH17" s="327">
        <f t="shared" si="38"/>
        <v>97.89</v>
      </c>
      <c r="BI17" s="327">
        <f t="shared" si="39"/>
        <v>143.44999999999999</v>
      </c>
      <c r="BJ17" s="328">
        <f t="shared" si="40"/>
        <v>94.509999999999991</v>
      </c>
      <c r="BK17" s="326">
        <f t="shared" si="41"/>
        <v>180.53</v>
      </c>
      <c r="BL17" s="327">
        <f t="shared" si="42"/>
        <v>94.080000000000013</v>
      </c>
      <c r="BM17" s="327">
        <f t="shared" si="69"/>
        <v>98.47</v>
      </c>
      <c r="BN17" s="328">
        <f t="shared" si="43"/>
        <v>93.38</v>
      </c>
      <c r="BO17" s="326">
        <f t="shared" si="70"/>
        <v>442.88</v>
      </c>
      <c r="BP17" s="327">
        <f t="shared" si="70"/>
        <v>309.28999999999996</v>
      </c>
      <c r="BQ17" s="327">
        <f t="shared" si="70"/>
        <v>334.89</v>
      </c>
      <c r="BR17" s="329"/>
      <c r="BS17" s="335"/>
      <c r="BT17" s="326">
        <f t="shared" si="44"/>
        <v>-11.370000000000005</v>
      </c>
      <c r="BU17" s="327">
        <f t="shared" si="45"/>
        <v>-22.47</v>
      </c>
      <c r="BV17" s="328">
        <f t="shared" si="46"/>
        <v>15.140000000000015</v>
      </c>
      <c r="BW17" s="326">
        <f t="shared" si="47"/>
        <v>2.4599999999999795</v>
      </c>
      <c r="BX17" s="327">
        <f t="shared" si="48"/>
        <v>-15.21999999999997</v>
      </c>
      <c r="BY17" s="328">
        <f t="shared" si="49"/>
        <v>46.42999999999995</v>
      </c>
      <c r="BZ17" s="326">
        <f t="shared" si="50"/>
        <v>64.019999999999982</v>
      </c>
      <c r="CA17" s="327">
        <f t="shared" si="71"/>
        <v>29.290000000000049</v>
      </c>
      <c r="CB17" s="328">
        <f t="shared" si="72"/>
        <v>-17.03000000000003</v>
      </c>
      <c r="CC17" s="326">
        <f t="shared" si="73"/>
        <v>-133.59000000000003</v>
      </c>
      <c r="CD17" s="327">
        <f t="shared" si="73"/>
        <v>25.600000000000023</v>
      </c>
      <c r="CE17" s="329"/>
      <c r="CF17" s="335"/>
      <c r="CG17" s="326">
        <f t="shared" si="51"/>
        <v>214.94</v>
      </c>
      <c r="CH17" s="327">
        <f t="shared" si="52"/>
        <v>203.57</v>
      </c>
      <c r="CI17" s="327">
        <f t="shared" si="53"/>
        <v>181.1</v>
      </c>
      <c r="CJ17" s="328">
        <f t="shared" si="54"/>
        <v>196.24</v>
      </c>
      <c r="CK17" s="326">
        <f t="shared" si="55"/>
        <v>431.48</v>
      </c>
      <c r="CL17" s="327">
        <f t="shared" si="56"/>
        <v>422.57</v>
      </c>
      <c r="CM17" s="327">
        <f t="shared" si="57"/>
        <v>384.88</v>
      </c>
      <c r="CN17" s="328">
        <f t="shared" si="74"/>
        <v>446.45</v>
      </c>
      <c r="CO17" s="326">
        <f t="shared" si="58"/>
        <v>615.32000000000005</v>
      </c>
      <c r="CP17" s="327">
        <f t="shared" si="59"/>
        <v>670.43</v>
      </c>
      <c r="CQ17" s="327">
        <f t="shared" si="75"/>
        <v>662.03</v>
      </c>
      <c r="CR17" s="328">
        <f t="shared" si="76"/>
        <v>706.56999999999994</v>
      </c>
      <c r="CS17" s="326">
        <f t="shared" si="60"/>
        <v>1058.2</v>
      </c>
      <c r="CT17" s="327">
        <f t="shared" si="61"/>
        <v>979.72</v>
      </c>
      <c r="CU17" s="327">
        <f t="shared" si="77"/>
        <v>996.92000000000007</v>
      </c>
      <c r="CV17" s="328">
        <f t="shared" si="78"/>
        <v>1000.7399999999999</v>
      </c>
      <c r="CW17" s="335"/>
      <c r="CX17" s="326">
        <f t="shared" si="79"/>
        <v>2.8207349081364828</v>
      </c>
      <c r="CY17" s="327">
        <f t="shared" si="80"/>
        <v>2.6715223097112859</v>
      </c>
      <c r="CZ17" s="327">
        <f t="shared" si="81"/>
        <v>2.5507042253521126</v>
      </c>
      <c r="DA17" s="328">
        <f t="shared" si="82"/>
        <v>2.7639436619718309</v>
      </c>
      <c r="DB17" s="326">
        <f t="shared" si="83"/>
        <v>5.6624671916010501</v>
      </c>
      <c r="DC17" s="327">
        <f t="shared" si="84"/>
        <v>5.5455380577427817</v>
      </c>
      <c r="DD17" s="327">
        <f t="shared" si="85"/>
        <v>5.4208450704225353</v>
      </c>
      <c r="DE17" s="328">
        <f t="shared" si="86"/>
        <v>6.2880281690140842</v>
      </c>
      <c r="DF17" s="326">
        <f t="shared" si="87"/>
        <v>8.0750656167979002</v>
      </c>
      <c r="DG17" s="327">
        <f t="shared" si="88"/>
        <v>8.7982939632545918</v>
      </c>
      <c r="DH17" s="327">
        <f t="shared" si="89"/>
        <v>9.3243661971830978</v>
      </c>
      <c r="DI17" s="328">
        <f t="shared" si="90"/>
        <v>9.95169014084507</v>
      </c>
      <c r="DJ17" s="326">
        <f t="shared" si="91"/>
        <v>13.887139107611549</v>
      </c>
      <c r="DK17" s="327">
        <f t="shared" si="92"/>
        <v>12.857217847769029</v>
      </c>
      <c r="DL17" s="327">
        <f t="shared" si="93"/>
        <v>14.041126760563381</v>
      </c>
      <c r="DM17" s="328">
        <f t="shared" si="94"/>
        <v>14.094929577464788</v>
      </c>
    </row>
    <row r="18" spans="1:117" ht="15.75" thickBot="1" x14ac:dyDescent="0.3">
      <c r="A18" s="522"/>
      <c r="B18" s="83">
        <v>23</v>
      </c>
      <c r="C18" s="369">
        <v>14.6</v>
      </c>
      <c r="D18" s="369">
        <v>14.6</v>
      </c>
      <c r="E18" s="369">
        <v>14.6</v>
      </c>
      <c r="F18" s="369">
        <v>14.6</v>
      </c>
      <c r="G18" s="326">
        <f t="shared" si="0"/>
        <v>16.240000000000002</v>
      </c>
      <c r="H18" s="327">
        <f t="shared" si="1"/>
        <v>13.39</v>
      </c>
      <c r="I18" s="327">
        <f t="shared" si="2"/>
        <v>20.83</v>
      </c>
      <c r="J18" s="328">
        <f t="shared" si="3"/>
        <v>15.99</v>
      </c>
      <c r="K18" s="326">
        <f t="shared" si="4"/>
        <v>8.74</v>
      </c>
      <c r="L18" s="327">
        <f t="shared" si="5"/>
        <v>23.380000000000003</v>
      </c>
      <c r="M18" s="327">
        <f t="shared" si="6"/>
        <v>15.02</v>
      </c>
      <c r="N18" s="328">
        <f t="shared" si="7"/>
        <v>20.85</v>
      </c>
      <c r="O18" s="326">
        <f t="shared" si="8"/>
        <v>14.7</v>
      </c>
      <c r="P18" s="327">
        <f t="shared" si="9"/>
        <v>14.47</v>
      </c>
      <c r="Q18" s="327">
        <f t="shared" si="10"/>
        <v>7.17</v>
      </c>
      <c r="R18" s="334">
        <f t="shared" si="11"/>
        <v>12.399999999999999</v>
      </c>
      <c r="S18" s="326">
        <f t="shared" si="62"/>
        <v>39.680000000000007</v>
      </c>
      <c r="T18" s="327">
        <f t="shared" si="62"/>
        <v>51.24</v>
      </c>
      <c r="U18" s="327">
        <f t="shared" si="62"/>
        <v>43.019999999999996</v>
      </c>
      <c r="V18" s="328">
        <f t="shared" si="62"/>
        <v>49.24</v>
      </c>
      <c r="W18" s="326">
        <f t="shared" si="12"/>
        <v>20.130000000000003</v>
      </c>
      <c r="X18" s="327">
        <f t="shared" si="13"/>
        <v>7.79</v>
      </c>
      <c r="Y18" s="327">
        <f t="shared" si="14"/>
        <v>12.370000000000001</v>
      </c>
      <c r="Z18" s="328">
        <f t="shared" si="15"/>
        <v>31.32</v>
      </c>
      <c r="AA18" s="326">
        <f t="shared" si="16"/>
        <v>18.100000000000001</v>
      </c>
      <c r="AB18" s="327">
        <f t="shared" si="17"/>
        <v>16.48</v>
      </c>
      <c r="AC18" s="327">
        <f t="shared" si="18"/>
        <v>24.14</v>
      </c>
      <c r="AD18" s="328">
        <f t="shared" si="19"/>
        <v>21.55</v>
      </c>
      <c r="AE18" s="326">
        <f t="shared" si="20"/>
        <v>12.600000000000001</v>
      </c>
      <c r="AF18" s="327">
        <f t="shared" si="21"/>
        <v>21.369999999999997</v>
      </c>
      <c r="AG18" s="327">
        <f t="shared" si="22"/>
        <v>15.32</v>
      </c>
      <c r="AH18" s="328">
        <f t="shared" si="23"/>
        <v>21.51</v>
      </c>
      <c r="AI18" s="326">
        <f t="shared" si="63"/>
        <v>50.830000000000005</v>
      </c>
      <c r="AJ18" s="327">
        <f t="shared" si="63"/>
        <v>45.64</v>
      </c>
      <c r="AK18" s="327">
        <f t="shared" si="63"/>
        <v>51.830000000000005</v>
      </c>
      <c r="AL18" s="328">
        <f t="shared" si="63"/>
        <v>74.38000000000001</v>
      </c>
      <c r="AM18" s="326">
        <f t="shared" si="24"/>
        <v>13.33</v>
      </c>
      <c r="AN18" s="327">
        <f t="shared" si="25"/>
        <v>21.189999999999998</v>
      </c>
      <c r="AO18" s="327">
        <f t="shared" si="26"/>
        <v>29.12</v>
      </c>
      <c r="AP18" s="328">
        <f t="shared" si="27"/>
        <v>19.11</v>
      </c>
      <c r="AQ18" s="326">
        <f t="shared" si="28"/>
        <v>18.82</v>
      </c>
      <c r="AR18" s="327">
        <f t="shared" si="29"/>
        <v>41.82</v>
      </c>
      <c r="AS18" s="327">
        <f t="shared" si="30"/>
        <v>40.04</v>
      </c>
      <c r="AT18" s="328">
        <f t="shared" si="31"/>
        <v>29.76</v>
      </c>
      <c r="AU18" s="326">
        <f t="shared" si="32"/>
        <v>14.39</v>
      </c>
      <c r="AV18" s="327">
        <f t="shared" si="33"/>
        <v>22.19</v>
      </c>
      <c r="AW18" s="327">
        <f t="shared" si="64"/>
        <v>25.52</v>
      </c>
      <c r="AX18" s="328">
        <f t="shared" si="65"/>
        <v>23.46</v>
      </c>
      <c r="AY18" s="326">
        <f t="shared" si="66"/>
        <v>46.54</v>
      </c>
      <c r="AZ18" s="327">
        <f t="shared" si="66"/>
        <v>85.2</v>
      </c>
      <c r="BA18" s="327">
        <f t="shared" si="66"/>
        <v>94.679999999999993</v>
      </c>
      <c r="BB18" s="328">
        <f t="shared" si="67"/>
        <v>72.330000000000013</v>
      </c>
      <c r="BC18" s="326">
        <f t="shared" si="34"/>
        <v>42.260000000000005</v>
      </c>
      <c r="BD18" s="327">
        <f t="shared" si="35"/>
        <v>23.86</v>
      </c>
      <c r="BE18" s="327">
        <f t="shared" si="36"/>
        <v>44.03</v>
      </c>
      <c r="BF18" s="328">
        <f t="shared" si="68"/>
        <v>35.11</v>
      </c>
      <c r="BG18" s="326">
        <f t="shared" si="37"/>
        <v>28.15</v>
      </c>
      <c r="BH18" s="327">
        <f t="shared" si="38"/>
        <v>20.75</v>
      </c>
      <c r="BI18" s="327">
        <f t="shared" si="39"/>
        <v>32.370000000000005</v>
      </c>
      <c r="BJ18" s="328">
        <f t="shared" si="40"/>
        <v>35.29</v>
      </c>
      <c r="BK18" s="326">
        <f t="shared" si="41"/>
        <v>18.77</v>
      </c>
      <c r="BL18" s="327">
        <f t="shared" si="42"/>
        <v>16.809999999999999</v>
      </c>
      <c r="BM18" s="327">
        <f t="shared" si="69"/>
        <v>21.66</v>
      </c>
      <c r="BN18" s="328">
        <f t="shared" si="43"/>
        <v>25.259999999999998</v>
      </c>
      <c r="BO18" s="326">
        <f t="shared" si="70"/>
        <v>89.179999999999993</v>
      </c>
      <c r="BP18" s="327">
        <f t="shared" si="70"/>
        <v>61.42</v>
      </c>
      <c r="BQ18" s="327">
        <f t="shared" si="70"/>
        <v>98.06</v>
      </c>
      <c r="BR18" s="329"/>
      <c r="BS18" s="335"/>
      <c r="BT18" s="326">
        <f t="shared" si="44"/>
        <v>11.559999999999995</v>
      </c>
      <c r="BU18" s="327">
        <f t="shared" si="45"/>
        <v>-8.220000000000006</v>
      </c>
      <c r="BV18" s="328">
        <f t="shared" si="46"/>
        <v>6.220000000000006</v>
      </c>
      <c r="BW18" s="326">
        <f t="shared" si="47"/>
        <v>-5.1900000000000048</v>
      </c>
      <c r="BX18" s="327">
        <f t="shared" si="48"/>
        <v>6.1900000000000048</v>
      </c>
      <c r="BY18" s="328">
        <f t="shared" si="49"/>
        <v>22.550000000000004</v>
      </c>
      <c r="BZ18" s="326">
        <f t="shared" si="50"/>
        <v>38.660000000000004</v>
      </c>
      <c r="CA18" s="327">
        <f t="shared" si="71"/>
        <v>9.4799999999999898</v>
      </c>
      <c r="CB18" s="328">
        <f t="shared" si="72"/>
        <v>-22.34999999999998</v>
      </c>
      <c r="CC18" s="326">
        <f t="shared" si="73"/>
        <v>-27.759999999999991</v>
      </c>
      <c r="CD18" s="327">
        <f t="shared" si="73"/>
        <v>36.64</v>
      </c>
      <c r="CE18" s="329"/>
      <c r="CF18" s="335"/>
      <c r="CG18" s="326">
        <f t="shared" si="51"/>
        <v>39.680000000000007</v>
      </c>
      <c r="CH18" s="327">
        <f t="shared" si="52"/>
        <v>51.24</v>
      </c>
      <c r="CI18" s="327">
        <f t="shared" si="53"/>
        <v>43.019999999999996</v>
      </c>
      <c r="CJ18" s="328">
        <f t="shared" si="54"/>
        <v>49.24</v>
      </c>
      <c r="CK18" s="326">
        <f t="shared" si="55"/>
        <v>90.510000000000019</v>
      </c>
      <c r="CL18" s="327">
        <f t="shared" si="56"/>
        <v>96.88</v>
      </c>
      <c r="CM18" s="327">
        <f t="shared" si="57"/>
        <v>94.85</v>
      </c>
      <c r="CN18" s="328">
        <f t="shared" si="74"/>
        <v>123.62</v>
      </c>
      <c r="CO18" s="326">
        <f t="shared" si="58"/>
        <v>137.05000000000001</v>
      </c>
      <c r="CP18" s="327">
        <f t="shared" si="59"/>
        <v>182.07999999999998</v>
      </c>
      <c r="CQ18" s="327">
        <f t="shared" si="75"/>
        <v>189.53</v>
      </c>
      <c r="CR18" s="328">
        <f t="shared" si="76"/>
        <v>195.95000000000002</v>
      </c>
      <c r="CS18" s="326">
        <f t="shared" si="60"/>
        <v>226.23000000000002</v>
      </c>
      <c r="CT18" s="327">
        <f t="shared" si="61"/>
        <v>243.5</v>
      </c>
      <c r="CU18" s="327">
        <f t="shared" si="77"/>
        <v>287.59000000000003</v>
      </c>
      <c r="CV18" s="328">
        <f t="shared" si="78"/>
        <v>291.61</v>
      </c>
      <c r="CW18" s="335"/>
      <c r="CX18" s="326">
        <f t="shared" si="79"/>
        <v>2.7178082191780826</v>
      </c>
      <c r="CY18" s="327">
        <f t="shared" si="80"/>
        <v>3.5095890410958908</v>
      </c>
      <c r="CZ18" s="327">
        <f t="shared" si="81"/>
        <v>2.9465753424657533</v>
      </c>
      <c r="DA18" s="328">
        <f t="shared" si="82"/>
        <v>3.3726027397260276</v>
      </c>
      <c r="DB18" s="326">
        <f t="shared" si="83"/>
        <v>6.1993150684931519</v>
      </c>
      <c r="DC18" s="327">
        <f t="shared" si="84"/>
        <v>6.6356164383561644</v>
      </c>
      <c r="DD18" s="327">
        <f t="shared" si="85"/>
        <v>6.4965753424657535</v>
      </c>
      <c r="DE18" s="328">
        <f t="shared" si="86"/>
        <v>8.4671232876712335</v>
      </c>
      <c r="DF18" s="326">
        <f t="shared" si="87"/>
        <v>9.3869863013698644</v>
      </c>
      <c r="DG18" s="327">
        <f t="shared" si="88"/>
        <v>12.471232876712328</v>
      </c>
      <c r="DH18" s="327">
        <f t="shared" si="89"/>
        <v>12.981506849315069</v>
      </c>
      <c r="DI18" s="328">
        <f t="shared" si="90"/>
        <v>13.421232876712331</v>
      </c>
      <c r="DJ18" s="326">
        <f t="shared" si="91"/>
        <v>15.495205479452057</v>
      </c>
      <c r="DK18" s="327">
        <f t="shared" si="92"/>
        <v>16.678082191780824</v>
      </c>
      <c r="DL18" s="327">
        <f t="shared" si="93"/>
        <v>19.697945205479456</v>
      </c>
      <c r="DM18" s="328">
        <f t="shared" si="94"/>
        <v>19.973287671232878</v>
      </c>
    </row>
    <row r="19" spans="1:117" x14ac:dyDescent="0.25">
      <c r="A19" s="520" t="s">
        <v>22</v>
      </c>
      <c r="B19" s="23">
        <v>10</v>
      </c>
      <c r="C19" s="367">
        <v>19.100000000000001</v>
      </c>
      <c r="D19" s="367">
        <v>19.100000000000001</v>
      </c>
      <c r="E19" s="367">
        <v>19.100000000000001</v>
      </c>
      <c r="F19" s="367">
        <v>19.100000000000001</v>
      </c>
      <c r="G19" s="326">
        <f t="shared" si="0"/>
        <v>11.7</v>
      </c>
      <c r="H19" s="327">
        <f t="shared" si="1"/>
        <v>16.29</v>
      </c>
      <c r="I19" s="327">
        <f t="shared" si="2"/>
        <v>19.59</v>
      </c>
      <c r="J19" s="328">
        <f t="shared" si="3"/>
        <v>8.8699999999999992</v>
      </c>
      <c r="K19" s="326">
        <f t="shared" si="4"/>
        <v>7.34</v>
      </c>
      <c r="L19" s="327">
        <f t="shared" si="5"/>
        <v>16.53</v>
      </c>
      <c r="M19" s="327">
        <f t="shared" si="6"/>
        <v>10.29</v>
      </c>
      <c r="N19" s="328">
        <f t="shared" si="7"/>
        <v>18.600000000000001</v>
      </c>
      <c r="O19" s="326">
        <f t="shared" si="8"/>
        <v>14.849999999999998</v>
      </c>
      <c r="P19" s="327">
        <f t="shared" si="9"/>
        <v>18.66</v>
      </c>
      <c r="Q19" s="327">
        <f t="shared" si="10"/>
        <v>10.94</v>
      </c>
      <c r="R19" s="334">
        <f t="shared" si="11"/>
        <v>21.950000000000003</v>
      </c>
      <c r="S19" s="326">
        <f t="shared" si="62"/>
        <v>33.89</v>
      </c>
      <c r="T19" s="327">
        <f t="shared" si="62"/>
        <v>51.480000000000004</v>
      </c>
      <c r="U19" s="327">
        <f t="shared" si="62"/>
        <v>40.82</v>
      </c>
      <c r="V19" s="328">
        <f t="shared" si="62"/>
        <v>49.42</v>
      </c>
      <c r="W19" s="326">
        <f t="shared" si="12"/>
        <v>19.18</v>
      </c>
      <c r="X19" s="327">
        <f t="shared" si="13"/>
        <v>15.34</v>
      </c>
      <c r="Y19" s="327">
        <f t="shared" si="14"/>
        <v>7.91</v>
      </c>
      <c r="Z19" s="328">
        <f t="shared" si="15"/>
        <v>17.760000000000002</v>
      </c>
      <c r="AA19" s="326">
        <f t="shared" si="16"/>
        <v>26.41</v>
      </c>
      <c r="AB19" s="327">
        <f t="shared" si="17"/>
        <v>25.56</v>
      </c>
      <c r="AC19" s="327">
        <f t="shared" si="18"/>
        <v>16.59</v>
      </c>
      <c r="AD19" s="328">
        <f t="shared" si="19"/>
        <v>21.09</v>
      </c>
      <c r="AE19" s="326">
        <f t="shared" si="20"/>
        <v>22.54</v>
      </c>
      <c r="AF19" s="327">
        <f t="shared" si="21"/>
        <v>21.5</v>
      </c>
      <c r="AG19" s="327">
        <f t="shared" si="22"/>
        <v>20.95</v>
      </c>
      <c r="AH19" s="328">
        <f t="shared" si="23"/>
        <v>29.669999999999998</v>
      </c>
      <c r="AI19" s="326">
        <f t="shared" si="63"/>
        <v>68.13</v>
      </c>
      <c r="AJ19" s="327">
        <f t="shared" si="63"/>
        <v>62.4</v>
      </c>
      <c r="AK19" s="327">
        <f t="shared" si="63"/>
        <v>45.45</v>
      </c>
      <c r="AL19" s="328">
        <f t="shared" si="63"/>
        <v>68.52</v>
      </c>
      <c r="AM19" s="326">
        <f t="shared" si="24"/>
        <v>13.11</v>
      </c>
      <c r="AN19" s="327">
        <f t="shared" si="25"/>
        <v>27.93</v>
      </c>
      <c r="AO19" s="327">
        <f t="shared" si="26"/>
        <v>13.52</v>
      </c>
      <c r="AP19" s="328">
        <f t="shared" si="27"/>
        <v>15.129999999999999</v>
      </c>
      <c r="AQ19" s="326">
        <f t="shared" si="28"/>
        <v>20.47</v>
      </c>
      <c r="AR19" s="327">
        <f t="shared" si="29"/>
        <v>29.2</v>
      </c>
      <c r="AS19" s="327">
        <f t="shared" si="30"/>
        <v>27.61</v>
      </c>
      <c r="AT19" s="328">
        <f t="shared" si="31"/>
        <v>23.62</v>
      </c>
      <c r="AU19" s="326">
        <f t="shared" si="32"/>
        <v>44.04</v>
      </c>
      <c r="AV19" s="327">
        <f t="shared" si="33"/>
        <v>34.06</v>
      </c>
      <c r="AW19" s="327">
        <f t="shared" si="64"/>
        <v>40.57</v>
      </c>
      <c r="AX19" s="328">
        <f t="shared" si="65"/>
        <v>25.64</v>
      </c>
      <c r="AY19" s="326">
        <f t="shared" si="66"/>
        <v>77.62</v>
      </c>
      <c r="AZ19" s="327">
        <f t="shared" si="66"/>
        <v>91.19</v>
      </c>
      <c r="BA19" s="327">
        <f t="shared" si="66"/>
        <v>81.699999999999989</v>
      </c>
      <c r="BB19" s="328">
        <f t="shared" si="67"/>
        <v>64.39</v>
      </c>
      <c r="BC19" s="326">
        <f t="shared" si="34"/>
        <v>36.01</v>
      </c>
      <c r="BD19" s="327">
        <f t="shared" si="35"/>
        <v>29.66</v>
      </c>
      <c r="BE19" s="327">
        <f t="shared" si="36"/>
        <v>28.14</v>
      </c>
      <c r="BF19" s="328">
        <f t="shared" si="68"/>
        <v>31.32</v>
      </c>
      <c r="BG19" s="326">
        <f t="shared" si="37"/>
        <v>0</v>
      </c>
      <c r="BH19" s="327">
        <f t="shared" si="38"/>
        <v>24.72</v>
      </c>
      <c r="BI19" s="327">
        <f t="shared" si="39"/>
        <v>35.380000000000003</v>
      </c>
      <c r="BJ19" s="328">
        <f t="shared" si="40"/>
        <v>31.979999999999997</v>
      </c>
      <c r="BK19" s="326">
        <f t="shared" si="41"/>
        <v>53.05</v>
      </c>
      <c r="BL19" s="327">
        <f t="shared" si="42"/>
        <v>28.05</v>
      </c>
      <c r="BM19" s="327">
        <f t="shared" si="69"/>
        <v>29.310000000000002</v>
      </c>
      <c r="BN19" s="328">
        <f t="shared" si="43"/>
        <v>13.41</v>
      </c>
      <c r="BO19" s="326">
        <f t="shared" si="70"/>
        <v>89.06</v>
      </c>
      <c r="BP19" s="327">
        <f t="shared" si="70"/>
        <v>82.429999999999993</v>
      </c>
      <c r="BQ19" s="327">
        <f t="shared" si="70"/>
        <v>92.830000000000013</v>
      </c>
      <c r="BR19" s="329"/>
      <c r="BS19" s="335"/>
      <c r="BT19" s="326">
        <f t="shared" si="44"/>
        <v>17.590000000000003</v>
      </c>
      <c r="BU19" s="327">
        <f t="shared" si="45"/>
        <v>-10.660000000000004</v>
      </c>
      <c r="BV19" s="328">
        <f t="shared" si="46"/>
        <v>8.6000000000000014</v>
      </c>
      <c r="BW19" s="326">
        <f t="shared" si="47"/>
        <v>-5.7299999999999969</v>
      </c>
      <c r="BX19" s="327">
        <f t="shared" si="48"/>
        <v>-16.949999999999996</v>
      </c>
      <c r="BY19" s="328">
        <f t="shared" si="49"/>
        <v>23.069999999999993</v>
      </c>
      <c r="BZ19" s="326">
        <f t="shared" si="50"/>
        <v>13.569999999999993</v>
      </c>
      <c r="CA19" s="327">
        <f t="shared" si="71"/>
        <v>-9.4900000000000091</v>
      </c>
      <c r="CB19" s="328">
        <f t="shared" si="72"/>
        <v>-17.309999999999988</v>
      </c>
      <c r="CC19" s="326">
        <f t="shared" si="73"/>
        <v>-6.6300000000000097</v>
      </c>
      <c r="CD19" s="327">
        <f t="shared" si="73"/>
        <v>10.40000000000002</v>
      </c>
      <c r="CE19" s="329"/>
      <c r="CF19" s="335"/>
      <c r="CG19" s="326">
        <f t="shared" si="51"/>
        <v>33.89</v>
      </c>
      <c r="CH19" s="327">
        <f t="shared" si="52"/>
        <v>51.480000000000004</v>
      </c>
      <c r="CI19" s="327">
        <f t="shared" si="53"/>
        <v>40.82</v>
      </c>
      <c r="CJ19" s="328">
        <f t="shared" si="54"/>
        <v>49.42</v>
      </c>
      <c r="CK19" s="326">
        <f t="shared" si="55"/>
        <v>102.02000000000001</v>
      </c>
      <c r="CL19" s="327">
        <f t="shared" si="56"/>
        <v>113.88000000000001</v>
      </c>
      <c r="CM19" s="327">
        <f t="shared" si="57"/>
        <v>86.27000000000001</v>
      </c>
      <c r="CN19" s="328">
        <f t="shared" si="74"/>
        <v>117.94000000000001</v>
      </c>
      <c r="CO19" s="326">
        <f t="shared" si="58"/>
        <v>179.64000000000001</v>
      </c>
      <c r="CP19" s="327">
        <f t="shared" si="59"/>
        <v>205.07</v>
      </c>
      <c r="CQ19" s="327">
        <f t="shared" si="75"/>
        <v>167.97</v>
      </c>
      <c r="CR19" s="328">
        <f t="shared" si="76"/>
        <v>182.33000000000004</v>
      </c>
      <c r="CS19" s="326">
        <f t="shared" si="60"/>
        <v>268.7</v>
      </c>
      <c r="CT19" s="327">
        <f t="shared" si="61"/>
        <v>287.5</v>
      </c>
      <c r="CU19" s="327">
        <f t="shared" si="77"/>
        <v>260.8</v>
      </c>
      <c r="CV19" s="328">
        <f t="shared" si="78"/>
        <v>259.04000000000002</v>
      </c>
      <c r="CW19" s="335"/>
      <c r="CX19" s="326">
        <f t="shared" si="79"/>
        <v>1.7743455497382199</v>
      </c>
      <c r="CY19" s="327">
        <f t="shared" si="80"/>
        <v>2.6952879581151832</v>
      </c>
      <c r="CZ19" s="327">
        <f t="shared" si="81"/>
        <v>2.1371727748691098</v>
      </c>
      <c r="DA19" s="328">
        <f t="shared" si="82"/>
        <v>2.587434554973822</v>
      </c>
      <c r="DB19" s="326">
        <f t="shared" si="83"/>
        <v>5.341361256544503</v>
      </c>
      <c r="DC19" s="327">
        <f t="shared" si="84"/>
        <v>5.9623036649214658</v>
      </c>
      <c r="DD19" s="327">
        <f t="shared" si="85"/>
        <v>4.5167539267015711</v>
      </c>
      <c r="DE19" s="328">
        <f t="shared" si="86"/>
        <v>6.174869109947644</v>
      </c>
      <c r="DF19" s="326">
        <f t="shared" si="87"/>
        <v>9.4052356020942405</v>
      </c>
      <c r="DG19" s="327">
        <f t="shared" si="88"/>
        <v>10.736649214659685</v>
      </c>
      <c r="DH19" s="327">
        <f t="shared" si="89"/>
        <v>8.7942408376963339</v>
      </c>
      <c r="DI19" s="328">
        <f t="shared" si="90"/>
        <v>9.5460732984293202</v>
      </c>
      <c r="DJ19" s="326">
        <f t="shared" si="91"/>
        <v>14.068062827225129</v>
      </c>
      <c r="DK19" s="327">
        <f t="shared" si="92"/>
        <v>15.052356020942407</v>
      </c>
      <c r="DL19" s="327">
        <f t="shared" si="93"/>
        <v>13.654450261780104</v>
      </c>
      <c r="DM19" s="328">
        <f t="shared" si="94"/>
        <v>13.562303664921465</v>
      </c>
    </row>
    <row r="20" spans="1:117" x14ac:dyDescent="0.25">
      <c r="A20" s="521"/>
      <c r="B20" s="55">
        <v>13</v>
      </c>
      <c r="C20" s="368">
        <v>60.8</v>
      </c>
      <c r="D20" s="368">
        <v>60.8</v>
      </c>
      <c r="E20" s="368">
        <v>60.8</v>
      </c>
      <c r="F20" s="368">
        <v>60.8</v>
      </c>
      <c r="G20" s="326">
        <f t="shared" si="0"/>
        <v>55.04</v>
      </c>
      <c r="H20" s="327">
        <f t="shared" si="1"/>
        <v>107.76</v>
      </c>
      <c r="I20" s="327">
        <f t="shared" si="2"/>
        <v>74.92</v>
      </c>
      <c r="J20" s="328">
        <f t="shared" si="3"/>
        <v>91.4</v>
      </c>
      <c r="K20" s="326">
        <f t="shared" si="4"/>
        <v>49.260000000000005</v>
      </c>
      <c r="L20" s="327">
        <f t="shared" si="5"/>
        <v>63.97</v>
      </c>
      <c r="M20" s="327">
        <f t="shared" si="6"/>
        <v>56.88</v>
      </c>
      <c r="N20" s="328">
        <f t="shared" si="7"/>
        <v>74.7</v>
      </c>
      <c r="O20" s="326">
        <f t="shared" si="8"/>
        <v>55.06</v>
      </c>
      <c r="P20" s="327">
        <f t="shared" si="9"/>
        <v>61.980000000000004</v>
      </c>
      <c r="Q20" s="327">
        <f t="shared" si="10"/>
        <v>44.790000000000006</v>
      </c>
      <c r="R20" s="334">
        <f t="shared" si="11"/>
        <v>57.589999999999996</v>
      </c>
      <c r="S20" s="326">
        <f t="shared" si="62"/>
        <v>159.36000000000001</v>
      </c>
      <c r="T20" s="327">
        <f t="shared" si="62"/>
        <v>233.71000000000004</v>
      </c>
      <c r="U20" s="327">
        <f t="shared" si="62"/>
        <v>176.59000000000003</v>
      </c>
      <c r="V20" s="328">
        <f t="shared" si="62"/>
        <v>223.69000000000003</v>
      </c>
      <c r="W20" s="326">
        <f t="shared" si="12"/>
        <v>51.75</v>
      </c>
      <c r="X20" s="327">
        <f t="shared" si="13"/>
        <v>47.14</v>
      </c>
      <c r="Y20" s="327">
        <f t="shared" si="14"/>
        <v>68.010000000000005</v>
      </c>
      <c r="Z20" s="328">
        <f t="shared" si="15"/>
        <v>47.86</v>
      </c>
      <c r="AA20" s="326">
        <f t="shared" si="16"/>
        <v>86.15</v>
      </c>
      <c r="AB20" s="327">
        <f t="shared" si="17"/>
        <v>85.9</v>
      </c>
      <c r="AC20" s="327">
        <f t="shared" si="18"/>
        <v>48.01</v>
      </c>
      <c r="AD20" s="328">
        <f t="shared" si="19"/>
        <v>90.56</v>
      </c>
      <c r="AE20" s="326">
        <f t="shared" si="20"/>
        <v>76.180000000000007</v>
      </c>
      <c r="AF20" s="327">
        <f t="shared" si="21"/>
        <v>77.59</v>
      </c>
      <c r="AG20" s="327">
        <f t="shared" si="22"/>
        <v>53.45</v>
      </c>
      <c r="AH20" s="328">
        <f t="shared" si="23"/>
        <v>56.22</v>
      </c>
      <c r="AI20" s="326">
        <f t="shared" si="63"/>
        <v>214.08</v>
      </c>
      <c r="AJ20" s="327">
        <f t="shared" si="63"/>
        <v>210.63000000000002</v>
      </c>
      <c r="AK20" s="327">
        <f t="shared" si="63"/>
        <v>169.47000000000003</v>
      </c>
      <c r="AL20" s="328">
        <f t="shared" si="63"/>
        <v>194.64000000000001</v>
      </c>
      <c r="AM20" s="326">
        <f t="shared" si="24"/>
        <v>84.359999999999985</v>
      </c>
      <c r="AN20" s="327">
        <f t="shared" si="25"/>
        <v>93.78</v>
      </c>
      <c r="AO20" s="327">
        <f t="shared" si="26"/>
        <v>71.09</v>
      </c>
      <c r="AP20" s="328">
        <f t="shared" si="27"/>
        <v>89.53</v>
      </c>
      <c r="AQ20" s="326">
        <f t="shared" si="28"/>
        <v>80.569999999999993</v>
      </c>
      <c r="AR20" s="327">
        <f t="shared" si="29"/>
        <v>85.92</v>
      </c>
      <c r="AS20" s="327">
        <f t="shared" si="30"/>
        <v>96.89</v>
      </c>
      <c r="AT20" s="328">
        <f t="shared" si="31"/>
        <v>66.47</v>
      </c>
      <c r="AU20" s="326">
        <f t="shared" si="32"/>
        <v>96.34</v>
      </c>
      <c r="AV20" s="327">
        <f t="shared" si="33"/>
        <v>109.63999999999999</v>
      </c>
      <c r="AW20" s="327">
        <f t="shared" si="64"/>
        <v>80.66</v>
      </c>
      <c r="AX20" s="328">
        <f t="shared" si="65"/>
        <v>91.89</v>
      </c>
      <c r="AY20" s="326">
        <f t="shared" si="66"/>
        <v>261.27</v>
      </c>
      <c r="AZ20" s="327">
        <f t="shared" si="66"/>
        <v>289.33999999999997</v>
      </c>
      <c r="BA20" s="327">
        <f t="shared" si="66"/>
        <v>248.64000000000001</v>
      </c>
      <c r="BB20" s="328">
        <f t="shared" si="67"/>
        <v>247.89</v>
      </c>
      <c r="BC20" s="326">
        <f t="shared" si="34"/>
        <v>113.44</v>
      </c>
      <c r="BD20" s="327">
        <f t="shared" si="35"/>
        <v>94.43</v>
      </c>
      <c r="BE20" s="327">
        <f t="shared" si="36"/>
        <v>184.71</v>
      </c>
      <c r="BF20" s="328">
        <f t="shared" si="68"/>
        <v>116.15</v>
      </c>
      <c r="BG20" s="326">
        <f t="shared" si="37"/>
        <v>119.28</v>
      </c>
      <c r="BH20" s="327">
        <f t="shared" si="38"/>
        <v>112.62</v>
      </c>
      <c r="BI20" s="327">
        <f t="shared" si="39"/>
        <v>139.12900000000002</v>
      </c>
      <c r="BJ20" s="328">
        <f t="shared" si="40"/>
        <v>143.57999999999998</v>
      </c>
      <c r="BK20" s="326">
        <f t="shared" si="41"/>
        <v>97.38</v>
      </c>
      <c r="BL20" s="327">
        <f t="shared" si="42"/>
        <v>98.88</v>
      </c>
      <c r="BM20" s="327">
        <f t="shared" si="69"/>
        <v>80.319999999999993</v>
      </c>
      <c r="BN20" s="328">
        <f t="shared" si="43"/>
        <v>112.95000000000002</v>
      </c>
      <c r="BO20" s="326">
        <f t="shared" si="70"/>
        <v>330.1</v>
      </c>
      <c r="BP20" s="327">
        <f t="shared" si="70"/>
        <v>305.93</v>
      </c>
      <c r="BQ20" s="327">
        <f t="shared" si="70"/>
        <v>404.15900000000005</v>
      </c>
      <c r="BR20" s="329"/>
      <c r="BS20" s="335"/>
      <c r="BT20" s="326">
        <f t="shared" si="44"/>
        <v>74.350000000000023</v>
      </c>
      <c r="BU20" s="327">
        <f t="shared" si="45"/>
        <v>-57.120000000000005</v>
      </c>
      <c r="BV20" s="328">
        <f t="shared" si="46"/>
        <v>47.099999999999994</v>
      </c>
      <c r="BW20" s="326">
        <f t="shared" si="47"/>
        <v>-3.4499999999999886</v>
      </c>
      <c r="BX20" s="327">
        <f t="shared" si="48"/>
        <v>-41.16</v>
      </c>
      <c r="BY20" s="328">
        <f t="shared" si="49"/>
        <v>25.169999999999987</v>
      </c>
      <c r="BZ20" s="326">
        <f t="shared" si="50"/>
        <v>28.069999999999993</v>
      </c>
      <c r="CA20" s="327">
        <f t="shared" si="71"/>
        <v>-40.69999999999996</v>
      </c>
      <c r="CB20" s="328">
        <f t="shared" si="72"/>
        <v>-0.75000000000002842</v>
      </c>
      <c r="CC20" s="326">
        <f t="shared" si="73"/>
        <v>-24.170000000000016</v>
      </c>
      <c r="CD20" s="327">
        <f t="shared" si="73"/>
        <v>98.229000000000042</v>
      </c>
      <c r="CE20" s="329"/>
      <c r="CF20" s="335"/>
      <c r="CG20" s="326">
        <f t="shared" si="51"/>
        <v>159.36000000000001</v>
      </c>
      <c r="CH20" s="327">
        <f t="shared" si="52"/>
        <v>233.71000000000004</v>
      </c>
      <c r="CI20" s="327">
        <f t="shared" si="53"/>
        <v>176.59000000000003</v>
      </c>
      <c r="CJ20" s="328">
        <f t="shared" si="54"/>
        <v>223.69000000000003</v>
      </c>
      <c r="CK20" s="326">
        <f t="shared" si="55"/>
        <v>373.44</v>
      </c>
      <c r="CL20" s="327">
        <f t="shared" si="56"/>
        <v>444.34000000000003</v>
      </c>
      <c r="CM20" s="327">
        <f t="shared" si="57"/>
        <v>346.06</v>
      </c>
      <c r="CN20" s="328">
        <f t="shared" si="74"/>
        <v>418.33000000000004</v>
      </c>
      <c r="CO20" s="326">
        <f t="shared" si="58"/>
        <v>634.70999999999992</v>
      </c>
      <c r="CP20" s="327">
        <f t="shared" si="59"/>
        <v>733.68</v>
      </c>
      <c r="CQ20" s="327">
        <f t="shared" si="75"/>
        <v>594.69999999999993</v>
      </c>
      <c r="CR20" s="328">
        <f t="shared" si="76"/>
        <v>666.22</v>
      </c>
      <c r="CS20" s="326">
        <f t="shared" si="60"/>
        <v>964.80999999999983</v>
      </c>
      <c r="CT20" s="327">
        <f t="shared" si="61"/>
        <v>1039.6099999999999</v>
      </c>
      <c r="CU20" s="327">
        <f t="shared" si="77"/>
        <v>998.85899999999992</v>
      </c>
      <c r="CV20" s="328">
        <f t="shared" si="78"/>
        <v>1038.9000000000001</v>
      </c>
      <c r="CW20" s="335"/>
      <c r="CX20" s="326">
        <f t="shared" si="79"/>
        <v>2.6210526315789475</v>
      </c>
      <c r="CY20" s="327">
        <f t="shared" si="80"/>
        <v>3.8439144736842112</v>
      </c>
      <c r="CZ20" s="327">
        <f t="shared" si="81"/>
        <v>2.9044407894736848</v>
      </c>
      <c r="DA20" s="328">
        <f t="shared" si="82"/>
        <v>3.6791118421052635</v>
      </c>
      <c r="DB20" s="326">
        <f t="shared" si="83"/>
        <v>6.1421052631578954</v>
      </c>
      <c r="DC20" s="327">
        <f t="shared" si="84"/>
        <v>7.3082236842105273</v>
      </c>
      <c r="DD20" s="327">
        <f t="shared" si="85"/>
        <v>5.6917763157894736</v>
      </c>
      <c r="DE20" s="328">
        <f t="shared" si="86"/>
        <v>6.8804276315789483</v>
      </c>
      <c r="DF20" s="326">
        <f t="shared" si="87"/>
        <v>10.439309210526314</v>
      </c>
      <c r="DG20" s="327">
        <f t="shared" si="88"/>
        <v>12.067105263157895</v>
      </c>
      <c r="DH20" s="327">
        <f t="shared" si="89"/>
        <v>9.78125</v>
      </c>
      <c r="DI20" s="328">
        <f t="shared" si="90"/>
        <v>10.957565789473685</v>
      </c>
      <c r="DJ20" s="326">
        <f t="shared" si="91"/>
        <v>15.868585526315787</v>
      </c>
      <c r="DK20" s="327">
        <f t="shared" si="92"/>
        <v>17.098848684210527</v>
      </c>
      <c r="DL20" s="327">
        <f t="shared" si="93"/>
        <v>16.428601973684209</v>
      </c>
      <c r="DM20" s="328">
        <f t="shared" si="94"/>
        <v>17.087171052631582</v>
      </c>
    </row>
    <row r="21" spans="1:117" x14ac:dyDescent="0.25">
      <c r="A21" s="521"/>
      <c r="B21" s="55">
        <v>14</v>
      </c>
      <c r="C21" s="368">
        <v>41.6</v>
      </c>
      <c r="D21" s="368">
        <v>41.6</v>
      </c>
      <c r="E21" s="368">
        <v>41.6</v>
      </c>
      <c r="F21" s="368">
        <v>41.6</v>
      </c>
      <c r="G21" s="326">
        <f t="shared" si="0"/>
        <v>65.56</v>
      </c>
      <c r="H21" s="327">
        <f t="shared" si="1"/>
        <v>42.41</v>
      </c>
      <c r="I21" s="327">
        <f t="shared" si="2"/>
        <v>52.870000000000005</v>
      </c>
      <c r="J21" s="328">
        <f t="shared" si="3"/>
        <v>46.739999999999995</v>
      </c>
      <c r="K21" s="326">
        <f t="shared" si="4"/>
        <v>34.21</v>
      </c>
      <c r="L21" s="327">
        <f t="shared" si="5"/>
        <v>45.37</v>
      </c>
      <c r="M21" s="327">
        <f t="shared" si="6"/>
        <v>38.82</v>
      </c>
      <c r="N21" s="328">
        <f t="shared" si="7"/>
        <v>39.24</v>
      </c>
      <c r="O21" s="326">
        <f t="shared" si="8"/>
        <v>29.24</v>
      </c>
      <c r="P21" s="327">
        <f t="shared" si="9"/>
        <v>58.05</v>
      </c>
      <c r="Q21" s="327">
        <f t="shared" si="10"/>
        <v>18.579999999999998</v>
      </c>
      <c r="R21" s="334">
        <f t="shared" si="11"/>
        <v>32.08</v>
      </c>
      <c r="S21" s="326">
        <f t="shared" si="62"/>
        <v>129.01000000000002</v>
      </c>
      <c r="T21" s="327">
        <f t="shared" si="62"/>
        <v>145.82999999999998</v>
      </c>
      <c r="U21" s="327">
        <f t="shared" si="62"/>
        <v>110.27</v>
      </c>
      <c r="V21" s="328">
        <f t="shared" si="62"/>
        <v>118.05999999999999</v>
      </c>
      <c r="W21" s="326">
        <f t="shared" si="12"/>
        <v>28.13</v>
      </c>
      <c r="X21" s="327">
        <f t="shared" si="13"/>
        <v>37.229999999999997</v>
      </c>
      <c r="Y21" s="327">
        <f t="shared" si="14"/>
        <v>48.01</v>
      </c>
      <c r="Z21" s="328">
        <f t="shared" si="15"/>
        <v>61.87</v>
      </c>
      <c r="AA21" s="326">
        <f t="shared" si="16"/>
        <v>86.62</v>
      </c>
      <c r="AB21" s="327">
        <f t="shared" si="17"/>
        <v>59.67</v>
      </c>
      <c r="AC21" s="327">
        <f t="shared" si="18"/>
        <v>71.760000000000005</v>
      </c>
      <c r="AD21" s="328">
        <f t="shared" si="19"/>
        <v>55.48</v>
      </c>
      <c r="AE21" s="326">
        <f t="shared" si="20"/>
        <v>44.92</v>
      </c>
      <c r="AF21" s="327">
        <f t="shared" si="21"/>
        <v>55.47</v>
      </c>
      <c r="AG21" s="327">
        <f t="shared" si="22"/>
        <v>41.28</v>
      </c>
      <c r="AH21" s="328">
        <f t="shared" si="23"/>
        <v>76.95</v>
      </c>
      <c r="AI21" s="326">
        <f t="shared" si="63"/>
        <v>159.67000000000002</v>
      </c>
      <c r="AJ21" s="327">
        <f t="shared" si="63"/>
        <v>152.37</v>
      </c>
      <c r="AK21" s="327">
        <f t="shared" si="63"/>
        <v>161.05000000000001</v>
      </c>
      <c r="AL21" s="328">
        <f t="shared" si="63"/>
        <v>194.3</v>
      </c>
      <c r="AM21" s="326">
        <f t="shared" si="24"/>
        <v>62.59</v>
      </c>
      <c r="AN21" s="327">
        <f t="shared" si="25"/>
        <v>51.68</v>
      </c>
      <c r="AO21" s="327">
        <f t="shared" si="26"/>
        <v>53.03</v>
      </c>
      <c r="AP21" s="328">
        <f t="shared" si="27"/>
        <v>62.519999999999996</v>
      </c>
      <c r="AQ21" s="326">
        <f t="shared" si="28"/>
        <v>49.78</v>
      </c>
      <c r="AR21" s="327">
        <f t="shared" si="29"/>
        <v>58.789999999999992</v>
      </c>
      <c r="AS21" s="327">
        <f t="shared" si="30"/>
        <v>105.18</v>
      </c>
      <c r="AT21" s="328">
        <f t="shared" si="31"/>
        <v>58.45</v>
      </c>
      <c r="AU21" s="326">
        <f t="shared" si="32"/>
        <v>59</v>
      </c>
      <c r="AV21" s="327">
        <f t="shared" si="33"/>
        <v>79.78</v>
      </c>
      <c r="AW21" s="327">
        <f t="shared" si="64"/>
        <v>84.46</v>
      </c>
      <c r="AX21" s="328">
        <f t="shared" si="65"/>
        <v>76.05</v>
      </c>
      <c r="AY21" s="326">
        <f t="shared" si="66"/>
        <v>171.37</v>
      </c>
      <c r="AZ21" s="327">
        <f t="shared" si="66"/>
        <v>190.25</v>
      </c>
      <c r="BA21" s="327">
        <f t="shared" si="66"/>
        <v>242.67000000000002</v>
      </c>
      <c r="BB21" s="328">
        <f t="shared" si="67"/>
        <v>197.01999999999998</v>
      </c>
      <c r="BC21" s="326">
        <f t="shared" si="34"/>
        <v>61.58</v>
      </c>
      <c r="BD21" s="327">
        <f t="shared" si="35"/>
        <v>57.91</v>
      </c>
      <c r="BE21" s="327">
        <f t="shared" si="36"/>
        <v>96.19</v>
      </c>
      <c r="BF21" s="328">
        <f t="shared" si="68"/>
        <v>65.400000000000006</v>
      </c>
      <c r="BG21" s="326">
        <f t="shared" si="37"/>
        <v>64.37</v>
      </c>
      <c r="BH21" s="327">
        <f t="shared" si="38"/>
        <v>77.38</v>
      </c>
      <c r="BI21" s="327">
        <f t="shared" si="39"/>
        <v>58.596000000000004</v>
      </c>
      <c r="BJ21" s="328">
        <f t="shared" si="40"/>
        <v>93.41</v>
      </c>
      <c r="BK21" s="326">
        <f t="shared" si="41"/>
        <v>63.52</v>
      </c>
      <c r="BL21" s="327">
        <f t="shared" si="42"/>
        <v>63.4</v>
      </c>
      <c r="BM21" s="327">
        <f t="shared" si="69"/>
        <v>93.91</v>
      </c>
      <c r="BN21" s="328">
        <f t="shared" si="43"/>
        <v>45.839999999999996</v>
      </c>
      <c r="BO21" s="326">
        <f t="shared" si="70"/>
        <v>189.47</v>
      </c>
      <c r="BP21" s="327">
        <f t="shared" si="70"/>
        <v>198.69</v>
      </c>
      <c r="BQ21" s="327">
        <f t="shared" si="70"/>
        <v>248.696</v>
      </c>
      <c r="BR21" s="329"/>
      <c r="BS21" s="335"/>
      <c r="BT21" s="326">
        <f t="shared" si="44"/>
        <v>16.819999999999965</v>
      </c>
      <c r="BU21" s="327">
        <f t="shared" si="45"/>
        <v>-35.559999999999988</v>
      </c>
      <c r="BV21" s="328">
        <f t="shared" si="46"/>
        <v>7.789999999999992</v>
      </c>
      <c r="BW21" s="326">
        <f t="shared" si="47"/>
        <v>-7.3000000000000114</v>
      </c>
      <c r="BX21" s="327">
        <f t="shared" si="48"/>
        <v>8.6800000000000068</v>
      </c>
      <c r="BY21" s="328">
        <f t="shared" si="49"/>
        <v>33.25</v>
      </c>
      <c r="BZ21" s="326">
        <f t="shared" si="50"/>
        <v>18.879999999999995</v>
      </c>
      <c r="CA21" s="327">
        <f t="shared" si="71"/>
        <v>52.420000000000016</v>
      </c>
      <c r="CB21" s="328">
        <f t="shared" si="72"/>
        <v>-45.650000000000034</v>
      </c>
      <c r="CC21" s="326">
        <f t="shared" si="73"/>
        <v>9.2199999999999989</v>
      </c>
      <c r="CD21" s="327">
        <f t="shared" si="73"/>
        <v>50.006</v>
      </c>
      <c r="CE21" s="329"/>
      <c r="CF21" s="335"/>
      <c r="CG21" s="326">
        <f t="shared" si="51"/>
        <v>129.01000000000002</v>
      </c>
      <c r="CH21" s="327">
        <f t="shared" si="52"/>
        <v>145.82999999999998</v>
      </c>
      <c r="CI21" s="327">
        <f t="shared" si="53"/>
        <v>110.27</v>
      </c>
      <c r="CJ21" s="328">
        <f t="shared" si="54"/>
        <v>118.05999999999999</v>
      </c>
      <c r="CK21" s="326">
        <f t="shared" si="55"/>
        <v>288.68</v>
      </c>
      <c r="CL21" s="327">
        <f t="shared" si="56"/>
        <v>298.19999999999993</v>
      </c>
      <c r="CM21" s="327">
        <f t="shared" si="57"/>
        <v>271.32000000000005</v>
      </c>
      <c r="CN21" s="328">
        <f t="shared" si="74"/>
        <v>312.35999999999996</v>
      </c>
      <c r="CO21" s="326">
        <f t="shared" si="58"/>
        <v>460.04999999999995</v>
      </c>
      <c r="CP21" s="327">
        <f t="shared" si="59"/>
        <v>488.44999999999993</v>
      </c>
      <c r="CQ21" s="327">
        <f t="shared" si="75"/>
        <v>513.99</v>
      </c>
      <c r="CR21" s="328">
        <f t="shared" si="76"/>
        <v>509.37999999999994</v>
      </c>
      <c r="CS21" s="326">
        <f t="shared" si="60"/>
        <v>649.52</v>
      </c>
      <c r="CT21" s="327">
        <f t="shared" si="61"/>
        <v>687.13999999999987</v>
      </c>
      <c r="CU21" s="327">
        <f t="shared" si="77"/>
        <v>762.68600000000004</v>
      </c>
      <c r="CV21" s="328">
        <f t="shared" si="78"/>
        <v>714.03</v>
      </c>
      <c r="CW21" s="335"/>
      <c r="CX21" s="326">
        <f t="shared" si="79"/>
        <v>3.1012019230769234</v>
      </c>
      <c r="CY21" s="327">
        <f t="shared" si="80"/>
        <v>3.5055288461538456</v>
      </c>
      <c r="CZ21" s="327">
        <f t="shared" si="81"/>
        <v>2.6507211538461535</v>
      </c>
      <c r="DA21" s="328">
        <f t="shared" si="82"/>
        <v>2.8379807692307688</v>
      </c>
      <c r="DB21" s="326">
        <f t="shared" si="83"/>
        <v>6.9394230769230765</v>
      </c>
      <c r="DC21" s="327">
        <f t="shared" si="84"/>
        <v>7.1682692307692291</v>
      </c>
      <c r="DD21" s="327">
        <f t="shared" si="85"/>
        <v>6.5221153846153852</v>
      </c>
      <c r="DE21" s="328">
        <f t="shared" si="86"/>
        <v>7.5086538461538446</v>
      </c>
      <c r="DF21" s="326">
        <f t="shared" si="87"/>
        <v>11.05889423076923</v>
      </c>
      <c r="DG21" s="327">
        <f t="shared" si="88"/>
        <v>11.741586538461537</v>
      </c>
      <c r="DH21" s="327">
        <f t="shared" si="89"/>
        <v>12.355528846153845</v>
      </c>
      <c r="DI21" s="328">
        <f t="shared" si="90"/>
        <v>12.244711538461537</v>
      </c>
      <c r="DJ21" s="326">
        <f t="shared" si="91"/>
        <v>15.613461538461538</v>
      </c>
      <c r="DK21" s="327">
        <f t="shared" si="92"/>
        <v>16.517788461538458</v>
      </c>
      <c r="DL21" s="327">
        <f t="shared" si="93"/>
        <v>18.333798076923078</v>
      </c>
      <c r="DM21" s="328">
        <f t="shared" si="94"/>
        <v>17.164182692307691</v>
      </c>
    </row>
    <row r="22" spans="1:117" x14ac:dyDescent="0.25">
      <c r="A22" s="521"/>
      <c r="B22" s="55">
        <v>15</v>
      </c>
      <c r="C22" s="368">
        <v>49.3</v>
      </c>
      <c r="D22" s="368">
        <v>49.3</v>
      </c>
      <c r="E22" s="368">
        <v>49.3</v>
      </c>
      <c r="F22" s="368">
        <v>49.3</v>
      </c>
      <c r="G22" s="326">
        <f t="shared" si="0"/>
        <v>25.64</v>
      </c>
      <c r="H22" s="327">
        <f t="shared" si="1"/>
        <v>69.069999999999993</v>
      </c>
      <c r="I22" s="327">
        <f t="shared" si="2"/>
        <v>37.380000000000003</v>
      </c>
      <c r="J22" s="328">
        <f t="shared" si="3"/>
        <v>58.17</v>
      </c>
      <c r="K22" s="326">
        <f t="shared" si="4"/>
        <v>19.36</v>
      </c>
      <c r="L22" s="327">
        <f t="shared" si="5"/>
        <v>56.76</v>
      </c>
      <c r="M22" s="327">
        <f t="shared" si="6"/>
        <v>16.95</v>
      </c>
      <c r="N22" s="328">
        <f t="shared" si="7"/>
        <v>59.539999999999992</v>
      </c>
      <c r="O22" s="326">
        <f t="shared" si="8"/>
        <v>36.07</v>
      </c>
      <c r="P22" s="327">
        <f t="shared" si="9"/>
        <v>60.91</v>
      </c>
      <c r="Q22" s="327">
        <f t="shared" si="10"/>
        <v>13.440000000000001</v>
      </c>
      <c r="R22" s="334">
        <f t="shared" si="11"/>
        <v>48.32</v>
      </c>
      <c r="S22" s="326">
        <f t="shared" si="62"/>
        <v>81.069999999999993</v>
      </c>
      <c r="T22" s="327">
        <f t="shared" si="62"/>
        <v>186.73999999999998</v>
      </c>
      <c r="U22" s="327">
        <f t="shared" si="62"/>
        <v>67.77</v>
      </c>
      <c r="V22" s="328">
        <f t="shared" si="62"/>
        <v>166.03</v>
      </c>
      <c r="W22" s="326">
        <f t="shared" si="12"/>
        <v>37</v>
      </c>
      <c r="X22" s="327">
        <f t="shared" si="13"/>
        <v>45.019999999999996</v>
      </c>
      <c r="Y22" s="327">
        <f t="shared" si="14"/>
        <v>14.53</v>
      </c>
      <c r="Z22" s="328">
        <f t="shared" si="15"/>
        <v>46.6</v>
      </c>
      <c r="AA22" s="326">
        <f t="shared" si="16"/>
        <v>48.989999999999995</v>
      </c>
      <c r="AB22" s="327">
        <f t="shared" si="17"/>
        <v>52.25</v>
      </c>
      <c r="AC22" s="327">
        <f t="shared" si="18"/>
        <v>32.5</v>
      </c>
      <c r="AD22" s="328">
        <f t="shared" si="19"/>
        <v>59.36</v>
      </c>
      <c r="AE22" s="326">
        <f t="shared" si="20"/>
        <v>81.740000000000009</v>
      </c>
      <c r="AF22" s="327">
        <f t="shared" si="21"/>
        <v>59.48</v>
      </c>
      <c r="AG22" s="327">
        <f t="shared" si="22"/>
        <v>49.5</v>
      </c>
      <c r="AH22" s="328">
        <f t="shared" si="23"/>
        <v>54.86</v>
      </c>
      <c r="AI22" s="326">
        <f t="shared" si="63"/>
        <v>167.73000000000002</v>
      </c>
      <c r="AJ22" s="327">
        <f t="shared" si="63"/>
        <v>156.75</v>
      </c>
      <c r="AK22" s="327">
        <f t="shared" si="63"/>
        <v>96.53</v>
      </c>
      <c r="AL22" s="328">
        <f t="shared" si="63"/>
        <v>160.82</v>
      </c>
      <c r="AM22" s="326">
        <f t="shared" si="24"/>
        <v>60.22</v>
      </c>
      <c r="AN22" s="327">
        <f t="shared" si="25"/>
        <v>69.97999999999999</v>
      </c>
      <c r="AO22" s="327">
        <f t="shared" si="26"/>
        <v>34.08</v>
      </c>
      <c r="AP22" s="328">
        <f t="shared" si="27"/>
        <v>51.02</v>
      </c>
      <c r="AQ22" s="326">
        <f t="shared" si="28"/>
        <v>72.84</v>
      </c>
      <c r="AR22" s="327">
        <f t="shared" si="29"/>
        <v>65.38</v>
      </c>
      <c r="AS22" s="327">
        <f t="shared" si="30"/>
        <v>96.44</v>
      </c>
      <c r="AT22" s="328">
        <f t="shared" si="31"/>
        <v>51.72</v>
      </c>
      <c r="AU22" s="326">
        <f t="shared" si="32"/>
        <v>50.53</v>
      </c>
      <c r="AV22" s="327">
        <f t="shared" si="33"/>
        <v>69.63</v>
      </c>
      <c r="AW22" s="327">
        <f t="shared" si="64"/>
        <v>79.52</v>
      </c>
      <c r="AX22" s="328">
        <f t="shared" si="65"/>
        <v>56.42</v>
      </c>
      <c r="AY22" s="326">
        <f t="shared" si="66"/>
        <v>183.59</v>
      </c>
      <c r="AZ22" s="327">
        <f t="shared" si="66"/>
        <v>204.98999999999998</v>
      </c>
      <c r="BA22" s="327">
        <f t="shared" si="66"/>
        <v>210.03999999999996</v>
      </c>
      <c r="BB22" s="328">
        <f t="shared" si="67"/>
        <v>159.16000000000003</v>
      </c>
      <c r="BC22" s="326">
        <f t="shared" si="34"/>
        <v>110.6</v>
      </c>
      <c r="BD22" s="327">
        <f t="shared" si="35"/>
        <v>75.489999999999995</v>
      </c>
      <c r="BE22" s="327">
        <f t="shared" si="36"/>
        <v>107.01999999999998</v>
      </c>
      <c r="BF22" s="328">
        <f t="shared" si="68"/>
        <v>117.03999999999999</v>
      </c>
      <c r="BG22" s="326">
        <f t="shared" si="37"/>
        <v>61.53</v>
      </c>
      <c r="BH22" s="327">
        <f t="shared" si="38"/>
        <v>71.150000000000006</v>
      </c>
      <c r="BI22" s="327">
        <f t="shared" si="39"/>
        <v>77.91</v>
      </c>
      <c r="BJ22" s="328">
        <f t="shared" si="40"/>
        <v>49.78</v>
      </c>
      <c r="BK22" s="326">
        <f t="shared" si="41"/>
        <v>82.2</v>
      </c>
      <c r="BL22" s="327">
        <f t="shared" si="42"/>
        <v>58.239999999999995</v>
      </c>
      <c r="BM22" s="327">
        <f t="shared" si="69"/>
        <v>60.49</v>
      </c>
      <c r="BN22" s="328">
        <f t="shared" si="43"/>
        <v>124.06</v>
      </c>
      <c r="BO22" s="326">
        <f t="shared" si="70"/>
        <v>254.32999999999998</v>
      </c>
      <c r="BP22" s="327">
        <f t="shared" si="70"/>
        <v>204.88</v>
      </c>
      <c r="BQ22" s="327">
        <f t="shared" si="70"/>
        <v>245.42</v>
      </c>
      <c r="BR22" s="329"/>
      <c r="BS22" s="335"/>
      <c r="BT22" s="326">
        <f t="shared" si="44"/>
        <v>105.66999999999999</v>
      </c>
      <c r="BU22" s="327">
        <f t="shared" si="45"/>
        <v>-118.96999999999998</v>
      </c>
      <c r="BV22" s="328">
        <f t="shared" si="46"/>
        <v>98.26</v>
      </c>
      <c r="BW22" s="326">
        <f t="shared" si="47"/>
        <v>-10.980000000000018</v>
      </c>
      <c r="BX22" s="327">
        <f t="shared" si="48"/>
        <v>-60.22</v>
      </c>
      <c r="BY22" s="328">
        <f t="shared" si="49"/>
        <v>64.289999999999992</v>
      </c>
      <c r="BZ22" s="326">
        <f t="shared" si="50"/>
        <v>21.399999999999977</v>
      </c>
      <c r="CA22" s="327">
        <f t="shared" si="71"/>
        <v>5.0499999999999829</v>
      </c>
      <c r="CB22" s="328">
        <f t="shared" si="72"/>
        <v>-50.879999999999939</v>
      </c>
      <c r="CC22" s="326">
        <f t="shared" si="73"/>
        <v>-49.449999999999989</v>
      </c>
      <c r="CD22" s="327">
        <f t="shared" si="73"/>
        <v>40.539999999999992</v>
      </c>
      <c r="CE22" s="329"/>
      <c r="CF22" s="335"/>
      <c r="CG22" s="326">
        <f t="shared" si="51"/>
        <v>81.069999999999993</v>
      </c>
      <c r="CH22" s="327">
        <f t="shared" si="52"/>
        <v>186.73999999999998</v>
      </c>
      <c r="CI22" s="327">
        <f t="shared" si="53"/>
        <v>67.77</v>
      </c>
      <c r="CJ22" s="328">
        <f t="shared" si="54"/>
        <v>166.03</v>
      </c>
      <c r="CK22" s="326">
        <f t="shared" si="55"/>
        <v>248.8</v>
      </c>
      <c r="CL22" s="327">
        <f t="shared" si="56"/>
        <v>343.49</v>
      </c>
      <c r="CM22" s="327">
        <f t="shared" si="57"/>
        <v>164.3</v>
      </c>
      <c r="CN22" s="328">
        <f t="shared" si="74"/>
        <v>326.85000000000002</v>
      </c>
      <c r="CO22" s="326">
        <f t="shared" si="58"/>
        <v>432.39</v>
      </c>
      <c r="CP22" s="327">
        <f t="shared" si="59"/>
        <v>548.48</v>
      </c>
      <c r="CQ22" s="327">
        <f t="shared" si="75"/>
        <v>374.34</v>
      </c>
      <c r="CR22" s="328">
        <f t="shared" si="76"/>
        <v>486.01000000000005</v>
      </c>
      <c r="CS22" s="326">
        <f t="shared" si="60"/>
        <v>686.72</v>
      </c>
      <c r="CT22" s="327">
        <f t="shared" si="61"/>
        <v>753.36</v>
      </c>
      <c r="CU22" s="327">
        <f t="shared" si="77"/>
        <v>619.76</v>
      </c>
      <c r="CV22" s="328">
        <f t="shared" si="78"/>
        <v>776.8900000000001</v>
      </c>
      <c r="CW22" s="335"/>
      <c r="CX22" s="326">
        <f t="shared" si="79"/>
        <v>1.644421906693712</v>
      </c>
      <c r="CY22" s="327">
        <f t="shared" si="80"/>
        <v>3.7878296146044623</v>
      </c>
      <c r="CZ22" s="327">
        <f t="shared" si="81"/>
        <v>1.3746450304259634</v>
      </c>
      <c r="DA22" s="328">
        <f t="shared" si="82"/>
        <v>3.3677484787018259</v>
      </c>
      <c r="DB22" s="326">
        <f t="shared" si="83"/>
        <v>5.0466531440162274</v>
      </c>
      <c r="DC22" s="327">
        <f t="shared" si="84"/>
        <v>6.9673427991886419</v>
      </c>
      <c r="DD22" s="327">
        <f t="shared" si="85"/>
        <v>3.3326572008113593</v>
      </c>
      <c r="DE22" s="328">
        <f t="shared" si="86"/>
        <v>6.6298174442190678</v>
      </c>
      <c r="DF22" s="326">
        <f t="shared" si="87"/>
        <v>8.7705882352941185</v>
      </c>
      <c r="DG22" s="327">
        <f t="shared" si="88"/>
        <v>11.125354969574037</v>
      </c>
      <c r="DH22" s="327">
        <f t="shared" si="89"/>
        <v>7.5931034482758619</v>
      </c>
      <c r="DI22" s="328">
        <f t="shared" si="90"/>
        <v>9.8582150101419899</v>
      </c>
      <c r="DJ22" s="326">
        <f t="shared" si="91"/>
        <v>13.929411764705884</v>
      </c>
      <c r="DK22" s="327">
        <f t="shared" si="92"/>
        <v>15.281135902636917</v>
      </c>
      <c r="DL22" s="327">
        <f t="shared" si="93"/>
        <v>12.571196754563895</v>
      </c>
      <c r="DM22" s="328">
        <f t="shared" si="94"/>
        <v>15.758417849898583</v>
      </c>
    </row>
    <row r="23" spans="1:117" x14ac:dyDescent="0.25">
      <c r="A23" s="521"/>
      <c r="B23" s="55">
        <v>16</v>
      </c>
      <c r="C23" s="368">
        <v>53.2</v>
      </c>
      <c r="D23" s="368">
        <v>53.2</v>
      </c>
      <c r="E23" s="368">
        <v>53.2</v>
      </c>
      <c r="F23" s="368">
        <v>53.2</v>
      </c>
      <c r="G23" s="326">
        <f t="shared" si="0"/>
        <v>46.480000000000004</v>
      </c>
      <c r="H23" s="327">
        <f t="shared" si="1"/>
        <v>65.75</v>
      </c>
      <c r="I23" s="327">
        <f t="shared" si="2"/>
        <v>48.33</v>
      </c>
      <c r="J23" s="328">
        <f t="shared" si="3"/>
        <v>42.08</v>
      </c>
      <c r="K23" s="326">
        <f t="shared" si="4"/>
        <v>47.370000000000005</v>
      </c>
      <c r="L23" s="327">
        <f t="shared" si="5"/>
        <v>82.25</v>
      </c>
      <c r="M23" s="327">
        <f t="shared" si="6"/>
        <v>34.19</v>
      </c>
      <c r="N23" s="328">
        <f t="shared" si="7"/>
        <v>65.67</v>
      </c>
      <c r="O23" s="326">
        <f t="shared" si="8"/>
        <v>44.989999999999995</v>
      </c>
      <c r="P23" s="327">
        <f t="shared" si="9"/>
        <v>75.31</v>
      </c>
      <c r="Q23" s="327">
        <f t="shared" si="10"/>
        <v>23.630000000000003</v>
      </c>
      <c r="R23" s="334">
        <f t="shared" si="11"/>
        <v>62.629999999999995</v>
      </c>
      <c r="S23" s="326">
        <f t="shared" si="62"/>
        <v>138.84</v>
      </c>
      <c r="T23" s="327">
        <f t="shared" si="62"/>
        <v>223.31</v>
      </c>
      <c r="U23" s="327">
        <f t="shared" si="62"/>
        <v>106.15</v>
      </c>
      <c r="V23" s="328">
        <f t="shared" si="62"/>
        <v>170.38</v>
      </c>
      <c r="W23" s="326">
        <f t="shared" si="12"/>
        <v>51.67</v>
      </c>
      <c r="X23" s="327">
        <f t="shared" si="13"/>
        <v>49.5</v>
      </c>
      <c r="Y23" s="327">
        <f t="shared" si="14"/>
        <v>55.41</v>
      </c>
      <c r="Z23" s="328">
        <f t="shared" si="15"/>
        <v>59.59</v>
      </c>
      <c r="AA23" s="326">
        <f t="shared" si="16"/>
        <v>71.490000000000009</v>
      </c>
      <c r="AB23" s="327">
        <f t="shared" si="17"/>
        <v>67.050000000000011</v>
      </c>
      <c r="AC23" s="327">
        <f t="shared" si="18"/>
        <v>40.53</v>
      </c>
      <c r="AD23" s="328">
        <f t="shared" si="19"/>
        <v>73.150000000000006</v>
      </c>
      <c r="AE23" s="326">
        <f t="shared" si="20"/>
        <v>112.24000000000001</v>
      </c>
      <c r="AF23" s="327">
        <f t="shared" si="21"/>
        <v>64.47</v>
      </c>
      <c r="AG23" s="327">
        <f t="shared" si="22"/>
        <v>68.680000000000007</v>
      </c>
      <c r="AH23" s="328">
        <f t="shared" si="23"/>
        <v>69.87</v>
      </c>
      <c r="AI23" s="326">
        <f t="shared" si="63"/>
        <v>235.40000000000003</v>
      </c>
      <c r="AJ23" s="327">
        <f t="shared" si="63"/>
        <v>181.02</v>
      </c>
      <c r="AK23" s="327">
        <f t="shared" si="63"/>
        <v>164.62</v>
      </c>
      <c r="AL23" s="328">
        <f t="shared" si="63"/>
        <v>202.61</v>
      </c>
      <c r="AM23" s="326">
        <f t="shared" si="24"/>
        <v>91.59</v>
      </c>
      <c r="AN23" s="327">
        <f t="shared" si="25"/>
        <v>103.61</v>
      </c>
      <c r="AO23" s="327">
        <f t="shared" si="26"/>
        <v>68.210000000000008</v>
      </c>
      <c r="AP23" s="328">
        <f t="shared" si="27"/>
        <v>76.2</v>
      </c>
      <c r="AQ23" s="326">
        <f t="shared" si="28"/>
        <v>105.17</v>
      </c>
      <c r="AR23" s="327">
        <f t="shared" si="29"/>
        <v>93.17</v>
      </c>
      <c r="AS23" s="327">
        <f t="shared" si="30"/>
        <v>115.72</v>
      </c>
      <c r="AT23" s="328">
        <f t="shared" si="31"/>
        <v>78.81</v>
      </c>
      <c r="AU23" s="326">
        <f t="shared" si="32"/>
        <v>103.51</v>
      </c>
      <c r="AV23" s="327">
        <f t="shared" si="33"/>
        <v>91.37</v>
      </c>
      <c r="AW23" s="327">
        <f t="shared" si="64"/>
        <v>88.25</v>
      </c>
      <c r="AX23" s="328">
        <f t="shared" si="65"/>
        <v>81.41</v>
      </c>
      <c r="AY23" s="326">
        <f t="shared" si="66"/>
        <v>300.27</v>
      </c>
      <c r="AZ23" s="327">
        <f t="shared" si="66"/>
        <v>288.14999999999998</v>
      </c>
      <c r="BA23" s="327">
        <f t="shared" si="66"/>
        <v>272.18</v>
      </c>
      <c r="BB23" s="328">
        <f t="shared" si="67"/>
        <v>236.42</v>
      </c>
      <c r="BC23" s="326">
        <f t="shared" si="34"/>
        <v>118.93</v>
      </c>
      <c r="BD23" s="327">
        <f t="shared" si="35"/>
        <v>84.15</v>
      </c>
      <c r="BE23" s="327">
        <f t="shared" si="36"/>
        <v>115.61</v>
      </c>
      <c r="BF23" s="328">
        <f t="shared" si="68"/>
        <v>100.71000000000001</v>
      </c>
      <c r="BG23" s="326">
        <f t="shared" si="37"/>
        <v>81.400000000000006</v>
      </c>
      <c r="BH23" s="327">
        <f t="shared" si="38"/>
        <v>83.330000000000013</v>
      </c>
      <c r="BI23" s="327">
        <f t="shared" si="39"/>
        <v>91.01</v>
      </c>
      <c r="BJ23" s="328">
        <f t="shared" si="40"/>
        <v>78.900000000000006</v>
      </c>
      <c r="BK23" s="326">
        <f t="shared" si="41"/>
        <v>96.32</v>
      </c>
      <c r="BL23" s="327">
        <f t="shared" si="42"/>
        <v>65.490000000000009</v>
      </c>
      <c r="BM23" s="327">
        <f t="shared" si="69"/>
        <v>87.66</v>
      </c>
      <c r="BN23" s="328">
        <f t="shared" si="43"/>
        <v>111.66</v>
      </c>
      <c r="BO23" s="326">
        <f t="shared" si="70"/>
        <v>296.64999999999998</v>
      </c>
      <c r="BP23" s="327">
        <f t="shared" si="70"/>
        <v>232.97000000000003</v>
      </c>
      <c r="BQ23" s="327">
        <f t="shared" si="70"/>
        <v>294.27999999999997</v>
      </c>
      <c r="BR23" s="329"/>
      <c r="BS23" s="335"/>
      <c r="BT23" s="326">
        <f t="shared" si="44"/>
        <v>84.47</v>
      </c>
      <c r="BU23" s="327">
        <f t="shared" si="45"/>
        <v>-117.16</v>
      </c>
      <c r="BV23" s="328">
        <f t="shared" si="46"/>
        <v>64.22999999999999</v>
      </c>
      <c r="BW23" s="326">
        <f t="shared" si="47"/>
        <v>-54.380000000000024</v>
      </c>
      <c r="BX23" s="327">
        <f t="shared" si="48"/>
        <v>-16.400000000000006</v>
      </c>
      <c r="BY23" s="328">
        <f t="shared" si="49"/>
        <v>37.990000000000009</v>
      </c>
      <c r="BZ23" s="326">
        <f t="shared" si="50"/>
        <v>-12.120000000000005</v>
      </c>
      <c r="CA23" s="327">
        <f t="shared" si="71"/>
        <v>-15.96999999999997</v>
      </c>
      <c r="CB23" s="328">
        <f t="shared" si="72"/>
        <v>-35.760000000000019</v>
      </c>
      <c r="CC23" s="326">
        <f t="shared" si="73"/>
        <v>-63.67999999999995</v>
      </c>
      <c r="CD23" s="327">
        <f t="shared" si="73"/>
        <v>61.309999999999945</v>
      </c>
      <c r="CE23" s="329"/>
      <c r="CF23" s="335"/>
      <c r="CG23" s="326">
        <f t="shared" si="51"/>
        <v>138.84</v>
      </c>
      <c r="CH23" s="327">
        <f t="shared" si="52"/>
        <v>223.31</v>
      </c>
      <c r="CI23" s="327">
        <f t="shared" si="53"/>
        <v>106.15</v>
      </c>
      <c r="CJ23" s="328">
        <f t="shared" si="54"/>
        <v>170.38</v>
      </c>
      <c r="CK23" s="326">
        <f t="shared" si="55"/>
        <v>374.24</v>
      </c>
      <c r="CL23" s="327">
        <f t="shared" si="56"/>
        <v>404.33000000000004</v>
      </c>
      <c r="CM23" s="327">
        <f t="shared" si="57"/>
        <v>270.77</v>
      </c>
      <c r="CN23" s="328">
        <f t="shared" si="74"/>
        <v>372.99</v>
      </c>
      <c r="CO23" s="326">
        <f t="shared" si="58"/>
        <v>674.51</v>
      </c>
      <c r="CP23" s="327">
        <f t="shared" si="59"/>
        <v>692.48</v>
      </c>
      <c r="CQ23" s="327">
        <f t="shared" si="75"/>
        <v>542.95000000000005</v>
      </c>
      <c r="CR23" s="328">
        <f t="shared" si="76"/>
        <v>609.41</v>
      </c>
      <c r="CS23" s="326">
        <f t="shared" si="60"/>
        <v>971.16000000000008</v>
      </c>
      <c r="CT23" s="327">
        <f t="shared" si="61"/>
        <v>925.45</v>
      </c>
      <c r="CU23" s="327">
        <f t="shared" si="77"/>
        <v>837.23</v>
      </c>
      <c r="CV23" s="328">
        <f t="shared" si="78"/>
        <v>900.68</v>
      </c>
      <c r="CW23" s="335"/>
      <c r="CX23" s="326">
        <f t="shared" si="79"/>
        <v>2.6097744360902255</v>
      </c>
      <c r="CY23" s="327">
        <f t="shared" si="80"/>
        <v>4.1975563909774438</v>
      </c>
      <c r="CZ23" s="327">
        <f t="shared" si="81"/>
        <v>1.9953007518796992</v>
      </c>
      <c r="DA23" s="328">
        <f t="shared" si="82"/>
        <v>3.2026315789473681</v>
      </c>
      <c r="DB23" s="326">
        <f t="shared" si="83"/>
        <v>7.0345864661654129</v>
      </c>
      <c r="DC23" s="327">
        <f t="shared" si="84"/>
        <v>7.6001879699248125</v>
      </c>
      <c r="DD23" s="327">
        <f t="shared" si="85"/>
        <v>5.0896616541353374</v>
      </c>
      <c r="DE23" s="328">
        <f t="shared" si="86"/>
        <v>7.0110902255639092</v>
      </c>
      <c r="DF23" s="326">
        <f t="shared" si="87"/>
        <v>12.67875939849624</v>
      </c>
      <c r="DG23" s="327">
        <f t="shared" si="88"/>
        <v>13.016541353383458</v>
      </c>
      <c r="DH23" s="327">
        <f t="shared" si="89"/>
        <v>10.205827067669173</v>
      </c>
      <c r="DI23" s="328">
        <f t="shared" si="90"/>
        <v>11.455075187969923</v>
      </c>
      <c r="DJ23" s="326">
        <f t="shared" si="91"/>
        <v>18.254887218045113</v>
      </c>
      <c r="DK23" s="327">
        <f t="shared" si="92"/>
        <v>17.395676691729324</v>
      </c>
      <c r="DL23" s="327">
        <f t="shared" si="93"/>
        <v>15.737406015037594</v>
      </c>
      <c r="DM23" s="328">
        <f t="shared" si="94"/>
        <v>16.930075187969923</v>
      </c>
    </row>
    <row r="24" spans="1:117" x14ac:dyDescent="0.25">
      <c r="A24" s="521"/>
      <c r="B24" s="55">
        <v>17</v>
      </c>
      <c r="C24" s="368">
        <v>45.7</v>
      </c>
      <c r="D24" s="368">
        <v>45.7</v>
      </c>
      <c r="E24" s="368">
        <v>45.7</v>
      </c>
      <c r="F24" s="368">
        <v>45.7</v>
      </c>
      <c r="G24" s="326">
        <f t="shared" si="0"/>
        <v>36.549999999999997</v>
      </c>
      <c r="H24" s="327">
        <f t="shared" si="1"/>
        <v>48.370000000000005</v>
      </c>
      <c r="I24" s="327">
        <f t="shared" si="2"/>
        <v>45.769999999999996</v>
      </c>
      <c r="J24" s="328">
        <f t="shared" si="3"/>
        <v>35.18</v>
      </c>
      <c r="K24" s="326">
        <f t="shared" si="4"/>
        <v>44.16</v>
      </c>
      <c r="L24" s="327">
        <f t="shared" si="5"/>
        <v>32.46</v>
      </c>
      <c r="M24" s="327">
        <f t="shared" si="6"/>
        <v>26.55</v>
      </c>
      <c r="N24" s="328">
        <f t="shared" si="7"/>
        <v>78.650000000000006</v>
      </c>
      <c r="O24" s="326">
        <f t="shared" si="8"/>
        <v>40.82</v>
      </c>
      <c r="P24" s="327">
        <f t="shared" si="9"/>
        <v>56.51</v>
      </c>
      <c r="Q24" s="327">
        <f t="shared" si="10"/>
        <v>21.46</v>
      </c>
      <c r="R24" s="334">
        <f t="shared" si="11"/>
        <v>56.2</v>
      </c>
      <c r="S24" s="326">
        <f t="shared" si="62"/>
        <v>121.53</v>
      </c>
      <c r="T24" s="327">
        <f t="shared" si="62"/>
        <v>137.34</v>
      </c>
      <c r="U24" s="327">
        <f t="shared" si="62"/>
        <v>93.78</v>
      </c>
      <c r="V24" s="328">
        <f t="shared" si="62"/>
        <v>170.03000000000003</v>
      </c>
      <c r="W24" s="326">
        <f t="shared" si="12"/>
        <v>51.540000000000006</v>
      </c>
      <c r="X24" s="327">
        <f t="shared" si="13"/>
        <v>46.55</v>
      </c>
      <c r="Y24" s="327">
        <f t="shared" si="14"/>
        <v>57.06</v>
      </c>
      <c r="Z24" s="328">
        <f t="shared" si="15"/>
        <v>48.38</v>
      </c>
      <c r="AA24" s="326">
        <f t="shared" si="16"/>
        <v>74.449999999999989</v>
      </c>
      <c r="AB24" s="327">
        <f t="shared" si="17"/>
        <v>63.730000000000004</v>
      </c>
      <c r="AC24" s="327">
        <f t="shared" si="18"/>
        <v>57.019999999999996</v>
      </c>
      <c r="AD24" s="328">
        <f t="shared" si="19"/>
        <v>62.33</v>
      </c>
      <c r="AE24" s="326">
        <f t="shared" si="20"/>
        <v>102.15</v>
      </c>
      <c r="AF24" s="327">
        <f t="shared" si="21"/>
        <v>63.400000000000006</v>
      </c>
      <c r="AG24" s="327">
        <f t="shared" si="22"/>
        <v>59.54</v>
      </c>
      <c r="AH24" s="328">
        <f t="shared" si="23"/>
        <v>71.84</v>
      </c>
      <c r="AI24" s="326">
        <f t="shared" si="63"/>
        <v>228.14</v>
      </c>
      <c r="AJ24" s="327">
        <f t="shared" si="63"/>
        <v>173.68</v>
      </c>
      <c r="AK24" s="327">
        <f t="shared" si="63"/>
        <v>173.62</v>
      </c>
      <c r="AL24" s="328">
        <f t="shared" si="63"/>
        <v>182.55</v>
      </c>
      <c r="AM24" s="326">
        <f t="shared" si="24"/>
        <v>79.64</v>
      </c>
      <c r="AN24" s="327">
        <f t="shared" si="25"/>
        <v>66.400000000000006</v>
      </c>
      <c r="AO24" s="327">
        <f t="shared" si="26"/>
        <v>62.67</v>
      </c>
      <c r="AP24" s="328">
        <f t="shared" si="27"/>
        <v>75.58</v>
      </c>
      <c r="AQ24" s="326">
        <f t="shared" si="28"/>
        <v>130.93</v>
      </c>
      <c r="AR24" s="327">
        <f t="shared" si="29"/>
        <v>80.08</v>
      </c>
      <c r="AS24" s="327">
        <f t="shared" si="30"/>
        <v>114.07000000000001</v>
      </c>
      <c r="AT24" s="328">
        <f t="shared" si="31"/>
        <v>67.88</v>
      </c>
      <c r="AU24" s="326">
        <f t="shared" si="32"/>
        <v>78.13</v>
      </c>
      <c r="AV24" s="327">
        <f t="shared" si="33"/>
        <v>79.959999999999994</v>
      </c>
      <c r="AW24" s="327">
        <f t="shared" si="64"/>
        <v>78.14</v>
      </c>
      <c r="AX24" s="328">
        <f t="shared" si="65"/>
        <v>64.81</v>
      </c>
      <c r="AY24" s="326">
        <f t="shared" si="66"/>
        <v>288.7</v>
      </c>
      <c r="AZ24" s="327">
        <f t="shared" si="66"/>
        <v>226.44</v>
      </c>
      <c r="BA24" s="327">
        <f t="shared" si="66"/>
        <v>254.88</v>
      </c>
      <c r="BB24" s="328">
        <f t="shared" si="67"/>
        <v>208.26999999999998</v>
      </c>
      <c r="BC24" s="326">
        <f t="shared" si="34"/>
        <v>89.15</v>
      </c>
      <c r="BD24" s="327">
        <f t="shared" si="35"/>
        <v>77.740000000000009</v>
      </c>
      <c r="BE24" s="327">
        <f t="shared" si="36"/>
        <v>120.67</v>
      </c>
      <c r="BF24" s="328">
        <f t="shared" si="68"/>
        <v>89.89</v>
      </c>
      <c r="BG24" s="326">
        <f t="shared" si="37"/>
        <v>60.17</v>
      </c>
      <c r="BH24" s="327">
        <f t="shared" si="38"/>
        <v>69.039999999999992</v>
      </c>
      <c r="BI24" s="327">
        <f t="shared" si="39"/>
        <v>74.709999999999994</v>
      </c>
      <c r="BJ24" s="328">
        <f t="shared" si="40"/>
        <v>103.34</v>
      </c>
      <c r="BK24" s="326">
        <f t="shared" si="41"/>
        <v>83.35</v>
      </c>
      <c r="BL24" s="327">
        <f t="shared" si="42"/>
        <v>52.19</v>
      </c>
      <c r="BM24" s="327">
        <f t="shared" si="69"/>
        <v>96.89</v>
      </c>
      <c r="BN24" s="328">
        <f t="shared" si="43"/>
        <v>43.17</v>
      </c>
      <c r="BO24" s="326">
        <f t="shared" si="70"/>
        <v>232.67</v>
      </c>
      <c r="BP24" s="327">
        <f t="shared" si="70"/>
        <v>198.97</v>
      </c>
      <c r="BQ24" s="327">
        <f t="shared" si="70"/>
        <v>292.27</v>
      </c>
      <c r="BR24" s="329"/>
      <c r="BS24" s="335"/>
      <c r="BT24" s="326">
        <f t="shared" si="44"/>
        <v>15.810000000000002</v>
      </c>
      <c r="BU24" s="327">
        <f t="shared" si="45"/>
        <v>-43.56</v>
      </c>
      <c r="BV24" s="328">
        <f t="shared" si="46"/>
        <v>76.250000000000028</v>
      </c>
      <c r="BW24" s="326">
        <f t="shared" si="47"/>
        <v>-54.45999999999998</v>
      </c>
      <c r="BX24" s="327">
        <f t="shared" si="48"/>
        <v>-6.0000000000002274E-2</v>
      </c>
      <c r="BY24" s="328">
        <f t="shared" si="49"/>
        <v>8.9300000000000068</v>
      </c>
      <c r="BZ24" s="326">
        <f t="shared" si="50"/>
        <v>-62.259999999999991</v>
      </c>
      <c r="CA24" s="327">
        <f t="shared" si="71"/>
        <v>28.439999999999998</v>
      </c>
      <c r="CB24" s="328">
        <f t="shared" si="72"/>
        <v>-46.610000000000014</v>
      </c>
      <c r="CC24" s="326">
        <f t="shared" si="73"/>
        <v>-33.699999999999989</v>
      </c>
      <c r="CD24" s="327">
        <f t="shared" si="73"/>
        <v>93.299999999999983</v>
      </c>
      <c r="CE24" s="329"/>
      <c r="CF24" s="335"/>
      <c r="CG24" s="326">
        <f t="shared" si="51"/>
        <v>121.53</v>
      </c>
      <c r="CH24" s="327">
        <f t="shared" si="52"/>
        <v>137.34</v>
      </c>
      <c r="CI24" s="327">
        <f t="shared" si="53"/>
        <v>93.78</v>
      </c>
      <c r="CJ24" s="328">
        <f t="shared" si="54"/>
        <v>170.03000000000003</v>
      </c>
      <c r="CK24" s="326">
        <f t="shared" si="55"/>
        <v>349.66999999999996</v>
      </c>
      <c r="CL24" s="327">
        <f t="shared" si="56"/>
        <v>311.02</v>
      </c>
      <c r="CM24" s="327">
        <f t="shared" si="57"/>
        <v>267.40000000000003</v>
      </c>
      <c r="CN24" s="328">
        <f t="shared" si="74"/>
        <v>352.58000000000004</v>
      </c>
      <c r="CO24" s="326">
        <f t="shared" si="58"/>
        <v>638.37</v>
      </c>
      <c r="CP24" s="327">
        <f t="shared" si="59"/>
        <v>537.45999999999992</v>
      </c>
      <c r="CQ24" s="327">
        <f t="shared" si="75"/>
        <v>522.28000000000009</v>
      </c>
      <c r="CR24" s="328">
        <f t="shared" si="76"/>
        <v>560.85</v>
      </c>
      <c r="CS24" s="326">
        <f t="shared" si="60"/>
        <v>871.04</v>
      </c>
      <c r="CT24" s="327">
        <f t="shared" si="61"/>
        <v>736.42999999999984</v>
      </c>
      <c r="CU24" s="327">
        <f t="shared" si="77"/>
        <v>814.55000000000007</v>
      </c>
      <c r="CV24" s="328">
        <f t="shared" si="78"/>
        <v>797.25</v>
      </c>
      <c r="CW24" s="335"/>
      <c r="CX24" s="326">
        <f t="shared" si="79"/>
        <v>2.6592997811816192</v>
      </c>
      <c r="CY24" s="327">
        <f t="shared" si="80"/>
        <v>3.0052516411378556</v>
      </c>
      <c r="CZ24" s="327">
        <f t="shared" si="81"/>
        <v>2.0520787746170677</v>
      </c>
      <c r="DA24" s="328">
        <f t="shared" si="82"/>
        <v>3.7205689277899348</v>
      </c>
      <c r="DB24" s="326">
        <f t="shared" si="83"/>
        <v>7.6514223194748343</v>
      </c>
      <c r="DC24" s="327">
        <f t="shared" si="84"/>
        <v>6.8056892778993427</v>
      </c>
      <c r="DD24" s="327">
        <f t="shared" si="85"/>
        <v>5.8512035010940924</v>
      </c>
      <c r="DE24" s="328">
        <f t="shared" si="86"/>
        <v>7.7150984682713348</v>
      </c>
      <c r="DF24" s="326">
        <f t="shared" si="87"/>
        <v>13.96870897155361</v>
      </c>
      <c r="DG24" s="327">
        <f t="shared" si="88"/>
        <v>11.760612691466081</v>
      </c>
      <c r="DH24" s="327">
        <f t="shared" si="89"/>
        <v>11.428446389496719</v>
      </c>
      <c r="DI24" s="328">
        <f t="shared" si="90"/>
        <v>12.272428884026258</v>
      </c>
      <c r="DJ24" s="326">
        <f t="shared" si="91"/>
        <v>19.059956236323849</v>
      </c>
      <c r="DK24" s="327">
        <f t="shared" si="92"/>
        <v>16.1144420131291</v>
      </c>
      <c r="DL24" s="327">
        <f t="shared" si="93"/>
        <v>17.823851203501093</v>
      </c>
      <c r="DM24" s="328">
        <f t="shared" si="94"/>
        <v>17.445295404814004</v>
      </c>
    </row>
    <row r="25" spans="1:117" ht="15.75" thickBot="1" x14ac:dyDescent="0.3">
      <c r="A25" s="522"/>
      <c r="B25" s="83">
        <v>18</v>
      </c>
      <c r="C25" s="369">
        <v>40.799999999999997</v>
      </c>
      <c r="D25" s="369">
        <v>40.799999999999997</v>
      </c>
      <c r="E25" s="369">
        <v>40.799999999999997</v>
      </c>
      <c r="F25" s="369">
        <v>40.799999999999997</v>
      </c>
      <c r="G25" s="326">
        <f t="shared" si="0"/>
        <v>49.489999999999995</v>
      </c>
      <c r="H25" s="327">
        <f t="shared" si="1"/>
        <v>81.759999999999991</v>
      </c>
      <c r="I25" s="327">
        <f t="shared" si="2"/>
        <v>58.010000000000005</v>
      </c>
      <c r="J25" s="328">
        <f t="shared" si="3"/>
        <v>54.83</v>
      </c>
      <c r="K25" s="326">
        <f t="shared" si="4"/>
        <v>30.770000000000003</v>
      </c>
      <c r="L25" s="327">
        <f t="shared" si="5"/>
        <v>49.31</v>
      </c>
      <c r="M25" s="327">
        <f t="shared" si="6"/>
        <v>38.22</v>
      </c>
      <c r="N25" s="328">
        <f t="shared" si="7"/>
        <v>52.43</v>
      </c>
      <c r="O25" s="326">
        <f t="shared" si="8"/>
        <v>41.150000000000006</v>
      </c>
      <c r="P25" s="327">
        <f t="shared" si="9"/>
        <v>30.29</v>
      </c>
      <c r="Q25" s="327">
        <f t="shared" si="10"/>
        <v>30.490000000000002</v>
      </c>
      <c r="R25" s="334">
        <f t="shared" si="11"/>
        <v>45.2</v>
      </c>
      <c r="S25" s="326">
        <f t="shared" si="62"/>
        <v>121.41</v>
      </c>
      <c r="T25" s="327">
        <f t="shared" si="62"/>
        <v>161.35999999999999</v>
      </c>
      <c r="U25" s="327">
        <f t="shared" si="62"/>
        <v>126.72</v>
      </c>
      <c r="V25" s="328">
        <f t="shared" si="62"/>
        <v>152.45999999999998</v>
      </c>
      <c r="W25" s="326">
        <f t="shared" si="12"/>
        <v>37.89</v>
      </c>
      <c r="X25" s="327">
        <f t="shared" si="13"/>
        <v>64.37</v>
      </c>
      <c r="Y25" s="327">
        <f t="shared" si="14"/>
        <v>55.14</v>
      </c>
      <c r="Z25" s="328">
        <f t="shared" si="15"/>
        <v>65.709999999999994</v>
      </c>
      <c r="AA25" s="326">
        <f t="shared" si="16"/>
        <v>60.69</v>
      </c>
      <c r="AB25" s="327">
        <f t="shared" si="17"/>
        <v>43.16</v>
      </c>
      <c r="AC25" s="327">
        <f t="shared" si="18"/>
        <v>46.07</v>
      </c>
      <c r="AD25" s="328">
        <f t="shared" si="19"/>
        <v>60.910000000000004</v>
      </c>
      <c r="AE25" s="326">
        <f t="shared" si="20"/>
        <v>81.960000000000008</v>
      </c>
      <c r="AF25" s="327">
        <f t="shared" si="21"/>
        <v>58.78</v>
      </c>
      <c r="AG25" s="327">
        <f t="shared" si="22"/>
        <v>40.53</v>
      </c>
      <c r="AH25" s="328">
        <f t="shared" si="23"/>
        <v>53.150000000000006</v>
      </c>
      <c r="AI25" s="326">
        <f t="shared" si="63"/>
        <v>180.54000000000002</v>
      </c>
      <c r="AJ25" s="327">
        <f t="shared" si="63"/>
        <v>166.31</v>
      </c>
      <c r="AK25" s="327">
        <f t="shared" si="63"/>
        <v>141.74</v>
      </c>
      <c r="AL25" s="328">
        <f t="shared" si="63"/>
        <v>179.77</v>
      </c>
      <c r="AM25" s="326">
        <f t="shared" si="24"/>
        <v>47.95</v>
      </c>
      <c r="AN25" s="327">
        <f t="shared" si="25"/>
        <v>62.41</v>
      </c>
      <c r="AO25" s="327">
        <f t="shared" si="26"/>
        <v>59.76</v>
      </c>
      <c r="AP25" s="328">
        <f t="shared" si="27"/>
        <v>69.66</v>
      </c>
      <c r="AQ25" s="326">
        <f t="shared" si="28"/>
        <v>65.5</v>
      </c>
      <c r="AR25" s="327">
        <f t="shared" si="29"/>
        <v>55.11</v>
      </c>
      <c r="AS25" s="327">
        <f t="shared" si="30"/>
        <v>64.100000000000009</v>
      </c>
      <c r="AT25" s="328">
        <f t="shared" si="31"/>
        <v>63.809999999999995</v>
      </c>
      <c r="AU25" s="326">
        <f t="shared" si="32"/>
        <v>71.73</v>
      </c>
      <c r="AV25" s="327">
        <f t="shared" si="33"/>
        <v>68.87</v>
      </c>
      <c r="AW25" s="327">
        <f t="shared" si="64"/>
        <v>79.039999999999992</v>
      </c>
      <c r="AX25" s="328">
        <f t="shared" si="65"/>
        <v>69.430000000000007</v>
      </c>
      <c r="AY25" s="326">
        <f t="shared" si="66"/>
        <v>185.18</v>
      </c>
      <c r="AZ25" s="327">
        <f t="shared" si="66"/>
        <v>186.39</v>
      </c>
      <c r="BA25" s="327">
        <f t="shared" si="66"/>
        <v>202.9</v>
      </c>
      <c r="BB25" s="328">
        <f t="shared" si="67"/>
        <v>202.9</v>
      </c>
      <c r="BC25" s="326">
        <f t="shared" si="34"/>
        <v>66.47</v>
      </c>
      <c r="BD25" s="327">
        <f t="shared" si="35"/>
        <v>81.789999999999992</v>
      </c>
      <c r="BE25" s="327">
        <f t="shared" si="36"/>
        <v>108.66</v>
      </c>
      <c r="BF25" s="328">
        <f t="shared" si="68"/>
        <v>78.080000000000013</v>
      </c>
      <c r="BG25" s="326">
        <f t="shared" si="37"/>
        <v>87.02</v>
      </c>
      <c r="BH25" s="327">
        <f t="shared" si="38"/>
        <v>58.15</v>
      </c>
      <c r="BI25" s="327">
        <f t="shared" si="39"/>
        <v>54.73</v>
      </c>
      <c r="BJ25" s="328">
        <f t="shared" si="40"/>
        <v>101.57</v>
      </c>
      <c r="BK25" s="326">
        <f t="shared" si="41"/>
        <v>67.2</v>
      </c>
      <c r="BL25" s="327">
        <f t="shared" si="42"/>
        <v>60.239999999999995</v>
      </c>
      <c r="BM25" s="327">
        <f t="shared" si="69"/>
        <v>102.33</v>
      </c>
      <c r="BN25" s="328">
        <f t="shared" si="43"/>
        <v>85.93</v>
      </c>
      <c r="BO25" s="326">
        <f t="shared" si="70"/>
        <v>220.69</v>
      </c>
      <c r="BP25" s="327">
        <f t="shared" si="70"/>
        <v>200.18</v>
      </c>
      <c r="BQ25" s="327">
        <f t="shared" si="70"/>
        <v>265.71999999999997</v>
      </c>
      <c r="BR25" s="329"/>
      <c r="BS25" s="335"/>
      <c r="BT25" s="326">
        <f t="shared" si="44"/>
        <v>39.949999999999989</v>
      </c>
      <c r="BU25" s="327">
        <f t="shared" si="45"/>
        <v>-34.639999999999986</v>
      </c>
      <c r="BV25" s="328">
        <f t="shared" si="46"/>
        <v>25.739999999999981</v>
      </c>
      <c r="BW25" s="326">
        <f t="shared" si="47"/>
        <v>-14.230000000000018</v>
      </c>
      <c r="BX25" s="327">
        <f t="shared" si="48"/>
        <v>-24.569999999999993</v>
      </c>
      <c r="BY25" s="328">
        <f t="shared" si="49"/>
        <v>38.03</v>
      </c>
      <c r="BZ25" s="326">
        <f t="shared" si="50"/>
        <v>1.2099999999999795</v>
      </c>
      <c r="CA25" s="327">
        <f t="shared" si="71"/>
        <v>16.510000000000019</v>
      </c>
      <c r="CB25" s="328">
        <f t="shared" si="72"/>
        <v>0</v>
      </c>
      <c r="CC25" s="326">
        <f t="shared" si="73"/>
        <v>-20.509999999999991</v>
      </c>
      <c r="CD25" s="327">
        <f t="shared" si="73"/>
        <v>65.539999999999964</v>
      </c>
      <c r="CE25" s="329"/>
      <c r="CF25" s="335"/>
      <c r="CG25" s="326">
        <f t="shared" si="51"/>
        <v>121.41</v>
      </c>
      <c r="CH25" s="327">
        <f t="shared" si="52"/>
        <v>161.35999999999999</v>
      </c>
      <c r="CI25" s="327">
        <f t="shared" si="53"/>
        <v>126.72</v>
      </c>
      <c r="CJ25" s="328">
        <f t="shared" si="54"/>
        <v>152.45999999999998</v>
      </c>
      <c r="CK25" s="326">
        <f t="shared" si="55"/>
        <v>301.95000000000005</v>
      </c>
      <c r="CL25" s="327">
        <f t="shared" si="56"/>
        <v>327.66999999999996</v>
      </c>
      <c r="CM25" s="327">
        <f t="shared" si="57"/>
        <v>268.46000000000004</v>
      </c>
      <c r="CN25" s="328">
        <f t="shared" si="74"/>
        <v>332.23</v>
      </c>
      <c r="CO25" s="326">
        <f t="shared" si="58"/>
        <v>487.13000000000005</v>
      </c>
      <c r="CP25" s="327">
        <f t="shared" si="59"/>
        <v>514.05999999999995</v>
      </c>
      <c r="CQ25" s="327">
        <f t="shared" si="75"/>
        <v>471.36</v>
      </c>
      <c r="CR25" s="328">
        <f t="shared" si="76"/>
        <v>535.13</v>
      </c>
      <c r="CS25" s="326">
        <f t="shared" si="60"/>
        <v>707.82</v>
      </c>
      <c r="CT25" s="327">
        <f t="shared" si="61"/>
        <v>714.2399999999999</v>
      </c>
      <c r="CU25" s="327">
        <f t="shared" si="77"/>
        <v>737.08</v>
      </c>
      <c r="CV25" s="328">
        <f t="shared" si="78"/>
        <v>800.71</v>
      </c>
      <c r="CW25" s="335"/>
      <c r="CX25" s="326">
        <f t="shared" si="79"/>
        <v>2.9757352941176474</v>
      </c>
      <c r="CY25" s="327">
        <f t="shared" si="80"/>
        <v>3.9549019607843134</v>
      </c>
      <c r="CZ25" s="327">
        <f t="shared" si="81"/>
        <v>3.1058823529411765</v>
      </c>
      <c r="DA25" s="328">
        <f t="shared" si="82"/>
        <v>3.7367647058823525</v>
      </c>
      <c r="DB25" s="326">
        <f t="shared" si="83"/>
        <v>7.4007352941176485</v>
      </c>
      <c r="DC25" s="327">
        <f t="shared" si="84"/>
        <v>8.0311274509803923</v>
      </c>
      <c r="DD25" s="327">
        <f t="shared" si="85"/>
        <v>6.5799019607843148</v>
      </c>
      <c r="DE25" s="328">
        <f t="shared" si="86"/>
        <v>8.1428921568627466</v>
      </c>
      <c r="DF25" s="326">
        <f t="shared" si="87"/>
        <v>11.939460784313727</v>
      </c>
      <c r="DG25" s="327">
        <f t="shared" si="88"/>
        <v>12.599509803921569</v>
      </c>
      <c r="DH25" s="327">
        <f t="shared" si="89"/>
        <v>11.55294117647059</v>
      </c>
      <c r="DI25" s="328">
        <f t="shared" si="90"/>
        <v>13.115931372549021</v>
      </c>
      <c r="DJ25" s="326">
        <f t="shared" si="91"/>
        <v>17.348529411764709</v>
      </c>
      <c r="DK25" s="327">
        <f t="shared" si="92"/>
        <v>17.505882352941175</v>
      </c>
      <c r="DL25" s="327">
        <f t="shared" si="93"/>
        <v>18.065686274509805</v>
      </c>
      <c r="DM25" s="328">
        <f t="shared" si="94"/>
        <v>19.625245098039219</v>
      </c>
    </row>
    <row r="26" spans="1:117" x14ac:dyDescent="0.25">
      <c r="A26" s="521" t="s">
        <v>23</v>
      </c>
      <c r="B26" s="85">
        <v>19</v>
      </c>
      <c r="C26" s="370">
        <v>50.62</v>
      </c>
      <c r="D26" s="370">
        <v>50.62</v>
      </c>
      <c r="E26" s="370">
        <v>50.62</v>
      </c>
      <c r="F26" s="370">
        <v>50.62</v>
      </c>
      <c r="G26" s="326">
        <f t="shared" si="0"/>
        <v>48.099999999999994</v>
      </c>
      <c r="H26" s="327">
        <f t="shared" si="1"/>
        <v>54.7</v>
      </c>
      <c r="I26" s="327">
        <f t="shared" si="2"/>
        <v>48.26</v>
      </c>
      <c r="J26" s="328">
        <f t="shared" si="3"/>
        <v>55.03</v>
      </c>
      <c r="K26" s="326">
        <f t="shared" si="4"/>
        <v>35.049999999999997</v>
      </c>
      <c r="L26" s="327">
        <f t="shared" si="5"/>
        <v>57.463000000000001</v>
      </c>
      <c r="M26" s="327">
        <f t="shared" si="6"/>
        <v>26.060000000000002</v>
      </c>
      <c r="N26" s="328">
        <f t="shared" si="7"/>
        <v>63.99</v>
      </c>
      <c r="O26" s="326">
        <f t="shared" si="8"/>
        <v>47.3</v>
      </c>
      <c r="P26" s="327">
        <f t="shared" si="9"/>
        <v>42.13</v>
      </c>
      <c r="Q26" s="327">
        <f t="shared" si="10"/>
        <v>27.34</v>
      </c>
      <c r="R26" s="334">
        <f t="shared" si="11"/>
        <v>40.67</v>
      </c>
      <c r="S26" s="326">
        <f t="shared" si="62"/>
        <v>130.44999999999999</v>
      </c>
      <c r="T26" s="327">
        <f t="shared" si="62"/>
        <v>154.29300000000001</v>
      </c>
      <c r="U26" s="327">
        <f t="shared" si="62"/>
        <v>101.66</v>
      </c>
      <c r="V26" s="328">
        <f t="shared" si="62"/>
        <v>159.69</v>
      </c>
      <c r="W26" s="326">
        <f t="shared" si="12"/>
        <v>68.430000000000007</v>
      </c>
      <c r="X26" s="327">
        <f t="shared" si="13"/>
        <v>70.790000000000006</v>
      </c>
      <c r="Y26" s="327">
        <f t="shared" si="14"/>
        <v>37.159999999999997</v>
      </c>
      <c r="Z26" s="328">
        <f t="shared" si="15"/>
        <v>91.65</v>
      </c>
      <c r="AA26" s="326">
        <f t="shared" si="16"/>
        <v>54.1</v>
      </c>
      <c r="AB26" s="327">
        <f t="shared" si="17"/>
        <v>94.009999999999991</v>
      </c>
      <c r="AC26" s="327">
        <f t="shared" si="18"/>
        <v>58.52000000000001</v>
      </c>
      <c r="AD26" s="328">
        <f t="shared" si="19"/>
        <v>65.03</v>
      </c>
      <c r="AE26" s="326">
        <f t="shared" si="20"/>
        <v>66</v>
      </c>
      <c r="AF26" s="327">
        <f t="shared" si="21"/>
        <v>74.44</v>
      </c>
      <c r="AG26" s="327">
        <f t="shared" si="22"/>
        <v>51.44</v>
      </c>
      <c r="AH26" s="328">
        <f t="shared" si="23"/>
        <v>52.7</v>
      </c>
      <c r="AI26" s="326">
        <f t="shared" si="63"/>
        <v>188.53</v>
      </c>
      <c r="AJ26" s="327">
        <f t="shared" si="63"/>
        <v>239.24</v>
      </c>
      <c r="AK26" s="327">
        <f t="shared" si="63"/>
        <v>147.12</v>
      </c>
      <c r="AL26" s="328">
        <f t="shared" si="63"/>
        <v>209.38</v>
      </c>
      <c r="AM26" s="326">
        <f t="shared" si="24"/>
        <v>88.17</v>
      </c>
      <c r="AN26" s="327">
        <f t="shared" si="25"/>
        <v>87.85</v>
      </c>
      <c r="AO26" s="327">
        <f t="shared" si="26"/>
        <v>40.230000000000004</v>
      </c>
      <c r="AP26" s="328">
        <f t="shared" si="27"/>
        <v>83.75</v>
      </c>
      <c r="AQ26" s="326">
        <f t="shared" si="28"/>
        <v>89.4</v>
      </c>
      <c r="AR26" s="327">
        <f t="shared" si="29"/>
        <v>43.36</v>
      </c>
      <c r="AS26" s="327">
        <f t="shared" si="30"/>
        <v>68.5</v>
      </c>
      <c r="AT26" s="328">
        <f t="shared" si="31"/>
        <v>82.09</v>
      </c>
      <c r="AU26" s="326">
        <f t="shared" si="32"/>
        <v>62.32</v>
      </c>
      <c r="AV26" s="327">
        <f t="shared" si="33"/>
        <v>81.09</v>
      </c>
      <c r="AW26" s="327">
        <f t="shared" si="64"/>
        <v>174.93</v>
      </c>
      <c r="AX26" s="328">
        <f t="shared" si="65"/>
        <v>84.21</v>
      </c>
      <c r="AY26" s="326">
        <f t="shared" si="66"/>
        <v>239.89</v>
      </c>
      <c r="AZ26" s="327">
        <f t="shared" si="66"/>
        <v>212.29999999999998</v>
      </c>
      <c r="BA26" s="327">
        <f t="shared" si="66"/>
        <v>283.66000000000003</v>
      </c>
      <c r="BB26" s="328">
        <f t="shared" si="67"/>
        <v>250.05</v>
      </c>
      <c r="BC26" s="326">
        <f t="shared" si="34"/>
        <v>109.92</v>
      </c>
      <c r="BD26" s="327">
        <f t="shared" si="35"/>
        <v>76.05</v>
      </c>
      <c r="BE26" s="327">
        <f t="shared" si="36"/>
        <v>89.71</v>
      </c>
      <c r="BF26" s="328">
        <f t="shared" si="68"/>
        <v>106.4</v>
      </c>
      <c r="BG26" s="326">
        <f t="shared" si="37"/>
        <v>67.989999999999995</v>
      </c>
      <c r="BH26" s="327">
        <f t="shared" si="38"/>
        <v>78.8</v>
      </c>
      <c r="BI26" s="327">
        <f t="shared" si="39"/>
        <v>74.45</v>
      </c>
      <c r="BJ26" s="328">
        <f t="shared" si="40"/>
        <v>50.51</v>
      </c>
      <c r="BK26" s="326">
        <f t="shared" si="41"/>
        <v>82.53</v>
      </c>
      <c r="BL26" s="327">
        <f t="shared" si="42"/>
        <v>58.84</v>
      </c>
      <c r="BM26" s="327">
        <f t="shared" si="69"/>
        <v>49.21</v>
      </c>
      <c r="BN26" s="328">
        <f t="shared" si="43"/>
        <v>89.97</v>
      </c>
      <c r="BO26" s="326">
        <f t="shared" si="70"/>
        <v>260.44</v>
      </c>
      <c r="BP26" s="327">
        <f t="shared" si="70"/>
        <v>213.69</v>
      </c>
      <c r="BQ26" s="327">
        <f t="shared" si="70"/>
        <v>213.37</v>
      </c>
      <c r="BR26" s="329"/>
      <c r="BS26" s="335"/>
      <c r="BT26" s="326">
        <f t="shared" si="44"/>
        <v>23.843000000000018</v>
      </c>
      <c r="BU26" s="327">
        <f t="shared" si="45"/>
        <v>-52.63300000000001</v>
      </c>
      <c r="BV26" s="328">
        <f t="shared" si="46"/>
        <v>58.03</v>
      </c>
      <c r="BW26" s="326">
        <f t="shared" si="47"/>
        <v>50.710000000000008</v>
      </c>
      <c r="BX26" s="327">
        <f t="shared" si="48"/>
        <v>-92.12</v>
      </c>
      <c r="BY26" s="328">
        <f t="shared" si="49"/>
        <v>62.259999999999991</v>
      </c>
      <c r="BZ26" s="326">
        <f t="shared" si="50"/>
        <v>-27.590000000000003</v>
      </c>
      <c r="CA26" s="327">
        <f t="shared" si="71"/>
        <v>71.360000000000042</v>
      </c>
      <c r="CB26" s="328">
        <f t="shared" si="72"/>
        <v>-33.610000000000014</v>
      </c>
      <c r="CC26" s="326">
        <f t="shared" si="73"/>
        <v>-46.75</v>
      </c>
      <c r="CD26" s="327">
        <f t="shared" si="73"/>
        <v>-0.31999999999999318</v>
      </c>
      <c r="CE26" s="329"/>
      <c r="CF26" s="335"/>
      <c r="CG26" s="326">
        <f t="shared" si="51"/>
        <v>130.44999999999999</v>
      </c>
      <c r="CH26" s="327">
        <f t="shared" si="52"/>
        <v>154.29300000000001</v>
      </c>
      <c r="CI26" s="327">
        <f t="shared" si="53"/>
        <v>101.66</v>
      </c>
      <c r="CJ26" s="328">
        <f t="shared" si="54"/>
        <v>159.69</v>
      </c>
      <c r="CK26" s="326">
        <f t="shared" si="55"/>
        <v>318.98</v>
      </c>
      <c r="CL26" s="327">
        <f t="shared" si="56"/>
        <v>393.53300000000002</v>
      </c>
      <c r="CM26" s="327">
        <f t="shared" si="57"/>
        <v>248.78</v>
      </c>
      <c r="CN26" s="328">
        <f t="shared" si="74"/>
        <v>369.07</v>
      </c>
      <c r="CO26" s="326">
        <f t="shared" si="58"/>
        <v>558.87000000000012</v>
      </c>
      <c r="CP26" s="327">
        <f t="shared" si="59"/>
        <v>605.83300000000008</v>
      </c>
      <c r="CQ26" s="327">
        <f t="shared" si="75"/>
        <v>532.44000000000005</v>
      </c>
      <c r="CR26" s="328">
        <f t="shared" si="76"/>
        <v>619.12</v>
      </c>
      <c r="CS26" s="326">
        <f t="shared" si="60"/>
        <v>819.31000000000006</v>
      </c>
      <c r="CT26" s="327">
        <f t="shared" si="61"/>
        <v>819.52300000000002</v>
      </c>
      <c r="CU26" s="327">
        <f t="shared" si="77"/>
        <v>745.81000000000017</v>
      </c>
      <c r="CV26" s="328">
        <f t="shared" si="78"/>
        <v>866</v>
      </c>
      <c r="CW26" s="335"/>
      <c r="CX26" s="326">
        <f t="shared" si="79"/>
        <v>2.5770446463848282</v>
      </c>
      <c r="CY26" s="327">
        <f t="shared" si="80"/>
        <v>3.0480640063216122</v>
      </c>
      <c r="CZ26" s="327">
        <f t="shared" si="81"/>
        <v>2.00829711576452</v>
      </c>
      <c r="DA26" s="328">
        <f t="shared" si="82"/>
        <v>3.1546819438956937</v>
      </c>
      <c r="DB26" s="326">
        <f t="shared" si="83"/>
        <v>6.3014618727775593</v>
      </c>
      <c r="DC26" s="327">
        <f t="shared" si="84"/>
        <v>7.7742591860924541</v>
      </c>
      <c r="DD26" s="327">
        <f t="shared" si="85"/>
        <v>4.9146582378506523</v>
      </c>
      <c r="DE26" s="328">
        <f t="shared" si="86"/>
        <v>7.2909917028842361</v>
      </c>
      <c r="DF26" s="326">
        <f t="shared" si="87"/>
        <v>11.040497826945874</v>
      </c>
      <c r="DG26" s="327">
        <f t="shared" si="88"/>
        <v>11.968253654681947</v>
      </c>
      <c r="DH26" s="327">
        <f t="shared" si="89"/>
        <v>10.518372184907152</v>
      </c>
      <c r="DI26" s="328">
        <f t="shared" si="90"/>
        <v>12.230738838403793</v>
      </c>
      <c r="DJ26" s="326">
        <f t="shared" si="91"/>
        <v>16.185499802449627</v>
      </c>
      <c r="DK26" s="327">
        <f t="shared" si="92"/>
        <v>16.189707625444491</v>
      </c>
      <c r="DL26" s="327">
        <f t="shared" si="93"/>
        <v>14.733504543658636</v>
      </c>
      <c r="DM26" s="328">
        <f t="shared" si="94"/>
        <v>17.107862504938762</v>
      </c>
    </row>
    <row r="27" spans="1:117" x14ac:dyDescent="0.25">
      <c r="A27" s="521"/>
      <c r="B27" s="55">
        <v>20</v>
      </c>
      <c r="C27" s="368">
        <v>62.08</v>
      </c>
      <c r="D27" s="368">
        <v>62.08</v>
      </c>
      <c r="E27" s="368">
        <v>62.08</v>
      </c>
      <c r="F27" s="368">
        <v>62.08</v>
      </c>
      <c r="G27" s="326">
        <f t="shared" si="0"/>
        <v>51.910000000000004</v>
      </c>
      <c r="H27" s="327">
        <f t="shared" si="1"/>
        <v>61.47</v>
      </c>
      <c r="I27" s="327">
        <f t="shared" si="2"/>
        <v>49.510000000000005</v>
      </c>
      <c r="J27" s="328">
        <f t="shared" si="3"/>
        <v>70.12</v>
      </c>
      <c r="K27" s="326">
        <f t="shared" si="4"/>
        <v>31.21</v>
      </c>
      <c r="L27" s="327">
        <f t="shared" si="5"/>
        <v>54.67</v>
      </c>
      <c r="M27" s="327">
        <f t="shared" si="6"/>
        <v>24.08</v>
      </c>
      <c r="N27" s="328">
        <f t="shared" si="7"/>
        <v>70.84</v>
      </c>
      <c r="O27" s="326">
        <f t="shared" si="8"/>
        <v>39.92</v>
      </c>
      <c r="P27" s="327">
        <f t="shared" si="9"/>
        <v>52.680000000000007</v>
      </c>
      <c r="Q27" s="327">
        <f t="shared" si="10"/>
        <v>16.55</v>
      </c>
      <c r="R27" s="334">
        <f t="shared" si="11"/>
        <v>34.53</v>
      </c>
      <c r="S27" s="326">
        <f t="shared" si="62"/>
        <v>123.04</v>
      </c>
      <c r="T27" s="327">
        <f t="shared" si="62"/>
        <v>168.82</v>
      </c>
      <c r="U27" s="327">
        <f t="shared" si="62"/>
        <v>90.14</v>
      </c>
      <c r="V27" s="328">
        <f t="shared" si="62"/>
        <v>175.49</v>
      </c>
      <c r="W27" s="326">
        <f t="shared" si="12"/>
        <v>68.349999999999994</v>
      </c>
      <c r="X27" s="327">
        <f t="shared" si="13"/>
        <v>63.680000000000007</v>
      </c>
      <c r="Y27" s="327">
        <f t="shared" si="14"/>
        <v>22.51</v>
      </c>
      <c r="Z27" s="328">
        <f t="shared" si="15"/>
        <v>116.55000000000001</v>
      </c>
      <c r="AA27" s="326">
        <f t="shared" si="16"/>
        <v>52.46</v>
      </c>
      <c r="AB27" s="327">
        <f t="shared" si="17"/>
        <v>108.25999999999999</v>
      </c>
      <c r="AC27" s="327">
        <f t="shared" si="18"/>
        <v>45.83</v>
      </c>
      <c r="AD27" s="328">
        <f t="shared" si="19"/>
        <v>90.210000000000008</v>
      </c>
      <c r="AE27" s="326">
        <f t="shared" si="20"/>
        <v>50.1</v>
      </c>
      <c r="AF27" s="327">
        <f t="shared" si="21"/>
        <v>74.180000000000007</v>
      </c>
      <c r="AG27" s="327">
        <f t="shared" si="22"/>
        <v>64.81</v>
      </c>
      <c r="AH27" s="328">
        <f t="shared" si="23"/>
        <v>51.129999999999995</v>
      </c>
      <c r="AI27" s="326">
        <f t="shared" si="63"/>
        <v>170.91</v>
      </c>
      <c r="AJ27" s="327">
        <f t="shared" si="63"/>
        <v>246.12</v>
      </c>
      <c r="AK27" s="327">
        <f t="shared" si="63"/>
        <v>133.15</v>
      </c>
      <c r="AL27" s="328">
        <f t="shared" si="63"/>
        <v>257.89</v>
      </c>
      <c r="AM27" s="326">
        <f t="shared" si="24"/>
        <v>128.19</v>
      </c>
      <c r="AN27" s="327">
        <f t="shared" si="25"/>
        <v>66.97</v>
      </c>
      <c r="AO27" s="327">
        <f t="shared" si="26"/>
        <v>69.28</v>
      </c>
      <c r="AP27" s="328">
        <f t="shared" si="27"/>
        <v>75.31</v>
      </c>
      <c r="AQ27" s="326">
        <f t="shared" si="28"/>
        <v>99.44</v>
      </c>
      <c r="AR27" s="327">
        <f t="shared" si="29"/>
        <v>75.47</v>
      </c>
      <c r="AS27" s="327">
        <f t="shared" si="30"/>
        <v>70.23</v>
      </c>
      <c r="AT27" s="328">
        <f t="shared" si="31"/>
        <v>101.19999999999999</v>
      </c>
      <c r="AU27" s="326">
        <f t="shared" si="32"/>
        <v>69.430000000000007</v>
      </c>
      <c r="AV27" s="327">
        <f t="shared" si="33"/>
        <v>66.61</v>
      </c>
      <c r="AW27" s="327">
        <f t="shared" si="64"/>
        <v>168.56</v>
      </c>
      <c r="AX27" s="328">
        <f t="shared" si="65"/>
        <v>82.1</v>
      </c>
      <c r="AY27" s="326">
        <f t="shared" si="66"/>
        <v>297.06</v>
      </c>
      <c r="AZ27" s="327">
        <f t="shared" si="66"/>
        <v>209.05</v>
      </c>
      <c r="BA27" s="327">
        <f t="shared" si="66"/>
        <v>308.07</v>
      </c>
      <c r="BB27" s="328">
        <f t="shared" si="67"/>
        <v>258.61</v>
      </c>
      <c r="BC27" s="326">
        <f t="shared" si="34"/>
        <v>109.81</v>
      </c>
      <c r="BD27" s="327">
        <f t="shared" si="35"/>
        <v>92.47999999999999</v>
      </c>
      <c r="BE27" s="327">
        <f t="shared" si="36"/>
        <v>115.34</v>
      </c>
      <c r="BF27" s="328">
        <f t="shared" si="68"/>
        <v>124.84</v>
      </c>
      <c r="BG27" s="326">
        <f t="shared" si="37"/>
        <v>91.39</v>
      </c>
      <c r="BH27" s="327">
        <f t="shared" si="38"/>
        <v>78.05</v>
      </c>
      <c r="BI27" s="327">
        <f t="shared" si="39"/>
        <v>84.289999999999992</v>
      </c>
      <c r="BJ27" s="328">
        <f t="shared" si="40"/>
        <v>75.11</v>
      </c>
      <c r="BK27" s="326">
        <f t="shared" si="41"/>
        <v>77.41</v>
      </c>
      <c r="BL27" s="327">
        <f t="shared" si="42"/>
        <v>68.31</v>
      </c>
      <c r="BM27" s="327">
        <f t="shared" si="69"/>
        <v>69</v>
      </c>
      <c r="BN27" s="328">
        <f t="shared" si="43"/>
        <v>136.66</v>
      </c>
      <c r="BO27" s="326">
        <f t="shared" si="70"/>
        <v>278.61</v>
      </c>
      <c r="BP27" s="327">
        <f t="shared" si="70"/>
        <v>238.83999999999997</v>
      </c>
      <c r="BQ27" s="327">
        <f t="shared" si="70"/>
        <v>268.63</v>
      </c>
      <c r="BR27" s="329"/>
      <c r="BS27" s="335"/>
      <c r="BT27" s="326">
        <f t="shared" si="44"/>
        <v>45.779999999999987</v>
      </c>
      <c r="BU27" s="327">
        <f t="shared" si="45"/>
        <v>-78.679999999999993</v>
      </c>
      <c r="BV27" s="328">
        <f t="shared" si="46"/>
        <v>85.350000000000009</v>
      </c>
      <c r="BW27" s="326">
        <f t="shared" si="47"/>
        <v>75.210000000000008</v>
      </c>
      <c r="BX27" s="327">
        <f t="shared" si="48"/>
        <v>-112.97</v>
      </c>
      <c r="BY27" s="328">
        <f t="shared" si="49"/>
        <v>124.73999999999998</v>
      </c>
      <c r="BZ27" s="326">
        <f t="shared" si="50"/>
        <v>-88.009999999999991</v>
      </c>
      <c r="CA27" s="327">
        <f t="shared" si="71"/>
        <v>99.019999999999982</v>
      </c>
      <c r="CB27" s="328">
        <f t="shared" si="72"/>
        <v>-49.45999999999998</v>
      </c>
      <c r="CC27" s="326">
        <f t="shared" si="73"/>
        <v>-39.770000000000039</v>
      </c>
      <c r="CD27" s="327">
        <f t="shared" si="73"/>
        <v>29.79000000000002</v>
      </c>
      <c r="CE27" s="329"/>
      <c r="CF27" s="335"/>
      <c r="CG27" s="326">
        <f t="shared" si="51"/>
        <v>123.04</v>
      </c>
      <c r="CH27" s="327">
        <f t="shared" si="52"/>
        <v>168.82</v>
      </c>
      <c r="CI27" s="327">
        <f t="shared" si="53"/>
        <v>90.14</v>
      </c>
      <c r="CJ27" s="328">
        <f t="shared" si="54"/>
        <v>175.49</v>
      </c>
      <c r="CK27" s="326">
        <f t="shared" si="55"/>
        <v>293.95</v>
      </c>
      <c r="CL27" s="327">
        <f t="shared" si="56"/>
        <v>414.94</v>
      </c>
      <c r="CM27" s="327">
        <f t="shared" si="57"/>
        <v>223.29000000000002</v>
      </c>
      <c r="CN27" s="328">
        <f t="shared" si="74"/>
        <v>433.38</v>
      </c>
      <c r="CO27" s="326">
        <f t="shared" si="58"/>
        <v>591.01</v>
      </c>
      <c r="CP27" s="327">
        <f t="shared" si="59"/>
        <v>623.99</v>
      </c>
      <c r="CQ27" s="327">
        <f t="shared" si="75"/>
        <v>531.36000000000013</v>
      </c>
      <c r="CR27" s="328">
        <f t="shared" si="76"/>
        <v>691.99</v>
      </c>
      <c r="CS27" s="326">
        <f t="shared" si="60"/>
        <v>869.61999999999989</v>
      </c>
      <c r="CT27" s="327">
        <f t="shared" si="61"/>
        <v>862.82999999999993</v>
      </c>
      <c r="CU27" s="327">
        <f t="shared" si="77"/>
        <v>799.99000000000012</v>
      </c>
      <c r="CV27" s="328">
        <f t="shared" si="78"/>
        <v>1028.6000000000001</v>
      </c>
      <c r="CW27" s="335"/>
      <c r="CX27" s="326">
        <f t="shared" si="79"/>
        <v>1.981958762886598</v>
      </c>
      <c r="CY27" s="327">
        <f t="shared" si="80"/>
        <v>2.719394329896907</v>
      </c>
      <c r="CZ27" s="327">
        <f t="shared" si="81"/>
        <v>1.4519974226804124</v>
      </c>
      <c r="DA27" s="328">
        <f t="shared" si="82"/>
        <v>2.8268363402061856</v>
      </c>
      <c r="DB27" s="326">
        <f t="shared" si="83"/>
        <v>4.7350193298969074</v>
      </c>
      <c r="DC27" s="327">
        <f t="shared" si="84"/>
        <v>6.6839561855670109</v>
      </c>
      <c r="DD27" s="327">
        <f t="shared" si="85"/>
        <v>3.5968105670103099</v>
      </c>
      <c r="DE27" s="328">
        <f t="shared" si="86"/>
        <v>6.9809922680412368</v>
      </c>
      <c r="DF27" s="326">
        <f t="shared" si="87"/>
        <v>9.5201353092783503</v>
      </c>
      <c r="DG27" s="327">
        <f t="shared" si="88"/>
        <v>10.05138530927835</v>
      </c>
      <c r="DH27" s="327">
        <f t="shared" si="89"/>
        <v>8.5592783505154664</v>
      </c>
      <c r="DI27" s="328">
        <f t="shared" si="90"/>
        <v>11.146746134020619</v>
      </c>
      <c r="DJ27" s="326">
        <f t="shared" si="91"/>
        <v>14.008054123711339</v>
      </c>
      <c r="DK27" s="327">
        <f t="shared" si="92"/>
        <v>13.898679123711339</v>
      </c>
      <c r="DL27" s="327">
        <f t="shared" si="93"/>
        <v>12.886436855670105</v>
      </c>
      <c r="DM27" s="328">
        <f t="shared" si="94"/>
        <v>16.568943298969074</v>
      </c>
    </row>
    <row r="28" spans="1:117" x14ac:dyDescent="0.25">
      <c r="A28" s="521"/>
      <c r="B28" s="55">
        <v>21</v>
      </c>
      <c r="C28" s="368">
        <v>72.2</v>
      </c>
      <c r="D28" s="368">
        <v>72.2</v>
      </c>
      <c r="E28" s="368">
        <v>72.2</v>
      </c>
      <c r="F28" s="368">
        <v>72.2</v>
      </c>
      <c r="G28" s="326">
        <f t="shared" si="0"/>
        <v>86.86</v>
      </c>
      <c r="H28" s="327">
        <f t="shared" si="1"/>
        <v>94.92</v>
      </c>
      <c r="I28" s="327">
        <f t="shared" si="2"/>
        <v>86.449999999999989</v>
      </c>
      <c r="J28" s="328">
        <f t="shared" si="3"/>
        <v>95.460000000000008</v>
      </c>
      <c r="K28" s="326">
        <f t="shared" si="4"/>
        <v>53.870000000000005</v>
      </c>
      <c r="L28" s="327">
        <f t="shared" si="5"/>
        <v>60.31</v>
      </c>
      <c r="M28" s="327">
        <f t="shared" si="6"/>
        <v>50.78</v>
      </c>
      <c r="N28" s="328">
        <f t="shared" si="7"/>
        <v>59.44</v>
      </c>
      <c r="O28" s="326">
        <f t="shared" si="8"/>
        <v>67.97</v>
      </c>
      <c r="P28" s="327">
        <f t="shared" si="9"/>
        <v>119.83</v>
      </c>
      <c r="Q28" s="327">
        <f t="shared" si="10"/>
        <v>46.08</v>
      </c>
      <c r="R28" s="334">
        <f t="shared" si="11"/>
        <v>83.73</v>
      </c>
      <c r="S28" s="326">
        <f t="shared" si="62"/>
        <v>208.70000000000002</v>
      </c>
      <c r="T28" s="327">
        <f t="shared" si="62"/>
        <v>275.06</v>
      </c>
      <c r="U28" s="327">
        <f t="shared" si="62"/>
        <v>183.31</v>
      </c>
      <c r="V28" s="328">
        <f t="shared" si="62"/>
        <v>238.63</v>
      </c>
      <c r="W28" s="326">
        <f t="shared" si="12"/>
        <v>77.02000000000001</v>
      </c>
      <c r="X28" s="327">
        <f t="shared" si="13"/>
        <v>76.39</v>
      </c>
      <c r="Y28" s="327">
        <f t="shared" si="14"/>
        <v>70.38</v>
      </c>
      <c r="Z28" s="328">
        <f t="shared" si="15"/>
        <v>159.93</v>
      </c>
      <c r="AA28" s="326">
        <f t="shared" si="16"/>
        <v>126.65</v>
      </c>
      <c r="AB28" s="327">
        <f t="shared" si="17"/>
        <v>92.749999999999986</v>
      </c>
      <c r="AC28" s="327">
        <f t="shared" si="18"/>
        <v>77.599999999999994</v>
      </c>
      <c r="AD28" s="328">
        <f t="shared" si="19"/>
        <v>112.19</v>
      </c>
      <c r="AE28" s="326">
        <f t="shared" si="20"/>
        <v>78.989999999999995</v>
      </c>
      <c r="AF28" s="327">
        <f t="shared" si="21"/>
        <v>84.47999999999999</v>
      </c>
      <c r="AG28" s="327">
        <f t="shared" si="22"/>
        <v>105.44</v>
      </c>
      <c r="AH28" s="328">
        <f t="shared" si="23"/>
        <v>69.569999999999993</v>
      </c>
      <c r="AI28" s="326">
        <f t="shared" si="63"/>
        <v>282.66000000000003</v>
      </c>
      <c r="AJ28" s="327">
        <f t="shared" si="63"/>
        <v>253.61999999999998</v>
      </c>
      <c r="AK28" s="327">
        <f t="shared" si="63"/>
        <v>253.42</v>
      </c>
      <c r="AL28" s="328">
        <f t="shared" si="63"/>
        <v>341.69</v>
      </c>
      <c r="AM28" s="326">
        <f t="shared" si="24"/>
        <v>140.62</v>
      </c>
      <c r="AN28" s="327">
        <f t="shared" si="25"/>
        <v>117.65</v>
      </c>
      <c r="AO28" s="327">
        <f t="shared" si="26"/>
        <v>160.38</v>
      </c>
      <c r="AP28" s="328">
        <f t="shared" si="27"/>
        <v>95.68</v>
      </c>
      <c r="AQ28" s="326">
        <f t="shared" si="28"/>
        <v>190.25</v>
      </c>
      <c r="AR28" s="327">
        <f t="shared" si="29"/>
        <v>139.73000000000002</v>
      </c>
      <c r="AS28" s="327">
        <f t="shared" si="30"/>
        <v>115.14</v>
      </c>
      <c r="AT28" s="328">
        <f t="shared" si="31"/>
        <v>111.16999999999999</v>
      </c>
      <c r="AU28" s="326">
        <f t="shared" si="32"/>
        <v>137.12</v>
      </c>
      <c r="AV28" s="327">
        <f t="shared" si="33"/>
        <v>137.98000000000002</v>
      </c>
      <c r="AW28" s="327">
        <f t="shared" si="64"/>
        <v>142.54999999999998</v>
      </c>
      <c r="AX28" s="328">
        <f t="shared" si="65"/>
        <v>145.96</v>
      </c>
      <c r="AY28" s="326">
        <f t="shared" si="66"/>
        <v>467.99</v>
      </c>
      <c r="AZ28" s="327">
        <f t="shared" si="66"/>
        <v>395.36</v>
      </c>
      <c r="BA28" s="327">
        <f t="shared" si="66"/>
        <v>418.06999999999994</v>
      </c>
      <c r="BB28" s="328">
        <f t="shared" si="67"/>
        <v>352.81</v>
      </c>
      <c r="BC28" s="326">
        <f t="shared" si="34"/>
        <v>161.85000000000002</v>
      </c>
      <c r="BD28" s="327">
        <f t="shared" si="35"/>
        <v>143.07</v>
      </c>
      <c r="BE28" s="327">
        <f t="shared" si="36"/>
        <v>199.91000000000003</v>
      </c>
      <c r="BF28" s="328">
        <f t="shared" si="68"/>
        <v>105.41</v>
      </c>
      <c r="BG28" s="326">
        <f t="shared" si="37"/>
        <v>152.35</v>
      </c>
      <c r="BH28" s="327">
        <f t="shared" si="38"/>
        <v>148.07</v>
      </c>
      <c r="BI28" s="327">
        <f t="shared" si="39"/>
        <v>154.22999999999999</v>
      </c>
      <c r="BJ28" s="328">
        <f t="shared" si="40"/>
        <v>163.67000000000002</v>
      </c>
      <c r="BK28" s="326">
        <f t="shared" si="41"/>
        <v>139.48000000000002</v>
      </c>
      <c r="BL28" s="327">
        <f t="shared" si="42"/>
        <v>108.66</v>
      </c>
      <c r="BM28" s="327">
        <f t="shared" si="69"/>
        <v>96.05</v>
      </c>
      <c r="BN28" s="328">
        <f t="shared" si="43"/>
        <v>122.20000000000002</v>
      </c>
      <c r="BO28" s="326">
        <f t="shared" si="70"/>
        <v>453.68000000000006</v>
      </c>
      <c r="BP28" s="327">
        <f t="shared" si="70"/>
        <v>399.79999999999995</v>
      </c>
      <c r="BQ28" s="327">
        <f t="shared" si="70"/>
        <v>450.19</v>
      </c>
      <c r="BR28" s="329"/>
      <c r="BS28" s="335"/>
      <c r="BT28" s="326">
        <f t="shared" si="44"/>
        <v>66.359999999999985</v>
      </c>
      <c r="BU28" s="327">
        <f t="shared" si="45"/>
        <v>-91.75</v>
      </c>
      <c r="BV28" s="328">
        <f t="shared" si="46"/>
        <v>55.319999999999993</v>
      </c>
      <c r="BW28" s="326">
        <f t="shared" si="47"/>
        <v>-29.040000000000049</v>
      </c>
      <c r="BX28" s="327">
        <f t="shared" si="48"/>
        <v>-0.19999999999998863</v>
      </c>
      <c r="BY28" s="328">
        <f t="shared" si="49"/>
        <v>88.27000000000001</v>
      </c>
      <c r="BZ28" s="326">
        <f t="shared" si="50"/>
        <v>-72.63</v>
      </c>
      <c r="CA28" s="327">
        <f t="shared" si="71"/>
        <v>22.709999999999923</v>
      </c>
      <c r="CB28" s="328">
        <f t="shared" si="72"/>
        <v>-65.259999999999934</v>
      </c>
      <c r="CC28" s="326">
        <f t="shared" si="73"/>
        <v>-53.880000000000109</v>
      </c>
      <c r="CD28" s="327">
        <f t="shared" si="73"/>
        <v>50.390000000000043</v>
      </c>
      <c r="CE28" s="329"/>
      <c r="CF28" s="335"/>
      <c r="CG28" s="326">
        <f t="shared" si="51"/>
        <v>208.70000000000002</v>
      </c>
      <c r="CH28" s="327">
        <f t="shared" si="52"/>
        <v>275.06</v>
      </c>
      <c r="CI28" s="327">
        <f t="shared" si="53"/>
        <v>183.31</v>
      </c>
      <c r="CJ28" s="328">
        <f t="shared" si="54"/>
        <v>238.63</v>
      </c>
      <c r="CK28" s="326">
        <f t="shared" si="55"/>
        <v>491.36</v>
      </c>
      <c r="CL28" s="327">
        <f t="shared" si="56"/>
        <v>528.67999999999995</v>
      </c>
      <c r="CM28" s="327">
        <f t="shared" si="57"/>
        <v>436.72999999999996</v>
      </c>
      <c r="CN28" s="328">
        <f t="shared" si="74"/>
        <v>580.31999999999994</v>
      </c>
      <c r="CO28" s="326">
        <f t="shared" si="58"/>
        <v>959.35</v>
      </c>
      <c r="CP28" s="327">
        <f t="shared" si="59"/>
        <v>924.04</v>
      </c>
      <c r="CQ28" s="327">
        <f t="shared" si="75"/>
        <v>854.79999999999984</v>
      </c>
      <c r="CR28" s="328">
        <f t="shared" si="76"/>
        <v>933.13</v>
      </c>
      <c r="CS28" s="326">
        <f t="shared" si="60"/>
        <v>1413.03</v>
      </c>
      <c r="CT28" s="327">
        <f t="shared" si="61"/>
        <v>1323.84</v>
      </c>
      <c r="CU28" s="327">
        <f t="shared" si="77"/>
        <v>1304.9899999999998</v>
      </c>
      <c r="CV28" s="328">
        <f t="shared" si="78"/>
        <v>1324.41</v>
      </c>
      <c r="CW28" s="335"/>
      <c r="CX28" s="326">
        <f t="shared" si="79"/>
        <v>2.8905817174515236</v>
      </c>
      <c r="CY28" s="327">
        <f t="shared" si="80"/>
        <v>3.8096952908587256</v>
      </c>
      <c r="CZ28" s="327">
        <f t="shared" si="81"/>
        <v>2.5389196675900276</v>
      </c>
      <c r="DA28" s="328">
        <f t="shared" si="82"/>
        <v>3.305124653739612</v>
      </c>
      <c r="DB28" s="326">
        <f t="shared" si="83"/>
        <v>6.8055401662049864</v>
      </c>
      <c r="DC28" s="327">
        <f t="shared" si="84"/>
        <v>7.3224376731301932</v>
      </c>
      <c r="DD28" s="327">
        <f t="shared" si="85"/>
        <v>6.048891966759002</v>
      </c>
      <c r="DE28" s="328">
        <f t="shared" si="86"/>
        <v>8.0376731301939053</v>
      </c>
      <c r="DF28" s="326">
        <f t="shared" si="87"/>
        <v>13.287396121883656</v>
      </c>
      <c r="DG28" s="327">
        <f t="shared" si="88"/>
        <v>12.798337950138503</v>
      </c>
      <c r="DH28" s="327">
        <f t="shared" si="89"/>
        <v>11.839335180055398</v>
      </c>
      <c r="DI28" s="328">
        <f t="shared" si="90"/>
        <v>12.924238227146814</v>
      </c>
      <c r="DJ28" s="326">
        <f t="shared" si="91"/>
        <v>19.571052631578947</v>
      </c>
      <c r="DK28" s="327">
        <f t="shared" si="92"/>
        <v>18.335734072022159</v>
      </c>
      <c r="DL28" s="327">
        <f t="shared" si="93"/>
        <v>18.074653739612184</v>
      </c>
      <c r="DM28" s="328">
        <f t="shared" si="94"/>
        <v>18.343628808864267</v>
      </c>
    </row>
    <row r="29" spans="1:117" x14ac:dyDescent="0.25">
      <c r="A29" s="521"/>
      <c r="B29" s="55">
        <v>22</v>
      </c>
      <c r="C29" s="368">
        <v>52.3</v>
      </c>
      <c r="D29" s="368">
        <v>52.3</v>
      </c>
      <c r="E29" s="368">
        <v>52.3</v>
      </c>
      <c r="F29" s="368">
        <v>52.3</v>
      </c>
      <c r="G29" s="326">
        <f t="shared" si="0"/>
        <v>55.309999999999995</v>
      </c>
      <c r="H29" s="327">
        <f t="shared" si="1"/>
        <v>63.79</v>
      </c>
      <c r="I29" s="327">
        <f t="shared" si="2"/>
        <v>58.67</v>
      </c>
      <c r="J29" s="328">
        <f t="shared" si="3"/>
        <v>30.8</v>
      </c>
      <c r="K29" s="326">
        <f t="shared" si="4"/>
        <v>40.28</v>
      </c>
      <c r="L29" s="327">
        <f t="shared" si="5"/>
        <v>38.15</v>
      </c>
      <c r="M29" s="327">
        <f t="shared" si="6"/>
        <v>36.06</v>
      </c>
      <c r="N29" s="328">
        <f t="shared" si="7"/>
        <v>74.5</v>
      </c>
      <c r="O29" s="326">
        <f t="shared" si="8"/>
        <v>37.519999999999996</v>
      </c>
      <c r="P29" s="327">
        <f t="shared" si="9"/>
        <v>63.980000000000004</v>
      </c>
      <c r="Q29" s="327">
        <f t="shared" si="10"/>
        <v>27.049999999999997</v>
      </c>
      <c r="R29" s="334">
        <f t="shared" si="11"/>
        <v>55.26</v>
      </c>
      <c r="S29" s="326">
        <f t="shared" si="62"/>
        <v>133.11000000000001</v>
      </c>
      <c r="T29" s="327">
        <f t="shared" si="62"/>
        <v>165.92000000000002</v>
      </c>
      <c r="U29" s="327">
        <f t="shared" si="62"/>
        <v>121.78</v>
      </c>
      <c r="V29" s="328">
        <f t="shared" si="62"/>
        <v>160.56</v>
      </c>
      <c r="W29" s="326">
        <f t="shared" si="12"/>
        <v>50.19</v>
      </c>
      <c r="X29" s="327">
        <f t="shared" si="13"/>
        <v>44.94</v>
      </c>
      <c r="Y29" s="327">
        <f t="shared" si="14"/>
        <v>43.81</v>
      </c>
      <c r="Z29" s="328">
        <f t="shared" si="15"/>
        <v>78.13</v>
      </c>
      <c r="AA29" s="326">
        <f t="shared" si="16"/>
        <v>78.41</v>
      </c>
      <c r="AB29" s="327">
        <f t="shared" si="17"/>
        <v>55.76</v>
      </c>
      <c r="AC29" s="327">
        <f t="shared" si="18"/>
        <v>38.590000000000003</v>
      </c>
      <c r="AD29" s="328">
        <f t="shared" si="19"/>
        <v>40.56</v>
      </c>
      <c r="AE29" s="326">
        <f t="shared" si="20"/>
        <v>57.33</v>
      </c>
      <c r="AF29" s="327">
        <f t="shared" si="21"/>
        <v>62</v>
      </c>
      <c r="AG29" s="327">
        <f t="shared" si="22"/>
        <v>58.92</v>
      </c>
      <c r="AH29" s="328">
        <f t="shared" si="23"/>
        <v>65</v>
      </c>
      <c r="AI29" s="326">
        <f t="shared" si="63"/>
        <v>185.93</v>
      </c>
      <c r="AJ29" s="327">
        <f t="shared" si="63"/>
        <v>162.69999999999999</v>
      </c>
      <c r="AK29" s="327">
        <f t="shared" si="63"/>
        <v>141.32</v>
      </c>
      <c r="AL29" s="328">
        <f t="shared" si="63"/>
        <v>183.69</v>
      </c>
      <c r="AM29" s="326">
        <f t="shared" si="24"/>
        <v>77.830000000000013</v>
      </c>
      <c r="AN29" s="327">
        <f t="shared" si="25"/>
        <v>83.44</v>
      </c>
      <c r="AO29" s="327">
        <f t="shared" si="26"/>
        <v>68.87</v>
      </c>
      <c r="AP29" s="328">
        <f t="shared" si="27"/>
        <v>66.36</v>
      </c>
      <c r="AQ29" s="326">
        <f t="shared" si="28"/>
        <v>137.77000000000001</v>
      </c>
      <c r="AR29" s="327">
        <f t="shared" si="29"/>
        <v>91.12</v>
      </c>
      <c r="AS29" s="327">
        <f t="shared" si="30"/>
        <v>100.56</v>
      </c>
      <c r="AT29" s="328">
        <f t="shared" si="31"/>
        <v>66.599999999999994</v>
      </c>
      <c r="AU29" s="326">
        <f t="shared" si="32"/>
        <v>87.65</v>
      </c>
      <c r="AV29" s="327">
        <f t="shared" si="33"/>
        <v>89.7</v>
      </c>
      <c r="AW29" s="327">
        <f t="shared" si="64"/>
        <v>75.260000000000005</v>
      </c>
      <c r="AX29" s="328">
        <f t="shared" si="65"/>
        <v>97.81</v>
      </c>
      <c r="AY29" s="326">
        <f t="shared" si="66"/>
        <v>303.25</v>
      </c>
      <c r="AZ29" s="327">
        <f t="shared" si="66"/>
        <v>264.26</v>
      </c>
      <c r="BA29" s="327">
        <f t="shared" si="66"/>
        <v>244.69</v>
      </c>
      <c r="BB29" s="328">
        <f t="shared" si="67"/>
        <v>230.76999999999998</v>
      </c>
      <c r="BC29" s="326">
        <f t="shared" si="34"/>
        <v>103.59</v>
      </c>
      <c r="BD29" s="327">
        <f t="shared" si="35"/>
        <v>100.33</v>
      </c>
      <c r="BE29" s="327">
        <f t="shared" si="36"/>
        <v>133.42000000000002</v>
      </c>
      <c r="BF29" s="328">
        <f t="shared" si="68"/>
        <v>84.2</v>
      </c>
      <c r="BG29" s="326">
        <f t="shared" si="37"/>
        <v>83.89</v>
      </c>
      <c r="BH29" s="327">
        <f t="shared" si="38"/>
        <v>96.06</v>
      </c>
      <c r="BI29" s="327">
        <f t="shared" si="39"/>
        <v>93.41</v>
      </c>
      <c r="BJ29" s="328">
        <f t="shared" si="40"/>
        <v>122.16999999999999</v>
      </c>
      <c r="BK29" s="326">
        <f t="shared" si="41"/>
        <v>91.81</v>
      </c>
      <c r="BL29" s="327">
        <f t="shared" si="42"/>
        <v>70.740000000000009</v>
      </c>
      <c r="BM29" s="327">
        <f t="shared" si="69"/>
        <v>67.679999999999993</v>
      </c>
      <c r="BN29" s="328">
        <f t="shared" si="43"/>
        <v>64.45</v>
      </c>
      <c r="BO29" s="326">
        <f t="shared" si="70"/>
        <v>279.29000000000002</v>
      </c>
      <c r="BP29" s="327">
        <f t="shared" si="70"/>
        <v>267.13</v>
      </c>
      <c r="BQ29" s="327">
        <f t="shared" si="70"/>
        <v>294.51</v>
      </c>
      <c r="BR29" s="329"/>
      <c r="BS29" s="335"/>
      <c r="BT29" s="326">
        <f t="shared" si="44"/>
        <v>32.81</v>
      </c>
      <c r="BU29" s="327">
        <f t="shared" si="45"/>
        <v>-44.140000000000015</v>
      </c>
      <c r="BV29" s="328">
        <f t="shared" si="46"/>
        <v>38.78</v>
      </c>
      <c r="BW29" s="326">
        <f t="shared" si="47"/>
        <v>-23.230000000000018</v>
      </c>
      <c r="BX29" s="327">
        <f t="shared" si="48"/>
        <v>-21.379999999999995</v>
      </c>
      <c r="BY29" s="328">
        <f t="shared" si="49"/>
        <v>42.370000000000005</v>
      </c>
      <c r="BZ29" s="326">
        <f t="shared" si="50"/>
        <v>-38.990000000000009</v>
      </c>
      <c r="CA29" s="327">
        <f t="shared" si="71"/>
        <v>-19.569999999999993</v>
      </c>
      <c r="CB29" s="328">
        <f t="shared" si="72"/>
        <v>-13.920000000000016</v>
      </c>
      <c r="CC29" s="326">
        <f t="shared" si="73"/>
        <v>-12.160000000000025</v>
      </c>
      <c r="CD29" s="327">
        <f t="shared" si="73"/>
        <v>27.379999999999995</v>
      </c>
      <c r="CE29" s="329"/>
      <c r="CF29" s="335"/>
      <c r="CG29" s="326">
        <f t="shared" si="51"/>
        <v>133.11000000000001</v>
      </c>
      <c r="CH29" s="327">
        <f t="shared" si="52"/>
        <v>165.92000000000002</v>
      </c>
      <c r="CI29" s="327">
        <f t="shared" si="53"/>
        <v>121.78</v>
      </c>
      <c r="CJ29" s="328">
        <f t="shared" si="54"/>
        <v>160.56</v>
      </c>
      <c r="CK29" s="326">
        <f t="shared" si="55"/>
        <v>319.04000000000002</v>
      </c>
      <c r="CL29" s="327">
        <f t="shared" si="56"/>
        <v>328.62</v>
      </c>
      <c r="CM29" s="327">
        <f t="shared" si="57"/>
        <v>263.10000000000002</v>
      </c>
      <c r="CN29" s="328">
        <f t="shared" si="74"/>
        <v>344.25</v>
      </c>
      <c r="CO29" s="326">
        <f t="shared" si="58"/>
        <v>622.29</v>
      </c>
      <c r="CP29" s="327">
        <f t="shared" si="59"/>
        <v>592.88</v>
      </c>
      <c r="CQ29" s="327">
        <f t="shared" si="75"/>
        <v>507.79</v>
      </c>
      <c r="CR29" s="328">
        <f t="shared" si="76"/>
        <v>575.02</v>
      </c>
      <c r="CS29" s="326">
        <f t="shared" si="60"/>
        <v>901.57999999999993</v>
      </c>
      <c r="CT29" s="327">
        <f t="shared" si="61"/>
        <v>860.01</v>
      </c>
      <c r="CU29" s="327">
        <f t="shared" si="77"/>
        <v>802.3</v>
      </c>
      <c r="CV29" s="328">
        <f t="shared" si="78"/>
        <v>845.84</v>
      </c>
      <c r="CW29" s="335"/>
      <c r="CX29" s="326">
        <f t="shared" si="79"/>
        <v>2.5451242829827918</v>
      </c>
      <c r="CY29" s="327">
        <f t="shared" si="80"/>
        <v>3.1724665391969413</v>
      </c>
      <c r="CZ29" s="327">
        <f t="shared" si="81"/>
        <v>2.3284894837476102</v>
      </c>
      <c r="DA29" s="328">
        <f t="shared" si="82"/>
        <v>3.069980879541109</v>
      </c>
      <c r="DB29" s="326">
        <f t="shared" si="83"/>
        <v>6.1001912045889108</v>
      </c>
      <c r="DC29" s="327">
        <f t="shared" si="84"/>
        <v>6.2833652007648189</v>
      </c>
      <c r="DD29" s="327">
        <f t="shared" si="85"/>
        <v>5.030592734225622</v>
      </c>
      <c r="DE29" s="328">
        <f t="shared" si="86"/>
        <v>6.5822179732313577</v>
      </c>
      <c r="DF29" s="326">
        <f t="shared" si="87"/>
        <v>11.89847036328872</v>
      </c>
      <c r="DG29" s="327">
        <f t="shared" si="88"/>
        <v>11.336137667304016</v>
      </c>
      <c r="DH29" s="327">
        <f t="shared" si="89"/>
        <v>9.7091778202676871</v>
      </c>
      <c r="DI29" s="328">
        <f t="shared" si="90"/>
        <v>10.994646271510517</v>
      </c>
      <c r="DJ29" s="326">
        <f t="shared" si="91"/>
        <v>17.238623326959846</v>
      </c>
      <c r="DK29" s="327">
        <f t="shared" si="92"/>
        <v>16.443785850860422</v>
      </c>
      <c r="DL29" s="327">
        <f t="shared" si="93"/>
        <v>15.340344168260039</v>
      </c>
      <c r="DM29" s="328">
        <f t="shared" si="94"/>
        <v>16.172848948374764</v>
      </c>
    </row>
    <row r="30" spans="1:117" ht="15.75" thickBot="1" x14ac:dyDescent="0.3">
      <c r="A30" s="521"/>
      <c r="B30" s="55">
        <v>24</v>
      </c>
      <c r="C30" s="371">
        <v>44.7</v>
      </c>
      <c r="D30" s="371">
        <v>44.7</v>
      </c>
      <c r="E30" s="371">
        <v>44.7</v>
      </c>
      <c r="F30" s="369">
        <v>44.7</v>
      </c>
      <c r="G30" s="326">
        <f t="shared" si="0"/>
        <v>61.879999999999995</v>
      </c>
      <c r="H30" s="327">
        <f t="shared" si="1"/>
        <v>49.75</v>
      </c>
      <c r="I30" s="327">
        <f t="shared" si="2"/>
        <v>52.45</v>
      </c>
      <c r="J30" s="328">
        <f t="shared" si="3"/>
        <v>53.53</v>
      </c>
      <c r="K30" s="326">
        <f t="shared" si="4"/>
        <v>15.52</v>
      </c>
      <c r="L30" s="327">
        <f t="shared" si="5"/>
        <v>34.5</v>
      </c>
      <c r="M30" s="327">
        <f t="shared" si="6"/>
        <v>22.4</v>
      </c>
      <c r="N30" s="328">
        <f t="shared" si="7"/>
        <v>60.35</v>
      </c>
      <c r="O30" s="326">
        <f t="shared" si="8"/>
        <v>25.990000000000002</v>
      </c>
      <c r="P30" s="327">
        <f t="shared" si="9"/>
        <v>29.77</v>
      </c>
      <c r="Q30" s="327">
        <f t="shared" si="10"/>
        <v>13.799999999999999</v>
      </c>
      <c r="R30" s="334">
        <f t="shared" si="11"/>
        <v>48.56</v>
      </c>
      <c r="S30" s="326">
        <f t="shared" si="62"/>
        <v>103.38999999999999</v>
      </c>
      <c r="T30" s="327">
        <f t="shared" si="62"/>
        <v>114.02</v>
      </c>
      <c r="U30" s="327">
        <f t="shared" si="62"/>
        <v>88.649999999999991</v>
      </c>
      <c r="V30" s="328">
        <f t="shared" si="62"/>
        <v>162.44</v>
      </c>
      <c r="W30" s="326">
        <f t="shared" si="12"/>
        <v>42.349999999999994</v>
      </c>
      <c r="X30" s="327">
        <f t="shared" si="13"/>
        <v>29.76</v>
      </c>
      <c r="Y30" s="327">
        <f t="shared" si="14"/>
        <v>17.14</v>
      </c>
      <c r="Z30" s="328">
        <f t="shared" si="15"/>
        <v>92.41</v>
      </c>
      <c r="AA30" s="326">
        <f t="shared" si="16"/>
        <v>35.019999999999996</v>
      </c>
      <c r="AB30" s="327">
        <f t="shared" si="17"/>
        <v>47.11</v>
      </c>
      <c r="AC30" s="327">
        <f t="shared" si="18"/>
        <v>65.12</v>
      </c>
      <c r="AD30" s="328">
        <f t="shared" si="19"/>
        <v>32.630000000000003</v>
      </c>
      <c r="AE30" s="326">
        <f t="shared" si="20"/>
        <v>32.69</v>
      </c>
      <c r="AF30" s="327">
        <f t="shared" si="21"/>
        <v>55.39</v>
      </c>
      <c r="AG30" s="327">
        <f t="shared" si="22"/>
        <v>63.070000000000007</v>
      </c>
      <c r="AH30" s="328">
        <f t="shared" si="23"/>
        <v>64.31</v>
      </c>
      <c r="AI30" s="326">
        <f t="shared" si="63"/>
        <v>110.05999999999999</v>
      </c>
      <c r="AJ30" s="327">
        <f t="shared" si="63"/>
        <v>132.26</v>
      </c>
      <c r="AK30" s="327">
        <f t="shared" si="63"/>
        <v>145.33000000000001</v>
      </c>
      <c r="AL30" s="328">
        <f t="shared" si="63"/>
        <v>189.35</v>
      </c>
      <c r="AM30" s="326">
        <f t="shared" si="24"/>
        <v>37.86</v>
      </c>
      <c r="AN30" s="327">
        <f t="shared" si="25"/>
        <v>53.04</v>
      </c>
      <c r="AO30" s="327">
        <f t="shared" si="26"/>
        <v>57.019999999999996</v>
      </c>
      <c r="AP30" s="328">
        <f t="shared" si="27"/>
        <v>49.339999999999996</v>
      </c>
      <c r="AQ30" s="326">
        <f t="shared" si="28"/>
        <v>71.77</v>
      </c>
      <c r="AR30" s="327">
        <f t="shared" si="29"/>
        <v>55.93</v>
      </c>
      <c r="AS30" s="327">
        <f t="shared" si="30"/>
        <v>97.320000000000007</v>
      </c>
      <c r="AT30" s="328">
        <f t="shared" si="31"/>
        <v>77.790000000000006</v>
      </c>
      <c r="AU30" s="326">
        <f t="shared" si="32"/>
        <v>75.08</v>
      </c>
      <c r="AV30" s="327">
        <f t="shared" si="33"/>
        <v>68.63</v>
      </c>
      <c r="AW30" s="327">
        <f t="shared" si="64"/>
        <v>87.79</v>
      </c>
      <c r="AX30" s="328">
        <f t="shared" si="65"/>
        <v>70.89</v>
      </c>
      <c r="AY30" s="326">
        <f t="shared" si="66"/>
        <v>184.70999999999998</v>
      </c>
      <c r="AZ30" s="327">
        <f t="shared" si="66"/>
        <v>177.6</v>
      </c>
      <c r="BA30" s="327">
        <f t="shared" si="66"/>
        <v>242.13</v>
      </c>
      <c r="BB30" s="328">
        <f t="shared" si="67"/>
        <v>198.01999999999998</v>
      </c>
      <c r="BC30" s="326">
        <f t="shared" si="34"/>
        <v>82.28</v>
      </c>
      <c r="BD30" s="327">
        <f t="shared" si="35"/>
        <v>87.460000000000008</v>
      </c>
      <c r="BE30" s="327">
        <f t="shared" si="36"/>
        <v>131.74</v>
      </c>
      <c r="BF30" s="328">
        <f t="shared" si="68"/>
        <v>113.12</v>
      </c>
      <c r="BG30" s="326">
        <f t="shared" si="37"/>
        <v>59.83</v>
      </c>
      <c r="BH30" s="327">
        <f t="shared" si="38"/>
        <v>81.02</v>
      </c>
      <c r="BI30" s="327">
        <f t="shared" si="39"/>
        <v>99.53</v>
      </c>
      <c r="BJ30" s="328">
        <f t="shared" si="40"/>
        <v>94.64</v>
      </c>
      <c r="BK30" s="326">
        <f t="shared" si="41"/>
        <v>46.12</v>
      </c>
      <c r="BL30" s="327">
        <f t="shared" si="42"/>
        <v>61.3</v>
      </c>
      <c r="BM30" s="327">
        <f t="shared" si="69"/>
        <v>87.56</v>
      </c>
      <c r="BN30" s="328">
        <f t="shared" si="43"/>
        <v>49.910000000000004</v>
      </c>
      <c r="BO30" s="326">
        <f t="shared" si="70"/>
        <v>188.23000000000002</v>
      </c>
      <c r="BP30" s="327">
        <f t="shared" si="70"/>
        <v>229.78000000000003</v>
      </c>
      <c r="BQ30" s="327">
        <f t="shared" si="70"/>
        <v>318.83000000000004</v>
      </c>
      <c r="BR30" s="329"/>
      <c r="BS30" s="335"/>
      <c r="BT30" s="326">
        <f t="shared" si="44"/>
        <v>10.63000000000001</v>
      </c>
      <c r="BU30" s="327">
        <f t="shared" si="45"/>
        <v>-25.370000000000005</v>
      </c>
      <c r="BV30" s="328">
        <f t="shared" si="46"/>
        <v>73.790000000000006</v>
      </c>
      <c r="BW30" s="326">
        <f t="shared" si="47"/>
        <v>22.200000000000003</v>
      </c>
      <c r="BX30" s="327">
        <f t="shared" si="48"/>
        <v>13.070000000000022</v>
      </c>
      <c r="BY30" s="328">
        <f t="shared" si="49"/>
        <v>44.019999999999982</v>
      </c>
      <c r="BZ30" s="326">
        <f t="shared" si="50"/>
        <v>-7.1099999999999852</v>
      </c>
      <c r="CA30" s="327">
        <f t="shared" si="71"/>
        <v>64.53</v>
      </c>
      <c r="CB30" s="328">
        <f>BB30-BA30</f>
        <v>-44.110000000000014</v>
      </c>
      <c r="CC30" s="326">
        <f t="shared" si="73"/>
        <v>41.550000000000011</v>
      </c>
      <c r="CD30" s="327">
        <f t="shared" si="73"/>
        <v>89.050000000000011</v>
      </c>
      <c r="CE30" s="329"/>
      <c r="CF30" s="335"/>
      <c r="CG30" s="326">
        <f t="shared" si="51"/>
        <v>103.38999999999999</v>
      </c>
      <c r="CH30" s="327">
        <f t="shared" si="52"/>
        <v>114.02</v>
      </c>
      <c r="CI30" s="327">
        <f t="shared" si="53"/>
        <v>88.649999999999991</v>
      </c>
      <c r="CJ30" s="328">
        <f t="shared" si="54"/>
        <v>162.44</v>
      </c>
      <c r="CK30" s="326">
        <f t="shared" si="55"/>
        <v>213.45</v>
      </c>
      <c r="CL30" s="327">
        <f t="shared" si="56"/>
        <v>246.27999999999997</v>
      </c>
      <c r="CM30" s="327">
        <f t="shared" si="57"/>
        <v>233.98000000000002</v>
      </c>
      <c r="CN30" s="328">
        <f t="shared" si="74"/>
        <v>351.79</v>
      </c>
      <c r="CO30" s="326">
        <f t="shared" si="58"/>
        <v>398.15999999999997</v>
      </c>
      <c r="CP30" s="327">
        <f t="shared" si="59"/>
        <v>423.88</v>
      </c>
      <c r="CQ30" s="327">
        <f t="shared" si="75"/>
        <v>476.11</v>
      </c>
      <c r="CR30" s="328">
        <f t="shared" si="76"/>
        <v>549.81000000000006</v>
      </c>
      <c r="CS30" s="326">
        <f t="shared" si="60"/>
        <v>586.39</v>
      </c>
      <c r="CT30" s="327">
        <f t="shared" si="61"/>
        <v>653.66</v>
      </c>
      <c r="CU30" s="327">
        <f t="shared" si="77"/>
        <v>794.94</v>
      </c>
      <c r="CV30" s="328">
        <f t="shared" si="78"/>
        <v>807.48</v>
      </c>
      <c r="CW30" s="335"/>
      <c r="CX30" s="326">
        <f t="shared" si="79"/>
        <v>2.3129753914988811</v>
      </c>
      <c r="CY30" s="327">
        <f t="shared" si="80"/>
        <v>2.5507829977628633</v>
      </c>
      <c r="CZ30" s="327">
        <f t="shared" si="81"/>
        <v>1.9832214765100669</v>
      </c>
      <c r="DA30" s="328">
        <f t="shared" si="82"/>
        <v>3.6340044742729303</v>
      </c>
      <c r="DB30" s="326">
        <f t="shared" si="83"/>
        <v>4.775167785234899</v>
      </c>
      <c r="DC30" s="327">
        <f t="shared" si="84"/>
        <v>5.5096196868008942</v>
      </c>
      <c r="DD30" s="327">
        <f t="shared" si="85"/>
        <v>5.2344519015659952</v>
      </c>
      <c r="DE30" s="328">
        <f t="shared" si="86"/>
        <v>7.8700223713646533</v>
      </c>
      <c r="DF30" s="326">
        <f t="shared" si="87"/>
        <v>8.9073825503355692</v>
      </c>
      <c r="DG30" s="327">
        <f t="shared" si="88"/>
        <v>9.4827740492170012</v>
      </c>
      <c r="DH30" s="327">
        <f t="shared" si="89"/>
        <v>10.651230425055928</v>
      </c>
      <c r="DI30" s="328">
        <f t="shared" si="90"/>
        <v>12.3</v>
      </c>
      <c r="DJ30" s="326">
        <f t="shared" si="91"/>
        <v>13.118344519015659</v>
      </c>
      <c r="DK30" s="327">
        <f t="shared" si="92"/>
        <v>14.623266219239373</v>
      </c>
      <c r="DL30" s="327">
        <f t="shared" si="93"/>
        <v>17.783892617449663</v>
      </c>
      <c r="DM30" s="328">
        <f t="shared" si="94"/>
        <v>18.064429530201341</v>
      </c>
    </row>
    <row r="31" spans="1:117" s="285" customFormat="1" ht="16.5" thickBot="1" x14ac:dyDescent="0.3">
      <c r="A31" s="552" t="s">
        <v>6</v>
      </c>
      <c r="B31" s="553"/>
      <c r="C31" s="160">
        <f>SUM(C7:C30)</f>
        <v>1213.6000000000001</v>
      </c>
      <c r="D31" s="160">
        <f>SUM(D7:D30)</f>
        <v>1213.6000000000001</v>
      </c>
      <c r="E31" s="160">
        <f>SUM(E7:E30)</f>
        <v>1208.4000000000001</v>
      </c>
      <c r="F31" s="160">
        <f>SUM(F7:F30)</f>
        <v>1208.4000000000001</v>
      </c>
      <c r="G31" s="330">
        <f t="shared" ref="G31:R31" si="95">SUBTOTAL(9,G7:G30)</f>
        <v>1264.92</v>
      </c>
      <c r="H31" s="331">
        <f t="shared" si="95"/>
        <v>1415.1399999999999</v>
      </c>
      <c r="I31" s="331">
        <f t="shared" si="95"/>
        <v>1277.7</v>
      </c>
      <c r="J31" s="332">
        <f t="shared" si="95"/>
        <v>1226.3699999999999</v>
      </c>
      <c r="K31" s="330">
        <f t="shared" si="95"/>
        <v>811.91999999999973</v>
      </c>
      <c r="L31" s="331">
        <f t="shared" si="95"/>
        <v>1161.9730000000002</v>
      </c>
      <c r="M31" s="331">
        <f t="shared" si="95"/>
        <v>809.88</v>
      </c>
      <c r="N31" s="332">
        <f t="shared" si="95"/>
        <v>1408.24</v>
      </c>
      <c r="O31" s="330">
        <f t="shared" si="95"/>
        <v>1052.42</v>
      </c>
      <c r="P31" s="331">
        <f t="shared" si="95"/>
        <v>1305.0899999999999</v>
      </c>
      <c r="Q31" s="331">
        <f t="shared" si="95"/>
        <v>606.42999999999995</v>
      </c>
      <c r="R31" s="336">
        <f t="shared" si="95"/>
        <v>1255.2400000000002</v>
      </c>
      <c r="S31" s="330">
        <f>G31+K31+O31</f>
        <v>3129.2599999999998</v>
      </c>
      <c r="T31" s="331">
        <f t="shared" ref="T31:V31" si="96">H31+L31+P31</f>
        <v>3882.2030000000004</v>
      </c>
      <c r="U31" s="331">
        <f t="shared" si="96"/>
        <v>2694.0099999999998</v>
      </c>
      <c r="V31" s="332">
        <f t="shared" si="96"/>
        <v>3889.85</v>
      </c>
      <c r="W31" s="330">
        <f t="shared" ref="W31:AH31" si="97">SUBTOTAL(9,W7:W30)</f>
        <v>1265.5099999999995</v>
      </c>
      <c r="X31" s="331">
        <f t="shared" si="97"/>
        <v>1215.4000000000001</v>
      </c>
      <c r="Y31" s="331">
        <f t="shared" si="97"/>
        <v>995.62</v>
      </c>
      <c r="Z31" s="332">
        <f t="shared" si="97"/>
        <v>1755.8100000000002</v>
      </c>
      <c r="AA31" s="330">
        <f t="shared" si="97"/>
        <v>1463.9200000000003</v>
      </c>
      <c r="AB31" s="331">
        <f t="shared" si="97"/>
        <v>1351.82</v>
      </c>
      <c r="AC31" s="331">
        <f t="shared" si="97"/>
        <v>1262.75</v>
      </c>
      <c r="AD31" s="332">
        <f t="shared" si="97"/>
        <v>1524.9</v>
      </c>
      <c r="AE31" s="330">
        <f t="shared" si="97"/>
        <v>1322.6699999999998</v>
      </c>
      <c r="AF31" s="331">
        <f t="shared" si="97"/>
        <v>1372.71</v>
      </c>
      <c r="AG31" s="331">
        <f t="shared" si="97"/>
        <v>1188.48</v>
      </c>
      <c r="AH31" s="332">
        <f t="shared" si="97"/>
        <v>1378.8800000000003</v>
      </c>
      <c r="AI31" s="330">
        <f>W31+AA31+AE31</f>
        <v>4052.0999999999995</v>
      </c>
      <c r="AJ31" s="331">
        <f t="shared" ref="AJ31:AL31" si="98">X31+AB31+AF31</f>
        <v>3939.9300000000003</v>
      </c>
      <c r="AK31" s="331">
        <f t="shared" si="98"/>
        <v>3446.85</v>
      </c>
      <c r="AL31" s="332">
        <f t="shared" si="98"/>
        <v>4659.59</v>
      </c>
      <c r="AM31" s="330">
        <f t="shared" ref="AM31:AX31" si="99">SUBTOTAL(9,AM7:AM30)</f>
        <v>1446.64</v>
      </c>
      <c r="AN31" s="331">
        <f t="shared" si="99"/>
        <v>1532.82</v>
      </c>
      <c r="AO31" s="331">
        <f t="shared" si="99"/>
        <v>1457.13</v>
      </c>
      <c r="AP31" s="332">
        <f t="shared" si="99"/>
        <v>1412.33</v>
      </c>
      <c r="AQ31" s="330">
        <f t="shared" si="99"/>
        <v>1858.1000000000001</v>
      </c>
      <c r="AR31" s="331">
        <f t="shared" si="99"/>
        <v>1594.9699999999996</v>
      </c>
      <c r="AS31" s="331">
        <f t="shared" si="99"/>
        <v>2015.58</v>
      </c>
      <c r="AT31" s="331">
        <f t="shared" si="99"/>
        <v>1566.75</v>
      </c>
      <c r="AU31" s="330">
        <f t="shared" si="99"/>
        <v>1841.2599999999998</v>
      </c>
      <c r="AV31" s="331">
        <f t="shared" si="99"/>
        <v>1748.8999999999996</v>
      </c>
      <c r="AW31" s="331">
        <f t="shared" si="99"/>
        <v>2212.2900000000004</v>
      </c>
      <c r="AX31" s="332">
        <f t="shared" si="99"/>
        <v>1734.66</v>
      </c>
      <c r="AY31" s="330">
        <f>AM31+AQ31+AU31</f>
        <v>5146</v>
      </c>
      <c r="AZ31" s="331">
        <f t="shared" ref="AZ31:BB31" si="100">AN31+AR31+AV31</f>
        <v>4876.6899999999987</v>
      </c>
      <c r="BA31" s="331">
        <f t="shared" si="100"/>
        <v>5685</v>
      </c>
      <c r="BB31" s="332">
        <f t="shared" si="100"/>
        <v>4713.74</v>
      </c>
      <c r="BC31" s="330">
        <f t="shared" ref="BC31:BN31" si="101">SUBTOTAL(9,BC7:BC30)</f>
        <v>2290.4800000000005</v>
      </c>
      <c r="BD31" s="331">
        <f t="shared" si="101"/>
        <v>1895.94</v>
      </c>
      <c r="BE31" s="331">
        <f t="shared" si="101"/>
        <v>2507.34</v>
      </c>
      <c r="BF31" s="332">
        <f t="shared" si="101"/>
        <v>2223.41</v>
      </c>
      <c r="BG31" s="330">
        <f t="shared" si="101"/>
        <v>1893.7000000000003</v>
      </c>
      <c r="BH31" s="331">
        <f t="shared" si="101"/>
        <v>1734.1999999999998</v>
      </c>
      <c r="BI31" s="331">
        <f t="shared" si="101"/>
        <v>2139.4100000000003</v>
      </c>
      <c r="BJ31" s="332">
        <f t="shared" si="101"/>
        <v>2183.39</v>
      </c>
      <c r="BK31" s="330">
        <f t="shared" si="101"/>
        <v>1943.4399999999998</v>
      </c>
      <c r="BL31" s="331">
        <f t="shared" si="101"/>
        <v>1491.7599999999998</v>
      </c>
      <c r="BM31" s="331">
        <f t="shared" si="101"/>
        <v>1882.64</v>
      </c>
      <c r="BN31" s="332">
        <f t="shared" si="101"/>
        <v>1784.1500000000003</v>
      </c>
      <c r="BO31" s="330">
        <f>BC31+BG31+BK31</f>
        <v>6127.62</v>
      </c>
      <c r="BP31" s="331">
        <f t="shared" ref="BP31:BR31" si="102">BD31+BH31+BL31</f>
        <v>5121.8999999999996</v>
      </c>
      <c r="BQ31" s="331">
        <f t="shared" si="102"/>
        <v>6529.39</v>
      </c>
      <c r="BR31" s="333">
        <f t="shared" si="102"/>
        <v>6190.95</v>
      </c>
      <c r="BS31" s="337"/>
      <c r="BT31" s="330">
        <f t="shared" si="44"/>
        <v>752.94300000000067</v>
      </c>
      <c r="BU31" s="331">
        <f t="shared" si="45"/>
        <v>-1188.1930000000007</v>
      </c>
      <c r="BV31" s="332">
        <f t="shared" si="46"/>
        <v>1195.8400000000001</v>
      </c>
      <c r="BW31" s="330">
        <f t="shared" si="47"/>
        <v>-112.16999999999916</v>
      </c>
      <c r="BX31" s="331">
        <f t="shared" si="48"/>
        <v>-493.08000000000038</v>
      </c>
      <c r="BY31" s="332">
        <f t="shared" si="49"/>
        <v>1212.7400000000002</v>
      </c>
      <c r="BZ31" s="330">
        <f t="shared" si="50"/>
        <v>-269.31000000000131</v>
      </c>
      <c r="CA31" s="331">
        <f t="shared" si="71"/>
        <v>808.31000000000131</v>
      </c>
      <c r="CB31" s="332">
        <f>BB31-BA31</f>
        <v>-971.26000000000022</v>
      </c>
      <c r="CC31" s="330">
        <f t="shared" si="73"/>
        <v>-1005.7200000000003</v>
      </c>
      <c r="CD31" s="331">
        <f t="shared" si="73"/>
        <v>1407.4900000000007</v>
      </c>
      <c r="CE31" s="333">
        <f t="shared" si="73"/>
        <v>-338.44000000000051</v>
      </c>
      <c r="CF31" s="337"/>
      <c r="CG31" s="330">
        <f t="shared" si="51"/>
        <v>3129.2599999999998</v>
      </c>
      <c r="CH31" s="331">
        <f t="shared" si="52"/>
        <v>3882.2030000000004</v>
      </c>
      <c r="CI31" s="331">
        <f t="shared" si="53"/>
        <v>2694.0099999999998</v>
      </c>
      <c r="CJ31" s="332">
        <f t="shared" si="54"/>
        <v>3889.85</v>
      </c>
      <c r="CK31" s="330">
        <f t="shared" si="55"/>
        <v>7181.36</v>
      </c>
      <c r="CL31" s="331">
        <f t="shared" si="56"/>
        <v>7822.1330000000007</v>
      </c>
      <c r="CM31" s="331">
        <f t="shared" si="57"/>
        <v>6140.8599999999988</v>
      </c>
      <c r="CN31" s="332">
        <f t="shared" si="74"/>
        <v>8549.44</v>
      </c>
      <c r="CO31" s="330">
        <f t="shared" si="58"/>
        <v>12327.36</v>
      </c>
      <c r="CP31" s="331">
        <f t="shared" si="59"/>
        <v>12698.823</v>
      </c>
      <c r="CQ31" s="331">
        <f t="shared" si="75"/>
        <v>11825.86</v>
      </c>
      <c r="CR31" s="331">
        <f t="shared" si="75"/>
        <v>13263.18</v>
      </c>
      <c r="CS31" s="330">
        <f t="shared" si="60"/>
        <v>18454.98</v>
      </c>
      <c r="CT31" s="331">
        <f t="shared" si="61"/>
        <v>17820.722999999998</v>
      </c>
      <c r="CU31" s="331">
        <f t="shared" si="77"/>
        <v>18355.25</v>
      </c>
      <c r="CV31" s="332">
        <f>CR31+BF31+BJ31+BN31</f>
        <v>19454.13</v>
      </c>
      <c r="CW31" s="337"/>
      <c r="CX31" s="330">
        <f t="shared" si="79"/>
        <v>2.5784937376400787</v>
      </c>
      <c r="CY31" s="331">
        <f t="shared" si="80"/>
        <v>3.1989147989452866</v>
      </c>
      <c r="CZ31" s="331">
        <f t="shared" si="81"/>
        <v>2.2294025157232702</v>
      </c>
      <c r="DA31" s="332">
        <f t="shared" si="82"/>
        <v>3.2190086064217143</v>
      </c>
      <c r="DB31" s="330">
        <f t="shared" si="83"/>
        <v>5.9174027686222797</v>
      </c>
      <c r="DC31" s="331">
        <f t="shared" si="84"/>
        <v>6.4453963414634146</v>
      </c>
      <c r="DD31" s="331">
        <f t="shared" si="85"/>
        <v>5.0818106587222758</v>
      </c>
      <c r="DE31" s="332">
        <f t="shared" si="86"/>
        <v>7.0750082754054944</v>
      </c>
      <c r="DF31" s="330">
        <f t="shared" si="87"/>
        <v>10.157679630850362</v>
      </c>
      <c r="DG31" s="331">
        <f t="shared" si="88"/>
        <v>10.463763183915622</v>
      </c>
      <c r="DH31" s="331">
        <f t="shared" si="89"/>
        <v>9.7863786825554442</v>
      </c>
      <c r="DI31" s="332">
        <v>11.099436090225563</v>
      </c>
      <c r="DJ31" s="330">
        <f t="shared" si="91"/>
        <v>15.206806196440342</v>
      </c>
      <c r="DK31" s="331">
        <f t="shared" si="92"/>
        <v>14.684181773236649</v>
      </c>
      <c r="DL31" s="331">
        <f t="shared" si="93"/>
        <v>15.189713670969876</v>
      </c>
      <c r="DM31" s="332">
        <f t="shared" si="93"/>
        <v>16.099081429990068</v>
      </c>
    </row>
    <row r="32" spans="1:117" s="285" customFormat="1" ht="15.75" x14ac:dyDescent="0.25">
      <c r="A32" s="310"/>
      <c r="B32" s="310"/>
      <c r="C32" s="372"/>
      <c r="D32" s="372"/>
      <c r="E32" s="372"/>
      <c r="F32" s="311"/>
      <c r="BB32" s="365"/>
      <c r="CX32" s="312"/>
      <c r="CY32" s="312"/>
      <c r="CZ32" s="312"/>
      <c r="DA32" s="312"/>
      <c r="DM32" s="365"/>
    </row>
    <row r="33" spans="1:117" x14ac:dyDescent="0.25">
      <c r="CF33" s="280" cm="1">
        <f t="array" aca="1" ref="CF33" ca="1">BW:CF</f>
        <v>0</v>
      </c>
    </row>
    <row r="34" spans="1:117" ht="15.75" hidden="1" customHeight="1" thickBot="1" x14ac:dyDescent="0.25">
      <c r="CS34" s="280">
        <f>G31+K31+O31+W31+AA31+AE31+AM31+AQ31+AU31+BC31+BG31+BK31</f>
        <v>18454.98</v>
      </c>
      <c r="CT34" s="280">
        <f>H31+L31+P31+X31+AB31+AF31+AN31+AR31+AV31+BD31+BH31+BL31</f>
        <v>17820.722999999998</v>
      </c>
      <c r="CU34" s="280">
        <f>I31+M31+Q31+Y31+AC31+AG31+AO31+AS31+AW31+BE31+BI31+BM31</f>
        <v>18355.25</v>
      </c>
      <c r="CV34" s="280">
        <f>J31+N31+R31+Z31+AD31+AH31+AP31+AT31+AX31+BF31+BJ31+BN31</f>
        <v>19454.13</v>
      </c>
      <c r="DJ34" s="280">
        <f>X31+AB31+AF31+AN31+AR31+AV31+BD31+BH31+BL31+BT31+BX31+CB31</f>
        <v>13227.123</v>
      </c>
      <c r="DK34" s="280">
        <f>Y31+AC31+AG31+AO31+AS31+AW31+BE31+BI31+BM31+BU31+BY31+CC31</f>
        <v>14680.066999999999</v>
      </c>
      <c r="DL34" s="280">
        <f>Z31+AD31+AH31+AP31+AT31+AX31+BF31+BJ31+BN31+BV31+BZ31+CD31</f>
        <v>17898.3</v>
      </c>
      <c r="DM34" s="335">
        <f>AA31+AE31+AI31+AQ31+AU31+AY31+BG31+BK31+BO31+BW31+CA31+CE31</f>
        <v>26006.510000000002</v>
      </c>
    </row>
    <row r="35" spans="1:117" ht="15.75" hidden="1" customHeight="1" thickBot="1" x14ac:dyDescent="0.25"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BT35" s="529" t="s">
        <v>61</v>
      </c>
      <c r="BU35" s="530"/>
      <c r="BV35" s="531"/>
      <c r="BW35" s="529" t="s">
        <v>58</v>
      </c>
      <c r="BX35" s="530"/>
      <c r="BY35" s="531"/>
      <c r="BZ35" s="529" t="s">
        <v>55</v>
      </c>
      <c r="CA35" s="530"/>
      <c r="CB35" s="531"/>
      <c r="CC35" s="529" t="s">
        <v>52</v>
      </c>
      <c r="CD35" s="530"/>
      <c r="CE35" s="531"/>
    </row>
    <row r="36" spans="1:117" ht="15.75" hidden="1" customHeight="1" x14ac:dyDescent="0.25">
      <c r="A36" s="523" t="s">
        <v>3</v>
      </c>
      <c r="B36" s="524"/>
      <c r="C36" s="373"/>
      <c r="D36" s="373"/>
      <c r="E36" s="373"/>
      <c r="F36" s="543" t="s">
        <v>4</v>
      </c>
      <c r="G36" s="498" t="s">
        <v>37</v>
      </c>
      <c r="H36" s="499"/>
      <c r="I36" s="499"/>
      <c r="J36" s="500"/>
      <c r="K36" s="498" t="s">
        <v>38</v>
      </c>
      <c r="L36" s="499"/>
      <c r="M36" s="499"/>
      <c r="N36" s="500"/>
      <c r="O36" s="498" t="s">
        <v>39</v>
      </c>
      <c r="P36" s="499"/>
      <c r="Q36" s="499"/>
      <c r="R36" s="500"/>
      <c r="W36" s="498" t="s">
        <v>40</v>
      </c>
      <c r="X36" s="499"/>
      <c r="Y36" s="499"/>
      <c r="Z36" s="500"/>
      <c r="AA36" s="498" t="s">
        <v>11</v>
      </c>
      <c r="AB36" s="499"/>
      <c r="AC36" s="499"/>
      <c r="AD36" s="500"/>
      <c r="AE36" s="498" t="s">
        <v>41</v>
      </c>
      <c r="AF36" s="499"/>
      <c r="AG36" s="499"/>
      <c r="AH36" s="500"/>
      <c r="AM36" s="498" t="s">
        <v>42</v>
      </c>
      <c r="AN36" s="499"/>
      <c r="AO36" s="499"/>
      <c r="AP36" s="500"/>
      <c r="AQ36" s="498" t="s">
        <v>43</v>
      </c>
      <c r="AR36" s="499"/>
      <c r="AS36" s="499"/>
      <c r="AT36" s="500"/>
      <c r="AU36" s="498" t="s">
        <v>44</v>
      </c>
      <c r="AV36" s="499"/>
      <c r="AW36" s="499"/>
      <c r="AX36" s="500"/>
      <c r="BC36" s="498" t="s">
        <v>45</v>
      </c>
      <c r="BD36" s="499"/>
      <c r="BE36" s="499"/>
      <c r="BF36" s="500"/>
      <c r="BG36" s="498" t="s">
        <v>46</v>
      </c>
      <c r="BH36" s="499"/>
      <c r="BI36" s="499"/>
      <c r="BJ36" s="500"/>
      <c r="BK36" s="498" t="s">
        <v>47</v>
      </c>
      <c r="BL36" s="499"/>
      <c r="BM36" s="499"/>
      <c r="BN36" s="500"/>
      <c r="BT36" s="532"/>
      <c r="BU36" s="533"/>
      <c r="BV36" s="534"/>
      <c r="BW36" s="532"/>
      <c r="BX36" s="533"/>
      <c r="BY36" s="534"/>
      <c r="BZ36" s="532"/>
      <c r="CA36" s="533"/>
      <c r="CB36" s="534"/>
      <c r="CC36" s="532"/>
      <c r="CD36" s="533"/>
      <c r="CE36" s="534"/>
    </row>
    <row r="37" spans="1:117" ht="15.75" hidden="1" customHeight="1" thickBot="1" x14ac:dyDescent="0.3">
      <c r="A37" s="525"/>
      <c r="B37" s="526"/>
      <c r="C37" s="374"/>
      <c r="D37" s="374"/>
      <c r="E37" s="374"/>
      <c r="F37" s="536"/>
      <c r="G37" s="288">
        <v>2022</v>
      </c>
      <c r="H37" s="289">
        <v>2023</v>
      </c>
      <c r="I37" s="289">
        <v>2024</v>
      </c>
      <c r="J37" s="290">
        <v>2025</v>
      </c>
      <c r="K37" s="288">
        <v>2022</v>
      </c>
      <c r="L37" s="289">
        <v>2023</v>
      </c>
      <c r="M37" s="289">
        <v>2024</v>
      </c>
      <c r="N37" s="290">
        <v>2025</v>
      </c>
      <c r="O37" s="288">
        <v>2022</v>
      </c>
      <c r="P37" s="289">
        <v>2023</v>
      </c>
      <c r="Q37" s="289">
        <v>2024</v>
      </c>
      <c r="R37" s="290">
        <v>2025</v>
      </c>
      <c r="W37" s="288">
        <v>2022</v>
      </c>
      <c r="X37" s="289">
        <v>2023</v>
      </c>
      <c r="Y37" s="289">
        <v>2024</v>
      </c>
      <c r="Z37" s="290">
        <v>2025</v>
      </c>
      <c r="AA37" s="288">
        <v>2022</v>
      </c>
      <c r="AB37" s="289">
        <v>2023</v>
      </c>
      <c r="AC37" s="289">
        <v>2024</v>
      </c>
      <c r="AD37" s="290">
        <v>2025</v>
      </c>
      <c r="AE37" s="288">
        <v>2022</v>
      </c>
      <c r="AF37" s="289">
        <v>2023</v>
      </c>
      <c r="AG37" s="289">
        <v>2024</v>
      </c>
      <c r="AH37" s="290">
        <v>2025</v>
      </c>
      <c r="AM37" s="288">
        <v>2022</v>
      </c>
      <c r="AN37" s="289">
        <v>2023</v>
      </c>
      <c r="AO37" s="289">
        <v>2024</v>
      </c>
      <c r="AP37" s="290">
        <v>2025</v>
      </c>
      <c r="AQ37" s="288">
        <v>2022</v>
      </c>
      <c r="AR37" s="289">
        <v>2023</v>
      </c>
      <c r="AS37" s="289">
        <v>2024</v>
      </c>
      <c r="AT37" s="290">
        <v>2025</v>
      </c>
      <c r="AU37" s="288">
        <v>2022</v>
      </c>
      <c r="AV37" s="289">
        <v>2023</v>
      </c>
      <c r="AW37" s="289">
        <v>2024</v>
      </c>
      <c r="AX37" s="290">
        <v>2025</v>
      </c>
      <c r="BC37" s="288">
        <v>2022</v>
      </c>
      <c r="BD37" s="289">
        <v>2023</v>
      </c>
      <c r="BE37" s="289">
        <v>2024</v>
      </c>
      <c r="BF37" s="290">
        <v>2025</v>
      </c>
      <c r="BG37" s="288">
        <v>2022</v>
      </c>
      <c r="BH37" s="289">
        <v>2023</v>
      </c>
      <c r="BI37" s="289">
        <v>2024</v>
      </c>
      <c r="BJ37" s="290">
        <v>2025</v>
      </c>
      <c r="BK37" s="288">
        <v>2022</v>
      </c>
      <c r="BL37" s="289">
        <v>2023</v>
      </c>
      <c r="BM37" s="289">
        <v>2024</v>
      </c>
      <c r="BN37" s="290">
        <v>2025</v>
      </c>
      <c r="BT37" s="288" t="s">
        <v>48</v>
      </c>
      <c r="BU37" s="289" t="s">
        <v>49</v>
      </c>
      <c r="BV37" s="290" t="s">
        <v>50</v>
      </c>
      <c r="BW37" s="288" t="s">
        <v>48</v>
      </c>
      <c r="BX37" s="289" t="s">
        <v>49</v>
      </c>
      <c r="BY37" s="290" t="s">
        <v>50</v>
      </c>
      <c r="BZ37" s="288" t="s">
        <v>48</v>
      </c>
      <c r="CA37" s="289" t="s">
        <v>49</v>
      </c>
      <c r="CB37" s="290" t="s">
        <v>50</v>
      </c>
      <c r="CC37" s="288" t="s">
        <v>48</v>
      </c>
      <c r="CD37" s="289" t="s">
        <v>49</v>
      </c>
      <c r="CE37" s="290" t="s">
        <v>50</v>
      </c>
    </row>
    <row r="38" spans="1:117" ht="15" hidden="1" customHeight="1" x14ac:dyDescent="0.25">
      <c r="A38" s="520" t="s">
        <v>21</v>
      </c>
      <c r="B38" s="23">
        <v>1</v>
      </c>
      <c r="C38" s="367"/>
      <c r="D38" s="367"/>
      <c r="E38" s="367"/>
      <c r="F38" s="367">
        <v>53.2</v>
      </c>
      <c r="G38" s="281">
        <f t="shared" ref="G38:G74" si="103">VLOOKUP(B38,year2022to23,72,FALSE)</f>
        <v>62.09</v>
      </c>
      <c r="H38" s="282">
        <f t="shared" ref="H38:H74" si="104">VLOOKUP(B38,year2022to23,132,FALSE)</f>
        <v>93.17</v>
      </c>
      <c r="I38" s="282">
        <f t="shared" ref="I38:I74" si="105">VLOOKUP(B38,year2022to23,192,FALSE)</f>
        <v>36.94</v>
      </c>
      <c r="J38" s="283">
        <f t="shared" ref="J38:J74" si="106">VLOOKUP(B38,year2022to23,252,FALSE)</f>
        <v>69.42</v>
      </c>
      <c r="K38" s="281">
        <f t="shared" ref="K38:K74" si="107">VLOOKUP(B38,year2022to23,77,FALSE)</f>
        <v>55.72</v>
      </c>
      <c r="L38" s="282">
        <f t="shared" ref="L38:L74" si="108">VLOOKUP(B38,year2022to23,137,FALSE)</f>
        <v>56.28</v>
      </c>
      <c r="M38" s="282">
        <f t="shared" ref="M38:M74" si="109">VLOOKUP(B38,year2022to23,197,FALSE)</f>
        <v>39.44</v>
      </c>
      <c r="N38" s="283">
        <f t="shared" ref="N38:N74" si="110">VLOOKUP(B38,year2022to23,257,FALSE)</f>
        <v>43.2</v>
      </c>
      <c r="O38" s="281">
        <f t="shared" ref="O38:O74" si="111">VLOOKUP(B38,year2022to23,82,FALSE)</f>
        <v>43.06</v>
      </c>
      <c r="P38" s="282">
        <f t="shared" ref="P38:P74" si="112">VLOOKUP(B38,year2022to23,142,FALSE)</f>
        <v>31.12</v>
      </c>
      <c r="Q38" s="282">
        <f t="shared" ref="Q38:Q74" si="113">VLOOKUP(B38,year2022to23,202,FALSE)</f>
        <v>27.55</v>
      </c>
      <c r="R38" s="283">
        <f t="shared" ref="R38:R74" si="114">VLOOKUP(B38,year2022to23,262,FALSE)</f>
        <v>71.900000000000006</v>
      </c>
      <c r="W38" s="281">
        <f t="shared" ref="W38:W74" si="115">VLOOKUP(B38,year2022to23,87,FALSE)</f>
        <v>87.37</v>
      </c>
      <c r="X38" s="282">
        <f t="shared" ref="X38:X74" si="116">VLOOKUP(B38,year2022to23,147,FALSE)</f>
        <v>36.07</v>
      </c>
      <c r="Y38" s="282">
        <f t="shared" ref="Y38:Y74" si="117">VLOOKUP(B38,year2022to23,207,FALSE)</f>
        <v>34.130000000000003</v>
      </c>
      <c r="Z38" s="283">
        <f t="shared" ref="Z38:Z74" si="118">VLOOKUP(B38,year2022to23,267,FALSE)</f>
        <v>82.490000000000009</v>
      </c>
      <c r="AA38" s="281">
        <f t="shared" ref="AA38:AA74" si="119">VLOOKUP(B38,year2022to23,92,FALSE)</f>
        <v>52.38</v>
      </c>
      <c r="AB38" s="282">
        <f t="shared" ref="AB38:AB74" si="120">VLOOKUP(B38,year2022to23,152,FALSE)</f>
        <v>50.52</v>
      </c>
      <c r="AC38" s="282">
        <f t="shared" ref="AC38:AC74" si="121">VLOOKUP(B38,year2022to23,212,FALSE)</f>
        <v>58.91</v>
      </c>
      <c r="AD38" s="283">
        <f t="shared" ref="AD38:AD74" si="122">VLOOKUP(B38,year2022to23,272,FALSE)</f>
        <v>84.13</v>
      </c>
      <c r="AE38" s="281">
        <f t="shared" ref="AE38:AE74" si="123">VLOOKUP(B38,year2022to23,97,FALSE)</f>
        <v>54.89</v>
      </c>
      <c r="AF38" s="282">
        <f t="shared" ref="AF38:AF74" si="124">VLOOKUP(B38,year2022to23,157,FALSE)</f>
        <v>55.36</v>
      </c>
      <c r="AG38" s="282">
        <f t="shared" ref="AG38:AG74" si="125">VLOOKUP(B38,year2022to23,217,FALSE)</f>
        <v>54.04</v>
      </c>
      <c r="AH38" s="283">
        <f t="shared" ref="AH38:AH74" si="126">VLOOKUP(B38,year2022to23,277,FALSE)</f>
        <v>52.52</v>
      </c>
      <c r="AM38" s="281">
        <f t="shared" ref="AM38:AM74" si="127">VLOOKUP(B38,year2022to23,102,FALSE)</f>
        <v>67.599999999999994</v>
      </c>
      <c r="AN38" s="282">
        <f t="shared" ref="AN38:AN74" si="128">VLOOKUP(B38,year2022to23,162,FALSE)</f>
        <v>46.79</v>
      </c>
      <c r="AO38" s="282">
        <f t="shared" ref="AO38:AO74" si="129">VLOOKUP(B38,year2022to23,222,FALSE)</f>
        <v>44.8</v>
      </c>
      <c r="AP38" s="283">
        <f t="shared" ref="AP38:AP74" si="130">VLOOKUP(B38,year2022to23,282,FALSE)</f>
        <v>45.54</v>
      </c>
      <c r="AQ38" s="281">
        <f t="shared" ref="AQ38:AQ74" si="131">VLOOKUP(B38,year2022to23,107,FALSE)</f>
        <v>45.84</v>
      </c>
      <c r="AR38" s="282">
        <f t="shared" ref="AR38:AR74" si="132">VLOOKUP(B38,year2022to23,167,FALSE)</f>
        <v>54.7</v>
      </c>
      <c r="AS38" s="282">
        <f t="shared" ref="AS38:AS74" si="133">VLOOKUP(B38,year2022to23,227,FALSE)</f>
        <v>65.94</v>
      </c>
      <c r="AT38" s="283">
        <f t="shared" ref="AT38:AT74" si="134">IFERROR(VLOOKUP(B38,year2022to23,287,FALSE),0)</f>
        <v>64.97999999999999</v>
      </c>
      <c r="AU38" s="281">
        <f t="shared" ref="AU38:AU74" si="135">VLOOKUP(B38,year2022to23,112,FALSE)</f>
        <v>70.95</v>
      </c>
      <c r="AV38" s="282">
        <f t="shared" ref="AV38:AV74" si="136">VLOOKUP(B38,year2022to23,172,FALSE)</f>
        <v>66.5</v>
      </c>
      <c r="AW38" s="282">
        <f t="shared" ref="AW38:AW74" si="137">VLOOKUP(B38,year2022to23,232,FALSE)</f>
        <v>51.120000000000005</v>
      </c>
      <c r="AX38" s="283"/>
      <c r="BC38" s="281">
        <f t="shared" ref="BC38:BC74" si="138">VLOOKUP(B38,year2022to23,117,FALSE)</f>
        <v>71.67</v>
      </c>
      <c r="BD38" s="282">
        <f t="shared" ref="BD38:BD74" si="139">VLOOKUP(B38,year2022to23,177,FALSE)</f>
        <v>74.05</v>
      </c>
      <c r="BE38" s="282">
        <f t="shared" ref="BE38:BE74" si="140">VLOOKUP(B38,year2022to23,237,FALSE)</f>
        <v>108.35</v>
      </c>
      <c r="BF38" s="283"/>
      <c r="BG38" s="281">
        <f t="shared" ref="BG38:BG74" si="141">VLOOKUP(B38,year2022to23,122,FALSE)</f>
        <v>65.84</v>
      </c>
      <c r="BH38" s="282">
        <f t="shared" ref="BH38:BH74" si="142">VLOOKUP(B38,year2022to23,182,FALSE)</f>
        <v>83.77000000000001</v>
      </c>
      <c r="BI38" s="282">
        <f t="shared" ref="BI38:BI74" si="143">VLOOKUP(B38,year2022to23,242,FALSE)</f>
        <v>103.85</v>
      </c>
      <c r="BJ38" s="283"/>
      <c r="BK38" s="281">
        <f t="shared" ref="BK38:BK74" si="144">VLOOKUP(B38,year2022to23,127,FALSE)</f>
        <v>98.16</v>
      </c>
      <c r="BL38" s="282">
        <f t="shared" ref="BL38:BL74" si="145">VLOOKUP(B38,year2022to23,187,FALSE)</f>
        <v>57.010000000000005</v>
      </c>
      <c r="BM38" s="282">
        <f t="shared" ref="BM38:BM74" si="146">VLOOKUP(B38,year2022to23,247,FALSE)</f>
        <v>82.070000000000007</v>
      </c>
      <c r="BN38" s="283"/>
      <c r="BT38" s="281">
        <f t="shared" ref="BT38:BT61" si="147">T7-S7</f>
        <v>19.699999999999989</v>
      </c>
      <c r="BU38" s="282">
        <f t="shared" ref="BU38:BU61" si="148">U7-T7</f>
        <v>-76.64</v>
      </c>
      <c r="BV38" s="283">
        <f t="shared" ref="BV38:BV61" si="149">V7-U7</f>
        <v>80.590000000000018</v>
      </c>
      <c r="BW38" s="281">
        <f t="shared" ref="BW38:BW61" si="150">AJ7-AI7</f>
        <v>-52.69</v>
      </c>
      <c r="BX38" s="281">
        <f t="shared" ref="BX38:BX61" si="151">AK7-AJ7</f>
        <v>5.1299999999999955</v>
      </c>
      <c r="BY38" s="281">
        <f t="shared" ref="BY38:BY61" si="152">AL7-AK7</f>
        <v>72.060000000000031</v>
      </c>
      <c r="BZ38" s="281">
        <f t="shared" ref="BZ38:BZ61" si="153">AZ7-AY7</f>
        <v>-16.399999999999977</v>
      </c>
      <c r="CA38" s="281">
        <f t="shared" ref="CA38:CA61" si="154">BA7-AZ7</f>
        <v>-6.1299999999999955</v>
      </c>
      <c r="CB38" s="281">
        <f t="shared" ref="CB38:CB61" si="155">BB7-BA7</f>
        <v>24.96999999999997</v>
      </c>
      <c r="CC38" s="281">
        <f t="shared" ref="CC38:CC61" si="156">BP7-BO7</f>
        <v>-20.840000000000003</v>
      </c>
      <c r="CD38" s="281">
        <f t="shared" ref="CD38:CD61" si="157">BQ7-BP7</f>
        <v>79.44</v>
      </c>
      <c r="CE38" s="281">
        <f t="shared" ref="CE38:CE61" si="158">BR7-BQ7</f>
        <v>-294.27</v>
      </c>
    </row>
    <row r="39" spans="1:117" ht="15" hidden="1" customHeight="1" x14ac:dyDescent="0.25">
      <c r="A39" s="521"/>
      <c r="B39" s="55">
        <v>2</v>
      </c>
      <c r="C39" s="368"/>
      <c r="D39" s="368"/>
      <c r="E39" s="368"/>
      <c r="F39" s="368">
        <v>60.4</v>
      </c>
      <c r="G39" s="281">
        <f t="shared" si="103"/>
        <v>51.989999999999995</v>
      </c>
      <c r="H39" s="282">
        <f t="shared" si="104"/>
        <v>60.95</v>
      </c>
      <c r="I39" s="282">
        <f t="shared" si="105"/>
        <v>72.94</v>
      </c>
      <c r="J39" s="283">
        <f t="shared" si="106"/>
        <v>64.36</v>
      </c>
      <c r="K39" s="281">
        <f t="shared" si="107"/>
        <v>43.8</v>
      </c>
      <c r="L39" s="282">
        <f t="shared" si="108"/>
        <v>64.849999999999994</v>
      </c>
      <c r="M39" s="282">
        <f t="shared" si="109"/>
        <v>36.26</v>
      </c>
      <c r="N39" s="283">
        <f t="shared" si="110"/>
        <v>79.91</v>
      </c>
      <c r="O39" s="281">
        <f t="shared" si="111"/>
        <v>65.31</v>
      </c>
      <c r="P39" s="282">
        <f t="shared" si="112"/>
        <v>58.69</v>
      </c>
      <c r="Q39" s="282">
        <f t="shared" si="113"/>
        <v>39.31</v>
      </c>
      <c r="R39" s="283">
        <f t="shared" si="114"/>
        <v>91.039999999999992</v>
      </c>
      <c r="W39" s="281">
        <f t="shared" si="115"/>
        <v>51.57</v>
      </c>
      <c r="X39" s="282">
        <f t="shared" si="116"/>
        <v>40.72</v>
      </c>
      <c r="Y39" s="282">
        <f t="shared" si="117"/>
        <v>55.739999999999995</v>
      </c>
      <c r="Z39" s="283">
        <f t="shared" si="118"/>
        <v>74.37</v>
      </c>
      <c r="AA39" s="281">
        <f t="shared" si="119"/>
        <v>45</v>
      </c>
      <c r="AB39" s="282">
        <f t="shared" si="120"/>
        <v>44.45</v>
      </c>
      <c r="AC39" s="282">
        <f t="shared" si="121"/>
        <v>75.750000000000014</v>
      </c>
      <c r="AD39" s="283">
        <f t="shared" si="122"/>
        <v>93.050000000000011</v>
      </c>
      <c r="AE39" s="281">
        <f t="shared" si="123"/>
        <v>49.9</v>
      </c>
      <c r="AF39" s="282">
        <f t="shared" si="124"/>
        <v>37.950000000000003</v>
      </c>
      <c r="AG39" s="282">
        <f t="shared" si="125"/>
        <v>63.910000000000004</v>
      </c>
      <c r="AH39" s="283">
        <f t="shared" si="126"/>
        <v>39.56</v>
      </c>
      <c r="AM39" s="281">
        <f t="shared" si="127"/>
        <v>40.17</v>
      </c>
      <c r="AN39" s="282">
        <f t="shared" si="128"/>
        <v>46.84</v>
      </c>
      <c r="AO39" s="282">
        <f t="shared" si="129"/>
        <v>51.46</v>
      </c>
      <c r="AP39" s="283">
        <f t="shared" si="130"/>
        <v>57.839999999999996</v>
      </c>
      <c r="AQ39" s="281">
        <f t="shared" si="131"/>
        <v>57.61</v>
      </c>
      <c r="AR39" s="282">
        <f t="shared" si="132"/>
        <v>52.89</v>
      </c>
      <c r="AS39" s="282">
        <f t="shared" si="133"/>
        <v>107.30000000000001</v>
      </c>
      <c r="AT39" s="283">
        <f t="shared" si="134"/>
        <v>51.16</v>
      </c>
      <c r="AU39" s="281">
        <f t="shared" si="135"/>
        <v>45.47</v>
      </c>
      <c r="AV39" s="282">
        <f t="shared" si="136"/>
        <v>63.92</v>
      </c>
      <c r="AW39" s="282">
        <f t="shared" si="137"/>
        <v>75.03</v>
      </c>
      <c r="AX39" s="283"/>
      <c r="BC39" s="281">
        <f t="shared" si="138"/>
        <v>85.67</v>
      </c>
      <c r="BD39" s="282">
        <f t="shared" si="139"/>
        <v>67.58</v>
      </c>
      <c r="BE39" s="282">
        <f t="shared" si="140"/>
        <v>84.31</v>
      </c>
      <c r="BF39" s="283"/>
      <c r="BG39" s="281">
        <f t="shared" si="141"/>
        <v>59.79</v>
      </c>
      <c r="BH39" s="282">
        <f t="shared" si="142"/>
        <v>73.8</v>
      </c>
      <c r="BI39" s="282">
        <f t="shared" si="143"/>
        <v>95.713999999999999</v>
      </c>
      <c r="BJ39" s="283"/>
      <c r="BK39" s="281">
        <f t="shared" si="144"/>
        <v>67.02000000000001</v>
      </c>
      <c r="BL39" s="282">
        <f t="shared" si="145"/>
        <v>89.22</v>
      </c>
      <c r="BM39" s="282">
        <f t="shared" si="146"/>
        <v>70.989999999999995</v>
      </c>
      <c r="BN39" s="283"/>
      <c r="BT39" s="281">
        <f t="shared" si="147"/>
        <v>23.390000000000015</v>
      </c>
      <c r="BU39" s="282">
        <f t="shared" si="148"/>
        <v>-35.980000000000018</v>
      </c>
      <c r="BV39" s="283">
        <f t="shared" si="149"/>
        <v>86.799999999999983</v>
      </c>
      <c r="BW39" s="281">
        <f t="shared" si="150"/>
        <v>-23.349999999999994</v>
      </c>
      <c r="BX39" s="281">
        <f t="shared" si="151"/>
        <v>72.28</v>
      </c>
      <c r="BY39" s="281">
        <f t="shared" si="152"/>
        <v>11.580000000000013</v>
      </c>
      <c r="BZ39" s="281">
        <f t="shared" si="153"/>
        <v>20.400000000000006</v>
      </c>
      <c r="CA39" s="282">
        <f t="shared" si="154"/>
        <v>70.140000000000015</v>
      </c>
      <c r="CB39" s="283">
        <f t="shared" si="155"/>
        <v>-48.54000000000002</v>
      </c>
      <c r="CC39" s="281">
        <f t="shared" si="156"/>
        <v>18.119999999999976</v>
      </c>
      <c r="CD39" s="282">
        <f t="shared" si="157"/>
        <v>20.414000000000016</v>
      </c>
      <c r="CE39" s="283">
        <f t="shared" si="158"/>
        <v>-251.01400000000001</v>
      </c>
    </row>
    <row r="40" spans="1:117" ht="15" hidden="1" customHeight="1" x14ac:dyDescent="0.25">
      <c r="A40" s="521"/>
      <c r="B40" s="55">
        <v>3</v>
      </c>
      <c r="C40" s="368"/>
      <c r="D40" s="368"/>
      <c r="E40" s="368"/>
      <c r="F40" s="368">
        <v>69.2</v>
      </c>
      <c r="G40" s="281">
        <f t="shared" si="103"/>
        <v>47.6</v>
      </c>
      <c r="H40" s="282">
        <f t="shared" si="104"/>
        <v>58.34</v>
      </c>
      <c r="I40" s="282">
        <f t="shared" si="105"/>
        <v>71.239999999999995</v>
      </c>
      <c r="J40" s="283">
        <f t="shared" si="106"/>
        <v>53.85</v>
      </c>
      <c r="K40" s="281">
        <f t="shared" si="107"/>
        <v>40.200000000000003</v>
      </c>
      <c r="L40" s="282">
        <f t="shared" si="108"/>
        <v>61.71</v>
      </c>
      <c r="M40" s="282">
        <f t="shared" si="109"/>
        <v>38.61</v>
      </c>
      <c r="N40" s="283">
        <f t="shared" si="110"/>
        <v>79.23</v>
      </c>
      <c r="O40" s="281">
        <f t="shared" si="111"/>
        <v>76.539999999999992</v>
      </c>
      <c r="P40" s="282">
        <f t="shared" si="112"/>
        <v>79.849999999999994</v>
      </c>
      <c r="Q40" s="282">
        <f t="shared" si="113"/>
        <v>15.600000000000001</v>
      </c>
      <c r="R40" s="283">
        <f t="shared" si="114"/>
        <v>59.150000000000006</v>
      </c>
      <c r="W40" s="281">
        <f t="shared" si="115"/>
        <v>52.65</v>
      </c>
      <c r="X40" s="282">
        <f t="shared" si="116"/>
        <v>32.980000000000004</v>
      </c>
      <c r="Y40" s="282">
        <f t="shared" si="117"/>
        <v>49.739999999999995</v>
      </c>
      <c r="Z40" s="283">
        <f t="shared" si="118"/>
        <v>104.87</v>
      </c>
      <c r="AA40" s="281">
        <f t="shared" si="119"/>
        <v>81.28</v>
      </c>
      <c r="AB40" s="282">
        <f t="shared" si="120"/>
        <v>60.01</v>
      </c>
      <c r="AC40" s="282">
        <f t="shared" si="121"/>
        <v>60.55</v>
      </c>
      <c r="AD40" s="283">
        <f t="shared" si="122"/>
        <v>73.77000000000001</v>
      </c>
      <c r="AE40" s="281">
        <f t="shared" si="123"/>
        <v>62.95</v>
      </c>
      <c r="AF40" s="282">
        <f t="shared" si="124"/>
        <v>57.480000000000004</v>
      </c>
      <c r="AG40" s="282">
        <f t="shared" si="125"/>
        <v>57.660000000000004</v>
      </c>
      <c r="AH40" s="283">
        <f t="shared" si="126"/>
        <v>65.569999999999993</v>
      </c>
      <c r="AM40" s="281">
        <f t="shared" si="127"/>
        <v>56.239999999999995</v>
      </c>
      <c r="AN40" s="282">
        <f t="shared" si="128"/>
        <v>76.739999999999995</v>
      </c>
      <c r="AO40" s="282">
        <f t="shared" si="129"/>
        <v>65.39</v>
      </c>
      <c r="AP40" s="283">
        <f t="shared" si="130"/>
        <v>75.8</v>
      </c>
      <c r="AQ40" s="281">
        <f t="shared" si="131"/>
        <v>95.52000000000001</v>
      </c>
      <c r="AR40" s="282">
        <f t="shared" si="132"/>
        <v>73.83</v>
      </c>
      <c r="AS40" s="282">
        <f t="shared" si="133"/>
        <v>114.25</v>
      </c>
      <c r="AT40" s="283">
        <f t="shared" si="134"/>
        <v>92.330000000000013</v>
      </c>
      <c r="AU40" s="281">
        <f t="shared" si="135"/>
        <v>119.56</v>
      </c>
      <c r="AV40" s="282">
        <f t="shared" si="136"/>
        <v>109.43</v>
      </c>
      <c r="AW40" s="282">
        <f t="shared" si="137"/>
        <v>93.92</v>
      </c>
      <c r="AX40" s="283"/>
      <c r="BC40" s="281">
        <f t="shared" si="138"/>
        <v>166.7</v>
      </c>
      <c r="BD40" s="282">
        <f t="shared" si="139"/>
        <v>113.9</v>
      </c>
      <c r="BE40" s="282">
        <f t="shared" si="140"/>
        <v>146.82</v>
      </c>
      <c r="BF40" s="283"/>
      <c r="BG40" s="281">
        <f t="shared" si="141"/>
        <v>83.02</v>
      </c>
      <c r="BH40" s="282">
        <f t="shared" si="142"/>
        <v>71.92</v>
      </c>
      <c r="BI40" s="282">
        <f t="shared" si="143"/>
        <v>61.61</v>
      </c>
      <c r="BJ40" s="283"/>
      <c r="BK40" s="281">
        <f t="shared" si="144"/>
        <v>106.95</v>
      </c>
      <c r="BL40" s="282">
        <f t="shared" si="145"/>
        <v>53</v>
      </c>
      <c r="BM40" s="282">
        <f t="shared" si="146"/>
        <v>151.68</v>
      </c>
      <c r="BN40" s="283"/>
      <c r="BT40" s="281">
        <f t="shared" si="147"/>
        <v>35.56</v>
      </c>
      <c r="BU40" s="282">
        <f t="shared" si="148"/>
        <v>-74.450000000000017</v>
      </c>
      <c r="BV40" s="283">
        <f t="shared" si="149"/>
        <v>66.78000000000003</v>
      </c>
      <c r="BW40" s="281">
        <f t="shared" si="150"/>
        <v>-46.409999999999968</v>
      </c>
      <c r="BX40" s="281">
        <f t="shared" si="151"/>
        <v>17.479999999999961</v>
      </c>
      <c r="BY40" s="281">
        <f t="shared" si="152"/>
        <v>76.260000000000019</v>
      </c>
      <c r="BZ40" s="281">
        <f t="shared" si="153"/>
        <v>-11.319999999999993</v>
      </c>
      <c r="CA40" s="282">
        <f t="shared" si="154"/>
        <v>13.560000000000002</v>
      </c>
      <c r="CB40" s="283">
        <f t="shared" si="155"/>
        <v>-12.95999999999998</v>
      </c>
      <c r="CC40" s="281">
        <f t="shared" si="156"/>
        <v>-117.84999999999997</v>
      </c>
      <c r="CD40" s="282">
        <f t="shared" si="157"/>
        <v>121.29000000000002</v>
      </c>
      <c r="CE40" s="283">
        <f t="shared" si="158"/>
        <v>-360.11</v>
      </c>
    </row>
    <row r="41" spans="1:117" ht="15" hidden="1" customHeight="1" x14ac:dyDescent="0.25">
      <c r="A41" s="521"/>
      <c r="B41" s="55">
        <v>4</v>
      </c>
      <c r="C41" s="368"/>
      <c r="D41" s="368"/>
      <c r="E41" s="368"/>
      <c r="F41" s="368">
        <v>70.599999999999994</v>
      </c>
      <c r="G41" s="281">
        <f t="shared" si="103"/>
        <v>92.69</v>
      </c>
      <c r="H41" s="282">
        <f t="shared" si="104"/>
        <v>115.94</v>
      </c>
      <c r="I41" s="282">
        <f t="shared" si="105"/>
        <v>76.839999999999989</v>
      </c>
      <c r="J41" s="283">
        <f t="shared" si="106"/>
        <v>106.11</v>
      </c>
      <c r="K41" s="281">
        <f t="shared" si="107"/>
        <v>53.92</v>
      </c>
      <c r="L41" s="282">
        <f t="shared" si="108"/>
        <v>57.12</v>
      </c>
      <c r="M41" s="282">
        <f t="shared" si="109"/>
        <v>55.71</v>
      </c>
      <c r="N41" s="283">
        <f t="shared" si="110"/>
        <v>64.010000000000005</v>
      </c>
      <c r="O41" s="281">
        <f t="shared" si="111"/>
        <v>63.88</v>
      </c>
      <c r="P41" s="282">
        <f t="shared" si="112"/>
        <v>67.13</v>
      </c>
      <c r="Q41" s="282">
        <f t="shared" si="113"/>
        <v>20.3</v>
      </c>
      <c r="R41" s="283">
        <f t="shared" si="114"/>
        <v>111.08000000000001</v>
      </c>
      <c r="W41" s="281">
        <f t="shared" si="115"/>
        <v>103.24</v>
      </c>
      <c r="X41" s="282">
        <f t="shared" si="116"/>
        <v>93.68</v>
      </c>
      <c r="Y41" s="282">
        <f t="shared" si="117"/>
        <v>54.88</v>
      </c>
      <c r="Z41" s="283">
        <f t="shared" si="118"/>
        <v>115.12</v>
      </c>
      <c r="AA41" s="281">
        <f t="shared" si="119"/>
        <v>81.430000000000007</v>
      </c>
      <c r="AB41" s="282">
        <f t="shared" si="120"/>
        <v>51.370000000000005</v>
      </c>
      <c r="AC41" s="282">
        <f t="shared" si="121"/>
        <v>76.83</v>
      </c>
      <c r="AD41" s="283">
        <f t="shared" si="122"/>
        <v>103.83</v>
      </c>
      <c r="AE41" s="281">
        <f t="shared" si="123"/>
        <v>56.7</v>
      </c>
      <c r="AF41" s="282">
        <f t="shared" si="124"/>
        <v>58.230000000000004</v>
      </c>
      <c r="AG41" s="282">
        <f t="shared" si="125"/>
        <v>65.08</v>
      </c>
      <c r="AH41" s="283">
        <f t="shared" si="126"/>
        <v>59.24</v>
      </c>
      <c r="AM41" s="281">
        <f t="shared" si="127"/>
        <v>71.03</v>
      </c>
      <c r="AN41" s="282">
        <f t="shared" si="128"/>
        <v>67.95</v>
      </c>
      <c r="AO41" s="282">
        <f t="shared" si="129"/>
        <v>103.42</v>
      </c>
      <c r="AP41" s="283">
        <f t="shared" si="130"/>
        <v>53.76</v>
      </c>
      <c r="AQ41" s="281">
        <f t="shared" si="131"/>
        <v>78.089999999999989</v>
      </c>
      <c r="AR41" s="282">
        <f t="shared" si="132"/>
        <v>72.509999999999991</v>
      </c>
      <c r="AS41" s="282">
        <f t="shared" si="133"/>
        <v>94.57</v>
      </c>
      <c r="AT41" s="283">
        <f t="shared" si="134"/>
        <v>61.849999999999994</v>
      </c>
      <c r="AU41" s="281">
        <f t="shared" si="135"/>
        <v>172.08999999999997</v>
      </c>
      <c r="AV41" s="282">
        <f t="shared" si="136"/>
        <v>79.75</v>
      </c>
      <c r="AW41" s="282">
        <f t="shared" si="137"/>
        <v>127.55000000000001</v>
      </c>
      <c r="AX41" s="283"/>
      <c r="BC41" s="281">
        <f t="shared" si="138"/>
        <v>115.32</v>
      </c>
      <c r="BD41" s="282">
        <f t="shared" si="139"/>
        <v>89.35</v>
      </c>
      <c r="BE41" s="282">
        <f t="shared" si="140"/>
        <v>143.9</v>
      </c>
      <c r="BF41" s="283"/>
      <c r="BG41" s="281">
        <f t="shared" si="141"/>
        <v>109.25</v>
      </c>
      <c r="BH41" s="282">
        <f t="shared" si="142"/>
        <v>91.68</v>
      </c>
      <c r="BI41" s="282">
        <f t="shared" si="143"/>
        <v>137.82300000000001</v>
      </c>
      <c r="BJ41" s="283"/>
      <c r="BK41" s="281">
        <f t="shared" si="144"/>
        <v>82.56</v>
      </c>
      <c r="BL41" s="282">
        <f t="shared" si="145"/>
        <v>60.49</v>
      </c>
      <c r="BM41" s="282">
        <f t="shared" si="146"/>
        <v>70.53</v>
      </c>
      <c r="BN41" s="283"/>
      <c r="BT41" s="281">
        <f t="shared" si="147"/>
        <v>29.699999999999989</v>
      </c>
      <c r="BU41" s="282">
        <f t="shared" si="148"/>
        <v>-87.34</v>
      </c>
      <c r="BV41" s="283">
        <f t="shared" si="149"/>
        <v>128.35000000000005</v>
      </c>
      <c r="BW41" s="281">
        <f t="shared" si="150"/>
        <v>-38.089999999999975</v>
      </c>
      <c r="BX41" s="281">
        <f t="shared" si="151"/>
        <v>-6.4900000000000091</v>
      </c>
      <c r="BY41" s="281">
        <f t="shared" si="152"/>
        <v>81.399999999999977</v>
      </c>
      <c r="BZ41" s="281">
        <f t="shared" si="153"/>
        <v>-101</v>
      </c>
      <c r="CA41" s="282">
        <f t="shared" si="154"/>
        <v>105.33000000000004</v>
      </c>
      <c r="CB41" s="283">
        <f t="shared" si="155"/>
        <v>-140.25000000000003</v>
      </c>
      <c r="CC41" s="281">
        <f t="shared" si="156"/>
        <v>-65.609999999999985</v>
      </c>
      <c r="CD41" s="282">
        <f t="shared" si="157"/>
        <v>110.73300000000003</v>
      </c>
      <c r="CE41" s="283">
        <f t="shared" si="158"/>
        <v>-352.25300000000004</v>
      </c>
    </row>
    <row r="42" spans="1:117" ht="15" hidden="1" customHeight="1" x14ac:dyDescent="0.25">
      <c r="A42" s="521"/>
      <c r="B42" s="55">
        <v>5</v>
      </c>
      <c r="C42" s="368"/>
      <c r="D42" s="368"/>
      <c r="E42" s="368"/>
      <c r="F42" s="368">
        <v>50.4</v>
      </c>
      <c r="G42" s="281">
        <f t="shared" si="103"/>
        <v>63.64</v>
      </c>
      <c r="H42" s="282">
        <f t="shared" si="104"/>
        <v>39.22</v>
      </c>
      <c r="I42" s="282">
        <f t="shared" si="105"/>
        <v>45.32</v>
      </c>
      <c r="J42" s="283">
        <f t="shared" si="106"/>
        <v>50.88</v>
      </c>
      <c r="K42" s="281">
        <f t="shared" si="107"/>
        <v>32.69</v>
      </c>
      <c r="L42" s="282">
        <f t="shared" si="108"/>
        <v>37.86</v>
      </c>
      <c r="M42" s="282">
        <f t="shared" si="109"/>
        <v>26.16</v>
      </c>
      <c r="N42" s="283">
        <f t="shared" si="110"/>
        <v>51.14</v>
      </c>
      <c r="O42" s="281">
        <f t="shared" si="111"/>
        <v>51.55</v>
      </c>
      <c r="P42" s="282">
        <f t="shared" si="112"/>
        <v>44.35</v>
      </c>
      <c r="Q42" s="282">
        <f t="shared" si="113"/>
        <v>24.85</v>
      </c>
      <c r="R42" s="283">
        <f t="shared" si="114"/>
        <v>57.42</v>
      </c>
      <c r="W42" s="281">
        <f t="shared" si="115"/>
        <v>42.08</v>
      </c>
      <c r="X42" s="282">
        <f t="shared" si="116"/>
        <v>81.83</v>
      </c>
      <c r="Y42" s="282">
        <f t="shared" si="117"/>
        <v>44.879999999999995</v>
      </c>
      <c r="Z42" s="283">
        <f t="shared" si="118"/>
        <v>92.55</v>
      </c>
      <c r="AA42" s="281">
        <f t="shared" si="119"/>
        <v>68.12</v>
      </c>
      <c r="AB42" s="282">
        <f t="shared" si="120"/>
        <v>45.88</v>
      </c>
      <c r="AC42" s="282">
        <f t="shared" si="121"/>
        <v>66.300000000000011</v>
      </c>
      <c r="AD42" s="283">
        <f t="shared" si="122"/>
        <v>69.02</v>
      </c>
      <c r="AE42" s="281">
        <f t="shared" si="123"/>
        <v>55.98</v>
      </c>
      <c r="AF42" s="282">
        <f t="shared" si="124"/>
        <v>53.33</v>
      </c>
      <c r="AG42" s="282">
        <f t="shared" si="125"/>
        <v>36.520000000000003</v>
      </c>
      <c r="AH42" s="283">
        <f t="shared" si="126"/>
        <v>79.069999999999993</v>
      </c>
      <c r="AM42" s="281">
        <f t="shared" si="127"/>
        <v>55.230000000000004</v>
      </c>
      <c r="AN42" s="282">
        <f t="shared" si="128"/>
        <v>68.52</v>
      </c>
      <c r="AO42" s="282">
        <f t="shared" si="129"/>
        <v>84.32</v>
      </c>
      <c r="AP42" s="283">
        <f t="shared" si="130"/>
        <v>58.260000000000005</v>
      </c>
      <c r="AQ42" s="281">
        <f t="shared" si="131"/>
        <v>80.91</v>
      </c>
      <c r="AR42" s="282">
        <f t="shared" si="132"/>
        <v>46.760000000000005</v>
      </c>
      <c r="AS42" s="282">
        <f t="shared" si="133"/>
        <v>63.39</v>
      </c>
      <c r="AT42" s="283">
        <f t="shared" si="134"/>
        <v>66.64</v>
      </c>
      <c r="AU42" s="281">
        <f t="shared" si="135"/>
        <v>69.92</v>
      </c>
      <c r="AV42" s="282">
        <f t="shared" si="136"/>
        <v>74.39</v>
      </c>
      <c r="AW42" s="282">
        <f t="shared" si="137"/>
        <v>114.38</v>
      </c>
      <c r="AX42" s="283"/>
      <c r="BC42" s="281">
        <f t="shared" si="138"/>
        <v>93.72</v>
      </c>
      <c r="BD42" s="282">
        <f t="shared" si="139"/>
        <v>76.599999999999994</v>
      </c>
      <c r="BE42" s="282">
        <f t="shared" si="140"/>
        <v>105.11999999999999</v>
      </c>
      <c r="BF42" s="283"/>
      <c r="BG42" s="281">
        <f t="shared" si="141"/>
        <v>83.75</v>
      </c>
      <c r="BH42" s="282">
        <f t="shared" si="142"/>
        <v>66.23</v>
      </c>
      <c r="BI42" s="282">
        <f t="shared" si="143"/>
        <v>94.22999999999999</v>
      </c>
      <c r="BJ42" s="283"/>
      <c r="BK42" s="281">
        <f t="shared" si="144"/>
        <v>104.35</v>
      </c>
      <c r="BL42" s="282">
        <f t="shared" si="145"/>
        <v>69.58</v>
      </c>
      <c r="BM42" s="282">
        <f t="shared" si="146"/>
        <v>76.289999999999992</v>
      </c>
      <c r="BN42" s="283"/>
      <c r="BT42" s="281">
        <f t="shared" si="147"/>
        <v>-26.449999999999989</v>
      </c>
      <c r="BU42" s="282">
        <f t="shared" si="148"/>
        <v>-25.099999999999994</v>
      </c>
      <c r="BV42" s="283">
        <f t="shared" si="149"/>
        <v>63.109999999999985</v>
      </c>
      <c r="BW42" s="281">
        <f t="shared" si="150"/>
        <v>14.860000000000014</v>
      </c>
      <c r="BX42" s="281">
        <f t="shared" si="151"/>
        <v>-33.340000000000003</v>
      </c>
      <c r="BY42" s="281">
        <f t="shared" si="152"/>
        <v>92.939999999999969</v>
      </c>
      <c r="BZ42" s="281">
        <f t="shared" si="153"/>
        <v>-16.389999999999986</v>
      </c>
      <c r="CA42" s="282">
        <f t="shared" si="154"/>
        <v>72.419999999999959</v>
      </c>
      <c r="CB42" s="283">
        <f t="shared" si="155"/>
        <v>-73.359999999999957</v>
      </c>
      <c r="CC42" s="281">
        <f t="shared" si="156"/>
        <v>-69.410000000000025</v>
      </c>
      <c r="CD42" s="282">
        <f t="shared" si="157"/>
        <v>63.230000000000018</v>
      </c>
      <c r="CE42" s="283">
        <f t="shared" si="158"/>
        <v>-275.64</v>
      </c>
    </row>
    <row r="43" spans="1:117" ht="15" hidden="1" customHeight="1" x14ac:dyDescent="0.25">
      <c r="A43" s="521"/>
      <c r="B43" s="55">
        <v>6</v>
      </c>
      <c r="C43" s="368"/>
      <c r="D43" s="368"/>
      <c r="E43" s="368"/>
      <c r="F43" s="368">
        <v>58.6</v>
      </c>
      <c r="G43" s="281">
        <f t="shared" si="103"/>
        <v>82.14</v>
      </c>
      <c r="H43" s="282">
        <f t="shared" si="104"/>
        <v>62.2</v>
      </c>
      <c r="I43" s="282">
        <f t="shared" si="105"/>
        <v>88.02</v>
      </c>
      <c r="J43" s="283">
        <f t="shared" si="106"/>
        <v>47.81</v>
      </c>
      <c r="K43" s="281">
        <f t="shared" si="107"/>
        <v>33.700000000000003</v>
      </c>
      <c r="L43" s="282">
        <f t="shared" si="108"/>
        <v>58.660000000000004</v>
      </c>
      <c r="M43" s="282">
        <f t="shared" si="109"/>
        <v>39.82</v>
      </c>
      <c r="N43" s="283">
        <f t="shared" si="110"/>
        <v>85.15</v>
      </c>
      <c r="O43" s="281">
        <f t="shared" si="111"/>
        <v>53.980000000000004</v>
      </c>
      <c r="P43" s="282">
        <f t="shared" si="112"/>
        <v>97.28</v>
      </c>
      <c r="Q43" s="282">
        <f t="shared" si="113"/>
        <v>27.39</v>
      </c>
      <c r="R43" s="283">
        <f t="shared" si="114"/>
        <v>43.95</v>
      </c>
      <c r="W43" s="281">
        <f t="shared" si="115"/>
        <v>82.02</v>
      </c>
      <c r="X43" s="282">
        <f t="shared" si="116"/>
        <v>47.78</v>
      </c>
      <c r="Y43" s="282">
        <f t="shared" si="117"/>
        <v>39.629999999999995</v>
      </c>
      <c r="Z43" s="283">
        <f t="shared" si="118"/>
        <v>88.86</v>
      </c>
      <c r="AA43" s="281">
        <f t="shared" si="119"/>
        <v>62.47</v>
      </c>
      <c r="AB43" s="282">
        <f t="shared" si="120"/>
        <v>60.03</v>
      </c>
      <c r="AC43" s="282">
        <f t="shared" si="121"/>
        <v>68.929999999999993</v>
      </c>
      <c r="AD43" s="283">
        <f t="shared" si="122"/>
        <v>56.379999999999995</v>
      </c>
      <c r="AE43" s="281">
        <f t="shared" si="123"/>
        <v>55.129999999999995</v>
      </c>
      <c r="AF43" s="282">
        <f t="shared" si="124"/>
        <v>97.64</v>
      </c>
      <c r="AG43" s="282">
        <f t="shared" si="125"/>
        <v>39.14</v>
      </c>
      <c r="AH43" s="283">
        <f t="shared" si="126"/>
        <v>93.49</v>
      </c>
      <c r="AM43" s="281">
        <f t="shared" si="127"/>
        <v>59.97</v>
      </c>
      <c r="AN43" s="282">
        <f t="shared" si="128"/>
        <v>68.7</v>
      </c>
      <c r="AO43" s="282">
        <f t="shared" si="129"/>
        <v>127.84</v>
      </c>
      <c r="AP43" s="283">
        <f t="shared" si="130"/>
        <v>52.900000000000006</v>
      </c>
      <c r="AQ43" s="281">
        <f t="shared" si="131"/>
        <v>93.3</v>
      </c>
      <c r="AR43" s="282">
        <f t="shared" si="132"/>
        <v>69.800000000000011</v>
      </c>
      <c r="AS43" s="282">
        <f t="shared" si="133"/>
        <v>160.67000000000002</v>
      </c>
      <c r="AT43" s="283">
        <f t="shared" si="134"/>
        <v>80.460000000000008</v>
      </c>
      <c r="AU43" s="281">
        <f t="shared" si="135"/>
        <v>75.150000000000006</v>
      </c>
      <c r="AV43" s="282">
        <f t="shared" si="136"/>
        <v>84.59</v>
      </c>
      <c r="AW43" s="282">
        <f t="shared" si="137"/>
        <v>99.91</v>
      </c>
      <c r="AX43" s="283"/>
      <c r="BC43" s="281">
        <f t="shared" si="138"/>
        <v>124.62</v>
      </c>
      <c r="BD43" s="282">
        <f t="shared" si="139"/>
        <v>86</v>
      </c>
      <c r="BE43" s="282">
        <f t="shared" si="140"/>
        <v>113.91</v>
      </c>
      <c r="BF43" s="283"/>
      <c r="BG43" s="281">
        <f t="shared" si="141"/>
        <v>138.05000000000001</v>
      </c>
      <c r="BH43" s="282">
        <f t="shared" si="142"/>
        <v>72.28</v>
      </c>
      <c r="BI43" s="282">
        <f t="shared" si="143"/>
        <v>101.49000000000001</v>
      </c>
      <c r="BJ43" s="283"/>
      <c r="BK43" s="281">
        <f t="shared" si="144"/>
        <v>72.959999999999994</v>
      </c>
      <c r="BL43" s="282">
        <f t="shared" si="145"/>
        <v>44.85</v>
      </c>
      <c r="BM43" s="282">
        <f t="shared" si="146"/>
        <v>107.57</v>
      </c>
      <c r="BN43" s="283"/>
      <c r="BT43" s="281">
        <f t="shared" si="147"/>
        <v>48.320000000000022</v>
      </c>
      <c r="BU43" s="282">
        <f t="shared" si="148"/>
        <v>-62.91</v>
      </c>
      <c r="BV43" s="283">
        <f t="shared" si="149"/>
        <v>21.680000000000007</v>
      </c>
      <c r="BW43" s="281">
        <f t="shared" si="150"/>
        <v>5.8299999999999841</v>
      </c>
      <c r="BX43" s="281">
        <f t="shared" si="151"/>
        <v>-57.75</v>
      </c>
      <c r="BY43" s="281">
        <f t="shared" si="152"/>
        <v>91.03000000000003</v>
      </c>
      <c r="BZ43" s="281">
        <f t="shared" si="153"/>
        <v>-5.3299999999999841</v>
      </c>
      <c r="CA43" s="282">
        <f t="shared" si="154"/>
        <v>165.32999999999996</v>
      </c>
      <c r="CB43" s="283">
        <f t="shared" si="155"/>
        <v>-175.94999999999993</v>
      </c>
      <c r="CC43" s="281">
        <f t="shared" si="156"/>
        <v>-132.5</v>
      </c>
      <c r="CD43" s="282">
        <f t="shared" si="157"/>
        <v>119.84000000000003</v>
      </c>
      <c r="CE43" s="283">
        <f t="shared" si="158"/>
        <v>-322.97000000000003</v>
      </c>
    </row>
    <row r="44" spans="1:117" ht="15" hidden="1" customHeight="1" x14ac:dyDescent="0.25">
      <c r="A44" s="521"/>
      <c r="B44" s="55">
        <v>7</v>
      </c>
      <c r="C44" s="368"/>
      <c r="D44" s="368"/>
      <c r="E44" s="368"/>
      <c r="F44" s="368">
        <v>23.6</v>
      </c>
      <c r="G44" s="281">
        <f t="shared" si="103"/>
        <v>22.759999999999998</v>
      </c>
      <c r="H44" s="282">
        <f t="shared" si="104"/>
        <v>16.510000000000002</v>
      </c>
      <c r="I44" s="282">
        <f t="shared" si="105"/>
        <v>25.830000000000002</v>
      </c>
      <c r="J44" s="283">
        <f t="shared" si="106"/>
        <v>18.989999999999998</v>
      </c>
      <c r="K44" s="281">
        <f t="shared" si="107"/>
        <v>12.65</v>
      </c>
      <c r="L44" s="282">
        <f t="shared" si="108"/>
        <v>16.84</v>
      </c>
      <c r="M44" s="282">
        <f t="shared" si="109"/>
        <v>11.9</v>
      </c>
      <c r="N44" s="283">
        <f t="shared" si="110"/>
        <v>25.669999999999998</v>
      </c>
      <c r="O44" s="281">
        <f t="shared" si="111"/>
        <v>21.92</v>
      </c>
      <c r="P44" s="282">
        <f t="shared" si="112"/>
        <v>21.41</v>
      </c>
      <c r="Q44" s="282">
        <f t="shared" si="113"/>
        <v>13.7</v>
      </c>
      <c r="R44" s="283">
        <f t="shared" si="114"/>
        <v>21.080000000000002</v>
      </c>
      <c r="W44" s="281">
        <f t="shared" si="115"/>
        <v>18.34</v>
      </c>
      <c r="X44" s="282">
        <f t="shared" si="116"/>
        <v>34.83</v>
      </c>
      <c r="Y44" s="282">
        <f t="shared" si="117"/>
        <v>24.4</v>
      </c>
      <c r="Z44" s="283">
        <f t="shared" si="118"/>
        <v>39.61</v>
      </c>
      <c r="AA44" s="281">
        <f t="shared" si="119"/>
        <v>25.35</v>
      </c>
      <c r="AB44" s="282">
        <f t="shared" si="120"/>
        <v>15.27</v>
      </c>
      <c r="AC44" s="282">
        <f t="shared" si="121"/>
        <v>17.649999999999999</v>
      </c>
      <c r="AD44" s="283">
        <f t="shared" si="122"/>
        <v>27.619999999999997</v>
      </c>
      <c r="AE44" s="281">
        <f t="shared" si="123"/>
        <v>17.48</v>
      </c>
      <c r="AF44" s="282">
        <f t="shared" si="124"/>
        <v>19.27</v>
      </c>
      <c r="AG44" s="282">
        <f t="shared" si="125"/>
        <v>19.5</v>
      </c>
      <c r="AH44" s="283">
        <f t="shared" si="126"/>
        <v>29.53</v>
      </c>
      <c r="AM44" s="281">
        <f t="shared" si="127"/>
        <v>18.63</v>
      </c>
      <c r="AN44" s="282">
        <f t="shared" si="128"/>
        <v>21.53</v>
      </c>
      <c r="AO44" s="282">
        <f t="shared" si="129"/>
        <v>29.25</v>
      </c>
      <c r="AP44" s="283">
        <f t="shared" si="130"/>
        <v>27.06</v>
      </c>
      <c r="AQ44" s="281">
        <f t="shared" si="131"/>
        <v>30.490000000000002</v>
      </c>
      <c r="AR44" s="282">
        <f t="shared" si="132"/>
        <v>24.43</v>
      </c>
      <c r="AS44" s="282">
        <f t="shared" si="133"/>
        <v>29.03</v>
      </c>
      <c r="AT44" s="283">
        <f t="shared" si="134"/>
        <v>26.330000000000002</v>
      </c>
      <c r="AU44" s="281">
        <f t="shared" si="135"/>
        <v>26.76</v>
      </c>
      <c r="AV44" s="282">
        <f t="shared" si="136"/>
        <v>13.77</v>
      </c>
      <c r="AW44" s="282">
        <f t="shared" si="137"/>
        <v>60.980000000000004</v>
      </c>
      <c r="AX44" s="283"/>
      <c r="BC44" s="281">
        <f t="shared" si="138"/>
        <v>35.340000000000003</v>
      </c>
      <c r="BD44" s="282">
        <f t="shared" si="139"/>
        <v>21.21</v>
      </c>
      <c r="BE44" s="282">
        <f t="shared" si="140"/>
        <v>33.08</v>
      </c>
      <c r="BF44" s="283"/>
      <c r="BG44" s="281">
        <f t="shared" si="141"/>
        <v>34.020000000000003</v>
      </c>
      <c r="BH44" s="282">
        <f t="shared" si="142"/>
        <v>23.759999999999998</v>
      </c>
      <c r="BI44" s="282">
        <f t="shared" si="143"/>
        <v>41.293999999999997</v>
      </c>
      <c r="BJ44" s="283"/>
      <c r="BK44" s="281">
        <f t="shared" si="144"/>
        <v>48.28</v>
      </c>
      <c r="BL44" s="282">
        <f t="shared" si="145"/>
        <v>15.62</v>
      </c>
      <c r="BM44" s="282">
        <f t="shared" si="146"/>
        <v>45.37</v>
      </c>
      <c r="BN44" s="283"/>
      <c r="BT44" s="281">
        <f t="shared" si="147"/>
        <v>-2.5699999999999932</v>
      </c>
      <c r="BU44" s="282">
        <f t="shared" si="148"/>
        <v>-3.3299999999999983</v>
      </c>
      <c r="BV44" s="283">
        <f t="shared" si="149"/>
        <v>14.309999999999988</v>
      </c>
      <c r="BW44" s="281">
        <f t="shared" si="150"/>
        <v>8.1999999999999886</v>
      </c>
      <c r="BX44" s="281">
        <f t="shared" si="151"/>
        <v>-7.8199999999999932</v>
      </c>
      <c r="BY44" s="281">
        <f t="shared" si="152"/>
        <v>35.209999999999994</v>
      </c>
      <c r="BZ44" s="281">
        <f t="shared" si="153"/>
        <v>-16.150000000000006</v>
      </c>
      <c r="CA44" s="282">
        <f t="shared" si="154"/>
        <v>59.53</v>
      </c>
      <c r="CB44" s="283">
        <f t="shared" si="155"/>
        <v>-34.120000000000005</v>
      </c>
      <c r="CC44" s="281">
        <f t="shared" si="156"/>
        <v>-57.050000000000018</v>
      </c>
      <c r="CD44" s="282">
        <f t="shared" si="157"/>
        <v>59.154000000000003</v>
      </c>
      <c r="CE44" s="283">
        <f t="shared" si="158"/>
        <v>-119.744</v>
      </c>
    </row>
    <row r="45" spans="1:117" ht="15" hidden="1" customHeight="1" x14ac:dyDescent="0.25">
      <c r="A45" s="521"/>
      <c r="B45" s="55">
        <v>8</v>
      </c>
      <c r="C45" s="368"/>
      <c r="D45" s="368"/>
      <c r="E45" s="368"/>
      <c r="F45" s="368">
        <v>61.6</v>
      </c>
      <c r="G45" s="281">
        <f t="shared" si="103"/>
        <v>50.760000000000005</v>
      </c>
      <c r="H45" s="282">
        <f t="shared" si="104"/>
        <v>68.63</v>
      </c>
      <c r="I45" s="282">
        <f t="shared" si="105"/>
        <v>61.160000000000004</v>
      </c>
      <c r="J45" s="283">
        <f t="shared" si="106"/>
        <v>44.66</v>
      </c>
      <c r="K45" s="281">
        <f t="shared" si="107"/>
        <v>34.92</v>
      </c>
      <c r="L45" s="282">
        <f t="shared" si="108"/>
        <v>53.54</v>
      </c>
      <c r="M45" s="282">
        <f t="shared" si="109"/>
        <v>52.8</v>
      </c>
      <c r="N45" s="283">
        <f t="shared" si="110"/>
        <v>96.6</v>
      </c>
      <c r="O45" s="281">
        <f t="shared" si="111"/>
        <v>54.47</v>
      </c>
      <c r="P45" s="282">
        <f t="shared" si="112"/>
        <v>70.759999999999991</v>
      </c>
      <c r="Q45" s="282">
        <f t="shared" si="113"/>
        <v>41.66</v>
      </c>
      <c r="R45" s="283">
        <f t="shared" si="114"/>
        <v>59.2</v>
      </c>
      <c r="W45" s="281">
        <f t="shared" si="115"/>
        <v>57.42</v>
      </c>
      <c r="X45" s="282">
        <f t="shared" si="116"/>
        <v>55.5</v>
      </c>
      <c r="Y45" s="282">
        <f t="shared" si="117"/>
        <v>39.129999999999995</v>
      </c>
      <c r="Z45" s="283">
        <f t="shared" si="118"/>
        <v>79.03</v>
      </c>
      <c r="AA45" s="281">
        <f t="shared" si="119"/>
        <v>51.88</v>
      </c>
      <c r="AB45" s="282">
        <f t="shared" si="120"/>
        <v>62.94</v>
      </c>
      <c r="AC45" s="282">
        <f t="shared" si="121"/>
        <v>72.48</v>
      </c>
      <c r="AD45" s="283">
        <f t="shared" si="122"/>
        <v>63.73</v>
      </c>
      <c r="AE45" s="281">
        <f t="shared" si="123"/>
        <v>42.86</v>
      </c>
      <c r="AF45" s="282">
        <f t="shared" si="124"/>
        <v>62.16</v>
      </c>
      <c r="AG45" s="282">
        <f t="shared" si="125"/>
        <v>41.769999999999996</v>
      </c>
      <c r="AH45" s="283">
        <f t="shared" si="126"/>
        <v>58.540000000000006</v>
      </c>
      <c r="AM45" s="281">
        <f t="shared" si="127"/>
        <v>68.03</v>
      </c>
      <c r="AN45" s="282">
        <f t="shared" si="128"/>
        <v>62.61</v>
      </c>
      <c r="AO45" s="282">
        <f t="shared" si="129"/>
        <v>52.96</v>
      </c>
      <c r="AP45" s="283">
        <f t="shared" si="130"/>
        <v>56.069999999999993</v>
      </c>
      <c r="AQ45" s="281">
        <f t="shared" si="131"/>
        <v>72.460000000000008</v>
      </c>
      <c r="AR45" s="282">
        <f t="shared" si="132"/>
        <v>105.85</v>
      </c>
      <c r="AS45" s="282">
        <f t="shared" si="133"/>
        <v>114.4</v>
      </c>
      <c r="AT45" s="283">
        <f t="shared" si="134"/>
        <v>68.81</v>
      </c>
      <c r="AU45" s="281">
        <f t="shared" si="135"/>
        <v>78.78</v>
      </c>
      <c r="AV45" s="282">
        <f t="shared" si="136"/>
        <v>54.25</v>
      </c>
      <c r="AW45" s="282">
        <f t="shared" si="137"/>
        <v>78.790000000000006</v>
      </c>
      <c r="AX45" s="283"/>
      <c r="BC45" s="281">
        <f t="shared" si="138"/>
        <v>118.71</v>
      </c>
      <c r="BD45" s="282">
        <f t="shared" si="139"/>
        <v>94.95</v>
      </c>
      <c r="BE45" s="282">
        <f t="shared" si="140"/>
        <v>94.64</v>
      </c>
      <c r="BF45" s="283"/>
      <c r="BG45" s="281">
        <f t="shared" si="141"/>
        <v>111.62</v>
      </c>
      <c r="BH45" s="282">
        <f t="shared" si="142"/>
        <v>75.259999999999991</v>
      </c>
      <c r="BI45" s="282">
        <f t="shared" si="143"/>
        <v>151.48000000000002</v>
      </c>
      <c r="BJ45" s="283"/>
      <c r="BK45" s="281">
        <f t="shared" si="144"/>
        <v>70.260000000000005</v>
      </c>
      <c r="BL45" s="282">
        <f t="shared" si="145"/>
        <v>96.98</v>
      </c>
      <c r="BM45" s="282">
        <f t="shared" si="146"/>
        <v>123.15</v>
      </c>
      <c r="BN45" s="283"/>
      <c r="BT45" s="281">
        <f t="shared" si="147"/>
        <v>52.779999999999973</v>
      </c>
      <c r="BU45" s="282">
        <f t="shared" si="148"/>
        <v>-37.309999999999974</v>
      </c>
      <c r="BV45" s="283">
        <f t="shared" si="149"/>
        <v>44.839999999999975</v>
      </c>
      <c r="BW45" s="281">
        <f t="shared" si="150"/>
        <v>28.439999999999969</v>
      </c>
      <c r="BX45" s="281">
        <f t="shared" si="151"/>
        <v>-27.22</v>
      </c>
      <c r="BY45" s="281">
        <f t="shared" si="152"/>
        <v>47.920000000000016</v>
      </c>
      <c r="BZ45" s="281">
        <f t="shared" si="153"/>
        <v>3.4399999999999693</v>
      </c>
      <c r="CA45" s="282">
        <f t="shared" si="154"/>
        <v>23.440000000000055</v>
      </c>
      <c r="CB45" s="283">
        <f t="shared" si="155"/>
        <v>-39.510000000000048</v>
      </c>
      <c r="CC45" s="281">
        <f t="shared" si="156"/>
        <v>-33.399999999999977</v>
      </c>
      <c r="CD45" s="282">
        <f t="shared" si="157"/>
        <v>102.07999999999998</v>
      </c>
      <c r="CE45" s="283">
        <f t="shared" si="158"/>
        <v>-369.27</v>
      </c>
    </row>
    <row r="46" spans="1:117" ht="15" hidden="1" customHeight="1" x14ac:dyDescent="0.25">
      <c r="A46" s="521"/>
      <c r="B46" s="55">
        <v>9</v>
      </c>
      <c r="C46" s="368"/>
      <c r="D46" s="368"/>
      <c r="E46" s="368"/>
      <c r="F46" s="368">
        <v>38.299999999999997</v>
      </c>
      <c r="G46" s="281">
        <f t="shared" si="103"/>
        <v>27.38</v>
      </c>
      <c r="H46" s="282">
        <f t="shared" si="104"/>
        <v>27.94</v>
      </c>
      <c r="I46" s="282">
        <f t="shared" si="105"/>
        <v>38.049999999999997</v>
      </c>
      <c r="J46" s="283">
        <f t="shared" si="106"/>
        <v>19.18</v>
      </c>
      <c r="K46" s="281">
        <f t="shared" si="107"/>
        <v>25.270000000000003</v>
      </c>
      <c r="L46" s="282">
        <f t="shared" si="108"/>
        <v>33.89</v>
      </c>
      <c r="M46" s="282">
        <f t="shared" si="109"/>
        <v>20.71</v>
      </c>
      <c r="N46" s="283">
        <f t="shared" si="110"/>
        <v>34.56</v>
      </c>
      <c r="O46" s="281">
        <f t="shared" si="111"/>
        <v>19.630000000000003</v>
      </c>
      <c r="P46" s="282">
        <f t="shared" si="112"/>
        <v>46.93</v>
      </c>
      <c r="Q46" s="282">
        <f t="shared" si="113"/>
        <v>22.65</v>
      </c>
      <c r="R46" s="283">
        <f t="shared" si="114"/>
        <v>39.230000000000004</v>
      </c>
      <c r="W46" s="281">
        <f t="shared" si="115"/>
        <v>40.680000000000007</v>
      </c>
      <c r="X46" s="282">
        <f t="shared" si="116"/>
        <v>38.409999999999997</v>
      </c>
      <c r="Y46" s="282">
        <f t="shared" si="117"/>
        <v>21.23</v>
      </c>
      <c r="Z46" s="283">
        <f t="shared" si="118"/>
        <v>16.64</v>
      </c>
      <c r="AA46" s="281">
        <f t="shared" si="119"/>
        <v>32.57</v>
      </c>
      <c r="AB46" s="282">
        <f t="shared" si="120"/>
        <v>31.91</v>
      </c>
      <c r="AC46" s="282">
        <f t="shared" si="121"/>
        <v>28.57</v>
      </c>
      <c r="AD46" s="283">
        <f t="shared" si="122"/>
        <v>47.69</v>
      </c>
      <c r="AE46" s="281">
        <f t="shared" si="123"/>
        <v>20.27</v>
      </c>
      <c r="AF46" s="282">
        <f t="shared" si="124"/>
        <v>32.75</v>
      </c>
      <c r="AG46" s="282">
        <f t="shared" si="125"/>
        <v>29.07</v>
      </c>
      <c r="AH46" s="283">
        <f t="shared" si="126"/>
        <v>48.05</v>
      </c>
      <c r="AM46" s="281">
        <f t="shared" si="127"/>
        <v>18.43</v>
      </c>
      <c r="AN46" s="282">
        <f t="shared" si="128"/>
        <v>35.010000000000005</v>
      </c>
      <c r="AO46" s="282">
        <f t="shared" si="129"/>
        <v>23.439999999999998</v>
      </c>
      <c r="AP46" s="283">
        <f t="shared" si="130"/>
        <v>33.1</v>
      </c>
      <c r="AQ46" s="281">
        <f t="shared" si="131"/>
        <v>75.52000000000001</v>
      </c>
      <c r="AR46" s="282">
        <f t="shared" si="132"/>
        <v>43.31</v>
      </c>
      <c r="AS46" s="282">
        <f t="shared" si="133"/>
        <v>43.71</v>
      </c>
      <c r="AT46" s="283">
        <f t="shared" si="134"/>
        <v>43.36</v>
      </c>
      <c r="AU46" s="281">
        <f t="shared" si="135"/>
        <v>64.02</v>
      </c>
      <c r="AV46" s="282">
        <f t="shared" si="136"/>
        <v>48.209999999999994</v>
      </c>
      <c r="AW46" s="282">
        <f t="shared" si="137"/>
        <v>59.56</v>
      </c>
      <c r="AX46" s="283"/>
      <c r="BC46" s="281">
        <f t="shared" si="138"/>
        <v>72.98</v>
      </c>
      <c r="BD46" s="282">
        <f t="shared" si="139"/>
        <v>71.400000000000006</v>
      </c>
      <c r="BE46" s="282">
        <f t="shared" si="140"/>
        <v>63.760000000000005</v>
      </c>
      <c r="BF46" s="283"/>
      <c r="BG46" s="281">
        <f t="shared" si="141"/>
        <v>43.4</v>
      </c>
      <c r="BH46" s="282">
        <f t="shared" si="142"/>
        <v>49.980000000000004</v>
      </c>
      <c r="BI46" s="282">
        <f t="shared" si="143"/>
        <v>76.490000000000009</v>
      </c>
      <c r="BJ46" s="283"/>
      <c r="BK46" s="281">
        <f t="shared" si="144"/>
        <v>54.92</v>
      </c>
      <c r="BL46" s="282">
        <f t="shared" si="145"/>
        <v>45.25</v>
      </c>
      <c r="BM46" s="282">
        <f t="shared" si="146"/>
        <v>62.45</v>
      </c>
      <c r="BN46" s="283"/>
      <c r="BT46" s="281">
        <f t="shared" si="147"/>
        <v>36.47999999999999</v>
      </c>
      <c r="BU46" s="282">
        <f t="shared" si="148"/>
        <v>-27.349999999999994</v>
      </c>
      <c r="BV46" s="283">
        <f t="shared" si="149"/>
        <v>11.560000000000002</v>
      </c>
      <c r="BW46" s="281">
        <f t="shared" si="150"/>
        <v>9.5499999999999972</v>
      </c>
      <c r="BX46" s="281">
        <f t="shared" si="151"/>
        <v>-24.199999999999989</v>
      </c>
      <c r="BY46" s="281">
        <f t="shared" si="152"/>
        <v>33.509999999999991</v>
      </c>
      <c r="BZ46" s="281">
        <f t="shared" si="153"/>
        <v>-31.440000000000026</v>
      </c>
      <c r="CA46" s="282">
        <f t="shared" si="154"/>
        <v>0.18000000000000682</v>
      </c>
      <c r="CB46" s="283">
        <f t="shared" si="155"/>
        <v>-12.150000000000006</v>
      </c>
      <c r="CC46" s="281">
        <f t="shared" si="156"/>
        <v>-4.6700000000000159</v>
      </c>
      <c r="CD46" s="282">
        <f t="shared" si="157"/>
        <v>36.069999999999993</v>
      </c>
      <c r="CE46" s="283">
        <f t="shared" si="158"/>
        <v>-202.7</v>
      </c>
    </row>
    <row r="47" spans="1:117" ht="15" hidden="1" customHeight="1" x14ac:dyDescent="0.25">
      <c r="A47" s="521"/>
      <c r="B47" s="55">
        <v>11</v>
      </c>
      <c r="C47" s="368"/>
      <c r="D47" s="368"/>
      <c r="E47" s="368"/>
      <c r="F47" s="368">
        <v>44.5</v>
      </c>
      <c r="G47" s="281">
        <f t="shared" si="103"/>
        <v>49.190000000000005</v>
      </c>
      <c r="H47" s="282">
        <f t="shared" si="104"/>
        <v>38.659999999999997</v>
      </c>
      <c r="I47" s="282">
        <f t="shared" si="105"/>
        <v>29.79</v>
      </c>
      <c r="J47" s="283">
        <f t="shared" si="106"/>
        <v>41.08</v>
      </c>
      <c r="K47" s="281">
        <f t="shared" si="107"/>
        <v>20.090000000000003</v>
      </c>
      <c r="L47" s="282">
        <f t="shared" si="108"/>
        <v>32.729999999999997</v>
      </c>
      <c r="M47" s="282">
        <f t="shared" si="109"/>
        <v>31.44</v>
      </c>
      <c r="N47" s="283">
        <f t="shared" si="110"/>
        <v>27.060000000000002</v>
      </c>
      <c r="O47" s="281">
        <f t="shared" si="111"/>
        <v>37.300000000000004</v>
      </c>
      <c r="P47" s="282">
        <f t="shared" si="112"/>
        <v>36.949999999999996</v>
      </c>
      <c r="Q47" s="282">
        <f t="shared" si="113"/>
        <v>30.26</v>
      </c>
      <c r="R47" s="283">
        <f t="shared" si="114"/>
        <v>40.57</v>
      </c>
      <c r="W47" s="281">
        <f t="shared" si="115"/>
        <v>63.84</v>
      </c>
      <c r="X47" s="282">
        <f t="shared" si="116"/>
        <v>82.75</v>
      </c>
      <c r="Y47" s="282">
        <f t="shared" si="117"/>
        <v>37.340000000000003</v>
      </c>
      <c r="Z47" s="283">
        <f t="shared" si="118"/>
        <v>35.96</v>
      </c>
      <c r="AA47" s="281">
        <f t="shared" si="119"/>
        <v>47.269999999999996</v>
      </c>
      <c r="AB47" s="282">
        <f t="shared" si="120"/>
        <v>48.66</v>
      </c>
      <c r="AC47" s="282">
        <f t="shared" si="121"/>
        <v>53.78</v>
      </c>
      <c r="AD47" s="283">
        <f t="shared" si="122"/>
        <v>51.4</v>
      </c>
      <c r="AE47" s="281">
        <f t="shared" si="123"/>
        <v>29.83</v>
      </c>
      <c r="AF47" s="282">
        <f t="shared" si="124"/>
        <v>48.43</v>
      </c>
      <c r="AG47" s="282">
        <f t="shared" si="125"/>
        <v>30.880000000000003</v>
      </c>
      <c r="AH47" s="283">
        <f t="shared" si="126"/>
        <v>44.1</v>
      </c>
      <c r="AM47" s="281">
        <f t="shared" si="127"/>
        <v>22.3</v>
      </c>
      <c r="AN47" s="282">
        <f t="shared" si="128"/>
        <v>54.44</v>
      </c>
      <c r="AO47" s="282">
        <f t="shared" si="129"/>
        <v>24.82</v>
      </c>
      <c r="AP47" s="283">
        <f t="shared" si="130"/>
        <v>47.35</v>
      </c>
      <c r="AQ47" s="281">
        <f t="shared" si="131"/>
        <v>36.81</v>
      </c>
      <c r="AR47" s="282">
        <f t="shared" si="132"/>
        <v>61.24</v>
      </c>
      <c r="AS47" s="282">
        <f t="shared" si="133"/>
        <v>43.08</v>
      </c>
      <c r="AT47" s="283">
        <f t="shared" si="134"/>
        <v>51.099999999999994</v>
      </c>
      <c r="AU47" s="281">
        <f t="shared" si="135"/>
        <v>87.84</v>
      </c>
      <c r="AV47" s="282">
        <f t="shared" si="136"/>
        <v>59.05</v>
      </c>
      <c r="AW47" s="282">
        <f t="shared" si="137"/>
        <v>98.26</v>
      </c>
      <c r="AX47" s="283"/>
      <c r="BC47" s="281">
        <f t="shared" si="138"/>
        <v>59.98</v>
      </c>
      <c r="BD47" s="282">
        <f t="shared" si="139"/>
        <v>59.16</v>
      </c>
      <c r="BE47" s="282">
        <f t="shared" si="140"/>
        <v>45.33</v>
      </c>
      <c r="BF47" s="283"/>
      <c r="BG47" s="281">
        <f t="shared" si="141"/>
        <v>85.12</v>
      </c>
      <c r="BH47" s="282">
        <f t="shared" si="142"/>
        <v>28.49</v>
      </c>
      <c r="BI47" s="282">
        <f t="shared" si="143"/>
        <v>62.233999999999995</v>
      </c>
      <c r="BJ47" s="283"/>
      <c r="BK47" s="281">
        <f t="shared" si="144"/>
        <v>58.31</v>
      </c>
      <c r="BL47" s="282">
        <f t="shared" si="145"/>
        <v>54.529999999999994</v>
      </c>
      <c r="BM47" s="282">
        <f t="shared" si="146"/>
        <v>52</v>
      </c>
      <c r="BN47" s="283"/>
      <c r="BT47" s="281">
        <f t="shared" si="147"/>
        <v>1.7599999999999625</v>
      </c>
      <c r="BU47" s="282">
        <f t="shared" si="148"/>
        <v>-16.849999999999966</v>
      </c>
      <c r="BV47" s="283">
        <f t="shared" si="149"/>
        <v>17.22</v>
      </c>
      <c r="BW47" s="281">
        <f t="shared" si="150"/>
        <v>38.900000000000006</v>
      </c>
      <c r="BX47" s="281">
        <f t="shared" si="151"/>
        <v>-57.84</v>
      </c>
      <c r="BY47" s="281">
        <f t="shared" si="152"/>
        <v>9.460000000000008</v>
      </c>
      <c r="BZ47" s="281">
        <f t="shared" si="153"/>
        <v>27.78000000000003</v>
      </c>
      <c r="CA47" s="282">
        <f t="shared" si="154"/>
        <v>-8.5699999999999932</v>
      </c>
      <c r="CB47" s="283">
        <f t="shared" si="155"/>
        <v>-16.690000000000026</v>
      </c>
      <c r="CC47" s="281">
        <f t="shared" si="156"/>
        <v>-61.230000000000018</v>
      </c>
      <c r="CD47" s="282">
        <f t="shared" si="157"/>
        <v>17.384000000000015</v>
      </c>
      <c r="CE47" s="283">
        <f t="shared" si="158"/>
        <v>-159.56399999999999</v>
      </c>
    </row>
    <row r="48" spans="1:117" ht="15" hidden="1" customHeight="1" x14ac:dyDescent="0.25">
      <c r="A48" s="521"/>
      <c r="B48" s="55">
        <v>12</v>
      </c>
      <c r="C48" s="368"/>
      <c r="D48" s="368"/>
      <c r="E48" s="368"/>
      <c r="F48" s="368">
        <v>71</v>
      </c>
      <c r="G48" s="281">
        <f t="shared" si="103"/>
        <v>103.92</v>
      </c>
      <c r="H48" s="282">
        <f t="shared" si="104"/>
        <v>64.150000000000006</v>
      </c>
      <c r="I48" s="282">
        <f t="shared" si="105"/>
        <v>78.53</v>
      </c>
      <c r="J48" s="283">
        <f t="shared" si="106"/>
        <v>51.83</v>
      </c>
      <c r="K48" s="281">
        <f t="shared" si="107"/>
        <v>41.82</v>
      </c>
      <c r="L48" s="282">
        <f t="shared" si="108"/>
        <v>73.37</v>
      </c>
      <c r="M48" s="282">
        <f t="shared" si="109"/>
        <v>60.73</v>
      </c>
      <c r="N48" s="283">
        <f t="shared" si="110"/>
        <v>82.91</v>
      </c>
      <c r="O48" s="281">
        <f t="shared" si="111"/>
        <v>69.2</v>
      </c>
      <c r="P48" s="282">
        <f t="shared" si="112"/>
        <v>66.05</v>
      </c>
      <c r="Q48" s="282">
        <f t="shared" si="113"/>
        <v>41.84</v>
      </c>
      <c r="R48" s="283">
        <f t="shared" si="114"/>
        <v>61.5</v>
      </c>
      <c r="W48" s="281">
        <f t="shared" si="115"/>
        <v>62.67</v>
      </c>
      <c r="X48" s="282">
        <f t="shared" si="116"/>
        <v>72.349999999999994</v>
      </c>
      <c r="Y48" s="282">
        <f t="shared" si="117"/>
        <v>85.08</v>
      </c>
      <c r="Z48" s="283">
        <f t="shared" si="118"/>
        <v>108.55</v>
      </c>
      <c r="AA48" s="281">
        <f t="shared" si="119"/>
        <v>96.63000000000001</v>
      </c>
      <c r="AB48" s="282">
        <f t="shared" si="120"/>
        <v>69.09</v>
      </c>
      <c r="AC48" s="282">
        <f t="shared" si="121"/>
        <v>60.72</v>
      </c>
      <c r="AD48" s="283">
        <f t="shared" si="122"/>
        <v>69.22999999999999</v>
      </c>
      <c r="AE48" s="281">
        <f t="shared" si="123"/>
        <v>57.239999999999995</v>
      </c>
      <c r="AF48" s="282">
        <f t="shared" si="124"/>
        <v>77.56</v>
      </c>
      <c r="AG48" s="282">
        <f t="shared" si="125"/>
        <v>57.980000000000004</v>
      </c>
      <c r="AH48" s="283">
        <f t="shared" si="126"/>
        <v>72.430000000000007</v>
      </c>
      <c r="AM48" s="281">
        <f t="shared" si="127"/>
        <v>43.55</v>
      </c>
      <c r="AN48" s="282">
        <f t="shared" si="128"/>
        <v>77.760000000000005</v>
      </c>
      <c r="AO48" s="282">
        <f t="shared" si="129"/>
        <v>62.17</v>
      </c>
      <c r="AP48" s="283">
        <f t="shared" si="130"/>
        <v>75.459999999999994</v>
      </c>
      <c r="AQ48" s="281">
        <f t="shared" si="131"/>
        <v>58.84</v>
      </c>
      <c r="AR48" s="282">
        <f t="shared" si="132"/>
        <v>74.569999999999993</v>
      </c>
      <c r="AS48" s="282">
        <f t="shared" si="133"/>
        <v>67.44</v>
      </c>
      <c r="AT48" s="283">
        <f t="shared" si="134"/>
        <v>80.36</v>
      </c>
      <c r="AU48" s="281">
        <f t="shared" si="135"/>
        <v>81.45</v>
      </c>
      <c r="AV48" s="282">
        <f t="shared" si="136"/>
        <v>95.53</v>
      </c>
      <c r="AW48" s="282">
        <f t="shared" si="137"/>
        <v>147.54000000000002</v>
      </c>
      <c r="AX48" s="283"/>
      <c r="BC48" s="281">
        <f t="shared" si="138"/>
        <v>139.88</v>
      </c>
      <c r="BD48" s="282">
        <f t="shared" si="139"/>
        <v>117.32</v>
      </c>
      <c r="BE48" s="282">
        <f t="shared" si="140"/>
        <v>92.97</v>
      </c>
      <c r="BF48" s="283"/>
      <c r="BG48" s="281">
        <f t="shared" si="141"/>
        <v>122.47</v>
      </c>
      <c r="BH48" s="282">
        <f t="shared" si="142"/>
        <v>97.89</v>
      </c>
      <c r="BI48" s="282">
        <f t="shared" si="143"/>
        <v>143.44999999999999</v>
      </c>
      <c r="BJ48" s="283"/>
      <c r="BK48" s="281">
        <f t="shared" si="144"/>
        <v>180.53</v>
      </c>
      <c r="BL48" s="282">
        <f t="shared" si="145"/>
        <v>94.080000000000013</v>
      </c>
      <c r="BM48" s="282">
        <f t="shared" si="146"/>
        <v>98.47</v>
      </c>
      <c r="BN48" s="283"/>
      <c r="BT48" s="281">
        <f t="shared" si="147"/>
        <v>-11.370000000000005</v>
      </c>
      <c r="BU48" s="282">
        <f t="shared" si="148"/>
        <v>-22.47</v>
      </c>
      <c r="BV48" s="283">
        <f t="shared" si="149"/>
        <v>15.140000000000015</v>
      </c>
      <c r="BW48" s="281">
        <f t="shared" si="150"/>
        <v>2.4599999999999795</v>
      </c>
      <c r="BX48" s="281">
        <f t="shared" si="151"/>
        <v>-15.21999999999997</v>
      </c>
      <c r="BY48" s="281">
        <f t="shared" si="152"/>
        <v>46.42999999999995</v>
      </c>
      <c r="BZ48" s="281">
        <f t="shared" si="153"/>
        <v>64.019999999999982</v>
      </c>
      <c r="CA48" s="282">
        <f t="shared" si="154"/>
        <v>29.290000000000049</v>
      </c>
      <c r="CB48" s="283">
        <f t="shared" si="155"/>
        <v>-17.03000000000003</v>
      </c>
      <c r="CC48" s="281">
        <f t="shared" si="156"/>
        <v>-133.59000000000003</v>
      </c>
      <c r="CD48" s="282">
        <f t="shared" si="157"/>
        <v>25.600000000000023</v>
      </c>
      <c r="CE48" s="283">
        <f t="shared" si="158"/>
        <v>-334.89</v>
      </c>
    </row>
    <row r="49" spans="1:83" ht="15.75" hidden="1" customHeight="1" thickBot="1" x14ac:dyDescent="0.3">
      <c r="A49" s="522"/>
      <c r="B49" s="83">
        <v>23</v>
      </c>
      <c r="C49" s="369"/>
      <c r="D49" s="369"/>
      <c r="E49" s="369"/>
      <c r="F49" s="369">
        <v>14.6</v>
      </c>
      <c r="G49" s="281">
        <f t="shared" si="103"/>
        <v>16.240000000000002</v>
      </c>
      <c r="H49" s="282">
        <f t="shared" si="104"/>
        <v>13.39</v>
      </c>
      <c r="I49" s="282">
        <f t="shared" si="105"/>
        <v>20.83</v>
      </c>
      <c r="J49" s="283">
        <f t="shared" si="106"/>
        <v>15.99</v>
      </c>
      <c r="K49" s="281">
        <f t="shared" si="107"/>
        <v>8.74</v>
      </c>
      <c r="L49" s="282">
        <f t="shared" si="108"/>
        <v>23.380000000000003</v>
      </c>
      <c r="M49" s="282">
        <f t="shared" si="109"/>
        <v>15.02</v>
      </c>
      <c r="N49" s="283">
        <f t="shared" si="110"/>
        <v>20.85</v>
      </c>
      <c r="O49" s="281">
        <f t="shared" si="111"/>
        <v>14.7</v>
      </c>
      <c r="P49" s="282">
        <f t="shared" si="112"/>
        <v>14.47</v>
      </c>
      <c r="Q49" s="282">
        <f t="shared" si="113"/>
        <v>7.17</v>
      </c>
      <c r="R49" s="283">
        <f t="shared" si="114"/>
        <v>12.399999999999999</v>
      </c>
      <c r="W49" s="281">
        <f t="shared" si="115"/>
        <v>20.130000000000003</v>
      </c>
      <c r="X49" s="282">
        <f t="shared" si="116"/>
        <v>7.79</v>
      </c>
      <c r="Y49" s="282">
        <f t="shared" si="117"/>
        <v>12.370000000000001</v>
      </c>
      <c r="Z49" s="283">
        <f t="shared" si="118"/>
        <v>31.32</v>
      </c>
      <c r="AA49" s="281">
        <f t="shared" si="119"/>
        <v>18.100000000000001</v>
      </c>
      <c r="AB49" s="282">
        <f t="shared" si="120"/>
        <v>16.48</v>
      </c>
      <c r="AC49" s="282">
        <f t="shared" si="121"/>
        <v>24.14</v>
      </c>
      <c r="AD49" s="283">
        <f t="shared" si="122"/>
        <v>21.55</v>
      </c>
      <c r="AE49" s="281">
        <f t="shared" si="123"/>
        <v>12.600000000000001</v>
      </c>
      <c r="AF49" s="282">
        <f t="shared" si="124"/>
        <v>21.369999999999997</v>
      </c>
      <c r="AG49" s="282">
        <f t="shared" si="125"/>
        <v>15.32</v>
      </c>
      <c r="AH49" s="283">
        <f t="shared" si="126"/>
        <v>21.51</v>
      </c>
      <c r="AM49" s="281">
        <f t="shared" si="127"/>
        <v>13.33</v>
      </c>
      <c r="AN49" s="282">
        <f t="shared" si="128"/>
        <v>21.189999999999998</v>
      </c>
      <c r="AO49" s="282">
        <f t="shared" si="129"/>
        <v>29.12</v>
      </c>
      <c r="AP49" s="283">
        <f t="shared" si="130"/>
        <v>19.11</v>
      </c>
      <c r="AQ49" s="281">
        <f t="shared" si="131"/>
        <v>18.82</v>
      </c>
      <c r="AR49" s="282">
        <f t="shared" si="132"/>
        <v>41.82</v>
      </c>
      <c r="AS49" s="282">
        <f t="shared" si="133"/>
        <v>40.04</v>
      </c>
      <c r="AT49" s="283">
        <f t="shared" si="134"/>
        <v>29.76</v>
      </c>
      <c r="AU49" s="281">
        <f t="shared" si="135"/>
        <v>14.39</v>
      </c>
      <c r="AV49" s="282">
        <f t="shared" si="136"/>
        <v>22.19</v>
      </c>
      <c r="AW49" s="282">
        <f t="shared" si="137"/>
        <v>25.52</v>
      </c>
      <c r="AX49" s="283"/>
      <c r="BC49" s="281">
        <f t="shared" si="138"/>
        <v>42.260000000000005</v>
      </c>
      <c r="BD49" s="282">
        <f t="shared" si="139"/>
        <v>23.86</v>
      </c>
      <c r="BE49" s="282">
        <f t="shared" si="140"/>
        <v>44.03</v>
      </c>
      <c r="BF49" s="283"/>
      <c r="BG49" s="281">
        <f t="shared" si="141"/>
        <v>28.15</v>
      </c>
      <c r="BH49" s="282">
        <f t="shared" si="142"/>
        <v>20.75</v>
      </c>
      <c r="BI49" s="282">
        <f t="shared" si="143"/>
        <v>32.370000000000005</v>
      </c>
      <c r="BJ49" s="283"/>
      <c r="BK49" s="281">
        <f t="shared" si="144"/>
        <v>18.77</v>
      </c>
      <c r="BL49" s="282">
        <f t="shared" si="145"/>
        <v>16.809999999999999</v>
      </c>
      <c r="BM49" s="282">
        <f t="shared" si="146"/>
        <v>21.66</v>
      </c>
      <c r="BN49" s="283"/>
      <c r="BT49" s="281">
        <f t="shared" si="147"/>
        <v>11.559999999999995</v>
      </c>
      <c r="BU49" s="282">
        <f t="shared" si="148"/>
        <v>-8.220000000000006</v>
      </c>
      <c r="BV49" s="283">
        <f t="shared" si="149"/>
        <v>6.220000000000006</v>
      </c>
      <c r="BW49" s="281">
        <f t="shared" si="150"/>
        <v>-5.1900000000000048</v>
      </c>
      <c r="BX49" s="281">
        <f t="shared" si="151"/>
        <v>6.1900000000000048</v>
      </c>
      <c r="BY49" s="281">
        <f t="shared" si="152"/>
        <v>22.550000000000004</v>
      </c>
      <c r="BZ49" s="281">
        <f t="shared" si="153"/>
        <v>38.660000000000004</v>
      </c>
      <c r="CA49" s="282">
        <f t="shared" si="154"/>
        <v>9.4799999999999898</v>
      </c>
      <c r="CB49" s="283">
        <f t="shared" si="155"/>
        <v>-22.34999999999998</v>
      </c>
      <c r="CC49" s="281">
        <f t="shared" si="156"/>
        <v>-27.759999999999991</v>
      </c>
      <c r="CD49" s="282">
        <f t="shared" si="157"/>
        <v>36.64</v>
      </c>
      <c r="CE49" s="283">
        <f t="shared" si="158"/>
        <v>-98.06</v>
      </c>
    </row>
    <row r="50" spans="1:83" ht="15" hidden="1" customHeight="1" x14ac:dyDescent="0.25">
      <c r="A50" s="520" t="s">
        <v>22</v>
      </c>
      <c r="B50" s="85">
        <v>10</v>
      </c>
      <c r="C50" s="370"/>
      <c r="D50" s="370"/>
      <c r="E50" s="370"/>
      <c r="F50" s="370">
        <v>19.100000000000001</v>
      </c>
      <c r="G50" s="281">
        <f t="shared" si="103"/>
        <v>11.7</v>
      </c>
      <c r="H50" s="282">
        <f t="shared" si="104"/>
        <v>16.29</v>
      </c>
      <c r="I50" s="282">
        <f t="shared" si="105"/>
        <v>19.59</v>
      </c>
      <c r="J50" s="283">
        <f t="shared" si="106"/>
        <v>8.8699999999999992</v>
      </c>
      <c r="K50" s="281">
        <f t="shared" si="107"/>
        <v>7.34</v>
      </c>
      <c r="L50" s="282">
        <f t="shared" si="108"/>
        <v>16.53</v>
      </c>
      <c r="M50" s="282">
        <f t="shared" si="109"/>
        <v>10.29</v>
      </c>
      <c r="N50" s="283">
        <f t="shared" si="110"/>
        <v>18.600000000000001</v>
      </c>
      <c r="O50" s="281">
        <f t="shared" si="111"/>
        <v>14.849999999999998</v>
      </c>
      <c r="P50" s="282">
        <f t="shared" si="112"/>
        <v>18.66</v>
      </c>
      <c r="Q50" s="282">
        <f t="shared" si="113"/>
        <v>10.94</v>
      </c>
      <c r="R50" s="283">
        <f t="shared" si="114"/>
        <v>21.950000000000003</v>
      </c>
      <c r="W50" s="281">
        <f t="shared" si="115"/>
        <v>19.18</v>
      </c>
      <c r="X50" s="282">
        <f t="shared" si="116"/>
        <v>15.34</v>
      </c>
      <c r="Y50" s="282">
        <f t="shared" si="117"/>
        <v>7.91</v>
      </c>
      <c r="Z50" s="283">
        <f t="shared" si="118"/>
        <v>17.760000000000002</v>
      </c>
      <c r="AA50" s="281">
        <f t="shared" si="119"/>
        <v>26.41</v>
      </c>
      <c r="AB50" s="282">
        <f t="shared" si="120"/>
        <v>25.56</v>
      </c>
      <c r="AC50" s="282">
        <f t="shared" si="121"/>
        <v>16.59</v>
      </c>
      <c r="AD50" s="283">
        <f t="shared" si="122"/>
        <v>21.09</v>
      </c>
      <c r="AE50" s="281">
        <f t="shared" si="123"/>
        <v>22.54</v>
      </c>
      <c r="AF50" s="282">
        <f t="shared" si="124"/>
        <v>21.5</v>
      </c>
      <c r="AG50" s="282">
        <f t="shared" si="125"/>
        <v>20.95</v>
      </c>
      <c r="AH50" s="283">
        <f t="shared" si="126"/>
        <v>29.669999999999998</v>
      </c>
      <c r="AM50" s="281">
        <f t="shared" si="127"/>
        <v>13.11</v>
      </c>
      <c r="AN50" s="282">
        <f t="shared" si="128"/>
        <v>27.93</v>
      </c>
      <c r="AO50" s="282">
        <f t="shared" si="129"/>
        <v>13.52</v>
      </c>
      <c r="AP50" s="283">
        <f t="shared" si="130"/>
        <v>15.129999999999999</v>
      </c>
      <c r="AQ50" s="281">
        <f t="shared" si="131"/>
        <v>20.47</v>
      </c>
      <c r="AR50" s="282">
        <f t="shared" si="132"/>
        <v>29.2</v>
      </c>
      <c r="AS50" s="282">
        <f t="shared" si="133"/>
        <v>27.61</v>
      </c>
      <c r="AT50" s="283">
        <f t="shared" si="134"/>
        <v>23.62</v>
      </c>
      <c r="AU50" s="281">
        <f t="shared" si="135"/>
        <v>44.04</v>
      </c>
      <c r="AV50" s="282">
        <f t="shared" si="136"/>
        <v>34.06</v>
      </c>
      <c r="AW50" s="282">
        <f t="shared" si="137"/>
        <v>40.57</v>
      </c>
      <c r="AX50" s="283"/>
      <c r="BC50" s="281">
        <f t="shared" si="138"/>
        <v>36.01</v>
      </c>
      <c r="BD50" s="282">
        <f t="shared" si="139"/>
        <v>29.66</v>
      </c>
      <c r="BE50" s="282">
        <f t="shared" si="140"/>
        <v>28.14</v>
      </c>
      <c r="BF50" s="283"/>
      <c r="BG50" s="281">
        <f t="shared" si="141"/>
        <v>0</v>
      </c>
      <c r="BH50" s="282">
        <f t="shared" si="142"/>
        <v>24.72</v>
      </c>
      <c r="BI50" s="282">
        <f t="shared" si="143"/>
        <v>35.380000000000003</v>
      </c>
      <c r="BJ50" s="283"/>
      <c r="BK50" s="281">
        <f t="shared" si="144"/>
        <v>53.05</v>
      </c>
      <c r="BL50" s="282">
        <f t="shared" si="145"/>
        <v>28.05</v>
      </c>
      <c r="BM50" s="282">
        <f t="shared" si="146"/>
        <v>29.310000000000002</v>
      </c>
      <c r="BN50" s="283"/>
      <c r="BT50" s="281">
        <f t="shared" si="147"/>
        <v>17.590000000000003</v>
      </c>
      <c r="BU50" s="282">
        <f t="shared" si="148"/>
        <v>-10.660000000000004</v>
      </c>
      <c r="BV50" s="283">
        <f t="shared" si="149"/>
        <v>8.6000000000000014</v>
      </c>
      <c r="BW50" s="281">
        <f t="shared" si="150"/>
        <v>-5.7299999999999969</v>
      </c>
      <c r="BX50" s="281">
        <f t="shared" si="151"/>
        <v>-16.949999999999996</v>
      </c>
      <c r="BY50" s="281">
        <f t="shared" si="152"/>
        <v>23.069999999999993</v>
      </c>
      <c r="BZ50" s="281">
        <f t="shared" si="153"/>
        <v>13.569999999999993</v>
      </c>
      <c r="CA50" s="282">
        <f t="shared" si="154"/>
        <v>-9.4900000000000091</v>
      </c>
      <c r="CB50" s="283">
        <f t="shared" si="155"/>
        <v>-17.309999999999988</v>
      </c>
      <c r="CC50" s="281">
        <f t="shared" si="156"/>
        <v>-6.6300000000000097</v>
      </c>
      <c r="CD50" s="282">
        <f t="shared" si="157"/>
        <v>10.40000000000002</v>
      </c>
      <c r="CE50" s="283">
        <f t="shared" si="158"/>
        <v>-92.830000000000013</v>
      </c>
    </row>
    <row r="51" spans="1:83" ht="15" hidden="1" customHeight="1" x14ac:dyDescent="0.25">
      <c r="A51" s="521"/>
      <c r="B51" s="55">
        <v>13</v>
      </c>
      <c r="C51" s="368"/>
      <c r="D51" s="368"/>
      <c r="E51" s="368"/>
      <c r="F51" s="368">
        <v>60.8</v>
      </c>
      <c r="G51" s="281">
        <f t="shared" si="103"/>
        <v>55.04</v>
      </c>
      <c r="H51" s="282">
        <f t="shared" si="104"/>
        <v>107.76</v>
      </c>
      <c r="I51" s="282">
        <f t="shared" si="105"/>
        <v>74.92</v>
      </c>
      <c r="J51" s="283">
        <f t="shared" si="106"/>
        <v>91.4</v>
      </c>
      <c r="K51" s="281">
        <f t="shared" si="107"/>
        <v>49.260000000000005</v>
      </c>
      <c r="L51" s="282">
        <f t="shared" si="108"/>
        <v>63.97</v>
      </c>
      <c r="M51" s="282">
        <f t="shared" si="109"/>
        <v>56.88</v>
      </c>
      <c r="N51" s="283">
        <f t="shared" si="110"/>
        <v>74.7</v>
      </c>
      <c r="O51" s="281">
        <f t="shared" si="111"/>
        <v>55.06</v>
      </c>
      <c r="P51" s="282">
        <f t="shared" si="112"/>
        <v>61.980000000000004</v>
      </c>
      <c r="Q51" s="282">
        <f t="shared" si="113"/>
        <v>44.790000000000006</v>
      </c>
      <c r="R51" s="283">
        <f t="shared" si="114"/>
        <v>57.589999999999996</v>
      </c>
      <c r="W51" s="281">
        <f t="shared" si="115"/>
        <v>51.75</v>
      </c>
      <c r="X51" s="282">
        <f t="shared" si="116"/>
        <v>47.14</v>
      </c>
      <c r="Y51" s="282">
        <f t="shared" si="117"/>
        <v>68.010000000000005</v>
      </c>
      <c r="Z51" s="283">
        <f t="shared" si="118"/>
        <v>47.86</v>
      </c>
      <c r="AA51" s="281">
        <f t="shared" si="119"/>
        <v>86.15</v>
      </c>
      <c r="AB51" s="282">
        <f t="shared" si="120"/>
        <v>85.9</v>
      </c>
      <c r="AC51" s="282">
        <f t="shared" si="121"/>
        <v>48.01</v>
      </c>
      <c r="AD51" s="283">
        <f t="shared" si="122"/>
        <v>90.56</v>
      </c>
      <c r="AE51" s="281">
        <f t="shared" si="123"/>
        <v>76.180000000000007</v>
      </c>
      <c r="AF51" s="282">
        <f t="shared" si="124"/>
        <v>77.59</v>
      </c>
      <c r="AG51" s="282">
        <f t="shared" si="125"/>
        <v>53.45</v>
      </c>
      <c r="AH51" s="283">
        <f t="shared" si="126"/>
        <v>56.22</v>
      </c>
      <c r="AM51" s="281">
        <f t="shared" si="127"/>
        <v>84.359999999999985</v>
      </c>
      <c r="AN51" s="282">
        <f t="shared" si="128"/>
        <v>93.78</v>
      </c>
      <c r="AO51" s="282">
        <f t="shared" si="129"/>
        <v>71.09</v>
      </c>
      <c r="AP51" s="283">
        <f t="shared" si="130"/>
        <v>89.53</v>
      </c>
      <c r="AQ51" s="281">
        <f t="shared" si="131"/>
        <v>80.569999999999993</v>
      </c>
      <c r="AR51" s="282">
        <f t="shared" si="132"/>
        <v>85.92</v>
      </c>
      <c r="AS51" s="282">
        <f t="shared" si="133"/>
        <v>96.89</v>
      </c>
      <c r="AT51" s="283">
        <f t="shared" si="134"/>
        <v>66.47</v>
      </c>
      <c r="AU51" s="281">
        <f t="shared" si="135"/>
        <v>96.34</v>
      </c>
      <c r="AV51" s="282">
        <f t="shared" si="136"/>
        <v>109.63999999999999</v>
      </c>
      <c r="AW51" s="282">
        <f t="shared" si="137"/>
        <v>80.66</v>
      </c>
      <c r="AX51" s="283"/>
      <c r="BC51" s="281">
        <f t="shared" si="138"/>
        <v>113.44</v>
      </c>
      <c r="BD51" s="282">
        <f t="shared" si="139"/>
        <v>94.43</v>
      </c>
      <c r="BE51" s="282">
        <f t="shared" si="140"/>
        <v>184.71</v>
      </c>
      <c r="BF51" s="283"/>
      <c r="BG51" s="281">
        <f t="shared" si="141"/>
        <v>119.28</v>
      </c>
      <c r="BH51" s="282">
        <f t="shared" si="142"/>
        <v>112.62</v>
      </c>
      <c r="BI51" s="282">
        <f t="shared" si="143"/>
        <v>139.12900000000002</v>
      </c>
      <c r="BJ51" s="283"/>
      <c r="BK51" s="281">
        <f t="shared" si="144"/>
        <v>97.38</v>
      </c>
      <c r="BL51" s="282">
        <f t="shared" si="145"/>
        <v>98.88</v>
      </c>
      <c r="BM51" s="282">
        <f t="shared" si="146"/>
        <v>80.319999999999993</v>
      </c>
      <c r="BN51" s="283"/>
      <c r="BT51" s="281">
        <f t="shared" si="147"/>
        <v>74.350000000000023</v>
      </c>
      <c r="BU51" s="282">
        <f t="shared" si="148"/>
        <v>-57.120000000000005</v>
      </c>
      <c r="BV51" s="283">
        <f t="shared" si="149"/>
        <v>47.099999999999994</v>
      </c>
      <c r="BW51" s="281">
        <f t="shared" si="150"/>
        <v>-3.4499999999999886</v>
      </c>
      <c r="BX51" s="281">
        <f t="shared" si="151"/>
        <v>-41.16</v>
      </c>
      <c r="BY51" s="281">
        <f t="shared" si="152"/>
        <v>25.169999999999987</v>
      </c>
      <c r="BZ51" s="281">
        <f t="shared" si="153"/>
        <v>28.069999999999993</v>
      </c>
      <c r="CA51" s="282">
        <f t="shared" si="154"/>
        <v>-40.69999999999996</v>
      </c>
      <c r="CB51" s="283">
        <f t="shared" si="155"/>
        <v>-0.75000000000002842</v>
      </c>
      <c r="CC51" s="281">
        <f t="shared" si="156"/>
        <v>-24.170000000000016</v>
      </c>
      <c r="CD51" s="282">
        <f t="shared" si="157"/>
        <v>98.229000000000042</v>
      </c>
      <c r="CE51" s="283">
        <f t="shared" si="158"/>
        <v>-404.15900000000005</v>
      </c>
    </row>
    <row r="52" spans="1:83" ht="15" hidden="1" customHeight="1" x14ac:dyDescent="0.25">
      <c r="A52" s="521"/>
      <c r="B52" s="55">
        <v>14</v>
      </c>
      <c r="C52" s="368"/>
      <c r="D52" s="368"/>
      <c r="E52" s="368"/>
      <c r="F52" s="368">
        <v>41.6</v>
      </c>
      <c r="G52" s="281">
        <f t="shared" si="103"/>
        <v>65.56</v>
      </c>
      <c r="H52" s="282">
        <f t="shared" si="104"/>
        <v>42.41</v>
      </c>
      <c r="I52" s="282">
        <f t="shared" si="105"/>
        <v>52.870000000000005</v>
      </c>
      <c r="J52" s="283">
        <f t="shared" si="106"/>
        <v>46.739999999999995</v>
      </c>
      <c r="K52" s="281">
        <f t="shared" si="107"/>
        <v>34.21</v>
      </c>
      <c r="L52" s="282">
        <f t="shared" si="108"/>
        <v>45.37</v>
      </c>
      <c r="M52" s="282">
        <f t="shared" si="109"/>
        <v>38.82</v>
      </c>
      <c r="N52" s="283">
        <f t="shared" si="110"/>
        <v>39.24</v>
      </c>
      <c r="O52" s="281">
        <f t="shared" si="111"/>
        <v>29.24</v>
      </c>
      <c r="P52" s="282">
        <f t="shared" si="112"/>
        <v>58.05</v>
      </c>
      <c r="Q52" s="282">
        <f t="shared" si="113"/>
        <v>18.579999999999998</v>
      </c>
      <c r="R52" s="283">
        <f t="shared" si="114"/>
        <v>32.08</v>
      </c>
      <c r="W52" s="281">
        <f t="shared" si="115"/>
        <v>28.13</v>
      </c>
      <c r="X52" s="282">
        <f t="shared" si="116"/>
        <v>37.229999999999997</v>
      </c>
      <c r="Y52" s="282">
        <f t="shared" si="117"/>
        <v>48.01</v>
      </c>
      <c r="Z52" s="283">
        <f t="shared" si="118"/>
        <v>61.87</v>
      </c>
      <c r="AA52" s="281">
        <f t="shared" si="119"/>
        <v>86.62</v>
      </c>
      <c r="AB52" s="282">
        <f t="shared" si="120"/>
        <v>59.67</v>
      </c>
      <c r="AC52" s="282">
        <f t="shared" si="121"/>
        <v>71.760000000000005</v>
      </c>
      <c r="AD52" s="283">
        <f t="shared" si="122"/>
        <v>55.48</v>
      </c>
      <c r="AE52" s="281">
        <f t="shared" si="123"/>
        <v>44.92</v>
      </c>
      <c r="AF52" s="282">
        <f t="shared" si="124"/>
        <v>55.47</v>
      </c>
      <c r="AG52" s="282">
        <f t="shared" si="125"/>
        <v>41.28</v>
      </c>
      <c r="AH52" s="283">
        <f t="shared" si="126"/>
        <v>76.95</v>
      </c>
      <c r="AM52" s="281">
        <f t="shared" si="127"/>
        <v>62.59</v>
      </c>
      <c r="AN52" s="282">
        <f t="shared" si="128"/>
        <v>51.68</v>
      </c>
      <c r="AO52" s="282">
        <f t="shared" si="129"/>
        <v>53.03</v>
      </c>
      <c r="AP52" s="283">
        <f t="shared" si="130"/>
        <v>62.519999999999996</v>
      </c>
      <c r="AQ52" s="281">
        <f t="shared" si="131"/>
        <v>49.78</v>
      </c>
      <c r="AR52" s="282">
        <f t="shared" si="132"/>
        <v>58.789999999999992</v>
      </c>
      <c r="AS52" s="282">
        <f t="shared" si="133"/>
        <v>105.18</v>
      </c>
      <c r="AT52" s="283">
        <f t="shared" si="134"/>
        <v>58.45</v>
      </c>
      <c r="AU52" s="281">
        <f t="shared" si="135"/>
        <v>59</v>
      </c>
      <c r="AV52" s="282">
        <f t="shared" si="136"/>
        <v>79.78</v>
      </c>
      <c r="AW52" s="282">
        <f t="shared" si="137"/>
        <v>84.46</v>
      </c>
      <c r="AX52" s="283"/>
      <c r="BC52" s="281">
        <f t="shared" si="138"/>
        <v>61.58</v>
      </c>
      <c r="BD52" s="282">
        <f t="shared" si="139"/>
        <v>57.91</v>
      </c>
      <c r="BE52" s="282">
        <f t="shared" si="140"/>
        <v>96.19</v>
      </c>
      <c r="BF52" s="283"/>
      <c r="BG52" s="281">
        <f t="shared" si="141"/>
        <v>64.37</v>
      </c>
      <c r="BH52" s="282">
        <f t="shared" si="142"/>
        <v>77.38</v>
      </c>
      <c r="BI52" s="282">
        <f t="shared" si="143"/>
        <v>58.596000000000004</v>
      </c>
      <c r="BJ52" s="283"/>
      <c r="BK52" s="281">
        <f t="shared" si="144"/>
        <v>63.52</v>
      </c>
      <c r="BL52" s="282">
        <f t="shared" si="145"/>
        <v>63.4</v>
      </c>
      <c r="BM52" s="282">
        <f t="shared" si="146"/>
        <v>93.91</v>
      </c>
      <c r="BN52" s="283"/>
      <c r="BT52" s="281">
        <f t="shared" si="147"/>
        <v>16.819999999999965</v>
      </c>
      <c r="BU52" s="282">
        <f t="shared" si="148"/>
        <v>-35.559999999999988</v>
      </c>
      <c r="BV52" s="283">
        <f t="shared" si="149"/>
        <v>7.789999999999992</v>
      </c>
      <c r="BW52" s="281">
        <f t="shared" si="150"/>
        <v>-7.3000000000000114</v>
      </c>
      <c r="BX52" s="281">
        <f t="shared" si="151"/>
        <v>8.6800000000000068</v>
      </c>
      <c r="BY52" s="281">
        <f t="shared" si="152"/>
        <v>33.25</v>
      </c>
      <c r="BZ52" s="281">
        <f t="shared" si="153"/>
        <v>18.879999999999995</v>
      </c>
      <c r="CA52" s="282">
        <f t="shared" si="154"/>
        <v>52.420000000000016</v>
      </c>
      <c r="CB52" s="283">
        <f t="shared" si="155"/>
        <v>-45.650000000000034</v>
      </c>
      <c r="CC52" s="281">
        <f t="shared" si="156"/>
        <v>9.2199999999999989</v>
      </c>
      <c r="CD52" s="282">
        <f t="shared" si="157"/>
        <v>50.006</v>
      </c>
      <c r="CE52" s="283">
        <f t="shared" si="158"/>
        <v>-248.696</v>
      </c>
    </row>
    <row r="53" spans="1:83" ht="15" hidden="1" customHeight="1" x14ac:dyDescent="0.25">
      <c r="A53" s="521"/>
      <c r="B53" s="55">
        <v>15</v>
      </c>
      <c r="C53" s="368"/>
      <c r="D53" s="368"/>
      <c r="E53" s="368"/>
      <c r="F53" s="368">
        <v>49.3</v>
      </c>
      <c r="G53" s="281">
        <f t="shared" si="103"/>
        <v>25.64</v>
      </c>
      <c r="H53" s="282">
        <f t="shared" si="104"/>
        <v>69.069999999999993</v>
      </c>
      <c r="I53" s="282">
        <f t="shared" si="105"/>
        <v>37.380000000000003</v>
      </c>
      <c r="J53" s="283">
        <f t="shared" si="106"/>
        <v>58.17</v>
      </c>
      <c r="K53" s="281">
        <f t="shared" si="107"/>
        <v>19.36</v>
      </c>
      <c r="L53" s="282">
        <f t="shared" si="108"/>
        <v>56.76</v>
      </c>
      <c r="M53" s="282">
        <f t="shared" si="109"/>
        <v>16.95</v>
      </c>
      <c r="N53" s="283">
        <f t="shared" si="110"/>
        <v>59.539999999999992</v>
      </c>
      <c r="O53" s="281">
        <f t="shared" si="111"/>
        <v>36.07</v>
      </c>
      <c r="P53" s="282">
        <f t="shared" si="112"/>
        <v>60.91</v>
      </c>
      <c r="Q53" s="282">
        <f t="shared" si="113"/>
        <v>13.440000000000001</v>
      </c>
      <c r="R53" s="283">
        <f t="shared" si="114"/>
        <v>48.32</v>
      </c>
      <c r="W53" s="281">
        <f t="shared" si="115"/>
        <v>37</v>
      </c>
      <c r="X53" s="282">
        <f t="shared" si="116"/>
        <v>45.019999999999996</v>
      </c>
      <c r="Y53" s="282">
        <f t="shared" si="117"/>
        <v>14.53</v>
      </c>
      <c r="Z53" s="283">
        <f t="shared" si="118"/>
        <v>46.6</v>
      </c>
      <c r="AA53" s="281">
        <f t="shared" si="119"/>
        <v>48.989999999999995</v>
      </c>
      <c r="AB53" s="282">
        <f t="shared" si="120"/>
        <v>52.25</v>
      </c>
      <c r="AC53" s="282">
        <f t="shared" si="121"/>
        <v>32.5</v>
      </c>
      <c r="AD53" s="283">
        <f t="shared" si="122"/>
        <v>59.36</v>
      </c>
      <c r="AE53" s="281">
        <f t="shared" si="123"/>
        <v>81.740000000000009</v>
      </c>
      <c r="AF53" s="282">
        <f t="shared" si="124"/>
        <v>59.48</v>
      </c>
      <c r="AG53" s="282">
        <f t="shared" si="125"/>
        <v>49.5</v>
      </c>
      <c r="AH53" s="283">
        <f t="shared" si="126"/>
        <v>54.86</v>
      </c>
      <c r="AM53" s="281">
        <f t="shared" si="127"/>
        <v>60.22</v>
      </c>
      <c r="AN53" s="282">
        <f t="shared" si="128"/>
        <v>69.97999999999999</v>
      </c>
      <c r="AO53" s="282">
        <f t="shared" si="129"/>
        <v>34.08</v>
      </c>
      <c r="AP53" s="283">
        <f t="shared" si="130"/>
        <v>51.02</v>
      </c>
      <c r="AQ53" s="281">
        <f t="shared" si="131"/>
        <v>72.84</v>
      </c>
      <c r="AR53" s="282">
        <f t="shared" si="132"/>
        <v>65.38</v>
      </c>
      <c r="AS53" s="282">
        <f t="shared" si="133"/>
        <v>96.44</v>
      </c>
      <c r="AT53" s="283">
        <f t="shared" si="134"/>
        <v>51.72</v>
      </c>
      <c r="AU53" s="281">
        <f t="shared" si="135"/>
        <v>50.53</v>
      </c>
      <c r="AV53" s="282">
        <f t="shared" si="136"/>
        <v>69.63</v>
      </c>
      <c r="AW53" s="282">
        <f t="shared" si="137"/>
        <v>79.52</v>
      </c>
      <c r="AX53" s="283"/>
      <c r="BC53" s="281">
        <f t="shared" si="138"/>
        <v>110.6</v>
      </c>
      <c r="BD53" s="282">
        <f t="shared" si="139"/>
        <v>75.489999999999995</v>
      </c>
      <c r="BE53" s="282">
        <f t="shared" si="140"/>
        <v>107.01999999999998</v>
      </c>
      <c r="BF53" s="283"/>
      <c r="BG53" s="281">
        <f t="shared" si="141"/>
        <v>61.53</v>
      </c>
      <c r="BH53" s="282">
        <f t="shared" si="142"/>
        <v>71.150000000000006</v>
      </c>
      <c r="BI53" s="282">
        <f t="shared" si="143"/>
        <v>77.91</v>
      </c>
      <c r="BJ53" s="283"/>
      <c r="BK53" s="281">
        <f t="shared" si="144"/>
        <v>82.2</v>
      </c>
      <c r="BL53" s="282">
        <f t="shared" si="145"/>
        <v>58.239999999999995</v>
      </c>
      <c r="BM53" s="282">
        <f t="shared" si="146"/>
        <v>60.49</v>
      </c>
      <c r="BN53" s="283"/>
      <c r="BT53" s="281">
        <f t="shared" si="147"/>
        <v>105.66999999999999</v>
      </c>
      <c r="BU53" s="282">
        <f t="shared" si="148"/>
        <v>-118.96999999999998</v>
      </c>
      <c r="BV53" s="283">
        <f t="shared" si="149"/>
        <v>98.26</v>
      </c>
      <c r="BW53" s="281">
        <f t="shared" si="150"/>
        <v>-10.980000000000018</v>
      </c>
      <c r="BX53" s="281">
        <f t="shared" si="151"/>
        <v>-60.22</v>
      </c>
      <c r="BY53" s="281">
        <f t="shared" si="152"/>
        <v>64.289999999999992</v>
      </c>
      <c r="BZ53" s="281">
        <f t="shared" si="153"/>
        <v>21.399999999999977</v>
      </c>
      <c r="CA53" s="282">
        <f t="shared" si="154"/>
        <v>5.0499999999999829</v>
      </c>
      <c r="CB53" s="283">
        <f t="shared" si="155"/>
        <v>-50.879999999999939</v>
      </c>
      <c r="CC53" s="281">
        <f t="shared" si="156"/>
        <v>-49.449999999999989</v>
      </c>
      <c r="CD53" s="282">
        <f t="shared" si="157"/>
        <v>40.539999999999992</v>
      </c>
      <c r="CE53" s="283">
        <f t="shared" si="158"/>
        <v>-245.42</v>
      </c>
    </row>
    <row r="54" spans="1:83" ht="15" hidden="1" customHeight="1" x14ac:dyDescent="0.25">
      <c r="A54" s="521"/>
      <c r="B54" s="55">
        <v>16</v>
      </c>
      <c r="C54" s="368"/>
      <c r="D54" s="368"/>
      <c r="E54" s="368"/>
      <c r="F54" s="368">
        <v>53.2</v>
      </c>
      <c r="G54" s="281">
        <f t="shared" si="103"/>
        <v>46.480000000000004</v>
      </c>
      <c r="H54" s="282">
        <f t="shared" si="104"/>
        <v>65.75</v>
      </c>
      <c r="I54" s="282">
        <f t="shared" si="105"/>
        <v>48.33</v>
      </c>
      <c r="J54" s="283">
        <f t="shared" si="106"/>
        <v>42.08</v>
      </c>
      <c r="K54" s="281">
        <f t="shared" si="107"/>
        <v>47.370000000000005</v>
      </c>
      <c r="L54" s="282">
        <f t="shared" si="108"/>
        <v>82.25</v>
      </c>
      <c r="M54" s="282">
        <f t="shared" si="109"/>
        <v>34.19</v>
      </c>
      <c r="N54" s="283">
        <f t="shared" si="110"/>
        <v>65.67</v>
      </c>
      <c r="O54" s="281">
        <f t="shared" si="111"/>
        <v>44.989999999999995</v>
      </c>
      <c r="P54" s="282">
        <f t="shared" si="112"/>
        <v>75.31</v>
      </c>
      <c r="Q54" s="282">
        <f t="shared" si="113"/>
        <v>23.630000000000003</v>
      </c>
      <c r="R54" s="283">
        <f t="shared" si="114"/>
        <v>62.629999999999995</v>
      </c>
      <c r="W54" s="281">
        <f t="shared" si="115"/>
        <v>51.67</v>
      </c>
      <c r="X54" s="282">
        <f t="shared" si="116"/>
        <v>49.5</v>
      </c>
      <c r="Y54" s="282">
        <f t="shared" si="117"/>
        <v>55.41</v>
      </c>
      <c r="Z54" s="283">
        <f t="shared" si="118"/>
        <v>59.59</v>
      </c>
      <c r="AA54" s="281">
        <f t="shared" si="119"/>
        <v>71.490000000000009</v>
      </c>
      <c r="AB54" s="282">
        <f t="shared" si="120"/>
        <v>67.050000000000011</v>
      </c>
      <c r="AC54" s="282">
        <f t="shared" si="121"/>
        <v>40.53</v>
      </c>
      <c r="AD54" s="283">
        <f t="shared" si="122"/>
        <v>73.150000000000006</v>
      </c>
      <c r="AE54" s="281">
        <f t="shared" si="123"/>
        <v>112.24000000000001</v>
      </c>
      <c r="AF54" s="282">
        <f t="shared" si="124"/>
        <v>64.47</v>
      </c>
      <c r="AG54" s="282">
        <f t="shared" si="125"/>
        <v>68.680000000000007</v>
      </c>
      <c r="AH54" s="283">
        <f t="shared" si="126"/>
        <v>69.87</v>
      </c>
      <c r="AM54" s="281">
        <f t="shared" si="127"/>
        <v>91.59</v>
      </c>
      <c r="AN54" s="282">
        <f t="shared" si="128"/>
        <v>103.61</v>
      </c>
      <c r="AO54" s="282">
        <f t="shared" si="129"/>
        <v>68.210000000000008</v>
      </c>
      <c r="AP54" s="283">
        <f t="shared" si="130"/>
        <v>76.2</v>
      </c>
      <c r="AQ54" s="281">
        <f t="shared" si="131"/>
        <v>105.17</v>
      </c>
      <c r="AR54" s="282">
        <f t="shared" si="132"/>
        <v>93.17</v>
      </c>
      <c r="AS54" s="282">
        <f t="shared" si="133"/>
        <v>115.72</v>
      </c>
      <c r="AT54" s="283">
        <f t="shared" si="134"/>
        <v>78.81</v>
      </c>
      <c r="AU54" s="281">
        <f t="shared" si="135"/>
        <v>103.51</v>
      </c>
      <c r="AV54" s="282">
        <f t="shared" si="136"/>
        <v>91.37</v>
      </c>
      <c r="AW54" s="282">
        <f t="shared" si="137"/>
        <v>88.25</v>
      </c>
      <c r="AX54" s="283"/>
      <c r="BC54" s="281">
        <f t="shared" si="138"/>
        <v>118.93</v>
      </c>
      <c r="BD54" s="282">
        <f t="shared" si="139"/>
        <v>84.15</v>
      </c>
      <c r="BE54" s="282">
        <f t="shared" si="140"/>
        <v>115.61</v>
      </c>
      <c r="BF54" s="283"/>
      <c r="BG54" s="281">
        <f t="shared" si="141"/>
        <v>81.400000000000006</v>
      </c>
      <c r="BH54" s="282">
        <f t="shared" si="142"/>
        <v>83.330000000000013</v>
      </c>
      <c r="BI54" s="282">
        <f t="shared" si="143"/>
        <v>91.01</v>
      </c>
      <c r="BJ54" s="283"/>
      <c r="BK54" s="281">
        <f t="shared" si="144"/>
        <v>96.32</v>
      </c>
      <c r="BL54" s="282">
        <f t="shared" si="145"/>
        <v>65.490000000000009</v>
      </c>
      <c r="BM54" s="282">
        <f t="shared" si="146"/>
        <v>87.66</v>
      </c>
      <c r="BN54" s="283"/>
      <c r="BT54" s="281">
        <f t="shared" si="147"/>
        <v>84.47</v>
      </c>
      <c r="BU54" s="282">
        <f t="shared" si="148"/>
        <v>-117.16</v>
      </c>
      <c r="BV54" s="283">
        <f t="shared" si="149"/>
        <v>64.22999999999999</v>
      </c>
      <c r="BW54" s="281">
        <f t="shared" si="150"/>
        <v>-54.380000000000024</v>
      </c>
      <c r="BX54" s="281">
        <f t="shared" si="151"/>
        <v>-16.400000000000006</v>
      </c>
      <c r="BY54" s="281">
        <f t="shared" si="152"/>
        <v>37.990000000000009</v>
      </c>
      <c r="BZ54" s="281">
        <f t="shared" si="153"/>
        <v>-12.120000000000005</v>
      </c>
      <c r="CA54" s="282">
        <f t="shared" si="154"/>
        <v>-15.96999999999997</v>
      </c>
      <c r="CB54" s="283">
        <f t="shared" si="155"/>
        <v>-35.760000000000019</v>
      </c>
      <c r="CC54" s="281">
        <f t="shared" si="156"/>
        <v>-63.67999999999995</v>
      </c>
      <c r="CD54" s="282">
        <f t="shared" si="157"/>
        <v>61.309999999999945</v>
      </c>
      <c r="CE54" s="283">
        <f t="shared" si="158"/>
        <v>-294.27999999999997</v>
      </c>
    </row>
    <row r="55" spans="1:83" ht="15" hidden="1" customHeight="1" x14ac:dyDescent="0.25">
      <c r="A55" s="521"/>
      <c r="B55" s="55">
        <v>17</v>
      </c>
      <c r="C55" s="368"/>
      <c r="D55" s="368"/>
      <c r="E55" s="368"/>
      <c r="F55" s="368">
        <v>45.7</v>
      </c>
      <c r="G55" s="281">
        <f t="shared" si="103"/>
        <v>36.549999999999997</v>
      </c>
      <c r="H55" s="282">
        <f t="shared" si="104"/>
        <v>48.370000000000005</v>
      </c>
      <c r="I55" s="282">
        <f t="shared" si="105"/>
        <v>45.769999999999996</v>
      </c>
      <c r="J55" s="283">
        <f t="shared" si="106"/>
        <v>35.18</v>
      </c>
      <c r="K55" s="281">
        <f t="shared" si="107"/>
        <v>44.16</v>
      </c>
      <c r="L55" s="282">
        <f t="shared" si="108"/>
        <v>32.46</v>
      </c>
      <c r="M55" s="282">
        <f t="shared" si="109"/>
        <v>26.55</v>
      </c>
      <c r="N55" s="283">
        <f t="shared" si="110"/>
        <v>78.650000000000006</v>
      </c>
      <c r="O55" s="281">
        <f t="shared" si="111"/>
        <v>40.82</v>
      </c>
      <c r="P55" s="282">
        <f t="shared" si="112"/>
        <v>56.51</v>
      </c>
      <c r="Q55" s="282">
        <f t="shared" si="113"/>
        <v>21.46</v>
      </c>
      <c r="R55" s="283">
        <f t="shared" si="114"/>
        <v>56.2</v>
      </c>
      <c r="W55" s="281">
        <f t="shared" si="115"/>
        <v>51.540000000000006</v>
      </c>
      <c r="X55" s="282">
        <f t="shared" si="116"/>
        <v>46.55</v>
      </c>
      <c r="Y55" s="282">
        <f t="shared" si="117"/>
        <v>57.06</v>
      </c>
      <c r="Z55" s="283">
        <f t="shared" si="118"/>
        <v>48.38</v>
      </c>
      <c r="AA55" s="281">
        <f t="shared" si="119"/>
        <v>74.449999999999989</v>
      </c>
      <c r="AB55" s="282">
        <f t="shared" si="120"/>
        <v>63.730000000000004</v>
      </c>
      <c r="AC55" s="282">
        <f t="shared" si="121"/>
        <v>57.019999999999996</v>
      </c>
      <c r="AD55" s="283">
        <f t="shared" si="122"/>
        <v>62.33</v>
      </c>
      <c r="AE55" s="281">
        <f t="shared" si="123"/>
        <v>102.15</v>
      </c>
      <c r="AF55" s="282">
        <f t="shared" si="124"/>
        <v>63.400000000000006</v>
      </c>
      <c r="AG55" s="282">
        <f t="shared" si="125"/>
        <v>59.54</v>
      </c>
      <c r="AH55" s="283">
        <f t="shared" si="126"/>
        <v>71.84</v>
      </c>
      <c r="AM55" s="281">
        <f t="shared" si="127"/>
        <v>79.64</v>
      </c>
      <c r="AN55" s="282">
        <f t="shared" si="128"/>
        <v>66.400000000000006</v>
      </c>
      <c r="AO55" s="282">
        <f t="shared" si="129"/>
        <v>62.67</v>
      </c>
      <c r="AP55" s="283">
        <f t="shared" si="130"/>
        <v>75.58</v>
      </c>
      <c r="AQ55" s="281">
        <f t="shared" si="131"/>
        <v>130.93</v>
      </c>
      <c r="AR55" s="282">
        <f t="shared" si="132"/>
        <v>80.08</v>
      </c>
      <c r="AS55" s="282">
        <f t="shared" si="133"/>
        <v>114.07000000000001</v>
      </c>
      <c r="AT55" s="283">
        <f t="shared" si="134"/>
        <v>67.88</v>
      </c>
      <c r="AU55" s="281">
        <f t="shared" si="135"/>
        <v>78.13</v>
      </c>
      <c r="AV55" s="282">
        <f t="shared" si="136"/>
        <v>79.959999999999994</v>
      </c>
      <c r="AW55" s="282">
        <f t="shared" si="137"/>
        <v>78.14</v>
      </c>
      <c r="AX55" s="283"/>
      <c r="BC55" s="281">
        <f t="shared" si="138"/>
        <v>89.15</v>
      </c>
      <c r="BD55" s="282">
        <f t="shared" si="139"/>
        <v>77.740000000000009</v>
      </c>
      <c r="BE55" s="282">
        <f t="shared" si="140"/>
        <v>120.67</v>
      </c>
      <c r="BF55" s="283"/>
      <c r="BG55" s="281">
        <f t="shared" si="141"/>
        <v>60.17</v>
      </c>
      <c r="BH55" s="282">
        <f t="shared" si="142"/>
        <v>69.039999999999992</v>
      </c>
      <c r="BI55" s="282">
        <f t="shared" si="143"/>
        <v>74.709999999999994</v>
      </c>
      <c r="BJ55" s="283"/>
      <c r="BK55" s="281">
        <f t="shared" si="144"/>
        <v>83.35</v>
      </c>
      <c r="BL55" s="282">
        <f t="shared" si="145"/>
        <v>52.19</v>
      </c>
      <c r="BM55" s="282">
        <f t="shared" si="146"/>
        <v>96.89</v>
      </c>
      <c r="BN55" s="283"/>
      <c r="BT55" s="281">
        <f t="shared" si="147"/>
        <v>15.810000000000002</v>
      </c>
      <c r="BU55" s="282">
        <f t="shared" si="148"/>
        <v>-43.56</v>
      </c>
      <c r="BV55" s="283">
        <f t="shared" si="149"/>
        <v>76.250000000000028</v>
      </c>
      <c r="BW55" s="281">
        <f t="shared" si="150"/>
        <v>-54.45999999999998</v>
      </c>
      <c r="BX55" s="281">
        <f t="shared" si="151"/>
        <v>-6.0000000000002274E-2</v>
      </c>
      <c r="BY55" s="281">
        <f t="shared" si="152"/>
        <v>8.9300000000000068</v>
      </c>
      <c r="BZ55" s="281">
        <f t="shared" si="153"/>
        <v>-62.259999999999991</v>
      </c>
      <c r="CA55" s="282">
        <f t="shared" si="154"/>
        <v>28.439999999999998</v>
      </c>
      <c r="CB55" s="283">
        <f t="shared" si="155"/>
        <v>-46.610000000000014</v>
      </c>
      <c r="CC55" s="281">
        <f t="shared" si="156"/>
        <v>-33.699999999999989</v>
      </c>
      <c r="CD55" s="282">
        <f t="shared" si="157"/>
        <v>93.299999999999983</v>
      </c>
      <c r="CE55" s="283">
        <f t="shared" si="158"/>
        <v>-292.27</v>
      </c>
    </row>
    <row r="56" spans="1:83" ht="15.75" hidden="1" customHeight="1" thickBot="1" x14ac:dyDescent="0.3">
      <c r="A56" s="522"/>
      <c r="B56" s="88">
        <v>18</v>
      </c>
      <c r="C56" s="371"/>
      <c r="D56" s="371"/>
      <c r="E56" s="371"/>
      <c r="F56" s="369">
        <v>40.799999999999997</v>
      </c>
      <c r="G56" s="281">
        <f t="shared" si="103"/>
        <v>49.489999999999995</v>
      </c>
      <c r="H56" s="282">
        <f t="shared" si="104"/>
        <v>81.759999999999991</v>
      </c>
      <c r="I56" s="282">
        <f t="shared" si="105"/>
        <v>58.010000000000005</v>
      </c>
      <c r="J56" s="283">
        <f t="shared" si="106"/>
        <v>54.83</v>
      </c>
      <c r="K56" s="281">
        <f t="shared" si="107"/>
        <v>30.770000000000003</v>
      </c>
      <c r="L56" s="282">
        <f t="shared" si="108"/>
        <v>49.31</v>
      </c>
      <c r="M56" s="282">
        <f t="shared" si="109"/>
        <v>38.22</v>
      </c>
      <c r="N56" s="283">
        <f t="shared" si="110"/>
        <v>52.43</v>
      </c>
      <c r="O56" s="281">
        <f t="shared" si="111"/>
        <v>41.150000000000006</v>
      </c>
      <c r="P56" s="282">
        <f t="shared" si="112"/>
        <v>30.29</v>
      </c>
      <c r="Q56" s="282">
        <f t="shared" si="113"/>
        <v>30.490000000000002</v>
      </c>
      <c r="R56" s="283">
        <f t="shared" si="114"/>
        <v>45.2</v>
      </c>
      <c r="W56" s="281">
        <f t="shared" si="115"/>
        <v>37.89</v>
      </c>
      <c r="X56" s="282">
        <f t="shared" si="116"/>
        <v>64.37</v>
      </c>
      <c r="Y56" s="282">
        <f t="shared" si="117"/>
        <v>55.14</v>
      </c>
      <c r="Z56" s="283">
        <f t="shared" si="118"/>
        <v>65.709999999999994</v>
      </c>
      <c r="AA56" s="281">
        <f t="shared" si="119"/>
        <v>60.69</v>
      </c>
      <c r="AB56" s="282">
        <f t="shared" si="120"/>
        <v>43.16</v>
      </c>
      <c r="AC56" s="282">
        <f t="shared" si="121"/>
        <v>46.07</v>
      </c>
      <c r="AD56" s="283">
        <f t="shared" si="122"/>
        <v>60.910000000000004</v>
      </c>
      <c r="AE56" s="281">
        <f t="shared" si="123"/>
        <v>81.960000000000008</v>
      </c>
      <c r="AF56" s="282">
        <f t="shared" si="124"/>
        <v>58.78</v>
      </c>
      <c r="AG56" s="282">
        <f t="shared" si="125"/>
        <v>40.53</v>
      </c>
      <c r="AH56" s="283">
        <f t="shared" si="126"/>
        <v>53.150000000000006</v>
      </c>
      <c r="AM56" s="281">
        <f t="shared" si="127"/>
        <v>47.95</v>
      </c>
      <c r="AN56" s="282">
        <f t="shared" si="128"/>
        <v>62.41</v>
      </c>
      <c r="AO56" s="282">
        <f t="shared" si="129"/>
        <v>59.76</v>
      </c>
      <c r="AP56" s="283">
        <f t="shared" si="130"/>
        <v>69.66</v>
      </c>
      <c r="AQ56" s="281">
        <f t="shared" si="131"/>
        <v>65.5</v>
      </c>
      <c r="AR56" s="282">
        <f t="shared" si="132"/>
        <v>55.11</v>
      </c>
      <c r="AS56" s="282">
        <f t="shared" si="133"/>
        <v>64.100000000000009</v>
      </c>
      <c r="AT56" s="283">
        <f t="shared" si="134"/>
        <v>63.809999999999995</v>
      </c>
      <c r="AU56" s="281">
        <f t="shared" si="135"/>
        <v>71.73</v>
      </c>
      <c r="AV56" s="282">
        <f t="shared" si="136"/>
        <v>68.87</v>
      </c>
      <c r="AW56" s="282">
        <f t="shared" si="137"/>
        <v>79.039999999999992</v>
      </c>
      <c r="AX56" s="283"/>
      <c r="BC56" s="281">
        <f t="shared" si="138"/>
        <v>66.47</v>
      </c>
      <c r="BD56" s="282">
        <f t="shared" si="139"/>
        <v>81.789999999999992</v>
      </c>
      <c r="BE56" s="282">
        <f t="shared" si="140"/>
        <v>108.66</v>
      </c>
      <c r="BF56" s="283"/>
      <c r="BG56" s="281">
        <f t="shared" si="141"/>
        <v>87.02</v>
      </c>
      <c r="BH56" s="282">
        <f t="shared" si="142"/>
        <v>58.15</v>
      </c>
      <c r="BI56" s="282">
        <f t="shared" si="143"/>
        <v>54.73</v>
      </c>
      <c r="BJ56" s="283"/>
      <c r="BK56" s="281">
        <f t="shared" si="144"/>
        <v>67.2</v>
      </c>
      <c r="BL56" s="282">
        <f t="shared" si="145"/>
        <v>60.239999999999995</v>
      </c>
      <c r="BM56" s="282">
        <f t="shared" si="146"/>
        <v>102.33</v>
      </c>
      <c r="BN56" s="283"/>
      <c r="BT56" s="281">
        <f t="shared" si="147"/>
        <v>39.949999999999989</v>
      </c>
      <c r="BU56" s="282">
        <f t="shared" si="148"/>
        <v>-34.639999999999986</v>
      </c>
      <c r="BV56" s="283">
        <f t="shared" si="149"/>
        <v>25.739999999999981</v>
      </c>
      <c r="BW56" s="281">
        <f t="shared" si="150"/>
        <v>-14.230000000000018</v>
      </c>
      <c r="BX56" s="281">
        <f t="shared" si="151"/>
        <v>-24.569999999999993</v>
      </c>
      <c r="BY56" s="281">
        <f t="shared" si="152"/>
        <v>38.03</v>
      </c>
      <c r="BZ56" s="281">
        <f t="shared" si="153"/>
        <v>1.2099999999999795</v>
      </c>
      <c r="CA56" s="282">
        <f t="shared" si="154"/>
        <v>16.510000000000019</v>
      </c>
      <c r="CB56" s="283">
        <f t="shared" si="155"/>
        <v>0</v>
      </c>
      <c r="CC56" s="281">
        <f t="shared" si="156"/>
        <v>-20.509999999999991</v>
      </c>
      <c r="CD56" s="282">
        <f t="shared" si="157"/>
        <v>65.539999999999964</v>
      </c>
      <c r="CE56" s="283">
        <f t="shared" si="158"/>
        <v>-265.71999999999997</v>
      </c>
    </row>
    <row r="57" spans="1:83" ht="15" hidden="1" customHeight="1" x14ac:dyDescent="0.25">
      <c r="A57" s="520" t="s">
        <v>23</v>
      </c>
      <c r="B57" s="23">
        <v>19</v>
      </c>
      <c r="C57" s="370"/>
      <c r="D57" s="370"/>
      <c r="E57" s="370"/>
      <c r="F57" s="370">
        <v>50.62</v>
      </c>
      <c r="G57" s="281">
        <f t="shared" si="103"/>
        <v>48.099999999999994</v>
      </c>
      <c r="H57" s="282">
        <f t="shared" si="104"/>
        <v>54.7</v>
      </c>
      <c r="I57" s="282">
        <f t="shared" si="105"/>
        <v>48.26</v>
      </c>
      <c r="J57" s="283">
        <f t="shared" si="106"/>
        <v>55.03</v>
      </c>
      <c r="K57" s="281">
        <f t="shared" si="107"/>
        <v>35.049999999999997</v>
      </c>
      <c r="L57" s="282">
        <f t="shared" si="108"/>
        <v>57.463000000000001</v>
      </c>
      <c r="M57" s="282">
        <f t="shared" si="109"/>
        <v>26.060000000000002</v>
      </c>
      <c r="N57" s="283">
        <f t="shared" si="110"/>
        <v>63.99</v>
      </c>
      <c r="O57" s="281">
        <f t="shared" si="111"/>
        <v>47.3</v>
      </c>
      <c r="P57" s="282">
        <f t="shared" si="112"/>
        <v>42.13</v>
      </c>
      <c r="Q57" s="282">
        <f t="shared" si="113"/>
        <v>27.34</v>
      </c>
      <c r="R57" s="283">
        <f t="shared" si="114"/>
        <v>40.67</v>
      </c>
      <c r="W57" s="281">
        <f t="shared" si="115"/>
        <v>68.430000000000007</v>
      </c>
      <c r="X57" s="282">
        <f t="shared" si="116"/>
        <v>70.790000000000006</v>
      </c>
      <c r="Y57" s="282">
        <f t="shared" si="117"/>
        <v>37.159999999999997</v>
      </c>
      <c r="Z57" s="283">
        <f t="shared" si="118"/>
        <v>91.65</v>
      </c>
      <c r="AA57" s="281">
        <f t="shared" si="119"/>
        <v>54.1</v>
      </c>
      <c r="AB57" s="282">
        <f t="shared" si="120"/>
        <v>94.009999999999991</v>
      </c>
      <c r="AC57" s="282">
        <f t="shared" si="121"/>
        <v>58.52000000000001</v>
      </c>
      <c r="AD57" s="283">
        <f t="shared" si="122"/>
        <v>65.03</v>
      </c>
      <c r="AE57" s="281">
        <f t="shared" si="123"/>
        <v>66</v>
      </c>
      <c r="AF57" s="282">
        <f t="shared" si="124"/>
        <v>74.44</v>
      </c>
      <c r="AG57" s="282">
        <f t="shared" si="125"/>
        <v>51.44</v>
      </c>
      <c r="AH57" s="283">
        <f t="shared" si="126"/>
        <v>52.7</v>
      </c>
      <c r="AM57" s="281">
        <f t="shared" si="127"/>
        <v>88.17</v>
      </c>
      <c r="AN57" s="282">
        <f t="shared" si="128"/>
        <v>87.85</v>
      </c>
      <c r="AO57" s="282">
        <f t="shared" si="129"/>
        <v>40.230000000000004</v>
      </c>
      <c r="AP57" s="283">
        <f t="shared" si="130"/>
        <v>83.75</v>
      </c>
      <c r="AQ57" s="281">
        <f t="shared" si="131"/>
        <v>89.4</v>
      </c>
      <c r="AR57" s="282">
        <f t="shared" si="132"/>
        <v>43.36</v>
      </c>
      <c r="AS57" s="282">
        <f t="shared" si="133"/>
        <v>68.5</v>
      </c>
      <c r="AT57" s="283">
        <f t="shared" si="134"/>
        <v>82.09</v>
      </c>
      <c r="AU57" s="281">
        <f t="shared" si="135"/>
        <v>62.32</v>
      </c>
      <c r="AV57" s="282">
        <f t="shared" si="136"/>
        <v>81.09</v>
      </c>
      <c r="AW57" s="282">
        <f t="shared" si="137"/>
        <v>174.93</v>
      </c>
      <c r="AX57" s="283"/>
      <c r="BC57" s="281">
        <f t="shared" si="138"/>
        <v>109.92</v>
      </c>
      <c r="BD57" s="282">
        <f t="shared" si="139"/>
        <v>76.05</v>
      </c>
      <c r="BE57" s="282">
        <f t="shared" si="140"/>
        <v>89.71</v>
      </c>
      <c r="BF57" s="283"/>
      <c r="BG57" s="281">
        <f t="shared" si="141"/>
        <v>67.989999999999995</v>
      </c>
      <c r="BH57" s="282">
        <f t="shared" si="142"/>
        <v>78.8</v>
      </c>
      <c r="BI57" s="282">
        <f t="shared" si="143"/>
        <v>74.45</v>
      </c>
      <c r="BJ57" s="283"/>
      <c r="BK57" s="281">
        <f t="shared" si="144"/>
        <v>82.53</v>
      </c>
      <c r="BL57" s="282">
        <f t="shared" si="145"/>
        <v>58.84</v>
      </c>
      <c r="BM57" s="282">
        <f t="shared" si="146"/>
        <v>49.21</v>
      </c>
      <c r="BN57" s="283"/>
      <c r="BT57" s="281">
        <f t="shared" si="147"/>
        <v>23.843000000000018</v>
      </c>
      <c r="BU57" s="282">
        <f t="shared" si="148"/>
        <v>-52.63300000000001</v>
      </c>
      <c r="BV57" s="283">
        <f t="shared" si="149"/>
        <v>58.03</v>
      </c>
      <c r="BW57" s="281">
        <f t="shared" si="150"/>
        <v>50.710000000000008</v>
      </c>
      <c r="BX57" s="281">
        <f t="shared" si="151"/>
        <v>-92.12</v>
      </c>
      <c r="BY57" s="281">
        <f t="shared" si="152"/>
        <v>62.259999999999991</v>
      </c>
      <c r="BZ57" s="281">
        <f t="shared" si="153"/>
        <v>-27.590000000000003</v>
      </c>
      <c r="CA57" s="282">
        <f t="shared" si="154"/>
        <v>71.360000000000042</v>
      </c>
      <c r="CB57" s="283">
        <f t="shared" si="155"/>
        <v>-33.610000000000014</v>
      </c>
      <c r="CC57" s="281">
        <f t="shared" si="156"/>
        <v>-46.75</v>
      </c>
      <c r="CD57" s="282">
        <f t="shared" si="157"/>
        <v>-0.31999999999999318</v>
      </c>
      <c r="CE57" s="283">
        <f t="shared" si="158"/>
        <v>-213.37</v>
      </c>
    </row>
    <row r="58" spans="1:83" ht="15" hidden="1" customHeight="1" x14ac:dyDescent="0.25">
      <c r="A58" s="521"/>
      <c r="B58" s="55">
        <v>20</v>
      </c>
      <c r="C58" s="368"/>
      <c r="D58" s="368"/>
      <c r="E58" s="368"/>
      <c r="F58" s="368">
        <v>62.08</v>
      </c>
      <c r="G58" s="281">
        <f t="shared" si="103"/>
        <v>51.910000000000004</v>
      </c>
      <c r="H58" s="282">
        <f t="shared" si="104"/>
        <v>61.47</v>
      </c>
      <c r="I58" s="282">
        <f t="shared" si="105"/>
        <v>49.510000000000005</v>
      </c>
      <c r="J58" s="283">
        <f t="shared" si="106"/>
        <v>70.12</v>
      </c>
      <c r="K58" s="281">
        <f t="shared" si="107"/>
        <v>31.21</v>
      </c>
      <c r="L58" s="282">
        <f t="shared" si="108"/>
        <v>54.67</v>
      </c>
      <c r="M58" s="282">
        <f t="shared" si="109"/>
        <v>24.08</v>
      </c>
      <c r="N58" s="283">
        <f t="shared" si="110"/>
        <v>70.84</v>
      </c>
      <c r="O58" s="281">
        <f t="shared" si="111"/>
        <v>39.92</v>
      </c>
      <c r="P58" s="282">
        <f t="shared" si="112"/>
        <v>52.680000000000007</v>
      </c>
      <c r="Q58" s="282">
        <f t="shared" si="113"/>
        <v>16.55</v>
      </c>
      <c r="R58" s="283">
        <f t="shared" si="114"/>
        <v>34.53</v>
      </c>
      <c r="W58" s="281">
        <f t="shared" si="115"/>
        <v>68.349999999999994</v>
      </c>
      <c r="X58" s="282">
        <f t="shared" si="116"/>
        <v>63.680000000000007</v>
      </c>
      <c r="Y58" s="282">
        <f t="shared" si="117"/>
        <v>22.51</v>
      </c>
      <c r="Z58" s="283">
        <f t="shared" si="118"/>
        <v>116.55000000000001</v>
      </c>
      <c r="AA58" s="281">
        <f t="shared" si="119"/>
        <v>52.46</v>
      </c>
      <c r="AB58" s="282">
        <f t="shared" si="120"/>
        <v>108.25999999999999</v>
      </c>
      <c r="AC58" s="282">
        <f t="shared" si="121"/>
        <v>45.83</v>
      </c>
      <c r="AD58" s="283">
        <f t="shared" si="122"/>
        <v>90.210000000000008</v>
      </c>
      <c r="AE58" s="281">
        <f t="shared" si="123"/>
        <v>50.1</v>
      </c>
      <c r="AF58" s="282">
        <f t="shared" si="124"/>
        <v>74.180000000000007</v>
      </c>
      <c r="AG58" s="282">
        <f t="shared" si="125"/>
        <v>64.81</v>
      </c>
      <c r="AH58" s="283">
        <f t="shared" si="126"/>
        <v>51.129999999999995</v>
      </c>
      <c r="AM58" s="281">
        <f t="shared" si="127"/>
        <v>128.19</v>
      </c>
      <c r="AN58" s="282">
        <f t="shared" si="128"/>
        <v>66.97</v>
      </c>
      <c r="AO58" s="282">
        <f t="shared" si="129"/>
        <v>69.28</v>
      </c>
      <c r="AP58" s="283">
        <f t="shared" si="130"/>
        <v>75.31</v>
      </c>
      <c r="AQ58" s="281">
        <f t="shared" si="131"/>
        <v>99.44</v>
      </c>
      <c r="AR58" s="282">
        <f t="shared" si="132"/>
        <v>75.47</v>
      </c>
      <c r="AS58" s="282">
        <f t="shared" si="133"/>
        <v>70.23</v>
      </c>
      <c r="AT58" s="283">
        <f t="shared" si="134"/>
        <v>101.19999999999999</v>
      </c>
      <c r="AU58" s="281">
        <f t="shared" si="135"/>
        <v>69.430000000000007</v>
      </c>
      <c r="AV58" s="282">
        <f t="shared" si="136"/>
        <v>66.61</v>
      </c>
      <c r="AW58" s="282">
        <f t="shared" si="137"/>
        <v>168.56</v>
      </c>
      <c r="AX58" s="283"/>
      <c r="BC58" s="281">
        <f t="shared" si="138"/>
        <v>109.81</v>
      </c>
      <c r="BD58" s="282">
        <f t="shared" si="139"/>
        <v>92.47999999999999</v>
      </c>
      <c r="BE58" s="282">
        <f t="shared" si="140"/>
        <v>115.34</v>
      </c>
      <c r="BF58" s="283"/>
      <c r="BG58" s="281">
        <f t="shared" si="141"/>
        <v>91.39</v>
      </c>
      <c r="BH58" s="282">
        <f t="shared" si="142"/>
        <v>78.05</v>
      </c>
      <c r="BI58" s="282">
        <f t="shared" si="143"/>
        <v>84.289999999999992</v>
      </c>
      <c r="BJ58" s="283"/>
      <c r="BK58" s="281">
        <f t="shared" si="144"/>
        <v>77.41</v>
      </c>
      <c r="BL58" s="282">
        <f t="shared" si="145"/>
        <v>68.31</v>
      </c>
      <c r="BM58" s="282">
        <f t="shared" si="146"/>
        <v>69</v>
      </c>
      <c r="BN58" s="283"/>
      <c r="BT58" s="281">
        <f t="shared" si="147"/>
        <v>45.779999999999987</v>
      </c>
      <c r="BU58" s="282">
        <f t="shared" si="148"/>
        <v>-78.679999999999993</v>
      </c>
      <c r="BV58" s="283">
        <f t="shared" si="149"/>
        <v>85.350000000000009</v>
      </c>
      <c r="BW58" s="281">
        <f t="shared" si="150"/>
        <v>75.210000000000008</v>
      </c>
      <c r="BX58" s="281">
        <f t="shared" si="151"/>
        <v>-112.97</v>
      </c>
      <c r="BY58" s="281">
        <f t="shared" si="152"/>
        <v>124.73999999999998</v>
      </c>
      <c r="BZ58" s="281">
        <f t="shared" si="153"/>
        <v>-88.009999999999991</v>
      </c>
      <c r="CA58" s="282">
        <f t="shared" si="154"/>
        <v>99.019999999999982</v>
      </c>
      <c r="CB58" s="283">
        <f t="shared" si="155"/>
        <v>-49.45999999999998</v>
      </c>
      <c r="CC58" s="281">
        <f t="shared" si="156"/>
        <v>-39.770000000000039</v>
      </c>
      <c r="CD58" s="282">
        <f t="shared" si="157"/>
        <v>29.79000000000002</v>
      </c>
      <c r="CE58" s="283">
        <f t="shared" si="158"/>
        <v>-268.63</v>
      </c>
    </row>
    <row r="59" spans="1:83" ht="15" hidden="1" customHeight="1" x14ac:dyDescent="0.25">
      <c r="A59" s="521"/>
      <c r="B59" s="55">
        <v>21</v>
      </c>
      <c r="C59" s="368"/>
      <c r="D59" s="368"/>
      <c r="E59" s="368"/>
      <c r="F59" s="368">
        <v>72.2</v>
      </c>
      <c r="G59" s="281">
        <f t="shared" si="103"/>
        <v>86.86</v>
      </c>
      <c r="H59" s="282">
        <f t="shared" si="104"/>
        <v>94.92</v>
      </c>
      <c r="I59" s="282">
        <f t="shared" si="105"/>
        <v>86.449999999999989</v>
      </c>
      <c r="J59" s="283">
        <f t="shared" si="106"/>
        <v>95.460000000000008</v>
      </c>
      <c r="K59" s="281">
        <f t="shared" si="107"/>
        <v>53.870000000000005</v>
      </c>
      <c r="L59" s="282">
        <f t="shared" si="108"/>
        <v>60.31</v>
      </c>
      <c r="M59" s="282">
        <f t="shared" si="109"/>
        <v>50.78</v>
      </c>
      <c r="N59" s="283">
        <f t="shared" si="110"/>
        <v>59.44</v>
      </c>
      <c r="O59" s="281">
        <f t="shared" si="111"/>
        <v>67.97</v>
      </c>
      <c r="P59" s="282">
        <f t="shared" si="112"/>
        <v>119.83</v>
      </c>
      <c r="Q59" s="282">
        <f t="shared" si="113"/>
        <v>46.08</v>
      </c>
      <c r="R59" s="283">
        <f t="shared" si="114"/>
        <v>83.73</v>
      </c>
      <c r="W59" s="281">
        <f t="shared" si="115"/>
        <v>77.02000000000001</v>
      </c>
      <c r="X59" s="282">
        <f t="shared" si="116"/>
        <v>76.39</v>
      </c>
      <c r="Y59" s="282">
        <f t="shared" si="117"/>
        <v>70.38</v>
      </c>
      <c r="Z59" s="283">
        <f t="shared" si="118"/>
        <v>159.93</v>
      </c>
      <c r="AA59" s="281">
        <f t="shared" si="119"/>
        <v>126.65</v>
      </c>
      <c r="AB59" s="282">
        <f t="shared" si="120"/>
        <v>92.749999999999986</v>
      </c>
      <c r="AC59" s="282">
        <f t="shared" si="121"/>
        <v>77.599999999999994</v>
      </c>
      <c r="AD59" s="283">
        <f t="shared" si="122"/>
        <v>112.19</v>
      </c>
      <c r="AE59" s="281">
        <f t="shared" si="123"/>
        <v>78.989999999999995</v>
      </c>
      <c r="AF59" s="282">
        <f t="shared" si="124"/>
        <v>84.47999999999999</v>
      </c>
      <c r="AG59" s="282">
        <f t="shared" si="125"/>
        <v>105.44</v>
      </c>
      <c r="AH59" s="283">
        <f t="shared" si="126"/>
        <v>69.569999999999993</v>
      </c>
      <c r="AM59" s="281">
        <f t="shared" si="127"/>
        <v>140.62</v>
      </c>
      <c r="AN59" s="282">
        <f t="shared" si="128"/>
        <v>117.65</v>
      </c>
      <c r="AO59" s="282">
        <f t="shared" si="129"/>
        <v>160.38</v>
      </c>
      <c r="AP59" s="283">
        <f t="shared" si="130"/>
        <v>95.68</v>
      </c>
      <c r="AQ59" s="281">
        <f t="shared" si="131"/>
        <v>190.25</v>
      </c>
      <c r="AR59" s="282">
        <f t="shared" si="132"/>
        <v>139.73000000000002</v>
      </c>
      <c r="AS59" s="282">
        <f t="shared" si="133"/>
        <v>115.14</v>
      </c>
      <c r="AT59" s="283">
        <f t="shared" si="134"/>
        <v>111.16999999999999</v>
      </c>
      <c r="AU59" s="281">
        <f t="shared" si="135"/>
        <v>137.12</v>
      </c>
      <c r="AV59" s="282">
        <f t="shared" si="136"/>
        <v>137.98000000000002</v>
      </c>
      <c r="AW59" s="282">
        <f t="shared" si="137"/>
        <v>142.54999999999998</v>
      </c>
      <c r="AX59" s="283"/>
      <c r="BC59" s="281">
        <f t="shared" si="138"/>
        <v>161.85000000000002</v>
      </c>
      <c r="BD59" s="282">
        <f t="shared" si="139"/>
        <v>143.07</v>
      </c>
      <c r="BE59" s="282">
        <f t="shared" si="140"/>
        <v>199.91000000000003</v>
      </c>
      <c r="BF59" s="283"/>
      <c r="BG59" s="281">
        <f t="shared" si="141"/>
        <v>152.35</v>
      </c>
      <c r="BH59" s="282">
        <f t="shared" si="142"/>
        <v>148.07</v>
      </c>
      <c r="BI59" s="282">
        <f t="shared" si="143"/>
        <v>154.22999999999999</v>
      </c>
      <c r="BJ59" s="283"/>
      <c r="BK59" s="281">
        <f t="shared" si="144"/>
        <v>139.48000000000002</v>
      </c>
      <c r="BL59" s="282">
        <f t="shared" si="145"/>
        <v>108.66</v>
      </c>
      <c r="BM59" s="282">
        <f t="shared" si="146"/>
        <v>96.05</v>
      </c>
      <c r="BN59" s="283"/>
      <c r="BT59" s="281">
        <f t="shared" si="147"/>
        <v>66.359999999999985</v>
      </c>
      <c r="BU59" s="282">
        <f t="shared" si="148"/>
        <v>-91.75</v>
      </c>
      <c r="BV59" s="283">
        <f t="shared" si="149"/>
        <v>55.319999999999993</v>
      </c>
      <c r="BW59" s="281">
        <f t="shared" si="150"/>
        <v>-29.040000000000049</v>
      </c>
      <c r="BX59" s="281">
        <f t="shared" si="151"/>
        <v>-0.19999999999998863</v>
      </c>
      <c r="BY59" s="281">
        <f t="shared" si="152"/>
        <v>88.27000000000001</v>
      </c>
      <c r="BZ59" s="281">
        <f t="shared" si="153"/>
        <v>-72.63</v>
      </c>
      <c r="CA59" s="282">
        <f t="shared" si="154"/>
        <v>22.709999999999923</v>
      </c>
      <c r="CB59" s="283">
        <f t="shared" si="155"/>
        <v>-65.259999999999934</v>
      </c>
      <c r="CC59" s="281">
        <f t="shared" si="156"/>
        <v>-53.880000000000109</v>
      </c>
      <c r="CD59" s="282">
        <f t="shared" si="157"/>
        <v>50.390000000000043</v>
      </c>
      <c r="CE59" s="283">
        <f t="shared" si="158"/>
        <v>-450.19</v>
      </c>
    </row>
    <row r="60" spans="1:83" ht="15" hidden="1" customHeight="1" x14ac:dyDescent="0.25">
      <c r="A60" s="521"/>
      <c r="B60" s="55">
        <v>22</v>
      </c>
      <c r="C60" s="368"/>
      <c r="D60" s="368"/>
      <c r="E60" s="368"/>
      <c r="F60" s="368">
        <v>52.3</v>
      </c>
      <c r="G60" s="281">
        <f t="shared" si="103"/>
        <v>55.309999999999995</v>
      </c>
      <c r="H60" s="282">
        <f t="shared" si="104"/>
        <v>63.79</v>
      </c>
      <c r="I60" s="282">
        <f t="shared" si="105"/>
        <v>58.67</v>
      </c>
      <c r="J60" s="283">
        <f t="shared" si="106"/>
        <v>30.8</v>
      </c>
      <c r="K60" s="281">
        <f t="shared" si="107"/>
        <v>40.28</v>
      </c>
      <c r="L60" s="282">
        <f t="shared" si="108"/>
        <v>38.15</v>
      </c>
      <c r="M60" s="282">
        <f t="shared" si="109"/>
        <v>36.06</v>
      </c>
      <c r="N60" s="283">
        <f t="shared" si="110"/>
        <v>74.5</v>
      </c>
      <c r="O60" s="281">
        <f t="shared" si="111"/>
        <v>37.519999999999996</v>
      </c>
      <c r="P60" s="282">
        <f t="shared" si="112"/>
        <v>63.980000000000004</v>
      </c>
      <c r="Q60" s="282">
        <f t="shared" si="113"/>
        <v>27.049999999999997</v>
      </c>
      <c r="R60" s="283">
        <f t="shared" si="114"/>
        <v>55.26</v>
      </c>
      <c r="W60" s="281">
        <f t="shared" si="115"/>
        <v>50.19</v>
      </c>
      <c r="X60" s="282">
        <f t="shared" si="116"/>
        <v>44.94</v>
      </c>
      <c r="Y60" s="282">
        <f t="shared" si="117"/>
        <v>43.81</v>
      </c>
      <c r="Z60" s="283">
        <f t="shared" si="118"/>
        <v>78.13</v>
      </c>
      <c r="AA60" s="281">
        <f t="shared" si="119"/>
        <v>78.41</v>
      </c>
      <c r="AB60" s="282">
        <f t="shared" si="120"/>
        <v>55.76</v>
      </c>
      <c r="AC60" s="282">
        <f t="shared" si="121"/>
        <v>38.590000000000003</v>
      </c>
      <c r="AD60" s="283">
        <f t="shared" si="122"/>
        <v>40.56</v>
      </c>
      <c r="AE60" s="281">
        <f t="shared" si="123"/>
        <v>57.33</v>
      </c>
      <c r="AF60" s="282">
        <f t="shared" si="124"/>
        <v>62</v>
      </c>
      <c r="AG60" s="282">
        <f t="shared" si="125"/>
        <v>58.92</v>
      </c>
      <c r="AH60" s="283">
        <f t="shared" si="126"/>
        <v>65</v>
      </c>
      <c r="AM60" s="281">
        <f t="shared" si="127"/>
        <v>77.830000000000013</v>
      </c>
      <c r="AN60" s="282">
        <f t="shared" si="128"/>
        <v>83.44</v>
      </c>
      <c r="AO60" s="282">
        <f t="shared" si="129"/>
        <v>68.87</v>
      </c>
      <c r="AP60" s="283">
        <f t="shared" si="130"/>
        <v>66.36</v>
      </c>
      <c r="AQ60" s="281">
        <f t="shared" si="131"/>
        <v>137.77000000000001</v>
      </c>
      <c r="AR60" s="282">
        <f t="shared" si="132"/>
        <v>91.12</v>
      </c>
      <c r="AS60" s="282">
        <f t="shared" si="133"/>
        <v>100.56</v>
      </c>
      <c r="AT60" s="283">
        <f t="shared" si="134"/>
        <v>66.599999999999994</v>
      </c>
      <c r="AU60" s="281">
        <f t="shared" si="135"/>
        <v>87.65</v>
      </c>
      <c r="AV60" s="282">
        <f t="shared" si="136"/>
        <v>89.7</v>
      </c>
      <c r="AW60" s="282">
        <f t="shared" si="137"/>
        <v>75.260000000000005</v>
      </c>
      <c r="AX60" s="283"/>
      <c r="BC60" s="281">
        <f t="shared" si="138"/>
        <v>103.59</v>
      </c>
      <c r="BD60" s="282">
        <f t="shared" si="139"/>
        <v>100.33</v>
      </c>
      <c r="BE60" s="282">
        <f t="shared" si="140"/>
        <v>133.42000000000002</v>
      </c>
      <c r="BF60" s="283"/>
      <c r="BG60" s="281">
        <f t="shared" si="141"/>
        <v>83.89</v>
      </c>
      <c r="BH60" s="282">
        <f t="shared" si="142"/>
        <v>96.06</v>
      </c>
      <c r="BI60" s="282">
        <f t="shared" si="143"/>
        <v>93.41</v>
      </c>
      <c r="BJ60" s="283"/>
      <c r="BK60" s="281">
        <f t="shared" si="144"/>
        <v>91.81</v>
      </c>
      <c r="BL60" s="282">
        <f t="shared" si="145"/>
        <v>70.740000000000009</v>
      </c>
      <c r="BM60" s="282">
        <f t="shared" si="146"/>
        <v>67.679999999999993</v>
      </c>
      <c r="BN60" s="283"/>
      <c r="BT60" s="281">
        <f t="shared" si="147"/>
        <v>32.81</v>
      </c>
      <c r="BU60" s="282">
        <f t="shared" si="148"/>
        <v>-44.140000000000015</v>
      </c>
      <c r="BV60" s="283">
        <f t="shared" si="149"/>
        <v>38.78</v>
      </c>
      <c r="BW60" s="281">
        <f t="shared" si="150"/>
        <v>-23.230000000000018</v>
      </c>
      <c r="BX60" s="281">
        <f t="shared" si="151"/>
        <v>-21.379999999999995</v>
      </c>
      <c r="BY60" s="281">
        <f t="shared" si="152"/>
        <v>42.370000000000005</v>
      </c>
      <c r="BZ60" s="281">
        <f t="shared" si="153"/>
        <v>-38.990000000000009</v>
      </c>
      <c r="CA60" s="282">
        <f t="shared" si="154"/>
        <v>-19.569999999999993</v>
      </c>
      <c r="CB60" s="283">
        <f t="shared" si="155"/>
        <v>-13.920000000000016</v>
      </c>
      <c r="CC60" s="281">
        <f t="shared" si="156"/>
        <v>-12.160000000000025</v>
      </c>
      <c r="CD60" s="282">
        <f t="shared" si="157"/>
        <v>27.379999999999995</v>
      </c>
      <c r="CE60" s="283">
        <f t="shared" si="158"/>
        <v>-294.51</v>
      </c>
    </row>
    <row r="61" spans="1:83" ht="15.75" hidden="1" customHeight="1" thickBot="1" x14ac:dyDescent="0.3">
      <c r="A61" s="521"/>
      <c r="B61" s="55">
        <v>24</v>
      </c>
      <c r="C61" s="371"/>
      <c r="D61" s="371"/>
      <c r="E61" s="371"/>
      <c r="F61" s="369">
        <v>44.7</v>
      </c>
      <c r="G61" s="281">
        <f t="shared" si="103"/>
        <v>61.879999999999995</v>
      </c>
      <c r="H61" s="282">
        <f t="shared" si="104"/>
        <v>49.75</v>
      </c>
      <c r="I61" s="282">
        <f t="shared" si="105"/>
        <v>52.45</v>
      </c>
      <c r="J61" s="283">
        <f t="shared" si="106"/>
        <v>53.53</v>
      </c>
      <c r="K61" s="281">
        <f t="shared" si="107"/>
        <v>15.52</v>
      </c>
      <c r="L61" s="282">
        <f t="shared" si="108"/>
        <v>34.5</v>
      </c>
      <c r="M61" s="282">
        <f t="shared" si="109"/>
        <v>22.4</v>
      </c>
      <c r="N61" s="283">
        <f t="shared" si="110"/>
        <v>60.35</v>
      </c>
      <c r="O61" s="281">
        <f t="shared" si="111"/>
        <v>25.990000000000002</v>
      </c>
      <c r="P61" s="282">
        <f t="shared" si="112"/>
        <v>29.77</v>
      </c>
      <c r="Q61" s="282">
        <f t="shared" si="113"/>
        <v>13.799999999999999</v>
      </c>
      <c r="R61" s="283">
        <f t="shared" si="114"/>
        <v>48.56</v>
      </c>
      <c r="W61" s="281">
        <f t="shared" si="115"/>
        <v>42.349999999999994</v>
      </c>
      <c r="X61" s="282">
        <f t="shared" si="116"/>
        <v>29.76</v>
      </c>
      <c r="Y61" s="282">
        <f t="shared" si="117"/>
        <v>17.14</v>
      </c>
      <c r="Z61" s="283">
        <f t="shared" si="118"/>
        <v>92.41</v>
      </c>
      <c r="AA61" s="281">
        <f t="shared" si="119"/>
        <v>35.019999999999996</v>
      </c>
      <c r="AB61" s="282">
        <f t="shared" si="120"/>
        <v>47.11</v>
      </c>
      <c r="AC61" s="282">
        <f t="shared" si="121"/>
        <v>65.12</v>
      </c>
      <c r="AD61" s="283">
        <f t="shared" si="122"/>
        <v>32.630000000000003</v>
      </c>
      <c r="AE61" s="281">
        <f t="shared" si="123"/>
        <v>32.69</v>
      </c>
      <c r="AF61" s="282">
        <f t="shared" si="124"/>
        <v>55.39</v>
      </c>
      <c r="AG61" s="282">
        <f t="shared" si="125"/>
        <v>63.070000000000007</v>
      </c>
      <c r="AH61" s="283">
        <f t="shared" si="126"/>
        <v>64.31</v>
      </c>
      <c r="AM61" s="281">
        <f t="shared" si="127"/>
        <v>37.86</v>
      </c>
      <c r="AN61" s="282">
        <f t="shared" si="128"/>
        <v>53.04</v>
      </c>
      <c r="AO61" s="282">
        <f t="shared" si="129"/>
        <v>57.019999999999996</v>
      </c>
      <c r="AP61" s="283">
        <f t="shared" si="130"/>
        <v>49.339999999999996</v>
      </c>
      <c r="AQ61" s="281">
        <f t="shared" si="131"/>
        <v>71.77</v>
      </c>
      <c r="AR61" s="282">
        <f t="shared" si="132"/>
        <v>55.93</v>
      </c>
      <c r="AS61" s="282">
        <f t="shared" si="133"/>
        <v>97.320000000000007</v>
      </c>
      <c r="AT61" s="283">
        <f t="shared" si="134"/>
        <v>77.790000000000006</v>
      </c>
      <c r="AU61" s="281">
        <f t="shared" si="135"/>
        <v>75.08</v>
      </c>
      <c r="AV61" s="282">
        <f t="shared" si="136"/>
        <v>68.63</v>
      </c>
      <c r="AW61" s="282">
        <f t="shared" si="137"/>
        <v>87.79</v>
      </c>
      <c r="AX61" s="283"/>
      <c r="BC61" s="281">
        <f t="shared" si="138"/>
        <v>82.28</v>
      </c>
      <c r="BD61" s="282">
        <f t="shared" si="139"/>
        <v>87.460000000000008</v>
      </c>
      <c r="BE61" s="282">
        <f t="shared" si="140"/>
        <v>131.74</v>
      </c>
      <c r="BF61" s="283"/>
      <c r="BG61" s="281">
        <f t="shared" si="141"/>
        <v>59.83</v>
      </c>
      <c r="BH61" s="282">
        <f t="shared" si="142"/>
        <v>81.02</v>
      </c>
      <c r="BI61" s="282">
        <f t="shared" si="143"/>
        <v>99.53</v>
      </c>
      <c r="BJ61" s="283"/>
      <c r="BK61" s="281">
        <f t="shared" si="144"/>
        <v>46.12</v>
      </c>
      <c r="BL61" s="282">
        <f t="shared" si="145"/>
        <v>61.3</v>
      </c>
      <c r="BM61" s="282">
        <f t="shared" si="146"/>
        <v>87.56</v>
      </c>
      <c r="BN61" s="283"/>
      <c r="BT61" s="281">
        <f t="shared" si="147"/>
        <v>10.63000000000001</v>
      </c>
      <c r="BU61" s="282">
        <f t="shared" si="148"/>
        <v>-25.370000000000005</v>
      </c>
      <c r="BV61" s="283">
        <f t="shared" si="149"/>
        <v>73.790000000000006</v>
      </c>
      <c r="BW61" s="281">
        <f t="shared" si="150"/>
        <v>22.200000000000003</v>
      </c>
      <c r="BX61" s="281">
        <f t="shared" si="151"/>
        <v>13.070000000000022</v>
      </c>
      <c r="BY61" s="281">
        <f t="shared" si="152"/>
        <v>44.019999999999982</v>
      </c>
      <c r="BZ61" s="281">
        <f t="shared" si="153"/>
        <v>-7.1099999999999852</v>
      </c>
      <c r="CA61" s="282">
        <f t="shared" si="154"/>
        <v>64.53</v>
      </c>
      <c r="CB61" s="283">
        <f t="shared" si="155"/>
        <v>-44.110000000000014</v>
      </c>
      <c r="CC61" s="281">
        <f t="shared" si="156"/>
        <v>41.550000000000011</v>
      </c>
      <c r="CD61" s="282">
        <f t="shared" si="157"/>
        <v>89.050000000000011</v>
      </c>
      <c r="CE61" s="283">
        <f t="shared" si="158"/>
        <v>-318.83000000000004</v>
      </c>
    </row>
    <row r="62" spans="1:83" ht="15" hidden="1" customHeight="1" x14ac:dyDescent="0.25">
      <c r="A62" s="91" t="s">
        <v>26</v>
      </c>
      <c r="B62" s="116">
        <v>105</v>
      </c>
      <c r="C62" s="375"/>
      <c r="D62" s="375"/>
      <c r="E62" s="375"/>
      <c r="F62" s="375">
        <v>50</v>
      </c>
      <c r="G62" s="281">
        <f t="shared" si="103"/>
        <v>0</v>
      </c>
      <c r="H62" s="282">
        <f t="shared" si="104"/>
        <v>0</v>
      </c>
      <c r="I62" s="282">
        <f t="shared" si="105"/>
        <v>0</v>
      </c>
      <c r="J62" s="283">
        <f t="shared" si="106"/>
        <v>0</v>
      </c>
      <c r="K62" s="281">
        <f t="shared" si="107"/>
        <v>0</v>
      </c>
      <c r="L62" s="282">
        <f t="shared" si="108"/>
        <v>0</v>
      </c>
      <c r="M62" s="282">
        <f t="shared" si="109"/>
        <v>0</v>
      </c>
      <c r="N62" s="283">
        <f t="shared" si="110"/>
        <v>0</v>
      </c>
      <c r="O62" s="281">
        <f t="shared" si="111"/>
        <v>0</v>
      </c>
      <c r="P62" s="282">
        <f t="shared" si="112"/>
        <v>0</v>
      </c>
      <c r="Q62" s="282">
        <f t="shared" si="113"/>
        <v>0.15</v>
      </c>
      <c r="R62" s="283">
        <f t="shared" si="114"/>
        <v>0</v>
      </c>
      <c r="W62" s="281">
        <f t="shared" si="115"/>
        <v>0</v>
      </c>
      <c r="X62" s="282">
        <f t="shared" si="116"/>
        <v>0</v>
      </c>
      <c r="Y62" s="282">
        <f t="shared" si="117"/>
        <v>0</v>
      </c>
      <c r="Z62" s="283">
        <f t="shared" si="118"/>
        <v>0</v>
      </c>
      <c r="AA62" s="281">
        <f t="shared" si="119"/>
        <v>0</v>
      </c>
      <c r="AB62" s="282">
        <f t="shared" si="120"/>
        <v>0</v>
      </c>
      <c r="AC62" s="282">
        <f t="shared" si="121"/>
        <v>0</v>
      </c>
      <c r="AD62" s="283">
        <f t="shared" si="122"/>
        <v>0</v>
      </c>
      <c r="AE62" s="281">
        <f t="shared" si="123"/>
        <v>0</v>
      </c>
      <c r="AF62" s="282">
        <f t="shared" si="124"/>
        <v>0</v>
      </c>
      <c r="AG62" s="282">
        <f t="shared" si="125"/>
        <v>0</v>
      </c>
      <c r="AH62" s="283">
        <f t="shared" si="126"/>
        <v>0</v>
      </c>
      <c r="AM62" s="281">
        <f t="shared" si="127"/>
        <v>0</v>
      </c>
      <c r="AN62" s="282">
        <f t="shared" si="128"/>
        <v>0</v>
      </c>
      <c r="AO62" s="282">
        <f t="shared" si="129"/>
        <v>0</v>
      </c>
      <c r="AP62" s="283">
        <f t="shared" si="130"/>
        <v>0</v>
      </c>
      <c r="AQ62" s="281">
        <f t="shared" si="131"/>
        <v>0</v>
      </c>
      <c r="AR62" s="282">
        <f t="shared" si="132"/>
        <v>0</v>
      </c>
      <c r="AS62" s="282">
        <f t="shared" si="133"/>
        <v>0</v>
      </c>
      <c r="AT62" s="283">
        <f t="shared" si="134"/>
        <v>0</v>
      </c>
      <c r="AU62" s="281">
        <f t="shared" si="135"/>
        <v>3.05</v>
      </c>
      <c r="AV62" s="282">
        <f t="shared" si="136"/>
        <v>0</v>
      </c>
      <c r="AW62" s="282">
        <f t="shared" si="137"/>
        <v>0</v>
      </c>
      <c r="AX62" s="283"/>
      <c r="BC62" s="281">
        <f t="shared" si="138"/>
        <v>0</v>
      </c>
      <c r="BD62" s="282">
        <f t="shared" si="139"/>
        <v>0</v>
      </c>
      <c r="BE62" s="282">
        <f t="shared" si="140"/>
        <v>0</v>
      </c>
      <c r="BF62" s="283"/>
      <c r="BG62" s="281">
        <f t="shared" si="141"/>
        <v>0</v>
      </c>
      <c r="BH62" s="282">
        <f t="shared" si="142"/>
        <v>0</v>
      </c>
      <c r="BI62" s="282">
        <f t="shared" si="143"/>
        <v>0</v>
      </c>
      <c r="BJ62" s="283"/>
      <c r="BK62" s="281">
        <f t="shared" si="144"/>
        <v>0</v>
      </c>
      <c r="BL62" s="282">
        <f t="shared" si="145"/>
        <v>0</v>
      </c>
      <c r="BM62" s="282">
        <f t="shared" si="146"/>
        <v>0</v>
      </c>
      <c r="BN62" s="283"/>
      <c r="BT62" s="281" t="e">
        <f>#REF!-#REF!</f>
        <v>#REF!</v>
      </c>
      <c r="BU62" s="282" t="e">
        <f>#REF!-#REF!</f>
        <v>#REF!</v>
      </c>
      <c r="BV62" s="283" t="e">
        <f>#REF!-#REF!</f>
        <v>#REF!</v>
      </c>
      <c r="BW62" s="281" t="e">
        <f>#REF!-#REF!</f>
        <v>#REF!</v>
      </c>
      <c r="BX62" s="281" t="e">
        <f>#REF!-#REF!</f>
        <v>#REF!</v>
      </c>
      <c r="BY62" s="281" t="e">
        <f>#REF!-#REF!</f>
        <v>#REF!</v>
      </c>
      <c r="BZ62" s="281" t="e">
        <f>#REF!-#REF!</f>
        <v>#REF!</v>
      </c>
      <c r="CA62" s="282" t="e">
        <f>#REF!-#REF!</f>
        <v>#REF!</v>
      </c>
      <c r="CB62" s="283" t="e">
        <f>#REF!-#REF!</f>
        <v>#REF!</v>
      </c>
      <c r="CC62" s="281" t="e">
        <f>#REF!-#REF!</f>
        <v>#REF!</v>
      </c>
      <c r="CD62" s="282" t="e">
        <f>#REF!-#REF!</f>
        <v>#REF!</v>
      </c>
      <c r="CE62" s="283" t="e">
        <f>#REF!-#REF!</f>
        <v>#REF!</v>
      </c>
    </row>
    <row r="63" spans="1:83" ht="15.75" hidden="1" customHeight="1" thickBot="1" x14ac:dyDescent="0.3">
      <c r="A63" s="123" t="s">
        <v>27</v>
      </c>
      <c r="B63" s="83">
        <v>114</v>
      </c>
      <c r="C63" s="369"/>
      <c r="D63" s="369"/>
      <c r="E63" s="369"/>
      <c r="F63" s="369">
        <v>46</v>
      </c>
      <c r="G63" s="281">
        <f t="shared" si="103"/>
        <v>0</v>
      </c>
      <c r="H63" s="282">
        <f t="shared" si="104"/>
        <v>0</v>
      </c>
      <c r="I63" s="282">
        <f t="shared" si="105"/>
        <v>0</v>
      </c>
      <c r="J63" s="283">
        <f t="shared" si="106"/>
        <v>0</v>
      </c>
      <c r="K63" s="281">
        <f t="shared" si="107"/>
        <v>0</v>
      </c>
      <c r="L63" s="282">
        <f t="shared" si="108"/>
        <v>0</v>
      </c>
      <c r="M63" s="282">
        <f t="shared" si="109"/>
        <v>0</v>
      </c>
      <c r="N63" s="283">
        <f t="shared" si="110"/>
        <v>0</v>
      </c>
      <c r="O63" s="281">
        <f t="shared" si="111"/>
        <v>0</v>
      </c>
      <c r="P63" s="282">
        <f t="shared" si="112"/>
        <v>0</v>
      </c>
      <c r="Q63" s="282">
        <f t="shared" si="113"/>
        <v>0.15</v>
      </c>
      <c r="R63" s="283">
        <f t="shared" si="114"/>
        <v>0</v>
      </c>
      <c r="W63" s="281">
        <f t="shared" si="115"/>
        <v>0</v>
      </c>
      <c r="X63" s="282">
        <f t="shared" si="116"/>
        <v>0</v>
      </c>
      <c r="Y63" s="282">
        <f t="shared" si="117"/>
        <v>0</v>
      </c>
      <c r="Z63" s="283">
        <f t="shared" si="118"/>
        <v>0</v>
      </c>
      <c r="AA63" s="281">
        <f t="shared" si="119"/>
        <v>0</v>
      </c>
      <c r="AB63" s="282">
        <f t="shared" si="120"/>
        <v>0</v>
      </c>
      <c r="AC63" s="282">
        <f t="shared" si="121"/>
        <v>0</v>
      </c>
      <c r="AD63" s="283">
        <f t="shared" si="122"/>
        <v>0</v>
      </c>
      <c r="AE63" s="281">
        <f t="shared" si="123"/>
        <v>0</v>
      </c>
      <c r="AF63" s="282">
        <f t="shared" si="124"/>
        <v>0</v>
      </c>
      <c r="AG63" s="282">
        <f t="shared" si="125"/>
        <v>0</v>
      </c>
      <c r="AH63" s="283">
        <f t="shared" si="126"/>
        <v>0</v>
      </c>
      <c r="AM63" s="281">
        <f t="shared" si="127"/>
        <v>0</v>
      </c>
      <c r="AN63" s="282">
        <f t="shared" si="128"/>
        <v>0</v>
      </c>
      <c r="AO63" s="282">
        <f t="shared" si="129"/>
        <v>0</v>
      </c>
      <c r="AP63" s="283">
        <f t="shared" si="130"/>
        <v>0</v>
      </c>
      <c r="AQ63" s="281">
        <f t="shared" si="131"/>
        <v>0</v>
      </c>
      <c r="AR63" s="282">
        <f t="shared" si="132"/>
        <v>0</v>
      </c>
      <c r="AS63" s="282">
        <f t="shared" si="133"/>
        <v>0</v>
      </c>
      <c r="AT63" s="283">
        <f t="shared" si="134"/>
        <v>0</v>
      </c>
      <c r="AU63" s="281">
        <f t="shared" si="135"/>
        <v>0</v>
      </c>
      <c r="AV63" s="282">
        <f t="shared" si="136"/>
        <v>0</v>
      </c>
      <c r="AW63" s="282">
        <f t="shared" si="137"/>
        <v>0</v>
      </c>
      <c r="AX63" s="283"/>
      <c r="BC63" s="281">
        <f t="shared" si="138"/>
        <v>0</v>
      </c>
      <c r="BD63" s="282">
        <f t="shared" si="139"/>
        <v>0</v>
      </c>
      <c r="BE63" s="282">
        <f t="shared" si="140"/>
        <v>0</v>
      </c>
      <c r="BF63" s="283"/>
      <c r="BG63" s="281">
        <f t="shared" si="141"/>
        <v>0</v>
      </c>
      <c r="BH63" s="282">
        <f t="shared" si="142"/>
        <v>0</v>
      </c>
      <c r="BI63" s="282">
        <f t="shared" si="143"/>
        <v>0</v>
      </c>
      <c r="BJ63" s="283"/>
      <c r="BK63" s="281">
        <f t="shared" si="144"/>
        <v>0</v>
      </c>
      <c r="BL63" s="282">
        <f t="shared" si="145"/>
        <v>0</v>
      </c>
      <c r="BM63" s="282">
        <f t="shared" si="146"/>
        <v>0</v>
      </c>
      <c r="BN63" s="283"/>
      <c r="BT63" s="281" t="e">
        <f>#REF!-#REF!</f>
        <v>#REF!</v>
      </c>
      <c r="BU63" s="282" t="e">
        <f>#REF!-#REF!</f>
        <v>#REF!</v>
      </c>
      <c r="BV63" s="283" t="e">
        <f>#REF!-#REF!</f>
        <v>#REF!</v>
      </c>
      <c r="BW63" s="281" t="e">
        <f>#REF!-#REF!</f>
        <v>#REF!</v>
      </c>
      <c r="BX63" s="281" t="e">
        <f>#REF!-#REF!</f>
        <v>#REF!</v>
      </c>
      <c r="BY63" s="281" t="e">
        <f>#REF!-#REF!</f>
        <v>#REF!</v>
      </c>
      <c r="BZ63" s="281" t="e">
        <f>#REF!-#REF!</f>
        <v>#REF!</v>
      </c>
      <c r="CA63" s="282" t="e">
        <f>#REF!-#REF!</f>
        <v>#REF!</v>
      </c>
      <c r="CB63" s="283" t="e">
        <f>#REF!-#REF!</f>
        <v>#REF!</v>
      </c>
      <c r="CC63" s="281" t="e">
        <f>#REF!-#REF!</f>
        <v>#REF!</v>
      </c>
      <c r="CD63" s="282" t="e">
        <f>#REF!-#REF!</f>
        <v>#REF!</v>
      </c>
      <c r="CE63" s="283" t="e">
        <f>#REF!-#REF!</f>
        <v>#REF!</v>
      </c>
    </row>
    <row r="64" spans="1:83" ht="15" hidden="1" customHeight="1" x14ac:dyDescent="0.25">
      <c r="A64" s="520" t="s">
        <v>28</v>
      </c>
      <c r="B64" s="23">
        <v>25</v>
      </c>
      <c r="C64" s="367"/>
      <c r="D64" s="367"/>
      <c r="E64" s="367"/>
      <c r="F64" s="367">
        <v>38.22</v>
      </c>
      <c r="G64" s="281">
        <f t="shared" si="103"/>
        <v>0</v>
      </c>
      <c r="H64" s="282">
        <f t="shared" si="104"/>
        <v>1.42</v>
      </c>
      <c r="I64" s="282">
        <f t="shared" si="105"/>
        <v>1.02</v>
      </c>
      <c r="J64" s="283">
        <f t="shared" si="106"/>
        <v>18.25</v>
      </c>
      <c r="K64" s="281">
        <f t="shared" si="107"/>
        <v>0</v>
      </c>
      <c r="L64" s="282">
        <f t="shared" si="108"/>
        <v>0.37</v>
      </c>
      <c r="M64" s="282">
        <f t="shared" si="109"/>
        <v>1.02</v>
      </c>
      <c r="N64" s="283">
        <f t="shared" si="110"/>
        <v>21.46</v>
      </c>
      <c r="O64" s="281">
        <f t="shared" si="111"/>
        <v>0</v>
      </c>
      <c r="P64" s="282">
        <f t="shared" si="112"/>
        <v>0.36</v>
      </c>
      <c r="Q64" s="282">
        <f t="shared" si="113"/>
        <v>2.2800000000000002</v>
      </c>
      <c r="R64" s="283">
        <f t="shared" si="114"/>
        <v>18.98</v>
      </c>
      <c r="W64" s="281">
        <f t="shared" si="115"/>
        <v>0</v>
      </c>
      <c r="X64" s="282">
        <f t="shared" si="116"/>
        <v>1.26</v>
      </c>
      <c r="Y64" s="282">
        <f t="shared" si="117"/>
        <v>3.4299999999999997</v>
      </c>
      <c r="Z64" s="283">
        <f t="shared" si="118"/>
        <v>28.92</v>
      </c>
      <c r="AA64" s="281">
        <f t="shared" si="119"/>
        <v>0</v>
      </c>
      <c r="AB64" s="282">
        <f t="shared" si="120"/>
        <v>2.7600000000000002</v>
      </c>
      <c r="AC64" s="282">
        <f t="shared" si="121"/>
        <v>9.34</v>
      </c>
      <c r="AD64" s="283">
        <f t="shared" si="122"/>
        <v>43.78</v>
      </c>
      <c r="AE64" s="281">
        <f t="shared" si="123"/>
        <v>0</v>
      </c>
      <c r="AF64" s="282">
        <f t="shared" si="124"/>
        <v>0.92</v>
      </c>
      <c r="AG64" s="282">
        <f t="shared" si="125"/>
        <v>12.17</v>
      </c>
      <c r="AH64" s="283">
        <f t="shared" si="126"/>
        <v>24.43</v>
      </c>
      <c r="AM64" s="281">
        <f t="shared" si="127"/>
        <v>0</v>
      </c>
      <c r="AN64" s="282">
        <f t="shared" si="128"/>
        <v>1.19</v>
      </c>
      <c r="AO64" s="282">
        <f t="shared" si="129"/>
        <v>8.1</v>
      </c>
      <c r="AP64" s="283">
        <f t="shared" si="130"/>
        <v>23.89</v>
      </c>
      <c r="AQ64" s="281">
        <f t="shared" si="131"/>
        <v>0.28999999999999998</v>
      </c>
      <c r="AR64" s="282">
        <f t="shared" si="132"/>
        <v>2.16</v>
      </c>
      <c r="AS64" s="282">
        <f t="shared" si="133"/>
        <v>10.59</v>
      </c>
      <c r="AT64" s="283">
        <f t="shared" si="134"/>
        <v>30.08</v>
      </c>
      <c r="AU64" s="281">
        <f t="shared" si="135"/>
        <v>0.69</v>
      </c>
      <c r="AV64" s="282">
        <f t="shared" si="136"/>
        <v>0.71</v>
      </c>
      <c r="AW64" s="282">
        <f t="shared" si="137"/>
        <v>14.830000000000002</v>
      </c>
      <c r="AX64" s="283"/>
      <c r="BC64" s="281">
        <f t="shared" si="138"/>
        <v>0.4</v>
      </c>
      <c r="BD64" s="282">
        <f t="shared" si="139"/>
        <v>1.4</v>
      </c>
      <c r="BE64" s="282">
        <f t="shared" si="140"/>
        <v>13.21</v>
      </c>
      <c r="BF64" s="283"/>
      <c r="BG64" s="281">
        <f t="shared" si="141"/>
        <v>0.71</v>
      </c>
      <c r="BH64" s="282">
        <f t="shared" si="142"/>
        <v>1.57</v>
      </c>
      <c r="BI64" s="282">
        <f t="shared" si="143"/>
        <v>24.810000000000002</v>
      </c>
      <c r="BJ64" s="283"/>
      <c r="BK64" s="281">
        <f t="shared" si="144"/>
        <v>0.99</v>
      </c>
      <c r="BL64" s="282">
        <f t="shared" si="145"/>
        <v>1.03</v>
      </c>
      <c r="BM64" s="282">
        <f t="shared" si="146"/>
        <v>9.11</v>
      </c>
      <c r="BN64" s="283"/>
      <c r="BT64" s="281" t="e">
        <f>#REF!-#REF!</f>
        <v>#REF!</v>
      </c>
      <c r="BU64" s="282" t="e">
        <f>#REF!-#REF!</f>
        <v>#REF!</v>
      </c>
      <c r="BV64" s="283" t="e">
        <f>#REF!-#REF!</f>
        <v>#REF!</v>
      </c>
      <c r="BW64" s="281" t="e">
        <f>#REF!-#REF!</f>
        <v>#REF!</v>
      </c>
      <c r="BX64" s="281" t="e">
        <f>#REF!-#REF!</f>
        <v>#REF!</v>
      </c>
      <c r="BY64" s="281" t="e">
        <f>#REF!-#REF!</f>
        <v>#REF!</v>
      </c>
      <c r="BZ64" s="281" t="e">
        <f>#REF!-#REF!</f>
        <v>#REF!</v>
      </c>
      <c r="CA64" s="282" t="e">
        <f>#REF!-#REF!</f>
        <v>#REF!</v>
      </c>
      <c r="CB64" s="283" t="e">
        <f>#REF!-#REF!</f>
        <v>#REF!</v>
      </c>
      <c r="CC64" s="281" t="e">
        <f>#REF!-#REF!</f>
        <v>#REF!</v>
      </c>
      <c r="CD64" s="282" t="e">
        <f>#REF!-#REF!</f>
        <v>#REF!</v>
      </c>
      <c r="CE64" s="283" t="e">
        <f>#REF!-#REF!</f>
        <v>#REF!</v>
      </c>
    </row>
    <row r="65" spans="1:117" ht="15" hidden="1" customHeight="1" x14ac:dyDescent="0.25">
      <c r="A65" s="521"/>
      <c r="B65" s="55" t="s">
        <v>29</v>
      </c>
      <c r="C65" s="376"/>
      <c r="D65" s="376"/>
      <c r="E65" s="376"/>
      <c r="F65" s="377">
        <v>22.72</v>
      </c>
      <c r="G65" s="281">
        <f t="shared" si="103"/>
        <v>1.03</v>
      </c>
      <c r="H65" s="282">
        <f t="shared" si="104"/>
        <v>4.6099999999999994</v>
      </c>
      <c r="I65" s="282">
        <f t="shared" si="105"/>
        <v>5.78</v>
      </c>
      <c r="J65" s="283">
        <f t="shared" si="106"/>
        <v>18.600000000000001</v>
      </c>
      <c r="K65" s="281">
        <f t="shared" si="107"/>
        <v>0.5</v>
      </c>
      <c r="L65" s="282">
        <f t="shared" si="108"/>
        <v>1.23</v>
      </c>
      <c r="M65" s="282">
        <f t="shared" si="109"/>
        <v>4.8100000000000005</v>
      </c>
      <c r="N65" s="283">
        <f t="shared" si="110"/>
        <v>10.9</v>
      </c>
      <c r="O65" s="281">
        <f t="shared" si="111"/>
        <v>0</v>
      </c>
      <c r="P65" s="282">
        <f t="shared" si="112"/>
        <v>2</v>
      </c>
      <c r="Q65" s="282">
        <f t="shared" si="113"/>
        <v>6.07</v>
      </c>
      <c r="R65" s="283">
        <f t="shared" si="114"/>
        <v>23.84</v>
      </c>
      <c r="W65" s="281">
        <f t="shared" si="115"/>
        <v>0</v>
      </c>
      <c r="X65" s="282">
        <f t="shared" si="116"/>
        <v>2.17</v>
      </c>
      <c r="Y65" s="282">
        <f t="shared" si="117"/>
        <v>9.06</v>
      </c>
      <c r="Z65" s="283">
        <f t="shared" si="118"/>
        <v>19.61</v>
      </c>
      <c r="AA65" s="281">
        <f t="shared" si="119"/>
        <v>1.77</v>
      </c>
      <c r="AB65" s="282">
        <f t="shared" si="120"/>
        <v>3.39</v>
      </c>
      <c r="AC65" s="282">
        <f t="shared" si="121"/>
        <v>15.52</v>
      </c>
      <c r="AD65" s="283">
        <f t="shared" si="122"/>
        <v>20.61</v>
      </c>
      <c r="AE65" s="281">
        <f t="shared" si="123"/>
        <v>0.7</v>
      </c>
      <c r="AF65" s="282">
        <f t="shared" si="124"/>
        <v>2.4900000000000002</v>
      </c>
      <c r="AG65" s="282">
        <f t="shared" si="125"/>
        <v>14.17</v>
      </c>
      <c r="AH65" s="283">
        <f t="shared" si="126"/>
        <v>24.740000000000002</v>
      </c>
      <c r="AM65" s="281">
        <f t="shared" si="127"/>
        <v>0.97</v>
      </c>
      <c r="AN65" s="282">
        <f t="shared" si="128"/>
        <v>4.03</v>
      </c>
      <c r="AO65" s="282">
        <f t="shared" si="129"/>
        <v>9.67</v>
      </c>
      <c r="AP65" s="283">
        <f t="shared" si="130"/>
        <v>17.809999999999999</v>
      </c>
      <c r="AQ65" s="281">
        <f t="shared" si="131"/>
        <v>1.75</v>
      </c>
      <c r="AR65" s="282">
        <f t="shared" si="132"/>
        <v>3.1</v>
      </c>
      <c r="AS65" s="282">
        <f t="shared" si="133"/>
        <v>21.14</v>
      </c>
      <c r="AT65" s="283">
        <f t="shared" si="134"/>
        <v>24.36</v>
      </c>
      <c r="AU65" s="281">
        <f t="shared" si="135"/>
        <v>2</v>
      </c>
      <c r="AV65" s="282">
        <f t="shared" si="136"/>
        <v>4.79</v>
      </c>
      <c r="AW65" s="282">
        <f t="shared" si="137"/>
        <v>20.100000000000001</v>
      </c>
      <c r="AX65" s="283"/>
      <c r="BC65" s="281">
        <f t="shared" si="138"/>
        <v>2</v>
      </c>
      <c r="BD65" s="282">
        <f t="shared" si="139"/>
        <v>7.67</v>
      </c>
      <c r="BE65" s="282">
        <f t="shared" si="140"/>
        <v>16.68</v>
      </c>
      <c r="BF65" s="283"/>
      <c r="BG65" s="281">
        <f t="shared" si="141"/>
        <v>3.21</v>
      </c>
      <c r="BH65" s="282">
        <f t="shared" si="142"/>
        <v>8.4699999999999989</v>
      </c>
      <c r="BI65" s="282">
        <f t="shared" si="143"/>
        <v>19.809999999999999</v>
      </c>
      <c r="BJ65" s="283"/>
      <c r="BK65" s="281">
        <f t="shared" si="144"/>
        <v>1.5</v>
      </c>
      <c r="BL65" s="282">
        <f t="shared" si="145"/>
        <v>6.1899999999999995</v>
      </c>
      <c r="BM65" s="282">
        <f t="shared" si="146"/>
        <v>22.05</v>
      </c>
      <c r="BN65" s="283"/>
      <c r="BT65" s="281" t="e">
        <f>#REF!-#REF!</f>
        <v>#REF!</v>
      </c>
      <c r="BU65" s="282" t="e">
        <f>#REF!-#REF!</f>
        <v>#REF!</v>
      </c>
      <c r="BV65" s="283" t="e">
        <f>#REF!-#REF!</f>
        <v>#REF!</v>
      </c>
      <c r="BW65" s="281" t="e">
        <f>#REF!-#REF!</f>
        <v>#REF!</v>
      </c>
      <c r="BX65" s="281" t="e">
        <f>#REF!-#REF!</f>
        <v>#REF!</v>
      </c>
      <c r="BY65" s="281" t="e">
        <f>#REF!-#REF!</f>
        <v>#REF!</v>
      </c>
      <c r="BZ65" s="281" t="e">
        <f>#REF!-#REF!</f>
        <v>#REF!</v>
      </c>
      <c r="CA65" s="282" t="e">
        <f>#REF!-#REF!</f>
        <v>#REF!</v>
      </c>
      <c r="CB65" s="283" t="e">
        <f>#REF!-#REF!</f>
        <v>#REF!</v>
      </c>
      <c r="CC65" s="281" t="e">
        <f>#REF!-#REF!</f>
        <v>#REF!</v>
      </c>
      <c r="CD65" s="282" t="e">
        <f>#REF!-#REF!</f>
        <v>#REF!</v>
      </c>
      <c r="CE65" s="283" t="e">
        <f>#REF!-#REF!</f>
        <v>#REF!</v>
      </c>
    </row>
    <row r="66" spans="1:117" ht="15" hidden="1" customHeight="1" x14ac:dyDescent="0.25">
      <c r="A66" s="521"/>
      <c r="B66" s="55" t="s">
        <v>30</v>
      </c>
      <c r="C66" s="376"/>
      <c r="D66" s="376"/>
      <c r="E66" s="376"/>
      <c r="F66" s="377"/>
      <c r="G66" s="281">
        <f t="shared" si="103"/>
        <v>0</v>
      </c>
      <c r="H66" s="282">
        <f t="shared" si="104"/>
        <v>0</v>
      </c>
      <c r="I66" s="282">
        <f t="shared" si="105"/>
        <v>0</v>
      </c>
      <c r="J66" s="283">
        <f t="shared" si="106"/>
        <v>0</v>
      </c>
      <c r="K66" s="281">
        <f t="shared" si="107"/>
        <v>0</v>
      </c>
      <c r="L66" s="282">
        <f t="shared" si="108"/>
        <v>0</v>
      </c>
      <c r="M66" s="282">
        <f t="shared" si="109"/>
        <v>0</v>
      </c>
      <c r="N66" s="283">
        <f t="shared" si="110"/>
        <v>0</v>
      </c>
      <c r="O66" s="281">
        <f t="shared" si="111"/>
        <v>0</v>
      </c>
      <c r="P66" s="282">
        <f t="shared" si="112"/>
        <v>0</v>
      </c>
      <c r="Q66" s="282">
        <f t="shared" si="113"/>
        <v>0</v>
      </c>
      <c r="R66" s="283">
        <f t="shared" si="114"/>
        <v>0</v>
      </c>
      <c r="W66" s="281">
        <f t="shared" si="115"/>
        <v>0</v>
      </c>
      <c r="X66" s="282">
        <f t="shared" si="116"/>
        <v>0</v>
      </c>
      <c r="Y66" s="282">
        <f t="shared" si="117"/>
        <v>0</v>
      </c>
      <c r="Z66" s="283">
        <f t="shared" si="118"/>
        <v>0</v>
      </c>
      <c r="AA66" s="281">
        <f t="shared" si="119"/>
        <v>0</v>
      </c>
      <c r="AB66" s="282">
        <f t="shared" si="120"/>
        <v>0</v>
      </c>
      <c r="AC66" s="282">
        <f t="shared" si="121"/>
        <v>0</v>
      </c>
      <c r="AD66" s="283">
        <f t="shared" si="122"/>
        <v>0</v>
      </c>
      <c r="AE66" s="281">
        <f t="shared" si="123"/>
        <v>0</v>
      </c>
      <c r="AF66" s="282">
        <f t="shared" si="124"/>
        <v>0</v>
      </c>
      <c r="AG66" s="282">
        <f t="shared" si="125"/>
        <v>0</v>
      </c>
      <c r="AH66" s="283">
        <f t="shared" si="126"/>
        <v>0</v>
      </c>
      <c r="AM66" s="281">
        <f t="shared" si="127"/>
        <v>0</v>
      </c>
      <c r="AN66" s="282">
        <f t="shared" si="128"/>
        <v>0</v>
      </c>
      <c r="AO66" s="282">
        <f t="shared" si="129"/>
        <v>0</v>
      </c>
      <c r="AP66" s="283">
        <f t="shared" si="130"/>
        <v>0</v>
      </c>
      <c r="AQ66" s="281">
        <f t="shared" si="131"/>
        <v>0</v>
      </c>
      <c r="AR66" s="282">
        <f t="shared" si="132"/>
        <v>0</v>
      </c>
      <c r="AS66" s="282">
        <f t="shared" si="133"/>
        <v>0</v>
      </c>
      <c r="AT66" s="283">
        <f t="shared" si="134"/>
        <v>0</v>
      </c>
      <c r="AU66" s="281">
        <f t="shared" si="135"/>
        <v>0</v>
      </c>
      <c r="AV66" s="282">
        <f t="shared" si="136"/>
        <v>0</v>
      </c>
      <c r="AW66" s="282">
        <f t="shared" si="137"/>
        <v>0</v>
      </c>
      <c r="AX66" s="283"/>
      <c r="BC66" s="281">
        <f t="shared" si="138"/>
        <v>0</v>
      </c>
      <c r="BD66" s="282">
        <f t="shared" si="139"/>
        <v>0</v>
      </c>
      <c r="BE66" s="282">
        <f t="shared" si="140"/>
        <v>0</v>
      </c>
      <c r="BF66" s="283"/>
      <c r="BG66" s="281">
        <f t="shared" si="141"/>
        <v>0</v>
      </c>
      <c r="BH66" s="282">
        <f t="shared" si="142"/>
        <v>0</v>
      </c>
      <c r="BI66" s="282">
        <f t="shared" si="143"/>
        <v>0</v>
      </c>
      <c r="BJ66" s="283"/>
      <c r="BK66" s="281">
        <f t="shared" si="144"/>
        <v>0</v>
      </c>
      <c r="BL66" s="282">
        <f t="shared" si="145"/>
        <v>0</v>
      </c>
      <c r="BM66" s="282">
        <f t="shared" si="146"/>
        <v>0</v>
      </c>
      <c r="BN66" s="283"/>
      <c r="BT66" s="281" t="e">
        <f>#REF!-#REF!</f>
        <v>#REF!</v>
      </c>
      <c r="BU66" s="282" t="e">
        <f>#REF!-#REF!</f>
        <v>#REF!</v>
      </c>
      <c r="BV66" s="283" t="e">
        <f>#REF!-#REF!</f>
        <v>#REF!</v>
      </c>
      <c r="BW66" s="281" t="e">
        <f>#REF!-#REF!</f>
        <v>#REF!</v>
      </c>
      <c r="BX66" s="281" t="e">
        <f>#REF!-#REF!</f>
        <v>#REF!</v>
      </c>
      <c r="BY66" s="281" t="e">
        <f>#REF!-#REF!</f>
        <v>#REF!</v>
      </c>
      <c r="BZ66" s="281" t="e">
        <f>#REF!-#REF!</f>
        <v>#REF!</v>
      </c>
      <c r="CA66" s="282" t="e">
        <f>#REF!-#REF!</f>
        <v>#REF!</v>
      </c>
      <c r="CB66" s="283" t="e">
        <f>#REF!-#REF!</f>
        <v>#REF!</v>
      </c>
      <c r="CC66" s="281" t="e">
        <f>#REF!-#REF!</f>
        <v>#REF!</v>
      </c>
      <c r="CD66" s="282" t="e">
        <f>#REF!-#REF!</f>
        <v>#REF!</v>
      </c>
      <c r="CE66" s="283" t="e">
        <f>#REF!-#REF!</f>
        <v>#REF!</v>
      </c>
    </row>
    <row r="67" spans="1:117" ht="15" hidden="1" customHeight="1" x14ac:dyDescent="0.25">
      <c r="A67" s="521"/>
      <c r="B67" s="55">
        <v>27</v>
      </c>
      <c r="C67" s="376"/>
      <c r="D67" s="376"/>
      <c r="E67" s="376"/>
      <c r="F67" s="377">
        <v>18.64</v>
      </c>
      <c r="G67" s="281">
        <f t="shared" si="103"/>
        <v>0.6</v>
      </c>
      <c r="H67" s="282">
        <f t="shared" si="104"/>
        <v>1.81</v>
      </c>
      <c r="I67" s="282">
        <f t="shared" si="105"/>
        <v>2.19</v>
      </c>
      <c r="J67" s="283">
        <f t="shared" si="106"/>
        <v>2.98</v>
      </c>
      <c r="K67" s="281">
        <f t="shared" si="107"/>
        <v>0.33</v>
      </c>
      <c r="L67" s="282">
        <f t="shared" si="108"/>
        <v>0.61</v>
      </c>
      <c r="M67" s="282">
        <f t="shared" si="109"/>
        <v>1.95</v>
      </c>
      <c r="N67" s="283">
        <f t="shared" si="110"/>
        <v>11.959999999999999</v>
      </c>
      <c r="O67" s="281">
        <f t="shared" si="111"/>
        <v>0</v>
      </c>
      <c r="P67" s="282">
        <f t="shared" si="112"/>
        <v>3.33</v>
      </c>
      <c r="Q67" s="282">
        <f t="shared" si="113"/>
        <v>2.97</v>
      </c>
      <c r="R67" s="283">
        <f t="shared" si="114"/>
        <v>9.25</v>
      </c>
      <c r="W67" s="281">
        <f t="shared" si="115"/>
        <v>0</v>
      </c>
      <c r="X67" s="282">
        <f t="shared" si="116"/>
        <v>1.27</v>
      </c>
      <c r="Y67" s="282">
        <f t="shared" si="117"/>
        <v>7.46</v>
      </c>
      <c r="Z67" s="283">
        <f t="shared" si="118"/>
        <v>17.259999999999998</v>
      </c>
      <c r="AA67" s="281">
        <f t="shared" si="119"/>
        <v>1.48</v>
      </c>
      <c r="AB67" s="282">
        <f t="shared" si="120"/>
        <v>5.2299999999999995</v>
      </c>
      <c r="AC67" s="282">
        <f t="shared" si="121"/>
        <v>11.2</v>
      </c>
      <c r="AD67" s="283">
        <f t="shared" si="122"/>
        <v>14.31</v>
      </c>
      <c r="AE67" s="281">
        <f t="shared" si="123"/>
        <v>0.6</v>
      </c>
      <c r="AF67" s="282">
        <f t="shared" si="124"/>
        <v>2.19</v>
      </c>
      <c r="AG67" s="282">
        <f t="shared" si="125"/>
        <v>8.01</v>
      </c>
      <c r="AH67" s="283">
        <f t="shared" si="126"/>
        <v>13.73</v>
      </c>
      <c r="AM67" s="281">
        <f t="shared" si="127"/>
        <v>0.78</v>
      </c>
      <c r="AN67" s="282">
        <f t="shared" si="128"/>
        <v>8.11</v>
      </c>
      <c r="AO67" s="282">
        <f t="shared" si="129"/>
        <v>13.530000000000001</v>
      </c>
      <c r="AP67" s="283">
        <f t="shared" si="130"/>
        <v>16.07</v>
      </c>
      <c r="AQ67" s="281">
        <f t="shared" si="131"/>
        <v>1.35</v>
      </c>
      <c r="AR67" s="282">
        <f t="shared" si="132"/>
        <v>4.33</v>
      </c>
      <c r="AS67" s="282">
        <f t="shared" si="133"/>
        <v>7.8</v>
      </c>
      <c r="AT67" s="283">
        <f t="shared" si="134"/>
        <v>25.27</v>
      </c>
      <c r="AU67" s="281">
        <f t="shared" si="135"/>
        <v>1</v>
      </c>
      <c r="AV67" s="282">
        <f t="shared" si="136"/>
        <v>2.41</v>
      </c>
      <c r="AW67" s="282">
        <f t="shared" si="137"/>
        <v>9.49</v>
      </c>
      <c r="AX67" s="283"/>
      <c r="BC67" s="281">
        <f t="shared" si="138"/>
        <v>0.9</v>
      </c>
      <c r="BD67" s="282">
        <f t="shared" si="139"/>
        <v>3.62</v>
      </c>
      <c r="BE67" s="282">
        <f t="shared" si="140"/>
        <v>15.47</v>
      </c>
      <c r="BF67" s="283"/>
      <c r="BG67" s="281">
        <f t="shared" si="141"/>
        <v>1.21</v>
      </c>
      <c r="BH67" s="282">
        <f t="shared" si="142"/>
        <v>3.48</v>
      </c>
      <c r="BI67" s="282">
        <f t="shared" si="143"/>
        <v>15.31</v>
      </c>
      <c r="BJ67" s="283"/>
      <c r="BK67" s="281">
        <f t="shared" si="144"/>
        <v>0.99</v>
      </c>
      <c r="BL67" s="282">
        <f t="shared" si="145"/>
        <v>2.0699999999999998</v>
      </c>
      <c r="BM67" s="282">
        <f t="shared" si="146"/>
        <v>13.75</v>
      </c>
      <c r="BN67" s="283"/>
      <c r="BT67" s="281" t="e">
        <f>#REF!-#REF!</f>
        <v>#REF!</v>
      </c>
      <c r="BU67" s="282" t="e">
        <f>#REF!-#REF!</f>
        <v>#REF!</v>
      </c>
      <c r="BV67" s="283" t="e">
        <f>#REF!-#REF!</f>
        <v>#REF!</v>
      </c>
      <c r="BW67" s="281" t="e">
        <f>#REF!-#REF!</f>
        <v>#REF!</v>
      </c>
      <c r="BX67" s="281" t="e">
        <f>#REF!-#REF!</f>
        <v>#REF!</v>
      </c>
      <c r="BY67" s="281" t="e">
        <f>#REF!-#REF!</f>
        <v>#REF!</v>
      </c>
      <c r="BZ67" s="281" t="e">
        <f>#REF!-#REF!</f>
        <v>#REF!</v>
      </c>
      <c r="CA67" s="282" t="e">
        <f>#REF!-#REF!</f>
        <v>#REF!</v>
      </c>
      <c r="CB67" s="283" t="e">
        <f>#REF!-#REF!</f>
        <v>#REF!</v>
      </c>
      <c r="CC67" s="281" t="e">
        <f>#REF!-#REF!</f>
        <v>#REF!</v>
      </c>
      <c r="CD67" s="282" t="e">
        <f>#REF!-#REF!</f>
        <v>#REF!</v>
      </c>
      <c r="CE67" s="283" t="e">
        <f>#REF!-#REF!</f>
        <v>#REF!</v>
      </c>
    </row>
    <row r="68" spans="1:117" ht="15" hidden="1" customHeight="1" x14ac:dyDescent="0.25">
      <c r="A68" s="521"/>
      <c r="B68" s="55">
        <v>28</v>
      </c>
      <c r="C68" s="376"/>
      <c r="D68" s="376"/>
      <c r="E68" s="376"/>
      <c r="F68" s="377">
        <v>25.5</v>
      </c>
      <c r="G68" s="281">
        <f t="shared" si="103"/>
        <v>3.6100000000000003</v>
      </c>
      <c r="H68" s="282">
        <f t="shared" si="104"/>
        <v>6.37</v>
      </c>
      <c r="I68" s="282">
        <f t="shared" si="105"/>
        <v>17.89</v>
      </c>
      <c r="J68" s="283">
        <f t="shared" si="106"/>
        <v>26.79</v>
      </c>
      <c r="K68" s="281">
        <f t="shared" si="107"/>
        <v>4.03</v>
      </c>
      <c r="L68" s="282">
        <f t="shared" si="108"/>
        <v>8.07</v>
      </c>
      <c r="M68" s="282">
        <f t="shared" si="109"/>
        <v>15.809999999999999</v>
      </c>
      <c r="N68" s="283">
        <f t="shared" si="110"/>
        <v>16.37</v>
      </c>
      <c r="O68" s="281">
        <f t="shared" si="111"/>
        <v>1.1299999999999999</v>
      </c>
      <c r="P68" s="282">
        <f t="shared" si="112"/>
        <v>11.76</v>
      </c>
      <c r="Q68" s="282">
        <f t="shared" si="113"/>
        <v>18.880000000000003</v>
      </c>
      <c r="R68" s="283">
        <f t="shared" si="114"/>
        <v>27.38</v>
      </c>
      <c r="W68" s="281">
        <f t="shared" si="115"/>
        <v>5.29</v>
      </c>
      <c r="X68" s="282">
        <f t="shared" si="116"/>
        <v>10.65</v>
      </c>
      <c r="Y68" s="282">
        <f t="shared" si="117"/>
        <v>20.740000000000002</v>
      </c>
      <c r="Z68" s="283">
        <f t="shared" si="118"/>
        <v>26.42</v>
      </c>
      <c r="AA68" s="281">
        <f t="shared" si="119"/>
        <v>10.54</v>
      </c>
      <c r="AB68" s="282">
        <f t="shared" si="120"/>
        <v>16.98</v>
      </c>
      <c r="AC68" s="282">
        <f t="shared" si="121"/>
        <v>20.47</v>
      </c>
      <c r="AD68" s="283">
        <f t="shared" si="122"/>
        <v>23.19</v>
      </c>
      <c r="AE68" s="281">
        <f t="shared" si="123"/>
        <v>15.27</v>
      </c>
      <c r="AF68" s="282">
        <f t="shared" si="124"/>
        <v>10.629999999999999</v>
      </c>
      <c r="AG68" s="282">
        <f t="shared" si="125"/>
        <v>23.61</v>
      </c>
      <c r="AH68" s="283">
        <f t="shared" si="126"/>
        <v>37.769999999999996</v>
      </c>
      <c r="AM68" s="281">
        <f t="shared" si="127"/>
        <v>15.45</v>
      </c>
      <c r="AN68" s="282">
        <f t="shared" si="128"/>
        <v>12.780000000000001</v>
      </c>
      <c r="AO68" s="282">
        <f t="shared" si="129"/>
        <v>17.22</v>
      </c>
      <c r="AP68" s="283">
        <f t="shared" si="130"/>
        <v>26.97</v>
      </c>
      <c r="AQ68" s="281">
        <f t="shared" si="131"/>
        <v>15.420000000000002</v>
      </c>
      <c r="AR68" s="282">
        <f t="shared" si="132"/>
        <v>15.89</v>
      </c>
      <c r="AS68" s="282">
        <f t="shared" si="133"/>
        <v>23.95</v>
      </c>
      <c r="AT68" s="283">
        <f t="shared" si="134"/>
        <v>22.040000000000003</v>
      </c>
      <c r="AU68" s="281">
        <f t="shared" si="135"/>
        <v>13.77</v>
      </c>
      <c r="AV68" s="282">
        <f t="shared" si="136"/>
        <v>21.4</v>
      </c>
      <c r="AW68" s="282">
        <f t="shared" si="137"/>
        <v>23.700000000000003</v>
      </c>
      <c r="AX68" s="283"/>
      <c r="BC68" s="281">
        <f t="shared" si="138"/>
        <v>18.03</v>
      </c>
      <c r="BD68" s="282">
        <f t="shared" si="139"/>
        <v>22.880000000000003</v>
      </c>
      <c r="BE68" s="282">
        <f t="shared" si="140"/>
        <v>24.700000000000003</v>
      </c>
      <c r="BF68" s="283"/>
      <c r="BG68" s="281">
        <f t="shared" si="141"/>
        <v>14.1</v>
      </c>
      <c r="BH68" s="282">
        <f t="shared" si="142"/>
        <v>17.14</v>
      </c>
      <c r="BI68" s="282">
        <f t="shared" si="143"/>
        <v>22.85</v>
      </c>
      <c r="BJ68" s="283"/>
      <c r="BK68" s="281">
        <f t="shared" si="144"/>
        <v>23.28</v>
      </c>
      <c r="BL68" s="282">
        <f t="shared" si="145"/>
        <v>16.149999999999999</v>
      </c>
      <c r="BM68" s="282">
        <f t="shared" si="146"/>
        <v>19.61</v>
      </c>
      <c r="BN68" s="283"/>
      <c r="BT68" s="281" t="e">
        <f>#REF!-#REF!</f>
        <v>#REF!</v>
      </c>
      <c r="BU68" s="282" t="e">
        <f>#REF!-#REF!</f>
        <v>#REF!</v>
      </c>
      <c r="BV68" s="283" t="e">
        <f>#REF!-#REF!</f>
        <v>#REF!</v>
      </c>
      <c r="BW68" s="281" t="e">
        <f>#REF!-#REF!</f>
        <v>#REF!</v>
      </c>
      <c r="BX68" s="281" t="e">
        <f>#REF!-#REF!</f>
        <v>#REF!</v>
      </c>
      <c r="BY68" s="281" t="e">
        <f>#REF!-#REF!</f>
        <v>#REF!</v>
      </c>
      <c r="BZ68" s="281" t="e">
        <f>#REF!-#REF!</f>
        <v>#REF!</v>
      </c>
      <c r="CA68" s="282" t="e">
        <f>#REF!-#REF!</f>
        <v>#REF!</v>
      </c>
      <c r="CB68" s="283" t="e">
        <f>#REF!-#REF!</f>
        <v>#REF!</v>
      </c>
      <c r="CC68" s="281" t="e">
        <f>#REF!-#REF!</f>
        <v>#REF!</v>
      </c>
      <c r="CD68" s="282" t="e">
        <f>#REF!-#REF!</f>
        <v>#REF!</v>
      </c>
      <c r="CE68" s="283" t="e">
        <f>#REF!-#REF!</f>
        <v>#REF!</v>
      </c>
    </row>
    <row r="69" spans="1:117" ht="15" hidden="1" customHeight="1" x14ac:dyDescent="0.25">
      <c r="A69" s="521"/>
      <c r="B69" s="55">
        <v>29</v>
      </c>
      <c r="C69" s="376"/>
      <c r="D69" s="376"/>
      <c r="E69" s="376"/>
      <c r="F69" s="377">
        <v>11.38</v>
      </c>
      <c r="G69" s="281">
        <f t="shared" si="103"/>
        <v>0</v>
      </c>
      <c r="H69" s="282">
        <f t="shared" si="104"/>
        <v>0</v>
      </c>
      <c r="I69" s="282">
        <f t="shared" si="105"/>
        <v>0</v>
      </c>
      <c r="J69" s="283">
        <f t="shared" si="106"/>
        <v>1.81</v>
      </c>
      <c r="K69" s="281">
        <f t="shared" si="107"/>
        <v>0</v>
      </c>
      <c r="L69" s="282">
        <f t="shared" si="108"/>
        <v>0</v>
      </c>
      <c r="M69" s="282">
        <f t="shared" si="109"/>
        <v>0</v>
      </c>
      <c r="N69" s="283">
        <f t="shared" si="110"/>
        <v>1.52</v>
      </c>
      <c r="O69" s="281">
        <f t="shared" si="111"/>
        <v>0</v>
      </c>
      <c r="P69" s="282">
        <f t="shared" si="112"/>
        <v>0</v>
      </c>
      <c r="Q69" s="282">
        <f t="shared" si="113"/>
        <v>0</v>
      </c>
      <c r="R69" s="283">
        <f t="shared" si="114"/>
        <v>2.64</v>
      </c>
      <c r="W69" s="281">
        <f t="shared" si="115"/>
        <v>0</v>
      </c>
      <c r="X69" s="282">
        <f t="shared" si="116"/>
        <v>0</v>
      </c>
      <c r="Y69" s="282">
        <f t="shared" si="117"/>
        <v>0</v>
      </c>
      <c r="Z69" s="283">
        <f t="shared" si="118"/>
        <v>3.6399999999999997</v>
      </c>
      <c r="AA69" s="281">
        <f t="shared" si="119"/>
        <v>0</v>
      </c>
      <c r="AB69" s="282">
        <f t="shared" si="120"/>
        <v>0</v>
      </c>
      <c r="AC69" s="282">
        <f t="shared" si="121"/>
        <v>0</v>
      </c>
      <c r="AD69" s="283">
        <f t="shared" si="122"/>
        <v>5.3</v>
      </c>
      <c r="AE69" s="281">
        <f t="shared" si="123"/>
        <v>0</v>
      </c>
      <c r="AF69" s="282">
        <f t="shared" si="124"/>
        <v>0</v>
      </c>
      <c r="AG69" s="282">
        <f t="shared" si="125"/>
        <v>2.5300000000000002</v>
      </c>
      <c r="AH69" s="283">
        <f t="shared" si="126"/>
        <v>9.23</v>
      </c>
      <c r="AM69" s="281">
        <f t="shared" si="127"/>
        <v>0</v>
      </c>
      <c r="AN69" s="282">
        <f t="shared" si="128"/>
        <v>0</v>
      </c>
      <c r="AO69" s="282">
        <f t="shared" si="129"/>
        <v>1.84</v>
      </c>
      <c r="AP69" s="283">
        <f t="shared" si="130"/>
        <v>5.72</v>
      </c>
      <c r="AQ69" s="281">
        <f t="shared" si="131"/>
        <v>0</v>
      </c>
      <c r="AR69" s="282">
        <f t="shared" si="132"/>
        <v>0</v>
      </c>
      <c r="AS69" s="282">
        <f t="shared" si="133"/>
        <v>2.5099999999999998</v>
      </c>
      <c r="AT69" s="283">
        <f t="shared" si="134"/>
        <v>12.66</v>
      </c>
      <c r="AU69" s="281">
        <f t="shared" si="135"/>
        <v>0</v>
      </c>
      <c r="AV69" s="282">
        <f t="shared" si="136"/>
        <v>0</v>
      </c>
      <c r="AW69" s="282">
        <f t="shared" si="137"/>
        <v>0.9</v>
      </c>
      <c r="AX69" s="283"/>
      <c r="BC69" s="281">
        <f t="shared" si="138"/>
        <v>0</v>
      </c>
      <c r="BD69" s="282">
        <f t="shared" si="139"/>
        <v>0</v>
      </c>
      <c r="BE69" s="282">
        <f t="shared" si="140"/>
        <v>1.83</v>
      </c>
      <c r="BF69" s="283"/>
      <c r="BG69" s="281">
        <f t="shared" si="141"/>
        <v>0</v>
      </c>
      <c r="BH69" s="282">
        <f t="shared" si="142"/>
        <v>0</v>
      </c>
      <c r="BI69" s="282">
        <f t="shared" si="143"/>
        <v>4.3100000000000005</v>
      </c>
      <c r="BJ69" s="283"/>
      <c r="BK69" s="281">
        <f t="shared" si="144"/>
        <v>0</v>
      </c>
      <c r="BL69" s="282">
        <f t="shared" si="145"/>
        <v>0</v>
      </c>
      <c r="BM69" s="282">
        <f t="shared" si="146"/>
        <v>2.7</v>
      </c>
      <c r="BN69" s="283"/>
      <c r="BT69" s="281" t="e">
        <f>#REF!-#REF!</f>
        <v>#REF!</v>
      </c>
      <c r="BU69" s="282" t="e">
        <f>#REF!-#REF!</f>
        <v>#REF!</v>
      </c>
      <c r="BV69" s="283" t="e">
        <f>#REF!-#REF!</f>
        <v>#REF!</v>
      </c>
      <c r="BW69" s="281" t="e">
        <f>#REF!-#REF!</f>
        <v>#REF!</v>
      </c>
      <c r="BX69" s="281" t="e">
        <f>#REF!-#REF!</f>
        <v>#REF!</v>
      </c>
      <c r="BY69" s="281" t="e">
        <f>#REF!-#REF!</f>
        <v>#REF!</v>
      </c>
      <c r="BZ69" s="281" t="e">
        <f>#REF!-#REF!</f>
        <v>#REF!</v>
      </c>
      <c r="CA69" s="282" t="e">
        <f>#REF!-#REF!</f>
        <v>#REF!</v>
      </c>
      <c r="CB69" s="283" t="e">
        <f>#REF!-#REF!</f>
        <v>#REF!</v>
      </c>
      <c r="CC69" s="281" t="e">
        <f>#REF!-#REF!</f>
        <v>#REF!</v>
      </c>
      <c r="CD69" s="282" t="e">
        <f>#REF!-#REF!</f>
        <v>#REF!</v>
      </c>
      <c r="CE69" s="283" t="e">
        <f>#REF!-#REF!</f>
        <v>#REF!</v>
      </c>
    </row>
    <row r="70" spans="1:117" ht="15" hidden="1" customHeight="1" x14ac:dyDescent="0.25">
      <c r="A70" s="521"/>
      <c r="B70" s="55">
        <v>30</v>
      </c>
      <c r="C70" s="376"/>
      <c r="D70" s="376"/>
      <c r="E70" s="376"/>
      <c r="F70" s="377">
        <v>24.35</v>
      </c>
      <c r="G70" s="281">
        <f t="shared" si="103"/>
        <v>0</v>
      </c>
      <c r="H70" s="282">
        <f t="shared" si="104"/>
        <v>0</v>
      </c>
      <c r="I70" s="282">
        <f t="shared" si="105"/>
        <v>0</v>
      </c>
      <c r="J70" s="283">
        <f t="shared" si="106"/>
        <v>21.18</v>
      </c>
      <c r="K70" s="281">
        <f t="shared" si="107"/>
        <v>0</v>
      </c>
      <c r="L70" s="282">
        <f t="shared" si="108"/>
        <v>0</v>
      </c>
      <c r="M70" s="282">
        <f t="shared" si="109"/>
        <v>2.44</v>
      </c>
      <c r="N70" s="283">
        <f t="shared" si="110"/>
        <v>11.870000000000001</v>
      </c>
      <c r="O70" s="281">
        <f t="shared" si="111"/>
        <v>0</v>
      </c>
      <c r="P70" s="282">
        <f t="shared" si="112"/>
        <v>0</v>
      </c>
      <c r="Q70" s="282">
        <f t="shared" si="113"/>
        <v>1.8199999999999998</v>
      </c>
      <c r="R70" s="283">
        <f t="shared" si="114"/>
        <v>14.02</v>
      </c>
      <c r="W70" s="281">
        <f t="shared" si="115"/>
        <v>0</v>
      </c>
      <c r="X70" s="282">
        <f t="shared" si="116"/>
        <v>0</v>
      </c>
      <c r="Y70" s="282">
        <f t="shared" si="117"/>
        <v>1.02</v>
      </c>
      <c r="Z70" s="283">
        <f t="shared" si="118"/>
        <v>22.02</v>
      </c>
      <c r="AA70" s="281">
        <f t="shared" si="119"/>
        <v>0</v>
      </c>
      <c r="AB70" s="282">
        <f t="shared" si="120"/>
        <v>0</v>
      </c>
      <c r="AC70" s="282">
        <f t="shared" si="121"/>
        <v>2.59</v>
      </c>
      <c r="AD70" s="283">
        <f t="shared" si="122"/>
        <v>24.98</v>
      </c>
      <c r="AE70" s="281">
        <f t="shared" si="123"/>
        <v>0</v>
      </c>
      <c r="AF70" s="282">
        <f t="shared" si="124"/>
        <v>0</v>
      </c>
      <c r="AG70" s="282">
        <f t="shared" si="125"/>
        <v>2.9</v>
      </c>
      <c r="AH70" s="283">
        <f t="shared" si="126"/>
        <v>19.869999999999997</v>
      </c>
      <c r="AM70" s="281">
        <f t="shared" si="127"/>
        <v>0</v>
      </c>
      <c r="AN70" s="282">
        <f t="shared" si="128"/>
        <v>0</v>
      </c>
      <c r="AO70" s="282">
        <f t="shared" si="129"/>
        <v>1.6099999999999999</v>
      </c>
      <c r="AP70" s="283">
        <f t="shared" si="130"/>
        <v>15.129999999999999</v>
      </c>
      <c r="AQ70" s="281">
        <f t="shared" si="131"/>
        <v>0</v>
      </c>
      <c r="AR70" s="282">
        <f t="shared" si="132"/>
        <v>0</v>
      </c>
      <c r="AS70" s="282">
        <f t="shared" si="133"/>
        <v>5.45</v>
      </c>
      <c r="AT70" s="283">
        <f t="shared" si="134"/>
        <v>15.870000000000001</v>
      </c>
      <c r="AU70" s="281">
        <f t="shared" si="135"/>
        <v>0</v>
      </c>
      <c r="AV70" s="282">
        <f t="shared" si="136"/>
        <v>0</v>
      </c>
      <c r="AW70" s="282">
        <f t="shared" si="137"/>
        <v>4.17</v>
      </c>
      <c r="AX70" s="283"/>
      <c r="BC70" s="281">
        <f t="shared" si="138"/>
        <v>0</v>
      </c>
      <c r="BD70" s="282">
        <f t="shared" si="139"/>
        <v>0</v>
      </c>
      <c r="BE70" s="282">
        <f t="shared" si="140"/>
        <v>4.0999999999999996</v>
      </c>
      <c r="BF70" s="283"/>
      <c r="BG70" s="281">
        <f t="shared" si="141"/>
        <v>0</v>
      </c>
      <c r="BH70" s="282">
        <f t="shared" si="142"/>
        <v>0</v>
      </c>
      <c r="BI70" s="282">
        <f t="shared" si="143"/>
        <v>15.54</v>
      </c>
      <c r="BJ70" s="283"/>
      <c r="BK70" s="281">
        <f t="shared" si="144"/>
        <v>0</v>
      </c>
      <c r="BL70" s="282">
        <f t="shared" si="145"/>
        <v>0</v>
      </c>
      <c r="BM70" s="282">
        <f t="shared" si="146"/>
        <v>2.2400000000000002</v>
      </c>
      <c r="BN70" s="283"/>
      <c r="BT70" s="281" t="e">
        <f>#REF!-#REF!</f>
        <v>#REF!</v>
      </c>
      <c r="BU70" s="282" t="e">
        <f>#REF!-#REF!</f>
        <v>#REF!</v>
      </c>
      <c r="BV70" s="283" t="e">
        <f>#REF!-#REF!</f>
        <v>#REF!</v>
      </c>
      <c r="BW70" s="281" t="e">
        <f>#REF!-#REF!</f>
        <v>#REF!</v>
      </c>
      <c r="BX70" s="281" t="e">
        <f>#REF!-#REF!</f>
        <v>#REF!</v>
      </c>
      <c r="BY70" s="281" t="e">
        <f>#REF!-#REF!</f>
        <v>#REF!</v>
      </c>
      <c r="BZ70" s="281" t="e">
        <f>#REF!-#REF!</f>
        <v>#REF!</v>
      </c>
      <c r="CA70" s="282" t="e">
        <f>#REF!-#REF!</f>
        <v>#REF!</v>
      </c>
      <c r="CB70" s="283" t="e">
        <f>#REF!-#REF!</f>
        <v>#REF!</v>
      </c>
      <c r="CC70" s="281" t="e">
        <f>#REF!-#REF!</f>
        <v>#REF!</v>
      </c>
      <c r="CD70" s="282" t="e">
        <f>#REF!-#REF!</f>
        <v>#REF!</v>
      </c>
      <c r="CE70" s="283" t="e">
        <f>#REF!-#REF!</f>
        <v>#REF!</v>
      </c>
    </row>
    <row r="71" spans="1:117" ht="15" hidden="1" customHeight="1" x14ac:dyDescent="0.25">
      <c r="A71" s="521"/>
      <c r="B71" s="55">
        <v>31</v>
      </c>
      <c r="C71" s="376"/>
      <c r="D71" s="376"/>
      <c r="E71" s="376"/>
      <c r="F71" s="377">
        <v>34.08</v>
      </c>
      <c r="G71" s="281">
        <f t="shared" si="103"/>
        <v>0</v>
      </c>
      <c r="H71" s="282">
        <f t="shared" si="104"/>
        <v>0</v>
      </c>
      <c r="I71" s="282">
        <f t="shared" si="105"/>
        <v>0</v>
      </c>
      <c r="J71" s="283">
        <f t="shared" si="106"/>
        <v>17.89</v>
      </c>
      <c r="K71" s="281">
        <f t="shared" si="107"/>
        <v>0</v>
      </c>
      <c r="L71" s="282">
        <f t="shared" si="108"/>
        <v>0</v>
      </c>
      <c r="M71" s="282">
        <f t="shared" si="109"/>
        <v>0.95</v>
      </c>
      <c r="N71" s="283">
        <f t="shared" si="110"/>
        <v>13.149999999999999</v>
      </c>
      <c r="O71" s="281">
        <f t="shared" si="111"/>
        <v>0</v>
      </c>
      <c r="P71" s="282">
        <f t="shared" si="112"/>
        <v>0</v>
      </c>
      <c r="Q71" s="282">
        <f t="shared" si="113"/>
        <v>1.62</v>
      </c>
      <c r="R71" s="283">
        <f t="shared" si="114"/>
        <v>13.65</v>
      </c>
      <c r="W71" s="281">
        <f t="shared" si="115"/>
        <v>0</v>
      </c>
      <c r="X71" s="282">
        <f t="shared" si="116"/>
        <v>0</v>
      </c>
      <c r="Y71" s="282">
        <f t="shared" si="117"/>
        <v>1.5329999999999999</v>
      </c>
      <c r="Z71" s="283">
        <f t="shared" si="118"/>
        <v>19.29</v>
      </c>
      <c r="AA71" s="281">
        <f t="shared" si="119"/>
        <v>0</v>
      </c>
      <c r="AB71" s="282">
        <f t="shared" si="120"/>
        <v>0</v>
      </c>
      <c r="AC71" s="282">
        <f t="shared" si="121"/>
        <v>2.71</v>
      </c>
      <c r="AD71" s="283">
        <f t="shared" si="122"/>
        <v>29.76</v>
      </c>
      <c r="AE71" s="281">
        <f t="shared" si="123"/>
        <v>0</v>
      </c>
      <c r="AF71" s="282">
        <f t="shared" si="124"/>
        <v>0</v>
      </c>
      <c r="AG71" s="282">
        <f t="shared" si="125"/>
        <v>1.88</v>
      </c>
      <c r="AH71" s="283">
        <f t="shared" si="126"/>
        <v>16.940000000000001</v>
      </c>
      <c r="AM71" s="281">
        <f t="shared" si="127"/>
        <v>0</v>
      </c>
      <c r="AN71" s="282">
        <f t="shared" si="128"/>
        <v>0</v>
      </c>
      <c r="AO71" s="282">
        <f t="shared" si="129"/>
        <v>2.77</v>
      </c>
      <c r="AP71" s="283">
        <f t="shared" si="130"/>
        <v>16.240000000000002</v>
      </c>
      <c r="AQ71" s="281">
        <f t="shared" si="131"/>
        <v>0</v>
      </c>
      <c r="AR71" s="282">
        <f t="shared" si="132"/>
        <v>0</v>
      </c>
      <c r="AS71" s="282">
        <f t="shared" si="133"/>
        <v>8.5399999999999991</v>
      </c>
      <c r="AT71" s="283">
        <f t="shared" si="134"/>
        <v>17.2</v>
      </c>
      <c r="AU71" s="281">
        <f t="shared" si="135"/>
        <v>0</v>
      </c>
      <c r="AV71" s="282">
        <f t="shared" si="136"/>
        <v>0</v>
      </c>
      <c r="AW71" s="282">
        <f t="shared" si="137"/>
        <v>5.76</v>
      </c>
      <c r="AX71" s="283"/>
      <c r="BC71" s="281">
        <f t="shared" si="138"/>
        <v>0</v>
      </c>
      <c r="BD71" s="282">
        <f t="shared" si="139"/>
        <v>0</v>
      </c>
      <c r="BE71" s="282">
        <f t="shared" si="140"/>
        <v>7.72</v>
      </c>
      <c r="BF71" s="283"/>
      <c r="BG71" s="281">
        <f t="shared" si="141"/>
        <v>0</v>
      </c>
      <c r="BH71" s="282">
        <f t="shared" si="142"/>
        <v>0</v>
      </c>
      <c r="BI71" s="282">
        <f t="shared" si="143"/>
        <v>14.52</v>
      </c>
      <c r="BJ71" s="283"/>
      <c r="BK71" s="281">
        <f t="shared" si="144"/>
        <v>0</v>
      </c>
      <c r="BL71" s="282">
        <f t="shared" si="145"/>
        <v>0</v>
      </c>
      <c r="BM71" s="282">
        <f t="shared" si="146"/>
        <v>3.33</v>
      </c>
      <c r="BN71" s="283"/>
      <c r="BT71" s="281" t="e">
        <f>#REF!-#REF!</f>
        <v>#REF!</v>
      </c>
      <c r="BU71" s="282" t="e">
        <f>#REF!-#REF!</f>
        <v>#REF!</v>
      </c>
      <c r="BV71" s="283" t="e">
        <f>#REF!-#REF!</f>
        <v>#REF!</v>
      </c>
      <c r="BW71" s="281" t="e">
        <f>#REF!-#REF!</f>
        <v>#REF!</v>
      </c>
      <c r="BX71" s="281" t="e">
        <f>#REF!-#REF!</f>
        <v>#REF!</v>
      </c>
      <c r="BY71" s="281" t="e">
        <f>#REF!-#REF!</f>
        <v>#REF!</v>
      </c>
      <c r="BZ71" s="281" t="e">
        <f>#REF!-#REF!</f>
        <v>#REF!</v>
      </c>
      <c r="CA71" s="282" t="e">
        <f>#REF!-#REF!</f>
        <v>#REF!</v>
      </c>
      <c r="CB71" s="283" t="e">
        <f>#REF!-#REF!</f>
        <v>#REF!</v>
      </c>
      <c r="CC71" s="281" t="e">
        <f>#REF!-#REF!</f>
        <v>#REF!</v>
      </c>
      <c r="CD71" s="282" t="e">
        <f>#REF!-#REF!</f>
        <v>#REF!</v>
      </c>
      <c r="CE71" s="283" t="e">
        <f>#REF!-#REF!</f>
        <v>#REF!</v>
      </c>
    </row>
    <row r="72" spans="1:117" ht="15.75" hidden="1" customHeight="1" thickBot="1" x14ac:dyDescent="0.3">
      <c r="A72" s="522"/>
      <c r="B72" s="103">
        <v>32</v>
      </c>
      <c r="C72" s="375"/>
      <c r="D72" s="375"/>
      <c r="E72" s="375"/>
      <c r="F72" s="378">
        <v>0</v>
      </c>
      <c r="G72" s="281">
        <f t="shared" si="103"/>
        <v>0</v>
      </c>
      <c r="H72" s="282">
        <f t="shared" si="104"/>
        <v>0</v>
      </c>
      <c r="I72" s="282">
        <f t="shared" si="105"/>
        <v>0</v>
      </c>
      <c r="J72" s="283">
        <f t="shared" si="106"/>
        <v>0</v>
      </c>
      <c r="K72" s="281">
        <f t="shared" si="107"/>
        <v>0</v>
      </c>
      <c r="L72" s="282">
        <f t="shared" si="108"/>
        <v>0</v>
      </c>
      <c r="M72" s="282">
        <f t="shared" si="109"/>
        <v>0</v>
      </c>
      <c r="N72" s="283">
        <f t="shared" si="110"/>
        <v>0</v>
      </c>
      <c r="O72" s="281">
        <f t="shared" si="111"/>
        <v>0</v>
      </c>
      <c r="P72" s="282">
        <f t="shared" si="112"/>
        <v>0</v>
      </c>
      <c r="Q72" s="282">
        <f t="shared" si="113"/>
        <v>0</v>
      </c>
      <c r="R72" s="283">
        <f t="shared" si="114"/>
        <v>0</v>
      </c>
      <c r="W72" s="281">
        <f t="shared" si="115"/>
        <v>0</v>
      </c>
      <c r="X72" s="282">
        <f t="shared" si="116"/>
        <v>0</v>
      </c>
      <c r="Y72" s="282">
        <f t="shared" si="117"/>
        <v>0</v>
      </c>
      <c r="Z72" s="283">
        <f t="shared" si="118"/>
        <v>0</v>
      </c>
      <c r="AA72" s="281">
        <f t="shared" si="119"/>
        <v>0</v>
      </c>
      <c r="AB72" s="282">
        <f t="shared" si="120"/>
        <v>0</v>
      </c>
      <c r="AC72" s="282">
        <f t="shared" si="121"/>
        <v>0</v>
      </c>
      <c r="AD72" s="283">
        <f t="shared" si="122"/>
        <v>0</v>
      </c>
      <c r="AE72" s="281">
        <f t="shared" si="123"/>
        <v>0</v>
      </c>
      <c r="AF72" s="282">
        <f t="shared" si="124"/>
        <v>0</v>
      </c>
      <c r="AG72" s="282">
        <f t="shared" si="125"/>
        <v>0</v>
      </c>
      <c r="AH72" s="283">
        <f t="shared" si="126"/>
        <v>0</v>
      </c>
      <c r="AM72" s="281">
        <f t="shared" si="127"/>
        <v>0</v>
      </c>
      <c r="AN72" s="282">
        <f t="shared" si="128"/>
        <v>0</v>
      </c>
      <c r="AO72" s="282">
        <f t="shared" si="129"/>
        <v>0</v>
      </c>
      <c r="AP72" s="283">
        <f t="shared" si="130"/>
        <v>0</v>
      </c>
      <c r="AQ72" s="281">
        <f t="shared" si="131"/>
        <v>0</v>
      </c>
      <c r="AR72" s="282">
        <f t="shared" si="132"/>
        <v>0</v>
      </c>
      <c r="AS72" s="282">
        <f t="shared" si="133"/>
        <v>0</v>
      </c>
      <c r="AT72" s="283">
        <f t="shared" si="134"/>
        <v>0</v>
      </c>
      <c r="AU72" s="281">
        <f t="shared" si="135"/>
        <v>0</v>
      </c>
      <c r="AV72" s="282">
        <f t="shared" si="136"/>
        <v>0</v>
      </c>
      <c r="AW72" s="282">
        <f t="shared" si="137"/>
        <v>0</v>
      </c>
      <c r="AX72" s="283"/>
      <c r="BC72" s="281">
        <f t="shared" si="138"/>
        <v>0</v>
      </c>
      <c r="BD72" s="282">
        <f t="shared" si="139"/>
        <v>0</v>
      </c>
      <c r="BE72" s="282">
        <f t="shared" si="140"/>
        <v>0</v>
      </c>
      <c r="BF72" s="283"/>
      <c r="BG72" s="281">
        <f t="shared" si="141"/>
        <v>0</v>
      </c>
      <c r="BH72" s="282">
        <f t="shared" si="142"/>
        <v>0</v>
      </c>
      <c r="BI72" s="282">
        <f t="shared" si="143"/>
        <v>0</v>
      </c>
      <c r="BJ72" s="283"/>
      <c r="BK72" s="281">
        <f t="shared" si="144"/>
        <v>0</v>
      </c>
      <c r="BL72" s="282">
        <f t="shared" si="145"/>
        <v>0</v>
      </c>
      <c r="BM72" s="282">
        <f t="shared" si="146"/>
        <v>0</v>
      </c>
      <c r="BN72" s="283"/>
      <c r="BT72" s="281" t="e">
        <f>#REF!-#REF!</f>
        <v>#REF!</v>
      </c>
      <c r="BU72" s="282" t="e">
        <f>#REF!-#REF!</f>
        <v>#REF!</v>
      </c>
      <c r="BV72" s="283" t="e">
        <f>#REF!-#REF!</f>
        <v>#REF!</v>
      </c>
      <c r="BW72" s="281" t="e">
        <f>#REF!-#REF!</f>
        <v>#REF!</v>
      </c>
      <c r="BX72" s="281" t="e">
        <f>#REF!-#REF!</f>
        <v>#REF!</v>
      </c>
      <c r="BY72" s="281" t="e">
        <f>#REF!-#REF!</f>
        <v>#REF!</v>
      </c>
      <c r="BZ72" s="281" t="e">
        <f>#REF!-#REF!</f>
        <v>#REF!</v>
      </c>
      <c r="CA72" s="282" t="e">
        <f>#REF!-#REF!</f>
        <v>#REF!</v>
      </c>
      <c r="CB72" s="283" t="e">
        <f>#REF!-#REF!</f>
        <v>#REF!</v>
      </c>
      <c r="CC72" s="281" t="e">
        <f>#REF!-#REF!</f>
        <v>#REF!</v>
      </c>
      <c r="CD72" s="282" t="e">
        <f>#REF!-#REF!</f>
        <v>#REF!</v>
      </c>
      <c r="CE72" s="283" t="e">
        <f>#REF!-#REF!</f>
        <v>#REF!</v>
      </c>
    </row>
    <row r="73" spans="1:117" ht="15" hidden="1" customHeight="1" x14ac:dyDescent="0.25">
      <c r="A73" s="520" t="s">
        <v>31</v>
      </c>
      <c r="B73" s="23" t="s">
        <v>32</v>
      </c>
      <c r="C73" s="367"/>
      <c r="D73" s="367"/>
      <c r="E73" s="367"/>
      <c r="F73" s="367">
        <v>28.72</v>
      </c>
      <c r="G73" s="281">
        <f t="shared" si="103"/>
        <v>4.3999999999999995</v>
      </c>
      <c r="H73" s="282">
        <f t="shared" si="104"/>
        <v>19.55</v>
      </c>
      <c r="I73" s="282">
        <f t="shared" si="105"/>
        <v>20.66</v>
      </c>
      <c r="J73" s="283">
        <f t="shared" si="106"/>
        <v>31.42</v>
      </c>
      <c r="K73" s="281">
        <f t="shared" si="107"/>
        <v>5.31</v>
      </c>
      <c r="L73" s="282">
        <f t="shared" si="108"/>
        <v>19.47</v>
      </c>
      <c r="M73" s="282">
        <f t="shared" si="109"/>
        <v>15.18</v>
      </c>
      <c r="N73" s="283">
        <f t="shared" si="110"/>
        <v>29.16</v>
      </c>
      <c r="O73" s="281">
        <f t="shared" si="111"/>
        <v>7.9</v>
      </c>
      <c r="P73" s="282">
        <f t="shared" si="112"/>
        <v>11.94</v>
      </c>
      <c r="Q73" s="282">
        <f t="shared" si="113"/>
        <v>13.39</v>
      </c>
      <c r="R73" s="283">
        <f t="shared" si="114"/>
        <v>37.549999999999997</v>
      </c>
      <c r="W73" s="281">
        <f t="shared" si="115"/>
        <v>3.74</v>
      </c>
      <c r="X73" s="282">
        <f t="shared" si="116"/>
        <v>31.75</v>
      </c>
      <c r="Y73" s="282">
        <f t="shared" si="117"/>
        <v>23.73</v>
      </c>
      <c r="Z73" s="283">
        <f t="shared" si="118"/>
        <v>33.54</v>
      </c>
      <c r="AA73" s="281">
        <f t="shared" si="119"/>
        <v>16.18</v>
      </c>
      <c r="AB73" s="282">
        <f t="shared" si="120"/>
        <v>19.45</v>
      </c>
      <c r="AC73" s="282">
        <f t="shared" si="121"/>
        <v>25.97</v>
      </c>
      <c r="AD73" s="283">
        <f t="shared" si="122"/>
        <v>50.2</v>
      </c>
      <c r="AE73" s="281">
        <f t="shared" si="123"/>
        <v>22.7</v>
      </c>
      <c r="AF73" s="282">
        <f t="shared" si="124"/>
        <v>34.459999999999994</v>
      </c>
      <c r="AG73" s="282">
        <f t="shared" si="125"/>
        <v>30.17</v>
      </c>
      <c r="AH73" s="283">
        <f t="shared" si="126"/>
        <v>27.13</v>
      </c>
      <c r="AM73" s="281">
        <f t="shared" si="127"/>
        <v>18.490000000000002</v>
      </c>
      <c r="AN73" s="282">
        <f t="shared" si="128"/>
        <v>21.82</v>
      </c>
      <c r="AO73" s="282">
        <f t="shared" si="129"/>
        <v>23.78</v>
      </c>
      <c r="AP73" s="283">
        <f t="shared" si="130"/>
        <v>34.340000000000003</v>
      </c>
      <c r="AQ73" s="281">
        <f t="shared" si="131"/>
        <v>17.68</v>
      </c>
      <c r="AR73" s="282">
        <f t="shared" si="132"/>
        <v>36.22</v>
      </c>
      <c r="AS73" s="282">
        <f t="shared" si="133"/>
        <v>37.86</v>
      </c>
      <c r="AT73" s="283">
        <f t="shared" si="134"/>
        <v>33.130000000000003</v>
      </c>
      <c r="AU73" s="281">
        <f t="shared" si="135"/>
        <v>21.689999999999998</v>
      </c>
      <c r="AV73" s="282">
        <f t="shared" si="136"/>
        <v>26.79</v>
      </c>
      <c r="AW73" s="282">
        <f t="shared" si="137"/>
        <v>45.85</v>
      </c>
      <c r="AX73" s="283"/>
      <c r="BC73" s="281">
        <f t="shared" si="138"/>
        <v>33.19</v>
      </c>
      <c r="BD73" s="282">
        <f t="shared" si="139"/>
        <v>33.31</v>
      </c>
      <c r="BE73" s="282">
        <f t="shared" si="140"/>
        <v>47.75</v>
      </c>
      <c r="BF73" s="283"/>
      <c r="BG73" s="281">
        <f t="shared" si="141"/>
        <v>20.69</v>
      </c>
      <c r="BH73" s="282">
        <f t="shared" si="142"/>
        <v>35.339999999999996</v>
      </c>
      <c r="BI73" s="282">
        <f t="shared" si="143"/>
        <v>44.07</v>
      </c>
      <c r="BJ73" s="283"/>
      <c r="BK73" s="281">
        <f t="shared" si="144"/>
        <v>20.84</v>
      </c>
      <c r="BL73" s="282">
        <f t="shared" si="145"/>
        <v>25.19</v>
      </c>
      <c r="BM73" s="282">
        <f t="shared" si="146"/>
        <v>30.79</v>
      </c>
      <c r="BN73" s="283"/>
      <c r="BT73" s="281" t="e">
        <f>#REF!-#REF!</f>
        <v>#REF!</v>
      </c>
      <c r="BU73" s="282" t="e">
        <f>#REF!-#REF!</f>
        <v>#REF!</v>
      </c>
      <c r="BV73" s="283" t="e">
        <f>#REF!-#REF!</f>
        <v>#REF!</v>
      </c>
      <c r="BW73" s="281" t="e">
        <f>#REF!-#REF!</f>
        <v>#REF!</v>
      </c>
      <c r="BX73" s="281" t="e">
        <f>#REF!-#REF!</f>
        <v>#REF!</v>
      </c>
      <c r="BY73" s="281" t="e">
        <f>#REF!-#REF!</f>
        <v>#REF!</v>
      </c>
      <c r="BZ73" s="281" t="e">
        <f>#REF!-#REF!</f>
        <v>#REF!</v>
      </c>
      <c r="CA73" s="282" t="e">
        <f>#REF!-#REF!</f>
        <v>#REF!</v>
      </c>
      <c r="CB73" s="283" t="e">
        <f>#REF!-#REF!</f>
        <v>#REF!</v>
      </c>
      <c r="CC73" s="281" t="e">
        <f>#REF!-#REF!</f>
        <v>#REF!</v>
      </c>
      <c r="CD73" s="282" t="e">
        <f>#REF!-#REF!</f>
        <v>#REF!</v>
      </c>
      <c r="CE73" s="283" t="e">
        <f>#REF!-#REF!</f>
        <v>#REF!</v>
      </c>
    </row>
    <row r="74" spans="1:117" ht="15.75" hidden="1" customHeight="1" thickBot="1" x14ac:dyDescent="0.3">
      <c r="A74" s="522"/>
      <c r="B74" s="103">
        <v>39</v>
      </c>
      <c r="C74" s="375"/>
      <c r="D74" s="375"/>
      <c r="E74" s="375"/>
      <c r="F74" s="375">
        <v>4.5</v>
      </c>
      <c r="G74" s="281">
        <f t="shared" si="103"/>
        <v>2.19</v>
      </c>
      <c r="H74" s="282">
        <f t="shared" si="104"/>
        <v>2.0499999999999998</v>
      </c>
      <c r="I74" s="282">
        <f t="shared" si="105"/>
        <v>2.9699999999999998</v>
      </c>
      <c r="J74" s="283">
        <f t="shared" si="106"/>
        <v>2.2599999999999998</v>
      </c>
      <c r="K74" s="281">
        <f t="shared" si="107"/>
        <v>0.74</v>
      </c>
      <c r="L74" s="282">
        <f t="shared" si="108"/>
        <v>0</v>
      </c>
      <c r="M74" s="282">
        <f t="shared" si="109"/>
        <v>0</v>
      </c>
      <c r="N74" s="283">
        <f t="shared" si="110"/>
        <v>3.29</v>
      </c>
      <c r="O74" s="281">
        <f t="shared" si="111"/>
        <v>0</v>
      </c>
      <c r="P74" s="282">
        <f t="shared" si="112"/>
        <v>0</v>
      </c>
      <c r="Q74" s="282">
        <f t="shared" si="113"/>
        <v>2.21</v>
      </c>
      <c r="R74" s="283">
        <f t="shared" si="114"/>
        <v>2.25</v>
      </c>
      <c r="W74" s="281">
        <f t="shared" si="115"/>
        <v>0</v>
      </c>
      <c r="X74" s="282">
        <f t="shared" si="116"/>
        <v>0.98</v>
      </c>
      <c r="Y74" s="282">
        <f t="shared" si="117"/>
        <v>1.5</v>
      </c>
      <c r="Z74" s="283">
        <f t="shared" si="118"/>
        <v>2.7199999999999998</v>
      </c>
      <c r="AA74" s="281">
        <f t="shared" si="119"/>
        <v>2.25</v>
      </c>
      <c r="AB74" s="282">
        <f t="shared" si="120"/>
        <v>1.2</v>
      </c>
      <c r="AC74" s="282">
        <f t="shared" si="121"/>
        <v>2.08</v>
      </c>
      <c r="AD74" s="283">
        <f t="shared" si="122"/>
        <v>2.0299999999999998</v>
      </c>
      <c r="AE74" s="281">
        <f t="shared" si="123"/>
        <v>1.4</v>
      </c>
      <c r="AF74" s="282">
        <f t="shared" si="124"/>
        <v>0.7</v>
      </c>
      <c r="AG74" s="282">
        <f t="shared" si="125"/>
        <v>2.04</v>
      </c>
      <c r="AH74" s="283">
        <f t="shared" si="126"/>
        <v>1.56</v>
      </c>
      <c r="AM74" s="281">
        <f t="shared" si="127"/>
        <v>1.49</v>
      </c>
      <c r="AN74" s="282">
        <f t="shared" si="128"/>
        <v>1.5</v>
      </c>
      <c r="AO74" s="282">
        <f t="shared" si="129"/>
        <v>1.9</v>
      </c>
      <c r="AP74" s="283">
        <f t="shared" si="130"/>
        <v>3.38</v>
      </c>
      <c r="AQ74" s="281">
        <f t="shared" si="131"/>
        <v>1.79</v>
      </c>
      <c r="AR74" s="282">
        <f t="shared" si="132"/>
        <v>1.7000000000000002</v>
      </c>
      <c r="AS74" s="282">
        <f t="shared" si="133"/>
        <v>3.4</v>
      </c>
      <c r="AT74" s="283">
        <f t="shared" si="134"/>
        <v>4.46</v>
      </c>
      <c r="AU74" s="281">
        <f t="shared" si="135"/>
        <v>0</v>
      </c>
      <c r="AV74" s="282">
        <f t="shared" si="136"/>
        <v>1.92</v>
      </c>
      <c r="AW74" s="282">
        <f t="shared" si="137"/>
        <v>4.6899999999999995</v>
      </c>
      <c r="AX74" s="283"/>
      <c r="BC74" s="281">
        <f t="shared" si="138"/>
        <v>1.5</v>
      </c>
      <c r="BD74" s="282">
        <f t="shared" si="139"/>
        <v>1.32</v>
      </c>
      <c r="BE74" s="282">
        <f t="shared" si="140"/>
        <v>1.93</v>
      </c>
      <c r="BF74" s="283"/>
      <c r="BG74" s="281">
        <f t="shared" si="141"/>
        <v>2.56</v>
      </c>
      <c r="BH74" s="282">
        <f t="shared" si="142"/>
        <v>2.91</v>
      </c>
      <c r="BI74" s="282">
        <f t="shared" si="143"/>
        <v>4.3100000000000005</v>
      </c>
      <c r="BJ74" s="283"/>
      <c r="BK74" s="281">
        <f t="shared" si="144"/>
        <v>0</v>
      </c>
      <c r="BL74" s="282">
        <f t="shared" si="145"/>
        <v>3.0300000000000002</v>
      </c>
      <c r="BM74" s="282">
        <f t="shared" si="146"/>
        <v>3.21</v>
      </c>
      <c r="BN74" s="283"/>
      <c r="BT74" s="281" t="e">
        <f>#REF!-#REF!</f>
        <v>#REF!</v>
      </c>
      <c r="BU74" s="282" t="e">
        <f>#REF!-#REF!</f>
        <v>#REF!</v>
      </c>
      <c r="BV74" s="283" t="e">
        <f>#REF!-#REF!</f>
        <v>#REF!</v>
      </c>
      <c r="BW74" s="281" t="e">
        <f>#REF!-#REF!</f>
        <v>#REF!</v>
      </c>
      <c r="BX74" s="281" t="e">
        <f>#REF!-#REF!</f>
        <v>#REF!</v>
      </c>
      <c r="BY74" s="281" t="e">
        <f>#REF!-#REF!</f>
        <v>#REF!</v>
      </c>
      <c r="BZ74" s="281" t="e">
        <f>#REF!-#REF!</f>
        <v>#REF!</v>
      </c>
      <c r="CA74" s="282" t="e">
        <f>#REF!-#REF!</f>
        <v>#REF!</v>
      </c>
      <c r="CB74" s="283" t="e">
        <f>#REF!-#REF!</f>
        <v>#REF!</v>
      </c>
      <c r="CC74" s="281" t="e">
        <f>#REF!-#REF!</f>
        <v>#REF!</v>
      </c>
      <c r="CD74" s="282" t="e">
        <f>#REF!-#REF!</f>
        <v>#REF!</v>
      </c>
      <c r="CE74" s="283" t="e">
        <f>#REF!-#REF!</f>
        <v>#REF!</v>
      </c>
    </row>
    <row r="75" spans="1:117" ht="16.5" hidden="1" customHeight="1" thickBot="1" x14ac:dyDescent="0.3">
      <c r="A75" s="185" t="s">
        <v>6</v>
      </c>
      <c r="B75" s="186"/>
      <c r="C75" s="379"/>
      <c r="D75" s="379"/>
      <c r="E75" s="379"/>
      <c r="F75" s="160">
        <f>SUM(F38:F49,F50:F56,F57:F61,F64:F71,F73:F74)</f>
        <v>1416.5100000000002</v>
      </c>
      <c r="G75" s="294">
        <f t="shared" ref="G75:R75" si="159">SUBTOTAL(9,G38:G74)</f>
        <v>1276.75</v>
      </c>
      <c r="H75" s="295">
        <f t="shared" si="159"/>
        <v>1450.9499999999996</v>
      </c>
      <c r="I75" s="295">
        <f t="shared" si="159"/>
        <v>1328.2100000000003</v>
      </c>
      <c r="J75" s="296">
        <f t="shared" si="159"/>
        <v>1367.55</v>
      </c>
      <c r="K75" s="294">
        <f t="shared" si="159"/>
        <v>822.8299999999997</v>
      </c>
      <c r="L75" s="295">
        <f t="shared" si="159"/>
        <v>1191.723</v>
      </c>
      <c r="M75" s="295">
        <f t="shared" si="159"/>
        <v>852.04</v>
      </c>
      <c r="N75" s="296">
        <f t="shared" si="159"/>
        <v>1527.92</v>
      </c>
      <c r="O75" s="294">
        <f t="shared" si="159"/>
        <v>1061.4500000000003</v>
      </c>
      <c r="P75" s="295">
        <f t="shared" si="159"/>
        <v>1334.4799999999998</v>
      </c>
      <c r="Q75" s="295">
        <f t="shared" si="159"/>
        <v>655.97</v>
      </c>
      <c r="R75" s="296">
        <f t="shared" si="159"/>
        <v>1404.8000000000004</v>
      </c>
      <c r="W75" s="294">
        <f t="shared" ref="W75:AH75" si="160">SUBTOTAL(9,W38:W74)</f>
        <v>1274.5399999999995</v>
      </c>
      <c r="X75" s="295">
        <f t="shared" si="160"/>
        <v>1263.4800000000002</v>
      </c>
      <c r="Y75" s="295">
        <f t="shared" si="160"/>
        <v>1064.0929999999998</v>
      </c>
      <c r="Z75" s="296">
        <f t="shared" si="160"/>
        <v>1929.2300000000002</v>
      </c>
      <c r="AA75" s="294">
        <f t="shared" si="160"/>
        <v>1496.1400000000003</v>
      </c>
      <c r="AB75" s="295">
        <f t="shared" si="160"/>
        <v>1400.8300000000002</v>
      </c>
      <c r="AC75" s="295">
        <f t="shared" si="160"/>
        <v>1352.6299999999999</v>
      </c>
      <c r="AD75" s="296">
        <f t="shared" si="160"/>
        <v>1739.06</v>
      </c>
      <c r="AE75" s="294">
        <f t="shared" si="160"/>
        <v>1363.34</v>
      </c>
      <c r="AF75" s="295">
        <f t="shared" si="160"/>
        <v>1424.1000000000004</v>
      </c>
      <c r="AG75" s="295">
        <f t="shared" si="160"/>
        <v>1285.9600000000003</v>
      </c>
      <c r="AH75" s="296">
        <f t="shared" si="160"/>
        <v>1554.2800000000004</v>
      </c>
      <c r="AM75" s="294">
        <f t="shared" ref="AM75:AX75" si="161">SUBTOTAL(9,AM38:AM74)</f>
        <v>1483.8200000000002</v>
      </c>
      <c r="AN75" s="295">
        <f t="shared" si="161"/>
        <v>1582.2499999999998</v>
      </c>
      <c r="AO75" s="295">
        <f t="shared" si="161"/>
        <v>1537.55</v>
      </c>
      <c r="AP75" s="296">
        <f t="shared" si="161"/>
        <v>1571.88</v>
      </c>
      <c r="AQ75" s="294">
        <f t="shared" si="161"/>
        <v>1896.38</v>
      </c>
      <c r="AR75" s="295">
        <f t="shared" si="161"/>
        <v>1658.3699999999997</v>
      </c>
      <c r="AS75" s="295">
        <f t="shared" si="161"/>
        <v>2136.8200000000002</v>
      </c>
      <c r="AT75" s="296">
        <f t="shared" si="161"/>
        <v>1751.82</v>
      </c>
      <c r="AU75" s="294">
        <f t="shared" si="161"/>
        <v>1883.4599999999998</v>
      </c>
      <c r="AV75" s="295">
        <f t="shared" si="161"/>
        <v>1806.9199999999998</v>
      </c>
      <c r="AW75" s="295">
        <f t="shared" si="161"/>
        <v>2341.7800000000002</v>
      </c>
      <c r="AX75" s="296">
        <f t="shared" si="161"/>
        <v>0</v>
      </c>
      <c r="BC75" s="294">
        <f t="shared" ref="BC75:BN75" si="162">SUBTOTAL(9,BC38:BC74)</f>
        <v>2346.5000000000009</v>
      </c>
      <c r="BD75" s="295">
        <f t="shared" si="162"/>
        <v>1966.14</v>
      </c>
      <c r="BE75" s="295">
        <f t="shared" si="162"/>
        <v>2640.7299999999991</v>
      </c>
      <c r="BF75" s="296">
        <f t="shared" si="162"/>
        <v>0</v>
      </c>
      <c r="BG75" s="294">
        <f t="shared" si="162"/>
        <v>1936.1800000000003</v>
      </c>
      <c r="BH75" s="295">
        <f t="shared" si="162"/>
        <v>1803.11</v>
      </c>
      <c r="BI75" s="295">
        <f t="shared" si="162"/>
        <v>2304.94</v>
      </c>
      <c r="BJ75" s="296">
        <f t="shared" si="162"/>
        <v>0</v>
      </c>
      <c r="BK75" s="294">
        <f t="shared" si="162"/>
        <v>1991.0399999999997</v>
      </c>
      <c r="BL75" s="295">
        <f t="shared" si="162"/>
        <v>1545.4199999999998</v>
      </c>
      <c r="BM75" s="295">
        <f t="shared" si="162"/>
        <v>1989.4299999999998</v>
      </c>
      <c r="BN75" s="296">
        <f t="shared" si="162"/>
        <v>0</v>
      </c>
      <c r="BT75" s="294">
        <f>T31-S31</f>
        <v>752.94300000000067</v>
      </c>
      <c r="BU75" s="295">
        <f>U31-T31</f>
        <v>-1188.1930000000007</v>
      </c>
      <c r="BV75" s="296">
        <f>V31-U31</f>
        <v>1195.8400000000001</v>
      </c>
      <c r="BW75" s="294">
        <f>AJ31-AI31</f>
        <v>-112.16999999999916</v>
      </c>
      <c r="BX75" s="295">
        <f>AK31-AJ31</f>
        <v>-493.08000000000038</v>
      </c>
      <c r="BY75" s="296">
        <f>AL31-AK31</f>
        <v>1212.7400000000002</v>
      </c>
      <c r="BZ75" s="294">
        <f>AZ31-AY31</f>
        <v>-269.31000000000131</v>
      </c>
      <c r="CA75" s="295">
        <f>BA31-AZ31</f>
        <v>808.31000000000131</v>
      </c>
      <c r="CB75" s="296">
        <f>BB31-BA31</f>
        <v>-971.26000000000022</v>
      </c>
      <c r="CC75" s="294">
        <f t="shared" ref="CC75:CE75" si="163">BP31-BO31</f>
        <v>-1005.7200000000003</v>
      </c>
      <c r="CD75" s="295">
        <f t="shared" si="163"/>
        <v>1407.4900000000007</v>
      </c>
      <c r="CE75" s="296">
        <f t="shared" si="163"/>
        <v>-338.44000000000051</v>
      </c>
    </row>
    <row r="76" spans="1:117" ht="15" hidden="1" customHeight="1" x14ac:dyDescent="0.25"/>
    <row r="77" spans="1:117" ht="15" hidden="1" customHeight="1" x14ac:dyDescent="0.25"/>
    <row r="78" spans="1:117" ht="15" hidden="1" customHeight="1" x14ac:dyDescent="0.25">
      <c r="CG78" s="544" t="s">
        <v>60</v>
      </c>
      <c r="CH78" s="545"/>
      <c r="CI78" s="545"/>
      <c r="CJ78" s="546"/>
      <c r="CK78" s="529" t="s">
        <v>57</v>
      </c>
      <c r="CL78" s="530"/>
      <c r="CM78" s="530"/>
      <c r="CN78" s="531"/>
      <c r="CO78" s="529" t="s">
        <v>54</v>
      </c>
      <c r="CP78" s="530"/>
      <c r="CQ78" s="530"/>
      <c r="CR78" s="531"/>
      <c r="CS78" s="529" t="s">
        <v>51</v>
      </c>
      <c r="CT78" s="530"/>
      <c r="CU78" s="530"/>
      <c r="CV78" s="531"/>
      <c r="CX78" s="566" t="s">
        <v>60</v>
      </c>
      <c r="CY78" s="567"/>
      <c r="CZ78" s="567"/>
      <c r="DA78" s="568"/>
      <c r="DB78" s="529" t="s">
        <v>57</v>
      </c>
      <c r="DC78" s="530"/>
      <c r="DD78" s="530"/>
      <c r="DE78" s="531"/>
      <c r="DF78" s="529" t="s">
        <v>54</v>
      </c>
      <c r="DG78" s="530"/>
      <c r="DH78" s="530"/>
      <c r="DI78" s="531"/>
      <c r="DJ78" s="529" t="s">
        <v>51</v>
      </c>
      <c r="DK78" s="530"/>
      <c r="DL78" s="530"/>
      <c r="DM78" s="531"/>
    </row>
    <row r="79" spans="1:117" ht="15" hidden="1" customHeight="1" x14ac:dyDescent="0.25">
      <c r="A79" s="523" t="s">
        <v>3</v>
      </c>
      <c r="B79" s="524"/>
      <c r="C79" s="373"/>
      <c r="D79" s="373"/>
      <c r="E79" s="373"/>
      <c r="F79" s="543" t="s">
        <v>4</v>
      </c>
      <c r="G79" s="498" t="s">
        <v>37</v>
      </c>
      <c r="H79" s="499"/>
      <c r="I79" s="499"/>
      <c r="J79" s="500"/>
      <c r="K79" s="498" t="s">
        <v>38</v>
      </c>
      <c r="L79" s="499"/>
      <c r="M79" s="499"/>
      <c r="N79" s="500"/>
      <c r="O79" s="498" t="s">
        <v>39</v>
      </c>
      <c r="P79" s="499"/>
      <c r="Q79" s="499"/>
      <c r="R79" s="500"/>
      <c r="W79" s="498" t="s">
        <v>40</v>
      </c>
      <c r="X79" s="499"/>
      <c r="Y79" s="499"/>
      <c r="Z79" s="500"/>
      <c r="AA79" s="498" t="s">
        <v>11</v>
      </c>
      <c r="AB79" s="499"/>
      <c r="AC79" s="499"/>
      <c r="AD79" s="500"/>
      <c r="AE79" s="498" t="s">
        <v>41</v>
      </c>
      <c r="AF79" s="499"/>
      <c r="AG79" s="499"/>
      <c r="AH79" s="500"/>
      <c r="AM79" s="498" t="s">
        <v>42</v>
      </c>
      <c r="AN79" s="499"/>
      <c r="AO79" s="499"/>
      <c r="AP79" s="500"/>
      <c r="AQ79" s="498" t="s">
        <v>43</v>
      </c>
      <c r="AR79" s="499"/>
      <c r="AS79" s="499"/>
      <c r="AT79" s="500"/>
      <c r="AU79" s="498" t="s">
        <v>44</v>
      </c>
      <c r="AV79" s="499"/>
      <c r="AW79" s="499"/>
      <c r="AX79" s="500"/>
      <c r="BC79" s="498" t="s">
        <v>45</v>
      </c>
      <c r="BD79" s="499"/>
      <c r="BE79" s="499"/>
      <c r="BF79" s="500"/>
      <c r="BG79" s="498" t="s">
        <v>46</v>
      </c>
      <c r="BH79" s="499"/>
      <c r="BI79" s="499"/>
      <c r="BJ79" s="500"/>
      <c r="BK79" s="498" t="s">
        <v>47</v>
      </c>
      <c r="BL79" s="499"/>
      <c r="BM79" s="499"/>
      <c r="BN79" s="500"/>
      <c r="CG79" s="547"/>
      <c r="CH79" s="548"/>
      <c r="CI79" s="548"/>
      <c r="CJ79" s="549"/>
      <c r="CK79" s="532"/>
      <c r="CL79" s="533"/>
      <c r="CM79" s="533"/>
      <c r="CN79" s="534"/>
      <c r="CO79" s="532"/>
      <c r="CP79" s="533"/>
      <c r="CQ79" s="533"/>
      <c r="CR79" s="534"/>
      <c r="CS79" s="532"/>
      <c r="CT79" s="533"/>
      <c r="CU79" s="533"/>
      <c r="CV79" s="534"/>
      <c r="CX79" s="569"/>
      <c r="CY79" s="570"/>
      <c r="CZ79" s="570"/>
      <c r="DA79" s="571"/>
      <c r="DB79" s="532"/>
      <c r="DC79" s="533"/>
      <c r="DD79" s="533"/>
      <c r="DE79" s="534"/>
      <c r="DF79" s="532"/>
      <c r="DG79" s="533"/>
      <c r="DH79" s="533"/>
      <c r="DI79" s="534"/>
      <c r="DJ79" s="532"/>
      <c r="DK79" s="533"/>
      <c r="DL79" s="533"/>
      <c r="DM79" s="534"/>
    </row>
    <row r="80" spans="1:117" ht="15.75" hidden="1" customHeight="1" thickBot="1" x14ac:dyDescent="0.3">
      <c r="A80" s="525"/>
      <c r="B80" s="526"/>
      <c r="C80" s="374"/>
      <c r="D80" s="374"/>
      <c r="E80" s="374"/>
      <c r="F80" s="536"/>
      <c r="G80" s="288">
        <v>2022</v>
      </c>
      <c r="H80" s="289">
        <v>2023</v>
      </c>
      <c r="I80" s="289">
        <v>2024</v>
      </c>
      <c r="J80" s="290">
        <v>2025</v>
      </c>
      <c r="K80" s="288">
        <v>2022</v>
      </c>
      <c r="L80" s="289">
        <v>2023</v>
      </c>
      <c r="M80" s="289">
        <v>2024</v>
      </c>
      <c r="N80" s="290">
        <v>2025</v>
      </c>
      <c r="O80" s="288">
        <v>2022</v>
      </c>
      <c r="P80" s="289">
        <v>2023</v>
      </c>
      <c r="Q80" s="289">
        <v>2024</v>
      </c>
      <c r="R80" s="290">
        <v>2025</v>
      </c>
      <c r="W80" s="288">
        <v>2022</v>
      </c>
      <c r="X80" s="289">
        <v>2023</v>
      </c>
      <c r="Y80" s="289">
        <v>2024</v>
      </c>
      <c r="Z80" s="290">
        <v>2025</v>
      </c>
      <c r="AA80" s="288">
        <v>2022</v>
      </c>
      <c r="AB80" s="289">
        <v>2023</v>
      </c>
      <c r="AC80" s="289">
        <v>2024</v>
      </c>
      <c r="AD80" s="290">
        <v>2025</v>
      </c>
      <c r="AE80" s="288">
        <v>2022</v>
      </c>
      <c r="AF80" s="289">
        <v>2023</v>
      </c>
      <c r="AG80" s="289">
        <v>2024</v>
      </c>
      <c r="AH80" s="290">
        <v>2025</v>
      </c>
      <c r="AM80" s="288">
        <v>2022</v>
      </c>
      <c r="AN80" s="289">
        <v>2023</v>
      </c>
      <c r="AO80" s="289">
        <v>2024</v>
      </c>
      <c r="AP80" s="290">
        <v>2025</v>
      </c>
      <c r="AQ80" s="288">
        <v>2022</v>
      </c>
      <c r="AR80" s="289">
        <v>2023</v>
      </c>
      <c r="AS80" s="289">
        <v>2024</v>
      </c>
      <c r="AT80" s="290">
        <v>2025</v>
      </c>
      <c r="AU80" s="288">
        <v>2022</v>
      </c>
      <c r="AV80" s="289">
        <v>2023</v>
      </c>
      <c r="AW80" s="289">
        <v>2024</v>
      </c>
      <c r="AX80" s="290">
        <v>2025</v>
      </c>
      <c r="BC80" s="288">
        <v>2022</v>
      </c>
      <c r="BD80" s="289">
        <v>2023</v>
      </c>
      <c r="BE80" s="289">
        <v>2024</v>
      </c>
      <c r="BF80" s="290">
        <v>2025</v>
      </c>
      <c r="BG80" s="288">
        <v>2022</v>
      </c>
      <c r="BH80" s="289">
        <v>2023</v>
      </c>
      <c r="BI80" s="289">
        <v>2024</v>
      </c>
      <c r="BJ80" s="290">
        <v>2025</v>
      </c>
      <c r="BK80" s="288">
        <v>2022</v>
      </c>
      <c r="BL80" s="289">
        <v>2023</v>
      </c>
      <c r="BM80" s="289">
        <v>2024</v>
      </c>
      <c r="BN80" s="290">
        <v>2025</v>
      </c>
      <c r="CG80" s="288">
        <v>2022</v>
      </c>
      <c r="CH80" s="289">
        <v>2023</v>
      </c>
      <c r="CI80" s="289">
        <v>2024</v>
      </c>
      <c r="CJ80" s="290">
        <v>2025</v>
      </c>
      <c r="CK80" s="288">
        <v>2022</v>
      </c>
      <c r="CL80" s="289">
        <v>2023</v>
      </c>
      <c r="CM80" s="289">
        <v>2024</v>
      </c>
      <c r="CN80" s="290">
        <v>2025</v>
      </c>
      <c r="CO80" s="288">
        <v>2022</v>
      </c>
      <c r="CP80" s="289">
        <v>2023</v>
      </c>
      <c r="CQ80" s="289">
        <v>2024</v>
      </c>
      <c r="CR80" s="290">
        <v>2025</v>
      </c>
      <c r="CS80" s="288">
        <v>2022</v>
      </c>
      <c r="CT80" s="289">
        <v>2023</v>
      </c>
      <c r="CU80" s="289">
        <v>2024</v>
      </c>
      <c r="CV80" s="290">
        <v>2025</v>
      </c>
      <c r="CX80" s="313">
        <v>2022</v>
      </c>
      <c r="CY80" s="314">
        <v>2023</v>
      </c>
      <c r="CZ80" s="314">
        <v>2024</v>
      </c>
      <c r="DA80" s="315">
        <v>2025</v>
      </c>
      <c r="DB80" s="288">
        <v>2022</v>
      </c>
      <c r="DC80" s="289">
        <v>2023</v>
      </c>
      <c r="DD80" s="289">
        <v>2024</v>
      </c>
      <c r="DE80" s="290">
        <v>2025</v>
      </c>
      <c r="DF80" s="288">
        <v>2022</v>
      </c>
      <c r="DG80" s="289">
        <v>2023</v>
      </c>
      <c r="DH80" s="289">
        <v>2024</v>
      </c>
      <c r="DI80" s="290">
        <v>2025</v>
      </c>
      <c r="DJ80" s="288">
        <v>2022</v>
      </c>
      <c r="DK80" s="289">
        <v>2023</v>
      </c>
      <c r="DL80" s="289">
        <v>2024</v>
      </c>
      <c r="DM80" s="608">
        <v>2025</v>
      </c>
    </row>
    <row r="81" spans="1:117" ht="15" hidden="1" customHeight="1" x14ac:dyDescent="0.25">
      <c r="A81" s="520" t="s">
        <v>21</v>
      </c>
      <c r="B81" s="23">
        <v>1</v>
      </c>
      <c r="C81" s="367"/>
      <c r="D81" s="367"/>
      <c r="E81" s="367"/>
      <c r="F81" s="367">
        <v>53.2</v>
      </c>
      <c r="G81" s="281">
        <f t="shared" ref="G81:G117" si="164">VLOOKUP(B81,year2022to23,72,FALSE)</f>
        <v>62.09</v>
      </c>
      <c r="H81" s="282">
        <f t="shared" ref="H81:H117" si="165">VLOOKUP(B81,year2022to23,132,FALSE)</f>
        <v>93.17</v>
      </c>
      <c r="I81" s="282">
        <f t="shared" ref="I81:I117" si="166">VLOOKUP(B81,year2022to23,192,FALSE)</f>
        <v>36.94</v>
      </c>
      <c r="J81" s="283">
        <f t="shared" ref="J81:J117" si="167">VLOOKUP(B81,year2022to23,252,FALSE)</f>
        <v>69.42</v>
      </c>
      <c r="K81" s="281">
        <f t="shared" ref="K81:K117" si="168">VLOOKUP(B81,year2022to23,77,FALSE)</f>
        <v>55.72</v>
      </c>
      <c r="L81" s="282">
        <f t="shared" ref="L81:L117" si="169">VLOOKUP(B81,year2022to23,137,FALSE)</f>
        <v>56.28</v>
      </c>
      <c r="M81" s="282">
        <f t="shared" ref="M81:M117" si="170">VLOOKUP(B81,year2022to23,197,FALSE)</f>
        <v>39.44</v>
      </c>
      <c r="N81" s="283">
        <f t="shared" ref="N81:N117" si="171">VLOOKUP(B81,year2022to23,257,FALSE)</f>
        <v>43.2</v>
      </c>
      <c r="O81" s="281">
        <f t="shared" ref="O81:O117" si="172">VLOOKUP(B81,year2022to23,82,FALSE)</f>
        <v>43.06</v>
      </c>
      <c r="P81" s="282">
        <f t="shared" ref="P81:P117" si="173">VLOOKUP(B81,year2022to23,142,FALSE)</f>
        <v>31.12</v>
      </c>
      <c r="Q81" s="282">
        <f t="shared" ref="Q81:Q117" si="174">VLOOKUP(B81,year2022to23,202,FALSE)</f>
        <v>27.55</v>
      </c>
      <c r="R81" s="283">
        <f t="shared" ref="R81:R117" si="175">VLOOKUP(B81,year2022to23,262,FALSE)</f>
        <v>71.900000000000006</v>
      </c>
      <c r="W81" s="281">
        <f t="shared" ref="W81:W117" si="176">VLOOKUP(B81,year2022to23,87,FALSE)</f>
        <v>87.37</v>
      </c>
      <c r="X81" s="282">
        <f t="shared" ref="X81:X117" si="177">VLOOKUP(B81,year2022to23,147,FALSE)</f>
        <v>36.07</v>
      </c>
      <c r="Y81" s="282">
        <f t="shared" ref="Y81:Y117" si="178">VLOOKUP(B81,year2022to23,207,FALSE)</f>
        <v>34.130000000000003</v>
      </c>
      <c r="Z81" s="283">
        <f t="shared" ref="Z81:Z117" si="179">VLOOKUP(B81,year2022to23,267,FALSE)</f>
        <v>82.490000000000009</v>
      </c>
      <c r="AA81" s="281">
        <f t="shared" ref="AA81:AA117" si="180">VLOOKUP(B81,year2022to23,92,FALSE)</f>
        <v>52.38</v>
      </c>
      <c r="AB81" s="282">
        <f t="shared" ref="AB81:AB117" si="181">VLOOKUP(B81,year2022to23,152,FALSE)</f>
        <v>50.52</v>
      </c>
      <c r="AC81" s="282">
        <f t="shared" ref="AC81:AC117" si="182">VLOOKUP(B81,year2022to23,212,FALSE)</f>
        <v>58.91</v>
      </c>
      <c r="AD81" s="283">
        <f t="shared" ref="AD81:AD117" si="183">VLOOKUP(B81,year2022to23,272,FALSE)</f>
        <v>84.13</v>
      </c>
      <c r="AE81" s="281">
        <f t="shared" ref="AE81:AE117" si="184">VLOOKUP(B81,year2022to23,97,FALSE)</f>
        <v>54.89</v>
      </c>
      <c r="AF81" s="282">
        <f t="shared" ref="AF81:AF117" si="185">VLOOKUP(B81,year2022to23,157,FALSE)</f>
        <v>55.36</v>
      </c>
      <c r="AG81" s="282">
        <f t="shared" ref="AG81:AG117" si="186">VLOOKUP(B81,year2022to23,217,FALSE)</f>
        <v>54.04</v>
      </c>
      <c r="AH81" s="283">
        <f t="shared" ref="AH81:AH117" si="187">VLOOKUP(B81,year2022to23,277,FALSE)</f>
        <v>52.52</v>
      </c>
      <c r="AM81" s="281">
        <f t="shared" ref="AM81:AM117" si="188">VLOOKUP(B81,year2022to23,102,FALSE)</f>
        <v>67.599999999999994</v>
      </c>
      <c r="AN81" s="282">
        <f t="shared" ref="AN81:AN117" si="189">VLOOKUP(B81,year2022to23,162,FALSE)</f>
        <v>46.79</v>
      </c>
      <c r="AO81" s="282">
        <f t="shared" ref="AO81:AO117" si="190">VLOOKUP(B81,year2022to23,222,FALSE)</f>
        <v>44.8</v>
      </c>
      <c r="AP81" s="283">
        <f t="shared" ref="AP81:AP117" si="191">VLOOKUP(B81,year2022to23,282,FALSE)</f>
        <v>45.54</v>
      </c>
      <c r="AQ81" s="281">
        <f t="shared" ref="AQ81:AQ117" si="192">VLOOKUP(B81,year2022to23,107,FALSE)</f>
        <v>45.84</v>
      </c>
      <c r="AR81" s="282">
        <f t="shared" ref="AR81:AR117" si="193">VLOOKUP(B81,year2022to23,167,FALSE)</f>
        <v>54.7</v>
      </c>
      <c r="AS81" s="282">
        <f t="shared" ref="AS81:AS117" si="194">VLOOKUP(B81,year2022to23,227,FALSE)</f>
        <v>65.94</v>
      </c>
      <c r="AT81" s="283">
        <f t="shared" ref="AT81:AT117" si="195">IFERROR(VLOOKUP(B81,year2022to23,287,FALSE),0)</f>
        <v>64.97999999999999</v>
      </c>
      <c r="AU81" s="281">
        <f t="shared" ref="AU81:AU117" si="196">VLOOKUP(B81,year2022to23,112,FALSE)</f>
        <v>70.95</v>
      </c>
      <c r="AV81" s="282">
        <f t="shared" ref="AV81:AV117" si="197">VLOOKUP(B81,year2022to23,172,FALSE)</f>
        <v>66.5</v>
      </c>
      <c r="AW81" s="282">
        <f t="shared" ref="AW81:AW117" si="198">VLOOKUP(B81,year2022to23,232,FALSE)</f>
        <v>51.120000000000005</v>
      </c>
      <c r="AX81" s="283"/>
      <c r="BC81" s="281">
        <f t="shared" ref="BC81:BC117" si="199">VLOOKUP(B81,year2022to23,117,FALSE)</f>
        <v>71.67</v>
      </c>
      <c r="BD81" s="282">
        <f t="shared" ref="BD81:BD117" si="200">VLOOKUP(B81,year2022to23,177,FALSE)</f>
        <v>74.05</v>
      </c>
      <c r="BE81" s="282">
        <f t="shared" ref="BE81:BE117" si="201">VLOOKUP(B81,year2022to23,237,FALSE)</f>
        <v>108.35</v>
      </c>
      <c r="BF81" s="283"/>
      <c r="BG81" s="281">
        <f t="shared" ref="BG81:BG117" si="202">VLOOKUP(B81,year2022to23,122,FALSE)</f>
        <v>65.84</v>
      </c>
      <c r="BH81" s="282">
        <f t="shared" ref="BH81:BH117" si="203">VLOOKUP(B81,year2022to23,182,FALSE)</f>
        <v>83.77000000000001</v>
      </c>
      <c r="BI81" s="282">
        <f t="shared" ref="BI81:BI117" si="204">VLOOKUP(B81,year2022to23,242,FALSE)</f>
        <v>103.85</v>
      </c>
      <c r="BJ81" s="283"/>
      <c r="BK81" s="281">
        <f t="shared" ref="BK81:BK117" si="205">VLOOKUP(B81,year2022to23,127,FALSE)</f>
        <v>98.16</v>
      </c>
      <c r="BL81" s="282">
        <f t="shared" ref="BL81:BL117" si="206">VLOOKUP(B81,year2022to23,187,FALSE)</f>
        <v>57.010000000000005</v>
      </c>
      <c r="BM81" s="282">
        <f t="shared" ref="BM81:BM117" si="207">VLOOKUP(B81,year2022to23,247,FALSE)</f>
        <v>82.070000000000007</v>
      </c>
      <c r="BN81" s="283"/>
      <c r="CG81" s="281">
        <f t="shared" ref="CG81:CG118" si="208">G81+K81+O81</f>
        <v>160.87</v>
      </c>
      <c r="CH81" s="281">
        <f t="shared" ref="CH81:CH118" si="209">H81+L81+P81</f>
        <v>180.57</v>
      </c>
      <c r="CI81" s="281">
        <f t="shared" ref="CI81:CI118" si="210">I81+M81+Q81</f>
        <v>103.92999999999999</v>
      </c>
      <c r="CJ81" s="293">
        <f t="shared" ref="CJ81:CJ118" si="211">J81+N81+R81</f>
        <v>184.52</v>
      </c>
      <c r="CK81" s="281">
        <f t="shared" ref="CK81:CK118" si="212">CG81+W81+AA81+AE81</f>
        <v>355.51</v>
      </c>
      <c r="CL81" s="281">
        <f t="shared" ref="CL81:CL118" si="213">CH81+X81+AB81+AF81</f>
        <v>322.52</v>
      </c>
      <c r="CM81" s="281">
        <f t="shared" ref="CM81:CM118" si="214">CI81+Y81+AC81+AG81</f>
        <v>251.01</v>
      </c>
      <c r="CN81" s="281">
        <f t="shared" ref="CN81:CN118" si="215">CJ81+Z81+AD81+AH81</f>
        <v>403.65999999999997</v>
      </c>
      <c r="CO81" s="281">
        <f t="shared" ref="CO81:CO118" si="216">CK81+AM81+AQ81+AU81</f>
        <v>539.90000000000009</v>
      </c>
      <c r="CP81" s="281">
        <f t="shared" ref="CP81:CP118" si="217">CL81+AN81+AR81+AV81</f>
        <v>490.51</v>
      </c>
      <c r="CQ81" s="281">
        <f t="shared" ref="CQ81:CQ118" si="218">CM81+AO81+AS81+AW81</f>
        <v>412.87</v>
      </c>
      <c r="CR81" s="281">
        <f t="shared" ref="CR81:CR118" si="219">CN81+AP81+AT81+AX81</f>
        <v>514.17999999999995</v>
      </c>
      <c r="CS81" s="281">
        <f t="shared" ref="CS81:CS118" si="220">CO81+BC81+BG81+BK81</f>
        <v>775.57</v>
      </c>
      <c r="CT81" s="281">
        <f t="shared" ref="CT81:CT118" si="221">CP81+BD81+BH81+BL81</f>
        <v>705.33999999999992</v>
      </c>
      <c r="CU81" s="281">
        <f t="shared" ref="CU81:CU118" si="222">CQ81+BE81+BI81+BM81</f>
        <v>707.1400000000001</v>
      </c>
      <c r="CV81" s="281">
        <f t="shared" ref="CV81:CV118" si="223">CR81+BF81+BJ81+BN81</f>
        <v>514.17999999999995</v>
      </c>
      <c r="CX81" s="316">
        <f t="shared" ref="CX81:CX118" si="224">X81+AB81+AF81</f>
        <v>141.94999999999999</v>
      </c>
      <c r="CY81" s="316">
        <f t="shared" ref="CY81:CY118" si="225">Y81+AC81+AG81</f>
        <v>147.07999999999998</v>
      </c>
      <c r="CZ81" s="316">
        <f t="shared" ref="CZ81:CZ118" si="226">Z81+AD81+AH81</f>
        <v>219.14000000000001</v>
      </c>
      <c r="DA81" s="318">
        <f t="shared" ref="DA81:DA118" si="227">AA81+AE81+AI81</f>
        <v>107.27000000000001</v>
      </c>
      <c r="DB81" s="281">
        <f t="shared" ref="DB81:DB118" si="228">CX81+AN81+AR81+AV81</f>
        <v>309.94</v>
      </c>
      <c r="DC81" s="281">
        <f t="shared" ref="DC81:DC118" si="229">CY81+AO81+AS81+AW81</f>
        <v>308.94</v>
      </c>
      <c r="DD81" s="281">
        <f t="shared" ref="DD81:DD118" si="230">CZ81+AP81+AT81+AX81</f>
        <v>329.65999999999997</v>
      </c>
      <c r="DE81" s="281">
        <f t="shared" ref="DE81:DE118" si="231">DA81+AQ81+AU81+AY81</f>
        <v>224.06</v>
      </c>
      <c r="DF81" s="281">
        <f t="shared" ref="DF81:DF118" si="232">DB81+BD81+BH81+BL81</f>
        <v>524.77</v>
      </c>
      <c r="DG81" s="281">
        <f t="shared" ref="DG81:DG118" si="233">DC81+BE81+BI81+BM81</f>
        <v>603.21</v>
      </c>
      <c r="DH81" s="281">
        <f t="shared" ref="DH81:DH118" si="234">DD81+BF81+BJ81+BN81</f>
        <v>329.65999999999997</v>
      </c>
      <c r="DI81" s="281">
        <f t="shared" ref="DI81:DI118" si="235">DE81+BG81+BK81+BO81</f>
        <v>388.05999999999995</v>
      </c>
      <c r="DJ81" s="281">
        <f t="shared" ref="DJ81:DJ118" si="236">DF81+BT81+BX81+CB81</f>
        <v>524.77</v>
      </c>
      <c r="DK81" s="281">
        <f t="shared" ref="DK81:DK118" si="237">DG81+BU81+BY81+CC81</f>
        <v>603.21</v>
      </c>
      <c r="DL81" s="281">
        <f t="shared" ref="DL81:DL118" si="238">DH81+BV81+BZ81+CD81</f>
        <v>329.65999999999997</v>
      </c>
      <c r="DM81" s="326">
        <f t="shared" ref="DM81:DM118" si="239">DI81+BW81+CA81+CE81</f>
        <v>388.05999999999995</v>
      </c>
    </row>
    <row r="82" spans="1:117" ht="15" hidden="1" customHeight="1" x14ac:dyDescent="0.25">
      <c r="A82" s="521"/>
      <c r="B82" s="55">
        <v>2</v>
      </c>
      <c r="C82" s="368"/>
      <c r="D82" s="368"/>
      <c r="E82" s="368"/>
      <c r="F82" s="368">
        <v>60.4</v>
      </c>
      <c r="G82" s="281">
        <f t="shared" si="164"/>
        <v>51.989999999999995</v>
      </c>
      <c r="H82" s="282">
        <f t="shared" si="165"/>
        <v>60.95</v>
      </c>
      <c r="I82" s="282">
        <f t="shared" si="166"/>
        <v>72.94</v>
      </c>
      <c r="J82" s="283">
        <f t="shared" si="167"/>
        <v>64.36</v>
      </c>
      <c r="K82" s="281">
        <f t="shared" si="168"/>
        <v>43.8</v>
      </c>
      <c r="L82" s="282">
        <f t="shared" si="169"/>
        <v>64.849999999999994</v>
      </c>
      <c r="M82" s="282">
        <f t="shared" si="170"/>
        <v>36.26</v>
      </c>
      <c r="N82" s="283">
        <f t="shared" si="171"/>
        <v>79.91</v>
      </c>
      <c r="O82" s="281">
        <f t="shared" si="172"/>
        <v>65.31</v>
      </c>
      <c r="P82" s="282">
        <f t="shared" si="173"/>
        <v>58.69</v>
      </c>
      <c r="Q82" s="282">
        <f t="shared" si="174"/>
        <v>39.31</v>
      </c>
      <c r="R82" s="283">
        <f t="shared" si="175"/>
        <v>91.039999999999992</v>
      </c>
      <c r="W82" s="281">
        <f t="shared" si="176"/>
        <v>51.57</v>
      </c>
      <c r="X82" s="282">
        <f t="shared" si="177"/>
        <v>40.72</v>
      </c>
      <c r="Y82" s="282">
        <f t="shared" si="178"/>
        <v>55.739999999999995</v>
      </c>
      <c r="Z82" s="283">
        <f t="shared" si="179"/>
        <v>74.37</v>
      </c>
      <c r="AA82" s="281">
        <f t="shared" si="180"/>
        <v>45</v>
      </c>
      <c r="AB82" s="282">
        <f t="shared" si="181"/>
        <v>44.45</v>
      </c>
      <c r="AC82" s="282">
        <f t="shared" si="182"/>
        <v>75.750000000000014</v>
      </c>
      <c r="AD82" s="283">
        <f t="shared" si="183"/>
        <v>93.050000000000011</v>
      </c>
      <c r="AE82" s="281">
        <f t="shared" si="184"/>
        <v>49.9</v>
      </c>
      <c r="AF82" s="282">
        <f t="shared" si="185"/>
        <v>37.950000000000003</v>
      </c>
      <c r="AG82" s="282">
        <f t="shared" si="186"/>
        <v>63.910000000000004</v>
      </c>
      <c r="AH82" s="283">
        <f t="shared" si="187"/>
        <v>39.56</v>
      </c>
      <c r="AM82" s="281">
        <f t="shared" si="188"/>
        <v>40.17</v>
      </c>
      <c r="AN82" s="282">
        <f t="shared" si="189"/>
        <v>46.84</v>
      </c>
      <c r="AO82" s="282">
        <f t="shared" si="190"/>
        <v>51.46</v>
      </c>
      <c r="AP82" s="283">
        <f t="shared" si="191"/>
        <v>57.839999999999996</v>
      </c>
      <c r="AQ82" s="281">
        <f t="shared" si="192"/>
        <v>57.61</v>
      </c>
      <c r="AR82" s="282">
        <f t="shared" si="193"/>
        <v>52.89</v>
      </c>
      <c r="AS82" s="282">
        <f t="shared" si="194"/>
        <v>107.30000000000001</v>
      </c>
      <c r="AT82" s="283">
        <f t="shared" si="195"/>
        <v>51.16</v>
      </c>
      <c r="AU82" s="281">
        <f t="shared" si="196"/>
        <v>45.47</v>
      </c>
      <c r="AV82" s="282">
        <f t="shared" si="197"/>
        <v>63.92</v>
      </c>
      <c r="AW82" s="282">
        <f t="shared" si="198"/>
        <v>75.03</v>
      </c>
      <c r="AX82" s="283"/>
      <c r="BC82" s="281">
        <f t="shared" si="199"/>
        <v>85.67</v>
      </c>
      <c r="BD82" s="282">
        <f t="shared" si="200"/>
        <v>67.58</v>
      </c>
      <c r="BE82" s="282">
        <f t="shared" si="201"/>
        <v>84.31</v>
      </c>
      <c r="BF82" s="283"/>
      <c r="BG82" s="281">
        <f t="shared" si="202"/>
        <v>59.79</v>
      </c>
      <c r="BH82" s="282">
        <f t="shared" si="203"/>
        <v>73.8</v>
      </c>
      <c r="BI82" s="282">
        <f t="shared" si="204"/>
        <v>95.713999999999999</v>
      </c>
      <c r="BJ82" s="283"/>
      <c r="BK82" s="281">
        <f t="shared" si="205"/>
        <v>67.02000000000001</v>
      </c>
      <c r="BL82" s="282">
        <f t="shared" si="206"/>
        <v>89.22</v>
      </c>
      <c r="BM82" s="282">
        <f t="shared" si="207"/>
        <v>70.989999999999995</v>
      </c>
      <c r="BN82" s="283"/>
      <c r="CG82" s="281">
        <f t="shared" si="208"/>
        <v>161.1</v>
      </c>
      <c r="CH82" s="281">
        <f t="shared" si="209"/>
        <v>184.49</v>
      </c>
      <c r="CI82" s="281">
        <f t="shared" si="210"/>
        <v>148.51</v>
      </c>
      <c r="CJ82" s="293">
        <f t="shared" si="211"/>
        <v>235.30999999999997</v>
      </c>
      <c r="CK82" s="281">
        <f t="shared" si="212"/>
        <v>307.56999999999994</v>
      </c>
      <c r="CL82" s="281">
        <f t="shared" si="213"/>
        <v>307.61</v>
      </c>
      <c r="CM82" s="281">
        <f t="shared" si="214"/>
        <v>343.91</v>
      </c>
      <c r="CN82" s="293">
        <f t="shared" si="215"/>
        <v>442.28999999999996</v>
      </c>
      <c r="CO82" s="281">
        <f t="shared" si="216"/>
        <v>450.81999999999994</v>
      </c>
      <c r="CP82" s="281">
        <f t="shared" si="217"/>
        <v>471.26000000000005</v>
      </c>
      <c r="CQ82" s="281">
        <f t="shared" si="218"/>
        <v>577.70000000000005</v>
      </c>
      <c r="CR82" s="293">
        <f t="shared" si="219"/>
        <v>551.29</v>
      </c>
      <c r="CS82" s="281">
        <f t="shared" si="220"/>
        <v>663.29999999999984</v>
      </c>
      <c r="CT82" s="281">
        <f t="shared" si="221"/>
        <v>701.86</v>
      </c>
      <c r="CU82" s="281">
        <f t="shared" si="222"/>
        <v>828.71399999999994</v>
      </c>
      <c r="CV82" s="293">
        <f t="shared" si="223"/>
        <v>551.29</v>
      </c>
      <c r="CX82" s="316">
        <f t="shared" si="224"/>
        <v>123.12</v>
      </c>
      <c r="CY82" s="316">
        <f t="shared" si="225"/>
        <v>195.4</v>
      </c>
      <c r="CZ82" s="316">
        <f t="shared" si="226"/>
        <v>206.98000000000002</v>
      </c>
      <c r="DA82" s="318">
        <f t="shared" si="227"/>
        <v>94.9</v>
      </c>
      <c r="DB82" s="281">
        <f t="shared" si="228"/>
        <v>286.77000000000004</v>
      </c>
      <c r="DC82" s="281">
        <f t="shared" si="229"/>
        <v>429.19000000000005</v>
      </c>
      <c r="DD82" s="281">
        <f t="shared" si="230"/>
        <v>315.98</v>
      </c>
      <c r="DE82" s="293">
        <f t="shared" si="231"/>
        <v>197.98</v>
      </c>
      <c r="DF82" s="281">
        <f t="shared" si="232"/>
        <v>517.37</v>
      </c>
      <c r="DG82" s="281">
        <f t="shared" si="233"/>
        <v>680.20399999999995</v>
      </c>
      <c r="DH82" s="281">
        <f t="shared" si="234"/>
        <v>315.98</v>
      </c>
      <c r="DI82" s="293">
        <f t="shared" si="235"/>
        <v>324.78999999999996</v>
      </c>
      <c r="DJ82" s="281">
        <f t="shared" si="236"/>
        <v>517.37</v>
      </c>
      <c r="DK82" s="281">
        <f t="shared" si="237"/>
        <v>680.20399999999995</v>
      </c>
      <c r="DL82" s="281">
        <f t="shared" si="238"/>
        <v>315.98</v>
      </c>
      <c r="DM82" s="609">
        <f t="shared" si="239"/>
        <v>324.78999999999996</v>
      </c>
    </row>
    <row r="83" spans="1:117" ht="15" hidden="1" customHeight="1" x14ac:dyDescent="0.25">
      <c r="A83" s="521"/>
      <c r="B83" s="55">
        <v>3</v>
      </c>
      <c r="C83" s="368"/>
      <c r="D83" s="368"/>
      <c r="E83" s="368"/>
      <c r="F83" s="368">
        <v>69.2</v>
      </c>
      <c r="G83" s="281">
        <f t="shared" si="164"/>
        <v>47.6</v>
      </c>
      <c r="H83" s="282">
        <f t="shared" si="165"/>
        <v>58.34</v>
      </c>
      <c r="I83" s="282">
        <f t="shared" si="166"/>
        <v>71.239999999999995</v>
      </c>
      <c r="J83" s="283">
        <f t="shared" si="167"/>
        <v>53.85</v>
      </c>
      <c r="K83" s="281">
        <f t="shared" si="168"/>
        <v>40.200000000000003</v>
      </c>
      <c r="L83" s="282">
        <f t="shared" si="169"/>
        <v>61.71</v>
      </c>
      <c r="M83" s="282">
        <f t="shared" si="170"/>
        <v>38.61</v>
      </c>
      <c r="N83" s="283">
        <f t="shared" si="171"/>
        <v>79.23</v>
      </c>
      <c r="O83" s="281">
        <f t="shared" si="172"/>
        <v>76.539999999999992</v>
      </c>
      <c r="P83" s="282">
        <f t="shared" si="173"/>
        <v>79.849999999999994</v>
      </c>
      <c r="Q83" s="282">
        <f t="shared" si="174"/>
        <v>15.600000000000001</v>
      </c>
      <c r="R83" s="283">
        <f t="shared" si="175"/>
        <v>59.150000000000006</v>
      </c>
      <c r="W83" s="281">
        <f t="shared" si="176"/>
        <v>52.65</v>
      </c>
      <c r="X83" s="282">
        <f t="shared" si="177"/>
        <v>32.980000000000004</v>
      </c>
      <c r="Y83" s="282">
        <f t="shared" si="178"/>
        <v>49.739999999999995</v>
      </c>
      <c r="Z83" s="283">
        <f t="shared" si="179"/>
        <v>104.87</v>
      </c>
      <c r="AA83" s="281">
        <f t="shared" si="180"/>
        <v>81.28</v>
      </c>
      <c r="AB83" s="282">
        <f t="shared" si="181"/>
        <v>60.01</v>
      </c>
      <c r="AC83" s="282">
        <f t="shared" si="182"/>
        <v>60.55</v>
      </c>
      <c r="AD83" s="283">
        <f t="shared" si="183"/>
        <v>73.77000000000001</v>
      </c>
      <c r="AE83" s="281">
        <f t="shared" si="184"/>
        <v>62.95</v>
      </c>
      <c r="AF83" s="282">
        <f t="shared" si="185"/>
        <v>57.480000000000004</v>
      </c>
      <c r="AG83" s="282">
        <f t="shared" si="186"/>
        <v>57.660000000000004</v>
      </c>
      <c r="AH83" s="283">
        <f t="shared" si="187"/>
        <v>65.569999999999993</v>
      </c>
      <c r="AM83" s="281">
        <f t="shared" si="188"/>
        <v>56.239999999999995</v>
      </c>
      <c r="AN83" s="282">
        <f t="shared" si="189"/>
        <v>76.739999999999995</v>
      </c>
      <c r="AO83" s="282">
        <f t="shared" si="190"/>
        <v>65.39</v>
      </c>
      <c r="AP83" s="283">
        <f t="shared" si="191"/>
        <v>75.8</v>
      </c>
      <c r="AQ83" s="281">
        <f t="shared" si="192"/>
        <v>95.52000000000001</v>
      </c>
      <c r="AR83" s="282">
        <f t="shared" si="193"/>
        <v>73.83</v>
      </c>
      <c r="AS83" s="282">
        <f t="shared" si="194"/>
        <v>114.25</v>
      </c>
      <c r="AT83" s="283">
        <f t="shared" si="195"/>
        <v>92.330000000000013</v>
      </c>
      <c r="AU83" s="281">
        <f t="shared" si="196"/>
        <v>119.56</v>
      </c>
      <c r="AV83" s="282">
        <f t="shared" si="197"/>
        <v>109.43</v>
      </c>
      <c r="AW83" s="282">
        <f t="shared" si="198"/>
        <v>93.92</v>
      </c>
      <c r="AX83" s="283"/>
      <c r="BC83" s="281">
        <f t="shared" si="199"/>
        <v>166.7</v>
      </c>
      <c r="BD83" s="282">
        <f t="shared" si="200"/>
        <v>113.9</v>
      </c>
      <c r="BE83" s="282">
        <f t="shared" si="201"/>
        <v>146.82</v>
      </c>
      <c r="BF83" s="283"/>
      <c r="BG83" s="281">
        <f t="shared" si="202"/>
        <v>83.02</v>
      </c>
      <c r="BH83" s="282">
        <f t="shared" si="203"/>
        <v>71.92</v>
      </c>
      <c r="BI83" s="282">
        <f t="shared" si="204"/>
        <v>61.61</v>
      </c>
      <c r="BJ83" s="283"/>
      <c r="BK83" s="281">
        <f t="shared" si="205"/>
        <v>106.95</v>
      </c>
      <c r="BL83" s="282">
        <f t="shared" si="206"/>
        <v>53</v>
      </c>
      <c r="BM83" s="282">
        <f t="shared" si="207"/>
        <v>151.68</v>
      </c>
      <c r="BN83" s="283"/>
      <c r="CG83" s="281">
        <f t="shared" si="208"/>
        <v>164.34</v>
      </c>
      <c r="CH83" s="281">
        <f t="shared" si="209"/>
        <v>199.9</v>
      </c>
      <c r="CI83" s="281">
        <f t="shared" si="210"/>
        <v>125.44999999999999</v>
      </c>
      <c r="CJ83" s="293">
        <f t="shared" si="211"/>
        <v>192.23000000000002</v>
      </c>
      <c r="CK83" s="281">
        <f t="shared" si="212"/>
        <v>361.21999999999997</v>
      </c>
      <c r="CL83" s="281">
        <f t="shared" si="213"/>
        <v>350.37</v>
      </c>
      <c r="CM83" s="281">
        <f t="shared" si="214"/>
        <v>293.40000000000003</v>
      </c>
      <c r="CN83" s="293">
        <f t="shared" si="215"/>
        <v>436.44</v>
      </c>
      <c r="CO83" s="281">
        <f t="shared" si="216"/>
        <v>632.54</v>
      </c>
      <c r="CP83" s="281">
        <f t="shared" si="217"/>
        <v>610.37</v>
      </c>
      <c r="CQ83" s="281">
        <f t="shared" si="218"/>
        <v>566.96</v>
      </c>
      <c r="CR83" s="293">
        <f t="shared" si="219"/>
        <v>604.57000000000005</v>
      </c>
      <c r="CS83" s="281">
        <f t="shared" si="220"/>
        <v>989.21</v>
      </c>
      <c r="CT83" s="281">
        <f t="shared" si="221"/>
        <v>849.18999999999994</v>
      </c>
      <c r="CU83" s="281">
        <f t="shared" si="222"/>
        <v>927.06999999999994</v>
      </c>
      <c r="CV83" s="293">
        <f t="shared" si="223"/>
        <v>604.57000000000005</v>
      </c>
      <c r="CX83" s="316">
        <f t="shared" si="224"/>
        <v>150.47000000000003</v>
      </c>
      <c r="CY83" s="316">
        <f t="shared" si="225"/>
        <v>167.95</v>
      </c>
      <c r="CZ83" s="316">
        <f t="shared" si="226"/>
        <v>244.21</v>
      </c>
      <c r="DA83" s="318">
        <f t="shared" si="227"/>
        <v>144.23000000000002</v>
      </c>
      <c r="DB83" s="281">
        <f t="shared" si="228"/>
        <v>410.47</v>
      </c>
      <c r="DC83" s="281">
        <f t="shared" si="229"/>
        <v>441.51</v>
      </c>
      <c r="DD83" s="281">
        <f t="shared" si="230"/>
        <v>412.34000000000003</v>
      </c>
      <c r="DE83" s="293">
        <f t="shared" si="231"/>
        <v>359.31000000000006</v>
      </c>
      <c r="DF83" s="281">
        <f t="shared" si="232"/>
        <v>649.29</v>
      </c>
      <c r="DG83" s="281">
        <f t="shared" si="233"/>
        <v>801.61999999999989</v>
      </c>
      <c r="DH83" s="281">
        <f t="shared" si="234"/>
        <v>412.34000000000003</v>
      </c>
      <c r="DI83" s="293">
        <f t="shared" si="235"/>
        <v>549.28000000000009</v>
      </c>
      <c r="DJ83" s="281">
        <f t="shared" si="236"/>
        <v>649.29</v>
      </c>
      <c r="DK83" s="281">
        <f t="shared" si="237"/>
        <v>801.61999999999989</v>
      </c>
      <c r="DL83" s="281">
        <f t="shared" si="238"/>
        <v>412.34000000000003</v>
      </c>
      <c r="DM83" s="609">
        <f t="shared" si="239"/>
        <v>549.28000000000009</v>
      </c>
    </row>
    <row r="84" spans="1:117" ht="15" hidden="1" customHeight="1" x14ac:dyDescent="0.25">
      <c r="A84" s="521"/>
      <c r="B84" s="55">
        <v>4</v>
      </c>
      <c r="C84" s="368"/>
      <c r="D84" s="368"/>
      <c r="E84" s="368"/>
      <c r="F84" s="368">
        <v>70.599999999999994</v>
      </c>
      <c r="G84" s="281">
        <f t="shared" si="164"/>
        <v>92.69</v>
      </c>
      <c r="H84" s="282">
        <f t="shared" si="165"/>
        <v>115.94</v>
      </c>
      <c r="I84" s="282">
        <f t="shared" si="166"/>
        <v>76.839999999999989</v>
      </c>
      <c r="J84" s="283">
        <f t="shared" si="167"/>
        <v>106.11</v>
      </c>
      <c r="K84" s="281">
        <f t="shared" si="168"/>
        <v>53.92</v>
      </c>
      <c r="L84" s="282">
        <f t="shared" si="169"/>
        <v>57.12</v>
      </c>
      <c r="M84" s="282">
        <f t="shared" si="170"/>
        <v>55.71</v>
      </c>
      <c r="N84" s="283">
        <f t="shared" si="171"/>
        <v>64.010000000000005</v>
      </c>
      <c r="O84" s="281">
        <f t="shared" si="172"/>
        <v>63.88</v>
      </c>
      <c r="P84" s="282">
        <f t="shared" si="173"/>
        <v>67.13</v>
      </c>
      <c r="Q84" s="282">
        <f t="shared" si="174"/>
        <v>20.3</v>
      </c>
      <c r="R84" s="283">
        <f t="shared" si="175"/>
        <v>111.08000000000001</v>
      </c>
      <c r="W84" s="281">
        <f t="shared" si="176"/>
        <v>103.24</v>
      </c>
      <c r="X84" s="282">
        <f t="shared" si="177"/>
        <v>93.68</v>
      </c>
      <c r="Y84" s="282">
        <f t="shared" si="178"/>
        <v>54.88</v>
      </c>
      <c r="Z84" s="283">
        <f t="shared" si="179"/>
        <v>115.12</v>
      </c>
      <c r="AA84" s="281">
        <f t="shared" si="180"/>
        <v>81.430000000000007</v>
      </c>
      <c r="AB84" s="282">
        <f t="shared" si="181"/>
        <v>51.370000000000005</v>
      </c>
      <c r="AC84" s="282">
        <f t="shared" si="182"/>
        <v>76.83</v>
      </c>
      <c r="AD84" s="283">
        <f t="shared" si="183"/>
        <v>103.83</v>
      </c>
      <c r="AE84" s="281">
        <f t="shared" si="184"/>
        <v>56.7</v>
      </c>
      <c r="AF84" s="282">
        <f t="shared" si="185"/>
        <v>58.230000000000004</v>
      </c>
      <c r="AG84" s="282">
        <f t="shared" si="186"/>
        <v>65.08</v>
      </c>
      <c r="AH84" s="283">
        <f t="shared" si="187"/>
        <v>59.24</v>
      </c>
      <c r="AM84" s="281">
        <f t="shared" si="188"/>
        <v>71.03</v>
      </c>
      <c r="AN84" s="282">
        <f t="shared" si="189"/>
        <v>67.95</v>
      </c>
      <c r="AO84" s="282">
        <f t="shared" si="190"/>
        <v>103.42</v>
      </c>
      <c r="AP84" s="283">
        <f t="shared" si="191"/>
        <v>53.76</v>
      </c>
      <c r="AQ84" s="281">
        <f t="shared" si="192"/>
        <v>78.089999999999989</v>
      </c>
      <c r="AR84" s="282">
        <f t="shared" si="193"/>
        <v>72.509999999999991</v>
      </c>
      <c r="AS84" s="282">
        <f t="shared" si="194"/>
        <v>94.57</v>
      </c>
      <c r="AT84" s="283">
        <f t="shared" si="195"/>
        <v>61.849999999999994</v>
      </c>
      <c r="AU84" s="281">
        <f t="shared" si="196"/>
        <v>172.08999999999997</v>
      </c>
      <c r="AV84" s="282">
        <f t="shared" si="197"/>
        <v>79.75</v>
      </c>
      <c r="AW84" s="282">
        <f t="shared" si="198"/>
        <v>127.55000000000001</v>
      </c>
      <c r="AX84" s="283"/>
      <c r="BC84" s="281">
        <f t="shared" si="199"/>
        <v>115.32</v>
      </c>
      <c r="BD84" s="282">
        <f t="shared" si="200"/>
        <v>89.35</v>
      </c>
      <c r="BE84" s="282">
        <f t="shared" si="201"/>
        <v>143.9</v>
      </c>
      <c r="BF84" s="283"/>
      <c r="BG84" s="281">
        <f t="shared" si="202"/>
        <v>109.25</v>
      </c>
      <c r="BH84" s="282">
        <f t="shared" si="203"/>
        <v>91.68</v>
      </c>
      <c r="BI84" s="282">
        <f t="shared" si="204"/>
        <v>137.82300000000001</v>
      </c>
      <c r="BJ84" s="283"/>
      <c r="BK84" s="281">
        <f t="shared" si="205"/>
        <v>82.56</v>
      </c>
      <c r="BL84" s="282">
        <f t="shared" si="206"/>
        <v>60.49</v>
      </c>
      <c r="BM84" s="282">
        <f t="shared" si="207"/>
        <v>70.53</v>
      </c>
      <c r="BN84" s="283"/>
      <c r="CG84" s="281">
        <f t="shared" si="208"/>
        <v>210.49</v>
      </c>
      <c r="CH84" s="281">
        <f t="shared" si="209"/>
        <v>240.19</v>
      </c>
      <c r="CI84" s="281">
        <f t="shared" si="210"/>
        <v>152.85</v>
      </c>
      <c r="CJ84" s="293">
        <f t="shared" si="211"/>
        <v>281.20000000000005</v>
      </c>
      <c r="CK84" s="281">
        <f t="shared" si="212"/>
        <v>451.86</v>
      </c>
      <c r="CL84" s="281">
        <f t="shared" si="213"/>
        <v>443.47</v>
      </c>
      <c r="CM84" s="281">
        <f t="shared" si="214"/>
        <v>349.64</v>
      </c>
      <c r="CN84" s="293">
        <f t="shared" si="215"/>
        <v>559.39</v>
      </c>
      <c r="CO84" s="281">
        <f t="shared" si="216"/>
        <v>773.06999999999994</v>
      </c>
      <c r="CP84" s="281">
        <f t="shared" si="217"/>
        <v>663.68000000000006</v>
      </c>
      <c r="CQ84" s="281">
        <f t="shared" si="218"/>
        <v>675.18000000000006</v>
      </c>
      <c r="CR84" s="293">
        <f t="shared" si="219"/>
        <v>675</v>
      </c>
      <c r="CS84" s="281">
        <f t="shared" si="220"/>
        <v>1080.1999999999998</v>
      </c>
      <c r="CT84" s="281">
        <f t="shared" si="221"/>
        <v>905.2</v>
      </c>
      <c r="CU84" s="281">
        <f t="shared" si="222"/>
        <v>1027.433</v>
      </c>
      <c r="CV84" s="293">
        <f t="shared" si="223"/>
        <v>675</v>
      </c>
      <c r="CX84" s="316">
        <f t="shared" si="224"/>
        <v>203.28000000000003</v>
      </c>
      <c r="CY84" s="316">
        <f t="shared" si="225"/>
        <v>196.79000000000002</v>
      </c>
      <c r="CZ84" s="316">
        <f t="shared" si="226"/>
        <v>278.19</v>
      </c>
      <c r="DA84" s="318">
        <f t="shared" si="227"/>
        <v>138.13</v>
      </c>
      <c r="DB84" s="281">
        <f t="shared" si="228"/>
        <v>423.49</v>
      </c>
      <c r="DC84" s="281">
        <f t="shared" si="229"/>
        <v>522.33000000000004</v>
      </c>
      <c r="DD84" s="281">
        <f t="shared" si="230"/>
        <v>393.79999999999995</v>
      </c>
      <c r="DE84" s="293">
        <f t="shared" si="231"/>
        <v>388.30999999999995</v>
      </c>
      <c r="DF84" s="281">
        <f t="shared" si="232"/>
        <v>665.01</v>
      </c>
      <c r="DG84" s="281">
        <f t="shared" si="233"/>
        <v>874.58299999999997</v>
      </c>
      <c r="DH84" s="281">
        <f t="shared" si="234"/>
        <v>393.79999999999995</v>
      </c>
      <c r="DI84" s="293">
        <f t="shared" si="235"/>
        <v>580.11999999999989</v>
      </c>
      <c r="DJ84" s="281">
        <f t="shared" si="236"/>
        <v>665.01</v>
      </c>
      <c r="DK84" s="281">
        <f t="shared" si="237"/>
        <v>874.58299999999997</v>
      </c>
      <c r="DL84" s="281">
        <f t="shared" si="238"/>
        <v>393.79999999999995</v>
      </c>
      <c r="DM84" s="609">
        <f t="shared" si="239"/>
        <v>580.11999999999989</v>
      </c>
    </row>
    <row r="85" spans="1:117" ht="15" hidden="1" customHeight="1" x14ac:dyDescent="0.25">
      <c r="A85" s="521"/>
      <c r="B85" s="55">
        <v>5</v>
      </c>
      <c r="C85" s="368"/>
      <c r="D85" s="368"/>
      <c r="E85" s="368"/>
      <c r="F85" s="368">
        <v>50.4</v>
      </c>
      <c r="G85" s="281">
        <f t="shared" si="164"/>
        <v>63.64</v>
      </c>
      <c r="H85" s="282">
        <f t="shared" si="165"/>
        <v>39.22</v>
      </c>
      <c r="I85" s="282">
        <f t="shared" si="166"/>
        <v>45.32</v>
      </c>
      <c r="J85" s="283">
        <f t="shared" si="167"/>
        <v>50.88</v>
      </c>
      <c r="K85" s="281">
        <f t="shared" si="168"/>
        <v>32.69</v>
      </c>
      <c r="L85" s="282">
        <f t="shared" si="169"/>
        <v>37.86</v>
      </c>
      <c r="M85" s="282">
        <f t="shared" si="170"/>
        <v>26.16</v>
      </c>
      <c r="N85" s="283">
        <f t="shared" si="171"/>
        <v>51.14</v>
      </c>
      <c r="O85" s="281">
        <f t="shared" si="172"/>
        <v>51.55</v>
      </c>
      <c r="P85" s="282">
        <f t="shared" si="173"/>
        <v>44.35</v>
      </c>
      <c r="Q85" s="282">
        <f t="shared" si="174"/>
        <v>24.85</v>
      </c>
      <c r="R85" s="283">
        <f t="shared" si="175"/>
        <v>57.42</v>
      </c>
      <c r="W85" s="281">
        <f t="shared" si="176"/>
        <v>42.08</v>
      </c>
      <c r="X85" s="282">
        <f t="shared" si="177"/>
        <v>81.83</v>
      </c>
      <c r="Y85" s="282">
        <f t="shared" si="178"/>
        <v>44.879999999999995</v>
      </c>
      <c r="Z85" s="283">
        <f t="shared" si="179"/>
        <v>92.55</v>
      </c>
      <c r="AA85" s="281">
        <f t="shared" si="180"/>
        <v>68.12</v>
      </c>
      <c r="AB85" s="282">
        <f t="shared" si="181"/>
        <v>45.88</v>
      </c>
      <c r="AC85" s="282">
        <f t="shared" si="182"/>
        <v>66.300000000000011</v>
      </c>
      <c r="AD85" s="283">
        <f t="shared" si="183"/>
        <v>69.02</v>
      </c>
      <c r="AE85" s="281">
        <f t="shared" si="184"/>
        <v>55.98</v>
      </c>
      <c r="AF85" s="282">
        <f t="shared" si="185"/>
        <v>53.33</v>
      </c>
      <c r="AG85" s="282">
        <f t="shared" si="186"/>
        <v>36.520000000000003</v>
      </c>
      <c r="AH85" s="283">
        <f t="shared" si="187"/>
        <v>79.069999999999993</v>
      </c>
      <c r="AM85" s="281">
        <f t="shared" si="188"/>
        <v>55.230000000000004</v>
      </c>
      <c r="AN85" s="282">
        <f t="shared" si="189"/>
        <v>68.52</v>
      </c>
      <c r="AO85" s="282">
        <f t="shared" si="190"/>
        <v>84.32</v>
      </c>
      <c r="AP85" s="283">
        <f t="shared" si="191"/>
        <v>58.260000000000005</v>
      </c>
      <c r="AQ85" s="281">
        <f t="shared" si="192"/>
        <v>80.91</v>
      </c>
      <c r="AR85" s="282">
        <f t="shared" si="193"/>
        <v>46.760000000000005</v>
      </c>
      <c r="AS85" s="282">
        <f t="shared" si="194"/>
        <v>63.39</v>
      </c>
      <c r="AT85" s="283">
        <f t="shared" si="195"/>
        <v>66.64</v>
      </c>
      <c r="AU85" s="281">
        <f t="shared" si="196"/>
        <v>69.92</v>
      </c>
      <c r="AV85" s="282">
        <f t="shared" si="197"/>
        <v>74.39</v>
      </c>
      <c r="AW85" s="282">
        <f t="shared" si="198"/>
        <v>114.38</v>
      </c>
      <c r="AX85" s="283"/>
      <c r="BC85" s="281">
        <f t="shared" si="199"/>
        <v>93.72</v>
      </c>
      <c r="BD85" s="282">
        <f t="shared" si="200"/>
        <v>76.599999999999994</v>
      </c>
      <c r="BE85" s="282">
        <f t="shared" si="201"/>
        <v>105.11999999999999</v>
      </c>
      <c r="BF85" s="283"/>
      <c r="BG85" s="281">
        <f t="shared" si="202"/>
        <v>83.75</v>
      </c>
      <c r="BH85" s="282">
        <f t="shared" si="203"/>
        <v>66.23</v>
      </c>
      <c r="BI85" s="282">
        <f t="shared" si="204"/>
        <v>94.22999999999999</v>
      </c>
      <c r="BJ85" s="283"/>
      <c r="BK85" s="281">
        <f t="shared" si="205"/>
        <v>104.35</v>
      </c>
      <c r="BL85" s="282">
        <f t="shared" si="206"/>
        <v>69.58</v>
      </c>
      <c r="BM85" s="282">
        <f t="shared" si="207"/>
        <v>76.289999999999992</v>
      </c>
      <c r="BN85" s="283"/>
      <c r="CG85" s="281">
        <f t="shared" si="208"/>
        <v>147.88</v>
      </c>
      <c r="CH85" s="281">
        <f t="shared" si="209"/>
        <v>121.43</v>
      </c>
      <c r="CI85" s="281">
        <f t="shared" si="210"/>
        <v>96.330000000000013</v>
      </c>
      <c r="CJ85" s="293">
        <f t="shared" si="211"/>
        <v>159.44</v>
      </c>
      <c r="CK85" s="281">
        <f t="shared" si="212"/>
        <v>314.06</v>
      </c>
      <c r="CL85" s="281">
        <f t="shared" si="213"/>
        <v>302.46999999999997</v>
      </c>
      <c r="CM85" s="281">
        <f t="shared" si="214"/>
        <v>244.03000000000003</v>
      </c>
      <c r="CN85" s="293">
        <f t="shared" si="215"/>
        <v>400.08</v>
      </c>
      <c r="CO85" s="281">
        <f t="shared" si="216"/>
        <v>520.12</v>
      </c>
      <c r="CP85" s="281">
        <f t="shared" si="217"/>
        <v>492.13999999999993</v>
      </c>
      <c r="CQ85" s="281">
        <f t="shared" si="218"/>
        <v>506.12</v>
      </c>
      <c r="CR85" s="293">
        <f t="shared" si="219"/>
        <v>524.98</v>
      </c>
      <c r="CS85" s="281">
        <f t="shared" si="220"/>
        <v>801.94</v>
      </c>
      <c r="CT85" s="281">
        <f t="shared" si="221"/>
        <v>704.55</v>
      </c>
      <c r="CU85" s="281">
        <f t="shared" si="222"/>
        <v>781.76</v>
      </c>
      <c r="CV85" s="293">
        <f t="shared" si="223"/>
        <v>524.98</v>
      </c>
      <c r="CX85" s="316">
        <f t="shared" si="224"/>
        <v>181.04000000000002</v>
      </c>
      <c r="CY85" s="316">
        <f t="shared" si="225"/>
        <v>147.70000000000002</v>
      </c>
      <c r="CZ85" s="316">
        <f t="shared" si="226"/>
        <v>240.64</v>
      </c>
      <c r="DA85" s="318">
        <f t="shared" si="227"/>
        <v>124.1</v>
      </c>
      <c r="DB85" s="281">
        <f t="shared" si="228"/>
        <v>370.71</v>
      </c>
      <c r="DC85" s="281">
        <f t="shared" si="229"/>
        <v>409.79</v>
      </c>
      <c r="DD85" s="281">
        <f t="shared" si="230"/>
        <v>365.53999999999996</v>
      </c>
      <c r="DE85" s="293">
        <f t="shared" si="231"/>
        <v>274.93</v>
      </c>
      <c r="DF85" s="281">
        <f t="shared" si="232"/>
        <v>583.12</v>
      </c>
      <c r="DG85" s="281">
        <f t="shared" si="233"/>
        <v>685.43</v>
      </c>
      <c r="DH85" s="281">
        <f t="shared" si="234"/>
        <v>365.53999999999996</v>
      </c>
      <c r="DI85" s="293">
        <f t="shared" si="235"/>
        <v>463.03</v>
      </c>
      <c r="DJ85" s="281">
        <f t="shared" si="236"/>
        <v>583.12</v>
      </c>
      <c r="DK85" s="281">
        <f t="shared" si="237"/>
        <v>685.43</v>
      </c>
      <c r="DL85" s="281">
        <f t="shared" si="238"/>
        <v>365.53999999999996</v>
      </c>
      <c r="DM85" s="609">
        <f t="shared" si="239"/>
        <v>463.03</v>
      </c>
    </row>
    <row r="86" spans="1:117" ht="15" hidden="1" customHeight="1" x14ac:dyDescent="0.25">
      <c r="A86" s="521"/>
      <c r="B86" s="55">
        <v>6</v>
      </c>
      <c r="C86" s="368"/>
      <c r="D86" s="368"/>
      <c r="E86" s="368"/>
      <c r="F86" s="368">
        <v>58.6</v>
      </c>
      <c r="G86" s="281">
        <f t="shared" si="164"/>
        <v>82.14</v>
      </c>
      <c r="H86" s="282">
        <f t="shared" si="165"/>
        <v>62.2</v>
      </c>
      <c r="I86" s="282">
        <f t="shared" si="166"/>
        <v>88.02</v>
      </c>
      <c r="J86" s="283">
        <f t="shared" si="167"/>
        <v>47.81</v>
      </c>
      <c r="K86" s="281">
        <f t="shared" si="168"/>
        <v>33.700000000000003</v>
      </c>
      <c r="L86" s="282">
        <f t="shared" si="169"/>
        <v>58.660000000000004</v>
      </c>
      <c r="M86" s="282">
        <f t="shared" si="170"/>
        <v>39.82</v>
      </c>
      <c r="N86" s="283">
        <f t="shared" si="171"/>
        <v>85.15</v>
      </c>
      <c r="O86" s="281">
        <f t="shared" si="172"/>
        <v>53.980000000000004</v>
      </c>
      <c r="P86" s="282">
        <f t="shared" si="173"/>
        <v>97.28</v>
      </c>
      <c r="Q86" s="282">
        <f t="shared" si="174"/>
        <v>27.39</v>
      </c>
      <c r="R86" s="283">
        <f t="shared" si="175"/>
        <v>43.95</v>
      </c>
      <c r="W86" s="281">
        <f t="shared" si="176"/>
        <v>82.02</v>
      </c>
      <c r="X86" s="282">
        <f t="shared" si="177"/>
        <v>47.78</v>
      </c>
      <c r="Y86" s="282">
        <f t="shared" si="178"/>
        <v>39.629999999999995</v>
      </c>
      <c r="Z86" s="283">
        <f t="shared" si="179"/>
        <v>88.86</v>
      </c>
      <c r="AA86" s="281">
        <f t="shared" si="180"/>
        <v>62.47</v>
      </c>
      <c r="AB86" s="282">
        <f t="shared" si="181"/>
        <v>60.03</v>
      </c>
      <c r="AC86" s="282">
        <f t="shared" si="182"/>
        <v>68.929999999999993</v>
      </c>
      <c r="AD86" s="283">
        <f t="shared" si="183"/>
        <v>56.379999999999995</v>
      </c>
      <c r="AE86" s="281">
        <f t="shared" si="184"/>
        <v>55.129999999999995</v>
      </c>
      <c r="AF86" s="282">
        <f t="shared" si="185"/>
        <v>97.64</v>
      </c>
      <c r="AG86" s="282">
        <f t="shared" si="186"/>
        <v>39.14</v>
      </c>
      <c r="AH86" s="283">
        <f t="shared" si="187"/>
        <v>93.49</v>
      </c>
      <c r="AM86" s="281">
        <f t="shared" si="188"/>
        <v>59.97</v>
      </c>
      <c r="AN86" s="282">
        <f t="shared" si="189"/>
        <v>68.7</v>
      </c>
      <c r="AO86" s="282">
        <f t="shared" si="190"/>
        <v>127.84</v>
      </c>
      <c r="AP86" s="283">
        <f t="shared" si="191"/>
        <v>52.900000000000006</v>
      </c>
      <c r="AQ86" s="281">
        <f t="shared" si="192"/>
        <v>93.3</v>
      </c>
      <c r="AR86" s="282">
        <f t="shared" si="193"/>
        <v>69.800000000000011</v>
      </c>
      <c r="AS86" s="282">
        <f t="shared" si="194"/>
        <v>160.67000000000002</v>
      </c>
      <c r="AT86" s="283">
        <f t="shared" si="195"/>
        <v>80.460000000000008</v>
      </c>
      <c r="AU86" s="281">
        <f t="shared" si="196"/>
        <v>75.150000000000006</v>
      </c>
      <c r="AV86" s="282">
        <f t="shared" si="197"/>
        <v>84.59</v>
      </c>
      <c r="AW86" s="282">
        <f t="shared" si="198"/>
        <v>99.91</v>
      </c>
      <c r="AX86" s="283"/>
      <c r="BC86" s="281">
        <f t="shared" si="199"/>
        <v>124.62</v>
      </c>
      <c r="BD86" s="282">
        <f t="shared" si="200"/>
        <v>86</v>
      </c>
      <c r="BE86" s="282">
        <f t="shared" si="201"/>
        <v>113.91</v>
      </c>
      <c r="BF86" s="283"/>
      <c r="BG86" s="281">
        <f t="shared" si="202"/>
        <v>138.05000000000001</v>
      </c>
      <c r="BH86" s="282">
        <f t="shared" si="203"/>
        <v>72.28</v>
      </c>
      <c r="BI86" s="282">
        <f t="shared" si="204"/>
        <v>101.49000000000001</v>
      </c>
      <c r="BJ86" s="283"/>
      <c r="BK86" s="281">
        <f t="shared" si="205"/>
        <v>72.959999999999994</v>
      </c>
      <c r="BL86" s="282">
        <f t="shared" si="206"/>
        <v>44.85</v>
      </c>
      <c r="BM86" s="282">
        <f t="shared" si="207"/>
        <v>107.57</v>
      </c>
      <c r="BN86" s="283"/>
      <c r="CG86" s="281">
        <f t="shared" si="208"/>
        <v>169.82</v>
      </c>
      <c r="CH86" s="281">
        <f t="shared" si="209"/>
        <v>218.14000000000001</v>
      </c>
      <c r="CI86" s="281">
        <f t="shared" si="210"/>
        <v>155.23000000000002</v>
      </c>
      <c r="CJ86" s="293">
        <f t="shared" si="211"/>
        <v>176.91000000000003</v>
      </c>
      <c r="CK86" s="281">
        <f t="shared" si="212"/>
        <v>369.43999999999994</v>
      </c>
      <c r="CL86" s="281">
        <f t="shared" si="213"/>
        <v>423.59000000000003</v>
      </c>
      <c r="CM86" s="281">
        <f t="shared" si="214"/>
        <v>302.93</v>
      </c>
      <c r="CN86" s="293">
        <f t="shared" si="215"/>
        <v>415.64000000000004</v>
      </c>
      <c r="CO86" s="281">
        <f t="shared" si="216"/>
        <v>597.8599999999999</v>
      </c>
      <c r="CP86" s="281">
        <f t="shared" si="217"/>
        <v>646.68000000000006</v>
      </c>
      <c r="CQ86" s="281">
        <f t="shared" si="218"/>
        <v>691.35</v>
      </c>
      <c r="CR86" s="293">
        <f t="shared" si="219"/>
        <v>549.00000000000011</v>
      </c>
      <c r="CS86" s="281">
        <f t="shared" si="220"/>
        <v>933.49</v>
      </c>
      <c r="CT86" s="281">
        <f t="shared" si="221"/>
        <v>849.81000000000006</v>
      </c>
      <c r="CU86" s="281">
        <f t="shared" si="222"/>
        <v>1014.3199999999999</v>
      </c>
      <c r="CV86" s="293">
        <f t="shared" si="223"/>
        <v>549.00000000000011</v>
      </c>
      <c r="CX86" s="316">
        <f t="shared" si="224"/>
        <v>205.45</v>
      </c>
      <c r="CY86" s="316">
        <f t="shared" si="225"/>
        <v>147.69999999999999</v>
      </c>
      <c r="CZ86" s="316">
        <f t="shared" si="226"/>
        <v>238.73000000000002</v>
      </c>
      <c r="DA86" s="318">
        <f t="shared" si="227"/>
        <v>117.6</v>
      </c>
      <c r="DB86" s="281">
        <f t="shared" si="228"/>
        <v>428.53999999999996</v>
      </c>
      <c r="DC86" s="281">
        <f t="shared" si="229"/>
        <v>536.12</v>
      </c>
      <c r="DD86" s="281">
        <f t="shared" si="230"/>
        <v>372.09000000000003</v>
      </c>
      <c r="DE86" s="293">
        <f t="shared" si="231"/>
        <v>286.04999999999995</v>
      </c>
      <c r="DF86" s="281">
        <f t="shared" si="232"/>
        <v>631.66999999999996</v>
      </c>
      <c r="DG86" s="281">
        <f t="shared" si="233"/>
        <v>859.08999999999992</v>
      </c>
      <c r="DH86" s="281">
        <f t="shared" si="234"/>
        <v>372.09000000000003</v>
      </c>
      <c r="DI86" s="293">
        <f t="shared" si="235"/>
        <v>497.05999999999995</v>
      </c>
      <c r="DJ86" s="281">
        <f t="shared" si="236"/>
        <v>631.66999999999996</v>
      </c>
      <c r="DK86" s="281">
        <f t="shared" si="237"/>
        <v>859.08999999999992</v>
      </c>
      <c r="DL86" s="281">
        <f t="shared" si="238"/>
        <v>372.09000000000003</v>
      </c>
      <c r="DM86" s="609">
        <f t="shared" si="239"/>
        <v>497.05999999999995</v>
      </c>
    </row>
    <row r="87" spans="1:117" ht="15" hidden="1" customHeight="1" x14ac:dyDescent="0.25">
      <c r="A87" s="521"/>
      <c r="B87" s="55">
        <v>7</v>
      </c>
      <c r="C87" s="368"/>
      <c r="D87" s="368"/>
      <c r="E87" s="368"/>
      <c r="F87" s="368">
        <v>23.6</v>
      </c>
      <c r="G87" s="281">
        <f t="shared" si="164"/>
        <v>22.759999999999998</v>
      </c>
      <c r="H87" s="282">
        <f t="shared" si="165"/>
        <v>16.510000000000002</v>
      </c>
      <c r="I87" s="282">
        <f t="shared" si="166"/>
        <v>25.830000000000002</v>
      </c>
      <c r="J87" s="283">
        <f t="shared" si="167"/>
        <v>18.989999999999998</v>
      </c>
      <c r="K87" s="281">
        <f t="shared" si="168"/>
        <v>12.65</v>
      </c>
      <c r="L87" s="282">
        <f t="shared" si="169"/>
        <v>16.84</v>
      </c>
      <c r="M87" s="282">
        <f t="shared" si="170"/>
        <v>11.9</v>
      </c>
      <c r="N87" s="283">
        <f t="shared" si="171"/>
        <v>25.669999999999998</v>
      </c>
      <c r="O87" s="281">
        <f t="shared" si="172"/>
        <v>21.92</v>
      </c>
      <c r="P87" s="282">
        <f t="shared" si="173"/>
        <v>21.41</v>
      </c>
      <c r="Q87" s="282">
        <f t="shared" si="174"/>
        <v>13.7</v>
      </c>
      <c r="R87" s="283">
        <f t="shared" si="175"/>
        <v>21.080000000000002</v>
      </c>
      <c r="W87" s="281">
        <f t="shared" si="176"/>
        <v>18.34</v>
      </c>
      <c r="X87" s="282">
        <f t="shared" si="177"/>
        <v>34.83</v>
      </c>
      <c r="Y87" s="282">
        <f t="shared" si="178"/>
        <v>24.4</v>
      </c>
      <c r="Z87" s="283">
        <f t="shared" si="179"/>
        <v>39.61</v>
      </c>
      <c r="AA87" s="281">
        <f t="shared" si="180"/>
        <v>25.35</v>
      </c>
      <c r="AB87" s="282">
        <f t="shared" si="181"/>
        <v>15.27</v>
      </c>
      <c r="AC87" s="282">
        <f t="shared" si="182"/>
        <v>17.649999999999999</v>
      </c>
      <c r="AD87" s="283">
        <f t="shared" si="183"/>
        <v>27.619999999999997</v>
      </c>
      <c r="AE87" s="281">
        <f t="shared" si="184"/>
        <v>17.48</v>
      </c>
      <c r="AF87" s="282">
        <f t="shared" si="185"/>
        <v>19.27</v>
      </c>
      <c r="AG87" s="282">
        <f t="shared" si="186"/>
        <v>19.5</v>
      </c>
      <c r="AH87" s="283">
        <f t="shared" si="187"/>
        <v>29.53</v>
      </c>
      <c r="AM87" s="281">
        <f t="shared" si="188"/>
        <v>18.63</v>
      </c>
      <c r="AN87" s="282">
        <f t="shared" si="189"/>
        <v>21.53</v>
      </c>
      <c r="AO87" s="282">
        <f t="shared" si="190"/>
        <v>29.25</v>
      </c>
      <c r="AP87" s="283">
        <f t="shared" si="191"/>
        <v>27.06</v>
      </c>
      <c r="AQ87" s="281">
        <f t="shared" si="192"/>
        <v>30.490000000000002</v>
      </c>
      <c r="AR87" s="282">
        <f t="shared" si="193"/>
        <v>24.43</v>
      </c>
      <c r="AS87" s="282">
        <f t="shared" si="194"/>
        <v>29.03</v>
      </c>
      <c r="AT87" s="283">
        <f t="shared" si="195"/>
        <v>26.330000000000002</v>
      </c>
      <c r="AU87" s="281">
        <f t="shared" si="196"/>
        <v>26.76</v>
      </c>
      <c r="AV87" s="282">
        <f t="shared" si="197"/>
        <v>13.77</v>
      </c>
      <c r="AW87" s="282">
        <f t="shared" si="198"/>
        <v>60.980000000000004</v>
      </c>
      <c r="AX87" s="283"/>
      <c r="BC87" s="281">
        <f t="shared" si="199"/>
        <v>35.340000000000003</v>
      </c>
      <c r="BD87" s="282">
        <f t="shared" si="200"/>
        <v>21.21</v>
      </c>
      <c r="BE87" s="282">
        <f t="shared" si="201"/>
        <v>33.08</v>
      </c>
      <c r="BF87" s="283"/>
      <c r="BG87" s="281">
        <f t="shared" si="202"/>
        <v>34.020000000000003</v>
      </c>
      <c r="BH87" s="282">
        <f t="shared" si="203"/>
        <v>23.759999999999998</v>
      </c>
      <c r="BI87" s="282">
        <f t="shared" si="204"/>
        <v>41.293999999999997</v>
      </c>
      <c r="BJ87" s="283"/>
      <c r="BK87" s="281">
        <f t="shared" si="205"/>
        <v>48.28</v>
      </c>
      <c r="BL87" s="282">
        <f t="shared" si="206"/>
        <v>15.62</v>
      </c>
      <c r="BM87" s="282">
        <f t="shared" si="207"/>
        <v>45.37</v>
      </c>
      <c r="BN87" s="283"/>
      <c r="CG87" s="281">
        <f t="shared" si="208"/>
        <v>57.33</v>
      </c>
      <c r="CH87" s="281">
        <f t="shared" si="209"/>
        <v>54.760000000000005</v>
      </c>
      <c r="CI87" s="281">
        <f t="shared" si="210"/>
        <v>51.430000000000007</v>
      </c>
      <c r="CJ87" s="293">
        <f t="shared" si="211"/>
        <v>65.739999999999995</v>
      </c>
      <c r="CK87" s="281">
        <f t="shared" si="212"/>
        <v>118.50000000000001</v>
      </c>
      <c r="CL87" s="281">
        <f t="shared" si="213"/>
        <v>124.13</v>
      </c>
      <c r="CM87" s="281">
        <f t="shared" si="214"/>
        <v>112.98000000000002</v>
      </c>
      <c r="CN87" s="293">
        <f t="shared" si="215"/>
        <v>162.5</v>
      </c>
      <c r="CO87" s="281">
        <f t="shared" si="216"/>
        <v>194.38000000000002</v>
      </c>
      <c r="CP87" s="281">
        <f t="shared" si="217"/>
        <v>183.86</v>
      </c>
      <c r="CQ87" s="281">
        <f t="shared" si="218"/>
        <v>232.24</v>
      </c>
      <c r="CR87" s="293">
        <f t="shared" si="219"/>
        <v>215.89000000000001</v>
      </c>
      <c r="CS87" s="281">
        <f t="shared" si="220"/>
        <v>312.02</v>
      </c>
      <c r="CT87" s="281">
        <f t="shared" si="221"/>
        <v>244.45000000000002</v>
      </c>
      <c r="CU87" s="281">
        <f t="shared" si="222"/>
        <v>351.98399999999998</v>
      </c>
      <c r="CV87" s="293">
        <f t="shared" si="223"/>
        <v>215.89000000000001</v>
      </c>
      <c r="CX87" s="316">
        <f t="shared" si="224"/>
        <v>69.36999999999999</v>
      </c>
      <c r="CY87" s="316">
        <f t="shared" si="225"/>
        <v>61.55</v>
      </c>
      <c r="CZ87" s="316">
        <f t="shared" si="226"/>
        <v>96.759999999999991</v>
      </c>
      <c r="DA87" s="318">
        <f t="shared" si="227"/>
        <v>42.83</v>
      </c>
      <c r="DB87" s="281">
        <f t="shared" si="228"/>
        <v>129.1</v>
      </c>
      <c r="DC87" s="281">
        <f t="shared" si="229"/>
        <v>180.81</v>
      </c>
      <c r="DD87" s="281">
        <f t="shared" si="230"/>
        <v>150.15</v>
      </c>
      <c r="DE87" s="293">
        <f t="shared" si="231"/>
        <v>100.08</v>
      </c>
      <c r="DF87" s="281">
        <f t="shared" si="232"/>
        <v>189.69</v>
      </c>
      <c r="DG87" s="281">
        <f t="shared" si="233"/>
        <v>300.55399999999997</v>
      </c>
      <c r="DH87" s="281">
        <f t="shared" si="234"/>
        <v>150.15</v>
      </c>
      <c r="DI87" s="293">
        <f t="shared" si="235"/>
        <v>182.38</v>
      </c>
      <c r="DJ87" s="281">
        <f t="shared" si="236"/>
        <v>189.69</v>
      </c>
      <c r="DK87" s="281">
        <f t="shared" si="237"/>
        <v>300.55399999999997</v>
      </c>
      <c r="DL87" s="281">
        <f t="shared" si="238"/>
        <v>150.15</v>
      </c>
      <c r="DM87" s="609">
        <f t="shared" si="239"/>
        <v>182.38</v>
      </c>
    </row>
    <row r="88" spans="1:117" ht="15" hidden="1" customHeight="1" x14ac:dyDescent="0.25">
      <c r="A88" s="521"/>
      <c r="B88" s="55">
        <v>8</v>
      </c>
      <c r="C88" s="368"/>
      <c r="D88" s="368"/>
      <c r="E88" s="368"/>
      <c r="F88" s="368">
        <v>61.6</v>
      </c>
      <c r="G88" s="281">
        <f t="shared" si="164"/>
        <v>50.760000000000005</v>
      </c>
      <c r="H88" s="282">
        <f t="shared" si="165"/>
        <v>68.63</v>
      </c>
      <c r="I88" s="282">
        <f t="shared" si="166"/>
        <v>61.160000000000004</v>
      </c>
      <c r="J88" s="283">
        <f t="shared" si="167"/>
        <v>44.66</v>
      </c>
      <c r="K88" s="281">
        <f t="shared" si="168"/>
        <v>34.92</v>
      </c>
      <c r="L88" s="282">
        <f t="shared" si="169"/>
        <v>53.54</v>
      </c>
      <c r="M88" s="282">
        <f t="shared" si="170"/>
        <v>52.8</v>
      </c>
      <c r="N88" s="283">
        <f t="shared" si="171"/>
        <v>96.6</v>
      </c>
      <c r="O88" s="281">
        <f t="shared" si="172"/>
        <v>54.47</v>
      </c>
      <c r="P88" s="282">
        <f t="shared" si="173"/>
        <v>70.759999999999991</v>
      </c>
      <c r="Q88" s="282">
        <f t="shared" si="174"/>
        <v>41.66</v>
      </c>
      <c r="R88" s="283">
        <f t="shared" si="175"/>
        <v>59.2</v>
      </c>
      <c r="W88" s="281">
        <f t="shared" si="176"/>
        <v>57.42</v>
      </c>
      <c r="X88" s="282">
        <f t="shared" si="177"/>
        <v>55.5</v>
      </c>
      <c r="Y88" s="282">
        <f t="shared" si="178"/>
        <v>39.129999999999995</v>
      </c>
      <c r="Z88" s="283">
        <f t="shared" si="179"/>
        <v>79.03</v>
      </c>
      <c r="AA88" s="281">
        <f t="shared" si="180"/>
        <v>51.88</v>
      </c>
      <c r="AB88" s="282">
        <f t="shared" si="181"/>
        <v>62.94</v>
      </c>
      <c r="AC88" s="282">
        <f t="shared" si="182"/>
        <v>72.48</v>
      </c>
      <c r="AD88" s="283">
        <f t="shared" si="183"/>
        <v>63.73</v>
      </c>
      <c r="AE88" s="281">
        <f t="shared" si="184"/>
        <v>42.86</v>
      </c>
      <c r="AF88" s="282">
        <f t="shared" si="185"/>
        <v>62.16</v>
      </c>
      <c r="AG88" s="282">
        <f t="shared" si="186"/>
        <v>41.769999999999996</v>
      </c>
      <c r="AH88" s="283">
        <f t="shared" si="187"/>
        <v>58.540000000000006</v>
      </c>
      <c r="AM88" s="281">
        <f t="shared" si="188"/>
        <v>68.03</v>
      </c>
      <c r="AN88" s="282">
        <f t="shared" si="189"/>
        <v>62.61</v>
      </c>
      <c r="AO88" s="282">
        <f t="shared" si="190"/>
        <v>52.96</v>
      </c>
      <c r="AP88" s="283">
        <f t="shared" si="191"/>
        <v>56.069999999999993</v>
      </c>
      <c r="AQ88" s="281">
        <f t="shared" si="192"/>
        <v>72.460000000000008</v>
      </c>
      <c r="AR88" s="282">
        <f t="shared" si="193"/>
        <v>105.85</v>
      </c>
      <c r="AS88" s="282">
        <f t="shared" si="194"/>
        <v>114.4</v>
      </c>
      <c r="AT88" s="283">
        <f t="shared" si="195"/>
        <v>68.81</v>
      </c>
      <c r="AU88" s="281">
        <f t="shared" si="196"/>
        <v>78.78</v>
      </c>
      <c r="AV88" s="282">
        <f t="shared" si="197"/>
        <v>54.25</v>
      </c>
      <c r="AW88" s="282">
        <f t="shared" si="198"/>
        <v>78.790000000000006</v>
      </c>
      <c r="AX88" s="283"/>
      <c r="BC88" s="281">
        <f t="shared" si="199"/>
        <v>118.71</v>
      </c>
      <c r="BD88" s="282">
        <f t="shared" si="200"/>
        <v>94.95</v>
      </c>
      <c r="BE88" s="282">
        <f t="shared" si="201"/>
        <v>94.64</v>
      </c>
      <c r="BF88" s="283"/>
      <c r="BG88" s="281">
        <f t="shared" si="202"/>
        <v>111.62</v>
      </c>
      <c r="BH88" s="282">
        <f t="shared" si="203"/>
        <v>75.259999999999991</v>
      </c>
      <c r="BI88" s="282">
        <f t="shared" si="204"/>
        <v>151.48000000000002</v>
      </c>
      <c r="BJ88" s="283"/>
      <c r="BK88" s="281">
        <f t="shared" si="205"/>
        <v>70.260000000000005</v>
      </c>
      <c r="BL88" s="282">
        <f t="shared" si="206"/>
        <v>96.98</v>
      </c>
      <c r="BM88" s="282">
        <f t="shared" si="207"/>
        <v>123.15</v>
      </c>
      <c r="BN88" s="283"/>
      <c r="CG88" s="281">
        <f t="shared" si="208"/>
        <v>140.15</v>
      </c>
      <c r="CH88" s="281">
        <f t="shared" si="209"/>
        <v>192.92999999999998</v>
      </c>
      <c r="CI88" s="281">
        <f t="shared" si="210"/>
        <v>155.62</v>
      </c>
      <c r="CJ88" s="293">
        <f t="shared" si="211"/>
        <v>200.45999999999998</v>
      </c>
      <c r="CK88" s="281">
        <f t="shared" si="212"/>
        <v>292.31</v>
      </c>
      <c r="CL88" s="281">
        <f t="shared" si="213"/>
        <v>373.53</v>
      </c>
      <c r="CM88" s="281">
        <f t="shared" si="214"/>
        <v>309</v>
      </c>
      <c r="CN88" s="293">
        <f t="shared" si="215"/>
        <v>401.76000000000005</v>
      </c>
      <c r="CO88" s="281">
        <f t="shared" si="216"/>
        <v>511.58000000000004</v>
      </c>
      <c r="CP88" s="281">
        <f t="shared" si="217"/>
        <v>596.24</v>
      </c>
      <c r="CQ88" s="281">
        <f t="shared" si="218"/>
        <v>555.15</v>
      </c>
      <c r="CR88" s="293">
        <f t="shared" si="219"/>
        <v>526.6400000000001</v>
      </c>
      <c r="CS88" s="281">
        <f t="shared" si="220"/>
        <v>812.17000000000007</v>
      </c>
      <c r="CT88" s="281">
        <f t="shared" si="221"/>
        <v>863.43000000000006</v>
      </c>
      <c r="CU88" s="281">
        <f t="shared" si="222"/>
        <v>924.42</v>
      </c>
      <c r="CV88" s="293">
        <f t="shared" si="223"/>
        <v>526.6400000000001</v>
      </c>
      <c r="CX88" s="316">
        <f t="shared" si="224"/>
        <v>180.6</v>
      </c>
      <c r="CY88" s="316">
        <f t="shared" si="225"/>
        <v>153.38</v>
      </c>
      <c r="CZ88" s="316">
        <f t="shared" si="226"/>
        <v>201.3</v>
      </c>
      <c r="DA88" s="318">
        <f t="shared" si="227"/>
        <v>94.740000000000009</v>
      </c>
      <c r="DB88" s="281">
        <f t="shared" si="228"/>
        <v>403.30999999999995</v>
      </c>
      <c r="DC88" s="281">
        <f t="shared" si="229"/>
        <v>399.53000000000003</v>
      </c>
      <c r="DD88" s="281">
        <f t="shared" si="230"/>
        <v>326.18</v>
      </c>
      <c r="DE88" s="293">
        <f t="shared" si="231"/>
        <v>245.98000000000002</v>
      </c>
      <c r="DF88" s="281">
        <f t="shared" si="232"/>
        <v>670.5</v>
      </c>
      <c r="DG88" s="281">
        <f t="shared" si="233"/>
        <v>768.80000000000007</v>
      </c>
      <c r="DH88" s="281">
        <f t="shared" si="234"/>
        <v>326.18</v>
      </c>
      <c r="DI88" s="293">
        <f t="shared" si="235"/>
        <v>427.86</v>
      </c>
      <c r="DJ88" s="281">
        <f t="shared" si="236"/>
        <v>670.5</v>
      </c>
      <c r="DK88" s="281">
        <f t="shared" si="237"/>
        <v>768.80000000000007</v>
      </c>
      <c r="DL88" s="281">
        <f t="shared" si="238"/>
        <v>326.18</v>
      </c>
      <c r="DM88" s="609">
        <f t="shared" si="239"/>
        <v>427.86</v>
      </c>
    </row>
    <row r="89" spans="1:117" ht="15" hidden="1" customHeight="1" x14ac:dyDescent="0.25">
      <c r="A89" s="521"/>
      <c r="B89" s="55">
        <v>9</v>
      </c>
      <c r="C89" s="368"/>
      <c r="D89" s="368"/>
      <c r="E89" s="368"/>
      <c r="F89" s="368">
        <v>38.299999999999997</v>
      </c>
      <c r="G89" s="281">
        <f t="shared" si="164"/>
        <v>27.38</v>
      </c>
      <c r="H89" s="282">
        <f t="shared" si="165"/>
        <v>27.94</v>
      </c>
      <c r="I89" s="282">
        <f t="shared" si="166"/>
        <v>38.049999999999997</v>
      </c>
      <c r="J89" s="283">
        <f t="shared" si="167"/>
        <v>19.18</v>
      </c>
      <c r="K89" s="281">
        <f t="shared" si="168"/>
        <v>25.270000000000003</v>
      </c>
      <c r="L89" s="282">
        <f t="shared" si="169"/>
        <v>33.89</v>
      </c>
      <c r="M89" s="282">
        <f t="shared" si="170"/>
        <v>20.71</v>
      </c>
      <c r="N89" s="283">
        <f t="shared" si="171"/>
        <v>34.56</v>
      </c>
      <c r="O89" s="281">
        <f t="shared" si="172"/>
        <v>19.630000000000003</v>
      </c>
      <c r="P89" s="282">
        <f t="shared" si="173"/>
        <v>46.93</v>
      </c>
      <c r="Q89" s="282">
        <f t="shared" si="174"/>
        <v>22.65</v>
      </c>
      <c r="R89" s="283">
        <f t="shared" si="175"/>
        <v>39.230000000000004</v>
      </c>
      <c r="W89" s="281">
        <f t="shared" si="176"/>
        <v>40.680000000000007</v>
      </c>
      <c r="X89" s="282">
        <f t="shared" si="177"/>
        <v>38.409999999999997</v>
      </c>
      <c r="Y89" s="282">
        <f t="shared" si="178"/>
        <v>21.23</v>
      </c>
      <c r="Z89" s="283">
        <f t="shared" si="179"/>
        <v>16.64</v>
      </c>
      <c r="AA89" s="281">
        <f t="shared" si="180"/>
        <v>32.57</v>
      </c>
      <c r="AB89" s="282">
        <f t="shared" si="181"/>
        <v>31.91</v>
      </c>
      <c r="AC89" s="282">
        <f t="shared" si="182"/>
        <v>28.57</v>
      </c>
      <c r="AD89" s="283">
        <f t="shared" si="183"/>
        <v>47.69</v>
      </c>
      <c r="AE89" s="281">
        <f t="shared" si="184"/>
        <v>20.27</v>
      </c>
      <c r="AF89" s="282">
        <f t="shared" si="185"/>
        <v>32.75</v>
      </c>
      <c r="AG89" s="282">
        <f t="shared" si="186"/>
        <v>29.07</v>
      </c>
      <c r="AH89" s="283">
        <f t="shared" si="187"/>
        <v>48.05</v>
      </c>
      <c r="AM89" s="281">
        <f t="shared" si="188"/>
        <v>18.43</v>
      </c>
      <c r="AN89" s="282">
        <f t="shared" si="189"/>
        <v>35.010000000000005</v>
      </c>
      <c r="AO89" s="282">
        <f t="shared" si="190"/>
        <v>23.439999999999998</v>
      </c>
      <c r="AP89" s="283">
        <f t="shared" si="191"/>
        <v>33.1</v>
      </c>
      <c r="AQ89" s="281">
        <f t="shared" si="192"/>
        <v>75.52000000000001</v>
      </c>
      <c r="AR89" s="282">
        <f t="shared" si="193"/>
        <v>43.31</v>
      </c>
      <c r="AS89" s="282">
        <f t="shared" si="194"/>
        <v>43.71</v>
      </c>
      <c r="AT89" s="283">
        <f t="shared" si="195"/>
        <v>43.36</v>
      </c>
      <c r="AU89" s="281">
        <f t="shared" si="196"/>
        <v>64.02</v>
      </c>
      <c r="AV89" s="282">
        <f t="shared" si="197"/>
        <v>48.209999999999994</v>
      </c>
      <c r="AW89" s="282">
        <f t="shared" si="198"/>
        <v>59.56</v>
      </c>
      <c r="AX89" s="283"/>
      <c r="BC89" s="281">
        <f t="shared" si="199"/>
        <v>72.98</v>
      </c>
      <c r="BD89" s="282">
        <f t="shared" si="200"/>
        <v>71.400000000000006</v>
      </c>
      <c r="BE89" s="282">
        <f t="shared" si="201"/>
        <v>63.760000000000005</v>
      </c>
      <c r="BF89" s="283"/>
      <c r="BG89" s="281">
        <f t="shared" si="202"/>
        <v>43.4</v>
      </c>
      <c r="BH89" s="282">
        <f t="shared" si="203"/>
        <v>49.980000000000004</v>
      </c>
      <c r="BI89" s="282">
        <f t="shared" si="204"/>
        <v>76.490000000000009</v>
      </c>
      <c r="BJ89" s="283"/>
      <c r="BK89" s="281">
        <f t="shared" si="205"/>
        <v>54.92</v>
      </c>
      <c r="BL89" s="282">
        <f t="shared" si="206"/>
        <v>45.25</v>
      </c>
      <c r="BM89" s="282">
        <f t="shared" si="207"/>
        <v>62.45</v>
      </c>
      <c r="BN89" s="283"/>
      <c r="CG89" s="281">
        <f t="shared" si="208"/>
        <v>72.28</v>
      </c>
      <c r="CH89" s="281">
        <f t="shared" si="209"/>
        <v>108.75999999999999</v>
      </c>
      <c r="CI89" s="281">
        <f t="shared" si="210"/>
        <v>81.41</v>
      </c>
      <c r="CJ89" s="293">
        <f t="shared" si="211"/>
        <v>92.97</v>
      </c>
      <c r="CK89" s="281">
        <f t="shared" si="212"/>
        <v>165.8</v>
      </c>
      <c r="CL89" s="281">
        <f t="shared" si="213"/>
        <v>211.82999999999998</v>
      </c>
      <c r="CM89" s="281">
        <f t="shared" si="214"/>
        <v>160.28</v>
      </c>
      <c r="CN89" s="293">
        <f t="shared" si="215"/>
        <v>205.35000000000002</v>
      </c>
      <c r="CO89" s="281">
        <f t="shared" si="216"/>
        <v>323.77</v>
      </c>
      <c r="CP89" s="281">
        <f t="shared" si="217"/>
        <v>338.35999999999996</v>
      </c>
      <c r="CQ89" s="281">
        <f t="shared" si="218"/>
        <v>286.99</v>
      </c>
      <c r="CR89" s="293">
        <f t="shared" si="219"/>
        <v>281.81</v>
      </c>
      <c r="CS89" s="281">
        <f t="shared" si="220"/>
        <v>495.07</v>
      </c>
      <c r="CT89" s="281">
        <f t="shared" si="221"/>
        <v>504.99</v>
      </c>
      <c r="CU89" s="281">
        <f t="shared" si="222"/>
        <v>489.69</v>
      </c>
      <c r="CV89" s="293">
        <f t="shared" si="223"/>
        <v>281.81</v>
      </c>
      <c r="CX89" s="316">
        <f t="shared" si="224"/>
        <v>103.07</v>
      </c>
      <c r="CY89" s="316">
        <f t="shared" si="225"/>
        <v>78.87</v>
      </c>
      <c r="CZ89" s="316">
        <f t="shared" si="226"/>
        <v>112.38</v>
      </c>
      <c r="DA89" s="318">
        <f t="shared" si="227"/>
        <v>52.84</v>
      </c>
      <c r="DB89" s="281">
        <f t="shared" si="228"/>
        <v>229.59999999999997</v>
      </c>
      <c r="DC89" s="281">
        <f t="shared" si="229"/>
        <v>205.58</v>
      </c>
      <c r="DD89" s="281">
        <f t="shared" si="230"/>
        <v>188.83999999999997</v>
      </c>
      <c r="DE89" s="293">
        <f t="shared" si="231"/>
        <v>192.38</v>
      </c>
      <c r="DF89" s="281">
        <f t="shared" si="232"/>
        <v>396.23</v>
      </c>
      <c r="DG89" s="281">
        <f t="shared" si="233"/>
        <v>408.28000000000003</v>
      </c>
      <c r="DH89" s="281">
        <f t="shared" si="234"/>
        <v>188.83999999999997</v>
      </c>
      <c r="DI89" s="293">
        <f t="shared" si="235"/>
        <v>290.7</v>
      </c>
      <c r="DJ89" s="281">
        <f t="shared" si="236"/>
        <v>396.23</v>
      </c>
      <c r="DK89" s="281">
        <f t="shared" si="237"/>
        <v>408.28000000000003</v>
      </c>
      <c r="DL89" s="281">
        <f t="shared" si="238"/>
        <v>188.83999999999997</v>
      </c>
      <c r="DM89" s="609">
        <f t="shared" si="239"/>
        <v>290.7</v>
      </c>
    </row>
    <row r="90" spans="1:117" ht="15" hidden="1" customHeight="1" x14ac:dyDescent="0.25">
      <c r="A90" s="521"/>
      <c r="B90" s="55">
        <v>11</v>
      </c>
      <c r="C90" s="368"/>
      <c r="D90" s="368"/>
      <c r="E90" s="368"/>
      <c r="F90" s="368">
        <v>44.5</v>
      </c>
      <c r="G90" s="281">
        <f t="shared" si="164"/>
        <v>49.190000000000005</v>
      </c>
      <c r="H90" s="282">
        <f t="shared" si="165"/>
        <v>38.659999999999997</v>
      </c>
      <c r="I90" s="282">
        <f t="shared" si="166"/>
        <v>29.79</v>
      </c>
      <c r="J90" s="283">
        <f t="shared" si="167"/>
        <v>41.08</v>
      </c>
      <c r="K90" s="281">
        <f t="shared" si="168"/>
        <v>20.090000000000003</v>
      </c>
      <c r="L90" s="282">
        <f t="shared" si="169"/>
        <v>32.729999999999997</v>
      </c>
      <c r="M90" s="282">
        <f t="shared" si="170"/>
        <v>31.44</v>
      </c>
      <c r="N90" s="283">
        <f t="shared" si="171"/>
        <v>27.060000000000002</v>
      </c>
      <c r="O90" s="281">
        <f t="shared" si="172"/>
        <v>37.300000000000004</v>
      </c>
      <c r="P90" s="282">
        <f t="shared" si="173"/>
        <v>36.949999999999996</v>
      </c>
      <c r="Q90" s="282">
        <f t="shared" si="174"/>
        <v>30.26</v>
      </c>
      <c r="R90" s="283">
        <f t="shared" si="175"/>
        <v>40.57</v>
      </c>
      <c r="W90" s="281">
        <f t="shared" si="176"/>
        <v>63.84</v>
      </c>
      <c r="X90" s="282">
        <f t="shared" si="177"/>
        <v>82.75</v>
      </c>
      <c r="Y90" s="282">
        <f t="shared" si="178"/>
        <v>37.340000000000003</v>
      </c>
      <c r="Z90" s="283">
        <f t="shared" si="179"/>
        <v>35.96</v>
      </c>
      <c r="AA90" s="281">
        <f t="shared" si="180"/>
        <v>47.269999999999996</v>
      </c>
      <c r="AB90" s="282">
        <f t="shared" si="181"/>
        <v>48.66</v>
      </c>
      <c r="AC90" s="282">
        <f t="shared" si="182"/>
        <v>53.78</v>
      </c>
      <c r="AD90" s="283">
        <f t="shared" si="183"/>
        <v>51.4</v>
      </c>
      <c r="AE90" s="281">
        <f t="shared" si="184"/>
        <v>29.83</v>
      </c>
      <c r="AF90" s="282">
        <f t="shared" si="185"/>
        <v>48.43</v>
      </c>
      <c r="AG90" s="282">
        <f t="shared" si="186"/>
        <v>30.880000000000003</v>
      </c>
      <c r="AH90" s="283">
        <f t="shared" si="187"/>
        <v>44.1</v>
      </c>
      <c r="AM90" s="281">
        <f t="shared" si="188"/>
        <v>22.3</v>
      </c>
      <c r="AN90" s="282">
        <f t="shared" si="189"/>
        <v>54.44</v>
      </c>
      <c r="AO90" s="282">
        <f t="shared" si="190"/>
        <v>24.82</v>
      </c>
      <c r="AP90" s="283">
        <f t="shared" si="191"/>
        <v>47.35</v>
      </c>
      <c r="AQ90" s="281">
        <f t="shared" si="192"/>
        <v>36.81</v>
      </c>
      <c r="AR90" s="282">
        <f t="shared" si="193"/>
        <v>61.24</v>
      </c>
      <c r="AS90" s="282">
        <f t="shared" si="194"/>
        <v>43.08</v>
      </c>
      <c r="AT90" s="283">
        <f t="shared" si="195"/>
        <v>51.099999999999994</v>
      </c>
      <c r="AU90" s="281">
        <f t="shared" si="196"/>
        <v>87.84</v>
      </c>
      <c r="AV90" s="282">
        <f t="shared" si="197"/>
        <v>59.05</v>
      </c>
      <c r="AW90" s="282">
        <f t="shared" si="198"/>
        <v>98.26</v>
      </c>
      <c r="AX90" s="283"/>
      <c r="BC90" s="281">
        <f t="shared" si="199"/>
        <v>59.98</v>
      </c>
      <c r="BD90" s="282">
        <f t="shared" si="200"/>
        <v>59.16</v>
      </c>
      <c r="BE90" s="282">
        <f t="shared" si="201"/>
        <v>45.33</v>
      </c>
      <c r="BF90" s="283"/>
      <c r="BG90" s="281">
        <f t="shared" si="202"/>
        <v>85.12</v>
      </c>
      <c r="BH90" s="282">
        <f t="shared" si="203"/>
        <v>28.49</v>
      </c>
      <c r="BI90" s="282">
        <f t="shared" si="204"/>
        <v>62.233999999999995</v>
      </c>
      <c r="BJ90" s="283"/>
      <c r="BK90" s="281">
        <f t="shared" si="205"/>
        <v>58.31</v>
      </c>
      <c r="BL90" s="282">
        <f t="shared" si="206"/>
        <v>54.529999999999994</v>
      </c>
      <c r="BM90" s="282">
        <f t="shared" si="207"/>
        <v>52</v>
      </c>
      <c r="BN90" s="283"/>
      <c r="CG90" s="281">
        <f t="shared" si="208"/>
        <v>106.58000000000001</v>
      </c>
      <c r="CH90" s="281">
        <f t="shared" si="209"/>
        <v>108.33999999999997</v>
      </c>
      <c r="CI90" s="281">
        <f t="shared" si="210"/>
        <v>91.490000000000009</v>
      </c>
      <c r="CJ90" s="293">
        <f t="shared" si="211"/>
        <v>108.71000000000001</v>
      </c>
      <c r="CK90" s="281">
        <f t="shared" si="212"/>
        <v>247.51999999999998</v>
      </c>
      <c r="CL90" s="281">
        <f t="shared" si="213"/>
        <v>288.17999999999995</v>
      </c>
      <c r="CM90" s="281">
        <f t="shared" si="214"/>
        <v>213.49</v>
      </c>
      <c r="CN90" s="293">
        <f t="shared" si="215"/>
        <v>240.17000000000002</v>
      </c>
      <c r="CO90" s="281">
        <f t="shared" si="216"/>
        <v>394.47</v>
      </c>
      <c r="CP90" s="281">
        <f t="shared" si="217"/>
        <v>462.90999999999997</v>
      </c>
      <c r="CQ90" s="281">
        <f t="shared" si="218"/>
        <v>379.65</v>
      </c>
      <c r="CR90" s="293">
        <f t="shared" si="219"/>
        <v>338.62</v>
      </c>
      <c r="CS90" s="281">
        <f t="shared" si="220"/>
        <v>597.88000000000011</v>
      </c>
      <c r="CT90" s="281">
        <f t="shared" si="221"/>
        <v>605.08999999999992</v>
      </c>
      <c r="CU90" s="281">
        <f t="shared" si="222"/>
        <v>539.21399999999994</v>
      </c>
      <c r="CV90" s="293">
        <f t="shared" si="223"/>
        <v>338.62</v>
      </c>
      <c r="CX90" s="316">
        <f t="shared" si="224"/>
        <v>179.84</v>
      </c>
      <c r="CY90" s="316">
        <f t="shared" si="225"/>
        <v>122</v>
      </c>
      <c r="CZ90" s="316">
        <f t="shared" si="226"/>
        <v>131.46</v>
      </c>
      <c r="DA90" s="318">
        <f t="shared" si="227"/>
        <v>77.099999999999994</v>
      </c>
      <c r="DB90" s="281">
        <f t="shared" si="228"/>
        <v>354.57</v>
      </c>
      <c r="DC90" s="281">
        <f t="shared" si="229"/>
        <v>288.15999999999997</v>
      </c>
      <c r="DD90" s="281">
        <f t="shared" si="230"/>
        <v>229.91</v>
      </c>
      <c r="DE90" s="293">
        <f t="shared" si="231"/>
        <v>201.75</v>
      </c>
      <c r="DF90" s="281">
        <f t="shared" si="232"/>
        <v>496.75</v>
      </c>
      <c r="DG90" s="281">
        <f t="shared" si="233"/>
        <v>447.72399999999993</v>
      </c>
      <c r="DH90" s="281">
        <f t="shared" si="234"/>
        <v>229.91</v>
      </c>
      <c r="DI90" s="293">
        <f t="shared" si="235"/>
        <v>345.18</v>
      </c>
      <c r="DJ90" s="281">
        <f t="shared" si="236"/>
        <v>496.75</v>
      </c>
      <c r="DK90" s="281">
        <f t="shared" si="237"/>
        <v>447.72399999999993</v>
      </c>
      <c r="DL90" s="281">
        <f t="shared" si="238"/>
        <v>229.91</v>
      </c>
      <c r="DM90" s="609">
        <f t="shared" si="239"/>
        <v>345.18</v>
      </c>
    </row>
    <row r="91" spans="1:117" ht="15" hidden="1" customHeight="1" x14ac:dyDescent="0.25">
      <c r="A91" s="521"/>
      <c r="B91" s="55">
        <v>12</v>
      </c>
      <c r="C91" s="368"/>
      <c r="D91" s="368"/>
      <c r="E91" s="368"/>
      <c r="F91" s="368">
        <v>71</v>
      </c>
      <c r="G91" s="281">
        <f t="shared" si="164"/>
        <v>103.92</v>
      </c>
      <c r="H91" s="282">
        <f t="shared" si="165"/>
        <v>64.150000000000006</v>
      </c>
      <c r="I91" s="282">
        <f t="shared" si="166"/>
        <v>78.53</v>
      </c>
      <c r="J91" s="283">
        <f t="shared" si="167"/>
        <v>51.83</v>
      </c>
      <c r="K91" s="281">
        <f t="shared" si="168"/>
        <v>41.82</v>
      </c>
      <c r="L91" s="282">
        <f t="shared" si="169"/>
        <v>73.37</v>
      </c>
      <c r="M91" s="282">
        <f t="shared" si="170"/>
        <v>60.73</v>
      </c>
      <c r="N91" s="283">
        <f t="shared" si="171"/>
        <v>82.91</v>
      </c>
      <c r="O91" s="281">
        <f t="shared" si="172"/>
        <v>69.2</v>
      </c>
      <c r="P91" s="282">
        <f t="shared" si="173"/>
        <v>66.05</v>
      </c>
      <c r="Q91" s="282">
        <f t="shared" si="174"/>
        <v>41.84</v>
      </c>
      <c r="R91" s="283">
        <f t="shared" si="175"/>
        <v>61.5</v>
      </c>
      <c r="W91" s="281">
        <f t="shared" si="176"/>
        <v>62.67</v>
      </c>
      <c r="X91" s="282">
        <f t="shared" si="177"/>
        <v>72.349999999999994</v>
      </c>
      <c r="Y91" s="282">
        <f t="shared" si="178"/>
        <v>85.08</v>
      </c>
      <c r="Z91" s="283">
        <f t="shared" si="179"/>
        <v>108.55</v>
      </c>
      <c r="AA91" s="281">
        <f t="shared" si="180"/>
        <v>96.63000000000001</v>
      </c>
      <c r="AB91" s="282">
        <f t="shared" si="181"/>
        <v>69.09</v>
      </c>
      <c r="AC91" s="282">
        <f t="shared" si="182"/>
        <v>60.72</v>
      </c>
      <c r="AD91" s="283">
        <f t="shared" si="183"/>
        <v>69.22999999999999</v>
      </c>
      <c r="AE91" s="281">
        <f t="shared" si="184"/>
        <v>57.239999999999995</v>
      </c>
      <c r="AF91" s="282">
        <f t="shared" si="185"/>
        <v>77.56</v>
      </c>
      <c r="AG91" s="282">
        <f t="shared" si="186"/>
        <v>57.980000000000004</v>
      </c>
      <c r="AH91" s="283">
        <f t="shared" si="187"/>
        <v>72.430000000000007</v>
      </c>
      <c r="AM91" s="281">
        <f t="shared" si="188"/>
        <v>43.55</v>
      </c>
      <c r="AN91" s="282">
        <f t="shared" si="189"/>
        <v>77.760000000000005</v>
      </c>
      <c r="AO91" s="282">
        <f t="shared" si="190"/>
        <v>62.17</v>
      </c>
      <c r="AP91" s="283">
        <f t="shared" si="191"/>
        <v>75.459999999999994</v>
      </c>
      <c r="AQ91" s="281">
        <f t="shared" si="192"/>
        <v>58.84</v>
      </c>
      <c r="AR91" s="282">
        <f t="shared" si="193"/>
        <v>74.569999999999993</v>
      </c>
      <c r="AS91" s="282">
        <f t="shared" si="194"/>
        <v>67.44</v>
      </c>
      <c r="AT91" s="283">
        <f t="shared" si="195"/>
        <v>80.36</v>
      </c>
      <c r="AU91" s="281">
        <f t="shared" si="196"/>
        <v>81.45</v>
      </c>
      <c r="AV91" s="282">
        <f t="shared" si="197"/>
        <v>95.53</v>
      </c>
      <c r="AW91" s="282">
        <f t="shared" si="198"/>
        <v>147.54000000000002</v>
      </c>
      <c r="AX91" s="283"/>
      <c r="BC91" s="281">
        <f t="shared" si="199"/>
        <v>139.88</v>
      </c>
      <c r="BD91" s="282">
        <f t="shared" si="200"/>
        <v>117.32</v>
      </c>
      <c r="BE91" s="282">
        <f t="shared" si="201"/>
        <v>92.97</v>
      </c>
      <c r="BF91" s="283"/>
      <c r="BG91" s="281">
        <f t="shared" si="202"/>
        <v>122.47</v>
      </c>
      <c r="BH91" s="282">
        <f t="shared" si="203"/>
        <v>97.89</v>
      </c>
      <c r="BI91" s="282">
        <f t="shared" si="204"/>
        <v>143.44999999999999</v>
      </c>
      <c r="BJ91" s="283"/>
      <c r="BK91" s="281">
        <f t="shared" si="205"/>
        <v>180.53</v>
      </c>
      <c r="BL91" s="282">
        <f t="shared" si="206"/>
        <v>94.080000000000013</v>
      </c>
      <c r="BM91" s="282">
        <f t="shared" si="207"/>
        <v>98.47</v>
      </c>
      <c r="BN91" s="283"/>
      <c r="CG91" s="281">
        <f t="shared" si="208"/>
        <v>214.94</v>
      </c>
      <c r="CH91" s="281">
        <f t="shared" si="209"/>
        <v>203.57</v>
      </c>
      <c r="CI91" s="281">
        <f t="shared" si="210"/>
        <v>181.1</v>
      </c>
      <c r="CJ91" s="293">
        <f t="shared" si="211"/>
        <v>196.24</v>
      </c>
      <c r="CK91" s="281">
        <f t="shared" si="212"/>
        <v>431.48</v>
      </c>
      <c r="CL91" s="281">
        <f t="shared" si="213"/>
        <v>422.57</v>
      </c>
      <c r="CM91" s="281">
        <f t="shared" si="214"/>
        <v>384.88</v>
      </c>
      <c r="CN91" s="293">
        <f t="shared" si="215"/>
        <v>446.45</v>
      </c>
      <c r="CO91" s="281">
        <f t="shared" si="216"/>
        <v>615.32000000000005</v>
      </c>
      <c r="CP91" s="281">
        <f t="shared" si="217"/>
        <v>670.43</v>
      </c>
      <c r="CQ91" s="281">
        <f t="shared" si="218"/>
        <v>662.03</v>
      </c>
      <c r="CR91" s="293">
        <f t="shared" si="219"/>
        <v>602.27</v>
      </c>
      <c r="CS91" s="281">
        <f t="shared" si="220"/>
        <v>1058.2</v>
      </c>
      <c r="CT91" s="281">
        <f t="shared" si="221"/>
        <v>979.72</v>
      </c>
      <c r="CU91" s="281">
        <f t="shared" si="222"/>
        <v>996.92000000000007</v>
      </c>
      <c r="CV91" s="293">
        <f t="shared" si="223"/>
        <v>602.27</v>
      </c>
      <c r="CX91" s="316">
        <f t="shared" si="224"/>
        <v>219</v>
      </c>
      <c r="CY91" s="316">
        <f t="shared" si="225"/>
        <v>203.78000000000003</v>
      </c>
      <c r="CZ91" s="316">
        <f t="shared" si="226"/>
        <v>250.20999999999998</v>
      </c>
      <c r="DA91" s="318">
        <f t="shared" si="227"/>
        <v>153.87</v>
      </c>
      <c r="DB91" s="281">
        <f t="shared" si="228"/>
        <v>466.86</v>
      </c>
      <c r="DC91" s="281">
        <f t="shared" si="229"/>
        <v>480.93000000000006</v>
      </c>
      <c r="DD91" s="281">
        <f t="shared" si="230"/>
        <v>406.03</v>
      </c>
      <c r="DE91" s="293">
        <f t="shared" si="231"/>
        <v>294.16000000000003</v>
      </c>
      <c r="DF91" s="281">
        <f t="shared" si="232"/>
        <v>776.15000000000009</v>
      </c>
      <c r="DG91" s="281">
        <f t="shared" si="233"/>
        <v>815.82000000000016</v>
      </c>
      <c r="DH91" s="281">
        <f t="shared" si="234"/>
        <v>406.03</v>
      </c>
      <c r="DI91" s="293">
        <f t="shared" si="235"/>
        <v>597.16</v>
      </c>
      <c r="DJ91" s="281">
        <f t="shared" si="236"/>
        <v>776.15000000000009</v>
      </c>
      <c r="DK91" s="281">
        <f t="shared" si="237"/>
        <v>815.82000000000016</v>
      </c>
      <c r="DL91" s="281">
        <f t="shared" si="238"/>
        <v>406.03</v>
      </c>
      <c r="DM91" s="609">
        <f t="shared" si="239"/>
        <v>597.16</v>
      </c>
    </row>
    <row r="92" spans="1:117" ht="15.75" hidden="1" customHeight="1" thickBot="1" x14ac:dyDescent="0.3">
      <c r="A92" s="522"/>
      <c r="B92" s="83">
        <v>23</v>
      </c>
      <c r="C92" s="369"/>
      <c r="D92" s="369"/>
      <c r="E92" s="369"/>
      <c r="F92" s="369">
        <v>14.6</v>
      </c>
      <c r="G92" s="281">
        <f t="shared" si="164"/>
        <v>16.240000000000002</v>
      </c>
      <c r="H92" s="282">
        <f t="shared" si="165"/>
        <v>13.39</v>
      </c>
      <c r="I92" s="282">
        <f t="shared" si="166"/>
        <v>20.83</v>
      </c>
      <c r="J92" s="283">
        <f t="shared" si="167"/>
        <v>15.99</v>
      </c>
      <c r="K92" s="281">
        <f t="shared" si="168"/>
        <v>8.74</v>
      </c>
      <c r="L92" s="282">
        <f t="shared" si="169"/>
        <v>23.380000000000003</v>
      </c>
      <c r="M92" s="282">
        <f t="shared" si="170"/>
        <v>15.02</v>
      </c>
      <c r="N92" s="283">
        <f t="shared" si="171"/>
        <v>20.85</v>
      </c>
      <c r="O92" s="281">
        <f t="shared" si="172"/>
        <v>14.7</v>
      </c>
      <c r="P92" s="282">
        <f t="shared" si="173"/>
        <v>14.47</v>
      </c>
      <c r="Q92" s="282">
        <f t="shared" si="174"/>
        <v>7.17</v>
      </c>
      <c r="R92" s="283">
        <f t="shared" si="175"/>
        <v>12.399999999999999</v>
      </c>
      <c r="W92" s="281">
        <f t="shared" si="176"/>
        <v>20.130000000000003</v>
      </c>
      <c r="X92" s="282">
        <f t="shared" si="177"/>
        <v>7.79</v>
      </c>
      <c r="Y92" s="282">
        <f t="shared" si="178"/>
        <v>12.370000000000001</v>
      </c>
      <c r="Z92" s="283">
        <f t="shared" si="179"/>
        <v>31.32</v>
      </c>
      <c r="AA92" s="281">
        <f t="shared" si="180"/>
        <v>18.100000000000001</v>
      </c>
      <c r="AB92" s="282">
        <f t="shared" si="181"/>
        <v>16.48</v>
      </c>
      <c r="AC92" s="282">
        <f t="shared" si="182"/>
        <v>24.14</v>
      </c>
      <c r="AD92" s="283">
        <f t="shared" si="183"/>
        <v>21.55</v>
      </c>
      <c r="AE92" s="281">
        <f t="shared" si="184"/>
        <v>12.600000000000001</v>
      </c>
      <c r="AF92" s="282">
        <f t="shared" si="185"/>
        <v>21.369999999999997</v>
      </c>
      <c r="AG92" s="282">
        <f t="shared" si="186"/>
        <v>15.32</v>
      </c>
      <c r="AH92" s="283">
        <f t="shared" si="187"/>
        <v>21.51</v>
      </c>
      <c r="AM92" s="281">
        <f t="shared" si="188"/>
        <v>13.33</v>
      </c>
      <c r="AN92" s="282">
        <f t="shared" si="189"/>
        <v>21.189999999999998</v>
      </c>
      <c r="AO92" s="282">
        <f t="shared" si="190"/>
        <v>29.12</v>
      </c>
      <c r="AP92" s="283">
        <f t="shared" si="191"/>
        <v>19.11</v>
      </c>
      <c r="AQ92" s="281">
        <f t="shared" si="192"/>
        <v>18.82</v>
      </c>
      <c r="AR92" s="282">
        <f t="shared" si="193"/>
        <v>41.82</v>
      </c>
      <c r="AS92" s="282">
        <f t="shared" si="194"/>
        <v>40.04</v>
      </c>
      <c r="AT92" s="283">
        <f t="shared" si="195"/>
        <v>29.76</v>
      </c>
      <c r="AU92" s="281">
        <f t="shared" si="196"/>
        <v>14.39</v>
      </c>
      <c r="AV92" s="282">
        <f t="shared" si="197"/>
        <v>22.19</v>
      </c>
      <c r="AW92" s="282">
        <f t="shared" si="198"/>
        <v>25.52</v>
      </c>
      <c r="AX92" s="283"/>
      <c r="BC92" s="281">
        <f t="shared" si="199"/>
        <v>42.260000000000005</v>
      </c>
      <c r="BD92" s="282">
        <f t="shared" si="200"/>
        <v>23.86</v>
      </c>
      <c r="BE92" s="282">
        <f t="shared" si="201"/>
        <v>44.03</v>
      </c>
      <c r="BF92" s="283"/>
      <c r="BG92" s="281">
        <f t="shared" si="202"/>
        <v>28.15</v>
      </c>
      <c r="BH92" s="282">
        <f t="shared" si="203"/>
        <v>20.75</v>
      </c>
      <c r="BI92" s="282">
        <f t="shared" si="204"/>
        <v>32.370000000000005</v>
      </c>
      <c r="BJ92" s="283"/>
      <c r="BK92" s="281">
        <f t="shared" si="205"/>
        <v>18.77</v>
      </c>
      <c r="BL92" s="282">
        <f t="shared" si="206"/>
        <v>16.809999999999999</v>
      </c>
      <c r="BM92" s="282">
        <f t="shared" si="207"/>
        <v>21.66</v>
      </c>
      <c r="BN92" s="283"/>
      <c r="CG92" s="281">
        <f t="shared" si="208"/>
        <v>39.680000000000007</v>
      </c>
      <c r="CH92" s="281">
        <f t="shared" si="209"/>
        <v>51.24</v>
      </c>
      <c r="CI92" s="281">
        <f t="shared" si="210"/>
        <v>43.019999999999996</v>
      </c>
      <c r="CJ92" s="293">
        <f t="shared" si="211"/>
        <v>49.24</v>
      </c>
      <c r="CK92" s="281">
        <f t="shared" si="212"/>
        <v>90.510000000000019</v>
      </c>
      <c r="CL92" s="281">
        <f t="shared" si="213"/>
        <v>96.88</v>
      </c>
      <c r="CM92" s="281">
        <f t="shared" si="214"/>
        <v>94.85</v>
      </c>
      <c r="CN92" s="293">
        <f t="shared" si="215"/>
        <v>123.62</v>
      </c>
      <c r="CO92" s="281">
        <f t="shared" si="216"/>
        <v>137.05000000000001</v>
      </c>
      <c r="CP92" s="281">
        <f t="shared" si="217"/>
        <v>182.07999999999998</v>
      </c>
      <c r="CQ92" s="281">
        <f t="shared" si="218"/>
        <v>189.53</v>
      </c>
      <c r="CR92" s="293">
        <f t="shared" si="219"/>
        <v>172.49</v>
      </c>
      <c r="CS92" s="281">
        <f t="shared" si="220"/>
        <v>226.23000000000002</v>
      </c>
      <c r="CT92" s="281">
        <f t="shared" si="221"/>
        <v>243.5</v>
      </c>
      <c r="CU92" s="281">
        <f t="shared" si="222"/>
        <v>287.59000000000003</v>
      </c>
      <c r="CV92" s="293">
        <f t="shared" si="223"/>
        <v>172.49</v>
      </c>
      <c r="CX92" s="316">
        <f t="shared" si="224"/>
        <v>45.64</v>
      </c>
      <c r="CY92" s="316">
        <f t="shared" si="225"/>
        <v>51.830000000000005</v>
      </c>
      <c r="CZ92" s="316">
        <f t="shared" si="226"/>
        <v>74.38000000000001</v>
      </c>
      <c r="DA92" s="318">
        <f t="shared" si="227"/>
        <v>30.700000000000003</v>
      </c>
      <c r="DB92" s="281">
        <f t="shared" si="228"/>
        <v>130.84</v>
      </c>
      <c r="DC92" s="281">
        <f t="shared" si="229"/>
        <v>146.51000000000002</v>
      </c>
      <c r="DD92" s="281">
        <f t="shared" si="230"/>
        <v>123.25000000000001</v>
      </c>
      <c r="DE92" s="293">
        <f t="shared" si="231"/>
        <v>63.910000000000004</v>
      </c>
      <c r="DF92" s="281">
        <f t="shared" si="232"/>
        <v>192.26</v>
      </c>
      <c r="DG92" s="281">
        <f t="shared" si="233"/>
        <v>244.57000000000002</v>
      </c>
      <c r="DH92" s="281">
        <f t="shared" si="234"/>
        <v>123.25000000000001</v>
      </c>
      <c r="DI92" s="293">
        <f t="shared" si="235"/>
        <v>110.83</v>
      </c>
      <c r="DJ92" s="281">
        <f t="shared" si="236"/>
        <v>192.26</v>
      </c>
      <c r="DK92" s="281">
        <f t="shared" si="237"/>
        <v>244.57000000000002</v>
      </c>
      <c r="DL92" s="281">
        <f t="shared" si="238"/>
        <v>123.25000000000001</v>
      </c>
      <c r="DM92" s="609">
        <f t="shared" si="239"/>
        <v>110.83</v>
      </c>
    </row>
    <row r="93" spans="1:117" ht="15" hidden="1" customHeight="1" x14ac:dyDescent="0.25">
      <c r="A93" s="520" t="s">
        <v>22</v>
      </c>
      <c r="B93" s="85">
        <v>10</v>
      </c>
      <c r="C93" s="370"/>
      <c r="D93" s="370"/>
      <c r="E93" s="370"/>
      <c r="F93" s="370">
        <v>19.100000000000001</v>
      </c>
      <c r="G93" s="281">
        <f t="shared" si="164"/>
        <v>11.7</v>
      </c>
      <c r="H93" s="282">
        <f t="shared" si="165"/>
        <v>16.29</v>
      </c>
      <c r="I93" s="282">
        <f t="shared" si="166"/>
        <v>19.59</v>
      </c>
      <c r="J93" s="283">
        <f t="shared" si="167"/>
        <v>8.8699999999999992</v>
      </c>
      <c r="K93" s="281">
        <f t="shared" si="168"/>
        <v>7.34</v>
      </c>
      <c r="L93" s="282">
        <f t="shared" si="169"/>
        <v>16.53</v>
      </c>
      <c r="M93" s="282">
        <f t="shared" si="170"/>
        <v>10.29</v>
      </c>
      <c r="N93" s="283">
        <f t="shared" si="171"/>
        <v>18.600000000000001</v>
      </c>
      <c r="O93" s="281">
        <f t="shared" si="172"/>
        <v>14.849999999999998</v>
      </c>
      <c r="P93" s="282">
        <f t="shared" si="173"/>
        <v>18.66</v>
      </c>
      <c r="Q93" s="282">
        <f t="shared" si="174"/>
        <v>10.94</v>
      </c>
      <c r="R93" s="283">
        <f t="shared" si="175"/>
        <v>21.950000000000003</v>
      </c>
      <c r="W93" s="281">
        <f t="shared" si="176"/>
        <v>19.18</v>
      </c>
      <c r="X93" s="282">
        <f t="shared" si="177"/>
        <v>15.34</v>
      </c>
      <c r="Y93" s="282">
        <f t="shared" si="178"/>
        <v>7.91</v>
      </c>
      <c r="Z93" s="283">
        <f t="shared" si="179"/>
        <v>17.760000000000002</v>
      </c>
      <c r="AA93" s="281">
        <f t="shared" si="180"/>
        <v>26.41</v>
      </c>
      <c r="AB93" s="282">
        <f t="shared" si="181"/>
        <v>25.56</v>
      </c>
      <c r="AC93" s="282">
        <f t="shared" si="182"/>
        <v>16.59</v>
      </c>
      <c r="AD93" s="283">
        <f t="shared" si="183"/>
        <v>21.09</v>
      </c>
      <c r="AE93" s="281">
        <f t="shared" si="184"/>
        <v>22.54</v>
      </c>
      <c r="AF93" s="282">
        <f t="shared" si="185"/>
        <v>21.5</v>
      </c>
      <c r="AG93" s="282">
        <f t="shared" si="186"/>
        <v>20.95</v>
      </c>
      <c r="AH93" s="283">
        <f t="shared" si="187"/>
        <v>29.669999999999998</v>
      </c>
      <c r="AM93" s="281">
        <f t="shared" si="188"/>
        <v>13.11</v>
      </c>
      <c r="AN93" s="282">
        <f t="shared" si="189"/>
        <v>27.93</v>
      </c>
      <c r="AO93" s="282">
        <f t="shared" si="190"/>
        <v>13.52</v>
      </c>
      <c r="AP93" s="283">
        <f t="shared" si="191"/>
        <v>15.129999999999999</v>
      </c>
      <c r="AQ93" s="281">
        <f t="shared" si="192"/>
        <v>20.47</v>
      </c>
      <c r="AR93" s="282">
        <f t="shared" si="193"/>
        <v>29.2</v>
      </c>
      <c r="AS93" s="282">
        <f t="shared" si="194"/>
        <v>27.61</v>
      </c>
      <c r="AT93" s="283">
        <f t="shared" si="195"/>
        <v>23.62</v>
      </c>
      <c r="AU93" s="281">
        <f t="shared" si="196"/>
        <v>44.04</v>
      </c>
      <c r="AV93" s="282">
        <f t="shared" si="197"/>
        <v>34.06</v>
      </c>
      <c r="AW93" s="282">
        <f t="shared" si="198"/>
        <v>40.57</v>
      </c>
      <c r="AX93" s="283"/>
      <c r="BC93" s="281">
        <f t="shared" si="199"/>
        <v>36.01</v>
      </c>
      <c r="BD93" s="282">
        <f t="shared" si="200"/>
        <v>29.66</v>
      </c>
      <c r="BE93" s="282">
        <f t="shared" si="201"/>
        <v>28.14</v>
      </c>
      <c r="BF93" s="283"/>
      <c r="BG93" s="281">
        <f t="shared" si="202"/>
        <v>0</v>
      </c>
      <c r="BH93" s="282">
        <f t="shared" si="203"/>
        <v>24.72</v>
      </c>
      <c r="BI93" s="282">
        <f t="shared" si="204"/>
        <v>35.380000000000003</v>
      </c>
      <c r="BJ93" s="283"/>
      <c r="BK93" s="281">
        <f t="shared" si="205"/>
        <v>53.05</v>
      </c>
      <c r="BL93" s="282">
        <f t="shared" si="206"/>
        <v>28.05</v>
      </c>
      <c r="BM93" s="282">
        <f t="shared" si="207"/>
        <v>29.310000000000002</v>
      </c>
      <c r="BN93" s="283"/>
      <c r="CG93" s="281">
        <f t="shared" si="208"/>
        <v>33.89</v>
      </c>
      <c r="CH93" s="281">
        <f t="shared" si="209"/>
        <v>51.480000000000004</v>
      </c>
      <c r="CI93" s="281">
        <f t="shared" si="210"/>
        <v>40.82</v>
      </c>
      <c r="CJ93" s="293">
        <f t="shared" si="211"/>
        <v>49.42</v>
      </c>
      <c r="CK93" s="281">
        <f t="shared" si="212"/>
        <v>102.02000000000001</v>
      </c>
      <c r="CL93" s="281">
        <f t="shared" si="213"/>
        <v>113.88000000000001</v>
      </c>
      <c r="CM93" s="281">
        <f t="shared" si="214"/>
        <v>86.27000000000001</v>
      </c>
      <c r="CN93" s="293">
        <f t="shared" si="215"/>
        <v>117.94000000000001</v>
      </c>
      <c r="CO93" s="281">
        <f t="shared" si="216"/>
        <v>179.64000000000001</v>
      </c>
      <c r="CP93" s="281">
        <f t="shared" si="217"/>
        <v>205.07</v>
      </c>
      <c r="CQ93" s="281">
        <f t="shared" si="218"/>
        <v>167.97</v>
      </c>
      <c r="CR93" s="293">
        <f t="shared" si="219"/>
        <v>156.69000000000003</v>
      </c>
      <c r="CS93" s="281">
        <f t="shared" si="220"/>
        <v>268.7</v>
      </c>
      <c r="CT93" s="281">
        <f t="shared" si="221"/>
        <v>287.5</v>
      </c>
      <c r="CU93" s="281">
        <f t="shared" si="222"/>
        <v>260.8</v>
      </c>
      <c r="CV93" s="293">
        <f t="shared" si="223"/>
        <v>156.69000000000003</v>
      </c>
      <c r="CX93" s="316">
        <f t="shared" si="224"/>
        <v>62.4</v>
      </c>
      <c r="CY93" s="316">
        <f t="shared" si="225"/>
        <v>45.45</v>
      </c>
      <c r="CZ93" s="316">
        <f t="shared" si="226"/>
        <v>68.52</v>
      </c>
      <c r="DA93" s="318">
        <f t="shared" si="227"/>
        <v>48.95</v>
      </c>
      <c r="DB93" s="281">
        <f t="shared" si="228"/>
        <v>153.59</v>
      </c>
      <c r="DC93" s="281">
        <f t="shared" si="229"/>
        <v>127.15</v>
      </c>
      <c r="DD93" s="281">
        <f t="shared" si="230"/>
        <v>107.27</v>
      </c>
      <c r="DE93" s="293">
        <f t="shared" si="231"/>
        <v>113.46000000000001</v>
      </c>
      <c r="DF93" s="281">
        <f t="shared" si="232"/>
        <v>236.02</v>
      </c>
      <c r="DG93" s="281">
        <f t="shared" si="233"/>
        <v>219.98000000000002</v>
      </c>
      <c r="DH93" s="281">
        <f t="shared" si="234"/>
        <v>107.27</v>
      </c>
      <c r="DI93" s="293">
        <f t="shared" si="235"/>
        <v>166.51</v>
      </c>
      <c r="DJ93" s="281">
        <f t="shared" si="236"/>
        <v>236.02</v>
      </c>
      <c r="DK93" s="281">
        <f t="shared" si="237"/>
        <v>219.98000000000002</v>
      </c>
      <c r="DL93" s="281">
        <f t="shared" si="238"/>
        <v>107.27</v>
      </c>
      <c r="DM93" s="609">
        <f t="shared" si="239"/>
        <v>166.51</v>
      </c>
    </row>
    <row r="94" spans="1:117" ht="15" hidden="1" customHeight="1" x14ac:dyDescent="0.25">
      <c r="A94" s="521"/>
      <c r="B94" s="55">
        <v>13</v>
      </c>
      <c r="C94" s="368"/>
      <c r="D94" s="368"/>
      <c r="E94" s="368"/>
      <c r="F94" s="368">
        <v>60.8</v>
      </c>
      <c r="G94" s="281">
        <f t="shared" si="164"/>
        <v>55.04</v>
      </c>
      <c r="H94" s="282">
        <f t="shared" si="165"/>
        <v>107.76</v>
      </c>
      <c r="I94" s="282">
        <f t="shared" si="166"/>
        <v>74.92</v>
      </c>
      <c r="J94" s="283">
        <f t="shared" si="167"/>
        <v>91.4</v>
      </c>
      <c r="K94" s="281">
        <f t="shared" si="168"/>
        <v>49.260000000000005</v>
      </c>
      <c r="L94" s="282">
        <f t="shared" si="169"/>
        <v>63.97</v>
      </c>
      <c r="M94" s="282">
        <f t="shared" si="170"/>
        <v>56.88</v>
      </c>
      <c r="N94" s="283">
        <f t="shared" si="171"/>
        <v>74.7</v>
      </c>
      <c r="O94" s="281">
        <f t="shared" si="172"/>
        <v>55.06</v>
      </c>
      <c r="P94" s="282">
        <f t="shared" si="173"/>
        <v>61.980000000000004</v>
      </c>
      <c r="Q94" s="282">
        <f t="shared" si="174"/>
        <v>44.790000000000006</v>
      </c>
      <c r="R94" s="283">
        <f t="shared" si="175"/>
        <v>57.589999999999996</v>
      </c>
      <c r="W94" s="281">
        <f t="shared" si="176"/>
        <v>51.75</v>
      </c>
      <c r="X94" s="282">
        <f t="shared" si="177"/>
        <v>47.14</v>
      </c>
      <c r="Y94" s="282">
        <f t="shared" si="178"/>
        <v>68.010000000000005</v>
      </c>
      <c r="Z94" s="283">
        <f t="shared" si="179"/>
        <v>47.86</v>
      </c>
      <c r="AA94" s="281">
        <f t="shared" si="180"/>
        <v>86.15</v>
      </c>
      <c r="AB94" s="282">
        <f t="shared" si="181"/>
        <v>85.9</v>
      </c>
      <c r="AC94" s="282">
        <f t="shared" si="182"/>
        <v>48.01</v>
      </c>
      <c r="AD94" s="283">
        <f t="shared" si="183"/>
        <v>90.56</v>
      </c>
      <c r="AE94" s="281">
        <f t="shared" si="184"/>
        <v>76.180000000000007</v>
      </c>
      <c r="AF94" s="282">
        <f t="shared" si="185"/>
        <v>77.59</v>
      </c>
      <c r="AG94" s="282">
        <f t="shared" si="186"/>
        <v>53.45</v>
      </c>
      <c r="AH94" s="283">
        <f t="shared" si="187"/>
        <v>56.22</v>
      </c>
      <c r="AM94" s="281">
        <f t="shared" si="188"/>
        <v>84.359999999999985</v>
      </c>
      <c r="AN94" s="282">
        <f t="shared" si="189"/>
        <v>93.78</v>
      </c>
      <c r="AO94" s="282">
        <f t="shared" si="190"/>
        <v>71.09</v>
      </c>
      <c r="AP94" s="283">
        <f t="shared" si="191"/>
        <v>89.53</v>
      </c>
      <c r="AQ94" s="281">
        <f t="shared" si="192"/>
        <v>80.569999999999993</v>
      </c>
      <c r="AR94" s="282">
        <f t="shared" si="193"/>
        <v>85.92</v>
      </c>
      <c r="AS94" s="282">
        <f t="shared" si="194"/>
        <v>96.89</v>
      </c>
      <c r="AT94" s="283">
        <f t="shared" si="195"/>
        <v>66.47</v>
      </c>
      <c r="AU94" s="281">
        <f t="shared" si="196"/>
        <v>96.34</v>
      </c>
      <c r="AV94" s="282">
        <f t="shared" si="197"/>
        <v>109.63999999999999</v>
      </c>
      <c r="AW94" s="282">
        <f t="shared" si="198"/>
        <v>80.66</v>
      </c>
      <c r="AX94" s="283"/>
      <c r="BC94" s="281">
        <f t="shared" si="199"/>
        <v>113.44</v>
      </c>
      <c r="BD94" s="282">
        <f t="shared" si="200"/>
        <v>94.43</v>
      </c>
      <c r="BE94" s="282">
        <f t="shared" si="201"/>
        <v>184.71</v>
      </c>
      <c r="BF94" s="283"/>
      <c r="BG94" s="281">
        <f t="shared" si="202"/>
        <v>119.28</v>
      </c>
      <c r="BH94" s="282">
        <f t="shared" si="203"/>
        <v>112.62</v>
      </c>
      <c r="BI94" s="282">
        <f t="shared" si="204"/>
        <v>139.12900000000002</v>
      </c>
      <c r="BJ94" s="283"/>
      <c r="BK94" s="281">
        <f t="shared" si="205"/>
        <v>97.38</v>
      </c>
      <c r="BL94" s="282">
        <f t="shared" si="206"/>
        <v>98.88</v>
      </c>
      <c r="BM94" s="282">
        <f t="shared" si="207"/>
        <v>80.319999999999993</v>
      </c>
      <c r="BN94" s="283"/>
      <c r="CG94" s="281">
        <f t="shared" si="208"/>
        <v>159.36000000000001</v>
      </c>
      <c r="CH94" s="281">
        <f t="shared" si="209"/>
        <v>233.71000000000004</v>
      </c>
      <c r="CI94" s="281">
        <f t="shared" si="210"/>
        <v>176.59000000000003</v>
      </c>
      <c r="CJ94" s="293">
        <f t="shared" si="211"/>
        <v>223.69000000000003</v>
      </c>
      <c r="CK94" s="281">
        <f t="shared" si="212"/>
        <v>373.44</v>
      </c>
      <c r="CL94" s="281">
        <f t="shared" si="213"/>
        <v>444.34000000000003</v>
      </c>
      <c r="CM94" s="281">
        <f t="shared" si="214"/>
        <v>346.06</v>
      </c>
      <c r="CN94" s="293">
        <f t="shared" si="215"/>
        <v>418.33000000000004</v>
      </c>
      <c r="CO94" s="281">
        <f t="shared" si="216"/>
        <v>634.70999999999992</v>
      </c>
      <c r="CP94" s="281">
        <f t="shared" si="217"/>
        <v>733.68</v>
      </c>
      <c r="CQ94" s="281">
        <f t="shared" si="218"/>
        <v>594.69999999999993</v>
      </c>
      <c r="CR94" s="293">
        <f t="shared" si="219"/>
        <v>574.33000000000004</v>
      </c>
      <c r="CS94" s="281">
        <f t="shared" si="220"/>
        <v>964.80999999999983</v>
      </c>
      <c r="CT94" s="281">
        <f t="shared" si="221"/>
        <v>1039.6099999999999</v>
      </c>
      <c r="CU94" s="281">
        <f t="shared" si="222"/>
        <v>998.85899999999992</v>
      </c>
      <c r="CV94" s="293">
        <f t="shared" si="223"/>
        <v>574.33000000000004</v>
      </c>
      <c r="CX94" s="316">
        <f t="shared" si="224"/>
        <v>210.63000000000002</v>
      </c>
      <c r="CY94" s="316">
        <f t="shared" si="225"/>
        <v>169.47000000000003</v>
      </c>
      <c r="CZ94" s="316">
        <f t="shared" si="226"/>
        <v>194.64000000000001</v>
      </c>
      <c r="DA94" s="318">
        <f t="shared" si="227"/>
        <v>162.33000000000001</v>
      </c>
      <c r="DB94" s="281">
        <f t="shared" si="228"/>
        <v>499.97</v>
      </c>
      <c r="DC94" s="281">
        <f t="shared" si="229"/>
        <v>418.11</v>
      </c>
      <c r="DD94" s="281">
        <f t="shared" si="230"/>
        <v>350.64</v>
      </c>
      <c r="DE94" s="293">
        <f t="shared" si="231"/>
        <v>339.24</v>
      </c>
      <c r="DF94" s="281">
        <f t="shared" si="232"/>
        <v>805.90000000000009</v>
      </c>
      <c r="DG94" s="281">
        <f t="shared" si="233"/>
        <v>822.26900000000001</v>
      </c>
      <c r="DH94" s="281">
        <f t="shared" si="234"/>
        <v>350.64</v>
      </c>
      <c r="DI94" s="293">
        <f t="shared" si="235"/>
        <v>555.9</v>
      </c>
      <c r="DJ94" s="281">
        <f t="shared" si="236"/>
        <v>805.90000000000009</v>
      </c>
      <c r="DK94" s="281">
        <f t="shared" si="237"/>
        <v>822.26900000000001</v>
      </c>
      <c r="DL94" s="281">
        <f t="shared" si="238"/>
        <v>350.64</v>
      </c>
      <c r="DM94" s="609">
        <f t="shared" si="239"/>
        <v>555.9</v>
      </c>
    </row>
    <row r="95" spans="1:117" ht="15" hidden="1" customHeight="1" x14ac:dyDescent="0.25">
      <c r="A95" s="521"/>
      <c r="B95" s="55">
        <v>14</v>
      </c>
      <c r="C95" s="368"/>
      <c r="D95" s="368"/>
      <c r="E95" s="368"/>
      <c r="F95" s="368">
        <v>41.6</v>
      </c>
      <c r="G95" s="281">
        <f t="shared" si="164"/>
        <v>65.56</v>
      </c>
      <c r="H95" s="282">
        <f t="shared" si="165"/>
        <v>42.41</v>
      </c>
      <c r="I95" s="282">
        <f t="shared" si="166"/>
        <v>52.870000000000005</v>
      </c>
      <c r="J95" s="283">
        <f t="shared" si="167"/>
        <v>46.739999999999995</v>
      </c>
      <c r="K95" s="281">
        <f t="shared" si="168"/>
        <v>34.21</v>
      </c>
      <c r="L95" s="282">
        <f t="shared" si="169"/>
        <v>45.37</v>
      </c>
      <c r="M95" s="282">
        <f t="shared" si="170"/>
        <v>38.82</v>
      </c>
      <c r="N95" s="283">
        <f t="shared" si="171"/>
        <v>39.24</v>
      </c>
      <c r="O95" s="281">
        <f t="shared" si="172"/>
        <v>29.24</v>
      </c>
      <c r="P95" s="282">
        <f t="shared" si="173"/>
        <v>58.05</v>
      </c>
      <c r="Q95" s="282">
        <f t="shared" si="174"/>
        <v>18.579999999999998</v>
      </c>
      <c r="R95" s="283">
        <f t="shared" si="175"/>
        <v>32.08</v>
      </c>
      <c r="W95" s="281">
        <f t="shared" si="176"/>
        <v>28.13</v>
      </c>
      <c r="X95" s="282">
        <f t="shared" si="177"/>
        <v>37.229999999999997</v>
      </c>
      <c r="Y95" s="282">
        <f t="shared" si="178"/>
        <v>48.01</v>
      </c>
      <c r="Z95" s="283">
        <f t="shared" si="179"/>
        <v>61.87</v>
      </c>
      <c r="AA95" s="281">
        <f t="shared" si="180"/>
        <v>86.62</v>
      </c>
      <c r="AB95" s="282">
        <f t="shared" si="181"/>
        <v>59.67</v>
      </c>
      <c r="AC95" s="282">
        <f t="shared" si="182"/>
        <v>71.760000000000005</v>
      </c>
      <c r="AD95" s="283">
        <f t="shared" si="183"/>
        <v>55.48</v>
      </c>
      <c r="AE95" s="281">
        <f t="shared" si="184"/>
        <v>44.92</v>
      </c>
      <c r="AF95" s="282">
        <f t="shared" si="185"/>
        <v>55.47</v>
      </c>
      <c r="AG95" s="282">
        <f t="shared" si="186"/>
        <v>41.28</v>
      </c>
      <c r="AH95" s="283">
        <f t="shared" si="187"/>
        <v>76.95</v>
      </c>
      <c r="AM95" s="281">
        <f t="shared" si="188"/>
        <v>62.59</v>
      </c>
      <c r="AN95" s="282">
        <f t="shared" si="189"/>
        <v>51.68</v>
      </c>
      <c r="AO95" s="282">
        <f t="shared" si="190"/>
        <v>53.03</v>
      </c>
      <c r="AP95" s="283">
        <f t="shared" si="191"/>
        <v>62.519999999999996</v>
      </c>
      <c r="AQ95" s="281">
        <f t="shared" si="192"/>
        <v>49.78</v>
      </c>
      <c r="AR95" s="282">
        <f t="shared" si="193"/>
        <v>58.789999999999992</v>
      </c>
      <c r="AS95" s="282">
        <f t="shared" si="194"/>
        <v>105.18</v>
      </c>
      <c r="AT95" s="283">
        <f t="shared" si="195"/>
        <v>58.45</v>
      </c>
      <c r="AU95" s="281">
        <f t="shared" si="196"/>
        <v>59</v>
      </c>
      <c r="AV95" s="282">
        <f t="shared" si="197"/>
        <v>79.78</v>
      </c>
      <c r="AW95" s="282">
        <f t="shared" si="198"/>
        <v>84.46</v>
      </c>
      <c r="AX95" s="283"/>
      <c r="BC95" s="281">
        <f t="shared" si="199"/>
        <v>61.58</v>
      </c>
      <c r="BD95" s="282">
        <f t="shared" si="200"/>
        <v>57.91</v>
      </c>
      <c r="BE95" s="282">
        <f t="shared" si="201"/>
        <v>96.19</v>
      </c>
      <c r="BF95" s="283"/>
      <c r="BG95" s="281">
        <f t="shared" si="202"/>
        <v>64.37</v>
      </c>
      <c r="BH95" s="282">
        <f t="shared" si="203"/>
        <v>77.38</v>
      </c>
      <c r="BI95" s="282">
        <f t="shared" si="204"/>
        <v>58.596000000000004</v>
      </c>
      <c r="BJ95" s="283"/>
      <c r="BK95" s="281">
        <f t="shared" si="205"/>
        <v>63.52</v>
      </c>
      <c r="BL95" s="282">
        <f t="shared" si="206"/>
        <v>63.4</v>
      </c>
      <c r="BM95" s="282">
        <f t="shared" si="207"/>
        <v>93.91</v>
      </c>
      <c r="BN95" s="283"/>
      <c r="CG95" s="281">
        <f t="shared" si="208"/>
        <v>129.01000000000002</v>
      </c>
      <c r="CH95" s="281">
        <f t="shared" si="209"/>
        <v>145.82999999999998</v>
      </c>
      <c r="CI95" s="281">
        <f t="shared" si="210"/>
        <v>110.27</v>
      </c>
      <c r="CJ95" s="293">
        <f t="shared" si="211"/>
        <v>118.05999999999999</v>
      </c>
      <c r="CK95" s="281">
        <f t="shared" si="212"/>
        <v>288.68</v>
      </c>
      <c r="CL95" s="281">
        <f t="shared" si="213"/>
        <v>298.19999999999993</v>
      </c>
      <c r="CM95" s="281">
        <f t="shared" si="214"/>
        <v>271.32000000000005</v>
      </c>
      <c r="CN95" s="293">
        <f t="shared" si="215"/>
        <v>312.35999999999996</v>
      </c>
      <c r="CO95" s="281">
        <f t="shared" si="216"/>
        <v>460.04999999999995</v>
      </c>
      <c r="CP95" s="281">
        <f t="shared" si="217"/>
        <v>488.44999999999993</v>
      </c>
      <c r="CQ95" s="281">
        <f t="shared" si="218"/>
        <v>513.99</v>
      </c>
      <c r="CR95" s="293">
        <f t="shared" si="219"/>
        <v>433.32999999999993</v>
      </c>
      <c r="CS95" s="281">
        <f t="shared" si="220"/>
        <v>649.52</v>
      </c>
      <c r="CT95" s="281">
        <f t="shared" si="221"/>
        <v>687.13999999999987</v>
      </c>
      <c r="CU95" s="281">
        <f t="shared" si="222"/>
        <v>762.68600000000004</v>
      </c>
      <c r="CV95" s="293">
        <f t="shared" si="223"/>
        <v>433.32999999999993</v>
      </c>
      <c r="CX95" s="316">
        <f t="shared" si="224"/>
        <v>152.37</v>
      </c>
      <c r="CY95" s="316">
        <f t="shared" si="225"/>
        <v>161.05000000000001</v>
      </c>
      <c r="CZ95" s="316">
        <f t="shared" si="226"/>
        <v>194.3</v>
      </c>
      <c r="DA95" s="318">
        <f t="shared" si="227"/>
        <v>131.54000000000002</v>
      </c>
      <c r="DB95" s="281">
        <f t="shared" si="228"/>
        <v>342.62</v>
      </c>
      <c r="DC95" s="281">
        <f t="shared" si="229"/>
        <v>403.71999999999997</v>
      </c>
      <c r="DD95" s="281">
        <f t="shared" si="230"/>
        <v>315.27</v>
      </c>
      <c r="DE95" s="293">
        <f t="shared" si="231"/>
        <v>240.32000000000002</v>
      </c>
      <c r="DF95" s="281">
        <f t="shared" si="232"/>
        <v>541.30999999999995</v>
      </c>
      <c r="DG95" s="281">
        <f t="shared" si="233"/>
        <v>652.41599999999994</v>
      </c>
      <c r="DH95" s="281">
        <f t="shared" si="234"/>
        <v>315.27</v>
      </c>
      <c r="DI95" s="293">
        <f t="shared" si="235"/>
        <v>368.21000000000004</v>
      </c>
      <c r="DJ95" s="281">
        <f t="shared" si="236"/>
        <v>541.30999999999995</v>
      </c>
      <c r="DK95" s="281">
        <f t="shared" si="237"/>
        <v>652.41599999999994</v>
      </c>
      <c r="DL95" s="281">
        <f t="shared" si="238"/>
        <v>315.27</v>
      </c>
      <c r="DM95" s="609">
        <f t="shared" si="239"/>
        <v>368.21000000000004</v>
      </c>
    </row>
    <row r="96" spans="1:117" ht="15" hidden="1" customHeight="1" x14ac:dyDescent="0.25">
      <c r="A96" s="521"/>
      <c r="B96" s="55">
        <v>15</v>
      </c>
      <c r="C96" s="368"/>
      <c r="D96" s="368"/>
      <c r="E96" s="368"/>
      <c r="F96" s="368">
        <v>49.3</v>
      </c>
      <c r="G96" s="281">
        <f t="shared" si="164"/>
        <v>25.64</v>
      </c>
      <c r="H96" s="282">
        <f t="shared" si="165"/>
        <v>69.069999999999993</v>
      </c>
      <c r="I96" s="282">
        <f t="shared" si="166"/>
        <v>37.380000000000003</v>
      </c>
      <c r="J96" s="283">
        <f t="shared" si="167"/>
        <v>58.17</v>
      </c>
      <c r="K96" s="281">
        <f t="shared" si="168"/>
        <v>19.36</v>
      </c>
      <c r="L96" s="282">
        <f t="shared" si="169"/>
        <v>56.76</v>
      </c>
      <c r="M96" s="282">
        <f t="shared" si="170"/>
        <v>16.95</v>
      </c>
      <c r="N96" s="283">
        <f t="shared" si="171"/>
        <v>59.539999999999992</v>
      </c>
      <c r="O96" s="281">
        <f t="shared" si="172"/>
        <v>36.07</v>
      </c>
      <c r="P96" s="282">
        <f t="shared" si="173"/>
        <v>60.91</v>
      </c>
      <c r="Q96" s="282">
        <f t="shared" si="174"/>
        <v>13.440000000000001</v>
      </c>
      <c r="R96" s="283">
        <f t="shared" si="175"/>
        <v>48.32</v>
      </c>
      <c r="W96" s="281">
        <f t="shared" si="176"/>
        <v>37</v>
      </c>
      <c r="X96" s="282">
        <f t="shared" si="177"/>
        <v>45.019999999999996</v>
      </c>
      <c r="Y96" s="282">
        <f t="shared" si="178"/>
        <v>14.53</v>
      </c>
      <c r="Z96" s="283">
        <f t="shared" si="179"/>
        <v>46.6</v>
      </c>
      <c r="AA96" s="281">
        <f t="shared" si="180"/>
        <v>48.989999999999995</v>
      </c>
      <c r="AB96" s="282">
        <f t="shared" si="181"/>
        <v>52.25</v>
      </c>
      <c r="AC96" s="282">
        <f t="shared" si="182"/>
        <v>32.5</v>
      </c>
      <c r="AD96" s="283">
        <f t="shared" si="183"/>
        <v>59.36</v>
      </c>
      <c r="AE96" s="281">
        <f t="shared" si="184"/>
        <v>81.740000000000009</v>
      </c>
      <c r="AF96" s="282">
        <f t="shared" si="185"/>
        <v>59.48</v>
      </c>
      <c r="AG96" s="282">
        <f t="shared" si="186"/>
        <v>49.5</v>
      </c>
      <c r="AH96" s="283">
        <f t="shared" si="187"/>
        <v>54.86</v>
      </c>
      <c r="AM96" s="281">
        <f t="shared" si="188"/>
        <v>60.22</v>
      </c>
      <c r="AN96" s="282">
        <f t="shared" si="189"/>
        <v>69.97999999999999</v>
      </c>
      <c r="AO96" s="282">
        <f t="shared" si="190"/>
        <v>34.08</v>
      </c>
      <c r="AP96" s="283">
        <f t="shared" si="191"/>
        <v>51.02</v>
      </c>
      <c r="AQ96" s="281">
        <f t="shared" si="192"/>
        <v>72.84</v>
      </c>
      <c r="AR96" s="282">
        <f t="shared" si="193"/>
        <v>65.38</v>
      </c>
      <c r="AS96" s="282">
        <f t="shared" si="194"/>
        <v>96.44</v>
      </c>
      <c r="AT96" s="283">
        <f t="shared" si="195"/>
        <v>51.72</v>
      </c>
      <c r="AU96" s="281">
        <f t="shared" si="196"/>
        <v>50.53</v>
      </c>
      <c r="AV96" s="282">
        <f t="shared" si="197"/>
        <v>69.63</v>
      </c>
      <c r="AW96" s="282">
        <f t="shared" si="198"/>
        <v>79.52</v>
      </c>
      <c r="AX96" s="283"/>
      <c r="BC96" s="281">
        <f t="shared" si="199"/>
        <v>110.6</v>
      </c>
      <c r="BD96" s="282">
        <f t="shared" si="200"/>
        <v>75.489999999999995</v>
      </c>
      <c r="BE96" s="282">
        <f t="shared" si="201"/>
        <v>107.01999999999998</v>
      </c>
      <c r="BF96" s="283"/>
      <c r="BG96" s="281">
        <f t="shared" si="202"/>
        <v>61.53</v>
      </c>
      <c r="BH96" s="282">
        <f t="shared" si="203"/>
        <v>71.150000000000006</v>
      </c>
      <c r="BI96" s="282">
        <f t="shared" si="204"/>
        <v>77.91</v>
      </c>
      <c r="BJ96" s="283"/>
      <c r="BK96" s="281">
        <f t="shared" si="205"/>
        <v>82.2</v>
      </c>
      <c r="BL96" s="282">
        <f t="shared" si="206"/>
        <v>58.239999999999995</v>
      </c>
      <c r="BM96" s="282">
        <f t="shared" si="207"/>
        <v>60.49</v>
      </c>
      <c r="BN96" s="283"/>
      <c r="CG96" s="281">
        <f t="shared" si="208"/>
        <v>81.069999999999993</v>
      </c>
      <c r="CH96" s="281">
        <f t="shared" si="209"/>
        <v>186.73999999999998</v>
      </c>
      <c r="CI96" s="281">
        <f t="shared" si="210"/>
        <v>67.77</v>
      </c>
      <c r="CJ96" s="293">
        <f t="shared" si="211"/>
        <v>166.03</v>
      </c>
      <c r="CK96" s="281">
        <f t="shared" si="212"/>
        <v>248.8</v>
      </c>
      <c r="CL96" s="281">
        <f t="shared" si="213"/>
        <v>343.49</v>
      </c>
      <c r="CM96" s="281">
        <f t="shared" si="214"/>
        <v>164.3</v>
      </c>
      <c r="CN96" s="293">
        <f t="shared" si="215"/>
        <v>326.85000000000002</v>
      </c>
      <c r="CO96" s="281">
        <f t="shared" si="216"/>
        <v>432.39</v>
      </c>
      <c r="CP96" s="281">
        <f t="shared" si="217"/>
        <v>548.48</v>
      </c>
      <c r="CQ96" s="281">
        <f t="shared" si="218"/>
        <v>374.34</v>
      </c>
      <c r="CR96" s="293">
        <f t="shared" si="219"/>
        <v>429.59000000000003</v>
      </c>
      <c r="CS96" s="281">
        <f t="shared" si="220"/>
        <v>686.72</v>
      </c>
      <c r="CT96" s="281">
        <f t="shared" si="221"/>
        <v>753.36</v>
      </c>
      <c r="CU96" s="281">
        <f t="shared" si="222"/>
        <v>619.76</v>
      </c>
      <c r="CV96" s="293">
        <f t="shared" si="223"/>
        <v>429.59000000000003</v>
      </c>
      <c r="CX96" s="316">
        <f t="shared" si="224"/>
        <v>156.75</v>
      </c>
      <c r="CY96" s="316">
        <f t="shared" si="225"/>
        <v>96.53</v>
      </c>
      <c r="CZ96" s="316">
        <f t="shared" si="226"/>
        <v>160.82</v>
      </c>
      <c r="DA96" s="318">
        <f t="shared" si="227"/>
        <v>130.73000000000002</v>
      </c>
      <c r="DB96" s="281">
        <f t="shared" si="228"/>
        <v>361.74</v>
      </c>
      <c r="DC96" s="281">
        <f t="shared" si="229"/>
        <v>306.57</v>
      </c>
      <c r="DD96" s="281">
        <f t="shared" si="230"/>
        <v>263.56</v>
      </c>
      <c r="DE96" s="293">
        <f t="shared" si="231"/>
        <v>254.10000000000002</v>
      </c>
      <c r="DF96" s="281">
        <f t="shared" si="232"/>
        <v>566.62</v>
      </c>
      <c r="DG96" s="281">
        <f t="shared" si="233"/>
        <v>551.99</v>
      </c>
      <c r="DH96" s="281">
        <f t="shared" si="234"/>
        <v>263.56</v>
      </c>
      <c r="DI96" s="293">
        <f t="shared" si="235"/>
        <v>397.83</v>
      </c>
      <c r="DJ96" s="281">
        <f t="shared" si="236"/>
        <v>566.62</v>
      </c>
      <c r="DK96" s="281">
        <f t="shared" si="237"/>
        <v>551.99</v>
      </c>
      <c r="DL96" s="281">
        <f t="shared" si="238"/>
        <v>263.56</v>
      </c>
      <c r="DM96" s="609">
        <f t="shared" si="239"/>
        <v>397.83</v>
      </c>
    </row>
    <row r="97" spans="1:117" ht="15" hidden="1" customHeight="1" x14ac:dyDescent="0.25">
      <c r="A97" s="521"/>
      <c r="B97" s="55">
        <v>16</v>
      </c>
      <c r="C97" s="368"/>
      <c r="D97" s="368"/>
      <c r="E97" s="368"/>
      <c r="F97" s="368">
        <v>53.2</v>
      </c>
      <c r="G97" s="281">
        <f t="shared" si="164"/>
        <v>46.480000000000004</v>
      </c>
      <c r="H97" s="282">
        <f t="shared" si="165"/>
        <v>65.75</v>
      </c>
      <c r="I97" s="282">
        <f t="shared" si="166"/>
        <v>48.33</v>
      </c>
      <c r="J97" s="283">
        <f t="shared" si="167"/>
        <v>42.08</v>
      </c>
      <c r="K97" s="281">
        <f t="shared" si="168"/>
        <v>47.370000000000005</v>
      </c>
      <c r="L97" s="282">
        <f t="shared" si="169"/>
        <v>82.25</v>
      </c>
      <c r="M97" s="282">
        <f t="shared" si="170"/>
        <v>34.19</v>
      </c>
      <c r="N97" s="283">
        <f t="shared" si="171"/>
        <v>65.67</v>
      </c>
      <c r="O97" s="281">
        <f t="shared" si="172"/>
        <v>44.989999999999995</v>
      </c>
      <c r="P97" s="282">
        <f t="shared" si="173"/>
        <v>75.31</v>
      </c>
      <c r="Q97" s="282">
        <f t="shared" si="174"/>
        <v>23.630000000000003</v>
      </c>
      <c r="R97" s="283">
        <f t="shared" si="175"/>
        <v>62.629999999999995</v>
      </c>
      <c r="W97" s="281">
        <f t="shared" si="176"/>
        <v>51.67</v>
      </c>
      <c r="X97" s="282">
        <f t="shared" si="177"/>
        <v>49.5</v>
      </c>
      <c r="Y97" s="282">
        <f t="shared" si="178"/>
        <v>55.41</v>
      </c>
      <c r="Z97" s="283">
        <f t="shared" si="179"/>
        <v>59.59</v>
      </c>
      <c r="AA97" s="281">
        <f t="shared" si="180"/>
        <v>71.490000000000009</v>
      </c>
      <c r="AB97" s="282">
        <f t="shared" si="181"/>
        <v>67.050000000000011</v>
      </c>
      <c r="AC97" s="282">
        <f t="shared" si="182"/>
        <v>40.53</v>
      </c>
      <c r="AD97" s="283">
        <f t="shared" si="183"/>
        <v>73.150000000000006</v>
      </c>
      <c r="AE97" s="281">
        <f t="shared" si="184"/>
        <v>112.24000000000001</v>
      </c>
      <c r="AF97" s="282">
        <f t="shared" si="185"/>
        <v>64.47</v>
      </c>
      <c r="AG97" s="282">
        <f t="shared" si="186"/>
        <v>68.680000000000007</v>
      </c>
      <c r="AH97" s="283">
        <f t="shared" si="187"/>
        <v>69.87</v>
      </c>
      <c r="AM97" s="281">
        <f t="shared" si="188"/>
        <v>91.59</v>
      </c>
      <c r="AN97" s="282">
        <f t="shared" si="189"/>
        <v>103.61</v>
      </c>
      <c r="AO97" s="282">
        <f t="shared" si="190"/>
        <v>68.210000000000008</v>
      </c>
      <c r="AP97" s="283">
        <f t="shared" si="191"/>
        <v>76.2</v>
      </c>
      <c r="AQ97" s="281">
        <f t="shared" si="192"/>
        <v>105.17</v>
      </c>
      <c r="AR97" s="282">
        <f t="shared" si="193"/>
        <v>93.17</v>
      </c>
      <c r="AS97" s="282">
        <f t="shared" si="194"/>
        <v>115.72</v>
      </c>
      <c r="AT97" s="283">
        <f t="shared" si="195"/>
        <v>78.81</v>
      </c>
      <c r="AU97" s="281">
        <f t="shared" si="196"/>
        <v>103.51</v>
      </c>
      <c r="AV97" s="282">
        <f t="shared" si="197"/>
        <v>91.37</v>
      </c>
      <c r="AW97" s="282">
        <f t="shared" si="198"/>
        <v>88.25</v>
      </c>
      <c r="AX97" s="283"/>
      <c r="BC97" s="281">
        <f t="shared" si="199"/>
        <v>118.93</v>
      </c>
      <c r="BD97" s="282">
        <f t="shared" si="200"/>
        <v>84.15</v>
      </c>
      <c r="BE97" s="282">
        <f t="shared" si="201"/>
        <v>115.61</v>
      </c>
      <c r="BF97" s="283"/>
      <c r="BG97" s="281">
        <f t="shared" si="202"/>
        <v>81.400000000000006</v>
      </c>
      <c r="BH97" s="282">
        <f t="shared" si="203"/>
        <v>83.330000000000013</v>
      </c>
      <c r="BI97" s="282">
        <f t="shared" si="204"/>
        <v>91.01</v>
      </c>
      <c r="BJ97" s="283"/>
      <c r="BK97" s="281">
        <f t="shared" si="205"/>
        <v>96.32</v>
      </c>
      <c r="BL97" s="282">
        <f t="shared" si="206"/>
        <v>65.490000000000009</v>
      </c>
      <c r="BM97" s="282">
        <f t="shared" si="207"/>
        <v>87.66</v>
      </c>
      <c r="BN97" s="283"/>
      <c r="CG97" s="281">
        <f t="shared" si="208"/>
        <v>138.84</v>
      </c>
      <c r="CH97" s="281">
        <f t="shared" si="209"/>
        <v>223.31</v>
      </c>
      <c r="CI97" s="281">
        <f t="shared" si="210"/>
        <v>106.15</v>
      </c>
      <c r="CJ97" s="293">
        <f t="shared" si="211"/>
        <v>170.38</v>
      </c>
      <c r="CK97" s="281">
        <f t="shared" si="212"/>
        <v>374.24</v>
      </c>
      <c r="CL97" s="281">
        <f t="shared" si="213"/>
        <v>404.33000000000004</v>
      </c>
      <c r="CM97" s="281">
        <f t="shared" si="214"/>
        <v>270.77</v>
      </c>
      <c r="CN97" s="293">
        <f t="shared" si="215"/>
        <v>372.99</v>
      </c>
      <c r="CO97" s="281">
        <f t="shared" si="216"/>
        <v>674.51</v>
      </c>
      <c r="CP97" s="281">
        <f t="shared" si="217"/>
        <v>692.48</v>
      </c>
      <c r="CQ97" s="281">
        <f t="shared" si="218"/>
        <v>542.95000000000005</v>
      </c>
      <c r="CR97" s="293">
        <f t="shared" si="219"/>
        <v>528</v>
      </c>
      <c r="CS97" s="281">
        <f t="shared" si="220"/>
        <v>971.16000000000008</v>
      </c>
      <c r="CT97" s="281">
        <f t="shared" si="221"/>
        <v>925.45</v>
      </c>
      <c r="CU97" s="281">
        <f t="shared" si="222"/>
        <v>837.23</v>
      </c>
      <c r="CV97" s="293">
        <f t="shared" si="223"/>
        <v>528</v>
      </c>
      <c r="CX97" s="316">
        <f t="shared" si="224"/>
        <v>181.02</v>
      </c>
      <c r="CY97" s="316">
        <f t="shared" si="225"/>
        <v>164.62</v>
      </c>
      <c r="CZ97" s="316">
        <f t="shared" si="226"/>
        <v>202.61</v>
      </c>
      <c r="DA97" s="318">
        <f t="shared" si="227"/>
        <v>183.73000000000002</v>
      </c>
      <c r="DB97" s="281">
        <f t="shared" si="228"/>
        <v>469.17</v>
      </c>
      <c r="DC97" s="281">
        <f t="shared" si="229"/>
        <v>436.8</v>
      </c>
      <c r="DD97" s="281">
        <f t="shared" si="230"/>
        <v>357.62</v>
      </c>
      <c r="DE97" s="293">
        <f t="shared" si="231"/>
        <v>392.41</v>
      </c>
      <c r="DF97" s="281">
        <f t="shared" si="232"/>
        <v>702.1400000000001</v>
      </c>
      <c r="DG97" s="281">
        <f t="shared" si="233"/>
        <v>731.07999999999993</v>
      </c>
      <c r="DH97" s="281">
        <f t="shared" si="234"/>
        <v>357.62</v>
      </c>
      <c r="DI97" s="293">
        <f t="shared" si="235"/>
        <v>570.13000000000011</v>
      </c>
      <c r="DJ97" s="281">
        <f t="shared" si="236"/>
        <v>702.1400000000001</v>
      </c>
      <c r="DK97" s="281">
        <f t="shared" si="237"/>
        <v>731.07999999999993</v>
      </c>
      <c r="DL97" s="281">
        <f t="shared" si="238"/>
        <v>357.62</v>
      </c>
      <c r="DM97" s="609">
        <f t="shared" si="239"/>
        <v>570.13000000000011</v>
      </c>
    </row>
    <row r="98" spans="1:117" ht="15" hidden="1" customHeight="1" x14ac:dyDescent="0.25">
      <c r="A98" s="521"/>
      <c r="B98" s="55">
        <v>17</v>
      </c>
      <c r="C98" s="368"/>
      <c r="D98" s="368"/>
      <c r="E98" s="368"/>
      <c r="F98" s="368">
        <v>45.7</v>
      </c>
      <c r="G98" s="281">
        <f t="shared" si="164"/>
        <v>36.549999999999997</v>
      </c>
      <c r="H98" s="282">
        <f t="shared" si="165"/>
        <v>48.370000000000005</v>
      </c>
      <c r="I98" s="282">
        <f t="shared" si="166"/>
        <v>45.769999999999996</v>
      </c>
      <c r="J98" s="283">
        <f t="shared" si="167"/>
        <v>35.18</v>
      </c>
      <c r="K98" s="281">
        <f t="shared" si="168"/>
        <v>44.16</v>
      </c>
      <c r="L98" s="282">
        <f t="shared" si="169"/>
        <v>32.46</v>
      </c>
      <c r="M98" s="282">
        <f t="shared" si="170"/>
        <v>26.55</v>
      </c>
      <c r="N98" s="283">
        <f t="shared" si="171"/>
        <v>78.650000000000006</v>
      </c>
      <c r="O98" s="281">
        <f t="shared" si="172"/>
        <v>40.82</v>
      </c>
      <c r="P98" s="282">
        <f t="shared" si="173"/>
        <v>56.51</v>
      </c>
      <c r="Q98" s="282">
        <f t="shared" si="174"/>
        <v>21.46</v>
      </c>
      <c r="R98" s="283">
        <f t="shared" si="175"/>
        <v>56.2</v>
      </c>
      <c r="W98" s="281">
        <f t="shared" si="176"/>
        <v>51.540000000000006</v>
      </c>
      <c r="X98" s="282">
        <f t="shared" si="177"/>
        <v>46.55</v>
      </c>
      <c r="Y98" s="282">
        <f t="shared" si="178"/>
        <v>57.06</v>
      </c>
      <c r="Z98" s="283">
        <f t="shared" si="179"/>
        <v>48.38</v>
      </c>
      <c r="AA98" s="281">
        <f t="shared" si="180"/>
        <v>74.449999999999989</v>
      </c>
      <c r="AB98" s="282">
        <f t="shared" si="181"/>
        <v>63.730000000000004</v>
      </c>
      <c r="AC98" s="282">
        <f t="shared" si="182"/>
        <v>57.019999999999996</v>
      </c>
      <c r="AD98" s="283">
        <f t="shared" si="183"/>
        <v>62.33</v>
      </c>
      <c r="AE98" s="281">
        <f t="shared" si="184"/>
        <v>102.15</v>
      </c>
      <c r="AF98" s="282">
        <f t="shared" si="185"/>
        <v>63.400000000000006</v>
      </c>
      <c r="AG98" s="282">
        <f t="shared" si="186"/>
        <v>59.54</v>
      </c>
      <c r="AH98" s="283">
        <f t="shared" si="187"/>
        <v>71.84</v>
      </c>
      <c r="AM98" s="281">
        <f t="shared" si="188"/>
        <v>79.64</v>
      </c>
      <c r="AN98" s="282">
        <f t="shared" si="189"/>
        <v>66.400000000000006</v>
      </c>
      <c r="AO98" s="282">
        <f t="shared" si="190"/>
        <v>62.67</v>
      </c>
      <c r="AP98" s="283">
        <f t="shared" si="191"/>
        <v>75.58</v>
      </c>
      <c r="AQ98" s="281">
        <f t="shared" si="192"/>
        <v>130.93</v>
      </c>
      <c r="AR98" s="282">
        <f t="shared" si="193"/>
        <v>80.08</v>
      </c>
      <c r="AS98" s="282">
        <f t="shared" si="194"/>
        <v>114.07000000000001</v>
      </c>
      <c r="AT98" s="283">
        <f t="shared" si="195"/>
        <v>67.88</v>
      </c>
      <c r="AU98" s="281">
        <f t="shared" si="196"/>
        <v>78.13</v>
      </c>
      <c r="AV98" s="282">
        <f t="shared" si="197"/>
        <v>79.959999999999994</v>
      </c>
      <c r="AW98" s="282">
        <f t="shared" si="198"/>
        <v>78.14</v>
      </c>
      <c r="AX98" s="283"/>
      <c r="BC98" s="281">
        <f t="shared" si="199"/>
        <v>89.15</v>
      </c>
      <c r="BD98" s="282">
        <f t="shared" si="200"/>
        <v>77.740000000000009</v>
      </c>
      <c r="BE98" s="282">
        <f t="shared" si="201"/>
        <v>120.67</v>
      </c>
      <c r="BF98" s="283"/>
      <c r="BG98" s="281">
        <f t="shared" si="202"/>
        <v>60.17</v>
      </c>
      <c r="BH98" s="282">
        <f t="shared" si="203"/>
        <v>69.039999999999992</v>
      </c>
      <c r="BI98" s="282">
        <f t="shared" si="204"/>
        <v>74.709999999999994</v>
      </c>
      <c r="BJ98" s="283"/>
      <c r="BK98" s="281">
        <f t="shared" si="205"/>
        <v>83.35</v>
      </c>
      <c r="BL98" s="282">
        <f t="shared" si="206"/>
        <v>52.19</v>
      </c>
      <c r="BM98" s="282">
        <f t="shared" si="207"/>
        <v>96.89</v>
      </c>
      <c r="BN98" s="283"/>
      <c r="CG98" s="281">
        <f t="shared" si="208"/>
        <v>121.53</v>
      </c>
      <c r="CH98" s="281">
        <f t="shared" si="209"/>
        <v>137.34</v>
      </c>
      <c r="CI98" s="281">
        <f t="shared" si="210"/>
        <v>93.78</v>
      </c>
      <c r="CJ98" s="293">
        <f t="shared" si="211"/>
        <v>170.03000000000003</v>
      </c>
      <c r="CK98" s="281">
        <f t="shared" si="212"/>
        <v>349.66999999999996</v>
      </c>
      <c r="CL98" s="281">
        <f t="shared" si="213"/>
        <v>311.02</v>
      </c>
      <c r="CM98" s="281">
        <f t="shared" si="214"/>
        <v>267.40000000000003</v>
      </c>
      <c r="CN98" s="293">
        <f t="shared" si="215"/>
        <v>352.58000000000004</v>
      </c>
      <c r="CO98" s="281">
        <f t="shared" si="216"/>
        <v>638.37</v>
      </c>
      <c r="CP98" s="281">
        <f t="shared" si="217"/>
        <v>537.45999999999992</v>
      </c>
      <c r="CQ98" s="281">
        <f t="shared" si="218"/>
        <v>522.28000000000009</v>
      </c>
      <c r="CR98" s="293">
        <f t="shared" si="219"/>
        <v>496.04</v>
      </c>
      <c r="CS98" s="281">
        <f t="shared" si="220"/>
        <v>871.04</v>
      </c>
      <c r="CT98" s="281">
        <f t="shared" si="221"/>
        <v>736.42999999999984</v>
      </c>
      <c r="CU98" s="281">
        <f t="shared" si="222"/>
        <v>814.55000000000007</v>
      </c>
      <c r="CV98" s="293">
        <f t="shared" si="223"/>
        <v>496.04</v>
      </c>
      <c r="CX98" s="316">
        <f t="shared" si="224"/>
        <v>173.68</v>
      </c>
      <c r="CY98" s="316">
        <f t="shared" si="225"/>
        <v>173.62</v>
      </c>
      <c r="CZ98" s="316">
        <f t="shared" si="226"/>
        <v>182.55</v>
      </c>
      <c r="DA98" s="318">
        <f t="shared" si="227"/>
        <v>176.6</v>
      </c>
      <c r="DB98" s="281">
        <f t="shared" si="228"/>
        <v>400.12</v>
      </c>
      <c r="DC98" s="281">
        <f t="shared" si="229"/>
        <v>428.5</v>
      </c>
      <c r="DD98" s="281">
        <f t="shared" si="230"/>
        <v>326.01</v>
      </c>
      <c r="DE98" s="293">
        <f t="shared" si="231"/>
        <v>385.65999999999997</v>
      </c>
      <c r="DF98" s="281">
        <f t="shared" si="232"/>
        <v>599.08999999999992</v>
      </c>
      <c r="DG98" s="281">
        <f t="shared" si="233"/>
        <v>720.77</v>
      </c>
      <c r="DH98" s="281">
        <f t="shared" si="234"/>
        <v>326.01</v>
      </c>
      <c r="DI98" s="293">
        <f t="shared" si="235"/>
        <v>529.17999999999995</v>
      </c>
      <c r="DJ98" s="281">
        <f t="shared" si="236"/>
        <v>599.08999999999992</v>
      </c>
      <c r="DK98" s="281">
        <f t="shared" si="237"/>
        <v>720.77</v>
      </c>
      <c r="DL98" s="281">
        <f t="shared" si="238"/>
        <v>326.01</v>
      </c>
      <c r="DM98" s="609">
        <f t="shared" si="239"/>
        <v>529.17999999999995</v>
      </c>
    </row>
    <row r="99" spans="1:117" ht="15.75" hidden="1" customHeight="1" thickBot="1" x14ac:dyDescent="0.3">
      <c r="A99" s="522"/>
      <c r="B99" s="88">
        <v>18</v>
      </c>
      <c r="C99" s="371"/>
      <c r="D99" s="371"/>
      <c r="E99" s="371"/>
      <c r="F99" s="369">
        <v>40.799999999999997</v>
      </c>
      <c r="G99" s="281">
        <f t="shared" si="164"/>
        <v>49.489999999999995</v>
      </c>
      <c r="H99" s="282">
        <f t="shared" si="165"/>
        <v>81.759999999999991</v>
      </c>
      <c r="I99" s="282">
        <f t="shared" si="166"/>
        <v>58.010000000000005</v>
      </c>
      <c r="J99" s="283">
        <f t="shared" si="167"/>
        <v>54.83</v>
      </c>
      <c r="K99" s="281">
        <f t="shared" si="168"/>
        <v>30.770000000000003</v>
      </c>
      <c r="L99" s="282">
        <f t="shared" si="169"/>
        <v>49.31</v>
      </c>
      <c r="M99" s="282">
        <f t="shared" si="170"/>
        <v>38.22</v>
      </c>
      <c r="N99" s="283">
        <f t="shared" si="171"/>
        <v>52.43</v>
      </c>
      <c r="O99" s="281">
        <f t="shared" si="172"/>
        <v>41.150000000000006</v>
      </c>
      <c r="P99" s="282">
        <f t="shared" si="173"/>
        <v>30.29</v>
      </c>
      <c r="Q99" s="282">
        <f t="shared" si="174"/>
        <v>30.490000000000002</v>
      </c>
      <c r="R99" s="283">
        <f t="shared" si="175"/>
        <v>45.2</v>
      </c>
      <c r="W99" s="281">
        <f t="shared" si="176"/>
        <v>37.89</v>
      </c>
      <c r="X99" s="282">
        <f t="shared" si="177"/>
        <v>64.37</v>
      </c>
      <c r="Y99" s="282">
        <f t="shared" si="178"/>
        <v>55.14</v>
      </c>
      <c r="Z99" s="283">
        <f t="shared" si="179"/>
        <v>65.709999999999994</v>
      </c>
      <c r="AA99" s="281">
        <f t="shared" si="180"/>
        <v>60.69</v>
      </c>
      <c r="AB99" s="282">
        <f t="shared" si="181"/>
        <v>43.16</v>
      </c>
      <c r="AC99" s="282">
        <f t="shared" si="182"/>
        <v>46.07</v>
      </c>
      <c r="AD99" s="283">
        <f t="shared" si="183"/>
        <v>60.910000000000004</v>
      </c>
      <c r="AE99" s="281">
        <f t="shared" si="184"/>
        <v>81.960000000000008</v>
      </c>
      <c r="AF99" s="282">
        <f t="shared" si="185"/>
        <v>58.78</v>
      </c>
      <c r="AG99" s="282">
        <f t="shared" si="186"/>
        <v>40.53</v>
      </c>
      <c r="AH99" s="283">
        <f t="shared" si="187"/>
        <v>53.150000000000006</v>
      </c>
      <c r="AM99" s="281">
        <f t="shared" si="188"/>
        <v>47.95</v>
      </c>
      <c r="AN99" s="282">
        <f t="shared" si="189"/>
        <v>62.41</v>
      </c>
      <c r="AO99" s="282">
        <f t="shared" si="190"/>
        <v>59.76</v>
      </c>
      <c r="AP99" s="283">
        <f t="shared" si="191"/>
        <v>69.66</v>
      </c>
      <c r="AQ99" s="281">
        <f t="shared" si="192"/>
        <v>65.5</v>
      </c>
      <c r="AR99" s="282">
        <f t="shared" si="193"/>
        <v>55.11</v>
      </c>
      <c r="AS99" s="282">
        <f t="shared" si="194"/>
        <v>64.100000000000009</v>
      </c>
      <c r="AT99" s="283">
        <f t="shared" si="195"/>
        <v>63.809999999999995</v>
      </c>
      <c r="AU99" s="281">
        <f t="shared" si="196"/>
        <v>71.73</v>
      </c>
      <c r="AV99" s="282">
        <f t="shared" si="197"/>
        <v>68.87</v>
      </c>
      <c r="AW99" s="282">
        <f t="shared" si="198"/>
        <v>79.039999999999992</v>
      </c>
      <c r="AX99" s="283"/>
      <c r="BC99" s="281">
        <f t="shared" si="199"/>
        <v>66.47</v>
      </c>
      <c r="BD99" s="282">
        <f t="shared" si="200"/>
        <v>81.789999999999992</v>
      </c>
      <c r="BE99" s="282">
        <f t="shared" si="201"/>
        <v>108.66</v>
      </c>
      <c r="BF99" s="283"/>
      <c r="BG99" s="281">
        <f t="shared" si="202"/>
        <v>87.02</v>
      </c>
      <c r="BH99" s="282">
        <f t="shared" si="203"/>
        <v>58.15</v>
      </c>
      <c r="BI99" s="282">
        <f t="shared" si="204"/>
        <v>54.73</v>
      </c>
      <c r="BJ99" s="283"/>
      <c r="BK99" s="281">
        <f t="shared" si="205"/>
        <v>67.2</v>
      </c>
      <c r="BL99" s="282">
        <f t="shared" si="206"/>
        <v>60.239999999999995</v>
      </c>
      <c r="BM99" s="282">
        <f t="shared" si="207"/>
        <v>102.33</v>
      </c>
      <c r="BN99" s="283"/>
      <c r="CG99" s="281">
        <f t="shared" si="208"/>
        <v>121.41</v>
      </c>
      <c r="CH99" s="281">
        <f t="shared" si="209"/>
        <v>161.35999999999999</v>
      </c>
      <c r="CI99" s="281">
        <f t="shared" si="210"/>
        <v>126.72</v>
      </c>
      <c r="CJ99" s="293">
        <f t="shared" si="211"/>
        <v>152.45999999999998</v>
      </c>
      <c r="CK99" s="281">
        <f t="shared" si="212"/>
        <v>301.95000000000005</v>
      </c>
      <c r="CL99" s="281">
        <f t="shared" si="213"/>
        <v>327.66999999999996</v>
      </c>
      <c r="CM99" s="281">
        <f t="shared" si="214"/>
        <v>268.46000000000004</v>
      </c>
      <c r="CN99" s="293">
        <f t="shared" si="215"/>
        <v>332.23</v>
      </c>
      <c r="CO99" s="281">
        <f t="shared" si="216"/>
        <v>487.13000000000005</v>
      </c>
      <c r="CP99" s="281">
        <f t="shared" si="217"/>
        <v>514.05999999999995</v>
      </c>
      <c r="CQ99" s="281">
        <f t="shared" si="218"/>
        <v>471.36</v>
      </c>
      <c r="CR99" s="293">
        <f t="shared" si="219"/>
        <v>465.7</v>
      </c>
      <c r="CS99" s="281">
        <f t="shared" si="220"/>
        <v>707.82</v>
      </c>
      <c r="CT99" s="281">
        <f t="shared" si="221"/>
        <v>714.2399999999999</v>
      </c>
      <c r="CU99" s="281">
        <f t="shared" si="222"/>
        <v>737.08</v>
      </c>
      <c r="CV99" s="293">
        <f t="shared" si="223"/>
        <v>465.7</v>
      </c>
      <c r="CX99" s="316">
        <f t="shared" si="224"/>
        <v>166.31</v>
      </c>
      <c r="CY99" s="316">
        <f t="shared" si="225"/>
        <v>141.74</v>
      </c>
      <c r="CZ99" s="316">
        <f t="shared" si="226"/>
        <v>179.77</v>
      </c>
      <c r="DA99" s="318">
        <f t="shared" si="227"/>
        <v>142.65</v>
      </c>
      <c r="DB99" s="281">
        <f t="shared" si="228"/>
        <v>352.7</v>
      </c>
      <c r="DC99" s="281">
        <f t="shared" si="229"/>
        <v>344.64</v>
      </c>
      <c r="DD99" s="281">
        <f t="shared" si="230"/>
        <v>313.24</v>
      </c>
      <c r="DE99" s="293">
        <f t="shared" si="231"/>
        <v>279.88</v>
      </c>
      <c r="DF99" s="281">
        <f t="shared" si="232"/>
        <v>552.88</v>
      </c>
      <c r="DG99" s="281">
        <f t="shared" si="233"/>
        <v>610.36</v>
      </c>
      <c r="DH99" s="281">
        <f t="shared" si="234"/>
        <v>313.24</v>
      </c>
      <c r="DI99" s="293">
        <f t="shared" si="235"/>
        <v>434.09999999999997</v>
      </c>
      <c r="DJ99" s="281">
        <f t="shared" si="236"/>
        <v>552.88</v>
      </c>
      <c r="DK99" s="281">
        <f t="shared" si="237"/>
        <v>610.36</v>
      </c>
      <c r="DL99" s="281">
        <f t="shared" si="238"/>
        <v>313.24</v>
      </c>
      <c r="DM99" s="609">
        <f t="shared" si="239"/>
        <v>434.09999999999997</v>
      </c>
    </row>
    <row r="100" spans="1:117" ht="15" hidden="1" customHeight="1" x14ac:dyDescent="0.25">
      <c r="A100" s="520" t="s">
        <v>23</v>
      </c>
      <c r="B100" s="23">
        <v>19</v>
      </c>
      <c r="C100" s="370"/>
      <c r="D100" s="370"/>
      <c r="E100" s="370"/>
      <c r="F100" s="370">
        <v>50.62</v>
      </c>
      <c r="G100" s="281">
        <f t="shared" si="164"/>
        <v>48.099999999999994</v>
      </c>
      <c r="H100" s="282">
        <f t="shared" si="165"/>
        <v>54.7</v>
      </c>
      <c r="I100" s="282">
        <f t="shared" si="166"/>
        <v>48.26</v>
      </c>
      <c r="J100" s="283">
        <f t="shared" si="167"/>
        <v>55.03</v>
      </c>
      <c r="K100" s="281">
        <f t="shared" si="168"/>
        <v>35.049999999999997</v>
      </c>
      <c r="L100" s="282">
        <f t="shared" si="169"/>
        <v>57.463000000000001</v>
      </c>
      <c r="M100" s="282">
        <f t="shared" si="170"/>
        <v>26.060000000000002</v>
      </c>
      <c r="N100" s="283">
        <f t="shared" si="171"/>
        <v>63.99</v>
      </c>
      <c r="O100" s="281">
        <f t="shared" si="172"/>
        <v>47.3</v>
      </c>
      <c r="P100" s="282">
        <f t="shared" si="173"/>
        <v>42.13</v>
      </c>
      <c r="Q100" s="282">
        <f t="shared" si="174"/>
        <v>27.34</v>
      </c>
      <c r="R100" s="283">
        <f t="shared" si="175"/>
        <v>40.67</v>
      </c>
      <c r="W100" s="281">
        <f t="shared" si="176"/>
        <v>68.430000000000007</v>
      </c>
      <c r="X100" s="282">
        <f t="shared" si="177"/>
        <v>70.790000000000006</v>
      </c>
      <c r="Y100" s="282">
        <f t="shared" si="178"/>
        <v>37.159999999999997</v>
      </c>
      <c r="Z100" s="283">
        <f t="shared" si="179"/>
        <v>91.65</v>
      </c>
      <c r="AA100" s="281">
        <f t="shared" si="180"/>
        <v>54.1</v>
      </c>
      <c r="AB100" s="282">
        <f t="shared" si="181"/>
        <v>94.009999999999991</v>
      </c>
      <c r="AC100" s="282">
        <f t="shared" si="182"/>
        <v>58.52000000000001</v>
      </c>
      <c r="AD100" s="283">
        <f t="shared" si="183"/>
        <v>65.03</v>
      </c>
      <c r="AE100" s="281">
        <f t="shared" si="184"/>
        <v>66</v>
      </c>
      <c r="AF100" s="282">
        <f t="shared" si="185"/>
        <v>74.44</v>
      </c>
      <c r="AG100" s="282">
        <f t="shared" si="186"/>
        <v>51.44</v>
      </c>
      <c r="AH100" s="283">
        <f t="shared" si="187"/>
        <v>52.7</v>
      </c>
      <c r="AM100" s="281">
        <f t="shared" si="188"/>
        <v>88.17</v>
      </c>
      <c r="AN100" s="282">
        <f t="shared" si="189"/>
        <v>87.85</v>
      </c>
      <c r="AO100" s="282">
        <f t="shared" si="190"/>
        <v>40.230000000000004</v>
      </c>
      <c r="AP100" s="283">
        <f t="shared" si="191"/>
        <v>83.75</v>
      </c>
      <c r="AQ100" s="281">
        <f t="shared" si="192"/>
        <v>89.4</v>
      </c>
      <c r="AR100" s="282">
        <f t="shared" si="193"/>
        <v>43.36</v>
      </c>
      <c r="AS100" s="282">
        <f t="shared" si="194"/>
        <v>68.5</v>
      </c>
      <c r="AT100" s="283">
        <f t="shared" si="195"/>
        <v>82.09</v>
      </c>
      <c r="AU100" s="281">
        <f t="shared" si="196"/>
        <v>62.32</v>
      </c>
      <c r="AV100" s="282">
        <f t="shared" si="197"/>
        <v>81.09</v>
      </c>
      <c r="AW100" s="282">
        <f t="shared" si="198"/>
        <v>174.93</v>
      </c>
      <c r="AX100" s="283"/>
      <c r="BC100" s="281">
        <f t="shared" si="199"/>
        <v>109.92</v>
      </c>
      <c r="BD100" s="282">
        <f t="shared" si="200"/>
        <v>76.05</v>
      </c>
      <c r="BE100" s="282">
        <f t="shared" si="201"/>
        <v>89.71</v>
      </c>
      <c r="BF100" s="283"/>
      <c r="BG100" s="281">
        <f t="shared" si="202"/>
        <v>67.989999999999995</v>
      </c>
      <c r="BH100" s="282">
        <f t="shared" si="203"/>
        <v>78.8</v>
      </c>
      <c r="BI100" s="282">
        <f t="shared" si="204"/>
        <v>74.45</v>
      </c>
      <c r="BJ100" s="283"/>
      <c r="BK100" s="281">
        <f t="shared" si="205"/>
        <v>82.53</v>
      </c>
      <c r="BL100" s="282">
        <f t="shared" si="206"/>
        <v>58.84</v>
      </c>
      <c r="BM100" s="282">
        <f t="shared" si="207"/>
        <v>49.21</v>
      </c>
      <c r="BN100" s="283"/>
      <c r="CG100" s="281">
        <f t="shared" si="208"/>
        <v>130.44999999999999</v>
      </c>
      <c r="CH100" s="281">
        <f t="shared" si="209"/>
        <v>154.29300000000001</v>
      </c>
      <c r="CI100" s="281">
        <f t="shared" si="210"/>
        <v>101.66</v>
      </c>
      <c r="CJ100" s="293">
        <f t="shared" si="211"/>
        <v>159.69</v>
      </c>
      <c r="CK100" s="281">
        <f t="shared" si="212"/>
        <v>318.98</v>
      </c>
      <c r="CL100" s="281">
        <f t="shared" si="213"/>
        <v>393.53300000000002</v>
      </c>
      <c r="CM100" s="281">
        <f t="shared" si="214"/>
        <v>248.78</v>
      </c>
      <c r="CN100" s="293">
        <f t="shared" si="215"/>
        <v>369.07</v>
      </c>
      <c r="CO100" s="281">
        <f t="shared" si="216"/>
        <v>558.87000000000012</v>
      </c>
      <c r="CP100" s="281">
        <f t="shared" si="217"/>
        <v>605.83300000000008</v>
      </c>
      <c r="CQ100" s="281">
        <f t="shared" si="218"/>
        <v>532.44000000000005</v>
      </c>
      <c r="CR100" s="293">
        <f t="shared" si="219"/>
        <v>534.91</v>
      </c>
      <c r="CS100" s="281">
        <f t="shared" si="220"/>
        <v>819.31000000000006</v>
      </c>
      <c r="CT100" s="281">
        <f t="shared" si="221"/>
        <v>819.52300000000002</v>
      </c>
      <c r="CU100" s="281">
        <f t="shared" si="222"/>
        <v>745.81000000000017</v>
      </c>
      <c r="CV100" s="293">
        <f t="shared" si="223"/>
        <v>534.91</v>
      </c>
      <c r="CX100" s="316">
        <f t="shared" si="224"/>
        <v>239.24</v>
      </c>
      <c r="CY100" s="316">
        <f t="shared" si="225"/>
        <v>147.12</v>
      </c>
      <c r="CZ100" s="316">
        <f t="shared" si="226"/>
        <v>209.38</v>
      </c>
      <c r="DA100" s="318">
        <f t="shared" si="227"/>
        <v>120.1</v>
      </c>
      <c r="DB100" s="281">
        <f t="shared" si="228"/>
        <v>451.54000000000008</v>
      </c>
      <c r="DC100" s="281">
        <f t="shared" si="229"/>
        <v>430.78000000000003</v>
      </c>
      <c r="DD100" s="281">
        <f t="shared" si="230"/>
        <v>375.22</v>
      </c>
      <c r="DE100" s="293">
        <f t="shared" si="231"/>
        <v>271.82</v>
      </c>
      <c r="DF100" s="281">
        <f t="shared" si="232"/>
        <v>665.23</v>
      </c>
      <c r="DG100" s="281">
        <f t="shared" si="233"/>
        <v>644.15000000000009</v>
      </c>
      <c r="DH100" s="281">
        <f t="shared" si="234"/>
        <v>375.22</v>
      </c>
      <c r="DI100" s="293">
        <f t="shared" si="235"/>
        <v>422.34000000000003</v>
      </c>
      <c r="DJ100" s="281">
        <f t="shared" si="236"/>
        <v>665.23</v>
      </c>
      <c r="DK100" s="281">
        <f t="shared" si="237"/>
        <v>644.15000000000009</v>
      </c>
      <c r="DL100" s="281">
        <f t="shared" si="238"/>
        <v>375.22</v>
      </c>
      <c r="DM100" s="609">
        <f t="shared" si="239"/>
        <v>422.34000000000003</v>
      </c>
    </row>
    <row r="101" spans="1:117" ht="15" hidden="1" customHeight="1" x14ac:dyDescent="0.25">
      <c r="A101" s="521"/>
      <c r="B101" s="55">
        <v>20</v>
      </c>
      <c r="C101" s="368"/>
      <c r="D101" s="368"/>
      <c r="E101" s="368"/>
      <c r="F101" s="368">
        <v>62.08</v>
      </c>
      <c r="G101" s="281">
        <f t="shared" si="164"/>
        <v>51.910000000000004</v>
      </c>
      <c r="H101" s="282">
        <f t="shared" si="165"/>
        <v>61.47</v>
      </c>
      <c r="I101" s="282">
        <f t="shared" si="166"/>
        <v>49.510000000000005</v>
      </c>
      <c r="J101" s="283">
        <f t="shared" si="167"/>
        <v>70.12</v>
      </c>
      <c r="K101" s="281">
        <f t="shared" si="168"/>
        <v>31.21</v>
      </c>
      <c r="L101" s="282">
        <f t="shared" si="169"/>
        <v>54.67</v>
      </c>
      <c r="M101" s="282">
        <f t="shared" si="170"/>
        <v>24.08</v>
      </c>
      <c r="N101" s="283">
        <f t="shared" si="171"/>
        <v>70.84</v>
      </c>
      <c r="O101" s="281">
        <f t="shared" si="172"/>
        <v>39.92</v>
      </c>
      <c r="P101" s="282">
        <f t="shared" si="173"/>
        <v>52.680000000000007</v>
      </c>
      <c r="Q101" s="282">
        <f t="shared" si="174"/>
        <v>16.55</v>
      </c>
      <c r="R101" s="283">
        <f t="shared" si="175"/>
        <v>34.53</v>
      </c>
      <c r="W101" s="281">
        <f t="shared" si="176"/>
        <v>68.349999999999994</v>
      </c>
      <c r="X101" s="282">
        <f t="shared" si="177"/>
        <v>63.680000000000007</v>
      </c>
      <c r="Y101" s="282">
        <f t="shared" si="178"/>
        <v>22.51</v>
      </c>
      <c r="Z101" s="283">
        <f t="shared" si="179"/>
        <v>116.55000000000001</v>
      </c>
      <c r="AA101" s="281">
        <f t="shared" si="180"/>
        <v>52.46</v>
      </c>
      <c r="AB101" s="282">
        <f t="shared" si="181"/>
        <v>108.25999999999999</v>
      </c>
      <c r="AC101" s="282">
        <f t="shared" si="182"/>
        <v>45.83</v>
      </c>
      <c r="AD101" s="283">
        <f t="shared" si="183"/>
        <v>90.210000000000008</v>
      </c>
      <c r="AE101" s="281">
        <f t="shared" si="184"/>
        <v>50.1</v>
      </c>
      <c r="AF101" s="282">
        <f t="shared" si="185"/>
        <v>74.180000000000007</v>
      </c>
      <c r="AG101" s="282">
        <f t="shared" si="186"/>
        <v>64.81</v>
      </c>
      <c r="AH101" s="283">
        <f t="shared" si="187"/>
        <v>51.129999999999995</v>
      </c>
      <c r="AM101" s="281">
        <f t="shared" si="188"/>
        <v>128.19</v>
      </c>
      <c r="AN101" s="282">
        <f t="shared" si="189"/>
        <v>66.97</v>
      </c>
      <c r="AO101" s="282">
        <f t="shared" si="190"/>
        <v>69.28</v>
      </c>
      <c r="AP101" s="283">
        <f t="shared" si="191"/>
        <v>75.31</v>
      </c>
      <c r="AQ101" s="281">
        <f t="shared" si="192"/>
        <v>99.44</v>
      </c>
      <c r="AR101" s="282">
        <f t="shared" si="193"/>
        <v>75.47</v>
      </c>
      <c r="AS101" s="282">
        <f t="shared" si="194"/>
        <v>70.23</v>
      </c>
      <c r="AT101" s="283">
        <f t="shared" si="195"/>
        <v>101.19999999999999</v>
      </c>
      <c r="AU101" s="281">
        <f t="shared" si="196"/>
        <v>69.430000000000007</v>
      </c>
      <c r="AV101" s="282">
        <f t="shared" si="197"/>
        <v>66.61</v>
      </c>
      <c r="AW101" s="282">
        <f t="shared" si="198"/>
        <v>168.56</v>
      </c>
      <c r="AX101" s="283"/>
      <c r="BC101" s="281">
        <f t="shared" si="199"/>
        <v>109.81</v>
      </c>
      <c r="BD101" s="282">
        <f t="shared" si="200"/>
        <v>92.47999999999999</v>
      </c>
      <c r="BE101" s="282">
        <f t="shared" si="201"/>
        <v>115.34</v>
      </c>
      <c r="BF101" s="283"/>
      <c r="BG101" s="281">
        <f t="shared" si="202"/>
        <v>91.39</v>
      </c>
      <c r="BH101" s="282">
        <f t="shared" si="203"/>
        <v>78.05</v>
      </c>
      <c r="BI101" s="282">
        <f t="shared" si="204"/>
        <v>84.289999999999992</v>
      </c>
      <c r="BJ101" s="283"/>
      <c r="BK101" s="281">
        <f t="shared" si="205"/>
        <v>77.41</v>
      </c>
      <c r="BL101" s="282">
        <f t="shared" si="206"/>
        <v>68.31</v>
      </c>
      <c r="BM101" s="282">
        <f t="shared" si="207"/>
        <v>69</v>
      </c>
      <c r="BN101" s="283"/>
      <c r="CG101" s="281">
        <f t="shared" si="208"/>
        <v>123.04</v>
      </c>
      <c r="CH101" s="281">
        <f t="shared" si="209"/>
        <v>168.82</v>
      </c>
      <c r="CI101" s="281">
        <f t="shared" si="210"/>
        <v>90.14</v>
      </c>
      <c r="CJ101" s="293">
        <f t="shared" si="211"/>
        <v>175.49</v>
      </c>
      <c r="CK101" s="281">
        <f t="shared" si="212"/>
        <v>293.95</v>
      </c>
      <c r="CL101" s="281">
        <f t="shared" si="213"/>
        <v>414.94</v>
      </c>
      <c r="CM101" s="281">
        <f t="shared" si="214"/>
        <v>223.29000000000002</v>
      </c>
      <c r="CN101" s="293">
        <f t="shared" si="215"/>
        <v>433.38</v>
      </c>
      <c r="CO101" s="281">
        <f t="shared" si="216"/>
        <v>591.01</v>
      </c>
      <c r="CP101" s="281">
        <f t="shared" si="217"/>
        <v>623.99</v>
      </c>
      <c r="CQ101" s="281">
        <f t="shared" si="218"/>
        <v>531.36000000000013</v>
      </c>
      <c r="CR101" s="293">
        <f t="shared" si="219"/>
        <v>609.89</v>
      </c>
      <c r="CS101" s="281">
        <f t="shared" si="220"/>
        <v>869.61999999999989</v>
      </c>
      <c r="CT101" s="281">
        <f t="shared" si="221"/>
        <v>862.82999999999993</v>
      </c>
      <c r="CU101" s="281">
        <f t="shared" si="222"/>
        <v>799.99000000000012</v>
      </c>
      <c r="CV101" s="293">
        <f t="shared" si="223"/>
        <v>609.89</v>
      </c>
      <c r="CX101" s="316">
        <f t="shared" si="224"/>
        <v>246.12</v>
      </c>
      <c r="CY101" s="316">
        <f t="shared" si="225"/>
        <v>133.15</v>
      </c>
      <c r="CZ101" s="316">
        <f t="shared" si="226"/>
        <v>257.89</v>
      </c>
      <c r="DA101" s="318">
        <f t="shared" si="227"/>
        <v>102.56</v>
      </c>
      <c r="DB101" s="281">
        <f t="shared" si="228"/>
        <v>455.17000000000007</v>
      </c>
      <c r="DC101" s="281">
        <f t="shared" si="229"/>
        <v>441.22</v>
      </c>
      <c r="DD101" s="281">
        <f t="shared" si="230"/>
        <v>434.4</v>
      </c>
      <c r="DE101" s="293">
        <f t="shared" si="231"/>
        <v>271.43</v>
      </c>
      <c r="DF101" s="281">
        <f t="shared" si="232"/>
        <v>694.01</v>
      </c>
      <c r="DG101" s="281">
        <f t="shared" si="233"/>
        <v>709.85</v>
      </c>
      <c r="DH101" s="281">
        <f t="shared" si="234"/>
        <v>434.4</v>
      </c>
      <c r="DI101" s="293">
        <f t="shared" si="235"/>
        <v>440.23</v>
      </c>
      <c r="DJ101" s="281">
        <f t="shared" si="236"/>
        <v>694.01</v>
      </c>
      <c r="DK101" s="281">
        <f t="shared" si="237"/>
        <v>709.85</v>
      </c>
      <c r="DL101" s="281">
        <f t="shared" si="238"/>
        <v>434.4</v>
      </c>
      <c r="DM101" s="609">
        <f t="shared" si="239"/>
        <v>440.23</v>
      </c>
    </row>
    <row r="102" spans="1:117" ht="15" hidden="1" customHeight="1" x14ac:dyDescent="0.25">
      <c r="A102" s="521"/>
      <c r="B102" s="55">
        <v>21</v>
      </c>
      <c r="C102" s="368"/>
      <c r="D102" s="368"/>
      <c r="E102" s="368"/>
      <c r="F102" s="368">
        <v>72.2</v>
      </c>
      <c r="G102" s="281">
        <f t="shared" si="164"/>
        <v>86.86</v>
      </c>
      <c r="H102" s="282">
        <f t="shared" si="165"/>
        <v>94.92</v>
      </c>
      <c r="I102" s="282">
        <f t="shared" si="166"/>
        <v>86.449999999999989</v>
      </c>
      <c r="J102" s="283">
        <f t="shared" si="167"/>
        <v>95.460000000000008</v>
      </c>
      <c r="K102" s="281">
        <f t="shared" si="168"/>
        <v>53.870000000000005</v>
      </c>
      <c r="L102" s="282">
        <f t="shared" si="169"/>
        <v>60.31</v>
      </c>
      <c r="M102" s="282">
        <f t="shared" si="170"/>
        <v>50.78</v>
      </c>
      <c r="N102" s="283">
        <f t="shared" si="171"/>
        <v>59.44</v>
      </c>
      <c r="O102" s="281">
        <f t="shared" si="172"/>
        <v>67.97</v>
      </c>
      <c r="P102" s="282">
        <f t="shared" si="173"/>
        <v>119.83</v>
      </c>
      <c r="Q102" s="282">
        <f t="shared" si="174"/>
        <v>46.08</v>
      </c>
      <c r="R102" s="283">
        <f t="shared" si="175"/>
        <v>83.73</v>
      </c>
      <c r="W102" s="281">
        <f t="shared" si="176"/>
        <v>77.02000000000001</v>
      </c>
      <c r="X102" s="282">
        <f t="shared" si="177"/>
        <v>76.39</v>
      </c>
      <c r="Y102" s="282">
        <f t="shared" si="178"/>
        <v>70.38</v>
      </c>
      <c r="Z102" s="283">
        <f t="shared" si="179"/>
        <v>159.93</v>
      </c>
      <c r="AA102" s="281">
        <f t="shared" si="180"/>
        <v>126.65</v>
      </c>
      <c r="AB102" s="282">
        <f t="shared" si="181"/>
        <v>92.749999999999986</v>
      </c>
      <c r="AC102" s="282">
        <f t="shared" si="182"/>
        <v>77.599999999999994</v>
      </c>
      <c r="AD102" s="283">
        <f t="shared" si="183"/>
        <v>112.19</v>
      </c>
      <c r="AE102" s="281">
        <f t="shared" si="184"/>
        <v>78.989999999999995</v>
      </c>
      <c r="AF102" s="282">
        <f t="shared" si="185"/>
        <v>84.47999999999999</v>
      </c>
      <c r="AG102" s="282">
        <f t="shared" si="186"/>
        <v>105.44</v>
      </c>
      <c r="AH102" s="283">
        <f t="shared" si="187"/>
        <v>69.569999999999993</v>
      </c>
      <c r="AM102" s="281">
        <f t="shared" si="188"/>
        <v>140.62</v>
      </c>
      <c r="AN102" s="282">
        <f t="shared" si="189"/>
        <v>117.65</v>
      </c>
      <c r="AO102" s="282">
        <f t="shared" si="190"/>
        <v>160.38</v>
      </c>
      <c r="AP102" s="283">
        <f t="shared" si="191"/>
        <v>95.68</v>
      </c>
      <c r="AQ102" s="281">
        <f t="shared" si="192"/>
        <v>190.25</v>
      </c>
      <c r="AR102" s="282">
        <f t="shared" si="193"/>
        <v>139.73000000000002</v>
      </c>
      <c r="AS102" s="282">
        <f t="shared" si="194"/>
        <v>115.14</v>
      </c>
      <c r="AT102" s="283">
        <f t="shared" si="195"/>
        <v>111.16999999999999</v>
      </c>
      <c r="AU102" s="281">
        <f t="shared" si="196"/>
        <v>137.12</v>
      </c>
      <c r="AV102" s="282">
        <f t="shared" si="197"/>
        <v>137.98000000000002</v>
      </c>
      <c r="AW102" s="282">
        <f t="shared" si="198"/>
        <v>142.54999999999998</v>
      </c>
      <c r="AX102" s="283"/>
      <c r="BC102" s="281">
        <f t="shared" si="199"/>
        <v>161.85000000000002</v>
      </c>
      <c r="BD102" s="282">
        <f t="shared" si="200"/>
        <v>143.07</v>
      </c>
      <c r="BE102" s="282">
        <f t="shared" si="201"/>
        <v>199.91000000000003</v>
      </c>
      <c r="BF102" s="283"/>
      <c r="BG102" s="281">
        <f t="shared" si="202"/>
        <v>152.35</v>
      </c>
      <c r="BH102" s="282">
        <f t="shared" si="203"/>
        <v>148.07</v>
      </c>
      <c r="BI102" s="282">
        <f t="shared" si="204"/>
        <v>154.22999999999999</v>
      </c>
      <c r="BJ102" s="283"/>
      <c r="BK102" s="281">
        <f t="shared" si="205"/>
        <v>139.48000000000002</v>
      </c>
      <c r="BL102" s="282">
        <f t="shared" si="206"/>
        <v>108.66</v>
      </c>
      <c r="BM102" s="282">
        <f t="shared" si="207"/>
        <v>96.05</v>
      </c>
      <c r="BN102" s="283"/>
      <c r="CG102" s="281">
        <f t="shared" si="208"/>
        <v>208.70000000000002</v>
      </c>
      <c r="CH102" s="281">
        <f t="shared" si="209"/>
        <v>275.06</v>
      </c>
      <c r="CI102" s="281">
        <f t="shared" si="210"/>
        <v>183.31</v>
      </c>
      <c r="CJ102" s="293">
        <f t="shared" si="211"/>
        <v>238.63</v>
      </c>
      <c r="CK102" s="281">
        <f t="shared" si="212"/>
        <v>491.36</v>
      </c>
      <c r="CL102" s="281">
        <f t="shared" si="213"/>
        <v>528.67999999999995</v>
      </c>
      <c r="CM102" s="281">
        <f t="shared" si="214"/>
        <v>436.72999999999996</v>
      </c>
      <c r="CN102" s="293">
        <f t="shared" si="215"/>
        <v>580.31999999999994</v>
      </c>
      <c r="CO102" s="281">
        <f t="shared" si="216"/>
        <v>959.35</v>
      </c>
      <c r="CP102" s="281">
        <f t="shared" si="217"/>
        <v>924.04</v>
      </c>
      <c r="CQ102" s="281">
        <f t="shared" si="218"/>
        <v>854.79999999999984</v>
      </c>
      <c r="CR102" s="293">
        <f t="shared" si="219"/>
        <v>787.17</v>
      </c>
      <c r="CS102" s="281">
        <f t="shared" si="220"/>
        <v>1413.03</v>
      </c>
      <c r="CT102" s="281">
        <f t="shared" si="221"/>
        <v>1323.84</v>
      </c>
      <c r="CU102" s="281">
        <f t="shared" si="222"/>
        <v>1304.9899999999998</v>
      </c>
      <c r="CV102" s="293">
        <f t="shared" si="223"/>
        <v>787.17</v>
      </c>
      <c r="CX102" s="316">
        <f t="shared" si="224"/>
        <v>253.61999999999998</v>
      </c>
      <c r="CY102" s="316">
        <f t="shared" si="225"/>
        <v>253.42</v>
      </c>
      <c r="CZ102" s="316">
        <f t="shared" si="226"/>
        <v>341.69</v>
      </c>
      <c r="DA102" s="318">
        <f t="shared" si="227"/>
        <v>205.64</v>
      </c>
      <c r="DB102" s="281">
        <f t="shared" si="228"/>
        <v>648.98</v>
      </c>
      <c r="DC102" s="281">
        <f t="shared" si="229"/>
        <v>671.4899999999999</v>
      </c>
      <c r="DD102" s="281">
        <f t="shared" si="230"/>
        <v>548.54</v>
      </c>
      <c r="DE102" s="293">
        <f t="shared" si="231"/>
        <v>533.01</v>
      </c>
      <c r="DF102" s="281">
        <f t="shared" si="232"/>
        <v>1048.78</v>
      </c>
      <c r="DG102" s="281">
        <f t="shared" si="233"/>
        <v>1121.6799999999998</v>
      </c>
      <c r="DH102" s="281">
        <f t="shared" si="234"/>
        <v>548.54</v>
      </c>
      <c r="DI102" s="293">
        <f t="shared" si="235"/>
        <v>824.84</v>
      </c>
      <c r="DJ102" s="281">
        <f t="shared" si="236"/>
        <v>1048.78</v>
      </c>
      <c r="DK102" s="281">
        <f t="shared" si="237"/>
        <v>1121.6799999999998</v>
      </c>
      <c r="DL102" s="281">
        <f t="shared" si="238"/>
        <v>548.54</v>
      </c>
      <c r="DM102" s="609">
        <f t="shared" si="239"/>
        <v>824.84</v>
      </c>
    </row>
    <row r="103" spans="1:117" ht="15" hidden="1" customHeight="1" x14ac:dyDescent="0.25">
      <c r="A103" s="521"/>
      <c r="B103" s="55">
        <v>22</v>
      </c>
      <c r="C103" s="368"/>
      <c r="D103" s="368"/>
      <c r="E103" s="368"/>
      <c r="F103" s="368">
        <v>52.3</v>
      </c>
      <c r="G103" s="281">
        <f t="shared" si="164"/>
        <v>55.309999999999995</v>
      </c>
      <c r="H103" s="282">
        <f t="shared" si="165"/>
        <v>63.79</v>
      </c>
      <c r="I103" s="282">
        <f t="shared" si="166"/>
        <v>58.67</v>
      </c>
      <c r="J103" s="283">
        <f t="shared" si="167"/>
        <v>30.8</v>
      </c>
      <c r="K103" s="281">
        <f t="shared" si="168"/>
        <v>40.28</v>
      </c>
      <c r="L103" s="282">
        <f t="shared" si="169"/>
        <v>38.15</v>
      </c>
      <c r="M103" s="282">
        <f t="shared" si="170"/>
        <v>36.06</v>
      </c>
      <c r="N103" s="283">
        <f t="shared" si="171"/>
        <v>74.5</v>
      </c>
      <c r="O103" s="281">
        <f t="shared" si="172"/>
        <v>37.519999999999996</v>
      </c>
      <c r="P103" s="282">
        <f t="shared" si="173"/>
        <v>63.980000000000004</v>
      </c>
      <c r="Q103" s="282">
        <f t="shared" si="174"/>
        <v>27.049999999999997</v>
      </c>
      <c r="R103" s="283">
        <f t="shared" si="175"/>
        <v>55.26</v>
      </c>
      <c r="W103" s="281">
        <f t="shared" si="176"/>
        <v>50.19</v>
      </c>
      <c r="X103" s="282">
        <f t="shared" si="177"/>
        <v>44.94</v>
      </c>
      <c r="Y103" s="282">
        <f t="shared" si="178"/>
        <v>43.81</v>
      </c>
      <c r="Z103" s="283">
        <f t="shared" si="179"/>
        <v>78.13</v>
      </c>
      <c r="AA103" s="281">
        <f t="shared" si="180"/>
        <v>78.41</v>
      </c>
      <c r="AB103" s="282">
        <f t="shared" si="181"/>
        <v>55.76</v>
      </c>
      <c r="AC103" s="282">
        <f t="shared" si="182"/>
        <v>38.590000000000003</v>
      </c>
      <c r="AD103" s="283">
        <f t="shared" si="183"/>
        <v>40.56</v>
      </c>
      <c r="AE103" s="281">
        <f t="shared" si="184"/>
        <v>57.33</v>
      </c>
      <c r="AF103" s="282">
        <f t="shared" si="185"/>
        <v>62</v>
      </c>
      <c r="AG103" s="282">
        <f t="shared" si="186"/>
        <v>58.92</v>
      </c>
      <c r="AH103" s="283">
        <f t="shared" si="187"/>
        <v>65</v>
      </c>
      <c r="AM103" s="281">
        <f t="shared" si="188"/>
        <v>77.830000000000013</v>
      </c>
      <c r="AN103" s="282">
        <f t="shared" si="189"/>
        <v>83.44</v>
      </c>
      <c r="AO103" s="282">
        <f t="shared" si="190"/>
        <v>68.87</v>
      </c>
      <c r="AP103" s="283">
        <f t="shared" si="191"/>
        <v>66.36</v>
      </c>
      <c r="AQ103" s="281">
        <f t="shared" si="192"/>
        <v>137.77000000000001</v>
      </c>
      <c r="AR103" s="282">
        <f t="shared" si="193"/>
        <v>91.12</v>
      </c>
      <c r="AS103" s="282">
        <f t="shared" si="194"/>
        <v>100.56</v>
      </c>
      <c r="AT103" s="283">
        <f t="shared" si="195"/>
        <v>66.599999999999994</v>
      </c>
      <c r="AU103" s="281">
        <f t="shared" si="196"/>
        <v>87.65</v>
      </c>
      <c r="AV103" s="282">
        <f t="shared" si="197"/>
        <v>89.7</v>
      </c>
      <c r="AW103" s="282">
        <f t="shared" si="198"/>
        <v>75.260000000000005</v>
      </c>
      <c r="AX103" s="283"/>
      <c r="BC103" s="281">
        <f t="shared" si="199"/>
        <v>103.59</v>
      </c>
      <c r="BD103" s="282">
        <f t="shared" si="200"/>
        <v>100.33</v>
      </c>
      <c r="BE103" s="282">
        <f t="shared" si="201"/>
        <v>133.42000000000002</v>
      </c>
      <c r="BF103" s="283"/>
      <c r="BG103" s="281">
        <f t="shared" si="202"/>
        <v>83.89</v>
      </c>
      <c r="BH103" s="282">
        <f t="shared" si="203"/>
        <v>96.06</v>
      </c>
      <c r="BI103" s="282">
        <f t="shared" si="204"/>
        <v>93.41</v>
      </c>
      <c r="BJ103" s="283"/>
      <c r="BK103" s="281">
        <f t="shared" si="205"/>
        <v>91.81</v>
      </c>
      <c r="BL103" s="282">
        <f t="shared" si="206"/>
        <v>70.740000000000009</v>
      </c>
      <c r="BM103" s="282">
        <f t="shared" si="207"/>
        <v>67.679999999999993</v>
      </c>
      <c r="BN103" s="283"/>
      <c r="CG103" s="281">
        <f t="shared" si="208"/>
        <v>133.11000000000001</v>
      </c>
      <c r="CH103" s="281">
        <f t="shared" si="209"/>
        <v>165.92000000000002</v>
      </c>
      <c r="CI103" s="281">
        <f t="shared" si="210"/>
        <v>121.78</v>
      </c>
      <c r="CJ103" s="293">
        <f t="shared" si="211"/>
        <v>160.56</v>
      </c>
      <c r="CK103" s="281">
        <f t="shared" si="212"/>
        <v>319.04000000000002</v>
      </c>
      <c r="CL103" s="281">
        <f t="shared" si="213"/>
        <v>328.62</v>
      </c>
      <c r="CM103" s="281">
        <f t="shared" si="214"/>
        <v>263.10000000000002</v>
      </c>
      <c r="CN103" s="293">
        <f t="shared" si="215"/>
        <v>344.25</v>
      </c>
      <c r="CO103" s="281">
        <f t="shared" si="216"/>
        <v>622.29</v>
      </c>
      <c r="CP103" s="281">
        <f t="shared" si="217"/>
        <v>592.88</v>
      </c>
      <c r="CQ103" s="281">
        <f t="shared" si="218"/>
        <v>507.79</v>
      </c>
      <c r="CR103" s="293">
        <f t="shared" si="219"/>
        <v>477.21000000000004</v>
      </c>
      <c r="CS103" s="281">
        <f t="shared" si="220"/>
        <v>901.57999999999993</v>
      </c>
      <c r="CT103" s="281">
        <f t="shared" si="221"/>
        <v>860.01</v>
      </c>
      <c r="CU103" s="281">
        <f t="shared" si="222"/>
        <v>802.3</v>
      </c>
      <c r="CV103" s="293">
        <f t="shared" si="223"/>
        <v>477.21000000000004</v>
      </c>
      <c r="CX103" s="316">
        <f t="shared" si="224"/>
        <v>162.69999999999999</v>
      </c>
      <c r="CY103" s="316">
        <f t="shared" si="225"/>
        <v>141.32</v>
      </c>
      <c r="CZ103" s="316">
        <f t="shared" si="226"/>
        <v>183.69</v>
      </c>
      <c r="DA103" s="318">
        <f t="shared" si="227"/>
        <v>135.74</v>
      </c>
      <c r="DB103" s="281">
        <f t="shared" si="228"/>
        <v>426.96</v>
      </c>
      <c r="DC103" s="281">
        <f t="shared" si="229"/>
        <v>386.01</v>
      </c>
      <c r="DD103" s="281">
        <f t="shared" si="230"/>
        <v>316.64999999999998</v>
      </c>
      <c r="DE103" s="293">
        <f t="shared" si="231"/>
        <v>361.15999999999997</v>
      </c>
      <c r="DF103" s="281">
        <f t="shared" si="232"/>
        <v>694.08999999999992</v>
      </c>
      <c r="DG103" s="281">
        <f t="shared" si="233"/>
        <v>680.52</v>
      </c>
      <c r="DH103" s="281">
        <f t="shared" si="234"/>
        <v>316.64999999999998</v>
      </c>
      <c r="DI103" s="293">
        <f t="shared" si="235"/>
        <v>536.8599999999999</v>
      </c>
      <c r="DJ103" s="281">
        <f t="shared" si="236"/>
        <v>694.08999999999992</v>
      </c>
      <c r="DK103" s="281">
        <f t="shared" si="237"/>
        <v>680.52</v>
      </c>
      <c r="DL103" s="281">
        <f t="shared" si="238"/>
        <v>316.64999999999998</v>
      </c>
      <c r="DM103" s="609">
        <f t="shared" si="239"/>
        <v>536.8599999999999</v>
      </c>
    </row>
    <row r="104" spans="1:117" ht="15.75" hidden="1" customHeight="1" thickBot="1" x14ac:dyDescent="0.3">
      <c r="A104" s="521"/>
      <c r="B104" s="55">
        <v>24</v>
      </c>
      <c r="C104" s="371"/>
      <c r="D104" s="371"/>
      <c r="E104" s="371"/>
      <c r="F104" s="369">
        <v>44.7</v>
      </c>
      <c r="G104" s="281">
        <f t="shared" si="164"/>
        <v>61.879999999999995</v>
      </c>
      <c r="H104" s="282">
        <f t="shared" si="165"/>
        <v>49.75</v>
      </c>
      <c r="I104" s="282">
        <f t="shared" si="166"/>
        <v>52.45</v>
      </c>
      <c r="J104" s="283">
        <f t="shared" si="167"/>
        <v>53.53</v>
      </c>
      <c r="K104" s="281">
        <f t="shared" si="168"/>
        <v>15.52</v>
      </c>
      <c r="L104" s="282">
        <f t="shared" si="169"/>
        <v>34.5</v>
      </c>
      <c r="M104" s="282">
        <f t="shared" si="170"/>
        <v>22.4</v>
      </c>
      <c r="N104" s="283">
        <f t="shared" si="171"/>
        <v>60.35</v>
      </c>
      <c r="O104" s="281">
        <f t="shared" si="172"/>
        <v>25.990000000000002</v>
      </c>
      <c r="P104" s="282">
        <f t="shared" si="173"/>
        <v>29.77</v>
      </c>
      <c r="Q104" s="282">
        <f t="shared" si="174"/>
        <v>13.799999999999999</v>
      </c>
      <c r="R104" s="283">
        <f t="shared" si="175"/>
        <v>48.56</v>
      </c>
      <c r="W104" s="281">
        <f t="shared" si="176"/>
        <v>42.349999999999994</v>
      </c>
      <c r="X104" s="282">
        <f t="shared" si="177"/>
        <v>29.76</v>
      </c>
      <c r="Y104" s="282">
        <f t="shared" si="178"/>
        <v>17.14</v>
      </c>
      <c r="Z104" s="283">
        <f t="shared" si="179"/>
        <v>92.41</v>
      </c>
      <c r="AA104" s="281">
        <f t="shared" si="180"/>
        <v>35.019999999999996</v>
      </c>
      <c r="AB104" s="282">
        <f t="shared" si="181"/>
        <v>47.11</v>
      </c>
      <c r="AC104" s="282">
        <f t="shared" si="182"/>
        <v>65.12</v>
      </c>
      <c r="AD104" s="283">
        <f t="shared" si="183"/>
        <v>32.630000000000003</v>
      </c>
      <c r="AE104" s="281">
        <f t="shared" si="184"/>
        <v>32.69</v>
      </c>
      <c r="AF104" s="282">
        <f t="shared" si="185"/>
        <v>55.39</v>
      </c>
      <c r="AG104" s="282">
        <f t="shared" si="186"/>
        <v>63.070000000000007</v>
      </c>
      <c r="AH104" s="283">
        <f t="shared" si="187"/>
        <v>64.31</v>
      </c>
      <c r="AM104" s="281">
        <f t="shared" si="188"/>
        <v>37.86</v>
      </c>
      <c r="AN104" s="282">
        <f t="shared" si="189"/>
        <v>53.04</v>
      </c>
      <c r="AO104" s="282">
        <f t="shared" si="190"/>
        <v>57.019999999999996</v>
      </c>
      <c r="AP104" s="283">
        <f t="shared" si="191"/>
        <v>49.339999999999996</v>
      </c>
      <c r="AQ104" s="281">
        <f t="shared" si="192"/>
        <v>71.77</v>
      </c>
      <c r="AR104" s="282">
        <f t="shared" si="193"/>
        <v>55.93</v>
      </c>
      <c r="AS104" s="282">
        <f t="shared" si="194"/>
        <v>97.320000000000007</v>
      </c>
      <c r="AT104" s="283">
        <f t="shared" si="195"/>
        <v>77.790000000000006</v>
      </c>
      <c r="AU104" s="281">
        <f t="shared" si="196"/>
        <v>75.08</v>
      </c>
      <c r="AV104" s="282">
        <f t="shared" si="197"/>
        <v>68.63</v>
      </c>
      <c r="AW104" s="282">
        <f t="shared" si="198"/>
        <v>87.79</v>
      </c>
      <c r="AX104" s="283"/>
      <c r="BC104" s="281">
        <f t="shared" si="199"/>
        <v>82.28</v>
      </c>
      <c r="BD104" s="282">
        <f t="shared" si="200"/>
        <v>87.460000000000008</v>
      </c>
      <c r="BE104" s="282">
        <f t="shared" si="201"/>
        <v>131.74</v>
      </c>
      <c r="BF104" s="283"/>
      <c r="BG104" s="281">
        <f t="shared" si="202"/>
        <v>59.83</v>
      </c>
      <c r="BH104" s="282">
        <f t="shared" si="203"/>
        <v>81.02</v>
      </c>
      <c r="BI104" s="282">
        <f t="shared" si="204"/>
        <v>99.53</v>
      </c>
      <c r="BJ104" s="283"/>
      <c r="BK104" s="281">
        <f t="shared" si="205"/>
        <v>46.12</v>
      </c>
      <c r="BL104" s="282">
        <f t="shared" si="206"/>
        <v>61.3</v>
      </c>
      <c r="BM104" s="282">
        <f t="shared" si="207"/>
        <v>87.56</v>
      </c>
      <c r="BN104" s="283"/>
      <c r="CG104" s="281">
        <f t="shared" si="208"/>
        <v>103.38999999999999</v>
      </c>
      <c r="CH104" s="281">
        <f t="shared" si="209"/>
        <v>114.02</v>
      </c>
      <c r="CI104" s="281">
        <f t="shared" si="210"/>
        <v>88.649999999999991</v>
      </c>
      <c r="CJ104" s="293">
        <f t="shared" si="211"/>
        <v>162.44</v>
      </c>
      <c r="CK104" s="281">
        <f t="shared" si="212"/>
        <v>213.45</v>
      </c>
      <c r="CL104" s="281">
        <f t="shared" si="213"/>
        <v>246.27999999999997</v>
      </c>
      <c r="CM104" s="281">
        <f t="shared" si="214"/>
        <v>233.98000000000002</v>
      </c>
      <c r="CN104" s="293">
        <f t="shared" si="215"/>
        <v>351.79</v>
      </c>
      <c r="CO104" s="281">
        <f t="shared" si="216"/>
        <v>398.15999999999997</v>
      </c>
      <c r="CP104" s="281">
        <f t="shared" si="217"/>
        <v>423.88</v>
      </c>
      <c r="CQ104" s="281">
        <f t="shared" si="218"/>
        <v>476.11</v>
      </c>
      <c r="CR104" s="293">
        <f t="shared" si="219"/>
        <v>478.92</v>
      </c>
      <c r="CS104" s="281">
        <f t="shared" si="220"/>
        <v>586.39</v>
      </c>
      <c r="CT104" s="281">
        <f t="shared" si="221"/>
        <v>653.66</v>
      </c>
      <c r="CU104" s="281">
        <f t="shared" si="222"/>
        <v>794.94</v>
      </c>
      <c r="CV104" s="293">
        <f t="shared" si="223"/>
        <v>478.92</v>
      </c>
      <c r="CX104" s="316">
        <f t="shared" si="224"/>
        <v>132.26</v>
      </c>
      <c r="CY104" s="316">
        <f t="shared" si="225"/>
        <v>145.33000000000001</v>
      </c>
      <c r="CZ104" s="316">
        <f t="shared" si="226"/>
        <v>189.35</v>
      </c>
      <c r="DA104" s="318">
        <f t="shared" si="227"/>
        <v>67.709999999999994</v>
      </c>
      <c r="DB104" s="281">
        <f t="shared" si="228"/>
        <v>309.86</v>
      </c>
      <c r="DC104" s="281">
        <f t="shared" si="229"/>
        <v>387.46000000000004</v>
      </c>
      <c r="DD104" s="281">
        <f t="shared" si="230"/>
        <v>316.48</v>
      </c>
      <c r="DE104" s="293">
        <f t="shared" si="231"/>
        <v>214.56</v>
      </c>
      <c r="DF104" s="281">
        <f t="shared" si="232"/>
        <v>539.64</v>
      </c>
      <c r="DG104" s="281">
        <f t="shared" si="233"/>
        <v>706.29</v>
      </c>
      <c r="DH104" s="281">
        <f t="shared" si="234"/>
        <v>316.48</v>
      </c>
      <c r="DI104" s="293">
        <f t="shared" si="235"/>
        <v>320.51</v>
      </c>
      <c r="DJ104" s="281">
        <f t="shared" si="236"/>
        <v>539.64</v>
      </c>
      <c r="DK104" s="281">
        <f t="shared" si="237"/>
        <v>706.29</v>
      </c>
      <c r="DL104" s="281">
        <f t="shared" si="238"/>
        <v>316.48</v>
      </c>
      <c r="DM104" s="609">
        <f t="shared" si="239"/>
        <v>320.51</v>
      </c>
    </row>
    <row r="105" spans="1:117" ht="15" hidden="1" customHeight="1" x14ac:dyDescent="0.25">
      <c r="A105" s="91" t="s">
        <v>26</v>
      </c>
      <c r="B105" s="116">
        <v>105</v>
      </c>
      <c r="C105" s="375"/>
      <c r="D105" s="375"/>
      <c r="E105" s="375"/>
      <c r="F105" s="375">
        <v>50</v>
      </c>
      <c r="G105" s="281">
        <f t="shared" si="164"/>
        <v>0</v>
      </c>
      <c r="H105" s="282">
        <f t="shared" si="165"/>
        <v>0</v>
      </c>
      <c r="I105" s="282">
        <f t="shared" si="166"/>
        <v>0</v>
      </c>
      <c r="J105" s="283">
        <f t="shared" si="167"/>
        <v>0</v>
      </c>
      <c r="K105" s="281">
        <f t="shared" si="168"/>
        <v>0</v>
      </c>
      <c r="L105" s="282">
        <f t="shared" si="169"/>
        <v>0</v>
      </c>
      <c r="M105" s="282">
        <f t="shared" si="170"/>
        <v>0</v>
      </c>
      <c r="N105" s="283">
        <f t="shared" si="171"/>
        <v>0</v>
      </c>
      <c r="O105" s="281">
        <f t="shared" si="172"/>
        <v>0</v>
      </c>
      <c r="P105" s="282">
        <f t="shared" si="173"/>
        <v>0</v>
      </c>
      <c r="Q105" s="282">
        <f t="shared" si="174"/>
        <v>0.15</v>
      </c>
      <c r="R105" s="283">
        <f t="shared" si="175"/>
        <v>0</v>
      </c>
      <c r="W105" s="281">
        <f t="shared" si="176"/>
        <v>0</v>
      </c>
      <c r="X105" s="282">
        <f t="shared" si="177"/>
        <v>0</v>
      </c>
      <c r="Y105" s="282">
        <f t="shared" si="178"/>
        <v>0</v>
      </c>
      <c r="Z105" s="283">
        <f t="shared" si="179"/>
        <v>0</v>
      </c>
      <c r="AA105" s="281">
        <f t="shared" si="180"/>
        <v>0</v>
      </c>
      <c r="AB105" s="282">
        <f t="shared" si="181"/>
        <v>0</v>
      </c>
      <c r="AC105" s="282">
        <f t="shared" si="182"/>
        <v>0</v>
      </c>
      <c r="AD105" s="283">
        <f t="shared" si="183"/>
        <v>0</v>
      </c>
      <c r="AE105" s="281">
        <f t="shared" si="184"/>
        <v>0</v>
      </c>
      <c r="AF105" s="282">
        <f t="shared" si="185"/>
        <v>0</v>
      </c>
      <c r="AG105" s="282">
        <f t="shared" si="186"/>
        <v>0</v>
      </c>
      <c r="AH105" s="283">
        <f t="shared" si="187"/>
        <v>0</v>
      </c>
      <c r="AM105" s="281">
        <f t="shared" si="188"/>
        <v>0</v>
      </c>
      <c r="AN105" s="282">
        <f t="shared" si="189"/>
        <v>0</v>
      </c>
      <c r="AO105" s="282">
        <f t="shared" si="190"/>
        <v>0</v>
      </c>
      <c r="AP105" s="283">
        <f t="shared" si="191"/>
        <v>0</v>
      </c>
      <c r="AQ105" s="281">
        <f t="shared" si="192"/>
        <v>0</v>
      </c>
      <c r="AR105" s="282">
        <f t="shared" si="193"/>
        <v>0</v>
      </c>
      <c r="AS105" s="282">
        <f t="shared" si="194"/>
        <v>0</v>
      </c>
      <c r="AT105" s="283">
        <f t="shared" si="195"/>
        <v>0</v>
      </c>
      <c r="AU105" s="281">
        <f t="shared" si="196"/>
        <v>3.05</v>
      </c>
      <c r="AV105" s="282">
        <f t="shared" si="197"/>
        <v>0</v>
      </c>
      <c r="AW105" s="282">
        <f t="shared" si="198"/>
        <v>0</v>
      </c>
      <c r="AX105" s="283"/>
      <c r="BC105" s="281">
        <f t="shared" si="199"/>
        <v>0</v>
      </c>
      <c r="BD105" s="282">
        <f t="shared" si="200"/>
        <v>0</v>
      </c>
      <c r="BE105" s="282">
        <f t="shared" si="201"/>
        <v>0</v>
      </c>
      <c r="BF105" s="283"/>
      <c r="BG105" s="281">
        <f t="shared" si="202"/>
        <v>0</v>
      </c>
      <c r="BH105" s="282">
        <f t="shared" si="203"/>
        <v>0</v>
      </c>
      <c r="BI105" s="282">
        <f t="shared" si="204"/>
        <v>0</v>
      </c>
      <c r="BJ105" s="283"/>
      <c r="BK105" s="281">
        <f t="shared" si="205"/>
        <v>0</v>
      </c>
      <c r="BL105" s="282">
        <f t="shared" si="206"/>
        <v>0</v>
      </c>
      <c r="BM105" s="282">
        <f t="shared" si="207"/>
        <v>0</v>
      </c>
      <c r="BN105" s="283"/>
      <c r="CG105" s="281">
        <f t="shared" si="208"/>
        <v>0</v>
      </c>
      <c r="CH105" s="281">
        <f t="shared" si="209"/>
        <v>0</v>
      </c>
      <c r="CI105" s="281">
        <f t="shared" si="210"/>
        <v>0.15</v>
      </c>
      <c r="CJ105" s="293">
        <f t="shared" si="211"/>
        <v>0</v>
      </c>
      <c r="CK105" s="281">
        <f t="shared" si="212"/>
        <v>0</v>
      </c>
      <c r="CL105" s="281">
        <f t="shared" si="213"/>
        <v>0</v>
      </c>
      <c r="CM105" s="281">
        <f t="shared" si="214"/>
        <v>0.15</v>
      </c>
      <c r="CN105" s="293">
        <f t="shared" si="215"/>
        <v>0</v>
      </c>
      <c r="CO105" s="281">
        <f t="shared" si="216"/>
        <v>3.05</v>
      </c>
      <c r="CP105" s="281">
        <f t="shared" si="217"/>
        <v>0</v>
      </c>
      <c r="CQ105" s="281">
        <f t="shared" si="218"/>
        <v>0.15</v>
      </c>
      <c r="CR105" s="293">
        <f t="shared" si="219"/>
        <v>0</v>
      </c>
      <c r="CS105" s="281">
        <f t="shared" si="220"/>
        <v>3.05</v>
      </c>
      <c r="CT105" s="281">
        <f t="shared" si="221"/>
        <v>0</v>
      </c>
      <c r="CU105" s="281">
        <f t="shared" si="222"/>
        <v>0.15</v>
      </c>
      <c r="CV105" s="293">
        <f t="shared" si="223"/>
        <v>0</v>
      </c>
      <c r="CX105" s="316">
        <f t="shared" si="224"/>
        <v>0</v>
      </c>
      <c r="CY105" s="316">
        <f t="shared" si="225"/>
        <v>0</v>
      </c>
      <c r="CZ105" s="316">
        <f t="shared" si="226"/>
        <v>0</v>
      </c>
      <c r="DA105" s="318">
        <f t="shared" si="227"/>
        <v>0</v>
      </c>
      <c r="DB105" s="281">
        <f t="shared" si="228"/>
        <v>0</v>
      </c>
      <c r="DC105" s="281">
        <f t="shared" si="229"/>
        <v>0</v>
      </c>
      <c r="DD105" s="281">
        <f t="shared" si="230"/>
        <v>0</v>
      </c>
      <c r="DE105" s="293">
        <f t="shared" si="231"/>
        <v>3.05</v>
      </c>
      <c r="DF105" s="281">
        <f t="shared" si="232"/>
        <v>0</v>
      </c>
      <c r="DG105" s="281">
        <f t="shared" si="233"/>
        <v>0</v>
      </c>
      <c r="DH105" s="281">
        <f t="shared" si="234"/>
        <v>0</v>
      </c>
      <c r="DI105" s="293">
        <f t="shared" si="235"/>
        <v>3.05</v>
      </c>
      <c r="DJ105" s="281">
        <f t="shared" si="236"/>
        <v>0</v>
      </c>
      <c r="DK105" s="281">
        <f t="shared" si="237"/>
        <v>0</v>
      </c>
      <c r="DL105" s="281">
        <f t="shared" si="238"/>
        <v>0</v>
      </c>
      <c r="DM105" s="609">
        <f t="shared" si="239"/>
        <v>3.05</v>
      </c>
    </row>
    <row r="106" spans="1:117" ht="15.75" hidden="1" customHeight="1" thickBot="1" x14ac:dyDescent="0.3">
      <c r="A106" s="123" t="s">
        <v>27</v>
      </c>
      <c r="B106" s="83">
        <v>114</v>
      </c>
      <c r="C106" s="369"/>
      <c r="D106" s="369"/>
      <c r="E106" s="369"/>
      <c r="F106" s="369">
        <v>46</v>
      </c>
      <c r="G106" s="281">
        <f t="shared" si="164"/>
        <v>0</v>
      </c>
      <c r="H106" s="282">
        <f t="shared" si="165"/>
        <v>0</v>
      </c>
      <c r="I106" s="282">
        <f t="shared" si="166"/>
        <v>0</v>
      </c>
      <c r="J106" s="283">
        <f t="shared" si="167"/>
        <v>0</v>
      </c>
      <c r="K106" s="281">
        <f t="shared" si="168"/>
        <v>0</v>
      </c>
      <c r="L106" s="282">
        <f t="shared" si="169"/>
        <v>0</v>
      </c>
      <c r="M106" s="282">
        <f t="shared" si="170"/>
        <v>0</v>
      </c>
      <c r="N106" s="283">
        <f t="shared" si="171"/>
        <v>0</v>
      </c>
      <c r="O106" s="281">
        <f t="shared" si="172"/>
        <v>0</v>
      </c>
      <c r="P106" s="282">
        <f t="shared" si="173"/>
        <v>0</v>
      </c>
      <c r="Q106" s="282">
        <f t="shared" si="174"/>
        <v>0.15</v>
      </c>
      <c r="R106" s="283">
        <f t="shared" si="175"/>
        <v>0</v>
      </c>
      <c r="W106" s="281">
        <f t="shared" si="176"/>
        <v>0</v>
      </c>
      <c r="X106" s="282">
        <f t="shared" si="177"/>
        <v>0</v>
      </c>
      <c r="Y106" s="282">
        <f t="shared" si="178"/>
        <v>0</v>
      </c>
      <c r="Z106" s="283">
        <f t="shared" si="179"/>
        <v>0</v>
      </c>
      <c r="AA106" s="281">
        <f t="shared" si="180"/>
        <v>0</v>
      </c>
      <c r="AB106" s="282">
        <f t="shared" si="181"/>
        <v>0</v>
      </c>
      <c r="AC106" s="282">
        <f t="shared" si="182"/>
        <v>0</v>
      </c>
      <c r="AD106" s="283">
        <f t="shared" si="183"/>
        <v>0</v>
      </c>
      <c r="AE106" s="281">
        <f t="shared" si="184"/>
        <v>0</v>
      </c>
      <c r="AF106" s="282">
        <f t="shared" si="185"/>
        <v>0</v>
      </c>
      <c r="AG106" s="282">
        <f t="shared" si="186"/>
        <v>0</v>
      </c>
      <c r="AH106" s="283">
        <f t="shared" si="187"/>
        <v>0</v>
      </c>
      <c r="AM106" s="281">
        <f t="shared" si="188"/>
        <v>0</v>
      </c>
      <c r="AN106" s="282">
        <f t="shared" si="189"/>
        <v>0</v>
      </c>
      <c r="AO106" s="282">
        <f t="shared" si="190"/>
        <v>0</v>
      </c>
      <c r="AP106" s="283">
        <f t="shared" si="191"/>
        <v>0</v>
      </c>
      <c r="AQ106" s="281">
        <f t="shared" si="192"/>
        <v>0</v>
      </c>
      <c r="AR106" s="282">
        <f t="shared" si="193"/>
        <v>0</v>
      </c>
      <c r="AS106" s="282">
        <f t="shared" si="194"/>
        <v>0</v>
      </c>
      <c r="AT106" s="283">
        <f t="shared" si="195"/>
        <v>0</v>
      </c>
      <c r="AU106" s="281">
        <f t="shared" si="196"/>
        <v>0</v>
      </c>
      <c r="AV106" s="282">
        <f t="shared" si="197"/>
        <v>0</v>
      </c>
      <c r="AW106" s="282">
        <f t="shared" si="198"/>
        <v>0</v>
      </c>
      <c r="AX106" s="283"/>
      <c r="BC106" s="281">
        <f t="shared" si="199"/>
        <v>0</v>
      </c>
      <c r="BD106" s="282">
        <f t="shared" si="200"/>
        <v>0</v>
      </c>
      <c r="BE106" s="282">
        <f t="shared" si="201"/>
        <v>0</v>
      </c>
      <c r="BF106" s="283"/>
      <c r="BG106" s="281">
        <f t="shared" si="202"/>
        <v>0</v>
      </c>
      <c r="BH106" s="282">
        <f t="shared" si="203"/>
        <v>0</v>
      </c>
      <c r="BI106" s="282">
        <f t="shared" si="204"/>
        <v>0</v>
      </c>
      <c r="BJ106" s="283"/>
      <c r="BK106" s="281">
        <f t="shared" si="205"/>
        <v>0</v>
      </c>
      <c r="BL106" s="282">
        <f t="shared" si="206"/>
        <v>0</v>
      </c>
      <c r="BM106" s="282">
        <f t="shared" si="207"/>
        <v>0</v>
      </c>
      <c r="BN106" s="283"/>
      <c r="CG106" s="281">
        <f t="shared" si="208"/>
        <v>0</v>
      </c>
      <c r="CH106" s="281">
        <f t="shared" si="209"/>
        <v>0</v>
      </c>
      <c r="CI106" s="281">
        <f t="shared" si="210"/>
        <v>0.15</v>
      </c>
      <c r="CJ106" s="293">
        <f t="shared" si="211"/>
        <v>0</v>
      </c>
      <c r="CK106" s="281">
        <f t="shared" si="212"/>
        <v>0</v>
      </c>
      <c r="CL106" s="281">
        <f t="shared" si="213"/>
        <v>0</v>
      </c>
      <c r="CM106" s="281">
        <f t="shared" si="214"/>
        <v>0.15</v>
      </c>
      <c r="CN106" s="293">
        <f t="shared" si="215"/>
        <v>0</v>
      </c>
      <c r="CO106" s="281">
        <f t="shared" si="216"/>
        <v>0</v>
      </c>
      <c r="CP106" s="281">
        <f t="shared" si="217"/>
        <v>0</v>
      </c>
      <c r="CQ106" s="281">
        <f t="shared" si="218"/>
        <v>0.15</v>
      </c>
      <c r="CR106" s="293">
        <f t="shared" si="219"/>
        <v>0</v>
      </c>
      <c r="CS106" s="281">
        <f t="shared" si="220"/>
        <v>0</v>
      </c>
      <c r="CT106" s="281">
        <f t="shared" si="221"/>
        <v>0</v>
      </c>
      <c r="CU106" s="281">
        <f t="shared" si="222"/>
        <v>0.15</v>
      </c>
      <c r="CV106" s="293">
        <f t="shared" si="223"/>
        <v>0</v>
      </c>
      <c r="CX106" s="316">
        <f t="shared" si="224"/>
        <v>0</v>
      </c>
      <c r="CY106" s="316">
        <f t="shared" si="225"/>
        <v>0</v>
      </c>
      <c r="CZ106" s="316">
        <f t="shared" si="226"/>
        <v>0</v>
      </c>
      <c r="DA106" s="318">
        <f t="shared" si="227"/>
        <v>0</v>
      </c>
      <c r="DB106" s="281">
        <f t="shared" si="228"/>
        <v>0</v>
      </c>
      <c r="DC106" s="281">
        <f t="shared" si="229"/>
        <v>0</v>
      </c>
      <c r="DD106" s="281">
        <f t="shared" si="230"/>
        <v>0</v>
      </c>
      <c r="DE106" s="293">
        <f t="shared" si="231"/>
        <v>0</v>
      </c>
      <c r="DF106" s="281">
        <f t="shared" si="232"/>
        <v>0</v>
      </c>
      <c r="DG106" s="281">
        <f t="shared" si="233"/>
        <v>0</v>
      </c>
      <c r="DH106" s="281">
        <f t="shared" si="234"/>
        <v>0</v>
      </c>
      <c r="DI106" s="293">
        <f t="shared" si="235"/>
        <v>0</v>
      </c>
      <c r="DJ106" s="281">
        <f t="shared" si="236"/>
        <v>0</v>
      </c>
      <c r="DK106" s="281">
        <f t="shared" si="237"/>
        <v>0</v>
      </c>
      <c r="DL106" s="281">
        <f t="shared" si="238"/>
        <v>0</v>
      </c>
      <c r="DM106" s="609">
        <f t="shared" si="239"/>
        <v>0</v>
      </c>
    </row>
    <row r="107" spans="1:117" ht="15" hidden="1" customHeight="1" x14ac:dyDescent="0.25">
      <c r="A107" s="520" t="s">
        <v>28</v>
      </c>
      <c r="B107" s="23">
        <v>25</v>
      </c>
      <c r="C107" s="367"/>
      <c r="D107" s="367"/>
      <c r="E107" s="367"/>
      <c r="F107" s="367">
        <v>38.22</v>
      </c>
      <c r="G107" s="281">
        <f t="shared" si="164"/>
        <v>0</v>
      </c>
      <c r="H107" s="282">
        <f t="shared" si="165"/>
        <v>1.42</v>
      </c>
      <c r="I107" s="282">
        <f t="shared" si="166"/>
        <v>1.02</v>
      </c>
      <c r="J107" s="283">
        <f t="shared" si="167"/>
        <v>18.25</v>
      </c>
      <c r="K107" s="281">
        <f t="shared" si="168"/>
        <v>0</v>
      </c>
      <c r="L107" s="282">
        <f t="shared" si="169"/>
        <v>0.37</v>
      </c>
      <c r="M107" s="282">
        <f t="shared" si="170"/>
        <v>1.02</v>
      </c>
      <c r="N107" s="283">
        <f t="shared" si="171"/>
        <v>21.46</v>
      </c>
      <c r="O107" s="281">
        <f t="shared" si="172"/>
        <v>0</v>
      </c>
      <c r="P107" s="282">
        <f t="shared" si="173"/>
        <v>0.36</v>
      </c>
      <c r="Q107" s="282">
        <f t="shared" si="174"/>
        <v>2.2800000000000002</v>
      </c>
      <c r="R107" s="283">
        <f t="shared" si="175"/>
        <v>18.98</v>
      </c>
      <c r="W107" s="281">
        <f t="shared" si="176"/>
        <v>0</v>
      </c>
      <c r="X107" s="282">
        <f t="shared" si="177"/>
        <v>1.26</v>
      </c>
      <c r="Y107" s="282">
        <f t="shared" si="178"/>
        <v>3.4299999999999997</v>
      </c>
      <c r="Z107" s="283">
        <f t="shared" si="179"/>
        <v>28.92</v>
      </c>
      <c r="AA107" s="281">
        <f t="shared" si="180"/>
        <v>0</v>
      </c>
      <c r="AB107" s="282">
        <f t="shared" si="181"/>
        <v>2.7600000000000002</v>
      </c>
      <c r="AC107" s="282">
        <f t="shared" si="182"/>
        <v>9.34</v>
      </c>
      <c r="AD107" s="283">
        <f t="shared" si="183"/>
        <v>43.78</v>
      </c>
      <c r="AE107" s="281">
        <f t="shared" si="184"/>
        <v>0</v>
      </c>
      <c r="AF107" s="282">
        <f t="shared" si="185"/>
        <v>0.92</v>
      </c>
      <c r="AG107" s="282">
        <f t="shared" si="186"/>
        <v>12.17</v>
      </c>
      <c r="AH107" s="283">
        <f t="shared" si="187"/>
        <v>24.43</v>
      </c>
      <c r="AM107" s="281">
        <f t="shared" si="188"/>
        <v>0</v>
      </c>
      <c r="AN107" s="282">
        <f t="shared" si="189"/>
        <v>1.19</v>
      </c>
      <c r="AO107" s="282">
        <f t="shared" si="190"/>
        <v>8.1</v>
      </c>
      <c r="AP107" s="283">
        <f t="shared" si="191"/>
        <v>23.89</v>
      </c>
      <c r="AQ107" s="281">
        <f t="shared" si="192"/>
        <v>0.28999999999999998</v>
      </c>
      <c r="AR107" s="282">
        <f t="shared" si="193"/>
        <v>2.16</v>
      </c>
      <c r="AS107" s="282">
        <f t="shared" si="194"/>
        <v>10.59</v>
      </c>
      <c r="AT107" s="283">
        <f t="shared" si="195"/>
        <v>30.08</v>
      </c>
      <c r="AU107" s="281">
        <f t="shared" si="196"/>
        <v>0.69</v>
      </c>
      <c r="AV107" s="282">
        <f t="shared" si="197"/>
        <v>0.71</v>
      </c>
      <c r="AW107" s="282">
        <f t="shared" si="198"/>
        <v>14.830000000000002</v>
      </c>
      <c r="AX107" s="283"/>
      <c r="BC107" s="281">
        <f t="shared" si="199"/>
        <v>0.4</v>
      </c>
      <c r="BD107" s="282">
        <f t="shared" si="200"/>
        <v>1.4</v>
      </c>
      <c r="BE107" s="282">
        <f t="shared" si="201"/>
        <v>13.21</v>
      </c>
      <c r="BF107" s="283"/>
      <c r="BG107" s="281">
        <f t="shared" si="202"/>
        <v>0.71</v>
      </c>
      <c r="BH107" s="282">
        <f t="shared" si="203"/>
        <v>1.57</v>
      </c>
      <c r="BI107" s="282">
        <f t="shared" si="204"/>
        <v>24.810000000000002</v>
      </c>
      <c r="BJ107" s="283"/>
      <c r="BK107" s="281">
        <f t="shared" si="205"/>
        <v>0.99</v>
      </c>
      <c r="BL107" s="282">
        <f t="shared" si="206"/>
        <v>1.03</v>
      </c>
      <c r="BM107" s="282">
        <f t="shared" si="207"/>
        <v>9.11</v>
      </c>
      <c r="BN107" s="283"/>
      <c r="CG107" s="281">
        <f t="shared" si="208"/>
        <v>0</v>
      </c>
      <c r="CH107" s="281">
        <f t="shared" si="209"/>
        <v>2.15</v>
      </c>
      <c r="CI107" s="281">
        <f t="shared" si="210"/>
        <v>4.32</v>
      </c>
      <c r="CJ107" s="293">
        <f t="shared" si="211"/>
        <v>58.69</v>
      </c>
      <c r="CK107" s="281">
        <f t="shared" si="212"/>
        <v>0</v>
      </c>
      <c r="CL107" s="281">
        <f t="shared" si="213"/>
        <v>7.09</v>
      </c>
      <c r="CM107" s="281">
        <f t="shared" si="214"/>
        <v>29.259999999999998</v>
      </c>
      <c r="CN107" s="293">
        <f t="shared" si="215"/>
        <v>155.82</v>
      </c>
      <c r="CO107" s="281">
        <f t="shared" si="216"/>
        <v>0.98</v>
      </c>
      <c r="CP107" s="281">
        <f t="shared" si="217"/>
        <v>11.149999999999999</v>
      </c>
      <c r="CQ107" s="281">
        <f t="shared" si="218"/>
        <v>62.78</v>
      </c>
      <c r="CR107" s="293">
        <f t="shared" si="219"/>
        <v>209.78999999999996</v>
      </c>
      <c r="CS107" s="281">
        <f t="shared" si="220"/>
        <v>3.08</v>
      </c>
      <c r="CT107" s="281">
        <f t="shared" si="221"/>
        <v>15.149999999999999</v>
      </c>
      <c r="CU107" s="281">
        <f t="shared" si="222"/>
        <v>109.91000000000001</v>
      </c>
      <c r="CV107" s="293">
        <f t="shared" si="223"/>
        <v>209.78999999999996</v>
      </c>
      <c r="CX107" s="316">
        <f t="shared" si="224"/>
        <v>4.9400000000000004</v>
      </c>
      <c r="CY107" s="316">
        <f t="shared" si="225"/>
        <v>24.939999999999998</v>
      </c>
      <c r="CZ107" s="316">
        <f t="shared" si="226"/>
        <v>97.13</v>
      </c>
      <c r="DA107" s="318">
        <f t="shared" si="227"/>
        <v>0</v>
      </c>
      <c r="DB107" s="281">
        <f t="shared" si="228"/>
        <v>9</v>
      </c>
      <c r="DC107" s="281">
        <f t="shared" si="229"/>
        <v>58.459999999999994</v>
      </c>
      <c r="DD107" s="281">
        <f t="shared" si="230"/>
        <v>151.1</v>
      </c>
      <c r="DE107" s="293">
        <f t="shared" si="231"/>
        <v>0.98</v>
      </c>
      <c r="DF107" s="281">
        <f t="shared" si="232"/>
        <v>13</v>
      </c>
      <c r="DG107" s="281">
        <f t="shared" si="233"/>
        <v>105.58999999999999</v>
      </c>
      <c r="DH107" s="281">
        <f t="shared" si="234"/>
        <v>151.1</v>
      </c>
      <c r="DI107" s="293">
        <f t="shared" si="235"/>
        <v>2.6799999999999997</v>
      </c>
      <c r="DJ107" s="281">
        <f t="shared" si="236"/>
        <v>13</v>
      </c>
      <c r="DK107" s="281">
        <f t="shared" si="237"/>
        <v>105.58999999999999</v>
      </c>
      <c r="DL107" s="281">
        <f t="shared" si="238"/>
        <v>151.1</v>
      </c>
      <c r="DM107" s="609">
        <f t="shared" si="239"/>
        <v>2.6799999999999997</v>
      </c>
    </row>
    <row r="108" spans="1:117" ht="15" hidden="1" customHeight="1" x14ac:dyDescent="0.25">
      <c r="A108" s="521"/>
      <c r="B108" s="55" t="s">
        <v>29</v>
      </c>
      <c r="C108" s="376"/>
      <c r="D108" s="376"/>
      <c r="E108" s="376"/>
      <c r="F108" s="377">
        <v>22.72</v>
      </c>
      <c r="G108" s="281">
        <f t="shared" si="164"/>
        <v>1.03</v>
      </c>
      <c r="H108" s="282">
        <f t="shared" si="165"/>
        <v>4.6099999999999994</v>
      </c>
      <c r="I108" s="282">
        <f t="shared" si="166"/>
        <v>5.78</v>
      </c>
      <c r="J108" s="283">
        <f t="shared" si="167"/>
        <v>18.600000000000001</v>
      </c>
      <c r="K108" s="281">
        <f t="shared" si="168"/>
        <v>0.5</v>
      </c>
      <c r="L108" s="282">
        <f t="shared" si="169"/>
        <v>1.23</v>
      </c>
      <c r="M108" s="282">
        <f t="shared" si="170"/>
        <v>4.8100000000000005</v>
      </c>
      <c r="N108" s="283">
        <f t="shared" si="171"/>
        <v>10.9</v>
      </c>
      <c r="O108" s="281">
        <f t="shared" si="172"/>
        <v>0</v>
      </c>
      <c r="P108" s="282">
        <f t="shared" si="173"/>
        <v>2</v>
      </c>
      <c r="Q108" s="282">
        <f t="shared" si="174"/>
        <v>6.07</v>
      </c>
      <c r="R108" s="283">
        <f t="shared" si="175"/>
        <v>23.84</v>
      </c>
      <c r="W108" s="281">
        <f t="shared" si="176"/>
        <v>0</v>
      </c>
      <c r="X108" s="282">
        <f t="shared" si="177"/>
        <v>2.17</v>
      </c>
      <c r="Y108" s="282">
        <f t="shared" si="178"/>
        <v>9.06</v>
      </c>
      <c r="Z108" s="283">
        <f t="shared" si="179"/>
        <v>19.61</v>
      </c>
      <c r="AA108" s="281">
        <f t="shared" si="180"/>
        <v>1.77</v>
      </c>
      <c r="AB108" s="282">
        <f t="shared" si="181"/>
        <v>3.39</v>
      </c>
      <c r="AC108" s="282">
        <f t="shared" si="182"/>
        <v>15.52</v>
      </c>
      <c r="AD108" s="283">
        <f t="shared" si="183"/>
        <v>20.61</v>
      </c>
      <c r="AE108" s="281">
        <f t="shared" si="184"/>
        <v>0.7</v>
      </c>
      <c r="AF108" s="282">
        <f t="shared" si="185"/>
        <v>2.4900000000000002</v>
      </c>
      <c r="AG108" s="282">
        <f t="shared" si="186"/>
        <v>14.17</v>
      </c>
      <c r="AH108" s="283">
        <f t="shared" si="187"/>
        <v>24.740000000000002</v>
      </c>
      <c r="AM108" s="281">
        <f t="shared" si="188"/>
        <v>0.97</v>
      </c>
      <c r="AN108" s="282">
        <f t="shared" si="189"/>
        <v>4.03</v>
      </c>
      <c r="AO108" s="282">
        <f t="shared" si="190"/>
        <v>9.67</v>
      </c>
      <c r="AP108" s="283">
        <f t="shared" si="191"/>
        <v>17.809999999999999</v>
      </c>
      <c r="AQ108" s="281">
        <f t="shared" si="192"/>
        <v>1.75</v>
      </c>
      <c r="AR108" s="282">
        <f t="shared" si="193"/>
        <v>3.1</v>
      </c>
      <c r="AS108" s="282">
        <f t="shared" si="194"/>
        <v>21.14</v>
      </c>
      <c r="AT108" s="283">
        <f t="shared" si="195"/>
        <v>24.36</v>
      </c>
      <c r="AU108" s="281">
        <f t="shared" si="196"/>
        <v>2</v>
      </c>
      <c r="AV108" s="282">
        <f t="shared" si="197"/>
        <v>4.79</v>
      </c>
      <c r="AW108" s="282">
        <f t="shared" si="198"/>
        <v>20.100000000000001</v>
      </c>
      <c r="AX108" s="283"/>
      <c r="BC108" s="281">
        <f t="shared" si="199"/>
        <v>2</v>
      </c>
      <c r="BD108" s="282">
        <f t="shared" si="200"/>
        <v>7.67</v>
      </c>
      <c r="BE108" s="282">
        <f t="shared" si="201"/>
        <v>16.68</v>
      </c>
      <c r="BF108" s="283"/>
      <c r="BG108" s="281">
        <f t="shared" si="202"/>
        <v>3.21</v>
      </c>
      <c r="BH108" s="282">
        <f t="shared" si="203"/>
        <v>8.4699999999999989</v>
      </c>
      <c r="BI108" s="282">
        <f t="shared" si="204"/>
        <v>19.809999999999999</v>
      </c>
      <c r="BJ108" s="283"/>
      <c r="BK108" s="281">
        <f t="shared" si="205"/>
        <v>1.5</v>
      </c>
      <c r="BL108" s="282">
        <f t="shared" si="206"/>
        <v>6.1899999999999995</v>
      </c>
      <c r="BM108" s="282">
        <f t="shared" si="207"/>
        <v>22.05</v>
      </c>
      <c r="BN108" s="283"/>
      <c r="CG108" s="281">
        <f t="shared" si="208"/>
        <v>1.53</v>
      </c>
      <c r="CH108" s="281">
        <f t="shared" si="209"/>
        <v>7.84</v>
      </c>
      <c r="CI108" s="281">
        <f t="shared" si="210"/>
        <v>16.66</v>
      </c>
      <c r="CJ108" s="293">
        <f t="shared" si="211"/>
        <v>53.34</v>
      </c>
      <c r="CK108" s="281">
        <f t="shared" si="212"/>
        <v>4</v>
      </c>
      <c r="CL108" s="281">
        <f t="shared" si="213"/>
        <v>15.89</v>
      </c>
      <c r="CM108" s="281">
        <f t="shared" si="214"/>
        <v>55.41</v>
      </c>
      <c r="CN108" s="293">
        <f t="shared" si="215"/>
        <v>118.30000000000001</v>
      </c>
      <c r="CO108" s="281">
        <f t="shared" si="216"/>
        <v>8.7199999999999989</v>
      </c>
      <c r="CP108" s="281">
        <f t="shared" si="217"/>
        <v>27.810000000000002</v>
      </c>
      <c r="CQ108" s="281">
        <f t="shared" si="218"/>
        <v>106.32</v>
      </c>
      <c r="CR108" s="293">
        <f t="shared" si="219"/>
        <v>160.47000000000003</v>
      </c>
      <c r="CS108" s="281">
        <f t="shared" si="220"/>
        <v>15.43</v>
      </c>
      <c r="CT108" s="281">
        <f t="shared" si="221"/>
        <v>50.14</v>
      </c>
      <c r="CU108" s="281">
        <f t="shared" si="222"/>
        <v>164.86</v>
      </c>
      <c r="CV108" s="293">
        <f t="shared" si="223"/>
        <v>160.47000000000003</v>
      </c>
      <c r="CX108" s="316">
        <f t="shared" si="224"/>
        <v>8.0500000000000007</v>
      </c>
      <c r="CY108" s="316">
        <f t="shared" si="225"/>
        <v>38.75</v>
      </c>
      <c r="CZ108" s="316">
        <f t="shared" si="226"/>
        <v>64.960000000000008</v>
      </c>
      <c r="DA108" s="318">
        <f t="shared" si="227"/>
        <v>2.4699999999999998</v>
      </c>
      <c r="DB108" s="281">
        <f t="shared" si="228"/>
        <v>19.970000000000002</v>
      </c>
      <c r="DC108" s="281">
        <f t="shared" si="229"/>
        <v>89.66</v>
      </c>
      <c r="DD108" s="281">
        <f t="shared" si="230"/>
        <v>107.13000000000001</v>
      </c>
      <c r="DE108" s="293">
        <f t="shared" si="231"/>
        <v>6.22</v>
      </c>
      <c r="DF108" s="281">
        <f t="shared" si="232"/>
        <v>42.3</v>
      </c>
      <c r="DG108" s="281">
        <f t="shared" si="233"/>
        <v>148.20000000000002</v>
      </c>
      <c r="DH108" s="281">
        <f t="shared" si="234"/>
        <v>107.13000000000001</v>
      </c>
      <c r="DI108" s="293">
        <f t="shared" si="235"/>
        <v>10.93</v>
      </c>
      <c r="DJ108" s="281">
        <f t="shared" si="236"/>
        <v>42.3</v>
      </c>
      <c r="DK108" s="281">
        <f t="shared" si="237"/>
        <v>148.20000000000002</v>
      </c>
      <c r="DL108" s="281">
        <f t="shared" si="238"/>
        <v>107.13000000000001</v>
      </c>
      <c r="DM108" s="609">
        <f t="shared" si="239"/>
        <v>10.93</v>
      </c>
    </row>
    <row r="109" spans="1:117" ht="15" hidden="1" customHeight="1" x14ac:dyDescent="0.25">
      <c r="A109" s="521"/>
      <c r="B109" s="55" t="s">
        <v>30</v>
      </c>
      <c r="C109" s="376"/>
      <c r="D109" s="376"/>
      <c r="E109" s="376"/>
      <c r="F109" s="377"/>
      <c r="G109" s="281">
        <f t="shared" si="164"/>
        <v>0</v>
      </c>
      <c r="H109" s="282">
        <f t="shared" si="165"/>
        <v>0</v>
      </c>
      <c r="I109" s="282">
        <f t="shared" si="166"/>
        <v>0</v>
      </c>
      <c r="J109" s="283">
        <f t="shared" si="167"/>
        <v>0</v>
      </c>
      <c r="K109" s="281">
        <f t="shared" si="168"/>
        <v>0</v>
      </c>
      <c r="L109" s="282">
        <f t="shared" si="169"/>
        <v>0</v>
      </c>
      <c r="M109" s="282">
        <f t="shared" si="170"/>
        <v>0</v>
      </c>
      <c r="N109" s="283">
        <f t="shared" si="171"/>
        <v>0</v>
      </c>
      <c r="O109" s="281">
        <f t="shared" si="172"/>
        <v>0</v>
      </c>
      <c r="P109" s="282">
        <f t="shared" si="173"/>
        <v>0</v>
      </c>
      <c r="Q109" s="282">
        <f t="shared" si="174"/>
        <v>0</v>
      </c>
      <c r="R109" s="283">
        <f t="shared" si="175"/>
        <v>0</v>
      </c>
      <c r="W109" s="281">
        <f t="shared" si="176"/>
        <v>0</v>
      </c>
      <c r="X109" s="282">
        <f t="shared" si="177"/>
        <v>0</v>
      </c>
      <c r="Y109" s="282">
        <f t="shared" si="178"/>
        <v>0</v>
      </c>
      <c r="Z109" s="283">
        <f t="shared" si="179"/>
        <v>0</v>
      </c>
      <c r="AA109" s="281">
        <f t="shared" si="180"/>
        <v>0</v>
      </c>
      <c r="AB109" s="282">
        <f t="shared" si="181"/>
        <v>0</v>
      </c>
      <c r="AC109" s="282">
        <f t="shared" si="182"/>
        <v>0</v>
      </c>
      <c r="AD109" s="283">
        <f t="shared" si="183"/>
        <v>0</v>
      </c>
      <c r="AE109" s="281">
        <f t="shared" si="184"/>
        <v>0</v>
      </c>
      <c r="AF109" s="282">
        <f t="shared" si="185"/>
        <v>0</v>
      </c>
      <c r="AG109" s="282">
        <f t="shared" si="186"/>
        <v>0</v>
      </c>
      <c r="AH109" s="283">
        <f t="shared" si="187"/>
        <v>0</v>
      </c>
      <c r="AM109" s="281">
        <f t="shared" si="188"/>
        <v>0</v>
      </c>
      <c r="AN109" s="282">
        <f t="shared" si="189"/>
        <v>0</v>
      </c>
      <c r="AO109" s="282">
        <f t="shared" si="190"/>
        <v>0</v>
      </c>
      <c r="AP109" s="283">
        <f t="shared" si="191"/>
        <v>0</v>
      </c>
      <c r="AQ109" s="281">
        <f t="shared" si="192"/>
        <v>0</v>
      </c>
      <c r="AR109" s="282">
        <f t="shared" si="193"/>
        <v>0</v>
      </c>
      <c r="AS109" s="282">
        <f t="shared" si="194"/>
        <v>0</v>
      </c>
      <c r="AT109" s="283">
        <f t="shared" si="195"/>
        <v>0</v>
      </c>
      <c r="AU109" s="281">
        <f t="shared" si="196"/>
        <v>0</v>
      </c>
      <c r="AV109" s="282">
        <f t="shared" si="197"/>
        <v>0</v>
      </c>
      <c r="AW109" s="282">
        <f t="shared" si="198"/>
        <v>0</v>
      </c>
      <c r="AX109" s="283"/>
      <c r="BC109" s="281">
        <f t="shared" si="199"/>
        <v>0</v>
      </c>
      <c r="BD109" s="282">
        <f t="shared" si="200"/>
        <v>0</v>
      </c>
      <c r="BE109" s="282">
        <f t="shared" si="201"/>
        <v>0</v>
      </c>
      <c r="BF109" s="283"/>
      <c r="BG109" s="281">
        <f t="shared" si="202"/>
        <v>0</v>
      </c>
      <c r="BH109" s="282">
        <f t="shared" si="203"/>
        <v>0</v>
      </c>
      <c r="BI109" s="282">
        <f t="shared" si="204"/>
        <v>0</v>
      </c>
      <c r="BJ109" s="283"/>
      <c r="BK109" s="281">
        <f t="shared" si="205"/>
        <v>0</v>
      </c>
      <c r="BL109" s="282">
        <f t="shared" si="206"/>
        <v>0</v>
      </c>
      <c r="BM109" s="282">
        <f t="shared" si="207"/>
        <v>0</v>
      </c>
      <c r="BN109" s="283"/>
      <c r="CG109" s="281">
        <f t="shared" si="208"/>
        <v>0</v>
      </c>
      <c r="CH109" s="281">
        <f t="shared" si="209"/>
        <v>0</v>
      </c>
      <c r="CI109" s="281">
        <f t="shared" si="210"/>
        <v>0</v>
      </c>
      <c r="CJ109" s="293">
        <f t="shared" si="211"/>
        <v>0</v>
      </c>
      <c r="CK109" s="281">
        <f t="shared" si="212"/>
        <v>0</v>
      </c>
      <c r="CL109" s="281">
        <f t="shared" si="213"/>
        <v>0</v>
      </c>
      <c r="CM109" s="281">
        <f t="shared" si="214"/>
        <v>0</v>
      </c>
      <c r="CN109" s="293">
        <f t="shared" si="215"/>
        <v>0</v>
      </c>
      <c r="CO109" s="281">
        <f t="shared" si="216"/>
        <v>0</v>
      </c>
      <c r="CP109" s="281">
        <f t="shared" si="217"/>
        <v>0</v>
      </c>
      <c r="CQ109" s="281">
        <f t="shared" si="218"/>
        <v>0</v>
      </c>
      <c r="CR109" s="293">
        <f t="shared" si="219"/>
        <v>0</v>
      </c>
      <c r="CS109" s="281">
        <f t="shared" si="220"/>
        <v>0</v>
      </c>
      <c r="CT109" s="281">
        <f t="shared" si="221"/>
        <v>0</v>
      </c>
      <c r="CU109" s="281">
        <f t="shared" si="222"/>
        <v>0</v>
      </c>
      <c r="CV109" s="293">
        <f t="shared" si="223"/>
        <v>0</v>
      </c>
      <c r="CX109" s="316">
        <f t="shared" si="224"/>
        <v>0</v>
      </c>
      <c r="CY109" s="316">
        <f t="shared" si="225"/>
        <v>0</v>
      </c>
      <c r="CZ109" s="316">
        <f t="shared" si="226"/>
        <v>0</v>
      </c>
      <c r="DA109" s="318">
        <f t="shared" si="227"/>
        <v>0</v>
      </c>
      <c r="DB109" s="281">
        <f t="shared" si="228"/>
        <v>0</v>
      </c>
      <c r="DC109" s="281">
        <f t="shared" si="229"/>
        <v>0</v>
      </c>
      <c r="DD109" s="281">
        <f t="shared" si="230"/>
        <v>0</v>
      </c>
      <c r="DE109" s="293">
        <f t="shared" si="231"/>
        <v>0</v>
      </c>
      <c r="DF109" s="281">
        <f t="shared" si="232"/>
        <v>0</v>
      </c>
      <c r="DG109" s="281">
        <f t="shared" si="233"/>
        <v>0</v>
      </c>
      <c r="DH109" s="281">
        <f t="shared" si="234"/>
        <v>0</v>
      </c>
      <c r="DI109" s="293">
        <f t="shared" si="235"/>
        <v>0</v>
      </c>
      <c r="DJ109" s="281">
        <f t="shared" si="236"/>
        <v>0</v>
      </c>
      <c r="DK109" s="281">
        <f t="shared" si="237"/>
        <v>0</v>
      </c>
      <c r="DL109" s="281">
        <f t="shared" si="238"/>
        <v>0</v>
      </c>
      <c r="DM109" s="609">
        <f t="shared" si="239"/>
        <v>0</v>
      </c>
    </row>
    <row r="110" spans="1:117" ht="15" hidden="1" customHeight="1" x14ac:dyDescent="0.25">
      <c r="A110" s="521"/>
      <c r="B110" s="55">
        <v>27</v>
      </c>
      <c r="C110" s="376"/>
      <c r="D110" s="376"/>
      <c r="E110" s="376"/>
      <c r="F110" s="377">
        <v>18.64</v>
      </c>
      <c r="G110" s="281">
        <f t="shared" si="164"/>
        <v>0.6</v>
      </c>
      <c r="H110" s="282">
        <f t="shared" si="165"/>
        <v>1.81</v>
      </c>
      <c r="I110" s="282">
        <f t="shared" si="166"/>
        <v>2.19</v>
      </c>
      <c r="J110" s="283">
        <f t="shared" si="167"/>
        <v>2.98</v>
      </c>
      <c r="K110" s="281">
        <f t="shared" si="168"/>
        <v>0.33</v>
      </c>
      <c r="L110" s="282">
        <f t="shared" si="169"/>
        <v>0.61</v>
      </c>
      <c r="M110" s="282">
        <f t="shared" si="170"/>
        <v>1.95</v>
      </c>
      <c r="N110" s="283">
        <f t="shared" si="171"/>
        <v>11.959999999999999</v>
      </c>
      <c r="O110" s="281">
        <f t="shared" si="172"/>
        <v>0</v>
      </c>
      <c r="P110" s="282">
        <f t="shared" si="173"/>
        <v>3.33</v>
      </c>
      <c r="Q110" s="282">
        <f t="shared" si="174"/>
        <v>2.97</v>
      </c>
      <c r="R110" s="283">
        <f t="shared" si="175"/>
        <v>9.25</v>
      </c>
      <c r="W110" s="281">
        <f t="shared" si="176"/>
        <v>0</v>
      </c>
      <c r="X110" s="282">
        <f t="shared" si="177"/>
        <v>1.27</v>
      </c>
      <c r="Y110" s="282">
        <f t="shared" si="178"/>
        <v>7.46</v>
      </c>
      <c r="Z110" s="283">
        <f t="shared" si="179"/>
        <v>17.259999999999998</v>
      </c>
      <c r="AA110" s="281">
        <f t="shared" si="180"/>
        <v>1.48</v>
      </c>
      <c r="AB110" s="282">
        <f t="shared" si="181"/>
        <v>5.2299999999999995</v>
      </c>
      <c r="AC110" s="282">
        <f t="shared" si="182"/>
        <v>11.2</v>
      </c>
      <c r="AD110" s="283">
        <f t="shared" si="183"/>
        <v>14.31</v>
      </c>
      <c r="AE110" s="281">
        <f t="shared" si="184"/>
        <v>0.6</v>
      </c>
      <c r="AF110" s="282">
        <f t="shared" si="185"/>
        <v>2.19</v>
      </c>
      <c r="AG110" s="282">
        <f t="shared" si="186"/>
        <v>8.01</v>
      </c>
      <c r="AH110" s="283">
        <f t="shared" si="187"/>
        <v>13.73</v>
      </c>
      <c r="AM110" s="281">
        <f t="shared" si="188"/>
        <v>0.78</v>
      </c>
      <c r="AN110" s="282">
        <f t="shared" si="189"/>
        <v>8.11</v>
      </c>
      <c r="AO110" s="282">
        <f t="shared" si="190"/>
        <v>13.530000000000001</v>
      </c>
      <c r="AP110" s="283">
        <f t="shared" si="191"/>
        <v>16.07</v>
      </c>
      <c r="AQ110" s="281">
        <f t="shared" si="192"/>
        <v>1.35</v>
      </c>
      <c r="AR110" s="282">
        <f t="shared" si="193"/>
        <v>4.33</v>
      </c>
      <c r="AS110" s="282">
        <f t="shared" si="194"/>
        <v>7.8</v>
      </c>
      <c r="AT110" s="283">
        <f t="shared" si="195"/>
        <v>25.27</v>
      </c>
      <c r="AU110" s="281">
        <f t="shared" si="196"/>
        <v>1</v>
      </c>
      <c r="AV110" s="282">
        <f t="shared" si="197"/>
        <v>2.41</v>
      </c>
      <c r="AW110" s="282">
        <f t="shared" si="198"/>
        <v>9.49</v>
      </c>
      <c r="AX110" s="283"/>
      <c r="BC110" s="281">
        <f t="shared" si="199"/>
        <v>0.9</v>
      </c>
      <c r="BD110" s="282">
        <f t="shared" si="200"/>
        <v>3.62</v>
      </c>
      <c r="BE110" s="282">
        <f t="shared" si="201"/>
        <v>15.47</v>
      </c>
      <c r="BF110" s="283"/>
      <c r="BG110" s="281">
        <f t="shared" si="202"/>
        <v>1.21</v>
      </c>
      <c r="BH110" s="282">
        <f t="shared" si="203"/>
        <v>3.48</v>
      </c>
      <c r="BI110" s="282">
        <f t="shared" si="204"/>
        <v>15.31</v>
      </c>
      <c r="BJ110" s="283"/>
      <c r="BK110" s="281">
        <f t="shared" si="205"/>
        <v>0.99</v>
      </c>
      <c r="BL110" s="282">
        <f t="shared" si="206"/>
        <v>2.0699999999999998</v>
      </c>
      <c r="BM110" s="282">
        <f t="shared" si="207"/>
        <v>13.75</v>
      </c>
      <c r="BN110" s="283"/>
      <c r="CG110" s="281">
        <f t="shared" si="208"/>
        <v>0.92999999999999994</v>
      </c>
      <c r="CH110" s="281">
        <f t="shared" si="209"/>
        <v>5.75</v>
      </c>
      <c r="CI110" s="281">
        <f t="shared" si="210"/>
        <v>7.1099999999999994</v>
      </c>
      <c r="CJ110" s="293">
        <f t="shared" si="211"/>
        <v>24.189999999999998</v>
      </c>
      <c r="CK110" s="281">
        <f t="shared" si="212"/>
        <v>3.0100000000000002</v>
      </c>
      <c r="CL110" s="281">
        <f t="shared" si="213"/>
        <v>14.44</v>
      </c>
      <c r="CM110" s="281">
        <f t="shared" si="214"/>
        <v>33.78</v>
      </c>
      <c r="CN110" s="293">
        <f t="shared" si="215"/>
        <v>69.489999999999995</v>
      </c>
      <c r="CO110" s="281">
        <f t="shared" si="216"/>
        <v>6.1400000000000006</v>
      </c>
      <c r="CP110" s="281">
        <f t="shared" si="217"/>
        <v>29.289999999999996</v>
      </c>
      <c r="CQ110" s="281">
        <f t="shared" si="218"/>
        <v>64.599999999999994</v>
      </c>
      <c r="CR110" s="293">
        <f t="shared" si="219"/>
        <v>110.83</v>
      </c>
      <c r="CS110" s="281">
        <f t="shared" si="220"/>
        <v>9.24</v>
      </c>
      <c r="CT110" s="281">
        <f t="shared" si="221"/>
        <v>38.459999999999994</v>
      </c>
      <c r="CU110" s="281">
        <f t="shared" si="222"/>
        <v>109.13</v>
      </c>
      <c r="CV110" s="293">
        <f t="shared" si="223"/>
        <v>110.83</v>
      </c>
      <c r="CX110" s="316">
        <f t="shared" si="224"/>
        <v>8.69</v>
      </c>
      <c r="CY110" s="316">
        <f t="shared" si="225"/>
        <v>26.67</v>
      </c>
      <c r="CZ110" s="316">
        <f t="shared" si="226"/>
        <v>45.3</v>
      </c>
      <c r="DA110" s="318">
        <f t="shared" si="227"/>
        <v>2.08</v>
      </c>
      <c r="DB110" s="281">
        <f t="shared" si="228"/>
        <v>23.539999999999996</v>
      </c>
      <c r="DC110" s="281">
        <f t="shared" si="229"/>
        <v>57.49</v>
      </c>
      <c r="DD110" s="281">
        <f t="shared" si="230"/>
        <v>86.64</v>
      </c>
      <c r="DE110" s="293">
        <f t="shared" si="231"/>
        <v>4.43</v>
      </c>
      <c r="DF110" s="281">
        <f t="shared" si="232"/>
        <v>32.709999999999994</v>
      </c>
      <c r="DG110" s="281">
        <f t="shared" si="233"/>
        <v>102.02000000000001</v>
      </c>
      <c r="DH110" s="281">
        <f t="shared" si="234"/>
        <v>86.64</v>
      </c>
      <c r="DI110" s="293">
        <f t="shared" si="235"/>
        <v>6.63</v>
      </c>
      <c r="DJ110" s="281">
        <f t="shared" si="236"/>
        <v>32.709999999999994</v>
      </c>
      <c r="DK110" s="281">
        <f t="shared" si="237"/>
        <v>102.02000000000001</v>
      </c>
      <c r="DL110" s="281">
        <f t="shared" si="238"/>
        <v>86.64</v>
      </c>
      <c r="DM110" s="609">
        <f t="shared" si="239"/>
        <v>6.63</v>
      </c>
    </row>
    <row r="111" spans="1:117" ht="15" hidden="1" customHeight="1" x14ac:dyDescent="0.25">
      <c r="A111" s="521"/>
      <c r="B111" s="55">
        <v>28</v>
      </c>
      <c r="C111" s="376"/>
      <c r="D111" s="376"/>
      <c r="E111" s="376"/>
      <c r="F111" s="377">
        <v>25.5</v>
      </c>
      <c r="G111" s="281">
        <f t="shared" si="164"/>
        <v>3.6100000000000003</v>
      </c>
      <c r="H111" s="282">
        <f t="shared" si="165"/>
        <v>6.37</v>
      </c>
      <c r="I111" s="282">
        <f t="shared" si="166"/>
        <v>17.89</v>
      </c>
      <c r="J111" s="283">
        <f t="shared" si="167"/>
        <v>26.79</v>
      </c>
      <c r="K111" s="281">
        <f t="shared" si="168"/>
        <v>4.03</v>
      </c>
      <c r="L111" s="282">
        <f t="shared" si="169"/>
        <v>8.07</v>
      </c>
      <c r="M111" s="282">
        <f t="shared" si="170"/>
        <v>15.809999999999999</v>
      </c>
      <c r="N111" s="283">
        <f t="shared" si="171"/>
        <v>16.37</v>
      </c>
      <c r="O111" s="281">
        <f t="shared" si="172"/>
        <v>1.1299999999999999</v>
      </c>
      <c r="P111" s="282">
        <f t="shared" si="173"/>
        <v>11.76</v>
      </c>
      <c r="Q111" s="282">
        <f t="shared" si="174"/>
        <v>18.880000000000003</v>
      </c>
      <c r="R111" s="283">
        <f t="shared" si="175"/>
        <v>27.38</v>
      </c>
      <c r="W111" s="281">
        <f t="shared" si="176"/>
        <v>5.29</v>
      </c>
      <c r="X111" s="282">
        <f t="shared" si="177"/>
        <v>10.65</v>
      </c>
      <c r="Y111" s="282">
        <f t="shared" si="178"/>
        <v>20.740000000000002</v>
      </c>
      <c r="Z111" s="283">
        <f t="shared" si="179"/>
        <v>26.42</v>
      </c>
      <c r="AA111" s="281">
        <f t="shared" si="180"/>
        <v>10.54</v>
      </c>
      <c r="AB111" s="282">
        <f t="shared" si="181"/>
        <v>16.98</v>
      </c>
      <c r="AC111" s="282">
        <f t="shared" si="182"/>
        <v>20.47</v>
      </c>
      <c r="AD111" s="283">
        <f t="shared" si="183"/>
        <v>23.19</v>
      </c>
      <c r="AE111" s="281">
        <f t="shared" si="184"/>
        <v>15.27</v>
      </c>
      <c r="AF111" s="282">
        <f t="shared" si="185"/>
        <v>10.629999999999999</v>
      </c>
      <c r="AG111" s="282">
        <f t="shared" si="186"/>
        <v>23.61</v>
      </c>
      <c r="AH111" s="283">
        <f t="shared" si="187"/>
        <v>37.769999999999996</v>
      </c>
      <c r="AM111" s="281">
        <f t="shared" si="188"/>
        <v>15.45</v>
      </c>
      <c r="AN111" s="282">
        <f t="shared" si="189"/>
        <v>12.780000000000001</v>
      </c>
      <c r="AO111" s="282">
        <f t="shared" si="190"/>
        <v>17.22</v>
      </c>
      <c r="AP111" s="283">
        <f t="shared" si="191"/>
        <v>26.97</v>
      </c>
      <c r="AQ111" s="281">
        <f t="shared" si="192"/>
        <v>15.420000000000002</v>
      </c>
      <c r="AR111" s="282">
        <f t="shared" si="193"/>
        <v>15.89</v>
      </c>
      <c r="AS111" s="282">
        <f t="shared" si="194"/>
        <v>23.95</v>
      </c>
      <c r="AT111" s="283">
        <f t="shared" si="195"/>
        <v>22.040000000000003</v>
      </c>
      <c r="AU111" s="281">
        <f t="shared" si="196"/>
        <v>13.77</v>
      </c>
      <c r="AV111" s="282">
        <f t="shared" si="197"/>
        <v>21.4</v>
      </c>
      <c r="AW111" s="282">
        <f t="shared" si="198"/>
        <v>23.700000000000003</v>
      </c>
      <c r="AX111" s="283"/>
      <c r="BC111" s="281">
        <f t="shared" si="199"/>
        <v>18.03</v>
      </c>
      <c r="BD111" s="282">
        <f t="shared" si="200"/>
        <v>22.880000000000003</v>
      </c>
      <c r="BE111" s="282">
        <f t="shared" si="201"/>
        <v>24.700000000000003</v>
      </c>
      <c r="BF111" s="283"/>
      <c r="BG111" s="281">
        <f t="shared" si="202"/>
        <v>14.1</v>
      </c>
      <c r="BH111" s="282">
        <f t="shared" si="203"/>
        <v>17.14</v>
      </c>
      <c r="BI111" s="282">
        <f t="shared" si="204"/>
        <v>22.85</v>
      </c>
      <c r="BJ111" s="283"/>
      <c r="BK111" s="281">
        <f t="shared" si="205"/>
        <v>23.28</v>
      </c>
      <c r="BL111" s="282">
        <f t="shared" si="206"/>
        <v>16.149999999999999</v>
      </c>
      <c r="BM111" s="282">
        <f t="shared" si="207"/>
        <v>19.61</v>
      </c>
      <c r="BN111" s="283"/>
      <c r="CG111" s="281">
        <f t="shared" si="208"/>
        <v>8.77</v>
      </c>
      <c r="CH111" s="281">
        <f t="shared" si="209"/>
        <v>26.200000000000003</v>
      </c>
      <c r="CI111" s="281">
        <f t="shared" si="210"/>
        <v>52.580000000000005</v>
      </c>
      <c r="CJ111" s="293">
        <f t="shared" si="211"/>
        <v>70.539999999999992</v>
      </c>
      <c r="CK111" s="281">
        <f t="shared" si="212"/>
        <v>39.869999999999997</v>
      </c>
      <c r="CL111" s="281">
        <f t="shared" si="213"/>
        <v>64.459999999999994</v>
      </c>
      <c r="CM111" s="281">
        <f t="shared" si="214"/>
        <v>117.4</v>
      </c>
      <c r="CN111" s="293">
        <f t="shared" si="215"/>
        <v>157.91999999999999</v>
      </c>
      <c r="CO111" s="281">
        <f t="shared" si="216"/>
        <v>84.509999999999991</v>
      </c>
      <c r="CP111" s="281">
        <f t="shared" si="217"/>
        <v>114.53</v>
      </c>
      <c r="CQ111" s="281">
        <f t="shared" si="218"/>
        <v>182.26999999999998</v>
      </c>
      <c r="CR111" s="293">
        <f t="shared" si="219"/>
        <v>206.92999999999998</v>
      </c>
      <c r="CS111" s="281">
        <f t="shared" si="220"/>
        <v>139.91999999999999</v>
      </c>
      <c r="CT111" s="281">
        <f t="shared" si="221"/>
        <v>170.70000000000002</v>
      </c>
      <c r="CU111" s="281">
        <f t="shared" si="222"/>
        <v>249.42999999999995</v>
      </c>
      <c r="CV111" s="293">
        <f t="shared" si="223"/>
        <v>206.92999999999998</v>
      </c>
      <c r="CX111" s="316">
        <f t="shared" si="224"/>
        <v>38.260000000000005</v>
      </c>
      <c r="CY111" s="316">
        <f t="shared" si="225"/>
        <v>64.819999999999993</v>
      </c>
      <c r="CZ111" s="316">
        <f t="shared" si="226"/>
        <v>87.38</v>
      </c>
      <c r="DA111" s="318">
        <f t="shared" si="227"/>
        <v>25.81</v>
      </c>
      <c r="DB111" s="281">
        <f t="shared" si="228"/>
        <v>88.330000000000013</v>
      </c>
      <c r="DC111" s="281">
        <f t="shared" si="229"/>
        <v>129.69</v>
      </c>
      <c r="DD111" s="281">
        <f t="shared" si="230"/>
        <v>136.38999999999999</v>
      </c>
      <c r="DE111" s="293">
        <f t="shared" si="231"/>
        <v>55</v>
      </c>
      <c r="DF111" s="281">
        <f t="shared" si="232"/>
        <v>144.50000000000003</v>
      </c>
      <c r="DG111" s="281">
        <f t="shared" si="233"/>
        <v>196.84999999999997</v>
      </c>
      <c r="DH111" s="281">
        <f t="shared" si="234"/>
        <v>136.38999999999999</v>
      </c>
      <c r="DI111" s="293">
        <f t="shared" si="235"/>
        <v>92.38</v>
      </c>
      <c r="DJ111" s="281">
        <f t="shared" si="236"/>
        <v>144.50000000000003</v>
      </c>
      <c r="DK111" s="281">
        <f t="shared" si="237"/>
        <v>196.84999999999997</v>
      </c>
      <c r="DL111" s="281">
        <f t="shared" si="238"/>
        <v>136.38999999999999</v>
      </c>
      <c r="DM111" s="609">
        <f t="shared" si="239"/>
        <v>92.38</v>
      </c>
    </row>
    <row r="112" spans="1:117" ht="15" hidden="1" customHeight="1" x14ac:dyDescent="0.25">
      <c r="A112" s="521"/>
      <c r="B112" s="55">
        <v>29</v>
      </c>
      <c r="C112" s="376"/>
      <c r="D112" s="376"/>
      <c r="E112" s="376"/>
      <c r="F112" s="377">
        <v>11.38</v>
      </c>
      <c r="G112" s="281">
        <f t="shared" si="164"/>
        <v>0</v>
      </c>
      <c r="H112" s="282">
        <f t="shared" si="165"/>
        <v>0</v>
      </c>
      <c r="I112" s="282">
        <f t="shared" si="166"/>
        <v>0</v>
      </c>
      <c r="J112" s="283">
        <f t="shared" si="167"/>
        <v>1.81</v>
      </c>
      <c r="K112" s="281">
        <f t="shared" si="168"/>
        <v>0</v>
      </c>
      <c r="L112" s="282">
        <f t="shared" si="169"/>
        <v>0</v>
      </c>
      <c r="M112" s="282">
        <f t="shared" si="170"/>
        <v>0</v>
      </c>
      <c r="N112" s="283">
        <f t="shared" si="171"/>
        <v>1.52</v>
      </c>
      <c r="O112" s="281">
        <f t="shared" si="172"/>
        <v>0</v>
      </c>
      <c r="P112" s="282">
        <f t="shared" si="173"/>
        <v>0</v>
      </c>
      <c r="Q112" s="282">
        <f t="shared" si="174"/>
        <v>0</v>
      </c>
      <c r="R112" s="283">
        <f t="shared" si="175"/>
        <v>2.64</v>
      </c>
      <c r="W112" s="281">
        <f t="shared" si="176"/>
        <v>0</v>
      </c>
      <c r="X112" s="282">
        <f t="shared" si="177"/>
        <v>0</v>
      </c>
      <c r="Y112" s="282">
        <f t="shared" si="178"/>
        <v>0</v>
      </c>
      <c r="Z112" s="283">
        <f t="shared" si="179"/>
        <v>3.6399999999999997</v>
      </c>
      <c r="AA112" s="281">
        <f t="shared" si="180"/>
        <v>0</v>
      </c>
      <c r="AB112" s="282">
        <f t="shared" si="181"/>
        <v>0</v>
      </c>
      <c r="AC112" s="282">
        <f t="shared" si="182"/>
        <v>0</v>
      </c>
      <c r="AD112" s="283">
        <f t="shared" si="183"/>
        <v>5.3</v>
      </c>
      <c r="AE112" s="281">
        <f t="shared" si="184"/>
        <v>0</v>
      </c>
      <c r="AF112" s="282">
        <f t="shared" si="185"/>
        <v>0</v>
      </c>
      <c r="AG112" s="282">
        <f t="shared" si="186"/>
        <v>2.5300000000000002</v>
      </c>
      <c r="AH112" s="283">
        <f t="shared" si="187"/>
        <v>9.23</v>
      </c>
      <c r="AM112" s="281">
        <f t="shared" si="188"/>
        <v>0</v>
      </c>
      <c r="AN112" s="282">
        <f t="shared" si="189"/>
        <v>0</v>
      </c>
      <c r="AO112" s="282">
        <f t="shared" si="190"/>
        <v>1.84</v>
      </c>
      <c r="AP112" s="283">
        <f t="shared" si="191"/>
        <v>5.72</v>
      </c>
      <c r="AQ112" s="281">
        <f t="shared" si="192"/>
        <v>0</v>
      </c>
      <c r="AR112" s="282">
        <f t="shared" si="193"/>
        <v>0</v>
      </c>
      <c r="AS112" s="282">
        <f t="shared" si="194"/>
        <v>2.5099999999999998</v>
      </c>
      <c r="AT112" s="283">
        <f t="shared" si="195"/>
        <v>12.66</v>
      </c>
      <c r="AU112" s="281">
        <f t="shared" si="196"/>
        <v>0</v>
      </c>
      <c r="AV112" s="282">
        <f t="shared" si="197"/>
        <v>0</v>
      </c>
      <c r="AW112" s="282">
        <f t="shared" si="198"/>
        <v>0.9</v>
      </c>
      <c r="AX112" s="283"/>
      <c r="BC112" s="281">
        <f t="shared" si="199"/>
        <v>0</v>
      </c>
      <c r="BD112" s="282">
        <f t="shared" si="200"/>
        <v>0</v>
      </c>
      <c r="BE112" s="282">
        <f t="shared" si="201"/>
        <v>1.83</v>
      </c>
      <c r="BF112" s="283"/>
      <c r="BG112" s="281">
        <f t="shared" si="202"/>
        <v>0</v>
      </c>
      <c r="BH112" s="282">
        <f t="shared" si="203"/>
        <v>0</v>
      </c>
      <c r="BI112" s="282">
        <f t="shared" si="204"/>
        <v>4.3100000000000005</v>
      </c>
      <c r="BJ112" s="283"/>
      <c r="BK112" s="281">
        <f t="shared" si="205"/>
        <v>0</v>
      </c>
      <c r="BL112" s="282">
        <f t="shared" si="206"/>
        <v>0</v>
      </c>
      <c r="BM112" s="282">
        <f t="shared" si="207"/>
        <v>2.7</v>
      </c>
      <c r="BN112" s="283"/>
      <c r="CG112" s="281">
        <f t="shared" si="208"/>
        <v>0</v>
      </c>
      <c r="CH112" s="281">
        <f t="shared" si="209"/>
        <v>0</v>
      </c>
      <c r="CI112" s="281">
        <f t="shared" si="210"/>
        <v>0</v>
      </c>
      <c r="CJ112" s="293">
        <f t="shared" si="211"/>
        <v>5.9700000000000006</v>
      </c>
      <c r="CK112" s="281">
        <f t="shared" si="212"/>
        <v>0</v>
      </c>
      <c r="CL112" s="281">
        <f t="shared" si="213"/>
        <v>0</v>
      </c>
      <c r="CM112" s="281">
        <f t="shared" si="214"/>
        <v>2.5300000000000002</v>
      </c>
      <c r="CN112" s="293">
        <f t="shared" si="215"/>
        <v>24.14</v>
      </c>
      <c r="CO112" s="281">
        <f t="shared" si="216"/>
        <v>0</v>
      </c>
      <c r="CP112" s="281">
        <f t="shared" si="217"/>
        <v>0</v>
      </c>
      <c r="CQ112" s="281">
        <f t="shared" si="218"/>
        <v>7.78</v>
      </c>
      <c r="CR112" s="293">
        <f t="shared" si="219"/>
        <v>42.519999999999996</v>
      </c>
      <c r="CS112" s="281">
        <f t="shared" si="220"/>
        <v>0</v>
      </c>
      <c r="CT112" s="281">
        <f t="shared" si="221"/>
        <v>0</v>
      </c>
      <c r="CU112" s="281">
        <f t="shared" si="222"/>
        <v>16.62</v>
      </c>
      <c r="CV112" s="293">
        <f t="shared" si="223"/>
        <v>42.519999999999996</v>
      </c>
      <c r="CX112" s="316">
        <f t="shared" si="224"/>
        <v>0</v>
      </c>
      <c r="CY112" s="316">
        <f t="shared" si="225"/>
        <v>2.5300000000000002</v>
      </c>
      <c r="CZ112" s="316">
        <f t="shared" si="226"/>
        <v>18.170000000000002</v>
      </c>
      <c r="DA112" s="318">
        <f t="shared" si="227"/>
        <v>0</v>
      </c>
      <c r="DB112" s="281">
        <f t="shared" si="228"/>
        <v>0</v>
      </c>
      <c r="DC112" s="281">
        <f t="shared" si="229"/>
        <v>7.78</v>
      </c>
      <c r="DD112" s="281">
        <f t="shared" si="230"/>
        <v>36.549999999999997</v>
      </c>
      <c r="DE112" s="293">
        <f t="shared" si="231"/>
        <v>0</v>
      </c>
      <c r="DF112" s="281">
        <f t="shared" si="232"/>
        <v>0</v>
      </c>
      <c r="DG112" s="281">
        <f t="shared" si="233"/>
        <v>16.62</v>
      </c>
      <c r="DH112" s="281">
        <f t="shared" si="234"/>
        <v>36.549999999999997</v>
      </c>
      <c r="DI112" s="293">
        <f t="shared" si="235"/>
        <v>0</v>
      </c>
      <c r="DJ112" s="281">
        <f t="shared" si="236"/>
        <v>0</v>
      </c>
      <c r="DK112" s="281">
        <f t="shared" si="237"/>
        <v>16.62</v>
      </c>
      <c r="DL112" s="281">
        <f t="shared" si="238"/>
        <v>36.549999999999997</v>
      </c>
      <c r="DM112" s="609">
        <f t="shared" si="239"/>
        <v>0</v>
      </c>
    </row>
    <row r="113" spans="1:117" ht="15" hidden="1" customHeight="1" x14ac:dyDescent="0.25">
      <c r="A113" s="521"/>
      <c r="B113" s="55">
        <v>30</v>
      </c>
      <c r="C113" s="376"/>
      <c r="D113" s="376"/>
      <c r="E113" s="376"/>
      <c r="F113" s="377">
        <v>24.35</v>
      </c>
      <c r="G113" s="281">
        <f t="shared" si="164"/>
        <v>0</v>
      </c>
      <c r="H113" s="282">
        <f t="shared" si="165"/>
        <v>0</v>
      </c>
      <c r="I113" s="282">
        <f t="shared" si="166"/>
        <v>0</v>
      </c>
      <c r="J113" s="283">
        <f t="shared" si="167"/>
        <v>21.18</v>
      </c>
      <c r="K113" s="281">
        <f t="shared" si="168"/>
        <v>0</v>
      </c>
      <c r="L113" s="282">
        <f t="shared" si="169"/>
        <v>0</v>
      </c>
      <c r="M113" s="282">
        <f t="shared" si="170"/>
        <v>2.44</v>
      </c>
      <c r="N113" s="283">
        <f t="shared" si="171"/>
        <v>11.870000000000001</v>
      </c>
      <c r="O113" s="281">
        <f t="shared" si="172"/>
        <v>0</v>
      </c>
      <c r="P113" s="282">
        <f t="shared" si="173"/>
        <v>0</v>
      </c>
      <c r="Q113" s="282">
        <f t="shared" si="174"/>
        <v>1.8199999999999998</v>
      </c>
      <c r="R113" s="283">
        <f t="shared" si="175"/>
        <v>14.02</v>
      </c>
      <c r="W113" s="281">
        <f t="shared" si="176"/>
        <v>0</v>
      </c>
      <c r="X113" s="282">
        <f t="shared" si="177"/>
        <v>0</v>
      </c>
      <c r="Y113" s="282">
        <f t="shared" si="178"/>
        <v>1.02</v>
      </c>
      <c r="Z113" s="283">
        <f t="shared" si="179"/>
        <v>22.02</v>
      </c>
      <c r="AA113" s="281">
        <f t="shared" si="180"/>
        <v>0</v>
      </c>
      <c r="AB113" s="282">
        <f t="shared" si="181"/>
        <v>0</v>
      </c>
      <c r="AC113" s="282">
        <f t="shared" si="182"/>
        <v>2.59</v>
      </c>
      <c r="AD113" s="283">
        <f t="shared" si="183"/>
        <v>24.98</v>
      </c>
      <c r="AE113" s="281">
        <f t="shared" si="184"/>
        <v>0</v>
      </c>
      <c r="AF113" s="282">
        <f t="shared" si="185"/>
        <v>0</v>
      </c>
      <c r="AG113" s="282">
        <f t="shared" si="186"/>
        <v>2.9</v>
      </c>
      <c r="AH113" s="283">
        <f t="shared" si="187"/>
        <v>19.869999999999997</v>
      </c>
      <c r="AM113" s="281">
        <f t="shared" si="188"/>
        <v>0</v>
      </c>
      <c r="AN113" s="282">
        <f t="shared" si="189"/>
        <v>0</v>
      </c>
      <c r="AO113" s="282">
        <f t="shared" si="190"/>
        <v>1.6099999999999999</v>
      </c>
      <c r="AP113" s="283">
        <f t="shared" si="191"/>
        <v>15.129999999999999</v>
      </c>
      <c r="AQ113" s="281">
        <f t="shared" si="192"/>
        <v>0</v>
      </c>
      <c r="AR113" s="282">
        <f t="shared" si="193"/>
        <v>0</v>
      </c>
      <c r="AS113" s="282">
        <f t="shared" si="194"/>
        <v>5.45</v>
      </c>
      <c r="AT113" s="283">
        <f t="shared" si="195"/>
        <v>15.870000000000001</v>
      </c>
      <c r="AU113" s="281">
        <f t="shared" si="196"/>
        <v>0</v>
      </c>
      <c r="AV113" s="282">
        <f t="shared" si="197"/>
        <v>0</v>
      </c>
      <c r="AW113" s="282">
        <f t="shared" si="198"/>
        <v>4.17</v>
      </c>
      <c r="AX113" s="283"/>
      <c r="BC113" s="281">
        <f t="shared" si="199"/>
        <v>0</v>
      </c>
      <c r="BD113" s="282">
        <f t="shared" si="200"/>
        <v>0</v>
      </c>
      <c r="BE113" s="282">
        <f t="shared" si="201"/>
        <v>4.0999999999999996</v>
      </c>
      <c r="BF113" s="283"/>
      <c r="BG113" s="281">
        <f t="shared" si="202"/>
        <v>0</v>
      </c>
      <c r="BH113" s="282">
        <f t="shared" si="203"/>
        <v>0</v>
      </c>
      <c r="BI113" s="282">
        <f t="shared" si="204"/>
        <v>15.54</v>
      </c>
      <c r="BJ113" s="283"/>
      <c r="BK113" s="281">
        <f t="shared" si="205"/>
        <v>0</v>
      </c>
      <c r="BL113" s="282">
        <f t="shared" si="206"/>
        <v>0</v>
      </c>
      <c r="BM113" s="282">
        <f t="shared" si="207"/>
        <v>2.2400000000000002</v>
      </c>
      <c r="BN113" s="283"/>
      <c r="CG113" s="281">
        <f t="shared" si="208"/>
        <v>0</v>
      </c>
      <c r="CH113" s="281">
        <f t="shared" si="209"/>
        <v>0</v>
      </c>
      <c r="CI113" s="281">
        <f t="shared" si="210"/>
        <v>4.26</v>
      </c>
      <c r="CJ113" s="293">
        <f t="shared" si="211"/>
        <v>47.069999999999993</v>
      </c>
      <c r="CK113" s="281">
        <f t="shared" si="212"/>
        <v>0</v>
      </c>
      <c r="CL113" s="281">
        <f t="shared" si="213"/>
        <v>0</v>
      </c>
      <c r="CM113" s="281">
        <f t="shared" si="214"/>
        <v>10.77</v>
      </c>
      <c r="CN113" s="293">
        <f t="shared" si="215"/>
        <v>113.94</v>
      </c>
      <c r="CO113" s="281">
        <f t="shared" si="216"/>
        <v>0</v>
      </c>
      <c r="CP113" s="281">
        <f t="shared" si="217"/>
        <v>0</v>
      </c>
      <c r="CQ113" s="281">
        <f t="shared" si="218"/>
        <v>22</v>
      </c>
      <c r="CR113" s="293">
        <f t="shared" si="219"/>
        <v>144.94</v>
      </c>
      <c r="CS113" s="281">
        <f t="shared" si="220"/>
        <v>0</v>
      </c>
      <c r="CT113" s="281">
        <f t="shared" si="221"/>
        <v>0</v>
      </c>
      <c r="CU113" s="281">
        <f t="shared" si="222"/>
        <v>43.88</v>
      </c>
      <c r="CV113" s="293">
        <f t="shared" si="223"/>
        <v>144.94</v>
      </c>
      <c r="CX113" s="316">
        <f t="shared" si="224"/>
        <v>0</v>
      </c>
      <c r="CY113" s="316">
        <f t="shared" si="225"/>
        <v>6.51</v>
      </c>
      <c r="CZ113" s="316">
        <f t="shared" si="226"/>
        <v>66.87</v>
      </c>
      <c r="DA113" s="318">
        <f t="shared" si="227"/>
        <v>0</v>
      </c>
      <c r="DB113" s="281">
        <f t="shared" si="228"/>
        <v>0</v>
      </c>
      <c r="DC113" s="281">
        <f t="shared" si="229"/>
        <v>17.740000000000002</v>
      </c>
      <c r="DD113" s="281">
        <f t="shared" si="230"/>
        <v>97.87</v>
      </c>
      <c r="DE113" s="293">
        <f t="shared" si="231"/>
        <v>0</v>
      </c>
      <c r="DF113" s="281">
        <f t="shared" si="232"/>
        <v>0</v>
      </c>
      <c r="DG113" s="281">
        <f t="shared" si="233"/>
        <v>39.620000000000005</v>
      </c>
      <c r="DH113" s="281">
        <f t="shared" si="234"/>
        <v>97.87</v>
      </c>
      <c r="DI113" s="293">
        <f t="shared" si="235"/>
        <v>0</v>
      </c>
      <c r="DJ113" s="281">
        <f t="shared" si="236"/>
        <v>0</v>
      </c>
      <c r="DK113" s="281">
        <f t="shared" si="237"/>
        <v>39.620000000000005</v>
      </c>
      <c r="DL113" s="281">
        <f t="shared" si="238"/>
        <v>97.87</v>
      </c>
      <c r="DM113" s="609">
        <f t="shared" si="239"/>
        <v>0</v>
      </c>
    </row>
    <row r="114" spans="1:117" ht="15" hidden="1" customHeight="1" x14ac:dyDescent="0.25">
      <c r="A114" s="521"/>
      <c r="B114" s="55">
        <v>31</v>
      </c>
      <c r="C114" s="376"/>
      <c r="D114" s="376"/>
      <c r="E114" s="376"/>
      <c r="F114" s="377">
        <v>34.08</v>
      </c>
      <c r="G114" s="281">
        <f t="shared" si="164"/>
        <v>0</v>
      </c>
      <c r="H114" s="282">
        <f t="shared" si="165"/>
        <v>0</v>
      </c>
      <c r="I114" s="282">
        <f t="shared" si="166"/>
        <v>0</v>
      </c>
      <c r="J114" s="283">
        <f t="shared" si="167"/>
        <v>17.89</v>
      </c>
      <c r="K114" s="281">
        <f t="shared" si="168"/>
        <v>0</v>
      </c>
      <c r="L114" s="282">
        <f t="shared" si="169"/>
        <v>0</v>
      </c>
      <c r="M114" s="282">
        <f t="shared" si="170"/>
        <v>0.95</v>
      </c>
      <c r="N114" s="283">
        <f t="shared" si="171"/>
        <v>13.149999999999999</v>
      </c>
      <c r="O114" s="281">
        <f t="shared" si="172"/>
        <v>0</v>
      </c>
      <c r="P114" s="282">
        <f t="shared" si="173"/>
        <v>0</v>
      </c>
      <c r="Q114" s="282">
        <f t="shared" si="174"/>
        <v>1.62</v>
      </c>
      <c r="R114" s="283">
        <f t="shared" si="175"/>
        <v>13.65</v>
      </c>
      <c r="W114" s="281">
        <f t="shared" si="176"/>
        <v>0</v>
      </c>
      <c r="X114" s="282">
        <f t="shared" si="177"/>
        <v>0</v>
      </c>
      <c r="Y114" s="282">
        <f t="shared" si="178"/>
        <v>1.5329999999999999</v>
      </c>
      <c r="Z114" s="283">
        <f t="shared" si="179"/>
        <v>19.29</v>
      </c>
      <c r="AA114" s="281">
        <f t="shared" si="180"/>
        <v>0</v>
      </c>
      <c r="AB114" s="282">
        <f t="shared" si="181"/>
        <v>0</v>
      </c>
      <c r="AC114" s="282">
        <f t="shared" si="182"/>
        <v>2.71</v>
      </c>
      <c r="AD114" s="283">
        <f t="shared" si="183"/>
        <v>29.76</v>
      </c>
      <c r="AE114" s="281">
        <f t="shared" si="184"/>
        <v>0</v>
      </c>
      <c r="AF114" s="282">
        <f t="shared" si="185"/>
        <v>0</v>
      </c>
      <c r="AG114" s="282">
        <f t="shared" si="186"/>
        <v>1.88</v>
      </c>
      <c r="AH114" s="283">
        <f t="shared" si="187"/>
        <v>16.940000000000001</v>
      </c>
      <c r="AM114" s="281">
        <f t="shared" si="188"/>
        <v>0</v>
      </c>
      <c r="AN114" s="282">
        <f t="shared" si="189"/>
        <v>0</v>
      </c>
      <c r="AO114" s="282">
        <f t="shared" si="190"/>
        <v>2.77</v>
      </c>
      <c r="AP114" s="283">
        <f t="shared" si="191"/>
        <v>16.240000000000002</v>
      </c>
      <c r="AQ114" s="281">
        <f t="shared" si="192"/>
        <v>0</v>
      </c>
      <c r="AR114" s="282">
        <f t="shared" si="193"/>
        <v>0</v>
      </c>
      <c r="AS114" s="282">
        <f t="shared" si="194"/>
        <v>8.5399999999999991</v>
      </c>
      <c r="AT114" s="283">
        <f t="shared" si="195"/>
        <v>17.2</v>
      </c>
      <c r="AU114" s="281">
        <f t="shared" si="196"/>
        <v>0</v>
      </c>
      <c r="AV114" s="282">
        <f t="shared" si="197"/>
        <v>0</v>
      </c>
      <c r="AW114" s="282">
        <f t="shared" si="198"/>
        <v>5.76</v>
      </c>
      <c r="AX114" s="283"/>
      <c r="BC114" s="281">
        <f t="shared" si="199"/>
        <v>0</v>
      </c>
      <c r="BD114" s="282">
        <f t="shared" si="200"/>
        <v>0</v>
      </c>
      <c r="BE114" s="282">
        <f t="shared" si="201"/>
        <v>7.72</v>
      </c>
      <c r="BF114" s="283"/>
      <c r="BG114" s="281">
        <f t="shared" si="202"/>
        <v>0</v>
      </c>
      <c r="BH114" s="282">
        <f t="shared" si="203"/>
        <v>0</v>
      </c>
      <c r="BI114" s="282">
        <f t="shared" si="204"/>
        <v>14.52</v>
      </c>
      <c r="BJ114" s="283"/>
      <c r="BK114" s="281">
        <f t="shared" si="205"/>
        <v>0</v>
      </c>
      <c r="BL114" s="282">
        <f t="shared" si="206"/>
        <v>0</v>
      </c>
      <c r="BM114" s="282">
        <f t="shared" si="207"/>
        <v>3.33</v>
      </c>
      <c r="BN114" s="283"/>
      <c r="CG114" s="281">
        <f t="shared" si="208"/>
        <v>0</v>
      </c>
      <c r="CH114" s="281">
        <f t="shared" si="209"/>
        <v>0</v>
      </c>
      <c r="CI114" s="281">
        <f t="shared" si="210"/>
        <v>2.5700000000000003</v>
      </c>
      <c r="CJ114" s="293">
        <f t="shared" si="211"/>
        <v>44.69</v>
      </c>
      <c r="CK114" s="281">
        <f t="shared" si="212"/>
        <v>0</v>
      </c>
      <c r="CL114" s="281">
        <f t="shared" si="213"/>
        <v>0</v>
      </c>
      <c r="CM114" s="281">
        <f t="shared" si="214"/>
        <v>8.6929999999999996</v>
      </c>
      <c r="CN114" s="293">
        <f t="shared" si="215"/>
        <v>110.67999999999999</v>
      </c>
      <c r="CO114" s="281">
        <f t="shared" si="216"/>
        <v>0</v>
      </c>
      <c r="CP114" s="281">
        <f t="shared" si="217"/>
        <v>0</v>
      </c>
      <c r="CQ114" s="281">
        <f t="shared" si="218"/>
        <v>25.762999999999998</v>
      </c>
      <c r="CR114" s="293">
        <f t="shared" si="219"/>
        <v>144.11999999999998</v>
      </c>
      <c r="CS114" s="281">
        <f t="shared" si="220"/>
        <v>0</v>
      </c>
      <c r="CT114" s="281">
        <f t="shared" si="221"/>
        <v>0</v>
      </c>
      <c r="CU114" s="281">
        <f t="shared" si="222"/>
        <v>51.332999999999998</v>
      </c>
      <c r="CV114" s="293">
        <f t="shared" si="223"/>
        <v>144.11999999999998</v>
      </c>
      <c r="CX114" s="316">
        <f t="shared" si="224"/>
        <v>0</v>
      </c>
      <c r="CY114" s="316">
        <f t="shared" si="225"/>
        <v>6.1230000000000002</v>
      </c>
      <c r="CZ114" s="316">
        <f t="shared" si="226"/>
        <v>65.989999999999995</v>
      </c>
      <c r="DA114" s="318">
        <f t="shared" si="227"/>
        <v>0</v>
      </c>
      <c r="DB114" s="281">
        <f t="shared" si="228"/>
        <v>0</v>
      </c>
      <c r="DC114" s="281">
        <f t="shared" si="229"/>
        <v>23.192999999999998</v>
      </c>
      <c r="DD114" s="281">
        <f t="shared" si="230"/>
        <v>99.429999999999993</v>
      </c>
      <c r="DE114" s="293">
        <f t="shared" si="231"/>
        <v>0</v>
      </c>
      <c r="DF114" s="281">
        <f t="shared" si="232"/>
        <v>0</v>
      </c>
      <c r="DG114" s="281">
        <f t="shared" si="233"/>
        <v>48.762999999999991</v>
      </c>
      <c r="DH114" s="281">
        <f t="shared" si="234"/>
        <v>99.429999999999993</v>
      </c>
      <c r="DI114" s="293">
        <f t="shared" si="235"/>
        <v>0</v>
      </c>
      <c r="DJ114" s="281">
        <f t="shared" si="236"/>
        <v>0</v>
      </c>
      <c r="DK114" s="281">
        <f t="shared" si="237"/>
        <v>48.762999999999991</v>
      </c>
      <c r="DL114" s="281">
        <f t="shared" si="238"/>
        <v>99.429999999999993</v>
      </c>
      <c r="DM114" s="609">
        <f t="shared" si="239"/>
        <v>0</v>
      </c>
    </row>
    <row r="115" spans="1:117" ht="15.75" hidden="1" customHeight="1" thickBot="1" x14ac:dyDescent="0.3">
      <c r="A115" s="522"/>
      <c r="B115" s="103">
        <v>32</v>
      </c>
      <c r="C115" s="375"/>
      <c r="D115" s="375"/>
      <c r="E115" s="375"/>
      <c r="F115" s="378">
        <v>0</v>
      </c>
      <c r="G115" s="281">
        <f t="shared" si="164"/>
        <v>0</v>
      </c>
      <c r="H115" s="282">
        <f t="shared" si="165"/>
        <v>0</v>
      </c>
      <c r="I115" s="282">
        <f t="shared" si="166"/>
        <v>0</v>
      </c>
      <c r="J115" s="283">
        <f t="shared" si="167"/>
        <v>0</v>
      </c>
      <c r="K115" s="281">
        <f t="shared" si="168"/>
        <v>0</v>
      </c>
      <c r="L115" s="282">
        <f t="shared" si="169"/>
        <v>0</v>
      </c>
      <c r="M115" s="282">
        <f t="shared" si="170"/>
        <v>0</v>
      </c>
      <c r="N115" s="283">
        <f t="shared" si="171"/>
        <v>0</v>
      </c>
      <c r="O115" s="281">
        <f t="shared" si="172"/>
        <v>0</v>
      </c>
      <c r="P115" s="282">
        <f t="shared" si="173"/>
        <v>0</v>
      </c>
      <c r="Q115" s="282">
        <f t="shared" si="174"/>
        <v>0</v>
      </c>
      <c r="R115" s="283">
        <f t="shared" si="175"/>
        <v>0</v>
      </c>
      <c r="W115" s="281">
        <f t="shared" si="176"/>
        <v>0</v>
      </c>
      <c r="X115" s="282">
        <f t="shared" si="177"/>
        <v>0</v>
      </c>
      <c r="Y115" s="282">
        <f t="shared" si="178"/>
        <v>0</v>
      </c>
      <c r="Z115" s="283">
        <f t="shared" si="179"/>
        <v>0</v>
      </c>
      <c r="AA115" s="281">
        <f t="shared" si="180"/>
        <v>0</v>
      </c>
      <c r="AB115" s="282">
        <f t="shared" si="181"/>
        <v>0</v>
      </c>
      <c r="AC115" s="282">
        <f t="shared" si="182"/>
        <v>0</v>
      </c>
      <c r="AD115" s="283">
        <f t="shared" si="183"/>
        <v>0</v>
      </c>
      <c r="AE115" s="281">
        <f t="shared" si="184"/>
        <v>0</v>
      </c>
      <c r="AF115" s="282">
        <f t="shared" si="185"/>
        <v>0</v>
      </c>
      <c r="AG115" s="282">
        <f t="shared" si="186"/>
        <v>0</v>
      </c>
      <c r="AH115" s="283">
        <f t="shared" si="187"/>
        <v>0</v>
      </c>
      <c r="AM115" s="281">
        <f t="shared" si="188"/>
        <v>0</v>
      </c>
      <c r="AN115" s="282">
        <f t="shared" si="189"/>
        <v>0</v>
      </c>
      <c r="AO115" s="282">
        <f t="shared" si="190"/>
        <v>0</v>
      </c>
      <c r="AP115" s="283">
        <f t="shared" si="191"/>
        <v>0</v>
      </c>
      <c r="AQ115" s="281">
        <f t="shared" si="192"/>
        <v>0</v>
      </c>
      <c r="AR115" s="282">
        <f t="shared" si="193"/>
        <v>0</v>
      </c>
      <c r="AS115" s="282">
        <f t="shared" si="194"/>
        <v>0</v>
      </c>
      <c r="AT115" s="283">
        <f t="shared" si="195"/>
        <v>0</v>
      </c>
      <c r="AU115" s="281">
        <f t="shared" si="196"/>
        <v>0</v>
      </c>
      <c r="AV115" s="282">
        <f t="shared" si="197"/>
        <v>0</v>
      </c>
      <c r="AW115" s="282">
        <f t="shared" si="198"/>
        <v>0</v>
      </c>
      <c r="AX115" s="283"/>
      <c r="BC115" s="281">
        <f t="shared" si="199"/>
        <v>0</v>
      </c>
      <c r="BD115" s="282">
        <f t="shared" si="200"/>
        <v>0</v>
      </c>
      <c r="BE115" s="282">
        <f t="shared" si="201"/>
        <v>0</v>
      </c>
      <c r="BF115" s="283"/>
      <c r="BG115" s="281">
        <f t="shared" si="202"/>
        <v>0</v>
      </c>
      <c r="BH115" s="282">
        <f t="shared" si="203"/>
        <v>0</v>
      </c>
      <c r="BI115" s="282">
        <f t="shared" si="204"/>
        <v>0</v>
      </c>
      <c r="BJ115" s="283"/>
      <c r="BK115" s="281">
        <f t="shared" si="205"/>
        <v>0</v>
      </c>
      <c r="BL115" s="282">
        <f t="shared" si="206"/>
        <v>0</v>
      </c>
      <c r="BM115" s="282">
        <f t="shared" si="207"/>
        <v>0</v>
      </c>
      <c r="BN115" s="283"/>
      <c r="CG115" s="281">
        <f t="shared" si="208"/>
        <v>0</v>
      </c>
      <c r="CH115" s="281">
        <f t="shared" si="209"/>
        <v>0</v>
      </c>
      <c r="CI115" s="281">
        <f t="shared" si="210"/>
        <v>0</v>
      </c>
      <c r="CJ115" s="293">
        <f t="shared" si="211"/>
        <v>0</v>
      </c>
      <c r="CK115" s="281">
        <f t="shared" si="212"/>
        <v>0</v>
      </c>
      <c r="CL115" s="281">
        <f t="shared" si="213"/>
        <v>0</v>
      </c>
      <c r="CM115" s="281">
        <f t="shared" si="214"/>
        <v>0</v>
      </c>
      <c r="CN115" s="293">
        <f t="shared" si="215"/>
        <v>0</v>
      </c>
      <c r="CO115" s="281">
        <f t="shared" si="216"/>
        <v>0</v>
      </c>
      <c r="CP115" s="281">
        <f t="shared" si="217"/>
        <v>0</v>
      </c>
      <c r="CQ115" s="281">
        <f t="shared" si="218"/>
        <v>0</v>
      </c>
      <c r="CR115" s="293">
        <f t="shared" si="219"/>
        <v>0</v>
      </c>
      <c r="CS115" s="281">
        <f t="shared" si="220"/>
        <v>0</v>
      </c>
      <c r="CT115" s="281">
        <f t="shared" si="221"/>
        <v>0</v>
      </c>
      <c r="CU115" s="281">
        <f t="shared" si="222"/>
        <v>0</v>
      </c>
      <c r="CV115" s="293">
        <f t="shared" si="223"/>
        <v>0</v>
      </c>
      <c r="CX115" s="316">
        <f t="shared" si="224"/>
        <v>0</v>
      </c>
      <c r="CY115" s="316">
        <f t="shared" si="225"/>
        <v>0</v>
      </c>
      <c r="CZ115" s="316">
        <f t="shared" si="226"/>
        <v>0</v>
      </c>
      <c r="DA115" s="318">
        <f t="shared" si="227"/>
        <v>0</v>
      </c>
      <c r="DB115" s="281">
        <f t="shared" si="228"/>
        <v>0</v>
      </c>
      <c r="DC115" s="281">
        <f t="shared" si="229"/>
        <v>0</v>
      </c>
      <c r="DD115" s="281">
        <f t="shared" si="230"/>
        <v>0</v>
      </c>
      <c r="DE115" s="293">
        <f t="shared" si="231"/>
        <v>0</v>
      </c>
      <c r="DF115" s="281">
        <f t="shared" si="232"/>
        <v>0</v>
      </c>
      <c r="DG115" s="281">
        <f t="shared" si="233"/>
        <v>0</v>
      </c>
      <c r="DH115" s="281">
        <f t="shared" si="234"/>
        <v>0</v>
      </c>
      <c r="DI115" s="293">
        <f t="shared" si="235"/>
        <v>0</v>
      </c>
      <c r="DJ115" s="281">
        <f t="shared" si="236"/>
        <v>0</v>
      </c>
      <c r="DK115" s="281">
        <f t="shared" si="237"/>
        <v>0</v>
      </c>
      <c r="DL115" s="281">
        <f t="shared" si="238"/>
        <v>0</v>
      </c>
      <c r="DM115" s="609">
        <f t="shared" si="239"/>
        <v>0</v>
      </c>
    </row>
    <row r="116" spans="1:117" ht="15" hidden="1" customHeight="1" x14ac:dyDescent="0.25">
      <c r="A116" s="520" t="s">
        <v>31</v>
      </c>
      <c r="B116" s="23" t="s">
        <v>32</v>
      </c>
      <c r="C116" s="367"/>
      <c r="D116" s="367"/>
      <c r="E116" s="367"/>
      <c r="F116" s="367">
        <v>28.72</v>
      </c>
      <c r="G116" s="281">
        <f t="shared" si="164"/>
        <v>4.3999999999999995</v>
      </c>
      <c r="H116" s="282">
        <f t="shared" si="165"/>
        <v>19.55</v>
      </c>
      <c r="I116" s="282">
        <f t="shared" si="166"/>
        <v>20.66</v>
      </c>
      <c r="J116" s="283">
        <f t="shared" si="167"/>
        <v>31.42</v>
      </c>
      <c r="K116" s="281">
        <f t="shared" si="168"/>
        <v>5.31</v>
      </c>
      <c r="L116" s="282">
        <f t="shared" si="169"/>
        <v>19.47</v>
      </c>
      <c r="M116" s="282">
        <f t="shared" si="170"/>
        <v>15.18</v>
      </c>
      <c r="N116" s="283">
        <f t="shared" si="171"/>
        <v>29.16</v>
      </c>
      <c r="O116" s="281">
        <f t="shared" si="172"/>
        <v>7.9</v>
      </c>
      <c r="P116" s="282">
        <f t="shared" si="173"/>
        <v>11.94</v>
      </c>
      <c r="Q116" s="282">
        <f t="shared" si="174"/>
        <v>13.39</v>
      </c>
      <c r="R116" s="283">
        <f t="shared" si="175"/>
        <v>37.549999999999997</v>
      </c>
      <c r="W116" s="281">
        <f t="shared" si="176"/>
        <v>3.74</v>
      </c>
      <c r="X116" s="282">
        <f t="shared" si="177"/>
        <v>31.75</v>
      </c>
      <c r="Y116" s="282">
        <f t="shared" si="178"/>
        <v>23.73</v>
      </c>
      <c r="Z116" s="283">
        <f t="shared" si="179"/>
        <v>33.54</v>
      </c>
      <c r="AA116" s="281">
        <f t="shared" si="180"/>
        <v>16.18</v>
      </c>
      <c r="AB116" s="282">
        <f t="shared" si="181"/>
        <v>19.45</v>
      </c>
      <c r="AC116" s="282">
        <f t="shared" si="182"/>
        <v>25.97</v>
      </c>
      <c r="AD116" s="283">
        <f t="shared" si="183"/>
        <v>50.2</v>
      </c>
      <c r="AE116" s="281">
        <f t="shared" si="184"/>
        <v>22.7</v>
      </c>
      <c r="AF116" s="282">
        <f t="shared" si="185"/>
        <v>34.459999999999994</v>
      </c>
      <c r="AG116" s="282">
        <f t="shared" si="186"/>
        <v>30.17</v>
      </c>
      <c r="AH116" s="283">
        <f t="shared" si="187"/>
        <v>27.13</v>
      </c>
      <c r="AM116" s="281">
        <f t="shared" si="188"/>
        <v>18.490000000000002</v>
      </c>
      <c r="AN116" s="282">
        <f t="shared" si="189"/>
        <v>21.82</v>
      </c>
      <c r="AO116" s="282">
        <f t="shared" si="190"/>
        <v>23.78</v>
      </c>
      <c r="AP116" s="283">
        <f t="shared" si="191"/>
        <v>34.340000000000003</v>
      </c>
      <c r="AQ116" s="281">
        <f t="shared" si="192"/>
        <v>17.68</v>
      </c>
      <c r="AR116" s="282">
        <f t="shared" si="193"/>
        <v>36.22</v>
      </c>
      <c r="AS116" s="282">
        <f t="shared" si="194"/>
        <v>37.86</v>
      </c>
      <c r="AT116" s="283">
        <f t="shared" si="195"/>
        <v>33.130000000000003</v>
      </c>
      <c r="AU116" s="281">
        <f t="shared" si="196"/>
        <v>21.689999999999998</v>
      </c>
      <c r="AV116" s="282">
        <f t="shared" si="197"/>
        <v>26.79</v>
      </c>
      <c r="AW116" s="282">
        <f t="shared" si="198"/>
        <v>45.85</v>
      </c>
      <c r="AX116" s="283"/>
      <c r="BC116" s="281">
        <f t="shared" si="199"/>
        <v>33.19</v>
      </c>
      <c r="BD116" s="282">
        <f t="shared" si="200"/>
        <v>33.31</v>
      </c>
      <c r="BE116" s="282">
        <f t="shared" si="201"/>
        <v>47.75</v>
      </c>
      <c r="BF116" s="283"/>
      <c r="BG116" s="281">
        <f t="shared" si="202"/>
        <v>20.69</v>
      </c>
      <c r="BH116" s="282">
        <f t="shared" si="203"/>
        <v>35.339999999999996</v>
      </c>
      <c r="BI116" s="282">
        <f t="shared" si="204"/>
        <v>44.07</v>
      </c>
      <c r="BJ116" s="283"/>
      <c r="BK116" s="281">
        <f t="shared" si="205"/>
        <v>20.84</v>
      </c>
      <c r="BL116" s="282">
        <f t="shared" si="206"/>
        <v>25.19</v>
      </c>
      <c r="BM116" s="282">
        <f t="shared" si="207"/>
        <v>30.79</v>
      </c>
      <c r="BN116" s="283"/>
      <c r="CG116" s="281">
        <f t="shared" si="208"/>
        <v>17.61</v>
      </c>
      <c r="CH116" s="281">
        <f t="shared" si="209"/>
        <v>50.959999999999994</v>
      </c>
      <c r="CI116" s="281">
        <f t="shared" si="210"/>
        <v>49.230000000000004</v>
      </c>
      <c r="CJ116" s="293">
        <f t="shared" si="211"/>
        <v>98.13</v>
      </c>
      <c r="CK116" s="281">
        <f t="shared" si="212"/>
        <v>60.230000000000004</v>
      </c>
      <c r="CL116" s="281">
        <f t="shared" si="213"/>
        <v>136.62</v>
      </c>
      <c r="CM116" s="281">
        <f t="shared" si="214"/>
        <v>129.10000000000002</v>
      </c>
      <c r="CN116" s="293">
        <f t="shared" si="215"/>
        <v>209</v>
      </c>
      <c r="CO116" s="281">
        <f t="shared" si="216"/>
        <v>118.09</v>
      </c>
      <c r="CP116" s="281">
        <f t="shared" si="217"/>
        <v>221.45</v>
      </c>
      <c r="CQ116" s="281">
        <f t="shared" si="218"/>
        <v>236.59</v>
      </c>
      <c r="CR116" s="293">
        <f t="shared" si="219"/>
        <v>276.47000000000003</v>
      </c>
      <c r="CS116" s="281">
        <f t="shared" si="220"/>
        <v>192.81</v>
      </c>
      <c r="CT116" s="281">
        <f t="shared" si="221"/>
        <v>315.28999999999996</v>
      </c>
      <c r="CU116" s="281">
        <f t="shared" si="222"/>
        <v>359.20000000000005</v>
      </c>
      <c r="CV116" s="293">
        <f t="shared" si="223"/>
        <v>276.47000000000003</v>
      </c>
      <c r="CX116" s="316">
        <f t="shared" si="224"/>
        <v>85.66</v>
      </c>
      <c r="CY116" s="316">
        <f t="shared" si="225"/>
        <v>79.87</v>
      </c>
      <c r="CZ116" s="316">
        <f t="shared" si="226"/>
        <v>110.87</v>
      </c>
      <c r="DA116" s="318">
        <f t="shared" si="227"/>
        <v>38.879999999999995</v>
      </c>
      <c r="DB116" s="281">
        <f t="shared" si="228"/>
        <v>170.48999999999998</v>
      </c>
      <c r="DC116" s="281">
        <f t="shared" si="229"/>
        <v>187.35999999999999</v>
      </c>
      <c r="DD116" s="281">
        <f t="shared" si="230"/>
        <v>178.34</v>
      </c>
      <c r="DE116" s="293">
        <f t="shared" si="231"/>
        <v>78.25</v>
      </c>
      <c r="DF116" s="281">
        <f t="shared" si="232"/>
        <v>264.33</v>
      </c>
      <c r="DG116" s="281">
        <f t="shared" si="233"/>
        <v>309.97000000000003</v>
      </c>
      <c r="DH116" s="281">
        <f t="shared" si="234"/>
        <v>178.34</v>
      </c>
      <c r="DI116" s="293">
        <f t="shared" si="235"/>
        <v>119.78</v>
      </c>
      <c r="DJ116" s="281">
        <f t="shared" si="236"/>
        <v>264.33</v>
      </c>
      <c r="DK116" s="281">
        <f t="shared" si="237"/>
        <v>309.97000000000003</v>
      </c>
      <c r="DL116" s="281">
        <f t="shared" si="238"/>
        <v>178.34</v>
      </c>
      <c r="DM116" s="609">
        <f t="shared" si="239"/>
        <v>119.78</v>
      </c>
    </row>
    <row r="117" spans="1:117" ht="15.75" hidden="1" customHeight="1" thickBot="1" x14ac:dyDescent="0.3">
      <c r="A117" s="522"/>
      <c r="B117" s="103">
        <v>39</v>
      </c>
      <c r="C117" s="375"/>
      <c r="D117" s="375"/>
      <c r="E117" s="375"/>
      <c r="F117" s="375">
        <v>4.5</v>
      </c>
      <c r="G117" s="281">
        <f t="shared" si="164"/>
        <v>2.19</v>
      </c>
      <c r="H117" s="282">
        <f t="shared" si="165"/>
        <v>2.0499999999999998</v>
      </c>
      <c r="I117" s="282">
        <f t="shared" si="166"/>
        <v>2.9699999999999998</v>
      </c>
      <c r="J117" s="283">
        <f t="shared" si="167"/>
        <v>2.2599999999999998</v>
      </c>
      <c r="K117" s="281">
        <f t="shared" si="168"/>
        <v>0.74</v>
      </c>
      <c r="L117" s="282">
        <f t="shared" si="169"/>
        <v>0</v>
      </c>
      <c r="M117" s="282">
        <f t="shared" si="170"/>
        <v>0</v>
      </c>
      <c r="N117" s="283">
        <f t="shared" si="171"/>
        <v>3.29</v>
      </c>
      <c r="O117" s="281">
        <f t="shared" si="172"/>
        <v>0</v>
      </c>
      <c r="P117" s="282">
        <f t="shared" si="173"/>
        <v>0</v>
      </c>
      <c r="Q117" s="282">
        <f t="shared" si="174"/>
        <v>2.21</v>
      </c>
      <c r="R117" s="283">
        <f t="shared" si="175"/>
        <v>2.25</v>
      </c>
      <c r="W117" s="281">
        <f t="shared" si="176"/>
        <v>0</v>
      </c>
      <c r="X117" s="282">
        <f t="shared" si="177"/>
        <v>0.98</v>
      </c>
      <c r="Y117" s="282">
        <f t="shared" si="178"/>
        <v>1.5</v>
      </c>
      <c r="Z117" s="283">
        <f t="shared" si="179"/>
        <v>2.7199999999999998</v>
      </c>
      <c r="AA117" s="281">
        <f t="shared" si="180"/>
        <v>2.25</v>
      </c>
      <c r="AB117" s="282">
        <f t="shared" si="181"/>
        <v>1.2</v>
      </c>
      <c r="AC117" s="282">
        <f t="shared" si="182"/>
        <v>2.08</v>
      </c>
      <c r="AD117" s="283">
        <f t="shared" si="183"/>
        <v>2.0299999999999998</v>
      </c>
      <c r="AE117" s="281">
        <f t="shared" si="184"/>
        <v>1.4</v>
      </c>
      <c r="AF117" s="282">
        <f t="shared" si="185"/>
        <v>0.7</v>
      </c>
      <c r="AG117" s="282">
        <f t="shared" si="186"/>
        <v>2.04</v>
      </c>
      <c r="AH117" s="283">
        <f t="shared" si="187"/>
        <v>1.56</v>
      </c>
      <c r="AM117" s="281">
        <f t="shared" si="188"/>
        <v>1.49</v>
      </c>
      <c r="AN117" s="282">
        <f t="shared" si="189"/>
        <v>1.5</v>
      </c>
      <c r="AO117" s="282">
        <f t="shared" si="190"/>
        <v>1.9</v>
      </c>
      <c r="AP117" s="283">
        <f t="shared" si="191"/>
        <v>3.38</v>
      </c>
      <c r="AQ117" s="281">
        <f t="shared" si="192"/>
        <v>1.79</v>
      </c>
      <c r="AR117" s="282">
        <f t="shared" si="193"/>
        <v>1.7000000000000002</v>
      </c>
      <c r="AS117" s="282">
        <f t="shared" si="194"/>
        <v>3.4</v>
      </c>
      <c r="AT117" s="283">
        <f t="shared" si="195"/>
        <v>4.46</v>
      </c>
      <c r="AU117" s="281">
        <f t="shared" si="196"/>
        <v>0</v>
      </c>
      <c r="AV117" s="282">
        <f t="shared" si="197"/>
        <v>1.92</v>
      </c>
      <c r="AW117" s="282">
        <f t="shared" si="198"/>
        <v>4.6899999999999995</v>
      </c>
      <c r="AX117" s="283"/>
      <c r="BC117" s="281">
        <f t="shared" si="199"/>
        <v>1.5</v>
      </c>
      <c r="BD117" s="282">
        <f t="shared" si="200"/>
        <v>1.32</v>
      </c>
      <c r="BE117" s="282">
        <f t="shared" si="201"/>
        <v>1.93</v>
      </c>
      <c r="BF117" s="283"/>
      <c r="BG117" s="281">
        <f t="shared" si="202"/>
        <v>2.56</v>
      </c>
      <c r="BH117" s="282">
        <f t="shared" si="203"/>
        <v>2.91</v>
      </c>
      <c r="BI117" s="282">
        <f t="shared" si="204"/>
        <v>4.3100000000000005</v>
      </c>
      <c r="BJ117" s="283"/>
      <c r="BK117" s="281">
        <f t="shared" si="205"/>
        <v>0</v>
      </c>
      <c r="BL117" s="282">
        <f t="shared" si="206"/>
        <v>3.0300000000000002</v>
      </c>
      <c r="BM117" s="282">
        <f t="shared" si="207"/>
        <v>3.21</v>
      </c>
      <c r="BN117" s="283"/>
      <c r="CG117" s="281">
        <f t="shared" si="208"/>
        <v>2.9299999999999997</v>
      </c>
      <c r="CH117" s="281">
        <f t="shared" si="209"/>
        <v>2.0499999999999998</v>
      </c>
      <c r="CI117" s="281">
        <f t="shared" si="210"/>
        <v>5.18</v>
      </c>
      <c r="CJ117" s="293">
        <f t="shared" si="211"/>
        <v>7.8</v>
      </c>
      <c r="CK117" s="281">
        <f t="shared" si="212"/>
        <v>6.58</v>
      </c>
      <c r="CL117" s="281">
        <f t="shared" si="213"/>
        <v>4.93</v>
      </c>
      <c r="CM117" s="281">
        <f t="shared" si="214"/>
        <v>10.8</v>
      </c>
      <c r="CN117" s="293">
        <f t="shared" si="215"/>
        <v>14.11</v>
      </c>
      <c r="CO117" s="281">
        <f t="shared" si="216"/>
        <v>9.86</v>
      </c>
      <c r="CP117" s="281">
        <f t="shared" si="217"/>
        <v>10.049999999999999</v>
      </c>
      <c r="CQ117" s="281">
        <f t="shared" si="218"/>
        <v>20.79</v>
      </c>
      <c r="CR117" s="293">
        <f t="shared" si="219"/>
        <v>21.95</v>
      </c>
      <c r="CS117" s="281">
        <f t="shared" si="220"/>
        <v>13.92</v>
      </c>
      <c r="CT117" s="281">
        <f t="shared" si="221"/>
        <v>17.309999999999999</v>
      </c>
      <c r="CU117" s="281">
        <f t="shared" si="222"/>
        <v>30.240000000000002</v>
      </c>
      <c r="CV117" s="293">
        <f t="shared" si="223"/>
        <v>21.95</v>
      </c>
      <c r="CX117" s="316">
        <f t="shared" si="224"/>
        <v>2.88</v>
      </c>
      <c r="CY117" s="316">
        <f t="shared" si="225"/>
        <v>5.62</v>
      </c>
      <c r="CZ117" s="316">
        <f t="shared" si="226"/>
        <v>6.3100000000000005</v>
      </c>
      <c r="DA117" s="318">
        <f t="shared" si="227"/>
        <v>3.65</v>
      </c>
      <c r="DB117" s="281">
        <f t="shared" si="228"/>
        <v>8</v>
      </c>
      <c r="DC117" s="281">
        <f t="shared" si="229"/>
        <v>15.61</v>
      </c>
      <c r="DD117" s="281">
        <f t="shared" si="230"/>
        <v>14.150000000000002</v>
      </c>
      <c r="DE117" s="293">
        <f t="shared" si="231"/>
        <v>5.4399999999999995</v>
      </c>
      <c r="DF117" s="281">
        <f t="shared" si="232"/>
        <v>15.260000000000002</v>
      </c>
      <c r="DG117" s="281">
        <f t="shared" si="233"/>
        <v>25.060000000000002</v>
      </c>
      <c r="DH117" s="281">
        <f t="shared" si="234"/>
        <v>14.150000000000002</v>
      </c>
      <c r="DI117" s="293">
        <f t="shared" si="235"/>
        <v>8</v>
      </c>
      <c r="DJ117" s="281">
        <f t="shared" si="236"/>
        <v>15.260000000000002</v>
      </c>
      <c r="DK117" s="281">
        <f t="shared" si="237"/>
        <v>25.060000000000002</v>
      </c>
      <c r="DL117" s="281">
        <f t="shared" si="238"/>
        <v>14.150000000000002</v>
      </c>
      <c r="DM117" s="609">
        <f t="shared" si="239"/>
        <v>8</v>
      </c>
    </row>
    <row r="118" spans="1:117" ht="16.5" hidden="1" customHeight="1" thickBot="1" x14ac:dyDescent="0.3">
      <c r="A118" s="185" t="s">
        <v>6</v>
      </c>
      <c r="B118" s="186"/>
      <c r="C118" s="379"/>
      <c r="D118" s="379"/>
      <c r="E118" s="379"/>
      <c r="F118" s="160">
        <f>SUM(F81:F92,F93:F99,F100:F104,F107:F114,F116:F117)</f>
        <v>1416.5100000000002</v>
      </c>
      <c r="G118" s="294">
        <f t="shared" ref="G118:R118" si="240">SUBTOTAL(9,G81:G117)</f>
        <v>1276.75</v>
      </c>
      <c r="H118" s="295">
        <f t="shared" si="240"/>
        <v>1450.9499999999996</v>
      </c>
      <c r="I118" s="295">
        <f t="shared" si="240"/>
        <v>1328.2100000000003</v>
      </c>
      <c r="J118" s="296">
        <f t="shared" si="240"/>
        <v>1367.55</v>
      </c>
      <c r="K118" s="294">
        <f t="shared" si="240"/>
        <v>822.8299999999997</v>
      </c>
      <c r="L118" s="295">
        <f t="shared" si="240"/>
        <v>1191.723</v>
      </c>
      <c r="M118" s="295">
        <f t="shared" si="240"/>
        <v>852.04</v>
      </c>
      <c r="N118" s="296">
        <f t="shared" si="240"/>
        <v>1527.92</v>
      </c>
      <c r="O118" s="294">
        <f t="shared" si="240"/>
        <v>1061.4500000000003</v>
      </c>
      <c r="P118" s="295">
        <f t="shared" si="240"/>
        <v>1334.4799999999998</v>
      </c>
      <c r="Q118" s="295">
        <f t="shared" si="240"/>
        <v>655.97</v>
      </c>
      <c r="R118" s="296">
        <f t="shared" si="240"/>
        <v>1404.8000000000004</v>
      </c>
      <c r="W118" s="294">
        <f t="shared" ref="W118:AH118" si="241">SUBTOTAL(9,W81:W117)</f>
        <v>1274.5399999999995</v>
      </c>
      <c r="X118" s="295">
        <f t="shared" si="241"/>
        <v>1263.4800000000002</v>
      </c>
      <c r="Y118" s="295">
        <f t="shared" si="241"/>
        <v>1064.0929999999998</v>
      </c>
      <c r="Z118" s="296">
        <f t="shared" si="241"/>
        <v>1929.2300000000002</v>
      </c>
      <c r="AA118" s="294">
        <f t="shared" si="241"/>
        <v>1496.1400000000003</v>
      </c>
      <c r="AB118" s="295">
        <f t="shared" si="241"/>
        <v>1400.8300000000002</v>
      </c>
      <c r="AC118" s="295">
        <f t="shared" si="241"/>
        <v>1352.6299999999999</v>
      </c>
      <c r="AD118" s="296">
        <f t="shared" si="241"/>
        <v>1739.06</v>
      </c>
      <c r="AE118" s="294">
        <f t="shared" si="241"/>
        <v>1363.34</v>
      </c>
      <c r="AF118" s="295">
        <f t="shared" si="241"/>
        <v>1424.1000000000004</v>
      </c>
      <c r="AG118" s="295">
        <f t="shared" si="241"/>
        <v>1285.9600000000003</v>
      </c>
      <c r="AH118" s="296">
        <f t="shared" si="241"/>
        <v>1554.2800000000004</v>
      </c>
      <c r="AM118" s="294">
        <f t="shared" ref="AM118:AX118" si="242">SUBTOTAL(9,AM81:AM117)</f>
        <v>1483.8200000000002</v>
      </c>
      <c r="AN118" s="295">
        <f t="shared" si="242"/>
        <v>1582.2499999999998</v>
      </c>
      <c r="AO118" s="295">
        <f t="shared" si="242"/>
        <v>1537.55</v>
      </c>
      <c r="AP118" s="296">
        <f t="shared" si="242"/>
        <v>1571.88</v>
      </c>
      <c r="AQ118" s="294">
        <f t="shared" si="242"/>
        <v>1896.38</v>
      </c>
      <c r="AR118" s="295">
        <f t="shared" si="242"/>
        <v>1658.3699999999997</v>
      </c>
      <c r="AS118" s="295">
        <f t="shared" si="242"/>
        <v>2136.8200000000002</v>
      </c>
      <c r="AT118" s="296">
        <f t="shared" si="242"/>
        <v>1751.82</v>
      </c>
      <c r="AU118" s="294">
        <f t="shared" si="242"/>
        <v>1883.4599999999998</v>
      </c>
      <c r="AV118" s="295">
        <f t="shared" si="242"/>
        <v>1806.9199999999998</v>
      </c>
      <c r="AW118" s="295">
        <f t="shared" si="242"/>
        <v>2341.7800000000002</v>
      </c>
      <c r="AX118" s="296">
        <f t="shared" si="242"/>
        <v>0</v>
      </c>
      <c r="BC118" s="294">
        <f t="shared" ref="BC118:BN118" si="243">SUBTOTAL(9,BC81:BC117)</f>
        <v>2346.5000000000009</v>
      </c>
      <c r="BD118" s="295">
        <f t="shared" si="243"/>
        <v>1966.14</v>
      </c>
      <c r="BE118" s="295">
        <f t="shared" si="243"/>
        <v>2640.7299999999991</v>
      </c>
      <c r="BF118" s="296">
        <f t="shared" si="243"/>
        <v>0</v>
      </c>
      <c r="BG118" s="294">
        <f t="shared" si="243"/>
        <v>1936.1800000000003</v>
      </c>
      <c r="BH118" s="295">
        <f t="shared" si="243"/>
        <v>1803.11</v>
      </c>
      <c r="BI118" s="295">
        <f t="shared" si="243"/>
        <v>2304.94</v>
      </c>
      <c r="BJ118" s="296">
        <f t="shared" si="243"/>
        <v>0</v>
      </c>
      <c r="BK118" s="294">
        <f t="shared" si="243"/>
        <v>1991.0399999999997</v>
      </c>
      <c r="BL118" s="295">
        <f t="shared" si="243"/>
        <v>1545.4199999999998</v>
      </c>
      <c r="BM118" s="295">
        <f t="shared" si="243"/>
        <v>1989.4299999999998</v>
      </c>
      <c r="BN118" s="296">
        <f t="shared" si="243"/>
        <v>0</v>
      </c>
      <c r="CG118" s="294">
        <f t="shared" si="208"/>
        <v>3161.03</v>
      </c>
      <c r="CH118" s="294">
        <f t="shared" si="209"/>
        <v>3977.1529999999993</v>
      </c>
      <c r="CI118" s="294">
        <f t="shared" si="210"/>
        <v>2836.2200000000003</v>
      </c>
      <c r="CJ118" s="297">
        <f t="shared" si="211"/>
        <v>4300.2700000000004</v>
      </c>
      <c r="CK118" s="294">
        <f t="shared" si="212"/>
        <v>7295.05</v>
      </c>
      <c r="CL118" s="294">
        <f t="shared" si="213"/>
        <v>8065.5630000000001</v>
      </c>
      <c r="CM118" s="294">
        <f t="shared" si="214"/>
        <v>6538.9030000000002</v>
      </c>
      <c r="CN118" s="297">
        <f t="shared" si="215"/>
        <v>9522.840000000002</v>
      </c>
      <c r="CO118" s="294">
        <f t="shared" si="216"/>
        <v>12558.71</v>
      </c>
      <c r="CP118" s="294">
        <f t="shared" si="217"/>
        <v>13113.102999999999</v>
      </c>
      <c r="CQ118" s="294">
        <f t="shared" si="218"/>
        <v>12555.053000000002</v>
      </c>
      <c r="CR118" s="297">
        <f t="shared" si="219"/>
        <v>12846.54</v>
      </c>
      <c r="CS118" s="294">
        <f t="shared" si="220"/>
        <v>18832.43</v>
      </c>
      <c r="CT118" s="294">
        <f t="shared" si="221"/>
        <v>18427.772999999997</v>
      </c>
      <c r="CU118" s="294">
        <f t="shared" si="222"/>
        <v>19490.153000000002</v>
      </c>
      <c r="CV118" s="297">
        <f t="shared" si="223"/>
        <v>12846.54</v>
      </c>
      <c r="CX118" s="319">
        <f t="shared" si="224"/>
        <v>4088.4100000000008</v>
      </c>
      <c r="CY118" s="319">
        <f t="shared" si="225"/>
        <v>3702.683</v>
      </c>
      <c r="CZ118" s="319">
        <f t="shared" si="226"/>
        <v>5222.5700000000006</v>
      </c>
      <c r="DA118" s="320">
        <f t="shared" si="227"/>
        <v>2859.4800000000005</v>
      </c>
      <c r="DB118" s="294">
        <f t="shared" si="228"/>
        <v>9135.9500000000007</v>
      </c>
      <c r="DC118" s="294">
        <f t="shared" si="229"/>
        <v>9718.8330000000005</v>
      </c>
      <c r="DD118" s="294">
        <f t="shared" si="230"/>
        <v>8546.27</v>
      </c>
      <c r="DE118" s="297">
        <f t="shared" si="231"/>
        <v>6639.3200000000006</v>
      </c>
      <c r="DF118" s="294">
        <f t="shared" si="232"/>
        <v>14450.62</v>
      </c>
      <c r="DG118" s="294">
        <f t="shared" si="233"/>
        <v>16653.933000000001</v>
      </c>
      <c r="DH118" s="294">
        <f t="shared" si="234"/>
        <v>8546.27</v>
      </c>
      <c r="DI118" s="297">
        <f t="shared" si="235"/>
        <v>10566.539999999999</v>
      </c>
      <c r="DJ118" s="294">
        <f t="shared" si="236"/>
        <v>14450.62</v>
      </c>
      <c r="DK118" s="294">
        <f t="shared" si="237"/>
        <v>16653.933000000001</v>
      </c>
      <c r="DL118" s="294">
        <f t="shared" si="238"/>
        <v>8546.27</v>
      </c>
      <c r="DM118" s="610">
        <f t="shared" si="239"/>
        <v>10566.539999999999</v>
      </c>
    </row>
    <row r="119" spans="1:117" ht="15" hidden="1" customHeight="1" x14ac:dyDescent="0.25"/>
    <row r="120" spans="1:117" ht="15" hidden="1" customHeight="1" x14ac:dyDescent="0.25"/>
    <row r="121" spans="1:117" ht="15" hidden="1" customHeight="1" x14ac:dyDescent="0.25"/>
    <row r="122" spans="1:117" ht="15.75" thickBot="1" x14ac:dyDescent="0.3">
      <c r="A122" s="285" t="s">
        <v>76</v>
      </c>
    </row>
    <row r="123" spans="1:117" s="285" customFormat="1" ht="15.75" customHeight="1" thickBot="1" x14ac:dyDescent="0.3">
      <c r="A123" s="287"/>
      <c r="B123" s="287"/>
      <c r="C123" s="366"/>
      <c r="D123" s="366"/>
      <c r="E123" s="366"/>
      <c r="F123" s="366"/>
      <c r="S123" s="501" t="s">
        <v>62</v>
      </c>
      <c r="T123" s="502"/>
      <c r="U123" s="502"/>
      <c r="V123" s="503"/>
      <c r="AI123" s="501" t="s">
        <v>59</v>
      </c>
      <c r="AJ123" s="502"/>
      <c r="AK123" s="502"/>
      <c r="AL123" s="503"/>
      <c r="AY123" s="501" t="s">
        <v>56</v>
      </c>
      <c r="AZ123" s="502"/>
      <c r="BA123" s="502"/>
      <c r="BB123" s="503"/>
      <c r="BO123" s="501" t="s">
        <v>53</v>
      </c>
      <c r="BP123" s="502"/>
      <c r="BQ123" s="502"/>
      <c r="BR123" s="503"/>
      <c r="BS123" s="292"/>
      <c r="BT123" s="507" t="s">
        <v>61</v>
      </c>
      <c r="BU123" s="508"/>
      <c r="BV123" s="509"/>
      <c r="BW123" s="507" t="s">
        <v>58</v>
      </c>
      <c r="BX123" s="508"/>
      <c r="BY123" s="509"/>
      <c r="BZ123" s="507" t="s">
        <v>55</v>
      </c>
      <c r="CA123" s="508"/>
      <c r="CB123" s="509"/>
      <c r="CC123" s="507" t="s">
        <v>52</v>
      </c>
      <c r="CD123" s="508"/>
      <c r="CE123" s="509"/>
      <c r="CF123" s="292"/>
      <c r="CG123" s="537" t="s">
        <v>60</v>
      </c>
      <c r="CH123" s="538"/>
      <c r="CI123" s="538"/>
      <c r="CJ123" s="539"/>
      <c r="CK123" s="513" t="s">
        <v>57</v>
      </c>
      <c r="CL123" s="514"/>
      <c r="CM123" s="514"/>
      <c r="CN123" s="515"/>
      <c r="CO123" s="513" t="s">
        <v>54</v>
      </c>
      <c r="CP123" s="514"/>
      <c r="CQ123" s="514"/>
      <c r="CR123" s="515"/>
      <c r="CS123" s="513" t="s">
        <v>51</v>
      </c>
      <c r="CT123" s="514"/>
      <c r="CU123" s="514"/>
      <c r="CV123" s="515"/>
      <c r="CW123" s="292"/>
      <c r="CX123" s="554" t="s">
        <v>63</v>
      </c>
      <c r="CY123" s="555"/>
      <c r="CZ123" s="555"/>
      <c r="DA123" s="556"/>
      <c r="DB123" s="574" t="s">
        <v>66</v>
      </c>
      <c r="DC123" s="561"/>
      <c r="DD123" s="561"/>
      <c r="DE123" s="562"/>
      <c r="DF123" s="560" t="s">
        <v>65</v>
      </c>
      <c r="DG123" s="561"/>
      <c r="DH123" s="561"/>
      <c r="DI123" s="562"/>
      <c r="DJ123" s="560" t="s">
        <v>64</v>
      </c>
      <c r="DK123" s="561"/>
      <c r="DL123" s="561"/>
      <c r="DM123" s="562"/>
    </row>
    <row r="124" spans="1:117" s="286" customFormat="1" x14ac:dyDescent="0.25">
      <c r="A124" s="523" t="s">
        <v>3</v>
      </c>
      <c r="B124" s="524"/>
      <c r="C124" s="535" t="s">
        <v>68</v>
      </c>
      <c r="D124" s="535" t="s">
        <v>69</v>
      </c>
      <c r="E124" s="535" t="s">
        <v>70</v>
      </c>
      <c r="F124" s="535" t="s">
        <v>67</v>
      </c>
      <c r="G124" s="498" t="s">
        <v>37</v>
      </c>
      <c r="H124" s="499"/>
      <c r="I124" s="499"/>
      <c r="J124" s="500"/>
      <c r="K124" s="498" t="s">
        <v>38</v>
      </c>
      <c r="L124" s="499"/>
      <c r="M124" s="499"/>
      <c r="N124" s="500"/>
      <c r="O124" s="498" t="s">
        <v>39</v>
      </c>
      <c r="P124" s="499"/>
      <c r="Q124" s="499"/>
      <c r="R124" s="519"/>
      <c r="S124" s="504"/>
      <c r="T124" s="505"/>
      <c r="U124" s="505"/>
      <c r="V124" s="506"/>
      <c r="W124" s="498" t="s">
        <v>40</v>
      </c>
      <c r="X124" s="499"/>
      <c r="Y124" s="499"/>
      <c r="Z124" s="500"/>
      <c r="AA124" s="498" t="s">
        <v>11</v>
      </c>
      <c r="AB124" s="499"/>
      <c r="AC124" s="499"/>
      <c r="AD124" s="500"/>
      <c r="AE124" s="498" t="s">
        <v>41</v>
      </c>
      <c r="AF124" s="499"/>
      <c r="AG124" s="499"/>
      <c r="AH124" s="500"/>
      <c r="AI124" s="504"/>
      <c r="AJ124" s="505"/>
      <c r="AK124" s="505"/>
      <c r="AL124" s="506"/>
      <c r="AM124" s="498" t="s">
        <v>42</v>
      </c>
      <c r="AN124" s="499"/>
      <c r="AO124" s="499"/>
      <c r="AP124" s="500"/>
      <c r="AQ124" s="498" t="s">
        <v>43</v>
      </c>
      <c r="AR124" s="499"/>
      <c r="AS124" s="499"/>
      <c r="AT124" s="500"/>
      <c r="AU124" s="498" t="s">
        <v>44</v>
      </c>
      <c r="AV124" s="499"/>
      <c r="AW124" s="499"/>
      <c r="AX124" s="500"/>
      <c r="AY124" s="504"/>
      <c r="AZ124" s="505"/>
      <c r="BA124" s="505"/>
      <c r="BB124" s="506"/>
      <c r="BC124" s="498" t="s">
        <v>45</v>
      </c>
      <c r="BD124" s="499"/>
      <c r="BE124" s="499"/>
      <c r="BF124" s="500"/>
      <c r="BG124" s="498" t="s">
        <v>46</v>
      </c>
      <c r="BH124" s="499"/>
      <c r="BI124" s="499"/>
      <c r="BJ124" s="500"/>
      <c r="BK124" s="498" t="s">
        <v>47</v>
      </c>
      <c r="BL124" s="499"/>
      <c r="BM124" s="499"/>
      <c r="BN124" s="500"/>
      <c r="BO124" s="504"/>
      <c r="BP124" s="505"/>
      <c r="BQ124" s="505"/>
      <c r="BR124" s="506"/>
      <c r="BS124" s="292"/>
      <c r="BT124" s="510"/>
      <c r="BU124" s="511"/>
      <c r="BV124" s="512"/>
      <c r="BW124" s="510"/>
      <c r="BX124" s="511"/>
      <c r="BY124" s="512"/>
      <c r="BZ124" s="510"/>
      <c r="CA124" s="511"/>
      <c r="CB124" s="512"/>
      <c r="CC124" s="510"/>
      <c r="CD124" s="511"/>
      <c r="CE124" s="512"/>
      <c r="CF124" s="292"/>
      <c r="CG124" s="540"/>
      <c r="CH124" s="541"/>
      <c r="CI124" s="541"/>
      <c r="CJ124" s="542"/>
      <c r="CK124" s="516"/>
      <c r="CL124" s="517"/>
      <c r="CM124" s="517"/>
      <c r="CN124" s="518"/>
      <c r="CO124" s="516"/>
      <c r="CP124" s="517"/>
      <c r="CQ124" s="517"/>
      <c r="CR124" s="518"/>
      <c r="CS124" s="516"/>
      <c r="CT124" s="517"/>
      <c r="CU124" s="517"/>
      <c r="CV124" s="518"/>
      <c r="CW124" s="292"/>
      <c r="CX124" s="557"/>
      <c r="CY124" s="558"/>
      <c r="CZ124" s="558"/>
      <c r="DA124" s="559"/>
      <c r="DB124" s="575"/>
      <c r="DC124" s="564"/>
      <c r="DD124" s="564"/>
      <c r="DE124" s="565"/>
      <c r="DF124" s="563"/>
      <c r="DG124" s="564"/>
      <c r="DH124" s="564"/>
      <c r="DI124" s="565"/>
      <c r="DJ124" s="563"/>
      <c r="DK124" s="564"/>
      <c r="DL124" s="564"/>
      <c r="DM124" s="565"/>
    </row>
    <row r="125" spans="1:117" s="286" customFormat="1" ht="15.75" thickBot="1" x14ac:dyDescent="0.3">
      <c r="A125" s="525"/>
      <c r="B125" s="526"/>
      <c r="C125" s="536"/>
      <c r="D125" s="536"/>
      <c r="E125" s="536"/>
      <c r="F125" s="536"/>
      <c r="G125" s="288">
        <v>2022</v>
      </c>
      <c r="H125" s="289">
        <v>2023</v>
      </c>
      <c r="I125" s="289">
        <v>2024</v>
      </c>
      <c r="J125" s="290">
        <v>2025</v>
      </c>
      <c r="K125" s="288">
        <v>2022</v>
      </c>
      <c r="L125" s="289">
        <v>2023</v>
      </c>
      <c r="M125" s="289">
        <v>2024</v>
      </c>
      <c r="N125" s="290">
        <v>2025</v>
      </c>
      <c r="O125" s="288">
        <v>2022</v>
      </c>
      <c r="P125" s="289">
        <v>2023</v>
      </c>
      <c r="Q125" s="289">
        <v>2024</v>
      </c>
      <c r="R125" s="291">
        <v>2025</v>
      </c>
      <c r="S125" s="288">
        <v>2022</v>
      </c>
      <c r="T125" s="289">
        <v>2023</v>
      </c>
      <c r="U125" s="289">
        <v>2024</v>
      </c>
      <c r="V125" s="290">
        <v>2025</v>
      </c>
      <c r="W125" s="288">
        <v>2022</v>
      </c>
      <c r="X125" s="289">
        <v>2023</v>
      </c>
      <c r="Y125" s="289">
        <v>2024</v>
      </c>
      <c r="Z125" s="290">
        <v>2025</v>
      </c>
      <c r="AA125" s="288">
        <v>2022</v>
      </c>
      <c r="AB125" s="289">
        <v>2023</v>
      </c>
      <c r="AC125" s="289">
        <v>2024</v>
      </c>
      <c r="AD125" s="290">
        <v>2025</v>
      </c>
      <c r="AE125" s="288">
        <v>2022</v>
      </c>
      <c r="AF125" s="289">
        <v>2023</v>
      </c>
      <c r="AG125" s="289">
        <v>2024</v>
      </c>
      <c r="AH125" s="290">
        <v>2025</v>
      </c>
      <c r="AI125" s="288">
        <v>2022</v>
      </c>
      <c r="AJ125" s="289">
        <v>2023</v>
      </c>
      <c r="AK125" s="289">
        <v>2024</v>
      </c>
      <c r="AL125" s="290">
        <v>2025</v>
      </c>
      <c r="AM125" s="288">
        <v>2022</v>
      </c>
      <c r="AN125" s="289">
        <v>2023</v>
      </c>
      <c r="AO125" s="289">
        <v>2024</v>
      </c>
      <c r="AP125" s="290">
        <v>2025</v>
      </c>
      <c r="AQ125" s="288">
        <v>2022</v>
      </c>
      <c r="AR125" s="289">
        <v>2023</v>
      </c>
      <c r="AS125" s="289">
        <v>2024</v>
      </c>
      <c r="AT125" s="290">
        <v>2025</v>
      </c>
      <c r="AU125" s="288">
        <v>2022</v>
      </c>
      <c r="AV125" s="289">
        <v>2023</v>
      </c>
      <c r="AW125" s="289">
        <v>2024</v>
      </c>
      <c r="AX125" s="290">
        <v>2025</v>
      </c>
      <c r="AY125" s="288">
        <v>2022</v>
      </c>
      <c r="AZ125" s="289">
        <v>2023</v>
      </c>
      <c r="BA125" s="289">
        <v>2024</v>
      </c>
      <c r="BB125" s="290">
        <v>2025</v>
      </c>
      <c r="BC125" s="288">
        <v>2022</v>
      </c>
      <c r="BD125" s="289">
        <v>2023</v>
      </c>
      <c r="BE125" s="289">
        <v>2024</v>
      </c>
      <c r="BF125" s="290">
        <v>2025</v>
      </c>
      <c r="BG125" s="288">
        <v>2022</v>
      </c>
      <c r="BH125" s="289">
        <v>2023</v>
      </c>
      <c r="BI125" s="289">
        <v>2024</v>
      </c>
      <c r="BJ125" s="290">
        <v>2025</v>
      </c>
      <c r="BK125" s="288">
        <v>2022</v>
      </c>
      <c r="BL125" s="289">
        <v>2023</v>
      </c>
      <c r="BM125" s="289">
        <v>2024</v>
      </c>
      <c r="BN125" s="290">
        <v>2025</v>
      </c>
      <c r="BO125" s="288">
        <v>2022</v>
      </c>
      <c r="BP125" s="289">
        <v>2023</v>
      </c>
      <c r="BQ125" s="289">
        <v>2024</v>
      </c>
      <c r="BR125" s="290">
        <v>2025</v>
      </c>
      <c r="BT125" s="288" t="s">
        <v>48</v>
      </c>
      <c r="BU125" s="289" t="s">
        <v>49</v>
      </c>
      <c r="BV125" s="290" t="s">
        <v>50</v>
      </c>
      <c r="BW125" s="288" t="s">
        <v>48</v>
      </c>
      <c r="BX125" s="289" t="s">
        <v>49</v>
      </c>
      <c r="BY125" s="290" t="s">
        <v>50</v>
      </c>
      <c r="BZ125" s="288" t="s">
        <v>48</v>
      </c>
      <c r="CA125" s="289" t="s">
        <v>49</v>
      </c>
      <c r="CB125" s="290" t="s">
        <v>50</v>
      </c>
      <c r="CC125" s="288" t="s">
        <v>48</v>
      </c>
      <c r="CD125" s="289" t="s">
        <v>49</v>
      </c>
      <c r="CE125" s="290" t="s">
        <v>50</v>
      </c>
      <c r="CG125" s="288">
        <v>2022</v>
      </c>
      <c r="CH125" s="289">
        <v>2023</v>
      </c>
      <c r="CI125" s="289">
        <v>2024</v>
      </c>
      <c r="CJ125" s="290">
        <v>2025</v>
      </c>
      <c r="CK125" s="288">
        <v>2022</v>
      </c>
      <c r="CL125" s="289">
        <v>2023</v>
      </c>
      <c r="CM125" s="289">
        <v>2024</v>
      </c>
      <c r="CN125" s="290">
        <v>2025</v>
      </c>
      <c r="CO125" s="288">
        <v>2022</v>
      </c>
      <c r="CP125" s="289">
        <v>2023</v>
      </c>
      <c r="CQ125" s="289">
        <v>2024</v>
      </c>
      <c r="CR125" s="290">
        <v>2025</v>
      </c>
      <c r="CS125" s="288">
        <v>2022</v>
      </c>
      <c r="CT125" s="289">
        <v>2023</v>
      </c>
      <c r="CU125" s="289">
        <v>2024</v>
      </c>
      <c r="CV125" s="290">
        <v>2025</v>
      </c>
      <c r="CX125" s="288">
        <v>2022</v>
      </c>
      <c r="CY125" s="289">
        <v>2023</v>
      </c>
      <c r="CZ125" s="289">
        <v>2024</v>
      </c>
      <c r="DA125" s="290">
        <v>2025</v>
      </c>
      <c r="DB125" s="340">
        <v>2022</v>
      </c>
      <c r="DC125" s="289">
        <v>2023</v>
      </c>
      <c r="DD125" s="289">
        <v>2024</v>
      </c>
      <c r="DE125" s="290">
        <v>2025</v>
      </c>
      <c r="DF125" s="288">
        <v>2022</v>
      </c>
      <c r="DG125" s="289">
        <v>2023</v>
      </c>
      <c r="DH125" s="289">
        <v>2024</v>
      </c>
      <c r="DI125" s="290">
        <v>2025</v>
      </c>
      <c r="DJ125" s="288">
        <v>2022</v>
      </c>
      <c r="DK125" s="289">
        <v>2023</v>
      </c>
      <c r="DL125" s="289">
        <v>2024</v>
      </c>
      <c r="DM125" s="290">
        <v>2025</v>
      </c>
    </row>
    <row r="126" spans="1:117" x14ac:dyDescent="0.25">
      <c r="A126" s="520" t="s">
        <v>28</v>
      </c>
      <c r="B126" s="23">
        <v>25</v>
      </c>
      <c r="C126" s="367">
        <v>38.22</v>
      </c>
      <c r="D126" s="367">
        <v>38.22</v>
      </c>
      <c r="E126" s="367">
        <v>38.22</v>
      </c>
      <c r="F126" s="367">
        <v>38.22</v>
      </c>
      <c r="G126" s="281">
        <f t="shared" ref="G126:G134" si="244">VLOOKUP(B126,year2022to23,72,FALSE)</f>
        <v>0</v>
      </c>
      <c r="H126" s="282">
        <f t="shared" ref="H126:H134" si="245">VLOOKUP(B126,year2022to23,132,FALSE)</f>
        <v>1.42</v>
      </c>
      <c r="I126" s="282">
        <f t="shared" ref="I126:I134" si="246">VLOOKUP(B126,year2022to23,192,FALSE)</f>
        <v>1.02</v>
      </c>
      <c r="J126" s="283">
        <f t="shared" ref="J126:J134" si="247">VLOOKUP(B126,year2022to23,252,FALSE)</f>
        <v>18.25</v>
      </c>
      <c r="K126" s="281">
        <f t="shared" ref="K126:K134" si="248">VLOOKUP(B126,year2022to23,77,FALSE)</f>
        <v>0</v>
      </c>
      <c r="L126" s="282">
        <f t="shared" ref="L126:L134" si="249">VLOOKUP(B126,year2022to23,137,FALSE)</f>
        <v>0.37</v>
      </c>
      <c r="M126" s="282">
        <f t="shared" ref="M126:M134" si="250">VLOOKUP(B126,year2022to23,197,FALSE)</f>
        <v>1.02</v>
      </c>
      <c r="N126" s="283">
        <f t="shared" ref="N126:N134" si="251">VLOOKUP(B126,year2022to23,257,FALSE)</f>
        <v>21.46</v>
      </c>
      <c r="O126" s="281">
        <f t="shared" ref="O126:O134" si="252">VLOOKUP(B126,year2022to23,82,FALSE)</f>
        <v>0</v>
      </c>
      <c r="P126" s="282">
        <f t="shared" ref="P126:P134" si="253">VLOOKUP(B126,year2022to23,142,FALSE)</f>
        <v>0.36</v>
      </c>
      <c r="Q126" s="282">
        <f t="shared" ref="Q126:Q134" si="254">VLOOKUP(B126,year2022to23,202,FALSE)</f>
        <v>2.2800000000000002</v>
      </c>
      <c r="R126" s="284">
        <f t="shared" ref="R126:R134" si="255">VLOOKUP(B126,year2022to23,262,FALSE)</f>
        <v>18.98</v>
      </c>
      <c r="S126" s="281">
        <f t="shared" ref="S126:S134" si="256">G126+K126+O126</f>
        <v>0</v>
      </c>
      <c r="T126" s="282">
        <f t="shared" ref="T126:T135" si="257">H126+L126+P126</f>
        <v>2.15</v>
      </c>
      <c r="U126" s="282">
        <f t="shared" ref="U126:U135" si="258">I126+M126+Q126</f>
        <v>4.32</v>
      </c>
      <c r="V126" s="283">
        <f t="shared" ref="V126:V135" si="259">J126+N126+R126</f>
        <v>58.69</v>
      </c>
      <c r="W126" s="281">
        <f t="shared" ref="W126:W134" si="260">VLOOKUP(B126,year2022to23,87,FALSE)</f>
        <v>0</v>
      </c>
      <c r="X126" s="282">
        <f t="shared" ref="X126:X134" si="261">VLOOKUP(B126,year2022to23,147,FALSE)</f>
        <v>1.26</v>
      </c>
      <c r="Y126" s="282">
        <f t="shared" ref="Y126:Y134" si="262">VLOOKUP(B126,year2022to23,207,FALSE)</f>
        <v>3.4299999999999997</v>
      </c>
      <c r="Z126" s="283">
        <f t="shared" ref="Z126:Z134" si="263">VLOOKUP(B126,year2022to23,267,FALSE)</f>
        <v>28.92</v>
      </c>
      <c r="AA126" s="281">
        <f t="shared" ref="AA126:AA134" si="264">VLOOKUP(B126,year2022to23,92,FALSE)</f>
        <v>0</v>
      </c>
      <c r="AB126" s="282">
        <f t="shared" ref="AB126:AB134" si="265">VLOOKUP(B126,year2022to23,152,FALSE)</f>
        <v>2.7600000000000002</v>
      </c>
      <c r="AC126" s="282">
        <f t="shared" ref="AC126:AC134" si="266">VLOOKUP(B126,year2022to23,212,FALSE)</f>
        <v>9.34</v>
      </c>
      <c r="AD126" s="283">
        <f t="shared" ref="AD126:AD134" si="267">VLOOKUP(B126,year2022to23,272,FALSE)</f>
        <v>43.78</v>
      </c>
      <c r="AE126" s="281">
        <f t="shared" ref="AE126:AE134" si="268">VLOOKUP(B126,year2022to23,97,FALSE)</f>
        <v>0</v>
      </c>
      <c r="AF126" s="282">
        <f t="shared" ref="AF126:AF134" si="269">VLOOKUP(B126,year2022to23,157,FALSE)</f>
        <v>0.92</v>
      </c>
      <c r="AG126" s="282">
        <f t="shared" ref="AG126:AG134" si="270">VLOOKUP(B126,year2022to23,217,FALSE)</f>
        <v>12.17</v>
      </c>
      <c r="AH126" s="283">
        <f t="shared" ref="AH126:AH134" si="271">VLOOKUP(B126,year2022to23,277,FALSE)</f>
        <v>24.43</v>
      </c>
      <c r="AI126" s="281">
        <f t="shared" ref="AI126:AI134" si="272">W126+AA126+AE126</f>
        <v>0</v>
      </c>
      <c r="AJ126" s="282">
        <f t="shared" ref="AJ126:AJ135" si="273">X126+AB126+AF126</f>
        <v>4.9400000000000004</v>
      </c>
      <c r="AK126" s="282">
        <f t="shared" ref="AK126:AK135" si="274">Y126+AC126+AG126</f>
        <v>24.939999999999998</v>
      </c>
      <c r="AL126" s="283">
        <f t="shared" ref="AL126:AL135" si="275">Z126+AD126+AH126</f>
        <v>97.13</v>
      </c>
      <c r="AM126" s="281">
        <f t="shared" ref="AM126:AM134" si="276">VLOOKUP(B126,year2022to23,102,FALSE)</f>
        <v>0</v>
      </c>
      <c r="AN126" s="282">
        <f t="shared" ref="AN126:AN134" si="277">VLOOKUP(B126,year2022to23,162,FALSE)</f>
        <v>1.19</v>
      </c>
      <c r="AO126" s="282">
        <f t="shared" ref="AO126:AO134" si="278">VLOOKUP(B126,year2022to23,222,FALSE)</f>
        <v>8.1</v>
      </c>
      <c r="AP126" s="283">
        <f t="shared" ref="AP126:AP134" si="279">VLOOKUP(B126,year2022to23,282,FALSE)</f>
        <v>23.89</v>
      </c>
      <c r="AQ126" s="281">
        <f t="shared" ref="AQ126:AQ134" si="280">VLOOKUP(B126,year2022to23,107,FALSE)</f>
        <v>0.28999999999999998</v>
      </c>
      <c r="AR126" s="282">
        <f t="shared" ref="AR126:AR134" si="281">VLOOKUP(B126,year2022to23,167,FALSE)</f>
        <v>2.16</v>
      </c>
      <c r="AS126" s="282">
        <f t="shared" ref="AS126:AS134" si="282">VLOOKUP(B126,year2022to23,227,FALSE)</f>
        <v>10.59</v>
      </c>
      <c r="AT126" s="328">
        <f t="shared" ref="AT126:AT134" si="283">VLOOKUP(B126,year2022to23,287,FALSE)</f>
        <v>30.08</v>
      </c>
      <c r="AU126" s="281">
        <f t="shared" ref="AU126:AU134" si="284">VLOOKUP(B126,year2022to23,112,FALSE)</f>
        <v>0.69</v>
      </c>
      <c r="AV126" s="282">
        <f t="shared" ref="AV126:AV134" si="285">VLOOKUP(B126,year2022to23,172,FALSE)</f>
        <v>0.71</v>
      </c>
      <c r="AW126" s="282">
        <f t="shared" ref="AW126:AW134" si="286">VLOOKUP(B126,year2022to23,232,FALSE)</f>
        <v>14.830000000000002</v>
      </c>
      <c r="AX126" s="283">
        <f t="shared" ref="AX126:AX134" si="287">VLOOKUP(B126,year2022to23,292,FALSE)</f>
        <v>30.05</v>
      </c>
      <c r="AY126" s="281">
        <f t="shared" ref="AY126:AY134" si="288">AM126+AQ126+AU126</f>
        <v>0.98</v>
      </c>
      <c r="AZ126" s="282">
        <f t="shared" ref="AZ126:AZ135" si="289">AN126+AR126+AV126</f>
        <v>4.0600000000000005</v>
      </c>
      <c r="BA126" s="282">
        <f t="shared" ref="BA126:BA135" si="290">AO126+AS126+AW126</f>
        <v>33.519999999999996</v>
      </c>
      <c r="BB126" s="283">
        <f t="shared" ref="BB126:BB134" si="291">AP126+AT126+AX126</f>
        <v>84.02</v>
      </c>
      <c r="BC126" s="281">
        <f t="shared" ref="BC126:BC134" si="292">VLOOKUP(B126,year2022to23,117,FALSE)</f>
        <v>0.4</v>
      </c>
      <c r="BD126" s="282">
        <f t="shared" ref="BD126:BD134" si="293">VLOOKUP(B126,year2022to23,177,FALSE)</f>
        <v>1.4</v>
      </c>
      <c r="BE126" s="282">
        <f t="shared" ref="BE126:BE134" si="294">VLOOKUP(B126,year2022to23,237,FALSE)</f>
        <v>13.21</v>
      </c>
      <c r="BF126" s="328">
        <f t="shared" ref="BF126:BF134" si="295">VLOOKUP(B126,year2022to23,297,FALSE)</f>
        <v>40</v>
      </c>
      <c r="BG126" s="281">
        <f t="shared" ref="BG126:BG134" si="296">VLOOKUP(B126,year2022to23,122,FALSE)</f>
        <v>0.71</v>
      </c>
      <c r="BH126" s="282">
        <f t="shared" ref="BH126:BH134" si="297">VLOOKUP(B126,year2022to23,182,FALSE)</f>
        <v>1.57</v>
      </c>
      <c r="BI126" s="282">
        <f t="shared" ref="BI126:BI134" si="298">VLOOKUP(B126,year2022to23,242,FALSE)</f>
        <v>24.810000000000002</v>
      </c>
      <c r="BJ126" s="283">
        <f t="shared" ref="BJ126:BJ134" si="299">VLOOKUP(B126,year2022to23,302,FALSE)</f>
        <v>28.770000000000003</v>
      </c>
      <c r="BK126" s="281">
        <f t="shared" ref="BK126:BK134" si="300">VLOOKUP(B126,year2022to23,127,FALSE)</f>
        <v>0.99</v>
      </c>
      <c r="BL126" s="282">
        <f t="shared" ref="BL126:BL134" si="301">VLOOKUP(B126,year2022to23,187,FALSE)</f>
        <v>1.03</v>
      </c>
      <c r="BM126" s="282">
        <f t="shared" ref="BM126:BM134" si="302">VLOOKUP(B126,year2022to23,247,FALSE)</f>
        <v>9.11</v>
      </c>
      <c r="BN126" s="283">
        <f t="shared" ref="BN126:BN134" si="303">VLOOKUP(B126,year2022to23,307,FALSE)</f>
        <v>21.7</v>
      </c>
      <c r="BO126" s="281">
        <f t="shared" ref="BO126:BO134" si="304">BC126+BG126+BK126</f>
        <v>2.0999999999999996</v>
      </c>
      <c r="BP126" s="282">
        <f t="shared" ref="BP126:BP135" si="305">BD126+BH126+BL126</f>
        <v>4</v>
      </c>
      <c r="BQ126" s="282">
        <f t="shared" ref="BQ126:BQ135" si="306">BE126+BI126+BM126</f>
        <v>47.13</v>
      </c>
      <c r="BR126" s="324"/>
      <c r="BT126" s="281">
        <f t="shared" ref="BT126:BT135" si="307">T126-S126</f>
        <v>2.15</v>
      </c>
      <c r="BU126" s="282">
        <f t="shared" ref="BU126:BU135" si="308">U126-T126</f>
        <v>2.1700000000000004</v>
      </c>
      <c r="BV126" s="283">
        <f t="shared" ref="BV126:BV135" si="309">V126-U126</f>
        <v>54.37</v>
      </c>
      <c r="BW126" s="281">
        <f t="shared" ref="BW126:BW135" si="310">AJ126-AI126</f>
        <v>4.9400000000000004</v>
      </c>
      <c r="BX126" s="282">
        <f t="shared" ref="BX126:BX135" si="311">AK126-AJ126</f>
        <v>19.999999999999996</v>
      </c>
      <c r="BY126" s="283">
        <f t="shared" ref="BY126:BY135" si="312">AL126-AK126</f>
        <v>72.19</v>
      </c>
      <c r="BZ126" s="281">
        <f t="shared" ref="BZ126:BZ135" si="313">AZ126-AY126</f>
        <v>3.0800000000000005</v>
      </c>
      <c r="CA126" s="282">
        <f t="shared" ref="CA126:CB135" si="314">BA126-AZ126</f>
        <v>29.459999999999994</v>
      </c>
      <c r="CB126" s="283">
        <f t="shared" si="314"/>
        <v>50.5</v>
      </c>
      <c r="CC126" s="281">
        <f t="shared" ref="CC126:CC135" si="315">BP126-BO126</f>
        <v>1.9000000000000004</v>
      </c>
      <c r="CD126" s="282">
        <f t="shared" ref="CD126:CD135" si="316">BQ126-BP126</f>
        <v>43.13</v>
      </c>
      <c r="CE126" s="324"/>
      <c r="CG126" s="281">
        <f t="shared" ref="CG126:CG135" si="317">G126+K126+O126</f>
        <v>0</v>
      </c>
      <c r="CH126" s="282">
        <f t="shared" ref="CH126:CH135" si="318">H126+L126+P126</f>
        <v>2.15</v>
      </c>
      <c r="CI126" s="282">
        <f t="shared" ref="CI126:CI135" si="319">I126+M126+Q126</f>
        <v>4.32</v>
      </c>
      <c r="CJ126" s="283">
        <f t="shared" ref="CJ126:CJ135" si="320">J126+N126+R126</f>
        <v>58.69</v>
      </c>
      <c r="CK126" s="281">
        <f t="shared" ref="CK126:CK135" si="321">CG126+W126+AA126+AE126</f>
        <v>0</v>
      </c>
      <c r="CL126" s="282">
        <f t="shared" ref="CL126:CL135" si="322">CH126+X126+AB126+AF126</f>
        <v>7.09</v>
      </c>
      <c r="CM126" s="282">
        <f t="shared" ref="CM126:CM135" si="323">CI126+Y126+AC126+AG126</f>
        <v>29.259999999999998</v>
      </c>
      <c r="CN126" s="283">
        <f t="shared" ref="CN126:CN135" si="324">CJ126+Z126+AD126+AH126</f>
        <v>155.82</v>
      </c>
      <c r="CO126" s="281">
        <f t="shared" ref="CO126:CO135" si="325">CK126+AM126+AQ126+AU126</f>
        <v>0.98</v>
      </c>
      <c r="CP126" s="282">
        <f t="shared" ref="CP126:CP135" si="326">CL126+AN126+AR126+AV126</f>
        <v>11.149999999999999</v>
      </c>
      <c r="CQ126" s="282">
        <f t="shared" ref="CQ126:CR135" si="327">CM126+AO126+AS126+AW126</f>
        <v>62.78</v>
      </c>
      <c r="CR126" s="283">
        <f t="shared" si="327"/>
        <v>239.83999999999997</v>
      </c>
      <c r="CS126" s="281">
        <f t="shared" ref="CS126:CS135" si="328">CO126+BC126+BG126+BK126</f>
        <v>3.08</v>
      </c>
      <c r="CT126" s="282">
        <f t="shared" ref="CT126:CT135" si="329">CP126+BD126+BH126+BL126</f>
        <v>15.149999999999999</v>
      </c>
      <c r="CU126" s="282">
        <f t="shared" ref="CU126:CV134" si="330">CQ126+BE126+BI126+BM126</f>
        <v>109.91000000000001</v>
      </c>
      <c r="CV126" s="283">
        <f t="shared" si="330"/>
        <v>330.30999999999995</v>
      </c>
      <c r="CX126" s="326">
        <f t="shared" ref="CX126:CX135" si="331">CG126/C126</f>
        <v>0</v>
      </c>
      <c r="CY126" s="327">
        <f t="shared" ref="CY126:CY134" si="332">CH126/D126</f>
        <v>5.6253270538984823E-2</v>
      </c>
      <c r="CZ126" s="327">
        <f t="shared" ref="CZ126:CZ135" si="333">CI126/E126</f>
        <v>0.11302982731554161</v>
      </c>
      <c r="DA126" s="328">
        <f t="shared" ref="DA126:DA135" si="334">CJ126/F126</f>
        <v>1.5355834641548927</v>
      </c>
      <c r="DB126" s="339">
        <f t="shared" ref="DB126:DB135" si="335">CK126/C126</f>
        <v>0</v>
      </c>
      <c r="DC126" s="327">
        <f t="shared" ref="DC126:DC135" si="336">CL126/D126</f>
        <v>0.18550497121925694</v>
      </c>
      <c r="DD126" s="327">
        <f t="shared" ref="DD126:DD135" si="337">CM126/E126</f>
        <v>0.76556776556776551</v>
      </c>
      <c r="DE126" s="328">
        <f t="shared" ref="DE126:DE135" si="338">CN126/F126</f>
        <v>4.0769230769230766</v>
      </c>
      <c r="DF126" s="326">
        <f t="shared" ref="DF126:DF135" si="339">CO126/C126</f>
        <v>2.564102564102564E-2</v>
      </c>
      <c r="DG126" s="327">
        <f t="shared" ref="DG126:DG135" si="340">CP126/D126</f>
        <v>0.29173207744636315</v>
      </c>
      <c r="DH126" s="327">
        <f t="shared" ref="DH126:DI135" si="341">CQ126/E126</f>
        <v>1.6425954997383569</v>
      </c>
      <c r="DI126" s="328">
        <f t="shared" si="341"/>
        <v>6.2752485609628463</v>
      </c>
      <c r="DJ126" s="326">
        <f t="shared" ref="DJ126:DJ135" si="342">CS126/C126</f>
        <v>8.0586080586080591E-2</v>
      </c>
      <c r="DK126" s="327">
        <f t="shared" ref="DK126:DK135" si="343">CT126/D126</f>
        <v>0.39638932496075352</v>
      </c>
      <c r="DL126" s="327">
        <f t="shared" ref="DL126:DM135" si="344">CU126/E126</f>
        <v>2.8757195185766617</v>
      </c>
      <c r="DM126" s="328">
        <f t="shared" ref="DM126:DM134" si="345">CV126/F126</f>
        <v>8.6423338566195689</v>
      </c>
    </row>
    <row r="127" spans="1:117" x14ac:dyDescent="0.25">
      <c r="A127" s="521"/>
      <c r="B127" s="55" t="s">
        <v>29</v>
      </c>
      <c r="C127" s="376">
        <v>22.72</v>
      </c>
      <c r="D127" s="376">
        <v>22.72</v>
      </c>
      <c r="E127" s="376">
        <v>22.72</v>
      </c>
      <c r="F127" s="368">
        <v>22.72</v>
      </c>
      <c r="G127" s="281">
        <f t="shared" si="244"/>
        <v>1.03</v>
      </c>
      <c r="H127" s="282">
        <f t="shared" si="245"/>
        <v>4.6099999999999994</v>
      </c>
      <c r="I127" s="282">
        <f t="shared" si="246"/>
        <v>5.78</v>
      </c>
      <c r="J127" s="283">
        <f t="shared" si="247"/>
        <v>18.600000000000001</v>
      </c>
      <c r="K127" s="281">
        <f t="shared" si="248"/>
        <v>0.5</v>
      </c>
      <c r="L127" s="282">
        <f t="shared" si="249"/>
        <v>1.23</v>
      </c>
      <c r="M127" s="282">
        <f t="shared" si="250"/>
        <v>4.8100000000000005</v>
      </c>
      <c r="N127" s="283">
        <f t="shared" si="251"/>
        <v>10.9</v>
      </c>
      <c r="O127" s="281">
        <f t="shared" si="252"/>
        <v>0</v>
      </c>
      <c r="P127" s="282">
        <f t="shared" si="253"/>
        <v>2</v>
      </c>
      <c r="Q127" s="282">
        <f t="shared" si="254"/>
        <v>6.07</v>
      </c>
      <c r="R127" s="284">
        <f t="shared" si="255"/>
        <v>23.84</v>
      </c>
      <c r="S127" s="281">
        <f t="shared" si="256"/>
        <v>1.53</v>
      </c>
      <c r="T127" s="282">
        <f t="shared" si="257"/>
        <v>7.84</v>
      </c>
      <c r="U127" s="282">
        <f t="shared" si="258"/>
        <v>16.66</v>
      </c>
      <c r="V127" s="283">
        <f t="shared" si="259"/>
        <v>53.34</v>
      </c>
      <c r="W127" s="281">
        <f t="shared" si="260"/>
        <v>0</v>
      </c>
      <c r="X127" s="282">
        <f t="shared" si="261"/>
        <v>2.17</v>
      </c>
      <c r="Y127" s="282">
        <f t="shared" si="262"/>
        <v>9.06</v>
      </c>
      <c r="Z127" s="283">
        <f t="shared" si="263"/>
        <v>19.61</v>
      </c>
      <c r="AA127" s="281">
        <f t="shared" si="264"/>
        <v>1.77</v>
      </c>
      <c r="AB127" s="282">
        <f t="shared" si="265"/>
        <v>3.39</v>
      </c>
      <c r="AC127" s="282">
        <f t="shared" si="266"/>
        <v>15.52</v>
      </c>
      <c r="AD127" s="283">
        <f t="shared" si="267"/>
        <v>20.61</v>
      </c>
      <c r="AE127" s="281">
        <f t="shared" si="268"/>
        <v>0.7</v>
      </c>
      <c r="AF127" s="282">
        <f t="shared" si="269"/>
        <v>2.4900000000000002</v>
      </c>
      <c r="AG127" s="282">
        <f t="shared" si="270"/>
        <v>14.17</v>
      </c>
      <c r="AH127" s="283">
        <f t="shared" si="271"/>
        <v>24.740000000000002</v>
      </c>
      <c r="AI127" s="281">
        <f t="shared" si="272"/>
        <v>2.4699999999999998</v>
      </c>
      <c r="AJ127" s="282">
        <f t="shared" si="273"/>
        <v>8.0500000000000007</v>
      </c>
      <c r="AK127" s="282">
        <f t="shared" si="274"/>
        <v>38.75</v>
      </c>
      <c r="AL127" s="283">
        <f t="shared" si="275"/>
        <v>64.960000000000008</v>
      </c>
      <c r="AM127" s="281">
        <f t="shared" si="276"/>
        <v>0.97</v>
      </c>
      <c r="AN127" s="282">
        <f t="shared" si="277"/>
        <v>4.03</v>
      </c>
      <c r="AO127" s="282">
        <f t="shared" si="278"/>
        <v>9.67</v>
      </c>
      <c r="AP127" s="283">
        <f t="shared" si="279"/>
        <v>17.809999999999999</v>
      </c>
      <c r="AQ127" s="281">
        <f t="shared" si="280"/>
        <v>1.75</v>
      </c>
      <c r="AR127" s="282">
        <f t="shared" si="281"/>
        <v>3.1</v>
      </c>
      <c r="AS127" s="282">
        <f t="shared" si="282"/>
        <v>21.14</v>
      </c>
      <c r="AT127" s="328">
        <f t="shared" si="283"/>
        <v>24.36</v>
      </c>
      <c r="AU127" s="281">
        <f t="shared" si="284"/>
        <v>2</v>
      </c>
      <c r="AV127" s="282">
        <f t="shared" si="285"/>
        <v>4.79</v>
      </c>
      <c r="AW127" s="282">
        <f t="shared" si="286"/>
        <v>20.100000000000001</v>
      </c>
      <c r="AX127" s="283">
        <f t="shared" si="287"/>
        <v>28.22</v>
      </c>
      <c r="AY127" s="281">
        <f t="shared" si="288"/>
        <v>4.72</v>
      </c>
      <c r="AZ127" s="282">
        <f t="shared" si="289"/>
        <v>11.920000000000002</v>
      </c>
      <c r="BA127" s="282">
        <f t="shared" si="290"/>
        <v>50.910000000000004</v>
      </c>
      <c r="BB127" s="283">
        <f t="shared" si="291"/>
        <v>70.39</v>
      </c>
      <c r="BC127" s="281">
        <f t="shared" si="292"/>
        <v>2</v>
      </c>
      <c r="BD127" s="282">
        <f t="shared" si="293"/>
        <v>7.67</v>
      </c>
      <c r="BE127" s="282">
        <f t="shared" si="294"/>
        <v>16.68</v>
      </c>
      <c r="BF127" s="328">
        <f t="shared" si="295"/>
        <v>33.9</v>
      </c>
      <c r="BG127" s="281">
        <f t="shared" si="296"/>
        <v>3.21</v>
      </c>
      <c r="BH127" s="282">
        <f t="shared" si="297"/>
        <v>8.4699999999999989</v>
      </c>
      <c r="BI127" s="282">
        <f t="shared" si="298"/>
        <v>19.809999999999999</v>
      </c>
      <c r="BJ127" s="283">
        <f t="shared" si="299"/>
        <v>30.4</v>
      </c>
      <c r="BK127" s="281">
        <f t="shared" si="300"/>
        <v>1.5</v>
      </c>
      <c r="BL127" s="282">
        <f t="shared" si="301"/>
        <v>6.1899999999999995</v>
      </c>
      <c r="BM127" s="282">
        <f t="shared" si="302"/>
        <v>22.05</v>
      </c>
      <c r="BN127" s="283">
        <f t="shared" si="303"/>
        <v>28.249999999999996</v>
      </c>
      <c r="BO127" s="281">
        <f t="shared" si="304"/>
        <v>6.71</v>
      </c>
      <c r="BP127" s="282">
        <f t="shared" si="305"/>
        <v>22.33</v>
      </c>
      <c r="BQ127" s="282">
        <f t="shared" si="306"/>
        <v>58.539999999999992</v>
      </c>
      <c r="BR127" s="324"/>
      <c r="BT127" s="281">
        <f t="shared" si="307"/>
        <v>6.31</v>
      </c>
      <c r="BU127" s="282">
        <f t="shared" si="308"/>
        <v>8.82</v>
      </c>
      <c r="BV127" s="283">
        <f t="shared" si="309"/>
        <v>36.680000000000007</v>
      </c>
      <c r="BW127" s="281">
        <f t="shared" si="310"/>
        <v>5.580000000000001</v>
      </c>
      <c r="BX127" s="282">
        <f t="shared" si="311"/>
        <v>30.7</v>
      </c>
      <c r="BY127" s="283">
        <f t="shared" si="312"/>
        <v>26.210000000000008</v>
      </c>
      <c r="BZ127" s="281">
        <f t="shared" si="313"/>
        <v>7.200000000000002</v>
      </c>
      <c r="CA127" s="282">
        <f t="shared" si="314"/>
        <v>38.99</v>
      </c>
      <c r="CB127" s="283">
        <f t="shared" si="314"/>
        <v>19.479999999999997</v>
      </c>
      <c r="CC127" s="281">
        <f t="shared" si="315"/>
        <v>15.619999999999997</v>
      </c>
      <c r="CD127" s="282">
        <f t="shared" si="316"/>
        <v>36.209999999999994</v>
      </c>
      <c r="CE127" s="324"/>
      <c r="CG127" s="281">
        <f t="shared" si="317"/>
        <v>1.53</v>
      </c>
      <c r="CH127" s="282">
        <f t="shared" si="318"/>
        <v>7.84</v>
      </c>
      <c r="CI127" s="282">
        <f t="shared" si="319"/>
        <v>16.66</v>
      </c>
      <c r="CJ127" s="283">
        <f t="shared" si="320"/>
        <v>53.34</v>
      </c>
      <c r="CK127" s="281">
        <f t="shared" si="321"/>
        <v>4</v>
      </c>
      <c r="CL127" s="282">
        <f t="shared" si="322"/>
        <v>15.89</v>
      </c>
      <c r="CM127" s="282">
        <f t="shared" si="323"/>
        <v>55.41</v>
      </c>
      <c r="CN127" s="283">
        <f t="shared" si="324"/>
        <v>118.30000000000001</v>
      </c>
      <c r="CO127" s="281">
        <f t="shared" si="325"/>
        <v>8.7199999999999989</v>
      </c>
      <c r="CP127" s="282">
        <f t="shared" si="326"/>
        <v>27.810000000000002</v>
      </c>
      <c r="CQ127" s="282">
        <f t="shared" si="327"/>
        <v>106.32</v>
      </c>
      <c r="CR127" s="283">
        <f t="shared" si="327"/>
        <v>188.69000000000003</v>
      </c>
      <c r="CS127" s="281">
        <f t="shared" si="328"/>
        <v>15.43</v>
      </c>
      <c r="CT127" s="282">
        <f t="shared" si="329"/>
        <v>50.14</v>
      </c>
      <c r="CU127" s="282">
        <f t="shared" si="330"/>
        <v>164.86</v>
      </c>
      <c r="CV127" s="283">
        <f t="shared" si="330"/>
        <v>281.24</v>
      </c>
      <c r="CX127" s="326">
        <f t="shared" si="331"/>
        <v>6.7341549295774655E-2</v>
      </c>
      <c r="CY127" s="327">
        <f t="shared" si="332"/>
        <v>0.34507042253521125</v>
      </c>
      <c r="CZ127" s="327">
        <f t="shared" si="333"/>
        <v>0.73327464788732399</v>
      </c>
      <c r="DA127" s="328">
        <f t="shared" si="334"/>
        <v>2.347711267605634</v>
      </c>
      <c r="DB127" s="339">
        <f t="shared" si="335"/>
        <v>0.17605633802816903</v>
      </c>
      <c r="DC127" s="327">
        <f t="shared" si="336"/>
        <v>0.69938380281690149</v>
      </c>
      <c r="DD127" s="327">
        <f t="shared" si="337"/>
        <v>2.438820422535211</v>
      </c>
      <c r="DE127" s="328">
        <f t="shared" si="338"/>
        <v>5.206866197183099</v>
      </c>
      <c r="DF127" s="326">
        <f t="shared" si="339"/>
        <v>0.38380281690140844</v>
      </c>
      <c r="DG127" s="327">
        <f t="shared" si="340"/>
        <v>1.2240316901408452</v>
      </c>
      <c r="DH127" s="327">
        <f t="shared" si="341"/>
        <v>4.679577464788732</v>
      </c>
      <c r="DI127" s="328">
        <f t="shared" si="341"/>
        <v>8.3050176056338039</v>
      </c>
      <c r="DJ127" s="326">
        <f t="shared" si="342"/>
        <v>0.679137323943662</v>
      </c>
      <c r="DK127" s="327">
        <f t="shared" si="343"/>
        <v>2.2068661971830985</v>
      </c>
      <c r="DL127" s="327">
        <f t="shared" si="344"/>
        <v>7.2561619718309869</v>
      </c>
      <c r="DM127" s="328">
        <f t="shared" si="345"/>
        <v>12.378521126760564</v>
      </c>
    </row>
    <row r="128" spans="1:117" x14ac:dyDescent="0.25">
      <c r="A128" s="521"/>
      <c r="B128" s="55">
        <v>27</v>
      </c>
      <c r="C128" s="376">
        <v>18.64</v>
      </c>
      <c r="D128" s="376">
        <v>18.64</v>
      </c>
      <c r="E128" s="376">
        <v>18.64</v>
      </c>
      <c r="F128" s="368">
        <v>18.64</v>
      </c>
      <c r="G128" s="281">
        <f t="shared" si="244"/>
        <v>0.6</v>
      </c>
      <c r="H128" s="282">
        <f t="shared" si="245"/>
        <v>1.81</v>
      </c>
      <c r="I128" s="282">
        <f t="shared" si="246"/>
        <v>2.19</v>
      </c>
      <c r="J128" s="283">
        <f t="shared" si="247"/>
        <v>2.98</v>
      </c>
      <c r="K128" s="281">
        <f t="shared" si="248"/>
        <v>0.33</v>
      </c>
      <c r="L128" s="282">
        <f t="shared" si="249"/>
        <v>0.61</v>
      </c>
      <c r="M128" s="282">
        <f t="shared" si="250"/>
        <v>1.95</v>
      </c>
      <c r="N128" s="283">
        <f t="shared" si="251"/>
        <v>11.959999999999999</v>
      </c>
      <c r="O128" s="281">
        <f t="shared" si="252"/>
        <v>0</v>
      </c>
      <c r="P128" s="282">
        <f t="shared" si="253"/>
        <v>3.33</v>
      </c>
      <c r="Q128" s="282">
        <f t="shared" si="254"/>
        <v>2.97</v>
      </c>
      <c r="R128" s="284">
        <f t="shared" si="255"/>
        <v>9.25</v>
      </c>
      <c r="S128" s="281">
        <f t="shared" si="256"/>
        <v>0.92999999999999994</v>
      </c>
      <c r="T128" s="282">
        <f t="shared" si="257"/>
        <v>5.75</v>
      </c>
      <c r="U128" s="282">
        <f t="shared" si="258"/>
        <v>7.1099999999999994</v>
      </c>
      <c r="V128" s="283">
        <f t="shared" si="259"/>
        <v>24.189999999999998</v>
      </c>
      <c r="W128" s="281">
        <f t="shared" si="260"/>
        <v>0</v>
      </c>
      <c r="X128" s="282">
        <f t="shared" si="261"/>
        <v>1.27</v>
      </c>
      <c r="Y128" s="282">
        <f t="shared" si="262"/>
        <v>7.46</v>
      </c>
      <c r="Z128" s="283">
        <f t="shared" si="263"/>
        <v>17.259999999999998</v>
      </c>
      <c r="AA128" s="281">
        <f t="shared" si="264"/>
        <v>1.48</v>
      </c>
      <c r="AB128" s="282">
        <f t="shared" si="265"/>
        <v>5.2299999999999995</v>
      </c>
      <c r="AC128" s="282">
        <f t="shared" si="266"/>
        <v>11.2</v>
      </c>
      <c r="AD128" s="283">
        <f t="shared" si="267"/>
        <v>14.31</v>
      </c>
      <c r="AE128" s="281">
        <f t="shared" si="268"/>
        <v>0.6</v>
      </c>
      <c r="AF128" s="282">
        <f t="shared" si="269"/>
        <v>2.19</v>
      </c>
      <c r="AG128" s="282">
        <f t="shared" si="270"/>
        <v>8.01</v>
      </c>
      <c r="AH128" s="283">
        <f t="shared" si="271"/>
        <v>13.73</v>
      </c>
      <c r="AI128" s="281">
        <f t="shared" si="272"/>
        <v>2.08</v>
      </c>
      <c r="AJ128" s="282">
        <f t="shared" si="273"/>
        <v>8.69</v>
      </c>
      <c r="AK128" s="282">
        <f t="shared" si="274"/>
        <v>26.67</v>
      </c>
      <c r="AL128" s="283">
        <f t="shared" si="275"/>
        <v>45.3</v>
      </c>
      <c r="AM128" s="281">
        <f t="shared" si="276"/>
        <v>0.78</v>
      </c>
      <c r="AN128" s="282">
        <f t="shared" si="277"/>
        <v>8.11</v>
      </c>
      <c r="AO128" s="282">
        <f t="shared" si="278"/>
        <v>13.530000000000001</v>
      </c>
      <c r="AP128" s="283">
        <f t="shared" si="279"/>
        <v>16.07</v>
      </c>
      <c r="AQ128" s="281">
        <f t="shared" si="280"/>
        <v>1.35</v>
      </c>
      <c r="AR128" s="282">
        <f t="shared" si="281"/>
        <v>4.33</v>
      </c>
      <c r="AS128" s="282">
        <f t="shared" si="282"/>
        <v>7.8</v>
      </c>
      <c r="AT128" s="328">
        <f t="shared" si="283"/>
        <v>25.27</v>
      </c>
      <c r="AU128" s="281">
        <f t="shared" si="284"/>
        <v>1</v>
      </c>
      <c r="AV128" s="282">
        <f t="shared" si="285"/>
        <v>2.41</v>
      </c>
      <c r="AW128" s="282">
        <f t="shared" si="286"/>
        <v>9.49</v>
      </c>
      <c r="AX128" s="283">
        <f t="shared" si="287"/>
        <v>16.95</v>
      </c>
      <c r="AY128" s="281">
        <f t="shared" si="288"/>
        <v>3.13</v>
      </c>
      <c r="AZ128" s="282">
        <f t="shared" si="289"/>
        <v>14.85</v>
      </c>
      <c r="BA128" s="282">
        <f t="shared" si="290"/>
        <v>30.82</v>
      </c>
      <c r="BB128" s="283">
        <f t="shared" si="291"/>
        <v>58.290000000000006</v>
      </c>
      <c r="BC128" s="281">
        <f t="shared" si="292"/>
        <v>0.9</v>
      </c>
      <c r="BD128" s="282">
        <f t="shared" si="293"/>
        <v>3.62</v>
      </c>
      <c r="BE128" s="282">
        <f t="shared" si="294"/>
        <v>15.47</v>
      </c>
      <c r="BF128" s="328">
        <f t="shared" si="295"/>
        <v>20.62</v>
      </c>
      <c r="BG128" s="281">
        <f t="shared" si="296"/>
        <v>1.21</v>
      </c>
      <c r="BH128" s="282">
        <f t="shared" si="297"/>
        <v>3.48</v>
      </c>
      <c r="BI128" s="282">
        <f t="shared" si="298"/>
        <v>15.31</v>
      </c>
      <c r="BJ128" s="283">
        <f t="shared" si="299"/>
        <v>24.24</v>
      </c>
      <c r="BK128" s="281">
        <f t="shared" si="300"/>
        <v>0.99</v>
      </c>
      <c r="BL128" s="282">
        <f t="shared" si="301"/>
        <v>2.0699999999999998</v>
      </c>
      <c r="BM128" s="282">
        <f t="shared" si="302"/>
        <v>13.75</v>
      </c>
      <c r="BN128" s="283">
        <f t="shared" si="303"/>
        <v>19</v>
      </c>
      <c r="BO128" s="281">
        <f t="shared" si="304"/>
        <v>3.0999999999999996</v>
      </c>
      <c r="BP128" s="282">
        <f t="shared" si="305"/>
        <v>9.17</v>
      </c>
      <c r="BQ128" s="282">
        <f t="shared" si="306"/>
        <v>44.53</v>
      </c>
      <c r="BR128" s="324"/>
      <c r="BT128" s="281">
        <f t="shared" si="307"/>
        <v>4.82</v>
      </c>
      <c r="BU128" s="282">
        <f t="shared" si="308"/>
        <v>1.3599999999999994</v>
      </c>
      <c r="BV128" s="283">
        <f t="shared" si="309"/>
        <v>17.079999999999998</v>
      </c>
      <c r="BW128" s="281">
        <f t="shared" si="310"/>
        <v>6.6099999999999994</v>
      </c>
      <c r="BX128" s="282">
        <f t="shared" si="311"/>
        <v>17.980000000000004</v>
      </c>
      <c r="BY128" s="283">
        <f t="shared" si="312"/>
        <v>18.629999999999995</v>
      </c>
      <c r="BZ128" s="281">
        <f t="shared" si="313"/>
        <v>11.719999999999999</v>
      </c>
      <c r="CA128" s="282">
        <f t="shared" si="314"/>
        <v>15.97</v>
      </c>
      <c r="CB128" s="283">
        <f t="shared" si="314"/>
        <v>27.470000000000006</v>
      </c>
      <c r="CC128" s="281">
        <f t="shared" si="315"/>
        <v>6.07</v>
      </c>
      <c r="CD128" s="282">
        <f t="shared" si="316"/>
        <v>35.36</v>
      </c>
      <c r="CE128" s="324"/>
      <c r="CG128" s="281">
        <f t="shared" si="317"/>
        <v>0.92999999999999994</v>
      </c>
      <c r="CH128" s="282">
        <f t="shared" si="318"/>
        <v>5.75</v>
      </c>
      <c r="CI128" s="282">
        <f t="shared" si="319"/>
        <v>7.1099999999999994</v>
      </c>
      <c r="CJ128" s="283">
        <f t="shared" si="320"/>
        <v>24.189999999999998</v>
      </c>
      <c r="CK128" s="281">
        <f t="shared" si="321"/>
        <v>3.0100000000000002</v>
      </c>
      <c r="CL128" s="282">
        <f t="shared" si="322"/>
        <v>14.44</v>
      </c>
      <c r="CM128" s="282">
        <f t="shared" si="323"/>
        <v>33.78</v>
      </c>
      <c r="CN128" s="283">
        <f t="shared" si="324"/>
        <v>69.489999999999995</v>
      </c>
      <c r="CO128" s="281">
        <f t="shared" si="325"/>
        <v>6.1400000000000006</v>
      </c>
      <c r="CP128" s="282">
        <f t="shared" si="326"/>
        <v>29.289999999999996</v>
      </c>
      <c r="CQ128" s="282">
        <f t="shared" si="327"/>
        <v>64.599999999999994</v>
      </c>
      <c r="CR128" s="283">
        <f t="shared" si="327"/>
        <v>127.78</v>
      </c>
      <c r="CS128" s="281">
        <f t="shared" si="328"/>
        <v>9.24</v>
      </c>
      <c r="CT128" s="282">
        <f t="shared" si="329"/>
        <v>38.459999999999994</v>
      </c>
      <c r="CU128" s="282">
        <f t="shared" si="330"/>
        <v>109.13</v>
      </c>
      <c r="CV128" s="283">
        <f t="shared" si="330"/>
        <v>191.64000000000001</v>
      </c>
      <c r="CX128" s="326">
        <f t="shared" si="331"/>
        <v>4.9892703862660939E-2</v>
      </c>
      <c r="CY128" s="327">
        <f t="shared" si="332"/>
        <v>0.3084763948497854</v>
      </c>
      <c r="CZ128" s="327">
        <f t="shared" si="333"/>
        <v>0.38143776824034331</v>
      </c>
      <c r="DA128" s="328">
        <f t="shared" si="334"/>
        <v>1.2977467811158796</v>
      </c>
      <c r="DB128" s="339">
        <f t="shared" si="335"/>
        <v>0.16148068669527899</v>
      </c>
      <c r="DC128" s="327">
        <f t="shared" si="336"/>
        <v>0.77467811158798283</v>
      </c>
      <c r="DD128" s="327">
        <f t="shared" si="337"/>
        <v>1.8122317596566524</v>
      </c>
      <c r="DE128" s="328">
        <f t="shared" si="338"/>
        <v>3.728004291845493</v>
      </c>
      <c r="DF128" s="326">
        <f t="shared" si="339"/>
        <v>0.32939914163090128</v>
      </c>
      <c r="DG128" s="327">
        <f t="shared" si="340"/>
        <v>1.5713519313304718</v>
      </c>
      <c r="DH128" s="327">
        <f t="shared" si="341"/>
        <v>3.4656652360515019</v>
      </c>
      <c r="DI128" s="328">
        <f t="shared" si="341"/>
        <v>6.8551502145922747</v>
      </c>
      <c r="DJ128" s="326">
        <f t="shared" si="342"/>
        <v>0.49570815450643774</v>
      </c>
      <c r="DK128" s="327">
        <f t="shared" si="343"/>
        <v>2.0633047210300424</v>
      </c>
      <c r="DL128" s="327">
        <f t="shared" si="344"/>
        <v>5.8546137339055786</v>
      </c>
      <c r="DM128" s="328">
        <f t="shared" si="345"/>
        <v>10.281115879828327</v>
      </c>
    </row>
    <row r="129" spans="1:117" x14ac:dyDescent="0.25">
      <c r="A129" s="521"/>
      <c r="B129" s="55">
        <v>28</v>
      </c>
      <c r="C129" s="376">
        <v>25.5</v>
      </c>
      <c r="D129" s="376">
        <v>25.5</v>
      </c>
      <c r="E129" s="376">
        <v>25.5</v>
      </c>
      <c r="F129" s="368">
        <v>25.5</v>
      </c>
      <c r="G129" s="281">
        <f t="shared" si="244"/>
        <v>3.6100000000000003</v>
      </c>
      <c r="H129" s="282">
        <f t="shared" si="245"/>
        <v>6.37</v>
      </c>
      <c r="I129" s="282">
        <f t="shared" si="246"/>
        <v>17.89</v>
      </c>
      <c r="J129" s="283">
        <f t="shared" si="247"/>
        <v>26.79</v>
      </c>
      <c r="K129" s="281">
        <f t="shared" si="248"/>
        <v>4.03</v>
      </c>
      <c r="L129" s="282">
        <f t="shared" si="249"/>
        <v>8.07</v>
      </c>
      <c r="M129" s="282">
        <f t="shared" si="250"/>
        <v>15.809999999999999</v>
      </c>
      <c r="N129" s="283">
        <f t="shared" si="251"/>
        <v>16.37</v>
      </c>
      <c r="O129" s="281">
        <f t="shared" si="252"/>
        <v>1.1299999999999999</v>
      </c>
      <c r="P129" s="282">
        <f t="shared" si="253"/>
        <v>11.76</v>
      </c>
      <c r="Q129" s="282">
        <f t="shared" si="254"/>
        <v>18.880000000000003</v>
      </c>
      <c r="R129" s="284">
        <f t="shared" si="255"/>
        <v>27.38</v>
      </c>
      <c r="S129" s="281">
        <f t="shared" si="256"/>
        <v>8.77</v>
      </c>
      <c r="T129" s="282">
        <f t="shared" si="257"/>
        <v>26.200000000000003</v>
      </c>
      <c r="U129" s="282">
        <f t="shared" si="258"/>
        <v>52.580000000000005</v>
      </c>
      <c r="V129" s="283">
        <f t="shared" si="259"/>
        <v>70.539999999999992</v>
      </c>
      <c r="W129" s="281">
        <f t="shared" si="260"/>
        <v>5.29</v>
      </c>
      <c r="X129" s="282">
        <f t="shared" si="261"/>
        <v>10.65</v>
      </c>
      <c r="Y129" s="282">
        <f t="shared" si="262"/>
        <v>20.740000000000002</v>
      </c>
      <c r="Z129" s="283">
        <f t="shared" si="263"/>
        <v>26.42</v>
      </c>
      <c r="AA129" s="281">
        <f t="shared" si="264"/>
        <v>10.54</v>
      </c>
      <c r="AB129" s="282">
        <f t="shared" si="265"/>
        <v>16.98</v>
      </c>
      <c r="AC129" s="282">
        <f t="shared" si="266"/>
        <v>20.47</v>
      </c>
      <c r="AD129" s="283">
        <f t="shared" si="267"/>
        <v>23.19</v>
      </c>
      <c r="AE129" s="281">
        <f t="shared" si="268"/>
        <v>15.27</v>
      </c>
      <c r="AF129" s="282">
        <f t="shared" si="269"/>
        <v>10.629999999999999</v>
      </c>
      <c r="AG129" s="282">
        <f t="shared" si="270"/>
        <v>23.61</v>
      </c>
      <c r="AH129" s="283">
        <f t="shared" si="271"/>
        <v>37.769999999999996</v>
      </c>
      <c r="AI129" s="281">
        <f t="shared" si="272"/>
        <v>31.099999999999998</v>
      </c>
      <c r="AJ129" s="282">
        <f t="shared" si="273"/>
        <v>38.260000000000005</v>
      </c>
      <c r="AK129" s="282">
        <f t="shared" si="274"/>
        <v>64.819999999999993</v>
      </c>
      <c r="AL129" s="283">
        <f t="shared" si="275"/>
        <v>87.38</v>
      </c>
      <c r="AM129" s="281">
        <f t="shared" si="276"/>
        <v>15.45</v>
      </c>
      <c r="AN129" s="282">
        <f t="shared" si="277"/>
        <v>12.780000000000001</v>
      </c>
      <c r="AO129" s="282">
        <f t="shared" si="278"/>
        <v>17.22</v>
      </c>
      <c r="AP129" s="283">
        <f t="shared" si="279"/>
        <v>26.97</v>
      </c>
      <c r="AQ129" s="281">
        <f t="shared" si="280"/>
        <v>15.420000000000002</v>
      </c>
      <c r="AR129" s="282">
        <f t="shared" si="281"/>
        <v>15.89</v>
      </c>
      <c r="AS129" s="282">
        <f t="shared" si="282"/>
        <v>23.95</v>
      </c>
      <c r="AT129" s="328">
        <f t="shared" si="283"/>
        <v>22.040000000000003</v>
      </c>
      <c r="AU129" s="281">
        <f t="shared" si="284"/>
        <v>13.77</v>
      </c>
      <c r="AV129" s="282">
        <f t="shared" si="285"/>
        <v>21.4</v>
      </c>
      <c r="AW129" s="282">
        <f t="shared" si="286"/>
        <v>23.700000000000003</v>
      </c>
      <c r="AX129" s="283">
        <f t="shared" si="287"/>
        <v>30.3</v>
      </c>
      <c r="AY129" s="281">
        <f t="shared" si="288"/>
        <v>44.64</v>
      </c>
      <c r="AZ129" s="282">
        <f t="shared" si="289"/>
        <v>50.07</v>
      </c>
      <c r="BA129" s="282">
        <f t="shared" si="290"/>
        <v>64.87</v>
      </c>
      <c r="BB129" s="283">
        <f t="shared" si="291"/>
        <v>79.31</v>
      </c>
      <c r="BC129" s="281">
        <f t="shared" si="292"/>
        <v>18.03</v>
      </c>
      <c r="BD129" s="282">
        <f t="shared" si="293"/>
        <v>22.880000000000003</v>
      </c>
      <c r="BE129" s="282">
        <f t="shared" si="294"/>
        <v>24.700000000000003</v>
      </c>
      <c r="BF129" s="328">
        <f t="shared" si="295"/>
        <v>33.619999999999997</v>
      </c>
      <c r="BG129" s="281">
        <f t="shared" si="296"/>
        <v>14.1</v>
      </c>
      <c r="BH129" s="282">
        <f t="shared" si="297"/>
        <v>17.14</v>
      </c>
      <c r="BI129" s="282">
        <f t="shared" si="298"/>
        <v>22.85</v>
      </c>
      <c r="BJ129" s="283">
        <f t="shared" si="299"/>
        <v>36.97</v>
      </c>
      <c r="BK129" s="281">
        <f t="shared" si="300"/>
        <v>23.28</v>
      </c>
      <c r="BL129" s="282">
        <f t="shared" si="301"/>
        <v>16.149999999999999</v>
      </c>
      <c r="BM129" s="282">
        <f t="shared" si="302"/>
        <v>19.61</v>
      </c>
      <c r="BN129" s="283">
        <f t="shared" si="303"/>
        <v>23.75</v>
      </c>
      <c r="BO129" s="281">
        <f t="shared" si="304"/>
        <v>55.410000000000004</v>
      </c>
      <c r="BP129" s="282">
        <f t="shared" si="305"/>
        <v>56.17</v>
      </c>
      <c r="BQ129" s="282">
        <f t="shared" si="306"/>
        <v>67.16</v>
      </c>
      <c r="BR129" s="324"/>
      <c r="BT129" s="281">
        <f t="shared" si="307"/>
        <v>17.430000000000003</v>
      </c>
      <c r="BU129" s="282">
        <f t="shared" si="308"/>
        <v>26.380000000000003</v>
      </c>
      <c r="BV129" s="283">
        <f t="shared" si="309"/>
        <v>17.959999999999987</v>
      </c>
      <c r="BW129" s="281">
        <f t="shared" si="310"/>
        <v>7.1600000000000072</v>
      </c>
      <c r="BX129" s="282">
        <f t="shared" si="311"/>
        <v>26.559999999999988</v>
      </c>
      <c r="BY129" s="283">
        <f t="shared" si="312"/>
        <v>22.560000000000002</v>
      </c>
      <c r="BZ129" s="281">
        <f t="shared" si="313"/>
        <v>5.43</v>
      </c>
      <c r="CA129" s="282">
        <f t="shared" si="314"/>
        <v>14.800000000000004</v>
      </c>
      <c r="CB129" s="283">
        <f t="shared" si="314"/>
        <v>14.439999999999998</v>
      </c>
      <c r="CC129" s="281">
        <f t="shared" si="315"/>
        <v>0.75999999999999801</v>
      </c>
      <c r="CD129" s="282">
        <f t="shared" si="316"/>
        <v>10.989999999999995</v>
      </c>
      <c r="CE129" s="324"/>
      <c r="CG129" s="281">
        <f t="shared" si="317"/>
        <v>8.77</v>
      </c>
      <c r="CH129" s="282">
        <f t="shared" si="318"/>
        <v>26.200000000000003</v>
      </c>
      <c r="CI129" s="282">
        <f t="shared" si="319"/>
        <v>52.580000000000005</v>
      </c>
      <c r="CJ129" s="283">
        <f t="shared" si="320"/>
        <v>70.539999999999992</v>
      </c>
      <c r="CK129" s="281">
        <f t="shared" si="321"/>
        <v>39.869999999999997</v>
      </c>
      <c r="CL129" s="282">
        <f t="shared" si="322"/>
        <v>64.459999999999994</v>
      </c>
      <c r="CM129" s="282">
        <f t="shared" si="323"/>
        <v>117.4</v>
      </c>
      <c r="CN129" s="283">
        <f t="shared" si="324"/>
        <v>157.91999999999999</v>
      </c>
      <c r="CO129" s="281">
        <f t="shared" si="325"/>
        <v>84.509999999999991</v>
      </c>
      <c r="CP129" s="282">
        <f t="shared" si="326"/>
        <v>114.53</v>
      </c>
      <c r="CQ129" s="282">
        <f t="shared" si="327"/>
        <v>182.26999999999998</v>
      </c>
      <c r="CR129" s="283">
        <f t="shared" si="327"/>
        <v>237.23</v>
      </c>
      <c r="CS129" s="281">
        <f t="shared" si="328"/>
        <v>139.91999999999999</v>
      </c>
      <c r="CT129" s="282">
        <f t="shared" si="329"/>
        <v>170.70000000000002</v>
      </c>
      <c r="CU129" s="282">
        <f t="shared" si="330"/>
        <v>249.42999999999995</v>
      </c>
      <c r="CV129" s="283">
        <f t="shared" si="330"/>
        <v>331.56999999999994</v>
      </c>
      <c r="CX129" s="326">
        <f t="shared" si="331"/>
        <v>0.34392156862745099</v>
      </c>
      <c r="CY129" s="327">
        <f t="shared" si="332"/>
        <v>1.027450980392157</v>
      </c>
      <c r="CZ129" s="327">
        <f t="shared" si="333"/>
        <v>2.0619607843137255</v>
      </c>
      <c r="DA129" s="328">
        <f t="shared" si="334"/>
        <v>2.7662745098039214</v>
      </c>
      <c r="DB129" s="339">
        <f t="shared" si="335"/>
        <v>1.5635294117647058</v>
      </c>
      <c r="DC129" s="327">
        <f t="shared" si="336"/>
        <v>2.5278431372549015</v>
      </c>
      <c r="DD129" s="327">
        <f t="shared" si="337"/>
        <v>4.6039215686274515</v>
      </c>
      <c r="DE129" s="328">
        <f t="shared" si="338"/>
        <v>6.1929411764705877</v>
      </c>
      <c r="DF129" s="326">
        <f t="shared" si="339"/>
        <v>3.3141176470588234</v>
      </c>
      <c r="DG129" s="327">
        <f t="shared" si="340"/>
        <v>4.4913725490196077</v>
      </c>
      <c r="DH129" s="327">
        <f t="shared" si="341"/>
        <v>7.1478431372549016</v>
      </c>
      <c r="DI129" s="328">
        <f t="shared" si="341"/>
        <v>9.3031372549019604</v>
      </c>
      <c r="DJ129" s="326">
        <f t="shared" si="342"/>
        <v>5.4870588235294111</v>
      </c>
      <c r="DK129" s="327">
        <f t="shared" si="343"/>
        <v>6.6941176470588246</v>
      </c>
      <c r="DL129" s="327">
        <f t="shared" si="344"/>
        <v>9.7815686274509783</v>
      </c>
      <c r="DM129" s="328">
        <f t="shared" si="345"/>
        <v>13.002745098039213</v>
      </c>
    </row>
    <row r="130" spans="1:117" x14ac:dyDescent="0.25">
      <c r="A130" s="521"/>
      <c r="B130" s="55">
        <v>29</v>
      </c>
      <c r="C130" s="376">
        <v>11.38</v>
      </c>
      <c r="D130" s="376">
        <v>11.38</v>
      </c>
      <c r="E130" s="376">
        <v>11.38</v>
      </c>
      <c r="F130" s="368">
        <v>11.38</v>
      </c>
      <c r="G130" s="281">
        <f t="shared" si="244"/>
        <v>0</v>
      </c>
      <c r="H130" s="282">
        <f t="shared" si="245"/>
        <v>0</v>
      </c>
      <c r="I130" s="282">
        <f t="shared" si="246"/>
        <v>0</v>
      </c>
      <c r="J130" s="283">
        <f t="shared" si="247"/>
        <v>1.81</v>
      </c>
      <c r="K130" s="281">
        <f t="shared" si="248"/>
        <v>0</v>
      </c>
      <c r="L130" s="282">
        <f t="shared" si="249"/>
        <v>0</v>
      </c>
      <c r="M130" s="282">
        <f t="shared" si="250"/>
        <v>0</v>
      </c>
      <c r="N130" s="283">
        <f t="shared" si="251"/>
        <v>1.52</v>
      </c>
      <c r="O130" s="281">
        <f t="shared" si="252"/>
        <v>0</v>
      </c>
      <c r="P130" s="282">
        <f t="shared" si="253"/>
        <v>0</v>
      </c>
      <c r="Q130" s="282">
        <f t="shared" si="254"/>
        <v>0</v>
      </c>
      <c r="R130" s="284">
        <f t="shared" si="255"/>
        <v>2.64</v>
      </c>
      <c r="S130" s="281">
        <f t="shared" si="256"/>
        <v>0</v>
      </c>
      <c r="T130" s="282">
        <f t="shared" si="257"/>
        <v>0</v>
      </c>
      <c r="U130" s="282">
        <f t="shared" si="258"/>
        <v>0</v>
      </c>
      <c r="V130" s="283">
        <f t="shared" si="259"/>
        <v>5.9700000000000006</v>
      </c>
      <c r="W130" s="281">
        <f t="shared" si="260"/>
        <v>0</v>
      </c>
      <c r="X130" s="282">
        <f t="shared" si="261"/>
        <v>0</v>
      </c>
      <c r="Y130" s="282">
        <f t="shared" si="262"/>
        <v>0</v>
      </c>
      <c r="Z130" s="283">
        <f t="shared" si="263"/>
        <v>3.6399999999999997</v>
      </c>
      <c r="AA130" s="281">
        <f t="shared" si="264"/>
        <v>0</v>
      </c>
      <c r="AB130" s="282">
        <f t="shared" si="265"/>
        <v>0</v>
      </c>
      <c r="AC130" s="282">
        <f t="shared" si="266"/>
        <v>0</v>
      </c>
      <c r="AD130" s="283">
        <f t="shared" si="267"/>
        <v>5.3</v>
      </c>
      <c r="AE130" s="281">
        <f t="shared" si="268"/>
        <v>0</v>
      </c>
      <c r="AF130" s="282">
        <f t="shared" si="269"/>
        <v>0</v>
      </c>
      <c r="AG130" s="282">
        <f t="shared" si="270"/>
        <v>2.5300000000000002</v>
      </c>
      <c r="AH130" s="283">
        <f t="shared" si="271"/>
        <v>9.23</v>
      </c>
      <c r="AI130" s="281">
        <f t="shared" si="272"/>
        <v>0</v>
      </c>
      <c r="AJ130" s="282">
        <f t="shared" si="273"/>
        <v>0</v>
      </c>
      <c r="AK130" s="282">
        <f t="shared" si="274"/>
        <v>2.5300000000000002</v>
      </c>
      <c r="AL130" s="283">
        <f t="shared" si="275"/>
        <v>18.170000000000002</v>
      </c>
      <c r="AM130" s="281">
        <f t="shared" si="276"/>
        <v>0</v>
      </c>
      <c r="AN130" s="282">
        <f t="shared" si="277"/>
        <v>0</v>
      </c>
      <c r="AO130" s="282">
        <f t="shared" si="278"/>
        <v>1.84</v>
      </c>
      <c r="AP130" s="283">
        <f t="shared" si="279"/>
        <v>5.72</v>
      </c>
      <c r="AQ130" s="281">
        <f t="shared" si="280"/>
        <v>0</v>
      </c>
      <c r="AR130" s="282">
        <f t="shared" si="281"/>
        <v>0</v>
      </c>
      <c r="AS130" s="282">
        <f t="shared" si="282"/>
        <v>2.5099999999999998</v>
      </c>
      <c r="AT130" s="328">
        <f t="shared" si="283"/>
        <v>12.66</v>
      </c>
      <c r="AU130" s="281">
        <f t="shared" si="284"/>
        <v>0</v>
      </c>
      <c r="AV130" s="282">
        <f t="shared" si="285"/>
        <v>0</v>
      </c>
      <c r="AW130" s="282">
        <f t="shared" si="286"/>
        <v>0.9</v>
      </c>
      <c r="AX130" s="283">
        <f t="shared" si="287"/>
        <v>12.09</v>
      </c>
      <c r="AY130" s="281">
        <f t="shared" si="288"/>
        <v>0</v>
      </c>
      <c r="AZ130" s="282">
        <f t="shared" si="289"/>
        <v>0</v>
      </c>
      <c r="BA130" s="282">
        <f t="shared" si="290"/>
        <v>5.25</v>
      </c>
      <c r="BB130" s="283">
        <f t="shared" si="291"/>
        <v>30.47</v>
      </c>
      <c r="BC130" s="281">
        <f t="shared" si="292"/>
        <v>0</v>
      </c>
      <c r="BD130" s="282">
        <f t="shared" si="293"/>
        <v>0</v>
      </c>
      <c r="BE130" s="282">
        <f t="shared" si="294"/>
        <v>1.83</v>
      </c>
      <c r="BF130" s="328">
        <f t="shared" si="295"/>
        <v>15.809999999999999</v>
      </c>
      <c r="BG130" s="281">
        <f t="shared" si="296"/>
        <v>0</v>
      </c>
      <c r="BH130" s="282">
        <f t="shared" si="297"/>
        <v>0</v>
      </c>
      <c r="BI130" s="282">
        <f t="shared" si="298"/>
        <v>4.3100000000000005</v>
      </c>
      <c r="BJ130" s="283">
        <f t="shared" si="299"/>
        <v>12</v>
      </c>
      <c r="BK130" s="281">
        <f t="shared" si="300"/>
        <v>0</v>
      </c>
      <c r="BL130" s="282">
        <f t="shared" si="301"/>
        <v>0</v>
      </c>
      <c r="BM130" s="282">
        <f t="shared" si="302"/>
        <v>2.7</v>
      </c>
      <c r="BN130" s="283">
        <f t="shared" si="303"/>
        <v>15.12</v>
      </c>
      <c r="BO130" s="281">
        <f t="shared" si="304"/>
        <v>0</v>
      </c>
      <c r="BP130" s="282">
        <f t="shared" si="305"/>
        <v>0</v>
      </c>
      <c r="BQ130" s="282">
        <f t="shared" si="306"/>
        <v>8.84</v>
      </c>
      <c r="BR130" s="324"/>
      <c r="BT130" s="281">
        <f t="shared" si="307"/>
        <v>0</v>
      </c>
      <c r="BU130" s="282">
        <f t="shared" si="308"/>
        <v>0</v>
      </c>
      <c r="BV130" s="283">
        <f t="shared" si="309"/>
        <v>5.9700000000000006</v>
      </c>
      <c r="BW130" s="281">
        <f t="shared" si="310"/>
        <v>0</v>
      </c>
      <c r="BX130" s="282">
        <f t="shared" si="311"/>
        <v>2.5300000000000002</v>
      </c>
      <c r="BY130" s="283">
        <f t="shared" si="312"/>
        <v>15.64</v>
      </c>
      <c r="BZ130" s="281">
        <f t="shared" si="313"/>
        <v>0</v>
      </c>
      <c r="CA130" s="282">
        <f t="shared" si="314"/>
        <v>5.25</v>
      </c>
      <c r="CB130" s="283">
        <f t="shared" si="314"/>
        <v>25.22</v>
      </c>
      <c r="CC130" s="281">
        <f t="shared" si="315"/>
        <v>0</v>
      </c>
      <c r="CD130" s="282">
        <f t="shared" si="316"/>
        <v>8.84</v>
      </c>
      <c r="CE130" s="324"/>
      <c r="CG130" s="281">
        <f t="shared" si="317"/>
        <v>0</v>
      </c>
      <c r="CH130" s="282">
        <f t="shared" si="318"/>
        <v>0</v>
      </c>
      <c r="CI130" s="282">
        <f t="shared" si="319"/>
        <v>0</v>
      </c>
      <c r="CJ130" s="283">
        <f t="shared" si="320"/>
        <v>5.9700000000000006</v>
      </c>
      <c r="CK130" s="281">
        <f t="shared" si="321"/>
        <v>0</v>
      </c>
      <c r="CL130" s="282">
        <f t="shared" si="322"/>
        <v>0</v>
      </c>
      <c r="CM130" s="282">
        <f t="shared" si="323"/>
        <v>2.5300000000000002</v>
      </c>
      <c r="CN130" s="283">
        <f t="shared" si="324"/>
        <v>24.14</v>
      </c>
      <c r="CO130" s="281">
        <f t="shared" si="325"/>
        <v>0</v>
      </c>
      <c r="CP130" s="282">
        <f t="shared" si="326"/>
        <v>0</v>
      </c>
      <c r="CQ130" s="282">
        <f t="shared" si="327"/>
        <v>7.78</v>
      </c>
      <c r="CR130" s="283">
        <f t="shared" si="327"/>
        <v>54.61</v>
      </c>
      <c r="CS130" s="281">
        <f t="shared" si="328"/>
        <v>0</v>
      </c>
      <c r="CT130" s="282">
        <f t="shared" si="329"/>
        <v>0</v>
      </c>
      <c r="CU130" s="282">
        <f t="shared" si="330"/>
        <v>16.62</v>
      </c>
      <c r="CV130" s="283">
        <f t="shared" si="330"/>
        <v>97.54</v>
      </c>
      <c r="CX130" s="326">
        <f t="shared" si="331"/>
        <v>0</v>
      </c>
      <c r="CY130" s="327">
        <f t="shared" si="332"/>
        <v>0</v>
      </c>
      <c r="CZ130" s="327">
        <f t="shared" si="333"/>
        <v>0</v>
      </c>
      <c r="DA130" s="328">
        <f t="shared" si="334"/>
        <v>0.52460456942003519</v>
      </c>
      <c r="DB130" s="339">
        <f t="shared" si="335"/>
        <v>0</v>
      </c>
      <c r="DC130" s="327">
        <f t="shared" si="336"/>
        <v>0</v>
      </c>
      <c r="DD130" s="327">
        <f t="shared" si="337"/>
        <v>0.22231985940246046</v>
      </c>
      <c r="DE130" s="328">
        <f t="shared" si="338"/>
        <v>2.1212653778558876</v>
      </c>
      <c r="DF130" s="326">
        <f t="shared" si="339"/>
        <v>0</v>
      </c>
      <c r="DG130" s="327">
        <f t="shared" si="340"/>
        <v>0</v>
      </c>
      <c r="DH130" s="327">
        <f t="shared" si="341"/>
        <v>0.68365553602811946</v>
      </c>
      <c r="DI130" s="328">
        <f t="shared" si="341"/>
        <v>4.7987697715289981</v>
      </c>
      <c r="DJ130" s="326">
        <f t="shared" si="342"/>
        <v>0</v>
      </c>
      <c r="DK130" s="327">
        <f t="shared" si="343"/>
        <v>0</v>
      </c>
      <c r="DL130" s="327">
        <f t="shared" si="344"/>
        <v>1.4604569420035149</v>
      </c>
      <c r="DM130" s="328">
        <f t="shared" si="345"/>
        <v>8.5711775043936722</v>
      </c>
    </row>
    <row r="131" spans="1:117" x14ac:dyDescent="0.25">
      <c r="A131" s="521"/>
      <c r="B131" s="55">
        <v>30</v>
      </c>
      <c r="C131" s="383">
        <v>0</v>
      </c>
      <c r="D131" s="376">
        <v>24.35</v>
      </c>
      <c r="E131" s="376">
        <v>24.35</v>
      </c>
      <c r="F131" s="368">
        <v>24.35</v>
      </c>
      <c r="G131" s="281">
        <f t="shared" si="244"/>
        <v>0</v>
      </c>
      <c r="H131" s="282">
        <f t="shared" si="245"/>
        <v>0</v>
      </c>
      <c r="I131" s="282">
        <f t="shared" si="246"/>
        <v>0</v>
      </c>
      <c r="J131" s="283">
        <f t="shared" si="247"/>
        <v>21.18</v>
      </c>
      <c r="K131" s="281">
        <f t="shared" si="248"/>
        <v>0</v>
      </c>
      <c r="L131" s="282">
        <f t="shared" si="249"/>
        <v>0</v>
      </c>
      <c r="M131" s="282">
        <f t="shared" si="250"/>
        <v>2.44</v>
      </c>
      <c r="N131" s="283">
        <f t="shared" si="251"/>
        <v>11.870000000000001</v>
      </c>
      <c r="O131" s="281">
        <f t="shared" si="252"/>
        <v>0</v>
      </c>
      <c r="P131" s="282">
        <f t="shared" si="253"/>
        <v>0</v>
      </c>
      <c r="Q131" s="282">
        <f t="shared" si="254"/>
        <v>1.8199999999999998</v>
      </c>
      <c r="R131" s="284">
        <f t="shared" si="255"/>
        <v>14.02</v>
      </c>
      <c r="S131" s="281">
        <f t="shared" si="256"/>
        <v>0</v>
      </c>
      <c r="T131" s="282">
        <f t="shared" si="257"/>
        <v>0</v>
      </c>
      <c r="U131" s="282">
        <f t="shared" si="258"/>
        <v>4.26</v>
      </c>
      <c r="V131" s="283">
        <f t="shared" si="259"/>
        <v>47.069999999999993</v>
      </c>
      <c r="W131" s="281">
        <f t="shared" si="260"/>
        <v>0</v>
      </c>
      <c r="X131" s="282">
        <f t="shared" si="261"/>
        <v>0</v>
      </c>
      <c r="Y131" s="282">
        <f t="shared" si="262"/>
        <v>1.02</v>
      </c>
      <c r="Z131" s="283">
        <f t="shared" si="263"/>
        <v>22.02</v>
      </c>
      <c r="AA131" s="281">
        <f t="shared" si="264"/>
        <v>0</v>
      </c>
      <c r="AB131" s="282">
        <f t="shared" si="265"/>
        <v>0</v>
      </c>
      <c r="AC131" s="282">
        <f t="shared" si="266"/>
        <v>2.59</v>
      </c>
      <c r="AD131" s="283">
        <f t="shared" si="267"/>
        <v>24.98</v>
      </c>
      <c r="AE131" s="281">
        <f t="shared" si="268"/>
        <v>0</v>
      </c>
      <c r="AF131" s="282">
        <f t="shared" si="269"/>
        <v>0</v>
      </c>
      <c r="AG131" s="282">
        <f t="shared" si="270"/>
        <v>2.9</v>
      </c>
      <c r="AH131" s="283">
        <f t="shared" si="271"/>
        <v>19.869999999999997</v>
      </c>
      <c r="AI131" s="281">
        <f t="shared" si="272"/>
        <v>0</v>
      </c>
      <c r="AJ131" s="282">
        <f t="shared" si="273"/>
        <v>0</v>
      </c>
      <c r="AK131" s="282">
        <f t="shared" si="274"/>
        <v>6.51</v>
      </c>
      <c r="AL131" s="283">
        <f t="shared" si="275"/>
        <v>66.87</v>
      </c>
      <c r="AM131" s="281">
        <f t="shared" si="276"/>
        <v>0</v>
      </c>
      <c r="AN131" s="282">
        <f t="shared" si="277"/>
        <v>0</v>
      </c>
      <c r="AO131" s="282">
        <f t="shared" si="278"/>
        <v>1.6099999999999999</v>
      </c>
      <c r="AP131" s="283">
        <f t="shared" si="279"/>
        <v>15.129999999999999</v>
      </c>
      <c r="AQ131" s="281">
        <f t="shared" si="280"/>
        <v>0</v>
      </c>
      <c r="AR131" s="282">
        <f t="shared" si="281"/>
        <v>0</v>
      </c>
      <c r="AS131" s="282">
        <f t="shared" si="282"/>
        <v>5.45</v>
      </c>
      <c r="AT131" s="328">
        <f t="shared" si="283"/>
        <v>15.870000000000001</v>
      </c>
      <c r="AU131" s="281">
        <f t="shared" si="284"/>
        <v>0</v>
      </c>
      <c r="AV131" s="282">
        <f t="shared" si="285"/>
        <v>0</v>
      </c>
      <c r="AW131" s="282">
        <f t="shared" si="286"/>
        <v>4.17</v>
      </c>
      <c r="AX131" s="283">
        <f t="shared" si="287"/>
        <v>18.079999999999998</v>
      </c>
      <c r="AY131" s="281">
        <f t="shared" si="288"/>
        <v>0</v>
      </c>
      <c r="AZ131" s="282">
        <f t="shared" si="289"/>
        <v>0</v>
      </c>
      <c r="BA131" s="282">
        <f t="shared" si="290"/>
        <v>11.23</v>
      </c>
      <c r="BB131" s="283">
        <f t="shared" si="291"/>
        <v>49.08</v>
      </c>
      <c r="BC131" s="281">
        <f t="shared" si="292"/>
        <v>0</v>
      </c>
      <c r="BD131" s="282">
        <f t="shared" si="293"/>
        <v>0</v>
      </c>
      <c r="BE131" s="282">
        <f t="shared" si="294"/>
        <v>4.0999999999999996</v>
      </c>
      <c r="BF131" s="328">
        <f t="shared" si="295"/>
        <v>22.43</v>
      </c>
      <c r="BG131" s="281">
        <f t="shared" si="296"/>
        <v>0</v>
      </c>
      <c r="BH131" s="282">
        <f t="shared" si="297"/>
        <v>0</v>
      </c>
      <c r="BI131" s="282">
        <f t="shared" si="298"/>
        <v>15.54</v>
      </c>
      <c r="BJ131" s="283">
        <f t="shared" si="299"/>
        <v>25.03</v>
      </c>
      <c r="BK131" s="281">
        <f t="shared" si="300"/>
        <v>0</v>
      </c>
      <c r="BL131" s="282">
        <f t="shared" si="301"/>
        <v>0</v>
      </c>
      <c r="BM131" s="282">
        <f t="shared" si="302"/>
        <v>2.2400000000000002</v>
      </c>
      <c r="BN131" s="283">
        <f t="shared" si="303"/>
        <v>12.309999999999999</v>
      </c>
      <c r="BO131" s="281">
        <f t="shared" si="304"/>
        <v>0</v>
      </c>
      <c r="BP131" s="282">
        <f t="shared" si="305"/>
        <v>0</v>
      </c>
      <c r="BQ131" s="282">
        <f t="shared" si="306"/>
        <v>21.880000000000003</v>
      </c>
      <c r="BR131" s="324"/>
      <c r="BT131" s="281">
        <f t="shared" si="307"/>
        <v>0</v>
      </c>
      <c r="BU131" s="282">
        <f t="shared" si="308"/>
        <v>4.26</v>
      </c>
      <c r="BV131" s="283">
        <f t="shared" si="309"/>
        <v>42.809999999999995</v>
      </c>
      <c r="BW131" s="281">
        <f t="shared" si="310"/>
        <v>0</v>
      </c>
      <c r="BX131" s="282">
        <f t="shared" si="311"/>
        <v>6.51</v>
      </c>
      <c r="BY131" s="283">
        <f t="shared" si="312"/>
        <v>60.360000000000007</v>
      </c>
      <c r="BZ131" s="281">
        <f t="shared" si="313"/>
        <v>0</v>
      </c>
      <c r="CA131" s="282">
        <f t="shared" si="314"/>
        <v>11.23</v>
      </c>
      <c r="CB131" s="283">
        <f t="shared" si="314"/>
        <v>37.849999999999994</v>
      </c>
      <c r="CC131" s="281">
        <f t="shared" si="315"/>
        <v>0</v>
      </c>
      <c r="CD131" s="282">
        <f t="shared" si="316"/>
        <v>21.880000000000003</v>
      </c>
      <c r="CE131" s="324"/>
      <c r="CG131" s="281">
        <f t="shared" si="317"/>
        <v>0</v>
      </c>
      <c r="CH131" s="282">
        <f t="shared" si="318"/>
        <v>0</v>
      </c>
      <c r="CI131" s="282">
        <f t="shared" si="319"/>
        <v>4.26</v>
      </c>
      <c r="CJ131" s="283">
        <f t="shared" si="320"/>
        <v>47.069999999999993</v>
      </c>
      <c r="CK131" s="281">
        <f t="shared" si="321"/>
        <v>0</v>
      </c>
      <c r="CL131" s="282">
        <f t="shared" si="322"/>
        <v>0</v>
      </c>
      <c r="CM131" s="282">
        <f t="shared" si="323"/>
        <v>10.77</v>
      </c>
      <c r="CN131" s="283">
        <f t="shared" si="324"/>
        <v>113.94</v>
      </c>
      <c r="CO131" s="281">
        <f t="shared" si="325"/>
        <v>0</v>
      </c>
      <c r="CP131" s="282">
        <f t="shared" si="326"/>
        <v>0</v>
      </c>
      <c r="CQ131" s="282">
        <f t="shared" si="327"/>
        <v>22</v>
      </c>
      <c r="CR131" s="283">
        <f t="shared" si="327"/>
        <v>163.01999999999998</v>
      </c>
      <c r="CS131" s="281">
        <f t="shared" si="328"/>
        <v>0</v>
      </c>
      <c r="CT131" s="282">
        <f t="shared" si="329"/>
        <v>0</v>
      </c>
      <c r="CU131" s="282">
        <f t="shared" si="330"/>
        <v>43.88</v>
      </c>
      <c r="CV131" s="283">
        <f t="shared" si="330"/>
        <v>222.79</v>
      </c>
      <c r="CX131" s="392"/>
      <c r="CY131" s="327">
        <f t="shared" si="332"/>
        <v>0</v>
      </c>
      <c r="CZ131" s="327">
        <f t="shared" si="333"/>
        <v>0.17494866529774125</v>
      </c>
      <c r="DA131" s="328">
        <f t="shared" si="334"/>
        <v>1.9330595482546198</v>
      </c>
      <c r="DB131" s="393"/>
      <c r="DC131" s="327">
        <f t="shared" si="336"/>
        <v>0</v>
      </c>
      <c r="DD131" s="327">
        <f t="shared" si="337"/>
        <v>0.4422997946611909</v>
      </c>
      <c r="DE131" s="328">
        <f t="shared" si="338"/>
        <v>4.6792607802874739</v>
      </c>
      <c r="DF131" s="392"/>
      <c r="DG131" s="327">
        <f t="shared" si="340"/>
        <v>0</v>
      </c>
      <c r="DH131" s="327">
        <f t="shared" si="341"/>
        <v>0.90349075975359339</v>
      </c>
      <c r="DI131" s="328">
        <f t="shared" si="341"/>
        <v>6.6948665297741261</v>
      </c>
      <c r="DJ131" s="392"/>
      <c r="DK131" s="327">
        <f t="shared" si="343"/>
        <v>0</v>
      </c>
      <c r="DL131" s="327">
        <f t="shared" si="344"/>
        <v>1.8020533880903491</v>
      </c>
      <c r="DM131" s="328">
        <f t="shared" si="345"/>
        <v>9.1494866529774121</v>
      </c>
    </row>
    <row r="132" spans="1:117" ht="15.75" thickBot="1" x14ac:dyDescent="0.3">
      <c r="A132" s="522"/>
      <c r="B132" s="83">
        <v>31</v>
      </c>
      <c r="C132" s="384">
        <v>0</v>
      </c>
      <c r="D132" s="385">
        <v>34.08</v>
      </c>
      <c r="E132" s="385">
        <v>34.08</v>
      </c>
      <c r="F132" s="369">
        <v>34.08</v>
      </c>
      <c r="G132" s="281">
        <f t="shared" si="244"/>
        <v>0</v>
      </c>
      <c r="H132" s="282">
        <f t="shared" si="245"/>
        <v>0</v>
      </c>
      <c r="I132" s="282">
        <f t="shared" si="246"/>
        <v>0</v>
      </c>
      <c r="J132" s="283">
        <f t="shared" si="247"/>
        <v>17.89</v>
      </c>
      <c r="K132" s="281">
        <f t="shared" si="248"/>
        <v>0</v>
      </c>
      <c r="L132" s="282">
        <f t="shared" si="249"/>
        <v>0</v>
      </c>
      <c r="M132" s="282">
        <f t="shared" si="250"/>
        <v>0.95</v>
      </c>
      <c r="N132" s="283">
        <f t="shared" si="251"/>
        <v>13.149999999999999</v>
      </c>
      <c r="O132" s="281">
        <f t="shared" si="252"/>
        <v>0</v>
      </c>
      <c r="P132" s="282">
        <f t="shared" si="253"/>
        <v>0</v>
      </c>
      <c r="Q132" s="282">
        <f t="shared" si="254"/>
        <v>1.62</v>
      </c>
      <c r="R132" s="284">
        <f t="shared" si="255"/>
        <v>13.65</v>
      </c>
      <c r="S132" s="281">
        <f t="shared" si="256"/>
        <v>0</v>
      </c>
      <c r="T132" s="282">
        <f t="shared" si="257"/>
        <v>0</v>
      </c>
      <c r="U132" s="282">
        <f t="shared" si="258"/>
        <v>2.5700000000000003</v>
      </c>
      <c r="V132" s="283">
        <f t="shared" si="259"/>
        <v>44.69</v>
      </c>
      <c r="W132" s="281">
        <f t="shared" si="260"/>
        <v>0</v>
      </c>
      <c r="X132" s="282">
        <f t="shared" si="261"/>
        <v>0</v>
      </c>
      <c r="Y132" s="282">
        <f t="shared" si="262"/>
        <v>1.5329999999999999</v>
      </c>
      <c r="Z132" s="283">
        <f t="shared" si="263"/>
        <v>19.29</v>
      </c>
      <c r="AA132" s="281">
        <f t="shared" si="264"/>
        <v>0</v>
      </c>
      <c r="AB132" s="282">
        <f t="shared" si="265"/>
        <v>0</v>
      </c>
      <c r="AC132" s="282">
        <f t="shared" si="266"/>
        <v>2.71</v>
      </c>
      <c r="AD132" s="283">
        <f t="shared" si="267"/>
        <v>29.76</v>
      </c>
      <c r="AE132" s="281">
        <f t="shared" si="268"/>
        <v>0</v>
      </c>
      <c r="AF132" s="282">
        <f t="shared" si="269"/>
        <v>0</v>
      </c>
      <c r="AG132" s="282">
        <f t="shared" si="270"/>
        <v>1.88</v>
      </c>
      <c r="AH132" s="283">
        <f t="shared" si="271"/>
        <v>16.940000000000001</v>
      </c>
      <c r="AI132" s="281">
        <f t="shared" si="272"/>
        <v>0</v>
      </c>
      <c r="AJ132" s="282">
        <f t="shared" si="273"/>
        <v>0</v>
      </c>
      <c r="AK132" s="282">
        <f t="shared" si="274"/>
        <v>6.1230000000000002</v>
      </c>
      <c r="AL132" s="283">
        <f t="shared" si="275"/>
        <v>65.989999999999995</v>
      </c>
      <c r="AM132" s="281">
        <f t="shared" si="276"/>
        <v>0</v>
      </c>
      <c r="AN132" s="282">
        <f t="shared" si="277"/>
        <v>0</v>
      </c>
      <c r="AO132" s="282">
        <f t="shared" si="278"/>
        <v>2.77</v>
      </c>
      <c r="AP132" s="283">
        <f t="shared" si="279"/>
        <v>16.240000000000002</v>
      </c>
      <c r="AQ132" s="281">
        <f t="shared" si="280"/>
        <v>0</v>
      </c>
      <c r="AR132" s="282">
        <f t="shared" si="281"/>
        <v>0</v>
      </c>
      <c r="AS132" s="282">
        <f t="shared" si="282"/>
        <v>8.5399999999999991</v>
      </c>
      <c r="AT132" s="328">
        <f t="shared" si="283"/>
        <v>17.2</v>
      </c>
      <c r="AU132" s="281">
        <f t="shared" si="284"/>
        <v>0</v>
      </c>
      <c r="AV132" s="282">
        <f t="shared" si="285"/>
        <v>0</v>
      </c>
      <c r="AW132" s="282">
        <f t="shared" si="286"/>
        <v>5.76</v>
      </c>
      <c r="AX132" s="283">
        <f t="shared" si="287"/>
        <v>25.29</v>
      </c>
      <c r="AY132" s="281">
        <f t="shared" si="288"/>
        <v>0</v>
      </c>
      <c r="AZ132" s="282">
        <f t="shared" si="289"/>
        <v>0</v>
      </c>
      <c r="BA132" s="282">
        <f t="shared" si="290"/>
        <v>17.07</v>
      </c>
      <c r="BB132" s="283">
        <f t="shared" si="291"/>
        <v>58.73</v>
      </c>
      <c r="BC132" s="281">
        <f t="shared" si="292"/>
        <v>0</v>
      </c>
      <c r="BD132" s="282">
        <f t="shared" si="293"/>
        <v>0</v>
      </c>
      <c r="BE132" s="282">
        <f t="shared" si="294"/>
        <v>7.72</v>
      </c>
      <c r="BF132" s="328">
        <f t="shared" si="295"/>
        <v>28.56</v>
      </c>
      <c r="BG132" s="281">
        <f t="shared" si="296"/>
        <v>0</v>
      </c>
      <c r="BH132" s="282">
        <f t="shared" si="297"/>
        <v>0</v>
      </c>
      <c r="BI132" s="282">
        <f t="shared" si="298"/>
        <v>14.52</v>
      </c>
      <c r="BJ132" s="283">
        <f t="shared" si="299"/>
        <v>21.2</v>
      </c>
      <c r="BK132" s="281">
        <f t="shared" si="300"/>
        <v>0</v>
      </c>
      <c r="BL132" s="282">
        <f t="shared" si="301"/>
        <v>0</v>
      </c>
      <c r="BM132" s="282">
        <f t="shared" si="302"/>
        <v>3.33</v>
      </c>
      <c r="BN132" s="283">
        <f t="shared" si="303"/>
        <v>14.02</v>
      </c>
      <c r="BO132" s="281">
        <f t="shared" si="304"/>
        <v>0</v>
      </c>
      <c r="BP132" s="282">
        <f t="shared" si="305"/>
        <v>0</v>
      </c>
      <c r="BQ132" s="282">
        <f t="shared" si="306"/>
        <v>25.57</v>
      </c>
      <c r="BR132" s="324"/>
      <c r="BT132" s="281">
        <f t="shared" si="307"/>
        <v>0</v>
      </c>
      <c r="BU132" s="282">
        <f t="shared" si="308"/>
        <v>2.5700000000000003</v>
      </c>
      <c r="BV132" s="283">
        <f t="shared" si="309"/>
        <v>42.12</v>
      </c>
      <c r="BW132" s="281">
        <f t="shared" si="310"/>
        <v>0</v>
      </c>
      <c r="BX132" s="282">
        <f t="shared" si="311"/>
        <v>6.1230000000000002</v>
      </c>
      <c r="BY132" s="283">
        <f t="shared" si="312"/>
        <v>59.866999999999997</v>
      </c>
      <c r="BZ132" s="281">
        <f t="shared" si="313"/>
        <v>0</v>
      </c>
      <c r="CA132" s="282">
        <f t="shared" si="314"/>
        <v>17.07</v>
      </c>
      <c r="CB132" s="283">
        <f t="shared" si="314"/>
        <v>41.66</v>
      </c>
      <c r="CC132" s="281">
        <f t="shared" si="315"/>
        <v>0</v>
      </c>
      <c r="CD132" s="282">
        <f t="shared" si="316"/>
        <v>25.57</v>
      </c>
      <c r="CE132" s="324"/>
      <c r="CG132" s="281">
        <f t="shared" si="317"/>
        <v>0</v>
      </c>
      <c r="CH132" s="282">
        <f t="shared" si="318"/>
        <v>0</v>
      </c>
      <c r="CI132" s="282">
        <f t="shared" si="319"/>
        <v>2.5700000000000003</v>
      </c>
      <c r="CJ132" s="283">
        <f t="shared" si="320"/>
        <v>44.69</v>
      </c>
      <c r="CK132" s="281">
        <f t="shared" si="321"/>
        <v>0</v>
      </c>
      <c r="CL132" s="282">
        <f t="shared" si="322"/>
        <v>0</v>
      </c>
      <c r="CM132" s="282">
        <f t="shared" si="323"/>
        <v>8.6929999999999996</v>
      </c>
      <c r="CN132" s="283">
        <f t="shared" si="324"/>
        <v>110.67999999999999</v>
      </c>
      <c r="CO132" s="281">
        <f t="shared" si="325"/>
        <v>0</v>
      </c>
      <c r="CP132" s="282">
        <f t="shared" si="326"/>
        <v>0</v>
      </c>
      <c r="CQ132" s="282">
        <f t="shared" si="327"/>
        <v>25.762999999999998</v>
      </c>
      <c r="CR132" s="283">
        <f t="shared" si="327"/>
        <v>169.40999999999997</v>
      </c>
      <c r="CS132" s="281">
        <f t="shared" si="328"/>
        <v>0</v>
      </c>
      <c r="CT132" s="282">
        <f t="shared" si="329"/>
        <v>0</v>
      </c>
      <c r="CU132" s="282">
        <f t="shared" si="330"/>
        <v>51.332999999999998</v>
      </c>
      <c r="CV132" s="283">
        <f t="shared" si="330"/>
        <v>233.18999999999997</v>
      </c>
      <c r="CX132" s="392"/>
      <c r="CY132" s="327">
        <f t="shared" si="332"/>
        <v>0</v>
      </c>
      <c r="CZ132" s="327">
        <f t="shared" si="333"/>
        <v>7.5410798122065734E-2</v>
      </c>
      <c r="DA132" s="328">
        <f t="shared" si="334"/>
        <v>1.3113262910798122</v>
      </c>
      <c r="DB132" s="393"/>
      <c r="DC132" s="327">
        <f t="shared" si="336"/>
        <v>0</v>
      </c>
      <c r="DD132" s="327">
        <f t="shared" si="337"/>
        <v>0.25507629107981222</v>
      </c>
      <c r="DE132" s="328">
        <f t="shared" si="338"/>
        <v>3.2476525821596245</v>
      </c>
      <c r="DF132" s="392"/>
      <c r="DG132" s="327">
        <f t="shared" si="340"/>
        <v>0</v>
      </c>
      <c r="DH132" s="327">
        <f t="shared" si="341"/>
        <v>0.75595657276995298</v>
      </c>
      <c r="DI132" s="328">
        <f t="shared" si="341"/>
        <v>4.9709507042253511</v>
      </c>
      <c r="DJ132" s="392"/>
      <c r="DK132" s="327">
        <f t="shared" si="343"/>
        <v>0</v>
      </c>
      <c r="DL132" s="327">
        <f t="shared" si="344"/>
        <v>1.5062500000000001</v>
      </c>
      <c r="DM132" s="328">
        <f t="shared" si="345"/>
        <v>6.8424295774647881</v>
      </c>
    </row>
    <row r="133" spans="1:117" x14ac:dyDescent="0.25">
      <c r="A133" s="520" t="s">
        <v>31</v>
      </c>
      <c r="B133" s="23" t="s">
        <v>32</v>
      </c>
      <c r="C133" s="367">
        <v>28.72</v>
      </c>
      <c r="D133" s="367">
        <v>28.72</v>
      </c>
      <c r="E133" s="367">
        <v>28.72</v>
      </c>
      <c r="F133" s="367">
        <v>28.72</v>
      </c>
      <c r="G133" s="281">
        <f t="shared" si="244"/>
        <v>4.3999999999999995</v>
      </c>
      <c r="H133" s="282">
        <f t="shared" si="245"/>
        <v>19.55</v>
      </c>
      <c r="I133" s="282">
        <f t="shared" si="246"/>
        <v>20.66</v>
      </c>
      <c r="J133" s="283">
        <f t="shared" si="247"/>
        <v>31.42</v>
      </c>
      <c r="K133" s="281">
        <f t="shared" si="248"/>
        <v>5.31</v>
      </c>
      <c r="L133" s="282">
        <f t="shared" si="249"/>
        <v>19.47</v>
      </c>
      <c r="M133" s="282">
        <f t="shared" si="250"/>
        <v>15.18</v>
      </c>
      <c r="N133" s="283">
        <f t="shared" si="251"/>
        <v>29.16</v>
      </c>
      <c r="O133" s="281">
        <f t="shared" si="252"/>
        <v>7.9</v>
      </c>
      <c r="P133" s="282">
        <f t="shared" si="253"/>
        <v>11.94</v>
      </c>
      <c r="Q133" s="282">
        <f t="shared" si="254"/>
        <v>13.39</v>
      </c>
      <c r="R133" s="284">
        <f t="shared" si="255"/>
        <v>37.549999999999997</v>
      </c>
      <c r="S133" s="281">
        <f t="shared" si="256"/>
        <v>17.61</v>
      </c>
      <c r="T133" s="282">
        <f t="shared" si="257"/>
        <v>50.959999999999994</v>
      </c>
      <c r="U133" s="282">
        <f t="shared" si="258"/>
        <v>49.230000000000004</v>
      </c>
      <c r="V133" s="283">
        <f t="shared" si="259"/>
        <v>98.13</v>
      </c>
      <c r="W133" s="281">
        <f t="shared" si="260"/>
        <v>3.74</v>
      </c>
      <c r="X133" s="282">
        <f t="shared" si="261"/>
        <v>31.75</v>
      </c>
      <c r="Y133" s="282">
        <f t="shared" si="262"/>
        <v>23.73</v>
      </c>
      <c r="Z133" s="283">
        <f t="shared" si="263"/>
        <v>33.54</v>
      </c>
      <c r="AA133" s="281">
        <f t="shared" si="264"/>
        <v>16.18</v>
      </c>
      <c r="AB133" s="282">
        <f t="shared" si="265"/>
        <v>19.45</v>
      </c>
      <c r="AC133" s="282">
        <f t="shared" si="266"/>
        <v>25.97</v>
      </c>
      <c r="AD133" s="283">
        <f t="shared" si="267"/>
        <v>50.2</v>
      </c>
      <c r="AE133" s="281">
        <f t="shared" si="268"/>
        <v>22.7</v>
      </c>
      <c r="AF133" s="282">
        <f t="shared" si="269"/>
        <v>34.459999999999994</v>
      </c>
      <c r="AG133" s="282">
        <f t="shared" si="270"/>
        <v>30.17</v>
      </c>
      <c r="AH133" s="283">
        <f t="shared" si="271"/>
        <v>27.13</v>
      </c>
      <c r="AI133" s="281">
        <f t="shared" si="272"/>
        <v>42.620000000000005</v>
      </c>
      <c r="AJ133" s="282">
        <f t="shared" si="273"/>
        <v>85.66</v>
      </c>
      <c r="AK133" s="282">
        <f t="shared" si="274"/>
        <v>79.87</v>
      </c>
      <c r="AL133" s="283">
        <f t="shared" si="275"/>
        <v>110.87</v>
      </c>
      <c r="AM133" s="281">
        <f t="shared" si="276"/>
        <v>18.490000000000002</v>
      </c>
      <c r="AN133" s="282">
        <f t="shared" si="277"/>
        <v>21.82</v>
      </c>
      <c r="AO133" s="282">
        <f t="shared" si="278"/>
        <v>23.78</v>
      </c>
      <c r="AP133" s="283">
        <f t="shared" si="279"/>
        <v>34.340000000000003</v>
      </c>
      <c r="AQ133" s="281">
        <f t="shared" si="280"/>
        <v>17.68</v>
      </c>
      <c r="AR133" s="282">
        <f t="shared" si="281"/>
        <v>36.22</v>
      </c>
      <c r="AS133" s="282">
        <f t="shared" si="282"/>
        <v>37.86</v>
      </c>
      <c r="AT133" s="328">
        <f t="shared" si="283"/>
        <v>33.130000000000003</v>
      </c>
      <c r="AU133" s="281">
        <f t="shared" si="284"/>
        <v>21.689999999999998</v>
      </c>
      <c r="AV133" s="282">
        <f t="shared" si="285"/>
        <v>26.79</v>
      </c>
      <c r="AW133" s="282">
        <f t="shared" si="286"/>
        <v>45.85</v>
      </c>
      <c r="AX133" s="283">
        <f t="shared" si="287"/>
        <v>40.94</v>
      </c>
      <c r="AY133" s="281">
        <f t="shared" si="288"/>
        <v>57.86</v>
      </c>
      <c r="AZ133" s="282">
        <f t="shared" si="289"/>
        <v>84.83</v>
      </c>
      <c r="BA133" s="282">
        <f t="shared" si="290"/>
        <v>107.49000000000001</v>
      </c>
      <c r="BB133" s="283">
        <f t="shared" si="291"/>
        <v>108.41</v>
      </c>
      <c r="BC133" s="281">
        <f t="shared" si="292"/>
        <v>33.19</v>
      </c>
      <c r="BD133" s="282">
        <f t="shared" si="293"/>
        <v>33.31</v>
      </c>
      <c r="BE133" s="282">
        <f t="shared" si="294"/>
        <v>47.75</v>
      </c>
      <c r="BF133" s="328">
        <f t="shared" si="295"/>
        <v>54.39</v>
      </c>
      <c r="BG133" s="281">
        <f t="shared" si="296"/>
        <v>20.69</v>
      </c>
      <c r="BH133" s="282">
        <f t="shared" si="297"/>
        <v>35.339999999999996</v>
      </c>
      <c r="BI133" s="282">
        <f t="shared" si="298"/>
        <v>44.07</v>
      </c>
      <c r="BJ133" s="283">
        <f t="shared" si="299"/>
        <v>56.28</v>
      </c>
      <c r="BK133" s="281">
        <f t="shared" si="300"/>
        <v>20.84</v>
      </c>
      <c r="BL133" s="282">
        <f t="shared" si="301"/>
        <v>25.19</v>
      </c>
      <c r="BM133" s="282">
        <f t="shared" si="302"/>
        <v>30.79</v>
      </c>
      <c r="BN133" s="283">
        <f t="shared" si="303"/>
        <v>50.019999999999996</v>
      </c>
      <c r="BO133" s="281">
        <f t="shared" si="304"/>
        <v>74.72</v>
      </c>
      <c r="BP133" s="282">
        <f t="shared" si="305"/>
        <v>93.84</v>
      </c>
      <c r="BQ133" s="282">
        <f t="shared" si="306"/>
        <v>122.60999999999999</v>
      </c>
      <c r="BR133" s="324"/>
      <c r="BT133" s="281">
        <f t="shared" si="307"/>
        <v>33.349999999999994</v>
      </c>
      <c r="BU133" s="282">
        <f t="shared" si="308"/>
        <v>-1.7299999999999898</v>
      </c>
      <c r="BV133" s="283">
        <f t="shared" si="309"/>
        <v>48.899999999999991</v>
      </c>
      <c r="BW133" s="281">
        <f t="shared" si="310"/>
        <v>43.039999999999992</v>
      </c>
      <c r="BX133" s="282">
        <f t="shared" si="311"/>
        <v>-5.789999999999992</v>
      </c>
      <c r="BY133" s="283">
        <f t="shared" si="312"/>
        <v>31</v>
      </c>
      <c r="BZ133" s="281">
        <f t="shared" si="313"/>
        <v>26.97</v>
      </c>
      <c r="CA133" s="282">
        <f t="shared" si="314"/>
        <v>22.660000000000011</v>
      </c>
      <c r="CB133" s="283">
        <f t="shared" si="314"/>
        <v>0.91999999999998749</v>
      </c>
      <c r="CC133" s="281">
        <f t="shared" si="315"/>
        <v>19.120000000000005</v>
      </c>
      <c r="CD133" s="282">
        <f t="shared" si="316"/>
        <v>28.769999999999982</v>
      </c>
      <c r="CE133" s="324"/>
      <c r="CG133" s="281">
        <f t="shared" si="317"/>
        <v>17.61</v>
      </c>
      <c r="CH133" s="282">
        <f t="shared" si="318"/>
        <v>50.959999999999994</v>
      </c>
      <c r="CI133" s="282">
        <f t="shared" si="319"/>
        <v>49.230000000000004</v>
      </c>
      <c r="CJ133" s="283">
        <f t="shared" si="320"/>
        <v>98.13</v>
      </c>
      <c r="CK133" s="281">
        <f t="shared" si="321"/>
        <v>60.230000000000004</v>
      </c>
      <c r="CL133" s="282">
        <f t="shared" si="322"/>
        <v>136.62</v>
      </c>
      <c r="CM133" s="282">
        <f t="shared" si="323"/>
        <v>129.10000000000002</v>
      </c>
      <c r="CN133" s="283">
        <f t="shared" si="324"/>
        <v>209</v>
      </c>
      <c r="CO133" s="281">
        <f t="shared" si="325"/>
        <v>118.09</v>
      </c>
      <c r="CP133" s="282">
        <f t="shared" si="326"/>
        <v>221.45</v>
      </c>
      <c r="CQ133" s="282">
        <f t="shared" si="327"/>
        <v>236.59</v>
      </c>
      <c r="CR133" s="283">
        <f t="shared" si="327"/>
        <v>317.41000000000003</v>
      </c>
      <c r="CS133" s="281">
        <f t="shared" si="328"/>
        <v>192.81</v>
      </c>
      <c r="CT133" s="282">
        <f t="shared" si="329"/>
        <v>315.28999999999996</v>
      </c>
      <c r="CU133" s="282">
        <f t="shared" si="330"/>
        <v>359.20000000000005</v>
      </c>
      <c r="CV133" s="283">
        <f t="shared" si="330"/>
        <v>478.1</v>
      </c>
      <c r="CX133" s="326">
        <f t="shared" si="331"/>
        <v>0.61316155988857934</v>
      </c>
      <c r="CY133" s="327">
        <f t="shared" si="332"/>
        <v>1.7743732590529246</v>
      </c>
      <c r="CZ133" s="327">
        <f t="shared" si="333"/>
        <v>1.7141364902506966</v>
      </c>
      <c r="DA133" s="328">
        <f t="shared" si="334"/>
        <v>3.4167827298050137</v>
      </c>
      <c r="DB133" s="339">
        <f t="shared" si="335"/>
        <v>2.0971448467966578</v>
      </c>
      <c r="DC133" s="327">
        <f t="shared" si="336"/>
        <v>4.756963788300836</v>
      </c>
      <c r="DD133" s="327">
        <f t="shared" si="337"/>
        <v>4.4951253481894158</v>
      </c>
      <c r="DE133" s="328">
        <f t="shared" si="338"/>
        <v>7.2771587743732598</v>
      </c>
      <c r="DF133" s="326">
        <f t="shared" si="339"/>
        <v>4.1117688022284122</v>
      </c>
      <c r="DG133" s="327">
        <f t="shared" si="340"/>
        <v>7.7106545961002784</v>
      </c>
      <c r="DH133" s="327">
        <f t="shared" si="341"/>
        <v>8.2378133704735372</v>
      </c>
      <c r="DI133" s="328">
        <f t="shared" si="341"/>
        <v>11.051880222841227</v>
      </c>
      <c r="DJ133" s="326">
        <f t="shared" si="342"/>
        <v>6.7134401114206135</v>
      </c>
      <c r="DK133" s="327">
        <f t="shared" si="343"/>
        <v>10.978064066852367</v>
      </c>
      <c r="DL133" s="327">
        <f t="shared" si="344"/>
        <v>12.506963788300837</v>
      </c>
      <c r="DM133" s="328">
        <f t="shared" si="345"/>
        <v>16.646935933147635</v>
      </c>
    </row>
    <row r="134" spans="1:117" ht="15.75" thickBot="1" x14ac:dyDescent="0.3">
      <c r="A134" s="522"/>
      <c r="B134" s="103">
        <v>39</v>
      </c>
      <c r="C134" s="375">
        <v>4.5</v>
      </c>
      <c r="D134" s="375">
        <v>4.5</v>
      </c>
      <c r="E134" s="375">
        <v>4.5</v>
      </c>
      <c r="F134" s="375">
        <v>4.5</v>
      </c>
      <c r="G134" s="298">
        <f t="shared" si="244"/>
        <v>2.19</v>
      </c>
      <c r="H134" s="299">
        <f t="shared" si="245"/>
        <v>2.0499999999999998</v>
      </c>
      <c r="I134" s="299">
        <f t="shared" si="246"/>
        <v>2.9699999999999998</v>
      </c>
      <c r="J134" s="300">
        <f t="shared" si="247"/>
        <v>2.2599999999999998</v>
      </c>
      <c r="K134" s="298">
        <f t="shared" si="248"/>
        <v>0.74</v>
      </c>
      <c r="L134" s="299">
        <f t="shared" si="249"/>
        <v>0</v>
      </c>
      <c r="M134" s="299">
        <f t="shared" si="250"/>
        <v>0</v>
      </c>
      <c r="N134" s="300">
        <f t="shared" si="251"/>
        <v>3.29</v>
      </c>
      <c r="O134" s="298">
        <f t="shared" si="252"/>
        <v>0</v>
      </c>
      <c r="P134" s="299">
        <f t="shared" si="253"/>
        <v>0</v>
      </c>
      <c r="Q134" s="299">
        <f t="shared" si="254"/>
        <v>2.21</v>
      </c>
      <c r="R134" s="301">
        <f t="shared" si="255"/>
        <v>2.25</v>
      </c>
      <c r="S134" s="298">
        <f t="shared" si="256"/>
        <v>2.9299999999999997</v>
      </c>
      <c r="T134" s="299">
        <f t="shared" si="257"/>
        <v>2.0499999999999998</v>
      </c>
      <c r="U134" s="299">
        <f t="shared" si="258"/>
        <v>5.18</v>
      </c>
      <c r="V134" s="300">
        <f t="shared" si="259"/>
        <v>7.8</v>
      </c>
      <c r="W134" s="298">
        <f t="shared" si="260"/>
        <v>0</v>
      </c>
      <c r="X134" s="299">
        <f t="shared" si="261"/>
        <v>0.98</v>
      </c>
      <c r="Y134" s="299">
        <f t="shared" si="262"/>
        <v>1.5</v>
      </c>
      <c r="Z134" s="300">
        <f t="shared" si="263"/>
        <v>2.7199999999999998</v>
      </c>
      <c r="AA134" s="298">
        <f t="shared" si="264"/>
        <v>2.25</v>
      </c>
      <c r="AB134" s="299">
        <f t="shared" si="265"/>
        <v>1.2</v>
      </c>
      <c r="AC134" s="299">
        <f t="shared" si="266"/>
        <v>2.08</v>
      </c>
      <c r="AD134" s="300">
        <f t="shared" si="267"/>
        <v>2.0299999999999998</v>
      </c>
      <c r="AE134" s="298">
        <f t="shared" si="268"/>
        <v>1.4</v>
      </c>
      <c r="AF134" s="299">
        <f t="shared" si="269"/>
        <v>0.7</v>
      </c>
      <c r="AG134" s="299">
        <f t="shared" si="270"/>
        <v>2.04</v>
      </c>
      <c r="AH134" s="300">
        <f t="shared" si="271"/>
        <v>1.56</v>
      </c>
      <c r="AI134" s="298">
        <f t="shared" si="272"/>
        <v>3.65</v>
      </c>
      <c r="AJ134" s="299">
        <f t="shared" si="273"/>
        <v>2.88</v>
      </c>
      <c r="AK134" s="299">
        <f t="shared" si="274"/>
        <v>5.62</v>
      </c>
      <c r="AL134" s="300">
        <f t="shared" si="275"/>
        <v>6.3100000000000005</v>
      </c>
      <c r="AM134" s="298">
        <f t="shared" si="276"/>
        <v>1.49</v>
      </c>
      <c r="AN134" s="299">
        <f t="shared" si="277"/>
        <v>1.5</v>
      </c>
      <c r="AO134" s="299">
        <f t="shared" si="278"/>
        <v>1.9</v>
      </c>
      <c r="AP134" s="300">
        <f t="shared" si="279"/>
        <v>3.38</v>
      </c>
      <c r="AQ134" s="298">
        <f t="shared" si="280"/>
        <v>1.79</v>
      </c>
      <c r="AR134" s="299">
        <f t="shared" si="281"/>
        <v>1.7000000000000002</v>
      </c>
      <c r="AS134" s="299">
        <f t="shared" si="282"/>
        <v>3.4</v>
      </c>
      <c r="AT134" s="328">
        <f t="shared" si="283"/>
        <v>4.46</v>
      </c>
      <c r="AU134" s="298">
        <f t="shared" si="284"/>
        <v>0</v>
      </c>
      <c r="AV134" s="299">
        <f t="shared" si="285"/>
        <v>1.92</v>
      </c>
      <c r="AW134" s="299">
        <f t="shared" si="286"/>
        <v>4.6899999999999995</v>
      </c>
      <c r="AX134" s="300">
        <f t="shared" si="287"/>
        <v>4.5</v>
      </c>
      <c r="AY134" s="298">
        <f t="shared" si="288"/>
        <v>3.2800000000000002</v>
      </c>
      <c r="AZ134" s="299">
        <f t="shared" si="289"/>
        <v>5.12</v>
      </c>
      <c r="BA134" s="299">
        <f t="shared" si="290"/>
        <v>9.9899999999999984</v>
      </c>
      <c r="BB134" s="300">
        <f t="shared" si="291"/>
        <v>12.34</v>
      </c>
      <c r="BC134" s="298">
        <f t="shared" si="292"/>
        <v>1.5</v>
      </c>
      <c r="BD134" s="299">
        <f t="shared" si="293"/>
        <v>1.32</v>
      </c>
      <c r="BE134" s="299">
        <f t="shared" si="294"/>
        <v>1.93</v>
      </c>
      <c r="BF134" s="328">
        <f t="shared" si="295"/>
        <v>6.3900000000000006</v>
      </c>
      <c r="BG134" s="298">
        <f t="shared" si="296"/>
        <v>2.56</v>
      </c>
      <c r="BH134" s="299">
        <f t="shared" si="297"/>
        <v>2.91</v>
      </c>
      <c r="BI134" s="299">
        <f t="shared" si="298"/>
        <v>4.3100000000000005</v>
      </c>
      <c r="BJ134" s="300">
        <f t="shared" si="299"/>
        <v>4.4000000000000004</v>
      </c>
      <c r="BK134" s="298">
        <f t="shared" si="300"/>
        <v>0</v>
      </c>
      <c r="BL134" s="299">
        <f t="shared" si="301"/>
        <v>3.0300000000000002</v>
      </c>
      <c r="BM134" s="299">
        <f t="shared" si="302"/>
        <v>3.21</v>
      </c>
      <c r="BN134" s="300">
        <f t="shared" si="303"/>
        <v>2.39</v>
      </c>
      <c r="BO134" s="298">
        <f t="shared" si="304"/>
        <v>4.0600000000000005</v>
      </c>
      <c r="BP134" s="299">
        <f t="shared" si="305"/>
        <v>7.2600000000000007</v>
      </c>
      <c r="BQ134" s="299">
        <f t="shared" si="306"/>
        <v>9.4499999999999993</v>
      </c>
      <c r="BR134" s="338"/>
      <c r="BT134" s="298">
        <f t="shared" si="307"/>
        <v>-0.87999999999999989</v>
      </c>
      <c r="BU134" s="299">
        <f t="shared" si="308"/>
        <v>3.13</v>
      </c>
      <c r="BV134" s="300">
        <f t="shared" si="309"/>
        <v>2.62</v>
      </c>
      <c r="BW134" s="298">
        <f t="shared" si="310"/>
        <v>-0.77</v>
      </c>
      <c r="BX134" s="299">
        <f t="shared" si="311"/>
        <v>2.74</v>
      </c>
      <c r="BY134" s="300">
        <f t="shared" si="312"/>
        <v>0.69000000000000039</v>
      </c>
      <c r="BZ134" s="298">
        <f t="shared" si="313"/>
        <v>1.8399999999999999</v>
      </c>
      <c r="CA134" s="299">
        <f t="shared" si="314"/>
        <v>4.8699999999999983</v>
      </c>
      <c r="CB134" s="300">
        <f t="shared" si="314"/>
        <v>2.3500000000000014</v>
      </c>
      <c r="CC134" s="298">
        <f t="shared" si="315"/>
        <v>3.2</v>
      </c>
      <c r="CD134" s="299">
        <f t="shared" si="316"/>
        <v>2.1899999999999986</v>
      </c>
      <c r="CE134" s="338"/>
      <c r="CG134" s="298">
        <f t="shared" si="317"/>
        <v>2.9299999999999997</v>
      </c>
      <c r="CH134" s="299">
        <f t="shared" si="318"/>
        <v>2.0499999999999998</v>
      </c>
      <c r="CI134" s="299">
        <f t="shared" si="319"/>
        <v>5.18</v>
      </c>
      <c r="CJ134" s="300">
        <f t="shared" si="320"/>
        <v>7.8</v>
      </c>
      <c r="CK134" s="298">
        <f t="shared" si="321"/>
        <v>6.58</v>
      </c>
      <c r="CL134" s="299">
        <f t="shared" si="322"/>
        <v>4.93</v>
      </c>
      <c r="CM134" s="299">
        <f t="shared" si="323"/>
        <v>10.8</v>
      </c>
      <c r="CN134" s="300">
        <f t="shared" si="324"/>
        <v>14.11</v>
      </c>
      <c r="CO134" s="298">
        <f t="shared" si="325"/>
        <v>9.86</v>
      </c>
      <c r="CP134" s="299">
        <f t="shared" si="326"/>
        <v>10.049999999999999</v>
      </c>
      <c r="CQ134" s="299">
        <f t="shared" si="327"/>
        <v>20.79</v>
      </c>
      <c r="CR134" s="300">
        <f t="shared" si="327"/>
        <v>26.45</v>
      </c>
      <c r="CS134" s="298">
        <f t="shared" si="328"/>
        <v>13.92</v>
      </c>
      <c r="CT134" s="299">
        <f t="shared" si="329"/>
        <v>17.309999999999999</v>
      </c>
      <c r="CU134" s="299">
        <f t="shared" si="330"/>
        <v>30.240000000000002</v>
      </c>
      <c r="CV134" s="300">
        <f t="shared" si="330"/>
        <v>39.630000000000003</v>
      </c>
      <c r="CX134" s="341">
        <f t="shared" si="331"/>
        <v>0.65111111111111108</v>
      </c>
      <c r="CY134" s="342">
        <f t="shared" si="332"/>
        <v>0.45555555555555549</v>
      </c>
      <c r="CZ134" s="342">
        <f t="shared" si="333"/>
        <v>1.151111111111111</v>
      </c>
      <c r="DA134" s="343">
        <f t="shared" si="334"/>
        <v>1.7333333333333334</v>
      </c>
      <c r="DB134" s="344">
        <f t="shared" si="335"/>
        <v>1.4622222222222223</v>
      </c>
      <c r="DC134" s="342">
        <f t="shared" si="336"/>
        <v>1.0955555555555554</v>
      </c>
      <c r="DD134" s="342">
        <f t="shared" si="337"/>
        <v>2.4000000000000004</v>
      </c>
      <c r="DE134" s="343">
        <f t="shared" si="338"/>
        <v>3.1355555555555554</v>
      </c>
      <c r="DF134" s="341">
        <f t="shared" si="339"/>
        <v>2.1911111111111108</v>
      </c>
      <c r="DG134" s="342">
        <f t="shared" si="340"/>
        <v>2.2333333333333329</v>
      </c>
      <c r="DH134" s="342">
        <f t="shared" si="341"/>
        <v>4.62</v>
      </c>
      <c r="DI134" s="343">
        <f t="shared" si="341"/>
        <v>5.8777777777777773</v>
      </c>
      <c r="DJ134" s="341">
        <f t="shared" si="342"/>
        <v>3.0933333333333333</v>
      </c>
      <c r="DK134" s="342">
        <f t="shared" si="343"/>
        <v>3.8466666666666662</v>
      </c>
      <c r="DL134" s="342">
        <f t="shared" si="344"/>
        <v>6.7200000000000006</v>
      </c>
      <c r="DM134" s="343">
        <f t="shared" si="345"/>
        <v>8.8066666666666666</v>
      </c>
    </row>
    <row r="135" spans="1:117" s="285" customFormat="1" ht="16.5" thickBot="1" x14ac:dyDescent="0.3">
      <c r="A135" s="552" t="s">
        <v>6</v>
      </c>
      <c r="B135" s="553"/>
      <c r="C135" s="160">
        <f>SUM(C126:C134)</f>
        <v>149.68</v>
      </c>
      <c r="D135" s="160">
        <f>SUM(D126:D134)</f>
        <v>208.10999999999999</v>
      </c>
      <c r="E135" s="160">
        <f>SUM(E126:E134)</f>
        <v>208.10999999999999</v>
      </c>
      <c r="F135" s="160">
        <f>SUM(F126:F134)</f>
        <v>208.10999999999999</v>
      </c>
      <c r="G135" s="303">
        <f t="shared" ref="G135:R135" si="346">SUBTOTAL(9,G126:G134)</f>
        <v>11.83</v>
      </c>
      <c r="H135" s="304">
        <f t="shared" si="346"/>
        <v>35.81</v>
      </c>
      <c r="I135" s="304">
        <f t="shared" si="346"/>
        <v>50.510000000000005</v>
      </c>
      <c r="J135" s="305">
        <f t="shared" si="346"/>
        <v>141.18</v>
      </c>
      <c r="K135" s="303">
        <f t="shared" si="346"/>
        <v>10.91</v>
      </c>
      <c r="L135" s="304">
        <f t="shared" si="346"/>
        <v>29.75</v>
      </c>
      <c r="M135" s="304">
        <f t="shared" si="346"/>
        <v>42.16</v>
      </c>
      <c r="N135" s="305">
        <f t="shared" si="346"/>
        <v>119.67999999999999</v>
      </c>
      <c r="O135" s="303">
        <f t="shared" si="346"/>
        <v>9.0300000000000011</v>
      </c>
      <c r="P135" s="304">
        <f t="shared" si="346"/>
        <v>29.39</v>
      </c>
      <c r="Q135" s="304">
        <f t="shared" si="346"/>
        <v>49.24</v>
      </c>
      <c r="R135" s="306">
        <f t="shared" si="346"/>
        <v>149.56</v>
      </c>
      <c r="S135" s="303">
        <f>G135+K135+O135</f>
        <v>31.770000000000003</v>
      </c>
      <c r="T135" s="304">
        <f t="shared" si="257"/>
        <v>94.95</v>
      </c>
      <c r="U135" s="304">
        <f t="shared" si="258"/>
        <v>141.91</v>
      </c>
      <c r="V135" s="305">
        <f t="shared" si="259"/>
        <v>410.42</v>
      </c>
      <c r="W135" s="303">
        <f t="shared" ref="W135:AH135" si="347">SUBTOTAL(9,W126:W134)</f>
        <v>9.0300000000000011</v>
      </c>
      <c r="X135" s="304">
        <f t="shared" si="347"/>
        <v>48.08</v>
      </c>
      <c r="Y135" s="304">
        <f t="shared" si="347"/>
        <v>68.472999999999999</v>
      </c>
      <c r="Z135" s="305">
        <f t="shared" si="347"/>
        <v>173.42</v>
      </c>
      <c r="AA135" s="303">
        <f t="shared" si="347"/>
        <v>32.22</v>
      </c>
      <c r="AB135" s="304">
        <f t="shared" si="347"/>
        <v>49.010000000000005</v>
      </c>
      <c r="AC135" s="304">
        <f t="shared" si="347"/>
        <v>89.88000000000001</v>
      </c>
      <c r="AD135" s="305">
        <f t="shared" si="347"/>
        <v>214.16</v>
      </c>
      <c r="AE135" s="303">
        <f t="shared" si="347"/>
        <v>40.669999999999995</v>
      </c>
      <c r="AF135" s="304">
        <f t="shared" si="347"/>
        <v>51.389999999999993</v>
      </c>
      <c r="AG135" s="304">
        <f t="shared" si="347"/>
        <v>97.48</v>
      </c>
      <c r="AH135" s="305">
        <f t="shared" si="347"/>
        <v>175.4</v>
      </c>
      <c r="AI135" s="303">
        <f>W135+AA135+AE135</f>
        <v>81.919999999999987</v>
      </c>
      <c r="AJ135" s="304">
        <f t="shared" si="273"/>
        <v>148.47999999999999</v>
      </c>
      <c r="AK135" s="304">
        <f t="shared" si="274"/>
        <v>255.83300000000003</v>
      </c>
      <c r="AL135" s="305">
        <f t="shared" si="275"/>
        <v>562.98</v>
      </c>
      <c r="AM135" s="303">
        <f t="shared" ref="AM135:AX135" si="348">SUBTOTAL(9,AM126:AM134)</f>
        <v>37.18</v>
      </c>
      <c r="AN135" s="304">
        <f t="shared" si="348"/>
        <v>49.43</v>
      </c>
      <c r="AO135" s="304">
        <f t="shared" si="348"/>
        <v>80.420000000000016</v>
      </c>
      <c r="AP135" s="305">
        <f t="shared" si="348"/>
        <v>159.55000000000001</v>
      </c>
      <c r="AQ135" s="303">
        <f t="shared" si="348"/>
        <v>38.28</v>
      </c>
      <c r="AR135" s="304">
        <f t="shared" si="348"/>
        <v>63.400000000000006</v>
      </c>
      <c r="AS135" s="304">
        <f t="shared" si="348"/>
        <v>121.24000000000002</v>
      </c>
      <c r="AT135" s="304">
        <f>SUBTOTAL(9,AT126:AT134)</f>
        <v>185.07</v>
      </c>
      <c r="AU135" s="303">
        <f t="shared" si="348"/>
        <v>39.15</v>
      </c>
      <c r="AV135" s="304">
        <f t="shared" si="348"/>
        <v>58.019999999999996</v>
      </c>
      <c r="AW135" s="304">
        <f t="shared" si="348"/>
        <v>129.49</v>
      </c>
      <c r="AX135" s="305">
        <f t="shared" si="348"/>
        <v>206.42</v>
      </c>
      <c r="AY135" s="303">
        <f>AM135+AQ135+AU135</f>
        <v>114.61000000000001</v>
      </c>
      <c r="AZ135" s="304">
        <f t="shared" si="289"/>
        <v>170.85000000000002</v>
      </c>
      <c r="BA135" s="304">
        <f t="shared" si="290"/>
        <v>331.15000000000003</v>
      </c>
      <c r="BB135" s="305">
        <f>AP135+AT135+AX135</f>
        <v>551.04</v>
      </c>
      <c r="BC135" s="303">
        <f t="shared" ref="BC135:BN135" si="349">SUBTOTAL(9,BC126:BC134)</f>
        <v>56.019999999999996</v>
      </c>
      <c r="BD135" s="304">
        <f t="shared" si="349"/>
        <v>70.2</v>
      </c>
      <c r="BE135" s="304">
        <f t="shared" si="349"/>
        <v>133.38999999999999</v>
      </c>
      <c r="BF135" s="305">
        <f t="shared" si="349"/>
        <v>255.72000000000003</v>
      </c>
      <c r="BG135" s="303">
        <f t="shared" si="349"/>
        <v>42.480000000000004</v>
      </c>
      <c r="BH135" s="304">
        <f t="shared" si="349"/>
        <v>68.91</v>
      </c>
      <c r="BI135" s="304">
        <f t="shared" si="349"/>
        <v>165.53</v>
      </c>
      <c r="BJ135" s="305">
        <f t="shared" si="349"/>
        <v>239.29</v>
      </c>
      <c r="BK135" s="303">
        <f t="shared" si="349"/>
        <v>47.6</v>
      </c>
      <c r="BL135" s="304">
        <f t="shared" si="349"/>
        <v>53.66</v>
      </c>
      <c r="BM135" s="304">
        <f t="shared" si="349"/>
        <v>106.78999999999998</v>
      </c>
      <c r="BN135" s="305">
        <f t="shared" si="349"/>
        <v>186.56</v>
      </c>
      <c r="BO135" s="303">
        <f>BC135+BG135+BK135</f>
        <v>146.1</v>
      </c>
      <c r="BP135" s="304">
        <f t="shared" si="305"/>
        <v>192.77</v>
      </c>
      <c r="BQ135" s="304">
        <f t="shared" si="306"/>
        <v>405.70999999999992</v>
      </c>
      <c r="BR135" s="325">
        <f t="shared" ref="BR135" si="350">BF135+BJ135+BN135</f>
        <v>681.56999999999994</v>
      </c>
      <c r="BS135" s="307"/>
      <c r="BT135" s="303">
        <f t="shared" si="307"/>
        <v>63.18</v>
      </c>
      <c r="BU135" s="304">
        <f t="shared" si="308"/>
        <v>46.959999999999994</v>
      </c>
      <c r="BV135" s="305">
        <f t="shared" si="309"/>
        <v>268.51</v>
      </c>
      <c r="BW135" s="303">
        <f t="shared" si="310"/>
        <v>66.56</v>
      </c>
      <c r="BX135" s="304">
        <f t="shared" si="311"/>
        <v>107.35300000000004</v>
      </c>
      <c r="BY135" s="305">
        <f t="shared" si="312"/>
        <v>307.14699999999999</v>
      </c>
      <c r="BZ135" s="303">
        <f t="shared" si="313"/>
        <v>56.240000000000009</v>
      </c>
      <c r="CA135" s="304">
        <f t="shared" si="314"/>
        <v>160.30000000000001</v>
      </c>
      <c r="CB135" s="305">
        <f>BB135-BA135</f>
        <v>219.88999999999993</v>
      </c>
      <c r="CC135" s="303">
        <f t="shared" si="315"/>
        <v>46.670000000000016</v>
      </c>
      <c r="CD135" s="304">
        <f t="shared" si="316"/>
        <v>212.93999999999991</v>
      </c>
      <c r="CE135" s="325">
        <f t="shared" ref="CE135" si="351">BR135-BQ135</f>
        <v>275.86</v>
      </c>
      <c r="CF135" s="307"/>
      <c r="CG135" s="303">
        <f t="shared" si="317"/>
        <v>31.770000000000003</v>
      </c>
      <c r="CH135" s="304">
        <f t="shared" si="318"/>
        <v>94.95</v>
      </c>
      <c r="CI135" s="304">
        <f t="shared" si="319"/>
        <v>141.91</v>
      </c>
      <c r="CJ135" s="305">
        <f t="shared" si="320"/>
        <v>410.42</v>
      </c>
      <c r="CK135" s="303">
        <f t="shared" si="321"/>
        <v>113.69</v>
      </c>
      <c r="CL135" s="304">
        <f t="shared" si="322"/>
        <v>243.43</v>
      </c>
      <c r="CM135" s="304">
        <f t="shared" si="323"/>
        <v>397.74299999999999</v>
      </c>
      <c r="CN135" s="305">
        <f t="shared" si="324"/>
        <v>973.4</v>
      </c>
      <c r="CO135" s="303">
        <f t="shared" si="325"/>
        <v>228.3</v>
      </c>
      <c r="CP135" s="304">
        <f t="shared" si="326"/>
        <v>414.28</v>
      </c>
      <c r="CQ135" s="304">
        <f t="shared" si="327"/>
        <v>728.89300000000003</v>
      </c>
      <c r="CR135" s="304">
        <f>CN135+AP135+AT135+AX135</f>
        <v>1524.44</v>
      </c>
      <c r="CS135" s="303">
        <f t="shared" si="328"/>
        <v>374.40000000000003</v>
      </c>
      <c r="CT135" s="304">
        <f t="shared" si="329"/>
        <v>607.04999999999995</v>
      </c>
      <c r="CU135" s="304">
        <f>CQ135+BE135+BI135+BM135</f>
        <v>1134.6030000000001</v>
      </c>
      <c r="CV135" s="304">
        <f>CR135+BF135+BJ135+BN135</f>
        <v>2206.0100000000002</v>
      </c>
      <c r="CW135" s="307"/>
      <c r="CX135" s="330">
        <f t="shared" si="331"/>
        <v>0.21225280598610369</v>
      </c>
      <c r="CY135" s="331">
        <f>CH135/D135</f>
        <v>0.45624909903416466</v>
      </c>
      <c r="CZ135" s="331">
        <f t="shared" si="333"/>
        <v>0.6818989957234155</v>
      </c>
      <c r="DA135" s="332">
        <f t="shared" si="334"/>
        <v>1.972130123492384</v>
      </c>
      <c r="DB135" s="345">
        <f t="shared" si="335"/>
        <v>0.75955371459112764</v>
      </c>
      <c r="DC135" s="331">
        <f t="shared" si="336"/>
        <v>1.1697179376291384</v>
      </c>
      <c r="DD135" s="331">
        <f t="shared" si="337"/>
        <v>1.9112152227187547</v>
      </c>
      <c r="DE135" s="332">
        <f t="shared" si="338"/>
        <v>4.6773341021575128</v>
      </c>
      <c r="DF135" s="330">
        <f t="shared" si="339"/>
        <v>1.5252538749331908</v>
      </c>
      <c r="DG135" s="331">
        <f t="shared" si="340"/>
        <v>1.9906780068233145</v>
      </c>
      <c r="DH135" s="331">
        <f t="shared" si="341"/>
        <v>3.502441016769978</v>
      </c>
      <c r="DI135" s="332">
        <f t="shared" si="341"/>
        <v>7.3251645764259292</v>
      </c>
      <c r="DJ135" s="330">
        <f t="shared" si="342"/>
        <v>2.501336183858899</v>
      </c>
      <c r="DK135" s="331">
        <f t="shared" si="343"/>
        <v>2.9169669886117919</v>
      </c>
      <c r="DL135" s="331">
        <f t="shared" si="344"/>
        <v>5.451938878477729</v>
      </c>
      <c r="DM135" s="611">
        <f t="shared" si="344"/>
        <v>10.60021142664937</v>
      </c>
    </row>
    <row r="136" spans="1:117" s="285" customFormat="1" ht="16.5" thickBot="1" x14ac:dyDescent="0.3">
      <c r="A136" s="310"/>
      <c r="B136" s="310"/>
      <c r="C136" s="372"/>
      <c r="D136" s="372"/>
      <c r="E136" s="372"/>
      <c r="F136" s="311"/>
      <c r="CX136" s="312"/>
      <c r="CY136" s="312"/>
      <c r="CZ136" s="312"/>
      <c r="DA136" s="312"/>
      <c r="DM136" s="365"/>
    </row>
    <row r="137" spans="1:117" s="285" customFormat="1" ht="15.75" hidden="1" x14ac:dyDescent="0.25">
      <c r="A137" s="310"/>
      <c r="B137" s="310"/>
      <c r="C137" s="372"/>
      <c r="D137" s="372"/>
      <c r="E137" s="372"/>
      <c r="F137" s="311"/>
      <c r="CX137" s="312"/>
      <c r="CY137" s="312"/>
      <c r="CZ137" s="312"/>
      <c r="DA137" s="312"/>
      <c r="DM137" s="365"/>
    </row>
    <row r="138" spans="1:117" s="285" customFormat="1" ht="15.75" hidden="1" thickBot="1" x14ac:dyDescent="0.3">
      <c r="A138" s="285" t="s">
        <v>77</v>
      </c>
      <c r="C138" s="365"/>
      <c r="D138" s="365"/>
      <c r="E138" s="365"/>
      <c r="F138" s="365"/>
      <c r="CX138" s="312"/>
      <c r="CY138" s="312"/>
      <c r="CZ138" s="312"/>
      <c r="DA138" s="312"/>
      <c r="DM138" s="365"/>
    </row>
    <row r="139" spans="1:117" s="285" customFormat="1" ht="15.75" hidden="1" customHeight="1" thickBot="1" x14ac:dyDescent="0.3">
      <c r="A139" s="287"/>
      <c r="B139" s="287"/>
      <c r="C139" s="366"/>
      <c r="D139" s="366"/>
      <c r="E139" s="366"/>
      <c r="F139" s="366"/>
      <c r="S139" s="501" t="s">
        <v>62</v>
      </c>
      <c r="T139" s="502"/>
      <c r="U139" s="502"/>
      <c r="V139" s="503"/>
      <c r="AI139" s="501" t="s">
        <v>59</v>
      </c>
      <c r="AJ139" s="502"/>
      <c r="AK139" s="502"/>
      <c r="AL139" s="503"/>
      <c r="AY139" s="501" t="s">
        <v>56</v>
      </c>
      <c r="AZ139" s="502"/>
      <c r="BA139" s="502"/>
      <c r="BB139" s="503"/>
      <c r="BO139" s="501" t="s">
        <v>53</v>
      </c>
      <c r="BP139" s="502"/>
      <c r="BQ139" s="502"/>
      <c r="BR139" s="503"/>
      <c r="BS139" s="292"/>
      <c r="BT139" s="507" t="s">
        <v>61</v>
      </c>
      <c r="BU139" s="508"/>
      <c r="BV139" s="509"/>
      <c r="BW139" s="507" t="s">
        <v>58</v>
      </c>
      <c r="BX139" s="508"/>
      <c r="BY139" s="509"/>
      <c r="BZ139" s="507" t="s">
        <v>55</v>
      </c>
      <c r="CA139" s="508"/>
      <c r="CB139" s="509"/>
      <c r="CC139" s="507" t="s">
        <v>52</v>
      </c>
      <c r="CD139" s="508"/>
      <c r="CE139" s="509"/>
      <c r="CF139" s="292"/>
      <c r="CG139" s="537" t="s">
        <v>60</v>
      </c>
      <c r="CH139" s="538"/>
      <c r="CI139" s="538"/>
      <c r="CJ139" s="539"/>
      <c r="CK139" s="513" t="s">
        <v>57</v>
      </c>
      <c r="CL139" s="514"/>
      <c r="CM139" s="514"/>
      <c r="CN139" s="515"/>
      <c r="CO139" s="513" t="s">
        <v>54</v>
      </c>
      <c r="CP139" s="514"/>
      <c r="CQ139" s="514"/>
      <c r="CR139" s="515"/>
      <c r="CS139" s="513" t="s">
        <v>51</v>
      </c>
      <c r="CT139" s="514"/>
      <c r="CU139" s="514"/>
      <c r="CV139" s="515"/>
      <c r="CW139" s="292"/>
      <c r="CX139" s="554" t="s">
        <v>63</v>
      </c>
      <c r="CY139" s="555"/>
      <c r="CZ139" s="555"/>
      <c r="DA139" s="556"/>
      <c r="DB139" s="560" t="s">
        <v>66</v>
      </c>
      <c r="DC139" s="561"/>
      <c r="DD139" s="561"/>
      <c r="DE139" s="562"/>
      <c r="DF139" s="560" t="s">
        <v>65</v>
      </c>
      <c r="DG139" s="561"/>
      <c r="DH139" s="561"/>
      <c r="DI139" s="562"/>
      <c r="DJ139" s="560" t="s">
        <v>64</v>
      </c>
      <c r="DK139" s="561"/>
      <c r="DL139" s="561"/>
      <c r="DM139" s="562"/>
    </row>
    <row r="140" spans="1:117" s="286" customFormat="1" hidden="1" x14ac:dyDescent="0.25">
      <c r="A140" s="523" t="s">
        <v>3</v>
      </c>
      <c r="B140" s="524"/>
      <c r="C140" s="535" t="s">
        <v>68</v>
      </c>
      <c r="D140" s="535" t="s">
        <v>69</v>
      </c>
      <c r="E140" s="535" t="s">
        <v>70</v>
      </c>
      <c r="F140" s="535" t="s">
        <v>67</v>
      </c>
      <c r="G140" s="498" t="s">
        <v>37</v>
      </c>
      <c r="H140" s="499"/>
      <c r="I140" s="499"/>
      <c r="J140" s="500"/>
      <c r="K140" s="498" t="s">
        <v>38</v>
      </c>
      <c r="L140" s="499"/>
      <c r="M140" s="499"/>
      <c r="N140" s="500"/>
      <c r="O140" s="498" t="s">
        <v>39</v>
      </c>
      <c r="P140" s="499"/>
      <c r="Q140" s="499"/>
      <c r="R140" s="519"/>
      <c r="S140" s="504"/>
      <c r="T140" s="505"/>
      <c r="U140" s="505"/>
      <c r="V140" s="506"/>
      <c r="W140" s="498" t="s">
        <v>40</v>
      </c>
      <c r="X140" s="499"/>
      <c r="Y140" s="499"/>
      <c r="Z140" s="500"/>
      <c r="AA140" s="498" t="s">
        <v>11</v>
      </c>
      <c r="AB140" s="499"/>
      <c r="AC140" s="499"/>
      <c r="AD140" s="500"/>
      <c r="AE140" s="498" t="s">
        <v>41</v>
      </c>
      <c r="AF140" s="499"/>
      <c r="AG140" s="499"/>
      <c r="AH140" s="500"/>
      <c r="AI140" s="504"/>
      <c r="AJ140" s="505"/>
      <c r="AK140" s="505"/>
      <c r="AL140" s="506"/>
      <c r="AM140" s="498" t="s">
        <v>42</v>
      </c>
      <c r="AN140" s="499"/>
      <c r="AO140" s="499"/>
      <c r="AP140" s="500"/>
      <c r="AQ140" s="498" t="s">
        <v>43</v>
      </c>
      <c r="AR140" s="499"/>
      <c r="AS140" s="499"/>
      <c r="AT140" s="500"/>
      <c r="AU140" s="498" t="s">
        <v>44</v>
      </c>
      <c r="AV140" s="499"/>
      <c r="AW140" s="499"/>
      <c r="AX140" s="500"/>
      <c r="AY140" s="504"/>
      <c r="AZ140" s="505"/>
      <c r="BA140" s="505"/>
      <c r="BB140" s="506"/>
      <c r="BC140" s="498" t="s">
        <v>45</v>
      </c>
      <c r="BD140" s="499"/>
      <c r="BE140" s="499"/>
      <c r="BF140" s="500"/>
      <c r="BG140" s="498" t="s">
        <v>46</v>
      </c>
      <c r="BH140" s="499"/>
      <c r="BI140" s="499"/>
      <c r="BJ140" s="500"/>
      <c r="BK140" s="498" t="s">
        <v>47</v>
      </c>
      <c r="BL140" s="499"/>
      <c r="BM140" s="499"/>
      <c r="BN140" s="500"/>
      <c r="BO140" s="504"/>
      <c r="BP140" s="505"/>
      <c r="BQ140" s="505"/>
      <c r="BR140" s="506"/>
      <c r="BS140" s="292"/>
      <c r="BT140" s="510"/>
      <c r="BU140" s="511"/>
      <c r="BV140" s="512"/>
      <c r="BW140" s="510"/>
      <c r="BX140" s="511"/>
      <c r="BY140" s="512"/>
      <c r="BZ140" s="510"/>
      <c r="CA140" s="511"/>
      <c r="CB140" s="512"/>
      <c r="CC140" s="510"/>
      <c r="CD140" s="511"/>
      <c r="CE140" s="512"/>
      <c r="CF140" s="292"/>
      <c r="CG140" s="540"/>
      <c r="CH140" s="541"/>
      <c r="CI140" s="541"/>
      <c r="CJ140" s="542"/>
      <c r="CK140" s="516"/>
      <c r="CL140" s="517"/>
      <c r="CM140" s="517"/>
      <c r="CN140" s="518"/>
      <c r="CO140" s="516"/>
      <c r="CP140" s="517"/>
      <c r="CQ140" s="517"/>
      <c r="CR140" s="518"/>
      <c r="CS140" s="516"/>
      <c r="CT140" s="517"/>
      <c r="CU140" s="517"/>
      <c r="CV140" s="518"/>
      <c r="CW140" s="292"/>
      <c r="CX140" s="557"/>
      <c r="CY140" s="558"/>
      <c r="CZ140" s="558"/>
      <c r="DA140" s="559"/>
      <c r="DB140" s="563"/>
      <c r="DC140" s="564"/>
      <c r="DD140" s="564"/>
      <c r="DE140" s="565"/>
      <c r="DF140" s="563"/>
      <c r="DG140" s="564"/>
      <c r="DH140" s="564"/>
      <c r="DI140" s="565"/>
      <c r="DJ140" s="563"/>
      <c r="DK140" s="564"/>
      <c r="DL140" s="564"/>
      <c r="DM140" s="565"/>
    </row>
    <row r="141" spans="1:117" s="286" customFormat="1" ht="15.75" hidden="1" thickBot="1" x14ac:dyDescent="0.3">
      <c r="A141" s="525"/>
      <c r="B141" s="526"/>
      <c r="C141" s="536"/>
      <c r="D141" s="536"/>
      <c r="E141" s="536"/>
      <c r="F141" s="536"/>
      <c r="G141" s="288">
        <v>2022</v>
      </c>
      <c r="H141" s="289">
        <v>2023</v>
      </c>
      <c r="I141" s="289">
        <v>2024</v>
      </c>
      <c r="J141" s="290">
        <v>2025</v>
      </c>
      <c r="K141" s="288">
        <v>2022</v>
      </c>
      <c r="L141" s="289">
        <v>2023</v>
      </c>
      <c r="M141" s="289">
        <v>2024</v>
      </c>
      <c r="N141" s="290">
        <v>2025</v>
      </c>
      <c r="O141" s="288">
        <v>2022</v>
      </c>
      <c r="P141" s="289">
        <v>2023</v>
      </c>
      <c r="Q141" s="289">
        <v>2024</v>
      </c>
      <c r="R141" s="291">
        <v>2025</v>
      </c>
      <c r="S141" s="288">
        <v>2022</v>
      </c>
      <c r="T141" s="289">
        <v>2023</v>
      </c>
      <c r="U141" s="289">
        <v>2024</v>
      </c>
      <c r="V141" s="290">
        <v>2025</v>
      </c>
      <c r="W141" s="288">
        <v>2022</v>
      </c>
      <c r="X141" s="289">
        <v>2023</v>
      </c>
      <c r="Y141" s="289">
        <v>2024</v>
      </c>
      <c r="Z141" s="290">
        <v>2025</v>
      </c>
      <c r="AA141" s="288">
        <v>2022</v>
      </c>
      <c r="AB141" s="289">
        <v>2023</v>
      </c>
      <c r="AC141" s="289">
        <v>2024</v>
      </c>
      <c r="AD141" s="290">
        <v>2025</v>
      </c>
      <c r="AE141" s="288">
        <v>2022</v>
      </c>
      <c r="AF141" s="289">
        <v>2023</v>
      </c>
      <c r="AG141" s="289">
        <v>2024</v>
      </c>
      <c r="AH141" s="290">
        <v>2025</v>
      </c>
      <c r="AI141" s="288">
        <v>2022</v>
      </c>
      <c r="AJ141" s="289">
        <v>2023</v>
      </c>
      <c r="AK141" s="289">
        <v>2024</v>
      </c>
      <c r="AL141" s="290">
        <v>2025</v>
      </c>
      <c r="AM141" s="288">
        <v>2022</v>
      </c>
      <c r="AN141" s="289">
        <v>2023</v>
      </c>
      <c r="AO141" s="289">
        <v>2024</v>
      </c>
      <c r="AP141" s="290">
        <v>2025</v>
      </c>
      <c r="AQ141" s="288">
        <v>2022</v>
      </c>
      <c r="AR141" s="289">
        <v>2023</v>
      </c>
      <c r="AS141" s="289">
        <v>2024</v>
      </c>
      <c r="AT141" s="290">
        <v>2025</v>
      </c>
      <c r="AU141" s="288">
        <v>2022</v>
      </c>
      <c r="AV141" s="289">
        <v>2023</v>
      </c>
      <c r="AW141" s="289">
        <v>2024</v>
      </c>
      <c r="AX141" s="290">
        <v>2025</v>
      </c>
      <c r="AY141" s="288">
        <v>2022</v>
      </c>
      <c r="AZ141" s="289">
        <v>2023</v>
      </c>
      <c r="BA141" s="289">
        <v>2024</v>
      </c>
      <c r="BB141" s="290">
        <v>2025</v>
      </c>
      <c r="BC141" s="288">
        <v>2022</v>
      </c>
      <c r="BD141" s="289">
        <v>2023</v>
      </c>
      <c r="BE141" s="289">
        <v>2024</v>
      </c>
      <c r="BF141" s="290">
        <v>2025</v>
      </c>
      <c r="BG141" s="288">
        <v>2022</v>
      </c>
      <c r="BH141" s="289">
        <v>2023</v>
      </c>
      <c r="BI141" s="289">
        <v>2024</v>
      </c>
      <c r="BJ141" s="290">
        <v>2025</v>
      </c>
      <c r="BK141" s="288">
        <v>2022</v>
      </c>
      <c r="BL141" s="289">
        <v>2023</v>
      </c>
      <c r="BM141" s="289">
        <v>2024</v>
      </c>
      <c r="BN141" s="290">
        <v>2025</v>
      </c>
      <c r="BO141" s="288">
        <v>2022</v>
      </c>
      <c r="BP141" s="289">
        <v>2023</v>
      </c>
      <c r="BQ141" s="289">
        <v>2024</v>
      </c>
      <c r="BR141" s="290">
        <v>2025</v>
      </c>
      <c r="BT141" s="288" t="s">
        <v>48</v>
      </c>
      <c r="BU141" s="289" t="s">
        <v>49</v>
      </c>
      <c r="BV141" s="290" t="s">
        <v>50</v>
      </c>
      <c r="BW141" s="288" t="s">
        <v>48</v>
      </c>
      <c r="BX141" s="289" t="s">
        <v>49</v>
      </c>
      <c r="BY141" s="290" t="s">
        <v>50</v>
      </c>
      <c r="BZ141" s="288" t="s">
        <v>48</v>
      </c>
      <c r="CA141" s="289" t="s">
        <v>49</v>
      </c>
      <c r="CB141" s="290" t="s">
        <v>50</v>
      </c>
      <c r="CC141" s="288" t="s">
        <v>48</v>
      </c>
      <c r="CD141" s="289" t="s">
        <v>49</v>
      </c>
      <c r="CE141" s="290" t="s">
        <v>50</v>
      </c>
      <c r="CG141" s="288">
        <v>2022</v>
      </c>
      <c r="CH141" s="289">
        <v>2023</v>
      </c>
      <c r="CI141" s="289">
        <v>2024</v>
      </c>
      <c r="CJ141" s="290">
        <v>2025</v>
      </c>
      <c r="CK141" s="288">
        <v>2022</v>
      </c>
      <c r="CL141" s="289">
        <v>2023</v>
      </c>
      <c r="CM141" s="289">
        <v>2024</v>
      </c>
      <c r="CN141" s="290">
        <v>2025</v>
      </c>
      <c r="CO141" s="288">
        <v>2022</v>
      </c>
      <c r="CP141" s="289">
        <v>2023</v>
      </c>
      <c r="CQ141" s="289">
        <v>2024</v>
      </c>
      <c r="CR141" s="290">
        <v>2025</v>
      </c>
      <c r="CS141" s="288">
        <v>2022</v>
      </c>
      <c r="CT141" s="289">
        <v>2023</v>
      </c>
      <c r="CU141" s="289">
        <v>2024</v>
      </c>
      <c r="CV141" s="290">
        <v>2025</v>
      </c>
      <c r="CX141" s="288">
        <v>2022</v>
      </c>
      <c r="CY141" s="289">
        <v>2023</v>
      </c>
      <c r="CZ141" s="289">
        <v>2024</v>
      </c>
      <c r="DA141" s="290">
        <v>2025</v>
      </c>
      <c r="DB141" s="288">
        <v>2022</v>
      </c>
      <c r="DC141" s="289">
        <v>2023</v>
      </c>
      <c r="DD141" s="289">
        <v>2024</v>
      </c>
      <c r="DE141" s="290">
        <v>2025</v>
      </c>
      <c r="DF141" s="288">
        <v>2022</v>
      </c>
      <c r="DG141" s="289">
        <v>2023</v>
      </c>
      <c r="DH141" s="289">
        <v>2024</v>
      </c>
      <c r="DI141" s="290">
        <v>2025</v>
      </c>
      <c r="DJ141" s="288">
        <v>2022</v>
      </c>
      <c r="DK141" s="289">
        <v>2023</v>
      </c>
      <c r="DL141" s="289">
        <v>2024</v>
      </c>
      <c r="DM141" s="608">
        <v>2025</v>
      </c>
    </row>
    <row r="142" spans="1:117" ht="15.75" hidden="1" thickBot="1" x14ac:dyDescent="0.3">
      <c r="A142" s="347" t="s">
        <v>26</v>
      </c>
      <c r="B142" s="348">
        <v>105</v>
      </c>
      <c r="C142" s="386">
        <v>50</v>
      </c>
      <c r="D142" s="386">
        <v>50</v>
      </c>
      <c r="E142" s="381">
        <v>50</v>
      </c>
      <c r="F142" s="381">
        <v>50</v>
      </c>
      <c r="G142" s="349">
        <f>VLOOKUP(B142,year2022to23,72,FALSE)</f>
        <v>0</v>
      </c>
      <c r="H142" s="350">
        <f>VLOOKUP(B142,year2022to23,132,FALSE)</f>
        <v>0</v>
      </c>
      <c r="I142" s="350">
        <f>VLOOKUP(B142,year2022to23,192,FALSE)</f>
        <v>0</v>
      </c>
      <c r="J142" s="351">
        <f>VLOOKUP(B142,year2022to23,252,FALSE)</f>
        <v>0</v>
      </c>
      <c r="K142" s="349">
        <f>VLOOKUP(B142,year2022to23,77,FALSE)</f>
        <v>0</v>
      </c>
      <c r="L142" s="350">
        <f>VLOOKUP(B142,year2022to23,137,FALSE)</f>
        <v>0</v>
      </c>
      <c r="M142" s="350">
        <f>VLOOKUP(B142,year2022to23,197,FALSE)</f>
        <v>0</v>
      </c>
      <c r="N142" s="351">
        <f>VLOOKUP(B142,year2022to23,257,FALSE)</f>
        <v>0</v>
      </c>
      <c r="O142" s="349">
        <f>VLOOKUP(B142,year2022to23,82,FALSE)</f>
        <v>0</v>
      </c>
      <c r="P142" s="350">
        <f>VLOOKUP(B142,year2022to23,142,FALSE)</f>
        <v>0</v>
      </c>
      <c r="Q142" s="350">
        <f>VLOOKUP(B142,year2022to23,202,FALSE)</f>
        <v>0.15</v>
      </c>
      <c r="R142" s="352">
        <f>VLOOKUP(B142,year2022to23,262,FALSE)</f>
        <v>0</v>
      </c>
      <c r="S142" s="349">
        <f t="shared" ref="S142:S143" si="352">G142+K142+O142</f>
        <v>0</v>
      </c>
      <c r="T142" s="350">
        <f t="shared" ref="T142:T144" si="353">H142+L142+P142</f>
        <v>0</v>
      </c>
      <c r="U142" s="350">
        <f t="shared" ref="U142:U144" si="354">I142+M142+Q142</f>
        <v>0.15</v>
      </c>
      <c r="V142" s="351">
        <f t="shared" ref="V142:V144" si="355">J142+N142+R142</f>
        <v>0</v>
      </c>
      <c r="W142" s="349">
        <f>VLOOKUP(B142,year2022to23,87,FALSE)</f>
        <v>0</v>
      </c>
      <c r="X142" s="350">
        <f>VLOOKUP(B142,year2022to23,147,FALSE)</f>
        <v>0</v>
      </c>
      <c r="Y142" s="350">
        <f>VLOOKUP(B142,year2022to23,207,FALSE)</f>
        <v>0</v>
      </c>
      <c r="Z142" s="351">
        <f>VLOOKUP(B142,year2022to23,267,FALSE)</f>
        <v>0</v>
      </c>
      <c r="AA142" s="349">
        <f>VLOOKUP(B142,year2022to23,92,FALSE)</f>
        <v>0</v>
      </c>
      <c r="AB142" s="350">
        <f>VLOOKUP(B142,year2022to23,152,FALSE)</f>
        <v>0</v>
      </c>
      <c r="AC142" s="350">
        <f>VLOOKUP(B142,year2022to23,212,FALSE)</f>
        <v>0</v>
      </c>
      <c r="AD142" s="351">
        <f>VLOOKUP(B142,year2022to23,272,FALSE)</f>
        <v>0</v>
      </c>
      <c r="AE142" s="349">
        <f>VLOOKUP(B142,year2022to23,97,FALSE)</f>
        <v>0</v>
      </c>
      <c r="AF142" s="350">
        <f>VLOOKUP(B142,year2022to23,157,FALSE)</f>
        <v>0</v>
      </c>
      <c r="AG142" s="350">
        <f>VLOOKUP(B142,year2022to23,217,FALSE)</f>
        <v>0</v>
      </c>
      <c r="AH142" s="351">
        <f>VLOOKUP(B142,year2022to23,277,FALSE)</f>
        <v>0</v>
      </c>
      <c r="AI142" s="349">
        <f t="shared" ref="AI142:AI143" si="356">W142+AA142+AE142</f>
        <v>0</v>
      </c>
      <c r="AJ142" s="350">
        <f t="shared" ref="AJ142:AJ144" si="357">X142+AB142+AF142</f>
        <v>0</v>
      </c>
      <c r="AK142" s="350">
        <f t="shared" ref="AK142:AK144" si="358">Y142+AC142+AG142</f>
        <v>0</v>
      </c>
      <c r="AL142" s="351">
        <f t="shared" ref="AL142:AL144" si="359">Z142+AD142+AH142</f>
        <v>0</v>
      </c>
      <c r="AM142" s="349">
        <f>VLOOKUP(B142,year2022to23,102,FALSE)</f>
        <v>0</v>
      </c>
      <c r="AN142" s="350">
        <f>VLOOKUP(B142,year2022to23,162,FALSE)</f>
        <v>0</v>
      </c>
      <c r="AO142" s="350">
        <f>VLOOKUP(B142,year2022to23,222,FALSE)</f>
        <v>0</v>
      </c>
      <c r="AP142" s="351">
        <f>VLOOKUP(B142,year2022to23,282,FALSE)</f>
        <v>0</v>
      </c>
      <c r="AQ142" s="349">
        <f>VLOOKUP(B142,year2022to23,107,FALSE)</f>
        <v>0</v>
      </c>
      <c r="AR142" s="350">
        <f>VLOOKUP(B142,year2022to23,167,FALSE)</f>
        <v>0</v>
      </c>
      <c r="AS142" s="350">
        <f>VLOOKUP(B142,year2022to23,227,FALSE)</f>
        <v>0</v>
      </c>
      <c r="AT142" s="351">
        <f>VLOOKUP(B142,year2022to23,287,FALSE)</f>
        <v>0</v>
      </c>
      <c r="AU142" s="349">
        <f>VLOOKUP(B142,year2022to23,112,FALSE)</f>
        <v>3.05</v>
      </c>
      <c r="AV142" s="350">
        <f>VLOOKUP(B142,year2022to23,172,FALSE)</f>
        <v>0</v>
      </c>
      <c r="AW142" s="350">
        <f>VLOOKUP(B142,year2022to23,232,FALSE)</f>
        <v>0</v>
      </c>
      <c r="AX142" s="283"/>
      <c r="AY142" s="349">
        <f t="shared" ref="AY142:AY143" si="360">AM142+AQ142+AU142</f>
        <v>3.05</v>
      </c>
      <c r="AZ142" s="350">
        <f t="shared" ref="AZ142:AZ144" si="361">AN142+AR142+AV142</f>
        <v>0</v>
      </c>
      <c r="BA142" s="350">
        <f t="shared" ref="BA142:BA144" si="362">AO142+AS142+AW142</f>
        <v>0</v>
      </c>
      <c r="BB142" s="283">
        <f t="shared" ref="BB142:BB144" si="363">AP142+AT142+AX142</f>
        <v>0</v>
      </c>
      <c r="BC142" s="349">
        <f>VLOOKUP(B142,year2022to23,117,FALSE)</f>
        <v>0</v>
      </c>
      <c r="BD142" s="350">
        <f>VLOOKUP(B142,year2022to23,177,FALSE)</f>
        <v>0</v>
      </c>
      <c r="BE142" s="350">
        <f>VLOOKUP(B142,year2022to23,237,FALSE)</f>
        <v>0</v>
      </c>
      <c r="BF142" s="283"/>
      <c r="BG142" s="349">
        <f>VLOOKUP(B142,year2022to23,122,FALSE)</f>
        <v>0</v>
      </c>
      <c r="BH142" s="350">
        <f>VLOOKUP(B142,year2022to23,182,FALSE)</f>
        <v>0</v>
      </c>
      <c r="BI142" s="350">
        <f>VLOOKUP(B142,year2022to23,242,FALSE)</f>
        <v>0</v>
      </c>
      <c r="BJ142" s="283"/>
      <c r="BK142" s="349">
        <f>VLOOKUP(B142,year2022to23,127,FALSE)</f>
        <v>0</v>
      </c>
      <c r="BL142" s="350">
        <f>VLOOKUP(B142,year2022to23,187,FALSE)</f>
        <v>0</v>
      </c>
      <c r="BM142" s="350">
        <f>VLOOKUP(B142,year2022to23,247,FALSE)</f>
        <v>0</v>
      </c>
      <c r="BN142" s="283"/>
      <c r="BO142" s="349">
        <f t="shared" ref="BO142:BO143" si="364">BC142+BG142+BK142</f>
        <v>0</v>
      </c>
      <c r="BP142" s="350">
        <f t="shared" ref="BP142:BP144" si="365">BD142+BH142+BL142</f>
        <v>0</v>
      </c>
      <c r="BQ142" s="350">
        <f t="shared" ref="BQ142:BQ144" si="366">BE142+BI142+BM142</f>
        <v>0</v>
      </c>
      <c r="BR142" s="283">
        <f t="shared" ref="BR142:BR144" si="367">BF142+BJ142+BN142</f>
        <v>0</v>
      </c>
      <c r="BS142" s="353"/>
      <c r="BT142" s="349">
        <f t="shared" ref="BT142:BV144" si="368">T142-S142</f>
        <v>0</v>
      </c>
      <c r="BU142" s="350">
        <f t="shared" si="368"/>
        <v>0.15</v>
      </c>
      <c r="BV142" s="351">
        <f t="shared" si="368"/>
        <v>-0.15</v>
      </c>
      <c r="BW142" s="349">
        <f t="shared" ref="BW142:BY144" si="369">AJ142-AI142</f>
        <v>0</v>
      </c>
      <c r="BX142" s="350">
        <f t="shared" si="369"/>
        <v>0</v>
      </c>
      <c r="BY142" s="351">
        <f t="shared" si="369"/>
        <v>0</v>
      </c>
      <c r="BZ142" s="349">
        <f t="shared" ref="BZ142:CB144" si="370">AZ142-AY142</f>
        <v>-3.05</v>
      </c>
      <c r="CA142" s="350">
        <f t="shared" si="370"/>
        <v>0</v>
      </c>
      <c r="CB142" s="283">
        <f t="shared" si="370"/>
        <v>0</v>
      </c>
      <c r="CC142" s="349">
        <f t="shared" ref="CC142:CC144" si="371">BP142-BO142</f>
        <v>0</v>
      </c>
      <c r="CD142" s="350">
        <f t="shared" ref="CD142:CD144" si="372">BQ142-BP142</f>
        <v>0</v>
      </c>
      <c r="CE142" s="324">
        <f t="shared" ref="CE142:CE144" si="373">BR142-BQ142</f>
        <v>0</v>
      </c>
      <c r="CF142" s="353"/>
      <c r="CG142" s="349">
        <f t="shared" ref="CG142:CJ144" si="374">G142+K142+O142</f>
        <v>0</v>
      </c>
      <c r="CH142" s="350">
        <f t="shared" si="374"/>
        <v>0</v>
      </c>
      <c r="CI142" s="350">
        <f t="shared" si="374"/>
        <v>0.15</v>
      </c>
      <c r="CJ142" s="351">
        <f t="shared" si="374"/>
        <v>0</v>
      </c>
      <c r="CK142" s="349">
        <f t="shared" ref="CK142:CN144" si="375">CG142+W142+AA142+AE142</f>
        <v>0</v>
      </c>
      <c r="CL142" s="350">
        <f t="shared" si="375"/>
        <v>0</v>
      </c>
      <c r="CM142" s="350">
        <f t="shared" si="375"/>
        <v>0.15</v>
      </c>
      <c r="CN142" s="351">
        <f t="shared" si="375"/>
        <v>0</v>
      </c>
      <c r="CO142" s="349">
        <f t="shared" ref="CO142:CR144" si="376">CK142+AM142+AQ142+AU142</f>
        <v>3.05</v>
      </c>
      <c r="CP142" s="350">
        <f t="shared" si="376"/>
        <v>0</v>
      </c>
      <c r="CQ142" s="350">
        <f t="shared" si="376"/>
        <v>0.15</v>
      </c>
      <c r="CR142" s="283">
        <f t="shared" si="376"/>
        <v>0</v>
      </c>
      <c r="CS142" s="349">
        <f t="shared" ref="CS142:CV144" si="377">CO142+BC142+BG142+BK142</f>
        <v>3.05</v>
      </c>
      <c r="CT142" s="350">
        <f t="shared" si="377"/>
        <v>0</v>
      </c>
      <c r="CU142" s="350">
        <f t="shared" si="377"/>
        <v>0.15</v>
      </c>
      <c r="CV142" s="283">
        <f t="shared" si="377"/>
        <v>0</v>
      </c>
      <c r="CW142" s="353"/>
      <c r="CX142" s="354">
        <f t="shared" ref="CX142:CX143" si="378">CG142/C142</f>
        <v>0</v>
      </c>
      <c r="CY142" s="355">
        <f t="shared" ref="CY142:CY143" si="379">CH142/D142</f>
        <v>0</v>
      </c>
      <c r="CZ142" s="355">
        <f t="shared" ref="CZ142:CZ144" si="380">CI142/E142</f>
        <v>3.0000000000000001E-3</v>
      </c>
      <c r="DA142" s="356">
        <f t="shared" ref="DA142:DA144" si="381">CJ142/F142</f>
        <v>0</v>
      </c>
      <c r="DB142" s="354">
        <f t="shared" ref="DB142:DB143" si="382">CK142/C142</f>
        <v>0</v>
      </c>
      <c r="DC142" s="355">
        <f t="shared" ref="DC142:DC143" si="383">CL142/D142</f>
        <v>0</v>
      </c>
      <c r="DD142" s="355">
        <f t="shared" ref="DD142:DD144" si="384">CM142/E142</f>
        <v>3.0000000000000001E-3</v>
      </c>
      <c r="DE142" s="356">
        <f t="shared" ref="DE142:DE144" si="385">CN142/F142</f>
        <v>0</v>
      </c>
      <c r="DF142" s="354">
        <f t="shared" ref="DF142:DF143" si="386">CO142/C142</f>
        <v>6.0999999999999999E-2</v>
      </c>
      <c r="DG142" s="355">
        <f t="shared" ref="DG142:DG143" si="387">CP142/D142</f>
        <v>0</v>
      </c>
      <c r="DH142" s="355">
        <f t="shared" ref="DH142:DI144" si="388">CQ142/E142</f>
        <v>3.0000000000000001E-3</v>
      </c>
      <c r="DI142" s="328">
        <f t="shared" si="388"/>
        <v>0</v>
      </c>
      <c r="DJ142" s="354">
        <f t="shared" ref="DJ142:DJ143" si="389">CS142/C142</f>
        <v>6.0999999999999999E-2</v>
      </c>
      <c r="DK142" s="355">
        <f t="shared" ref="DK142:DK143" si="390">CT142/D142</f>
        <v>0</v>
      </c>
      <c r="DL142" s="355">
        <f t="shared" ref="DL142:DL144" si="391">CU142/E142</f>
        <v>3.0000000000000001E-3</v>
      </c>
      <c r="DM142" s="328"/>
    </row>
    <row r="143" spans="1:117" ht="15.75" hidden="1" thickBot="1" x14ac:dyDescent="0.3">
      <c r="A143" s="347" t="s">
        <v>27</v>
      </c>
      <c r="B143" s="357">
        <v>114</v>
      </c>
      <c r="C143" s="387">
        <v>46</v>
      </c>
      <c r="D143" s="387">
        <v>46</v>
      </c>
      <c r="E143" s="382">
        <v>46</v>
      </c>
      <c r="F143" s="382">
        <v>46</v>
      </c>
      <c r="G143" s="358">
        <f>VLOOKUP(B143,year2022to23,72,FALSE)</f>
        <v>0</v>
      </c>
      <c r="H143" s="359">
        <f>VLOOKUP(B143,year2022to23,132,FALSE)</f>
        <v>0</v>
      </c>
      <c r="I143" s="359">
        <f>VLOOKUP(B143,year2022to23,192,FALSE)</f>
        <v>0</v>
      </c>
      <c r="J143" s="360">
        <f>VLOOKUP(B143,year2022to23,252,FALSE)</f>
        <v>0</v>
      </c>
      <c r="K143" s="358">
        <f>VLOOKUP(B143,year2022to23,77,FALSE)</f>
        <v>0</v>
      </c>
      <c r="L143" s="359">
        <f>VLOOKUP(B143,year2022to23,137,FALSE)</f>
        <v>0</v>
      </c>
      <c r="M143" s="359">
        <f>VLOOKUP(B143,year2022to23,197,FALSE)</f>
        <v>0</v>
      </c>
      <c r="N143" s="360">
        <f>VLOOKUP(B143,year2022to23,257,FALSE)</f>
        <v>0</v>
      </c>
      <c r="O143" s="358">
        <f>VLOOKUP(B143,year2022to23,82,FALSE)</f>
        <v>0</v>
      </c>
      <c r="P143" s="359">
        <f>VLOOKUP(B143,year2022to23,142,FALSE)</f>
        <v>0</v>
      </c>
      <c r="Q143" s="359">
        <f>VLOOKUP(B143,year2022to23,202,FALSE)</f>
        <v>0.15</v>
      </c>
      <c r="R143" s="361">
        <f>VLOOKUP(B143,year2022to23,262,FALSE)</f>
        <v>0</v>
      </c>
      <c r="S143" s="358">
        <f t="shared" si="352"/>
        <v>0</v>
      </c>
      <c r="T143" s="359">
        <f t="shared" si="353"/>
        <v>0</v>
      </c>
      <c r="U143" s="359">
        <f t="shared" si="354"/>
        <v>0.15</v>
      </c>
      <c r="V143" s="360">
        <f t="shared" si="355"/>
        <v>0</v>
      </c>
      <c r="W143" s="358">
        <f>VLOOKUP(B143,year2022to23,87,FALSE)</f>
        <v>0</v>
      </c>
      <c r="X143" s="359">
        <f>VLOOKUP(B143,year2022to23,147,FALSE)</f>
        <v>0</v>
      </c>
      <c r="Y143" s="359">
        <f>VLOOKUP(B143,year2022to23,207,FALSE)</f>
        <v>0</v>
      </c>
      <c r="Z143" s="360">
        <f>VLOOKUP(B143,year2022to23,267,FALSE)</f>
        <v>0</v>
      </c>
      <c r="AA143" s="358">
        <f>VLOOKUP(B143,year2022to23,92,FALSE)</f>
        <v>0</v>
      </c>
      <c r="AB143" s="359">
        <f>VLOOKUP(B143,year2022to23,152,FALSE)</f>
        <v>0</v>
      </c>
      <c r="AC143" s="359">
        <f>VLOOKUP(B143,year2022to23,212,FALSE)</f>
        <v>0</v>
      </c>
      <c r="AD143" s="360">
        <f>VLOOKUP(B143,year2022to23,272,FALSE)</f>
        <v>0</v>
      </c>
      <c r="AE143" s="358">
        <f>VLOOKUP(B143,year2022to23,97,FALSE)</f>
        <v>0</v>
      </c>
      <c r="AF143" s="359">
        <f>VLOOKUP(B143,year2022to23,157,FALSE)</f>
        <v>0</v>
      </c>
      <c r="AG143" s="359">
        <f>VLOOKUP(B143,year2022to23,217,FALSE)</f>
        <v>0</v>
      </c>
      <c r="AH143" s="360">
        <f>VLOOKUP(B143,year2022to23,277,FALSE)</f>
        <v>0</v>
      </c>
      <c r="AI143" s="358">
        <f t="shared" si="356"/>
        <v>0</v>
      </c>
      <c r="AJ143" s="359">
        <f t="shared" si="357"/>
        <v>0</v>
      </c>
      <c r="AK143" s="359">
        <f t="shared" si="358"/>
        <v>0</v>
      </c>
      <c r="AL143" s="360">
        <f t="shared" si="359"/>
        <v>0</v>
      </c>
      <c r="AM143" s="358">
        <f>VLOOKUP(B143,year2022to23,102,FALSE)</f>
        <v>0</v>
      </c>
      <c r="AN143" s="359">
        <f>VLOOKUP(B143,year2022to23,162,FALSE)</f>
        <v>0</v>
      </c>
      <c r="AO143" s="359">
        <f>VLOOKUP(B143,year2022to23,222,FALSE)</f>
        <v>0</v>
      </c>
      <c r="AP143" s="360">
        <f>VLOOKUP(B143,year2022to23,282,FALSE)</f>
        <v>0</v>
      </c>
      <c r="AQ143" s="358">
        <f>VLOOKUP(B143,year2022to23,107,FALSE)</f>
        <v>0</v>
      </c>
      <c r="AR143" s="359">
        <f>VLOOKUP(B143,year2022to23,167,FALSE)</f>
        <v>0</v>
      </c>
      <c r="AS143" s="359">
        <f>VLOOKUP(B143,year2022to23,227,FALSE)</f>
        <v>0</v>
      </c>
      <c r="AT143" s="360">
        <f>VLOOKUP(B143,year2022to23,287,FALSE)</f>
        <v>0</v>
      </c>
      <c r="AU143" s="358">
        <f>VLOOKUP(B143,year2022to23,112,FALSE)</f>
        <v>0</v>
      </c>
      <c r="AV143" s="359">
        <f>VLOOKUP(B143,year2022to23,172,FALSE)</f>
        <v>0</v>
      </c>
      <c r="AW143" s="359">
        <f>VLOOKUP(B143,year2022to23,232,FALSE)</f>
        <v>0</v>
      </c>
      <c r="AX143" s="300"/>
      <c r="AY143" s="358">
        <f t="shared" si="360"/>
        <v>0</v>
      </c>
      <c r="AZ143" s="359">
        <f t="shared" si="361"/>
        <v>0</v>
      </c>
      <c r="BA143" s="359">
        <f t="shared" si="362"/>
        <v>0</v>
      </c>
      <c r="BB143" s="300">
        <f t="shared" si="363"/>
        <v>0</v>
      </c>
      <c r="BC143" s="358">
        <f>VLOOKUP(B143,year2022to23,117,FALSE)</f>
        <v>0</v>
      </c>
      <c r="BD143" s="359">
        <f>VLOOKUP(B143,year2022to23,177,FALSE)</f>
        <v>0</v>
      </c>
      <c r="BE143" s="359">
        <f>VLOOKUP(B143,year2022to23,237,FALSE)</f>
        <v>0</v>
      </c>
      <c r="BF143" s="300"/>
      <c r="BG143" s="358">
        <f>VLOOKUP(B143,year2022to23,122,FALSE)</f>
        <v>0</v>
      </c>
      <c r="BH143" s="359">
        <f>VLOOKUP(B143,year2022to23,182,FALSE)</f>
        <v>0</v>
      </c>
      <c r="BI143" s="359">
        <f>VLOOKUP(B143,year2022to23,242,FALSE)</f>
        <v>0</v>
      </c>
      <c r="BJ143" s="300"/>
      <c r="BK143" s="358">
        <f>VLOOKUP(B143,year2022to23,127,FALSE)</f>
        <v>0</v>
      </c>
      <c r="BL143" s="359">
        <f>VLOOKUP(B143,year2022to23,187,FALSE)</f>
        <v>0</v>
      </c>
      <c r="BM143" s="359">
        <f>VLOOKUP(B143,year2022to23,247,FALSE)</f>
        <v>0</v>
      </c>
      <c r="BN143" s="300"/>
      <c r="BO143" s="358">
        <f t="shared" si="364"/>
        <v>0</v>
      </c>
      <c r="BP143" s="359">
        <f t="shared" si="365"/>
        <v>0</v>
      </c>
      <c r="BQ143" s="359">
        <f t="shared" si="366"/>
        <v>0</v>
      </c>
      <c r="BR143" s="300">
        <f t="shared" si="367"/>
        <v>0</v>
      </c>
      <c r="BS143" s="353"/>
      <c r="BT143" s="358">
        <f t="shared" si="368"/>
        <v>0</v>
      </c>
      <c r="BU143" s="359">
        <f t="shared" si="368"/>
        <v>0.15</v>
      </c>
      <c r="BV143" s="360">
        <f t="shared" si="368"/>
        <v>-0.15</v>
      </c>
      <c r="BW143" s="358">
        <f t="shared" si="369"/>
        <v>0</v>
      </c>
      <c r="BX143" s="359">
        <f t="shared" si="369"/>
        <v>0</v>
      </c>
      <c r="BY143" s="360">
        <f t="shared" si="369"/>
        <v>0</v>
      </c>
      <c r="BZ143" s="358">
        <f t="shared" si="370"/>
        <v>0</v>
      </c>
      <c r="CA143" s="359">
        <f t="shared" si="370"/>
        <v>0</v>
      </c>
      <c r="CB143" s="300">
        <f t="shared" si="370"/>
        <v>0</v>
      </c>
      <c r="CC143" s="358">
        <f t="shared" si="371"/>
        <v>0</v>
      </c>
      <c r="CD143" s="359">
        <f t="shared" si="372"/>
        <v>0</v>
      </c>
      <c r="CE143" s="338">
        <f t="shared" si="373"/>
        <v>0</v>
      </c>
      <c r="CF143" s="353"/>
      <c r="CG143" s="358">
        <f t="shared" si="374"/>
        <v>0</v>
      </c>
      <c r="CH143" s="359">
        <f t="shared" si="374"/>
        <v>0</v>
      </c>
      <c r="CI143" s="359">
        <f t="shared" si="374"/>
        <v>0.15</v>
      </c>
      <c r="CJ143" s="360">
        <f t="shared" si="374"/>
        <v>0</v>
      </c>
      <c r="CK143" s="358">
        <f t="shared" si="375"/>
        <v>0</v>
      </c>
      <c r="CL143" s="359">
        <f t="shared" si="375"/>
        <v>0</v>
      </c>
      <c r="CM143" s="359">
        <f t="shared" si="375"/>
        <v>0.15</v>
      </c>
      <c r="CN143" s="360">
        <f t="shared" si="375"/>
        <v>0</v>
      </c>
      <c r="CO143" s="358">
        <f t="shared" si="376"/>
        <v>0</v>
      </c>
      <c r="CP143" s="359">
        <f t="shared" si="376"/>
        <v>0</v>
      </c>
      <c r="CQ143" s="359">
        <f t="shared" si="376"/>
        <v>0.15</v>
      </c>
      <c r="CR143" s="300">
        <f t="shared" si="376"/>
        <v>0</v>
      </c>
      <c r="CS143" s="358">
        <f t="shared" si="377"/>
        <v>0</v>
      </c>
      <c r="CT143" s="359">
        <f t="shared" si="377"/>
        <v>0</v>
      </c>
      <c r="CU143" s="359">
        <f t="shared" si="377"/>
        <v>0.15</v>
      </c>
      <c r="CV143" s="300">
        <f t="shared" si="377"/>
        <v>0</v>
      </c>
      <c r="CW143" s="353"/>
      <c r="CX143" s="362">
        <f t="shared" si="378"/>
        <v>0</v>
      </c>
      <c r="CY143" s="363">
        <f t="shared" si="379"/>
        <v>0</v>
      </c>
      <c r="CZ143" s="363">
        <f t="shared" si="380"/>
        <v>3.2608695652173911E-3</v>
      </c>
      <c r="DA143" s="364">
        <f t="shared" si="381"/>
        <v>0</v>
      </c>
      <c r="DB143" s="362">
        <f t="shared" si="382"/>
        <v>0</v>
      </c>
      <c r="DC143" s="363">
        <f t="shared" si="383"/>
        <v>0</v>
      </c>
      <c r="DD143" s="363">
        <f t="shared" si="384"/>
        <v>3.2608695652173911E-3</v>
      </c>
      <c r="DE143" s="364">
        <f t="shared" si="385"/>
        <v>0</v>
      </c>
      <c r="DF143" s="362">
        <f t="shared" si="386"/>
        <v>0</v>
      </c>
      <c r="DG143" s="363">
        <f t="shared" si="387"/>
        <v>0</v>
      </c>
      <c r="DH143" s="363">
        <f t="shared" si="388"/>
        <v>3.2608695652173911E-3</v>
      </c>
      <c r="DI143" s="343">
        <f t="shared" si="388"/>
        <v>0</v>
      </c>
      <c r="DJ143" s="362">
        <f t="shared" si="389"/>
        <v>0</v>
      </c>
      <c r="DK143" s="363">
        <f t="shared" si="390"/>
        <v>0</v>
      </c>
      <c r="DL143" s="363">
        <f t="shared" si="391"/>
        <v>3.2608695652173911E-3</v>
      </c>
      <c r="DM143" s="343"/>
    </row>
    <row r="144" spans="1:117" s="365" customFormat="1" ht="16.5" hidden="1" thickBot="1" x14ac:dyDescent="0.3">
      <c r="A144" s="550" t="s">
        <v>6</v>
      </c>
      <c r="B144" s="551"/>
      <c r="C144" s="380">
        <v>0</v>
      </c>
      <c r="D144" s="380">
        <v>0</v>
      </c>
      <c r="E144" s="160">
        <f>SUM(E142:E143)</f>
        <v>96</v>
      </c>
      <c r="F144" s="160">
        <f>SUM(F142:F143)</f>
        <v>96</v>
      </c>
      <c r="G144" s="330">
        <f t="shared" ref="G144:R144" si="392">SUBTOTAL(9,G142:G143)</f>
        <v>0</v>
      </c>
      <c r="H144" s="331">
        <f t="shared" si="392"/>
        <v>0</v>
      </c>
      <c r="I144" s="331">
        <f t="shared" si="392"/>
        <v>0</v>
      </c>
      <c r="J144" s="332">
        <f t="shared" si="392"/>
        <v>0</v>
      </c>
      <c r="K144" s="330">
        <f t="shared" si="392"/>
        <v>0</v>
      </c>
      <c r="L144" s="331">
        <f t="shared" si="392"/>
        <v>0</v>
      </c>
      <c r="M144" s="331">
        <f t="shared" si="392"/>
        <v>0</v>
      </c>
      <c r="N144" s="332">
        <f t="shared" si="392"/>
        <v>0</v>
      </c>
      <c r="O144" s="330">
        <f t="shared" si="392"/>
        <v>0</v>
      </c>
      <c r="P144" s="331">
        <f t="shared" si="392"/>
        <v>0</v>
      </c>
      <c r="Q144" s="331">
        <f t="shared" si="392"/>
        <v>0.3</v>
      </c>
      <c r="R144" s="336">
        <f t="shared" si="392"/>
        <v>0</v>
      </c>
      <c r="S144" s="330">
        <f>G144+K144+O144</f>
        <v>0</v>
      </c>
      <c r="T144" s="331">
        <f t="shared" si="353"/>
        <v>0</v>
      </c>
      <c r="U144" s="331">
        <f t="shared" si="354"/>
        <v>0.3</v>
      </c>
      <c r="V144" s="332">
        <f t="shared" si="355"/>
        <v>0</v>
      </c>
      <c r="W144" s="330">
        <f t="shared" ref="W144:AH144" si="393">SUBTOTAL(9,W142:W143)</f>
        <v>0</v>
      </c>
      <c r="X144" s="331">
        <f t="shared" si="393"/>
        <v>0</v>
      </c>
      <c r="Y144" s="331">
        <f t="shared" si="393"/>
        <v>0</v>
      </c>
      <c r="Z144" s="332">
        <f t="shared" si="393"/>
        <v>0</v>
      </c>
      <c r="AA144" s="330">
        <f t="shared" si="393"/>
        <v>0</v>
      </c>
      <c r="AB144" s="331">
        <f t="shared" si="393"/>
        <v>0</v>
      </c>
      <c r="AC144" s="331">
        <f t="shared" si="393"/>
        <v>0</v>
      </c>
      <c r="AD144" s="332">
        <f t="shared" si="393"/>
        <v>0</v>
      </c>
      <c r="AE144" s="330">
        <f t="shared" si="393"/>
        <v>0</v>
      </c>
      <c r="AF144" s="331">
        <f t="shared" si="393"/>
        <v>0</v>
      </c>
      <c r="AG144" s="331">
        <f t="shared" si="393"/>
        <v>0</v>
      </c>
      <c r="AH144" s="332">
        <f t="shared" si="393"/>
        <v>0</v>
      </c>
      <c r="AI144" s="330">
        <f>W144+AA144+AE144</f>
        <v>0</v>
      </c>
      <c r="AJ144" s="331">
        <f t="shared" si="357"/>
        <v>0</v>
      </c>
      <c r="AK144" s="331">
        <f t="shared" si="358"/>
        <v>0</v>
      </c>
      <c r="AL144" s="332">
        <f t="shared" si="359"/>
        <v>0</v>
      </c>
      <c r="AM144" s="330">
        <f t="shared" ref="AM144:AX144" si="394">SUBTOTAL(9,AM142:AM143)</f>
        <v>0</v>
      </c>
      <c r="AN144" s="331">
        <f t="shared" si="394"/>
        <v>0</v>
      </c>
      <c r="AO144" s="331">
        <f t="shared" si="394"/>
        <v>0</v>
      </c>
      <c r="AP144" s="332">
        <f t="shared" si="394"/>
        <v>0</v>
      </c>
      <c r="AQ144" s="330">
        <f t="shared" si="394"/>
        <v>0</v>
      </c>
      <c r="AR144" s="331">
        <f t="shared" si="394"/>
        <v>0</v>
      </c>
      <c r="AS144" s="331">
        <f t="shared" si="394"/>
        <v>0</v>
      </c>
      <c r="AT144" s="332">
        <f t="shared" si="394"/>
        <v>0</v>
      </c>
      <c r="AU144" s="330">
        <f t="shared" si="394"/>
        <v>3.05</v>
      </c>
      <c r="AV144" s="331">
        <f t="shared" si="394"/>
        <v>0</v>
      </c>
      <c r="AW144" s="331">
        <f t="shared" si="394"/>
        <v>0</v>
      </c>
      <c r="AX144" s="332">
        <f t="shared" si="394"/>
        <v>0</v>
      </c>
      <c r="AY144" s="330">
        <f>AM144+AQ144+AU144</f>
        <v>3.05</v>
      </c>
      <c r="AZ144" s="331">
        <f t="shared" si="361"/>
        <v>0</v>
      </c>
      <c r="BA144" s="331">
        <f t="shared" si="362"/>
        <v>0</v>
      </c>
      <c r="BB144" s="332">
        <f t="shared" si="363"/>
        <v>0</v>
      </c>
      <c r="BC144" s="330">
        <f t="shared" ref="BC144:BN144" si="395">SUBTOTAL(9,BC142:BC143)</f>
        <v>0</v>
      </c>
      <c r="BD144" s="331">
        <f t="shared" si="395"/>
        <v>0</v>
      </c>
      <c r="BE144" s="331">
        <f t="shared" si="395"/>
        <v>0</v>
      </c>
      <c r="BF144" s="332">
        <f t="shared" si="395"/>
        <v>0</v>
      </c>
      <c r="BG144" s="330">
        <f t="shared" si="395"/>
        <v>0</v>
      </c>
      <c r="BH144" s="331">
        <f t="shared" si="395"/>
        <v>0</v>
      </c>
      <c r="BI144" s="331">
        <f t="shared" si="395"/>
        <v>0</v>
      </c>
      <c r="BJ144" s="332">
        <f t="shared" si="395"/>
        <v>0</v>
      </c>
      <c r="BK144" s="330">
        <f t="shared" si="395"/>
        <v>0</v>
      </c>
      <c r="BL144" s="331">
        <f t="shared" si="395"/>
        <v>0</v>
      </c>
      <c r="BM144" s="331">
        <f t="shared" si="395"/>
        <v>0</v>
      </c>
      <c r="BN144" s="332">
        <f t="shared" si="395"/>
        <v>0</v>
      </c>
      <c r="BO144" s="330">
        <f>BC144+BG144+BK144</f>
        <v>0</v>
      </c>
      <c r="BP144" s="331">
        <f t="shared" si="365"/>
        <v>0</v>
      </c>
      <c r="BQ144" s="331">
        <f t="shared" si="366"/>
        <v>0</v>
      </c>
      <c r="BR144" s="332">
        <f t="shared" si="367"/>
        <v>0</v>
      </c>
      <c r="BS144" s="337"/>
      <c r="BT144" s="330">
        <f t="shared" si="368"/>
        <v>0</v>
      </c>
      <c r="BU144" s="331">
        <f t="shared" si="368"/>
        <v>0.3</v>
      </c>
      <c r="BV144" s="332">
        <f t="shared" si="368"/>
        <v>-0.3</v>
      </c>
      <c r="BW144" s="330">
        <f t="shared" si="369"/>
        <v>0</v>
      </c>
      <c r="BX144" s="331">
        <f t="shared" si="369"/>
        <v>0</v>
      </c>
      <c r="BY144" s="332">
        <f t="shared" si="369"/>
        <v>0</v>
      </c>
      <c r="BZ144" s="330">
        <f t="shared" si="370"/>
        <v>-3.05</v>
      </c>
      <c r="CA144" s="331">
        <f t="shared" si="370"/>
        <v>0</v>
      </c>
      <c r="CB144" s="332">
        <f t="shared" si="370"/>
        <v>0</v>
      </c>
      <c r="CC144" s="330">
        <f t="shared" si="371"/>
        <v>0</v>
      </c>
      <c r="CD144" s="331">
        <f t="shared" si="372"/>
        <v>0</v>
      </c>
      <c r="CE144" s="333">
        <f t="shared" si="373"/>
        <v>0</v>
      </c>
      <c r="CF144" s="337"/>
      <c r="CG144" s="330">
        <f t="shared" si="374"/>
        <v>0</v>
      </c>
      <c r="CH144" s="330">
        <f t="shared" si="374"/>
        <v>0</v>
      </c>
      <c r="CI144" s="330">
        <f t="shared" si="374"/>
        <v>0.3</v>
      </c>
      <c r="CJ144" s="346">
        <f t="shared" si="374"/>
        <v>0</v>
      </c>
      <c r="CK144" s="330">
        <f t="shared" si="375"/>
        <v>0</v>
      </c>
      <c r="CL144" s="330">
        <f t="shared" si="375"/>
        <v>0</v>
      </c>
      <c r="CM144" s="330">
        <f t="shared" si="375"/>
        <v>0.3</v>
      </c>
      <c r="CN144" s="346">
        <f t="shared" si="375"/>
        <v>0</v>
      </c>
      <c r="CO144" s="330">
        <f t="shared" si="376"/>
        <v>3.05</v>
      </c>
      <c r="CP144" s="330">
        <f t="shared" si="376"/>
        <v>0</v>
      </c>
      <c r="CQ144" s="330">
        <f t="shared" si="376"/>
        <v>0.3</v>
      </c>
      <c r="CR144" s="346">
        <f t="shared" si="376"/>
        <v>0</v>
      </c>
      <c r="CS144" s="330">
        <f t="shared" si="377"/>
        <v>3.05</v>
      </c>
      <c r="CT144" s="330">
        <f t="shared" si="377"/>
        <v>0</v>
      </c>
      <c r="CU144" s="330">
        <f t="shared" si="377"/>
        <v>0.3</v>
      </c>
      <c r="CV144" s="346">
        <f t="shared" si="377"/>
        <v>0</v>
      </c>
      <c r="CW144" s="337"/>
      <c r="CX144" s="330">
        <f>IFERROR(CG144/C144,0)</f>
        <v>0</v>
      </c>
      <c r="CY144" s="330">
        <f>IFERROR(CH144/D144,0)</f>
        <v>0</v>
      </c>
      <c r="CZ144" s="330">
        <f t="shared" si="380"/>
        <v>3.1249999999999997E-3</v>
      </c>
      <c r="DA144" s="346">
        <f t="shared" si="381"/>
        <v>0</v>
      </c>
      <c r="DB144" s="330">
        <f>IFERROR(CK144/C144,0)</f>
        <v>0</v>
      </c>
      <c r="DC144" s="330">
        <f>IFERROR(CL144/D144,0)</f>
        <v>0</v>
      </c>
      <c r="DD144" s="330">
        <f t="shared" si="384"/>
        <v>3.1249999999999997E-3</v>
      </c>
      <c r="DE144" s="346">
        <f t="shared" si="385"/>
        <v>0</v>
      </c>
      <c r="DF144" s="330">
        <f>IFERROR(CO144/C144,0)</f>
        <v>0</v>
      </c>
      <c r="DG144" s="330">
        <f>IFERROR(CP144/D144,0)</f>
        <v>0</v>
      </c>
      <c r="DH144" s="330">
        <f t="shared" si="388"/>
        <v>3.1249999999999997E-3</v>
      </c>
      <c r="DI144" s="346">
        <f t="shared" si="388"/>
        <v>0</v>
      </c>
      <c r="DJ144" s="330">
        <f>IFERROR(CS144/C144,0)</f>
        <v>0</v>
      </c>
      <c r="DK144" s="330">
        <f>IFERROR(CT144/D144,0)</f>
        <v>0</v>
      </c>
      <c r="DL144" s="330">
        <f t="shared" si="391"/>
        <v>3.1249999999999997E-3</v>
      </c>
      <c r="DM144" s="346"/>
    </row>
    <row r="145" spans="1:136" ht="15.75" hidden="1" thickBot="1" x14ac:dyDescent="0.3">
      <c r="A145" s="285" t="s">
        <v>80</v>
      </c>
      <c r="DN145" s="365"/>
    </row>
    <row r="146" spans="1:136" s="285" customFormat="1" ht="15" customHeight="1" thickBot="1" x14ac:dyDescent="0.3">
      <c r="CG146" s="537" t="s">
        <v>60</v>
      </c>
      <c r="CH146" s="538"/>
      <c r="CI146" s="538"/>
      <c r="CJ146" s="539"/>
      <c r="CK146" s="513" t="s">
        <v>57</v>
      </c>
      <c r="CL146" s="514"/>
      <c r="CM146" s="514"/>
      <c r="CN146" s="515"/>
      <c r="CO146" s="513" t="s">
        <v>54</v>
      </c>
      <c r="CP146" s="514"/>
      <c r="CQ146" s="514"/>
      <c r="CR146" s="572"/>
      <c r="CS146" s="513" t="s">
        <v>51</v>
      </c>
      <c r="CT146" s="514"/>
      <c r="CU146" s="514"/>
      <c r="CV146" s="515"/>
      <c r="CW146" s="292"/>
      <c r="CX146" s="554" t="s">
        <v>63</v>
      </c>
      <c r="CY146" s="555"/>
      <c r="CZ146" s="555"/>
      <c r="DA146" s="556"/>
      <c r="DB146" s="560" t="s">
        <v>66</v>
      </c>
      <c r="DC146" s="561"/>
      <c r="DD146" s="561"/>
      <c r="DE146" s="562"/>
      <c r="DF146" s="560" t="s">
        <v>65</v>
      </c>
      <c r="DG146" s="561"/>
      <c r="DH146" s="561"/>
      <c r="DI146" s="562"/>
      <c r="DJ146" s="560" t="s">
        <v>64</v>
      </c>
      <c r="DK146" s="561"/>
      <c r="DL146" s="561"/>
      <c r="DM146" s="562"/>
      <c r="DN146" s="365"/>
    </row>
    <row r="147" spans="1:136" s="285" customFormat="1" x14ac:dyDescent="0.25">
      <c r="A147" s="578" t="s">
        <v>81</v>
      </c>
      <c r="B147" s="579"/>
      <c r="C147" s="535" t="s">
        <v>68</v>
      </c>
      <c r="D147" s="535" t="s">
        <v>69</v>
      </c>
      <c r="E147" s="535" t="s">
        <v>70</v>
      </c>
      <c r="F147" s="535" t="s">
        <v>67</v>
      </c>
      <c r="CG147" s="540"/>
      <c r="CH147" s="541"/>
      <c r="CI147" s="541"/>
      <c r="CJ147" s="542"/>
      <c r="CK147" s="516"/>
      <c r="CL147" s="517"/>
      <c r="CM147" s="517"/>
      <c r="CN147" s="518"/>
      <c r="CO147" s="516"/>
      <c r="CP147" s="517"/>
      <c r="CQ147" s="517"/>
      <c r="CR147" s="573"/>
      <c r="CS147" s="516"/>
      <c r="CT147" s="517"/>
      <c r="CU147" s="517"/>
      <c r="CV147" s="518"/>
      <c r="CW147" s="292"/>
      <c r="CX147" s="557"/>
      <c r="CY147" s="558"/>
      <c r="CZ147" s="558"/>
      <c r="DA147" s="559"/>
      <c r="DB147" s="563"/>
      <c r="DC147" s="564"/>
      <c r="DD147" s="564"/>
      <c r="DE147" s="565"/>
      <c r="DF147" s="563"/>
      <c r="DG147" s="564"/>
      <c r="DH147" s="564"/>
      <c r="DI147" s="565"/>
      <c r="DJ147" s="563"/>
      <c r="DK147" s="564"/>
      <c r="DL147" s="564"/>
      <c r="DM147" s="565"/>
      <c r="DN147" s="365"/>
    </row>
    <row r="148" spans="1:136" s="285" customFormat="1" ht="15.75" thickBot="1" x14ac:dyDescent="0.3">
      <c r="A148" s="580"/>
      <c r="B148" s="581"/>
      <c r="C148" s="536"/>
      <c r="D148" s="536"/>
      <c r="E148" s="536"/>
      <c r="F148" s="536"/>
      <c r="CG148" s="289">
        <v>2022</v>
      </c>
      <c r="CH148" s="289">
        <v>2023</v>
      </c>
      <c r="CI148" s="289">
        <v>2024</v>
      </c>
      <c r="CJ148" s="289">
        <v>2025</v>
      </c>
      <c r="CK148" s="289">
        <v>2022</v>
      </c>
      <c r="CL148" s="289">
        <v>2023</v>
      </c>
      <c r="CM148" s="289">
        <v>2024</v>
      </c>
      <c r="CN148" s="289">
        <v>2025</v>
      </c>
      <c r="CO148" s="289">
        <v>2022</v>
      </c>
      <c r="CP148" s="289">
        <v>2023</v>
      </c>
      <c r="CQ148" s="289">
        <v>2024</v>
      </c>
      <c r="CR148" s="291">
        <v>2025</v>
      </c>
      <c r="CS148" s="288">
        <v>2022</v>
      </c>
      <c r="CT148" s="289">
        <v>2023</v>
      </c>
      <c r="CU148" s="289">
        <v>2024</v>
      </c>
      <c r="CV148" s="290">
        <v>2025</v>
      </c>
      <c r="CW148" s="286"/>
      <c r="CX148" s="288">
        <v>2022</v>
      </c>
      <c r="CY148" s="289">
        <v>2023</v>
      </c>
      <c r="CZ148" s="289">
        <v>2024</v>
      </c>
      <c r="DA148" s="290">
        <v>2025</v>
      </c>
      <c r="DB148" s="288">
        <v>2022</v>
      </c>
      <c r="DC148" s="289">
        <v>2023</v>
      </c>
      <c r="DD148" s="289">
        <v>2024</v>
      </c>
      <c r="DE148" s="290">
        <v>2025</v>
      </c>
      <c r="DF148" s="288">
        <v>2022</v>
      </c>
      <c r="DG148" s="289">
        <v>2023</v>
      </c>
      <c r="DH148" s="289">
        <v>2024</v>
      </c>
      <c r="DI148" s="290">
        <v>2025</v>
      </c>
      <c r="DJ148" s="288">
        <v>2022</v>
      </c>
      <c r="DK148" s="289">
        <v>2023</v>
      </c>
      <c r="DL148" s="289">
        <v>2024</v>
      </c>
      <c r="DM148" s="290">
        <v>2025</v>
      </c>
      <c r="DN148" s="365"/>
    </row>
    <row r="149" spans="1:136" s="285" customFormat="1" ht="16.5" thickBot="1" x14ac:dyDescent="0.3">
      <c r="A149" s="552" t="s">
        <v>6</v>
      </c>
      <c r="B149" s="553"/>
      <c r="C149" s="160">
        <f t="shared" ref="C149:E149" si="396">C135+C31</f>
        <v>1363.2800000000002</v>
      </c>
      <c r="D149" s="160">
        <f t="shared" si="396"/>
        <v>1421.71</v>
      </c>
      <c r="E149" s="160">
        <f t="shared" si="396"/>
        <v>1416.51</v>
      </c>
      <c r="F149" s="160">
        <f>F135+F31</f>
        <v>1416.51</v>
      </c>
      <c r="CG149" s="331">
        <f>CG135+CG31</f>
        <v>3161.0299999999997</v>
      </c>
      <c r="CH149" s="304">
        <f t="shared" ref="CH149:CS149" si="397">CH135+CH31+CH144</f>
        <v>3977.1530000000002</v>
      </c>
      <c r="CI149" s="331">
        <f>CI135+CI31+CI144</f>
        <v>2836.22</v>
      </c>
      <c r="CJ149" s="305">
        <f t="shared" si="397"/>
        <v>4300.2699999999995</v>
      </c>
      <c r="CK149" s="303">
        <f t="shared" si="397"/>
        <v>7295.0499999999993</v>
      </c>
      <c r="CL149" s="304">
        <f t="shared" si="397"/>
        <v>8065.563000000001</v>
      </c>
      <c r="CM149" s="304">
        <f t="shared" si="397"/>
        <v>6538.9029999999993</v>
      </c>
      <c r="CN149" s="305">
        <f t="shared" si="397"/>
        <v>9522.84</v>
      </c>
      <c r="CO149" s="303">
        <f t="shared" si="397"/>
        <v>12558.71</v>
      </c>
      <c r="CP149" s="304">
        <f t="shared" si="397"/>
        <v>13113.103000000001</v>
      </c>
      <c r="CQ149" s="304">
        <f t="shared" si="397"/>
        <v>12555.053</v>
      </c>
      <c r="CR149" s="304">
        <f t="shared" si="397"/>
        <v>14787.62</v>
      </c>
      <c r="CS149" s="303">
        <f t="shared" si="397"/>
        <v>18832.43</v>
      </c>
      <c r="CT149" s="331">
        <f>CT135+CT31+CT144</f>
        <v>18427.772999999997</v>
      </c>
      <c r="CU149" s="331">
        <f>CU135+CU31+CU144</f>
        <v>19490.152999999998</v>
      </c>
      <c r="CV149" s="331">
        <f>CV135+CV31</f>
        <v>21660.14</v>
      </c>
      <c r="CW149" s="307"/>
      <c r="CX149" s="331">
        <f>CG149/C149</f>
        <v>2.3186946188603952</v>
      </c>
      <c r="CY149" s="331">
        <f>CH149/D149</f>
        <v>2.7974432197846255</v>
      </c>
      <c r="CZ149" s="331">
        <f>CI149/E149</f>
        <v>2.0022590733563477</v>
      </c>
      <c r="DA149" s="332">
        <f>CJ149/F149</f>
        <v>3.0358204319065871</v>
      </c>
      <c r="DB149" s="345"/>
      <c r="DC149" s="331">
        <f>CL149/D149</f>
        <v>5.6731422019961881</v>
      </c>
      <c r="DD149" s="331">
        <f>CM149/E149</f>
        <v>4.6162067334505226</v>
      </c>
      <c r="DE149" s="332">
        <f>CN149/F149</f>
        <v>6.7227481627379975</v>
      </c>
      <c r="DF149" s="330"/>
      <c r="DG149" s="331">
        <f t="shared" ref="DG149:DI149" si="398">CP149/D149</f>
        <v>9.223472438120293</v>
      </c>
      <c r="DH149" s="331">
        <f t="shared" si="398"/>
        <v>8.8633705374476701</v>
      </c>
      <c r="DI149" s="332">
        <f t="shared" si="398"/>
        <v>10.439474483060481</v>
      </c>
      <c r="DJ149" s="330"/>
      <c r="DK149" s="331">
        <f t="shared" ref="DK149" si="399">CT149/D149</f>
        <v>12.961696126495555</v>
      </c>
      <c r="DL149" s="331">
        <f>CU149/E149</f>
        <v>13.759276672949714</v>
      </c>
      <c r="DM149" s="332">
        <f>CV149/F149</f>
        <v>15.291201615237449</v>
      </c>
    </row>
    <row r="150" spans="1:136" s="285" customFormat="1" x14ac:dyDescent="0.25">
      <c r="CD150" s="395"/>
      <c r="CE150" s="395"/>
      <c r="CF150" s="395"/>
      <c r="CX150" s="312"/>
      <c r="CY150" s="312"/>
      <c r="CZ150" s="312"/>
      <c r="DA150" s="312"/>
      <c r="DM150" s="365"/>
    </row>
    <row r="151" spans="1:136" s="285" customFormat="1" x14ac:dyDescent="0.25">
      <c r="CD151" s="395"/>
      <c r="CE151" s="395"/>
      <c r="CF151" s="395"/>
      <c r="CX151" s="312"/>
      <c r="CY151" s="312"/>
      <c r="CZ151" s="312"/>
      <c r="DA151" s="312"/>
      <c r="DM151" s="365"/>
    </row>
    <row r="152" spans="1:136" s="285" customFormat="1" ht="15.75" thickBot="1" x14ac:dyDescent="0.3">
      <c r="A152" s="285" t="s">
        <v>82</v>
      </c>
      <c r="CD152" s="395"/>
      <c r="CE152" s="395"/>
      <c r="CF152" s="395"/>
      <c r="CX152" s="312"/>
      <c r="CY152" s="312"/>
      <c r="CZ152" s="312"/>
      <c r="DA152" s="312"/>
      <c r="DM152" s="365"/>
    </row>
    <row r="153" spans="1:136" s="414" customFormat="1" ht="30" customHeight="1" thickBot="1" x14ac:dyDescent="0.3">
      <c r="C153" s="415" t="str">
        <f>C147</f>
        <v>HA
(2022)</v>
      </c>
      <c r="D153" s="415" t="str">
        <f>D147</f>
        <v>HA
(2023)</v>
      </c>
      <c r="E153" s="416" t="str">
        <f>E147</f>
        <v>HA
(2024)</v>
      </c>
      <c r="F153" s="417" t="str">
        <f>F147</f>
        <v>HA
(2025)</v>
      </c>
      <c r="G153" s="418"/>
      <c r="H153" s="418"/>
      <c r="I153" s="418"/>
      <c r="J153" s="418"/>
      <c r="K153" s="418"/>
      <c r="L153" s="418"/>
      <c r="M153" s="418"/>
      <c r="N153" s="418"/>
      <c r="O153" s="418"/>
      <c r="P153" s="418"/>
      <c r="Q153" s="418"/>
      <c r="R153" s="418"/>
      <c r="S153" s="418"/>
      <c r="T153" s="418"/>
      <c r="U153" s="418"/>
      <c r="V153" s="418"/>
      <c r="W153" s="41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  <c r="AO153" s="418"/>
      <c r="AP153" s="418"/>
      <c r="AQ153" s="418"/>
      <c r="AR153" s="418"/>
      <c r="AS153" s="418"/>
      <c r="AT153" s="418"/>
      <c r="AU153" s="418"/>
      <c r="AV153" s="418"/>
      <c r="AW153" s="418"/>
      <c r="AX153" s="418"/>
      <c r="AY153" s="418"/>
      <c r="AZ153" s="418"/>
      <c r="BA153" s="418"/>
      <c r="BB153" s="418"/>
      <c r="BC153" s="418"/>
      <c r="BD153" s="418"/>
      <c r="BE153" s="418"/>
      <c r="BF153" s="418"/>
      <c r="BG153" s="418"/>
      <c r="BH153" s="418"/>
      <c r="BI153" s="418"/>
      <c r="BJ153" s="418"/>
      <c r="BK153" s="418"/>
      <c r="BL153" s="418"/>
      <c r="BM153" s="418"/>
      <c r="BN153" s="418"/>
      <c r="BO153" s="418"/>
      <c r="BP153" s="418"/>
      <c r="BQ153" s="418"/>
      <c r="BR153" s="418"/>
      <c r="BS153" s="418"/>
      <c r="BT153" s="418"/>
      <c r="BU153" s="418"/>
      <c r="BV153" s="418"/>
      <c r="BW153" s="418"/>
      <c r="BX153" s="418"/>
      <c r="BY153" s="418"/>
      <c r="BZ153" s="418"/>
      <c r="CA153" s="418"/>
      <c r="CB153" s="418"/>
      <c r="CC153" s="418"/>
      <c r="CD153" s="418"/>
      <c r="CE153" s="418"/>
      <c r="CF153" s="418"/>
      <c r="CH153" s="409" t="s">
        <v>83</v>
      </c>
      <c r="CI153" s="419">
        <v>2023</v>
      </c>
      <c r="CJ153" s="409">
        <v>2024</v>
      </c>
      <c r="CL153" s="409">
        <v>2025</v>
      </c>
      <c r="CW153" s="420"/>
      <c r="DM153" s="467"/>
    </row>
    <row r="154" spans="1:136" s="285" customFormat="1" x14ac:dyDescent="0.25">
      <c r="C154" s="402">
        <f>C149</f>
        <v>1363.2800000000002</v>
      </c>
      <c r="D154" s="402">
        <f t="shared" ref="D154:F154" si="400">D149</f>
        <v>1421.71</v>
      </c>
      <c r="E154" s="405">
        <f t="shared" si="400"/>
        <v>1416.51</v>
      </c>
      <c r="F154" s="576">
        <f t="shared" si="400"/>
        <v>1416.51</v>
      </c>
      <c r="G154" s="395"/>
      <c r="H154" s="395"/>
      <c r="I154" s="395"/>
      <c r="J154" s="395"/>
      <c r="K154" s="395"/>
      <c r="L154" s="395"/>
      <c r="M154" s="395"/>
      <c r="N154" s="395"/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  <c r="AA154" s="395"/>
      <c r="AB154" s="395"/>
      <c r="AC154" s="395"/>
      <c r="AD154" s="395"/>
      <c r="AE154" s="395"/>
      <c r="AF154" s="395"/>
      <c r="AG154" s="395"/>
      <c r="AH154" s="395"/>
      <c r="AI154" s="395"/>
      <c r="AJ154" s="395"/>
      <c r="AK154" s="395"/>
      <c r="AL154" s="395"/>
      <c r="AM154" s="395"/>
      <c r="AN154" s="395"/>
      <c r="AO154" s="395"/>
      <c r="AP154" s="395"/>
      <c r="AQ154" s="395"/>
      <c r="AR154" s="395"/>
      <c r="AS154" s="395"/>
      <c r="AT154" s="395"/>
      <c r="AU154" s="395"/>
      <c r="AV154" s="395"/>
      <c r="AW154" s="395"/>
      <c r="AX154" s="395"/>
      <c r="AY154" s="395"/>
      <c r="AZ154" s="395"/>
      <c r="BA154" s="395"/>
      <c r="BB154" s="395"/>
      <c r="BC154" s="395"/>
      <c r="BD154" s="395"/>
      <c r="BE154" s="395"/>
      <c r="BF154" s="395"/>
      <c r="BG154" s="395"/>
      <c r="BH154" s="395"/>
      <c r="BI154" s="395"/>
      <c r="BJ154" s="395"/>
      <c r="BK154" s="395"/>
      <c r="BL154" s="395"/>
      <c r="BM154" s="395"/>
      <c r="BN154" s="395"/>
      <c r="BO154" s="395"/>
      <c r="BP154" s="395"/>
      <c r="BQ154" s="395"/>
      <c r="BR154" s="395"/>
      <c r="BS154" s="395"/>
      <c r="BT154" s="395"/>
      <c r="BU154" s="395"/>
      <c r="BV154" s="395"/>
      <c r="BW154" s="395"/>
      <c r="BX154" s="395"/>
      <c r="BY154" s="395"/>
      <c r="BZ154" s="395"/>
      <c r="CA154" s="395"/>
      <c r="CB154" s="395"/>
      <c r="CC154" s="395"/>
      <c r="CD154" s="395"/>
      <c r="CE154" s="395"/>
      <c r="CF154" s="395"/>
      <c r="CH154" s="410" t="s">
        <v>84</v>
      </c>
      <c r="CI154" s="407">
        <f>CT149</f>
        <v>18427.772999999997</v>
      </c>
      <c r="CJ154" s="407">
        <f>CU149</f>
        <v>19490.152999999998</v>
      </c>
      <c r="CL154" s="407">
        <f>CV149</f>
        <v>21660.14</v>
      </c>
      <c r="CW154" s="312"/>
      <c r="DM154" s="365"/>
    </row>
    <row r="155" spans="1:136" s="401" customFormat="1" ht="30.75" thickBot="1" x14ac:dyDescent="0.3">
      <c r="C155" s="398"/>
      <c r="D155" s="398"/>
      <c r="E155" s="406"/>
      <c r="F155" s="577"/>
      <c r="G155" s="395"/>
      <c r="H155" s="395"/>
      <c r="I155" s="395"/>
      <c r="J155" s="395"/>
      <c r="K155" s="395"/>
      <c r="L155" s="395"/>
      <c r="M155" s="395"/>
      <c r="N155" s="395"/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  <c r="AA155" s="395"/>
      <c r="AB155" s="395"/>
      <c r="AC155" s="395"/>
      <c r="AD155" s="395"/>
      <c r="AE155" s="395"/>
      <c r="AF155" s="395"/>
      <c r="AG155" s="395"/>
      <c r="AH155" s="395"/>
      <c r="AI155" s="395"/>
      <c r="AJ155" s="395"/>
      <c r="AK155" s="395"/>
      <c r="AL155" s="395"/>
      <c r="AM155" s="395"/>
      <c r="AN155" s="395"/>
      <c r="AO155" s="395"/>
      <c r="AP155" s="395"/>
      <c r="AQ155" s="395"/>
      <c r="AR155" s="395"/>
      <c r="AS155" s="395"/>
      <c r="AT155" s="395"/>
      <c r="AU155" s="395"/>
      <c r="AV155" s="395"/>
      <c r="AW155" s="395"/>
      <c r="AX155" s="395"/>
      <c r="AY155" s="395"/>
      <c r="AZ155" s="395"/>
      <c r="BA155" s="395"/>
      <c r="BB155" s="395"/>
      <c r="BC155" s="395"/>
      <c r="BD155" s="395"/>
      <c r="BE155" s="395"/>
      <c r="BF155" s="395"/>
      <c r="BG155" s="395"/>
      <c r="BH155" s="395"/>
      <c r="BI155" s="395"/>
      <c r="BJ155" s="395"/>
      <c r="BK155" s="395"/>
      <c r="BL155" s="395"/>
      <c r="BM155" s="395"/>
      <c r="BN155" s="395"/>
      <c r="BO155" s="395"/>
      <c r="BP155" s="395"/>
      <c r="BQ155" s="395"/>
      <c r="BR155" s="395"/>
      <c r="BS155" s="395"/>
      <c r="BT155" s="395"/>
      <c r="BU155" s="395"/>
      <c r="BV155" s="395"/>
      <c r="BW155" s="395"/>
      <c r="BX155" s="395"/>
      <c r="BY155" s="395"/>
      <c r="BZ155" s="395"/>
      <c r="CA155" s="395"/>
      <c r="CB155" s="395"/>
      <c r="CC155" s="395"/>
      <c r="CD155" s="395"/>
      <c r="CE155" s="395"/>
      <c r="CF155" s="395"/>
      <c r="CH155" s="411" t="s">
        <v>85</v>
      </c>
      <c r="CI155" s="408">
        <f>CI154/D154</f>
        <v>12.961696126495555</v>
      </c>
      <c r="CJ155" s="404">
        <f>CJ154/E154</f>
        <v>13.759276672949714</v>
      </c>
      <c r="CL155" s="404">
        <f>CL154/F154</f>
        <v>15.291201615237449</v>
      </c>
      <c r="CN155" s="285"/>
      <c r="CW155" s="403"/>
      <c r="DM155" s="397"/>
    </row>
    <row r="156" spans="1:136" s="285" customFormat="1" x14ac:dyDescent="0.25">
      <c r="G156" s="395"/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  <c r="AA156" s="395"/>
      <c r="AB156" s="395"/>
      <c r="AC156" s="395"/>
      <c r="AD156" s="395"/>
      <c r="AE156" s="395"/>
      <c r="AF156" s="395"/>
      <c r="AG156" s="395"/>
      <c r="AH156" s="395"/>
      <c r="AI156" s="395"/>
      <c r="AJ156" s="395"/>
      <c r="AK156" s="395"/>
      <c r="AL156" s="395"/>
      <c r="AM156" s="395"/>
      <c r="AN156" s="395"/>
      <c r="AO156" s="395"/>
      <c r="AP156" s="395"/>
      <c r="AQ156" s="395"/>
      <c r="AR156" s="395"/>
      <c r="AS156" s="395"/>
      <c r="AT156" s="395"/>
      <c r="AU156" s="395"/>
      <c r="AV156" s="395"/>
      <c r="AW156" s="395"/>
      <c r="AX156" s="395"/>
      <c r="AY156" s="395"/>
      <c r="AZ156" s="395"/>
      <c r="BA156" s="395"/>
      <c r="BB156" s="395"/>
      <c r="BC156" s="395"/>
      <c r="BD156" s="395"/>
      <c r="BE156" s="395"/>
      <c r="BF156" s="395"/>
      <c r="BG156" s="395"/>
      <c r="BH156" s="395"/>
      <c r="BI156" s="395"/>
      <c r="BJ156" s="395"/>
      <c r="BK156" s="395"/>
      <c r="BL156" s="395"/>
      <c r="BM156" s="395"/>
      <c r="BN156" s="395"/>
      <c r="BO156" s="395"/>
      <c r="BP156" s="395"/>
      <c r="BQ156" s="395"/>
      <c r="BR156" s="395"/>
      <c r="BS156" s="395"/>
      <c r="BT156" s="395"/>
      <c r="BU156" s="395"/>
      <c r="BV156" s="395"/>
      <c r="BW156" s="395"/>
      <c r="BX156" s="395"/>
      <c r="BY156" s="395"/>
      <c r="BZ156" s="395"/>
      <c r="CA156" s="395"/>
      <c r="CB156" s="395"/>
      <c r="CC156" s="395"/>
      <c r="CD156" s="395"/>
      <c r="CE156" s="395"/>
      <c r="CF156" s="395"/>
      <c r="DM156" s="365"/>
    </row>
    <row r="157" spans="1:136" x14ac:dyDescent="0.25">
      <c r="G157" s="395"/>
      <c r="H157" s="395"/>
      <c r="I157" s="395"/>
      <c r="J157" s="395"/>
      <c r="K157" s="395"/>
      <c r="L157" s="395"/>
      <c r="M157" s="395"/>
      <c r="N157" s="395"/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  <c r="AA157" s="395"/>
      <c r="AB157" s="395"/>
      <c r="AC157" s="395"/>
      <c r="AD157" s="395"/>
      <c r="AE157" s="395"/>
      <c r="AF157" s="395"/>
      <c r="AG157" s="395"/>
      <c r="AH157" s="395"/>
      <c r="AI157" s="395"/>
      <c r="AJ157" s="395"/>
      <c r="AK157" s="395"/>
      <c r="AL157" s="395"/>
      <c r="AM157" s="395"/>
      <c r="AN157" s="395"/>
      <c r="AO157" s="395"/>
      <c r="AP157" s="395"/>
      <c r="AQ157" s="395"/>
      <c r="AR157" s="395"/>
      <c r="AS157" s="395"/>
      <c r="AT157" s="395"/>
      <c r="AU157" s="395"/>
      <c r="AV157" s="395"/>
      <c r="AW157" s="395"/>
      <c r="AX157" s="395"/>
      <c r="AY157" s="395"/>
      <c r="AZ157" s="395"/>
      <c r="BA157" s="395"/>
      <c r="BB157" s="395"/>
      <c r="BC157" s="395"/>
      <c r="BD157" s="395"/>
      <c r="BE157" s="395"/>
      <c r="BF157" s="395"/>
      <c r="BG157" s="395"/>
      <c r="BH157" s="395"/>
      <c r="BI157" s="395"/>
      <c r="BJ157" s="395"/>
      <c r="BK157" s="395"/>
      <c r="BL157" s="395"/>
      <c r="BM157" s="395"/>
      <c r="BN157" s="395"/>
      <c r="BO157" s="395"/>
      <c r="BP157" s="395"/>
      <c r="BQ157" s="395"/>
      <c r="BR157" s="395"/>
      <c r="BS157" s="395"/>
      <c r="BT157" s="395"/>
      <c r="BU157" s="395"/>
      <c r="BV157" s="395"/>
      <c r="BW157" s="395"/>
      <c r="BX157" s="395"/>
      <c r="BY157" s="395"/>
      <c r="BZ157" s="395"/>
      <c r="CA157" s="395"/>
      <c r="CB157" s="395"/>
      <c r="CC157" s="395"/>
      <c r="CD157" s="395"/>
      <c r="CE157" s="395"/>
      <c r="CF157" s="395"/>
      <c r="CN157" s="285"/>
      <c r="CX157" s="280"/>
      <c r="CY157" s="280"/>
      <c r="CZ157" s="280"/>
      <c r="DA157" s="280"/>
    </row>
    <row r="158" spans="1:136" ht="15" customHeight="1" x14ac:dyDescent="0.25"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395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  <c r="CF158" s="395"/>
      <c r="CX158" s="280"/>
      <c r="CY158" s="280"/>
      <c r="CZ158" s="280"/>
      <c r="DA158" s="280"/>
      <c r="DI158" s="365"/>
      <c r="DJ158" s="365"/>
      <c r="DK158" s="365"/>
      <c r="DL158" s="365"/>
      <c r="DM158" s="365"/>
      <c r="DN158" s="365"/>
      <c r="DO158" s="365"/>
      <c r="DP158" s="365"/>
      <c r="DQ158" s="365"/>
      <c r="DR158" s="365"/>
      <c r="DS158" s="365"/>
      <c r="DT158" s="365"/>
      <c r="DU158" s="365"/>
      <c r="DV158" s="365"/>
      <c r="DW158" s="365"/>
      <c r="DX158" s="365"/>
      <c r="DY158" s="365"/>
      <c r="DZ158" s="365"/>
      <c r="EA158" s="365"/>
      <c r="EB158" s="365"/>
      <c r="EC158" s="365"/>
      <c r="ED158" s="365"/>
      <c r="EE158" s="365"/>
      <c r="EF158" s="365"/>
    </row>
    <row r="159" spans="1:136" s="395" customFormat="1" ht="33" customHeight="1" x14ac:dyDescent="0.25">
      <c r="C159" s="396"/>
      <c r="D159" s="396"/>
      <c r="E159" s="396"/>
      <c r="F159" s="396"/>
      <c r="CX159" s="280"/>
      <c r="CY159" s="280"/>
      <c r="CZ159" s="280"/>
      <c r="DA159" s="280"/>
      <c r="DB159" s="280"/>
      <c r="DC159" s="280"/>
      <c r="DD159" s="280"/>
      <c r="DE159" s="280"/>
      <c r="DF159" s="280"/>
      <c r="DG159" s="280"/>
      <c r="DH159" s="280"/>
      <c r="DI159" s="397"/>
      <c r="DJ159" s="397"/>
      <c r="DK159" s="397"/>
      <c r="DL159" s="397"/>
      <c r="DM159" s="397"/>
      <c r="DN159" s="397"/>
      <c r="DO159" s="397"/>
      <c r="DP159" s="397"/>
      <c r="DQ159" s="397"/>
      <c r="DR159" s="397"/>
      <c r="DS159" s="397"/>
      <c r="DT159" s="397"/>
      <c r="DU159" s="397"/>
      <c r="DV159" s="397"/>
      <c r="DW159" s="397"/>
      <c r="DX159" s="397"/>
      <c r="DY159" s="397"/>
      <c r="DZ159" s="397"/>
      <c r="EA159" s="397"/>
      <c r="EB159" s="397"/>
      <c r="EC159" s="397"/>
      <c r="ED159" s="397"/>
      <c r="EE159" s="397"/>
      <c r="EF159" s="397"/>
    </row>
    <row r="160" spans="1:136" s="395" customFormat="1" x14ac:dyDescent="0.25">
      <c r="E160" s="396"/>
      <c r="F160" s="396"/>
      <c r="CM160" s="395" t="s">
        <v>103</v>
      </c>
      <c r="CX160" s="280"/>
      <c r="CY160" s="280"/>
      <c r="CZ160" s="280"/>
      <c r="DA160" s="280"/>
      <c r="DB160" s="280"/>
      <c r="DC160" s="280"/>
      <c r="DD160" s="280"/>
      <c r="DE160" s="280"/>
      <c r="DF160" s="280"/>
      <c r="DG160" s="280"/>
      <c r="DH160" s="280"/>
      <c r="DI160" s="396"/>
      <c r="DJ160" s="396"/>
      <c r="DK160" s="396"/>
      <c r="DL160" s="396"/>
      <c r="DM160" s="396"/>
      <c r="DN160" s="396"/>
      <c r="DO160" s="396"/>
      <c r="DP160" s="396"/>
      <c r="DQ160" s="396"/>
      <c r="DR160" s="396"/>
      <c r="DS160" s="396"/>
      <c r="DT160" s="396"/>
      <c r="DU160" s="396"/>
      <c r="DV160" s="396"/>
      <c r="DW160" s="396"/>
      <c r="DX160" s="396"/>
      <c r="DY160" s="396"/>
      <c r="DZ160" s="396"/>
      <c r="EA160" s="396"/>
      <c r="EB160" s="396"/>
      <c r="EC160" s="396"/>
      <c r="ED160" s="396"/>
      <c r="EE160" s="396"/>
      <c r="EF160" s="396"/>
    </row>
    <row r="161" spans="3:136" s="395" customFormat="1" ht="15" customHeight="1" x14ac:dyDescent="0.25">
      <c r="C161" s="396"/>
      <c r="D161" s="396"/>
      <c r="E161" s="396"/>
      <c r="F161" s="396"/>
      <c r="CX161" s="280"/>
      <c r="CY161" s="280"/>
      <c r="CZ161" s="280"/>
      <c r="DA161" s="280"/>
      <c r="DB161" s="280"/>
      <c r="DC161" s="280"/>
      <c r="DD161" s="280"/>
      <c r="DE161" s="280"/>
      <c r="DF161" s="280"/>
      <c r="DG161" s="280"/>
      <c r="DH161" s="280"/>
      <c r="DI161" s="396"/>
      <c r="DJ161" s="396"/>
      <c r="DK161" s="396"/>
      <c r="DL161" s="396"/>
      <c r="DM161" s="396"/>
      <c r="DN161" s="396"/>
      <c r="DO161" s="396"/>
      <c r="DP161" s="396"/>
      <c r="DQ161" s="396"/>
      <c r="DR161" s="396"/>
      <c r="DS161" s="396"/>
      <c r="DT161" s="396"/>
      <c r="DU161" s="396"/>
      <c r="DV161" s="396"/>
      <c r="DW161" s="396"/>
      <c r="DX161" s="396"/>
      <c r="DY161" s="396"/>
      <c r="DZ161" s="396"/>
      <c r="EA161" s="396"/>
      <c r="EB161" s="396"/>
      <c r="EC161" s="396"/>
      <c r="ED161" s="396"/>
      <c r="EE161" s="396"/>
      <c r="EF161" s="396"/>
    </row>
    <row r="162" spans="3:136" x14ac:dyDescent="0.25">
      <c r="CX162" s="280"/>
      <c r="CY162" s="280"/>
      <c r="CZ162" s="280"/>
      <c r="DA162" s="280"/>
      <c r="DI162" s="335"/>
      <c r="DJ162" s="335"/>
      <c r="DK162" s="335"/>
      <c r="DL162" s="335"/>
      <c r="DN162" s="335"/>
      <c r="DO162" s="335"/>
      <c r="DP162" s="335"/>
      <c r="DQ162" s="335"/>
      <c r="DR162" s="335"/>
      <c r="DS162" s="335"/>
      <c r="DT162" s="335"/>
      <c r="DU162" s="335"/>
      <c r="DV162" s="335"/>
      <c r="DW162" s="335"/>
      <c r="DX162" s="335"/>
      <c r="DY162" s="335"/>
      <c r="DZ162" s="335"/>
      <c r="EA162" s="335"/>
      <c r="EB162" s="335"/>
      <c r="EC162" s="335"/>
      <c r="ED162" s="335"/>
      <c r="EE162" s="335"/>
      <c r="EF162" s="335"/>
    </row>
    <row r="163" spans="3:136" x14ac:dyDescent="0.25">
      <c r="CX163" s="280"/>
      <c r="CY163" s="280"/>
      <c r="CZ163" s="280"/>
      <c r="DA163" s="280"/>
    </row>
    <row r="164" spans="3:136" x14ac:dyDescent="0.25">
      <c r="CX164" s="280"/>
      <c r="CY164" s="280"/>
      <c r="CZ164" s="280"/>
      <c r="DA164" s="280"/>
    </row>
    <row r="165" spans="3:136" x14ac:dyDescent="0.25">
      <c r="CY165" s="280"/>
      <c r="CZ165" s="280"/>
      <c r="DA165" s="280"/>
    </row>
  </sheetData>
  <mergeCells count="172">
    <mergeCell ref="A149:B149"/>
    <mergeCell ref="F154:F155"/>
    <mergeCell ref="A147:B148"/>
    <mergeCell ref="C147:C148"/>
    <mergeCell ref="D147:D148"/>
    <mergeCell ref="E147:E148"/>
    <mergeCell ref="F147:F148"/>
    <mergeCell ref="CG146:CJ147"/>
    <mergeCell ref="CK146:CN147"/>
    <mergeCell ref="CO146:CR147"/>
    <mergeCell ref="CS146:CV147"/>
    <mergeCell ref="CX146:DA147"/>
    <mergeCell ref="DB146:DE147"/>
    <mergeCell ref="DF146:DI147"/>
    <mergeCell ref="DJ146:DM147"/>
    <mergeCell ref="CX123:DA124"/>
    <mergeCell ref="DB123:DE124"/>
    <mergeCell ref="DF123:DI124"/>
    <mergeCell ref="DJ123:DM124"/>
    <mergeCell ref="CX139:DA140"/>
    <mergeCell ref="DB139:DE140"/>
    <mergeCell ref="DF139:DI140"/>
    <mergeCell ref="DJ139:DM140"/>
    <mergeCell ref="CS139:CV140"/>
    <mergeCell ref="CX4:DA5"/>
    <mergeCell ref="DB4:DE5"/>
    <mergeCell ref="DF4:DI5"/>
    <mergeCell ref="DJ4:DM5"/>
    <mergeCell ref="CX78:DA79"/>
    <mergeCell ref="DB78:DE79"/>
    <mergeCell ref="DF78:DI79"/>
    <mergeCell ref="DJ78:DM79"/>
    <mergeCell ref="A126:A132"/>
    <mergeCell ref="BZ123:CB124"/>
    <mergeCell ref="CC123:CE124"/>
    <mergeCell ref="CG123:CJ124"/>
    <mergeCell ref="CK123:CN124"/>
    <mergeCell ref="CO123:CR124"/>
    <mergeCell ref="CS123:CV124"/>
    <mergeCell ref="AI123:AL124"/>
    <mergeCell ref="AY123:BB124"/>
    <mergeCell ref="BO123:BR124"/>
    <mergeCell ref="BT123:BV124"/>
    <mergeCell ref="BW123:BY124"/>
    <mergeCell ref="AA124:AD124"/>
    <mergeCell ref="AE124:AH124"/>
    <mergeCell ref="AM124:AP124"/>
    <mergeCell ref="AQ124:AT124"/>
    <mergeCell ref="A133:A134"/>
    <mergeCell ref="A144:B144"/>
    <mergeCell ref="A135:B135"/>
    <mergeCell ref="A31:B31"/>
    <mergeCell ref="AU124:AX124"/>
    <mergeCell ref="BC124:BF124"/>
    <mergeCell ref="BG124:BJ124"/>
    <mergeCell ref="BK124:BN124"/>
    <mergeCell ref="A124:B125"/>
    <mergeCell ref="F124:F125"/>
    <mergeCell ref="G124:J124"/>
    <mergeCell ref="K124:N124"/>
    <mergeCell ref="O124:R124"/>
    <mergeCell ref="W124:Z124"/>
    <mergeCell ref="BK140:BN140"/>
    <mergeCell ref="A116:A117"/>
    <mergeCell ref="BG140:BJ140"/>
    <mergeCell ref="BG79:BJ79"/>
    <mergeCell ref="BK79:BN79"/>
    <mergeCell ref="A81:A92"/>
    <mergeCell ref="A93:A99"/>
    <mergeCell ref="A100:A104"/>
    <mergeCell ref="A107:A115"/>
    <mergeCell ref="S123:V124"/>
    <mergeCell ref="A140:B141"/>
    <mergeCell ref="F140:F141"/>
    <mergeCell ref="G140:J140"/>
    <mergeCell ref="K140:N140"/>
    <mergeCell ref="O140:R140"/>
    <mergeCell ref="W140:Z140"/>
    <mergeCell ref="AA140:AD140"/>
    <mergeCell ref="AE140:AH140"/>
    <mergeCell ref="AM140:AP140"/>
    <mergeCell ref="CG78:CJ79"/>
    <mergeCell ref="CK78:CN79"/>
    <mergeCell ref="CO78:CR79"/>
    <mergeCell ref="BW139:BY140"/>
    <mergeCell ref="BZ139:CB140"/>
    <mergeCell ref="CC139:CE140"/>
    <mergeCell ref="CG139:CJ140"/>
    <mergeCell ref="CK139:CN140"/>
    <mergeCell ref="CO139:CR140"/>
    <mergeCell ref="CS78:CV79"/>
    <mergeCell ref="A79:B80"/>
    <mergeCell ref="F79:F80"/>
    <mergeCell ref="G79:J79"/>
    <mergeCell ref="K79:N79"/>
    <mergeCell ref="O79:R79"/>
    <mergeCell ref="W79:Z79"/>
    <mergeCell ref="BK36:BN36"/>
    <mergeCell ref="A38:A49"/>
    <mergeCell ref="A50:A56"/>
    <mergeCell ref="A57:A61"/>
    <mergeCell ref="A64:A72"/>
    <mergeCell ref="A73:A74"/>
    <mergeCell ref="CC35:CE36"/>
    <mergeCell ref="A36:B37"/>
    <mergeCell ref="F36:F37"/>
    <mergeCell ref="G36:J36"/>
    <mergeCell ref="K36:N36"/>
    <mergeCell ref="O36:R36"/>
    <mergeCell ref="W36:Z36"/>
    <mergeCell ref="AA36:AD36"/>
    <mergeCell ref="AE36:AH36"/>
    <mergeCell ref="AM36:AP36"/>
    <mergeCell ref="AA79:AD79"/>
    <mergeCell ref="A26:A30"/>
    <mergeCell ref="BT35:BV36"/>
    <mergeCell ref="BW35:BY36"/>
    <mergeCell ref="BZ35:CB36"/>
    <mergeCell ref="AQ36:AT36"/>
    <mergeCell ref="AU36:AX36"/>
    <mergeCell ref="BC36:BF36"/>
    <mergeCell ref="BG36:BJ36"/>
    <mergeCell ref="AU5:AX5"/>
    <mergeCell ref="BC5:BF5"/>
    <mergeCell ref="BG5:BJ5"/>
    <mergeCell ref="BK5:BN5"/>
    <mergeCell ref="A7:A18"/>
    <mergeCell ref="A19:A25"/>
    <mergeCell ref="A5:B6"/>
    <mergeCell ref="F5:F6"/>
    <mergeCell ref="G5:J5"/>
    <mergeCell ref="K5:N5"/>
    <mergeCell ref="O5:R5"/>
    <mergeCell ref="W5:Z5"/>
    <mergeCell ref="BZ4:CB5"/>
    <mergeCell ref="C5:C6"/>
    <mergeCell ref="CG4:CJ5"/>
    <mergeCell ref="CK4:CN5"/>
    <mergeCell ref="CO4:CR5"/>
    <mergeCell ref="CS4:CV5"/>
    <mergeCell ref="S4:V5"/>
    <mergeCell ref="AI4:AL5"/>
    <mergeCell ref="AY4:BB5"/>
    <mergeCell ref="BO4:BR5"/>
    <mergeCell ref="BT4:BV5"/>
    <mergeCell ref="BW4:BY5"/>
    <mergeCell ref="AA5:AD5"/>
    <mergeCell ref="AE5:AH5"/>
    <mergeCell ref="AM5:AP5"/>
    <mergeCell ref="AQ5:AT5"/>
    <mergeCell ref="C124:C125"/>
    <mergeCell ref="D5:D6"/>
    <mergeCell ref="D124:D125"/>
    <mergeCell ref="E5:E6"/>
    <mergeCell ref="E124:E125"/>
    <mergeCell ref="C140:C141"/>
    <mergeCell ref="D140:D141"/>
    <mergeCell ref="E140:E141"/>
    <mergeCell ref="CC4:CE5"/>
    <mergeCell ref="AE79:AH79"/>
    <mergeCell ref="AM79:AP79"/>
    <mergeCell ref="AQ79:AT79"/>
    <mergeCell ref="AU79:AX79"/>
    <mergeCell ref="BC79:BF79"/>
    <mergeCell ref="S139:V140"/>
    <mergeCell ref="AI139:AL140"/>
    <mergeCell ref="AY139:BB140"/>
    <mergeCell ref="BO139:BR140"/>
    <mergeCell ref="BT139:BV140"/>
    <mergeCell ref="AQ140:AT140"/>
    <mergeCell ref="AU140:AX140"/>
    <mergeCell ref="BC140:BF140"/>
  </mergeCells>
  <pageMargins left="0.25" right="0.25" top="0.75" bottom="0.75" header="0.3" footer="0.3"/>
  <pageSetup paperSize="9" scale="2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E92C-344B-4FA3-B4D0-A1250B3D9F5A}">
  <sheetPr>
    <pageSetUpPr fitToPage="1"/>
  </sheetPr>
  <dimension ref="A1:EG165"/>
  <sheetViews>
    <sheetView workbookViewId="0">
      <selection activeCell="DV159" sqref="DV159"/>
    </sheetView>
  </sheetViews>
  <sheetFormatPr defaultRowHeight="15" outlineLevelCol="1" x14ac:dyDescent="0.25"/>
  <cols>
    <col min="1" max="1" width="14.42578125" style="280" bestFit="1" customWidth="1"/>
    <col min="2" max="2" width="9.140625" style="280"/>
    <col min="3" max="5" width="10.140625" style="335" hidden="1" customWidth="1"/>
    <col min="6" max="6" width="10.140625" style="335" bestFit="1" customWidth="1"/>
    <col min="7" max="18" width="9.140625" style="280" hidden="1" customWidth="1" outlineLevel="1"/>
    <col min="19" max="19" width="9.140625" style="280" hidden="1" customWidth="1" collapsed="1"/>
    <col min="20" max="22" width="9.140625" style="280" hidden="1" customWidth="1"/>
    <col min="23" max="34" width="9.140625" style="280" hidden="1" customWidth="1" outlineLevel="1"/>
    <col min="35" max="35" width="9.140625" style="280" hidden="1" customWidth="1" collapsed="1"/>
    <col min="36" max="38" width="9.140625" style="280" hidden="1" customWidth="1"/>
    <col min="39" max="50" width="9.140625" style="280" hidden="1" customWidth="1" outlineLevel="1"/>
    <col min="51" max="51" width="9.140625" style="280" hidden="1" customWidth="1" collapsed="1"/>
    <col min="52" max="54" width="9.140625" style="280" hidden="1" customWidth="1"/>
    <col min="55" max="65" width="9.140625" style="280" hidden="1" customWidth="1" outlineLevel="1"/>
    <col min="66" max="66" width="9.140625" style="597" hidden="1" customWidth="1" outlineLevel="1"/>
    <col min="67" max="67" width="9.140625" style="280" hidden="1" customWidth="1" collapsed="1"/>
    <col min="68" max="70" width="9.140625" style="280" hidden="1" customWidth="1"/>
    <col min="71" max="71" width="1.28515625" style="280" hidden="1" customWidth="1"/>
    <col min="72" max="83" width="12.7109375" style="280" hidden="1" customWidth="1"/>
    <col min="84" max="84" width="1.28515625" style="280" hidden="1" customWidth="1"/>
    <col min="85" max="85" width="10.140625" style="280" hidden="1" customWidth="1"/>
    <col min="86" max="86" width="9.7109375" style="280" hidden="1" customWidth="1"/>
    <col min="87" max="98" width="9.140625" style="280" hidden="1" customWidth="1"/>
    <col min="99" max="99" width="10.140625" style="280" hidden="1" customWidth="1"/>
    <col min="100" max="100" width="9.140625" style="280" hidden="1" customWidth="1"/>
    <col min="101" max="101" width="1.28515625" style="280" hidden="1" customWidth="1"/>
    <col min="102" max="102" width="10.5703125" style="317" hidden="1" customWidth="1"/>
    <col min="103" max="105" width="9.140625" style="317" hidden="1" customWidth="1"/>
    <col min="106" max="117" width="9.140625" style="280" hidden="1" customWidth="1"/>
    <col min="118" max="118" width="20.28515625" style="280" hidden="1" customWidth="1"/>
    <col min="119" max="120" width="19.7109375" style="335" customWidth="1"/>
    <col min="121" max="121" width="0.5703125" style="280" customWidth="1"/>
    <col min="122" max="123" width="19.7109375" style="335" customWidth="1"/>
    <col min="124" max="16384" width="9.140625" style="280"/>
  </cols>
  <sheetData>
    <row r="1" spans="1:123" s="388" customFormat="1" ht="18.75" customHeight="1" x14ac:dyDescent="0.3">
      <c r="A1" s="391" t="s">
        <v>101</v>
      </c>
      <c r="C1" s="389"/>
      <c r="D1" s="389"/>
      <c r="E1" s="389"/>
      <c r="F1" s="389"/>
      <c r="BN1" s="591"/>
      <c r="CX1" s="390"/>
      <c r="CY1" s="390"/>
      <c r="CZ1" s="390"/>
      <c r="DA1" s="390"/>
      <c r="DO1" s="389"/>
      <c r="DP1" s="389"/>
      <c r="DR1" s="389"/>
      <c r="DS1" s="389"/>
    </row>
    <row r="2" spans="1:123" s="285" customFormat="1" x14ac:dyDescent="0.25">
      <c r="C2" s="365"/>
      <c r="D2" s="365"/>
      <c r="E2" s="365"/>
      <c r="F2" s="365"/>
      <c r="BN2" s="592"/>
      <c r="CX2" s="312"/>
      <c r="CY2" s="312"/>
      <c r="CZ2" s="312"/>
      <c r="DA2" s="312"/>
      <c r="DO2" s="365"/>
      <c r="DP2" s="365"/>
      <c r="DR2" s="365"/>
      <c r="DS2" s="365"/>
    </row>
    <row r="3" spans="1:123" s="285" customFormat="1" ht="15.75" thickBot="1" x14ac:dyDescent="0.3">
      <c r="A3" s="285" t="s">
        <v>75</v>
      </c>
      <c r="C3" s="365"/>
      <c r="D3" s="365"/>
      <c r="E3" s="365"/>
      <c r="F3" s="365"/>
      <c r="BN3" s="592"/>
      <c r="CX3" s="312"/>
      <c r="CY3" s="312"/>
      <c r="CZ3" s="312"/>
      <c r="DA3" s="312"/>
      <c r="DO3" s="365"/>
      <c r="DP3" s="365"/>
      <c r="DR3" s="365"/>
      <c r="DS3" s="365"/>
    </row>
    <row r="4" spans="1:123" s="285" customFormat="1" ht="15.75" customHeight="1" thickBot="1" x14ac:dyDescent="0.3">
      <c r="A4" s="287"/>
      <c r="B4" s="287"/>
      <c r="C4" s="366"/>
      <c r="D4" s="366"/>
      <c r="E4" s="366"/>
      <c r="F4" s="366"/>
      <c r="S4" s="501" t="s">
        <v>62</v>
      </c>
      <c r="T4" s="502"/>
      <c r="U4" s="502"/>
      <c r="V4" s="503"/>
      <c r="AI4" s="501" t="s">
        <v>59</v>
      </c>
      <c r="AJ4" s="502"/>
      <c r="AK4" s="502"/>
      <c r="AL4" s="503"/>
      <c r="AY4" s="501" t="s">
        <v>56</v>
      </c>
      <c r="AZ4" s="502"/>
      <c r="BA4" s="502"/>
      <c r="BB4" s="503"/>
      <c r="BN4" s="592"/>
      <c r="BO4" s="501" t="s">
        <v>53</v>
      </c>
      <c r="BP4" s="502"/>
      <c r="BQ4" s="502"/>
      <c r="BR4" s="503"/>
      <c r="BS4" s="292"/>
      <c r="BT4" s="507" t="s">
        <v>61</v>
      </c>
      <c r="BU4" s="508"/>
      <c r="BV4" s="509"/>
      <c r="BW4" s="507" t="s">
        <v>58</v>
      </c>
      <c r="BX4" s="508"/>
      <c r="BY4" s="509"/>
      <c r="BZ4" s="507" t="s">
        <v>55</v>
      </c>
      <c r="CA4" s="508"/>
      <c r="CB4" s="509"/>
      <c r="CC4" s="507" t="s">
        <v>52</v>
      </c>
      <c r="CD4" s="508"/>
      <c r="CE4" s="509"/>
      <c r="CF4" s="292"/>
      <c r="CG4" s="537" t="s">
        <v>60</v>
      </c>
      <c r="CH4" s="538"/>
      <c r="CI4" s="538"/>
      <c r="CJ4" s="539"/>
      <c r="CK4" s="513" t="s">
        <v>57</v>
      </c>
      <c r="CL4" s="514"/>
      <c r="CM4" s="514"/>
      <c r="CN4" s="515"/>
      <c r="CO4" s="513" t="s">
        <v>54</v>
      </c>
      <c r="CP4" s="514"/>
      <c r="CQ4" s="514"/>
      <c r="CR4" s="515"/>
      <c r="CS4" s="513" t="s">
        <v>51</v>
      </c>
      <c r="CT4" s="514"/>
      <c r="CU4" s="514"/>
      <c r="CV4" s="515"/>
      <c r="CW4" s="292"/>
      <c r="CX4" s="554" t="s">
        <v>63</v>
      </c>
      <c r="CY4" s="555"/>
      <c r="CZ4" s="555"/>
      <c r="DA4" s="556"/>
      <c r="DB4" s="560" t="s">
        <v>66</v>
      </c>
      <c r="DC4" s="561"/>
      <c r="DD4" s="561"/>
      <c r="DE4" s="562"/>
      <c r="DF4" s="560" t="s">
        <v>65</v>
      </c>
      <c r="DG4" s="561"/>
      <c r="DH4" s="561"/>
      <c r="DI4" s="562"/>
      <c r="DJ4" s="560" t="s">
        <v>64</v>
      </c>
      <c r="DK4" s="561"/>
      <c r="DL4" s="561"/>
      <c r="DM4" s="562"/>
      <c r="DO4" s="365"/>
      <c r="DP4" s="365"/>
      <c r="DR4" s="365"/>
      <c r="DS4" s="365"/>
    </row>
    <row r="5" spans="1:123" s="286" customFormat="1" x14ac:dyDescent="0.25">
      <c r="A5" s="523" t="s">
        <v>3</v>
      </c>
      <c r="B5" s="524"/>
      <c r="C5" s="535" t="s">
        <v>68</v>
      </c>
      <c r="D5" s="535" t="s">
        <v>69</v>
      </c>
      <c r="E5" s="535" t="s">
        <v>70</v>
      </c>
      <c r="F5" s="535" t="s">
        <v>67</v>
      </c>
      <c r="G5" s="498" t="s">
        <v>37</v>
      </c>
      <c r="H5" s="499"/>
      <c r="I5" s="499"/>
      <c r="J5" s="500"/>
      <c r="K5" s="498" t="s">
        <v>38</v>
      </c>
      <c r="L5" s="499"/>
      <c r="M5" s="499"/>
      <c r="N5" s="500"/>
      <c r="O5" s="498" t="s">
        <v>39</v>
      </c>
      <c r="P5" s="499"/>
      <c r="Q5" s="499"/>
      <c r="R5" s="519"/>
      <c r="S5" s="504"/>
      <c r="T5" s="505"/>
      <c r="U5" s="505"/>
      <c r="V5" s="506"/>
      <c r="W5" s="498" t="s">
        <v>40</v>
      </c>
      <c r="X5" s="499"/>
      <c r="Y5" s="499"/>
      <c r="Z5" s="500"/>
      <c r="AA5" s="498" t="s">
        <v>11</v>
      </c>
      <c r="AB5" s="499"/>
      <c r="AC5" s="499"/>
      <c r="AD5" s="500"/>
      <c r="AE5" s="498" t="s">
        <v>41</v>
      </c>
      <c r="AF5" s="499"/>
      <c r="AG5" s="499"/>
      <c r="AH5" s="500"/>
      <c r="AI5" s="504"/>
      <c r="AJ5" s="505"/>
      <c r="AK5" s="505"/>
      <c r="AL5" s="506"/>
      <c r="AM5" s="498" t="s">
        <v>42</v>
      </c>
      <c r="AN5" s="499"/>
      <c r="AO5" s="499"/>
      <c r="AP5" s="500"/>
      <c r="AQ5" s="498" t="s">
        <v>43</v>
      </c>
      <c r="AR5" s="499"/>
      <c r="AS5" s="499"/>
      <c r="AT5" s="500"/>
      <c r="AU5" s="498" t="s">
        <v>44</v>
      </c>
      <c r="AV5" s="499"/>
      <c r="AW5" s="499"/>
      <c r="AX5" s="500"/>
      <c r="AY5" s="504"/>
      <c r="AZ5" s="505"/>
      <c r="BA5" s="505"/>
      <c r="BB5" s="506"/>
      <c r="BC5" s="498" t="s">
        <v>45</v>
      </c>
      <c r="BD5" s="499"/>
      <c r="BE5" s="499"/>
      <c r="BF5" s="500"/>
      <c r="BG5" s="498" t="s">
        <v>46</v>
      </c>
      <c r="BH5" s="499"/>
      <c r="BI5" s="499"/>
      <c r="BJ5" s="500"/>
      <c r="BK5" s="498" t="s">
        <v>47</v>
      </c>
      <c r="BL5" s="499"/>
      <c r="BM5" s="499"/>
      <c r="BN5" s="500"/>
      <c r="BO5" s="504"/>
      <c r="BP5" s="505"/>
      <c r="BQ5" s="505"/>
      <c r="BR5" s="506"/>
      <c r="BS5" s="292"/>
      <c r="BT5" s="510"/>
      <c r="BU5" s="511"/>
      <c r="BV5" s="512"/>
      <c r="BW5" s="510"/>
      <c r="BX5" s="511"/>
      <c r="BY5" s="512"/>
      <c r="BZ5" s="510"/>
      <c r="CA5" s="511"/>
      <c r="CB5" s="512"/>
      <c r="CC5" s="510"/>
      <c r="CD5" s="511"/>
      <c r="CE5" s="512"/>
      <c r="CF5" s="292"/>
      <c r="CG5" s="540"/>
      <c r="CH5" s="541"/>
      <c r="CI5" s="541"/>
      <c r="CJ5" s="542"/>
      <c r="CK5" s="516"/>
      <c r="CL5" s="517"/>
      <c r="CM5" s="517"/>
      <c r="CN5" s="518"/>
      <c r="CO5" s="516"/>
      <c r="CP5" s="517"/>
      <c r="CQ5" s="517"/>
      <c r="CR5" s="518"/>
      <c r="CS5" s="516"/>
      <c r="CT5" s="517"/>
      <c r="CU5" s="517"/>
      <c r="CV5" s="518"/>
      <c r="CW5" s="292"/>
      <c r="CX5" s="557"/>
      <c r="CY5" s="558"/>
      <c r="CZ5" s="558"/>
      <c r="DA5" s="559"/>
      <c r="DB5" s="563"/>
      <c r="DC5" s="564"/>
      <c r="DD5" s="564"/>
      <c r="DE5" s="565"/>
      <c r="DF5" s="563"/>
      <c r="DG5" s="564"/>
      <c r="DH5" s="564"/>
      <c r="DI5" s="565"/>
      <c r="DJ5" s="563"/>
      <c r="DK5" s="564"/>
      <c r="DL5" s="564"/>
      <c r="DM5" s="565"/>
      <c r="DO5" s="587">
        <v>2024</v>
      </c>
      <c r="DP5" s="588"/>
      <c r="DQ5" s="285"/>
      <c r="DR5" s="587">
        <v>2025</v>
      </c>
      <c r="DS5" s="588"/>
    </row>
    <row r="6" spans="1:123" s="286" customFormat="1" ht="30.75" thickBot="1" x14ac:dyDescent="0.3">
      <c r="A6" s="582"/>
      <c r="B6" s="583"/>
      <c r="C6" s="584"/>
      <c r="D6" s="584"/>
      <c r="E6" s="584"/>
      <c r="F6" s="584"/>
      <c r="G6" s="424">
        <v>2022</v>
      </c>
      <c r="H6" s="425">
        <v>2023</v>
      </c>
      <c r="I6" s="425">
        <v>2024</v>
      </c>
      <c r="J6" s="426">
        <v>2025</v>
      </c>
      <c r="K6" s="424">
        <v>2022</v>
      </c>
      <c r="L6" s="425">
        <v>2023</v>
      </c>
      <c r="M6" s="425">
        <v>2024</v>
      </c>
      <c r="N6" s="426">
        <v>2025</v>
      </c>
      <c r="O6" s="424">
        <v>2022</v>
      </c>
      <c r="P6" s="425">
        <v>2023</v>
      </c>
      <c r="Q6" s="425">
        <v>2024</v>
      </c>
      <c r="R6" s="427">
        <v>2025</v>
      </c>
      <c r="S6" s="424">
        <v>2022</v>
      </c>
      <c r="T6" s="425">
        <v>2023</v>
      </c>
      <c r="U6" s="425">
        <v>2024</v>
      </c>
      <c r="V6" s="426">
        <v>2025</v>
      </c>
      <c r="W6" s="424">
        <v>2022</v>
      </c>
      <c r="X6" s="425">
        <v>2023</v>
      </c>
      <c r="Y6" s="425">
        <v>2024</v>
      </c>
      <c r="Z6" s="426">
        <v>2025</v>
      </c>
      <c r="AA6" s="424">
        <v>2022</v>
      </c>
      <c r="AB6" s="425">
        <v>2023</v>
      </c>
      <c r="AC6" s="425">
        <v>2024</v>
      </c>
      <c r="AD6" s="426">
        <v>2025</v>
      </c>
      <c r="AE6" s="424">
        <v>2022</v>
      </c>
      <c r="AF6" s="425">
        <v>2023</v>
      </c>
      <c r="AG6" s="425">
        <v>2024</v>
      </c>
      <c r="AH6" s="426">
        <v>2025</v>
      </c>
      <c r="AI6" s="424">
        <v>2022</v>
      </c>
      <c r="AJ6" s="425">
        <v>2023</v>
      </c>
      <c r="AK6" s="425">
        <v>2024</v>
      </c>
      <c r="AL6" s="426">
        <v>2025</v>
      </c>
      <c r="AM6" s="424">
        <v>2022</v>
      </c>
      <c r="AN6" s="425">
        <v>2023</v>
      </c>
      <c r="AO6" s="425">
        <v>2024</v>
      </c>
      <c r="AP6" s="426">
        <v>2025</v>
      </c>
      <c r="AQ6" s="424">
        <v>2022</v>
      </c>
      <c r="AR6" s="425">
        <v>2023</v>
      </c>
      <c r="AS6" s="425">
        <v>2024</v>
      </c>
      <c r="AT6" s="426">
        <v>2025</v>
      </c>
      <c r="AU6" s="424">
        <v>2022</v>
      </c>
      <c r="AV6" s="425">
        <v>2023</v>
      </c>
      <c r="AW6" s="425">
        <v>2024</v>
      </c>
      <c r="AX6" s="426">
        <v>2025</v>
      </c>
      <c r="AY6" s="424">
        <v>2022</v>
      </c>
      <c r="AZ6" s="425">
        <v>2023</v>
      </c>
      <c r="BA6" s="425">
        <v>2024</v>
      </c>
      <c r="BB6" s="426">
        <v>2025</v>
      </c>
      <c r="BC6" s="424">
        <v>2022</v>
      </c>
      <c r="BD6" s="425">
        <v>2023</v>
      </c>
      <c r="BE6" s="425">
        <v>2024</v>
      </c>
      <c r="BF6" s="426">
        <v>2025</v>
      </c>
      <c r="BG6" s="424">
        <v>2022</v>
      </c>
      <c r="BH6" s="425">
        <v>2023</v>
      </c>
      <c r="BI6" s="425">
        <v>2024</v>
      </c>
      <c r="BJ6" s="426">
        <v>2025</v>
      </c>
      <c r="BK6" s="424">
        <v>2022</v>
      </c>
      <c r="BL6" s="425">
        <v>2023</v>
      </c>
      <c r="BM6" s="425">
        <v>2024</v>
      </c>
      <c r="BN6" s="593">
        <v>2025</v>
      </c>
      <c r="BO6" s="424">
        <v>2022</v>
      </c>
      <c r="BP6" s="425">
        <v>2023</v>
      </c>
      <c r="BQ6" s="425">
        <v>2024</v>
      </c>
      <c r="BR6" s="426">
        <v>2025</v>
      </c>
      <c r="BT6" s="424" t="s">
        <v>48</v>
      </c>
      <c r="BU6" s="425" t="s">
        <v>49</v>
      </c>
      <c r="BV6" s="426" t="s">
        <v>50</v>
      </c>
      <c r="BW6" s="424" t="s">
        <v>48</v>
      </c>
      <c r="BX6" s="425" t="s">
        <v>49</v>
      </c>
      <c r="BY6" s="426" t="s">
        <v>50</v>
      </c>
      <c r="BZ6" s="424" t="s">
        <v>48</v>
      </c>
      <c r="CA6" s="425" t="s">
        <v>49</v>
      </c>
      <c r="CB6" s="426" t="s">
        <v>50</v>
      </c>
      <c r="CC6" s="424" t="s">
        <v>48</v>
      </c>
      <c r="CD6" s="425" t="s">
        <v>49</v>
      </c>
      <c r="CE6" s="426" t="s">
        <v>50</v>
      </c>
      <c r="CG6" s="424">
        <v>2022</v>
      </c>
      <c r="CH6" s="425">
        <v>2023</v>
      </c>
      <c r="CI6" s="425">
        <v>2024</v>
      </c>
      <c r="CJ6" s="426">
        <v>2025</v>
      </c>
      <c r="CK6" s="424">
        <v>2022</v>
      </c>
      <c r="CL6" s="425">
        <v>2023</v>
      </c>
      <c r="CM6" s="425">
        <v>2024</v>
      </c>
      <c r="CN6" s="426">
        <v>2025</v>
      </c>
      <c r="CO6" s="424">
        <v>2022</v>
      </c>
      <c r="CP6" s="425">
        <v>2023</v>
      </c>
      <c r="CQ6" s="425">
        <v>2024</v>
      </c>
      <c r="CR6" s="426">
        <v>2025</v>
      </c>
      <c r="CS6" s="424">
        <v>2022</v>
      </c>
      <c r="CT6" s="425">
        <v>2023</v>
      </c>
      <c r="CU6" s="425">
        <v>2024</v>
      </c>
      <c r="CV6" s="426">
        <v>2025</v>
      </c>
      <c r="CX6" s="428">
        <v>2022</v>
      </c>
      <c r="CY6" s="429">
        <v>2023</v>
      </c>
      <c r="CZ6" s="429">
        <v>2024</v>
      </c>
      <c r="DA6" s="430">
        <v>2025</v>
      </c>
      <c r="DB6" s="424">
        <v>2022</v>
      </c>
      <c r="DC6" s="425">
        <v>2023</v>
      </c>
      <c r="DD6" s="425">
        <v>2024</v>
      </c>
      <c r="DE6" s="426">
        <v>2025</v>
      </c>
      <c r="DF6" s="424">
        <v>2022</v>
      </c>
      <c r="DG6" s="425">
        <v>2023</v>
      </c>
      <c r="DH6" s="425">
        <v>2024</v>
      </c>
      <c r="DI6" s="426">
        <v>2025</v>
      </c>
      <c r="DJ6" s="424">
        <v>2022</v>
      </c>
      <c r="DK6" s="425">
        <v>2023</v>
      </c>
      <c r="DL6" s="425">
        <v>2024</v>
      </c>
      <c r="DM6" s="426">
        <v>2025</v>
      </c>
      <c r="DO6" s="470" t="s">
        <v>98</v>
      </c>
      <c r="DP6" s="471" t="s">
        <v>99</v>
      </c>
      <c r="DQ6" s="469"/>
      <c r="DR6" s="470" t="s">
        <v>98</v>
      </c>
      <c r="DS6" s="471" t="s">
        <v>99</v>
      </c>
    </row>
    <row r="7" spans="1:123" x14ac:dyDescent="0.25">
      <c r="A7" s="520" t="s">
        <v>21</v>
      </c>
      <c r="B7" s="23">
        <v>1</v>
      </c>
      <c r="C7" s="367">
        <v>53.2</v>
      </c>
      <c r="D7" s="367">
        <v>53.2</v>
      </c>
      <c r="E7" s="367">
        <v>53.2</v>
      </c>
      <c r="F7" s="367">
        <v>53.2</v>
      </c>
      <c r="G7" s="439">
        <f t="shared" ref="G7:G30" si="0">VLOOKUP(B7,year2022to23,72,FALSE)</f>
        <v>62.09</v>
      </c>
      <c r="H7" s="440">
        <f t="shared" ref="H7:H30" si="1">VLOOKUP(B7,year2022to23,132,FALSE)</f>
        <v>93.17</v>
      </c>
      <c r="I7" s="440">
        <f t="shared" ref="I7:I30" si="2">VLOOKUP(B7,year2022to23,192,FALSE)</f>
        <v>36.94</v>
      </c>
      <c r="J7" s="441">
        <f t="shared" ref="J7:J30" si="3">VLOOKUP(B7,year2022to23,252,FALSE)</f>
        <v>69.42</v>
      </c>
      <c r="K7" s="439">
        <f t="shared" ref="K7:K30" si="4">VLOOKUP(B7,year2022to23,77,FALSE)</f>
        <v>55.72</v>
      </c>
      <c r="L7" s="440">
        <f t="shared" ref="L7:L30" si="5">VLOOKUP(B7,year2022to23,137,FALSE)</f>
        <v>56.28</v>
      </c>
      <c r="M7" s="440">
        <f t="shared" ref="M7:M30" si="6">VLOOKUP(B7,year2022to23,197,FALSE)</f>
        <v>39.44</v>
      </c>
      <c r="N7" s="441">
        <f t="shared" ref="N7:N30" si="7">VLOOKUP(B7,year2022to23,257,FALSE)</f>
        <v>43.2</v>
      </c>
      <c r="O7" s="439">
        <f t="shared" ref="O7:O30" si="8">VLOOKUP(B7,year2022to23,82,FALSE)</f>
        <v>43.06</v>
      </c>
      <c r="P7" s="440">
        <f t="shared" ref="P7:P30" si="9">VLOOKUP(B7,year2022to23,142,FALSE)</f>
        <v>31.12</v>
      </c>
      <c r="Q7" s="440">
        <f t="shared" ref="Q7:Q30" si="10">VLOOKUP(B7,year2022to23,202,FALSE)</f>
        <v>27.55</v>
      </c>
      <c r="R7" s="442">
        <f t="shared" ref="R7:R30" si="11">VLOOKUP(B7,year2022to23,262,FALSE)</f>
        <v>71.900000000000006</v>
      </c>
      <c r="S7" s="439">
        <f>G7+K7+O7</f>
        <v>160.87</v>
      </c>
      <c r="T7" s="440">
        <f>H7+L7+P7</f>
        <v>180.57</v>
      </c>
      <c r="U7" s="440">
        <f>I7+M7+Q7</f>
        <v>103.92999999999999</v>
      </c>
      <c r="V7" s="441">
        <f>J7+N7+R7</f>
        <v>184.52</v>
      </c>
      <c r="W7" s="439">
        <f t="shared" ref="W7:W30" si="12">VLOOKUP(B7,year2022to23,87,FALSE)</f>
        <v>87.37</v>
      </c>
      <c r="X7" s="440">
        <f t="shared" ref="X7:X30" si="13">VLOOKUP(B7,year2022to23,147,FALSE)</f>
        <v>36.07</v>
      </c>
      <c r="Y7" s="440">
        <f t="shared" ref="Y7:Y30" si="14">VLOOKUP(B7,year2022to23,207,FALSE)</f>
        <v>34.130000000000003</v>
      </c>
      <c r="Z7" s="441">
        <f t="shared" ref="Z7:Z30" si="15">VLOOKUP(B7,year2022to23,267,FALSE)</f>
        <v>82.490000000000009</v>
      </c>
      <c r="AA7" s="439">
        <f t="shared" ref="AA7:AA30" si="16">VLOOKUP(B7,year2022to23,92,FALSE)</f>
        <v>52.38</v>
      </c>
      <c r="AB7" s="440">
        <f t="shared" ref="AB7:AB30" si="17">VLOOKUP(B7,year2022to23,152,FALSE)</f>
        <v>50.52</v>
      </c>
      <c r="AC7" s="440">
        <f t="shared" ref="AC7:AC30" si="18">VLOOKUP(B7,year2022to23,212,FALSE)</f>
        <v>58.91</v>
      </c>
      <c r="AD7" s="441">
        <f t="shared" ref="AD7:AD30" si="19">VLOOKUP(B7,year2022to23,272,FALSE)</f>
        <v>84.13</v>
      </c>
      <c r="AE7" s="439">
        <f t="shared" ref="AE7:AE30" si="20">VLOOKUP(B7,year2022to23,97,FALSE)</f>
        <v>54.89</v>
      </c>
      <c r="AF7" s="440">
        <f t="shared" ref="AF7:AF30" si="21">VLOOKUP(B7,year2022to23,157,FALSE)</f>
        <v>55.36</v>
      </c>
      <c r="AG7" s="440">
        <f t="shared" ref="AG7:AG30" si="22">VLOOKUP(B7,year2022to23,217,FALSE)</f>
        <v>54.04</v>
      </c>
      <c r="AH7" s="441">
        <f t="shared" ref="AH7:AH30" si="23">VLOOKUP(B7,year2022to23,277,FALSE)</f>
        <v>52.52</v>
      </c>
      <c r="AI7" s="439">
        <f>W7+AA7+AE7</f>
        <v>194.64</v>
      </c>
      <c r="AJ7" s="440">
        <f>X7+AB7+AF7</f>
        <v>141.94999999999999</v>
      </c>
      <c r="AK7" s="440">
        <f>Y7+AC7+AG7</f>
        <v>147.07999999999998</v>
      </c>
      <c r="AL7" s="441">
        <f>Z7+AD7+AH7</f>
        <v>219.14000000000001</v>
      </c>
      <c r="AM7" s="439">
        <f t="shared" ref="AM7:AM30" si="24">VLOOKUP(B7,year2022to23,102,FALSE)</f>
        <v>67.599999999999994</v>
      </c>
      <c r="AN7" s="440">
        <f t="shared" ref="AN7:AN30" si="25">VLOOKUP(B7,year2022to23,162,FALSE)</f>
        <v>46.79</v>
      </c>
      <c r="AO7" s="440">
        <f t="shared" ref="AO7:AO30" si="26">VLOOKUP(B7,year2022to23,222,FALSE)</f>
        <v>44.8</v>
      </c>
      <c r="AP7" s="441">
        <f t="shared" ref="AP7:AP30" si="27">VLOOKUP(B7,year2022to23,282,FALSE)</f>
        <v>45.54</v>
      </c>
      <c r="AQ7" s="439">
        <f t="shared" ref="AQ7:AQ30" si="28">VLOOKUP(B7,year2022to23,107,FALSE)</f>
        <v>45.84</v>
      </c>
      <c r="AR7" s="440">
        <f t="shared" ref="AR7:AR30" si="29">VLOOKUP(B7,year2022to23,167,FALSE)</f>
        <v>54.7</v>
      </c>
      <c r="AS7" s="440">
        <f t="shared" ref="AS7:AS30" si="30">VLOOKUP(B7,year2022to23,227,FALSE)</f>
        <v>65.94</v>
      </c>
      <c r="AT7" s="441">
        <f t="shared" ref="AT7:AT30" si="31">VLOOKUP(B7,year2022to23,287,FALSE)</f>
        <v>64.97999999999999</v>
      </c>
      <c r="AU7" s="439">
        <f t="shared" ref="AU7:AU30" si="32">VLOOKUP(B7,year2022to23,112,FALSE)</f>
        <v>70.95</v>
      </c>
      <c r="AV7" s="440">
        <f t="shared" ref="AV7:AV30" si="33">VLOOKUP(B7,year2022to23,172,FALSE)</f>
        <v>66.5</v>
      </c>
      <c r="AW7" s="440">
        <f>VLOOKUP(B7,year2022to23,232,FALSE)</f>
        <v>51.120000000000005</v>
      </c>
      <c r="AX7" s="441">
        <f>VLOOKUP(B7,year2022to23,292,FALSE)</f>
        <v>76.31</v>
      </c>
      <c r="AY7" s="439">
        <f>AM7+AQ7+AU7</f>
        <v>184.39</v>
      </c>
      <c r="AZ7" s="440">
        <f>AN7+AR7+AV7</f>
        <v>167.99</v>
      </c>
      <c r="BA7" s="440">
        <f>AO7+AS7+AW7</f>
        <v>161.86000000000001</v>
      </c>
      <c r="BB7" s="440">
        <f>AP7+AT7+AX7</f>
        <v>186.82999999999998</v>
      </c>
      <c r="BC7" s="439">
        <f t="shared" ref="BC7:BC30" si="34">VLOOKUP(B7,year2022to23,117,FALSE)</f>
        <v>71.67</v>
      </c>
      <c r="BD7" s="440">
        <f t="shared" ref="BD7:BD30" si="35">VLOOKUP(B7,year2022to23,177,FALSE)</f>
        <v>74.05</v>
      </c>
      <c r="BE7" s="440">
        <f t="shared" ref="BE7:BE30" si="36">VLOOKUP(B7,year2022to23,237,FALSE)</f>
        <v>108.35</v>
      </c>
      <c r="BF7" s="441">
        <f t="shared" ref="BF7:BF30" si="37">VLOOKUP(B7,year2022to23,297,FALSE)</f>
        <v>89.320000000000007</v>
      </c>
      <c r="BG7" s="439">
        <f t="shared" ref="BG7:BG30" si="38">VLOOKUP(B7,year2022to23,122,FALSE)</f>
        <v>65.84</v>
      </c>
      <c r="BH7" s="440">
        <f t="shared" ref="BH7:BH30" si="39">VLOOKUP(B7,year2022to23,182,FALSE)</f>
        <v>83.77000000000001</v>
      </c>
      <c r="BI7" s="440">
        <f t="shared" ref="BI7:BI30" si="40">VLOOKUP(B7,year2022to23,242,FALSE)</f>
        <v>103.85</v>
      </c>
      <c r="BJ7" s="328">
        <f t="shared" ref="BJ7:BJ30" si="41">VLOOKUP(B7,year2022to23,302,FALSE)</f>
        <v>123.33000000000001</v>
      </c>
      <c r="BK7" s="439">
        <f t="shared" ref="BK7:BK30" si="42">VLOOKUP(B7,year2022to23,127,FALSE)</f>
        <v>98.16</v>
      </c>
      <c r="BL7" s="440">
        <f t="shared" ref="BL7:BL30" si="43">VLOOKUP(B7,year2022to23,187,FALSE)</f>
        <v>57.010000000000005</v>
      </c>
      <c r="BM7" s="440">
        <f>VLOOKUP(B7,year2022to23,247,FALSE)</f>
        <v>82.070000000000007</v>
      </c>
      <c r="BN7" s="594">
        <f>VLOOKUP(B7,year2022to23,307,FALSE)</f>
        <v>106.65</v>
      </c>
      <c r="BO7" s="439">
        <f>BC7+BG7+BK7</f>
        <v>235.67</v>
      </c>
      <c r="BP7" s="440">
        <f>BD7+BH7+BL7</f>
        <v>214.82999999999998</v>
      </c>
      <c r="BQ7" s="440">
        <f>BE7+BI7+BM7</f>
        <v>294.27</v>
      </c>
      <c r="BR7" s="443"/>
      <c r="BS7" s="444"/>
      <c r="BT7" s="439">
        <f t="shared" ref="BT7:BV31" si="44">T7-S7</f>
        <v>19.699999999999989</v>
      </c>
      <c r="BU7" s="440">
        <f t="shared" si="44"/>
        <v>-76.64</v>
      </c>
      <c r="BV7" s="441">
        <f t="shared" si="44"/>
        <v>80.590000000000018</v>
      </c>
      <c r="BW7" s="439">
        <f t="shared" ref="BW7:BY31" si="45">AJ7-AI7</f>
        <v>-52.69</v>
      </c>
      <c r="BX7" s="440">
        <f t="shared" si="45"/>
        <v>5.1299999999999955</v>
      </c>
      <c r="BY7" s="441">
        <f t="shared" si="45"/>
        <v>72.060000000000031</v>
      </c>
      <c r="BZ7" s="439">
        <f t="shared" ref="BZ7:CB31" si="46">AZ7-AY7</f>
        <v>-16.399999999999977</v>
      </c>
      <c r="CA7" s="440">
        <f>BA7-AZ7</f>
        <v>-6.1299999999999955</v>
      </c>
      <c r="CB7" s="440">
        <f>BB7-BA7</f>
        <v>24.96999999999997</v>
      </c>
      <c r="CC7" s="439">
        <f>BP7-BO7</f>
        <v>-20.840000000000003</v>
      </c>
      <c r="CD7" s="440">
        <f>BQ7-BP7</f>
        <v>79.44</v>
      </c>
      <c r="CE7" s="443"/>
      <c r="CF7" s="444"/>
      <c r="CG7" s="439">
        <f t="shared" ref="CG7:CJ31" si="47">G7+K7+O7</f>
        <v>160.87</v>
      </c>
      <c r="CH7" s="440">
        <f t="shared" si="47"/>
        <v>180.57</v>
      </c>
      <c r="CI7" s="440">
        <f t="shared" si="47"/>
        <v>103.92999999999999</v>
      </c>
      <c r="CJ7" s="441">
        <f t="shared" si="47"/>
        <v>184.52</v>
      </c>
      <c r="CK7" s="439">
        <f t="shared" ref="CK7:CN31" si="48">CG7+W7+AA7+AE7</f>
        <v>355.51</v>
      </c>
      <c r="CL7" s="440">
        <f t="shared" si="48"/>
        <v>322.52</v>
      </c>
      <c r="CM7" s="440">
        <f t="shared" si="48"/>
        <v>251.01</v>
      </c>
      <c r="CN7" s="441">
        <f>CJ7+Z7+AD7+AH7</f>
        <v>403.65999999999997</v>
      </c>
      <c r="CO7" s="439">
        <f t="shared" ref="CO7:CR31" si="49">CK7+AM7+AQ7+AU7</f>
        <v>539.90000000000009</v>
      </c>
      <c r="CP7" s="440">
        <f t="shared" si="49"/>
        <v>490.51</v>
      </c>
      <c r="CQ7" s="440">
        <f>CM7+AO7+AS7+AW7</f>
        <v>412.87</v>
      </c>
      <c r="CR7" s="440">
        <f>CN7+AP7+AT7+AX7</f>
        <v>590.49</v>
      </c>
      <c r="CS7" s="439">
        <f t="shared" ref="CS7:CV31" si="50">CO7+BC7+BG7+BK7</f>
        <v>775.57</v>
      </c>
      <c r="CT7" s="440">
        <f t="shared" si="50"/>
        <v>705.33999999999992</v>
      </c>
      <c r="CU7" s="440">
        <f>CQ7+BE7+BI7+BM7</f>
        <v>707.1400000000001</v>
      </c>
      <c r="CV7" s="440">
        <f>CR7+BF7+BJ7+BN7</f>
        <v>909.79000000000008</v>
      </c>
      <c r="CW7" s="444"/>
      <c r="CX7" s="439">
        <f>CG7/C7</f>
        <v>3.0238721804511277</v>
      </c>
      <c r="CY7" s="439">
        <f>CH7/D7</f>
        <v>3.394172932330827</v>
      </c>
      <c r="CZ7" s="439">
        <f>CI7/E7</f>
        <v>1.9535714285714283</v>
      </c>
      <c r="DA7" s="439">
        <f>CJ7/F7</f>
        <v>3.4684210526315788</v>
      </c>
      <c r="DB7" s="439">
        <f>CK7/C7</f>
        <v>6.6825187969924809</v>
      </c>
      <c r="DC7" s="440">
        <f>CL7/D7</f>
        <v>6.0624060150375936</v>
      </c>
      <c r="DD7" s="440">
        <f>CM7/E7</f>
        <v>4.7182330827067664</v>
      </c>
      <c r="DE7" s="441">
        <f>CN7/F7</f>
        <v>7.587593984962405</v>
      </c>
      <c r="DF7" s="439">
        <f>CO7/C7</f>
        <v>10.148496240601505</v>
      </c>
      <c r="DG7" s="440">
        <f>CP7/D7</f>
        <v>9.2201127819548869</v>
      </c>
      <c r="DH7" s="440">
        <f>CQ7/E7</f>
        <v>7.7607142857142852</v>
      </c>
      <c r="DI7" s="440">
        <f>CR7/F7</f>
        <v>11.099436090225563</v>
      </c>
      <c r="DJ7" s="439">
        <f>CS7/C7</f>
        <v>14.578383458646616</v>
      </c>
      <c r="DK7" s="440">
        <f>CT7/D7</f>
        <v>13.258270676691726</v>
      </c>
      <c r="DL7" s="440">
        <f>CU7/E7</f>
        <v>13.292105263157897</v>
      </c>
      <c r="DM7" s="445"/>
      <c r="DN7" s="446"/>
      <c r="DO7" s="422">
        <v>707.1400000000001</v>
      </c>
      <c r="DP7" s="423">
        <v>13.292105263157897</v>
      </c>
      <c r="DQ7" s="446"/>
      <c r="DR7" s="439">
        <f>CV7</f>
        <v>909.79000000000008</v>
      </c>
      <c r="DS7" s="441">
        <f>DR7/F7</f>
        <v>17.101315789473684</v>
      </c>
    </row>
    <row r="8" spans="1:123" x14ac:dyDescent="0.25">
      <c r="A8" s="521"/>
      <c r="B8" s="55">
        <v>2</v>
      </c>
      <c r="C8" s="368">
        <v>60.4</v>
      </c>
      <c r="D8" s="368">
        <v>60.4</v>
      </c>
      <c r="E8" s="368">
        <v>60.4</v>
      </c>
      <c r="F8" s="368">
        <v>60.4</v>
      </c>
      <c r="G8" s="326">
        <f t="shared" si="0"/>
        <v>51.989999999999995</v>
      </c>
      <c r="H8" s="327">
        <f t="shared" si="1"/>
        <v>60.95</v>
      </c>
      <c r="I8" s="327">
        <f t="shared" si="2"/>
        <v>72.94</v>
      </c>
      <c r="J8" s="328">
        <f t="shared" si="3"/>
        <v>64.36</v>
      </c>
      <c r="K8" s="326">
        <f t="shared" si="4"/>
        <v>43.8</v>
      </c>
      <c r="L8" s="327">
        <f t="shared" si="5"/>
        <v>64.849999999999994</v>
      </c>
      <c r="M8" s="327">
        <f t="shared" si="6"/>
        <v>36.26</v>
      </c>
      <c r="N8" s="328">
        <f t="shared" si="7"/>
        <v>79.91</v>
      </c>
      <c r="O8" s="326">
        <f t="shared" si="8"/>
        <v>65.31</v>
      </c>
      <c r="P8" s="327">
        <f t="shared" si="9"/>
        <v>58.69</v>
      </c>
      <c r="Q8" s="327">
        <f t="shared" si="10"/>
        <v>39.31</v>
      </c>
      <c r="R8" s="334">
        <f t="shared" si="11"/>
        <v>91.039999999999992</v>
      </c>
      <c r="S8" s="326">
        <f t="shared" ref="S8:V30" si="51">G8+K8+O8</f>
        <v>161.1</v>
      </c>
      <c r="T8" s="327">
        <f t="shared" si="51"/>
        <v>184.49</v>
      </c>
      <c r="U8" s="327">
        <f t="shared" si="51"/>
        <v>148.51</v>
      </c>
      <c r="V8" s="328">
        <f t="shared" si="51"/>
        <v>235.30999999999997</v>
      </c>
      <c r="W8" s="326">
        <f t="shared" si="12"/>
        <v>51.57</v>
      </c>
      <c r="X8" s="327">
        <f t="shared" si="13"/>
        <v>40.72</v>
      </c>
      <c r="Y8" s="327">
        <f t="shared" si="14"/>
        <v>55.739999999999995</v>
      </c>
      <c r="Z8" s="328">
        <f t="shared" si="15"/>
        <v>74.37</v>
      </c>
      <c r="AA8" s="326">
        <f t="shared" si="16"/>
        <v>45</v>
      </c>
      <c r="AB8" s="327">
        <f t="shared" si="17"/>
        <v>44.45</v>
      </c>
      <c r="AC8" s="327">
        <f t="shared" si="18"/>
        <v>75.750000000000014</v>
      </c>
      <c r="AD8" s="328">
        <f t="shared" si="19"/>
        <v>93.050000000000011</v>
      </c>
      <c r="AE8" s="326">
        <f t="shared" si="20"/>
        <v>49.9</v>
      </c>
      <c r="AF8" s="327">
        <f t="shared" si="21"/>
        <v>37.950000000000003</v>
      </c>
      <c r="AG8" s="327">
        <f t="shared" si="22"/>
        <v>63.910000000000004</v>
      </c>
      <c r="AH8" s="328">
        <f t="shared" si="23"/>
        <v>39.56</v>
      </c>
      <c r="AI8" s="326">
        <f t="shared" ref="AI8:AL30" si="52">W8+AA8+AE8</f>
        <v>146.47</v>
      </c>
      <c r="AJ8" s="327">
        <f t="shared" si="52"/>
        <v>123.12</v>
      </c>
      <c r="AK8" s="327">
        <f t="shared" si="52"/>
        <v>195.4</v>
      </c>
      <c r="AL8" s="328">
        <f t="shared" si="52"/>
        <v>206.98000000000002</v>
      </c>
      <c r="AM8" s="326">
        <f t="shared" si="24"/>
        <v>40.17</v>
      </c>
      <c r="AN8" s="327">
        <f t="shared" si="25"/>
        <v>46.84</v>
      </c>
      <c r="AO8" s="327">
        <f t="shared" si="26"/>
        <v>51.46</v>
      </c>
      <c r="AP8" s="328">
        <f t="shared" si="27"/>
        <v>57.839999999999996</v>
      </c>
      <c r="AQ8" s="326">
        <f t="shared" si="28"/>
        <v>57.61</v>
      </c>
      <c r="AR8" s="327">
        <f t="shared" si="29"/>
        <v>52.89</v>
      </c>
      <c r="AS8" s="327">
        <f t="shared" si="30"/>
        <v>107.30000000000001</v>
      </c>
      <c r="AT8" s="328">
        <f t="shared" si="31"/>
        <v>51.16</v>
      </c>
      <c r="AU8" s="326">
        <f t="shared" si="32"/>
        <v>45.47</v>
      </c>
      <c r="AV8" s="327">
        <f t="shared" si="33"/>
        <v>63.92</v>
      </c>
      <c r="AW8" s="327">
        <f t="shared" ref="AW8:AW30" si="53">VLOOKUP(B8,year2022to23,232,FALSE)</f>
        <v>75.03</v>
      </c>
      <c r="AX8" s="328">
        <f t="shared" ref="AX8:AX30" si="54">VLOOKUP(B8,year2022to23,292,FALSE)</f>
        <v>76.25</v>
      </c>
      <c r="AY8" s="326">
        <f t="shared" ref="AY8:BB30" si="55">AM8+AQ8+AU8</f>
        <v>143.25</v>
      </c>
      <c r="AZ8" s="327">
        <f t="shared" si="55"/>
        <v>163.65</v>
      </c>
      <c r="BA8" s="327">
        <f t="shared" si="55"/>
        <v>233.79000000000002</v>
      </c>
      <c r="BB8" s="328">
        <f t="shared" si="55"/>
        <v>185.25</v>
      </c>
      <c r="BC8" s="326">
        <f t="shared" si="34"/>
        <v>85.67</v>
      </c>
      <c r="BD8" s="327">
        <f t="shared" si="35"/>
        <v>67.58</v>
      </c>
      <c r="BE8" s="327">
        <f t="shared" si="36"/>
        <v>84.31</v>
      </c>
      <c r="BF8" s="328">
        <f t="shared" si="37"/>
        <v>80.539999999999992</v>
      </c>
      <c r="BG8" s="326">
        <f t="shared" si="38"/>
        <v>59.79</v>
      </c>
      <c r="BH8" s="327">
        <f t="shared" si="39"/>
        <v>73.8</v>
      </c>
      <c r="BI8" s="327">
        <f t="shared" si="40"/>
        <v>95.713999999999999</v>
      </c>
      <c r="BJ8" s="328">
        <f t="shared" si="41"/>
        <v>124.18</v>
      </c>
      <c r="BK8" s="326">
        <f t="shared" si="42"/>
        <v>67.02000000000001</v>
      </c>
      <c r="BL8" s="327">
        <f t="shared" si="43"/>
        <v>89.22</v>
      </c>
      <c r="BM8" s="327">
        <f t="shared" ref="BM7:BM30" si="56">VLOOKUP(B8,year2022to23,247,FALSE)</f>
        <v>70.989999999999995</v>
      </c>
      <c r="BN8" s="595">
        <f>VLOOKUP(B8,year2022to23,307,FALSE)</f>
        <v>57.309999999999995</v>
      </c>
      <c r="BO8" s="326">
        <f t="shared" ref="BO8:BQ30" si="57">BC8+BG8+BK8</f>
        <v>212.48000000000002</v>
      </c>
      <c r="BP8" s="327">
        <f t="shared" si="57"/>
        <v>230.6</v>
      </c>
      <c r="BQ8" s="327">
        <f t="shared" si="57"/>
        <v>251.01400000000001</v>
      </c>
      <c r="BR8" s="329"/>
      <c r="BS8" s="335"/>
      <c r="BT8" s="326">
        <f t="shared" si="44"/>
        <v>23.390000000000015</v>
      </c>
      <c r="BU8" s="327">
        <f t="shared" si="44"/>
        <v>-35.980000000000018</v>
      </c>
      <c r="BV8" s="328">
        <f t="shared" si="44"/>
        <v>86.799999999999983</v>
      </c>
      <c r="BW8" s="326">
        <f t="shared" si="45"/>
        <v>-23.349999999999994</v>
      </c>
      <c r="BX8" s="327">
        <f t="shared" si="45"/>
        <v>72.28</v>
      </c>
      <c r="BY8" s="328">
        <f t="shared" si="45"/>
        <v>11.580000000000013</v>
      </c>
      <c r="BZ8" s="326">
        <f t="shared" si="46"/>
        <v>20.400000000000006</v>
      </c>
      <c r="CA8" s="327">
        <f t="shared" si="46"/>
        <v>70.140000000000015</v>
      </c>
      <c r="CB8" s="328">
        <f t="shared" si="46"/>
        <v>-48.54000000000002</v>
      </c>
      <c r="CC8" s="326">
        <f t="shared" ref="CC8:CE31" si="58">BP8-BO8</f>
        <v>18.119999999999976</v>
      </c>
      <c r="CD8" s="327">
        <f t="shared" si="58"/>
        <v>20.414000000000016</v>
      </c>
      <c r="CE8" s="329"/>
      <c r="CF8" s="335"/>
      <c r="CG8" s="326">
        <f t="shared" si="47"/>
        <v>161.1</v>
      </c>
      <c r="CH8" s="327">
        <f t="shared" si="47"/>
        <v>184.49</v>
      </c>
      <c r="CI8" s="327">
        <f t="shared" si="47"/>
        <v>148.51</v>
      </c>
      <c r="CJ8" s="328">
        <f t="shared" si="47"/>
        <v>235.30999999999997</v>
      </c>
      <c r="CK8" s="326">
        <f t="shared" si="48"/>
        <v>307.56999999999994</v>
      </c>
      <c r="CL8" s="327">
        <f t="shared" si="48"/>
        <v>307.61</v>
      </c>
      <c r="CM8" s="327">
        <f t="shared" si="48"/>
        <v>343.91</v>
      </c>
      <c r="CN8" s="328">
        <f t="shared" si="48"/>
        <v>442.28999999999996</v>
      </c>
      <c r="CO8" s="326">
        <f t="shared" si="49"/>
        <v>450.81999999999994</v>
      </c>
      <c r="CP8" s="327">
        <f t="shared" si="49"/>
        <v>471.26000000000005</v>
      </c>
      <c r="CQ8" s="327">
        <f t="shared" si="49"/>
        <v>577.70000000000005</v>
      </c>
      <c r="CR8" s="328">
        <f t="shared" si="49"/>
        <v>627.54</v>
      </c>
      <c r="CS8" s="326">
        <f t="shared" si="50"/>
        <v>663.29999999999984</v>
      </c>
      <c r="CT8" s="327">
        <f t="shared" si="50"/>
        <v>701.86</v>
      </c>
      <c r="CU8" s="327">
        <f t="shared" si="50"/>
        <v>828.71399999999994</v>
      </c>
      <c r="CV8" s="328">
        <f t="shared" si="50"/>
        <v>889.56999999999994</v>
      </c>
      <c r="CW8" s="335"/>
      <c r="CX8" s="326">
        <f t="shared" ref="CX8:DA31" si="59">CG8/C8</f>
        <v>2.6672185430463577</v>
      </c>
      <c r="CY8" s="327">
        <f t="shared" si="59"/>
        <v>3.0544701986754967</v>
      </c>
      <c r="CZ8" s="327">
        <f t="shared" si="59"/>
        <v>2.4587748344370861</v>
      </c>
      <c r="DA8" s="328">
        <f t="shared" si="59"/>
        <v>3.8958609271523175</v>
      </c>
      <c r="DB8" s="326">
        <f t="shared" ref="DB8:DE31" si="60">CK8/C8</f>
        <v>5.0922185430463562</v>
      </c>
      <c r="DC8" s="327">
        <f t="shared" si="60"/>
        <v>5.092880794701987</v>
      </c>
      <c r="DD8" s="327">
        <f t="shared" si="60"/>
        <v>5.6938741721854313</v>
      </c>
      <c r="DE8" s="328">
        <f t="shared" si="60"/>
        <v>7.3226821192052975</v>
      </c>
      <c r="DF8" s="326">
        <f t="shared" ref="DF8:DI31" si="61">CO8/C8</f>
        <v>7.4639072847682106</v>
      </c>
      <c r="DG8" s="327">
        <f t="shared" si="61"/>
        <v>7.8023178807947033</v>
      </c>
      <c r="DH8" s="327">
        <f t="shared" si="61"/>
        <v>9.5645695364238428</v>
      </c>
      <c r="DI8" s="327">
        <f t="shared" si="61"/>
        <v>10.389735099337749</v>
      </c>
      <c r="DJ8" s="326">
        <f t="shared" ref="DJ8:DL31" si="62">CS8/C8</f>
        <v>10.981788079470196</v>
      </c>
      <c r="DK8" s="327">
        <f t="shared" si="62"/>
        <v>11.62019867549669</v>
      </c>
      <c r="DL8" s="327">
        <f t="shared" si="62"/>
        <v>13.720430463576159</v>
      </c>
      <c r="DM8" s="324"/>
      <c r="DO8" s="326">
        <v>828.71399999999994</v>
      </c>
      <c r="DP8" s="328">
        <v>13.720430463576159</v>
      </c>
      <c r="DR8" s="326">
        <f t="shared" ref="DR8:DR31" si="63">CV8</f>
        <v>889.56999999999994</v>
      </c>
      <c r="DS8" s="328">
        <f t="shared" ref="DS8:DS31" si="64">DR8/F8</f>
        <v>14.72798013245033</v>
      </c>
    </row>
    <row r="9" spans="1:123" x14ac:dyDescent="0.25">
      <c r="A9" s="521"/>
      <c r="B9" s="55">
        <v>3</v>
      </c>
      <c r="C9" s="368">
        <v>69.2</v>
      </c>
      <c r="D9" s="368">
        <v>69.2</v>
      </c>
      <c r="E9" s="368">
        <v>69.2</v>
      </c>
      <c r="F9" s="368">
        <v>69.2</v>
      </c>
      <c r="G9" s="326">
        <f t="shared" si="0"/>
        <v>47.6</v>
      </c>
      <c r="H9" s="327">
        <f t="shared" si="1"/>
        <v>58.34</v>
      </c>
      <c r="I9" s="327">
        <f t="shared" si="2"/>
        <v>71.239999999999995</v>
      </c>
      <c r="J9" s="328">
        <f t="shared" si="3"/>
        <v>53.85</v>
      </c>
      <c r="K9" s="326">
        <f t="shared" si="4"/>
        <v>40.200000000000003</v>
      </c>
      <c r="L9" s="327">
        <f t="shared" si="5"/>
        <v>61.71</v>
      </c>
      <c r="M9" s="327">
        <f t="shared" si="6"/>
        <v>38.61</v>
      </c>
      <c r="N9" s="328">
        <f t="shared" si="7"/>
        <v>79.23</v>
      </c>
      <c r="O9" s="326">
        <f t="shared" si="8"/>
        <v>76.539999999999992</v>
      </c>
      <c r="P9" s="327">
        <f t="shared" si="9"/>
        <v>79.849999999999994</v>
      </c>
      <c r="Q9" s="327">
        <f t="shared" si="10"/>
        <v>15.600000000000001</v>
      </c>
      <c r="R9" s="334">
        <f t="shared" si="11"/>
        <v>59.150000000000006</v>
      </c>
      <c r="S9" s="326">
        <f t="shared" si="51"/>
        <v>164.34</v>
      </c>
      <c r="T9" s="327">
        <f t="shared" si="51"/>
        <v>199.9</v>
      </c>
      <c r="U9" s="327">
        <f t="shared" si="51"/>
        <v>125.44999999999999</v>
      </c>
      <c r="V9" s="328">
        <f t="shared" si="51"/>
        <v>192.23000000000002</v>
      </c>
      <c r="W9" s="326">
        <f t="shared" si="12"/>
        <v>52.65</v>
      </c>
      <c r="X9" s="327">
        <f t="shared" si="13"/>
        <v>32.980000000000004</v>
      </c>
      <c r="Y9" s="327">
        <f t="shared" si="14"/>
        <v>49.739999999999995</v>
      </c>
      <c r="Z9" s="328">
        <f t="shared" si="15"/>
        <v>104.87</v>
      </c>
      <c r="AA9" s="326">
        <f t="shared" si="16"/>
        <v>81.28</v>
      </c>
      <c r="AB9" s="327">
        <f t="shared" si="17"/>
        <v>60.01</v>
      </c>
      <c r="AC9" s="327">
        <f t="shared" si="18"/>
        <v>60.55</v>
      </c>
      <c r="AD9" s="328">
        <f t="shared" si="19"/>
        <v>73.77000000000001</v>
      </c>
      <c r="AE9" s="326">
        <f t="shared" si="20"/>
        <v>62.95</v>
      </c>
      <c r="AF9" s="327">
        <f t="shared" si="21"/>
        <v>57.480000000000004</v>
      </c>
      <c r="AG9" s="327">
        <f t="shared" si="22"/>
        <v>57.660000000000004</v>
      </c>
      <c r="AH9" s="328">
        <f t="shared" si="23"/>
        <v>65.569999999999993</v>
      </c>
      <c r="AI9" s="326">
        <f t="shared" si="52"/>
        <v>196.88</v>
      </c>
      <c r="AJ9" s="327">
        <f t="shared" si="52"/>
        <v>150.47000000000003</v>
      </c>
      <c r="AK9" s="327">
        <f t="shared" si="52"/>
        <v>167.95</v>
      </c>
      <c r="AL9" s="328">
        <f t="shared" si="52"/>
        <v>244.21</v>
      </c>
      <c r="AM9" s="326">
        <f t="shared" si="24"/>
        <v>56.239999999999995</v>
      </c>
      <c r="AN9" s="327">
        <f t="shared" si="25"/>
        <v>76.739999999999995</v>
      </c>
      <c r="AO9" s="327">
        <f t="shared" si="26"/>
        <v>65.39</v>
      </c>
      <c r="AP9" s="328">
        <f t="shared" si="27"/>
        <v>75.8</v>
      </c>
      <c r="AQ9" s="326">
        <f t="shared" si="28"/>
        <v>95.52000000000001</v>
      </c>
      <c r="AR9" s="327">
        <f t="shared" si="29"/>
        <v>73.83</v>
      </c>
      <c r="AS9" s="327">
        <f t="shared" si="30"/>
        <v>114.25</v>
      </c>
      <c r="AT9" s="328">
        <f t="shared" si="31"/>
        <v>92.330000000000013</v>
      </c>
      <c r="AU9" s="326">
        <f t="shared" si="32"/>
        <v>119.56</v>
      </c>
      <c r="AV9" s="327">
        <f t="shared" si="33"/>
        <v>109.43</v>
      </c>
      <c r="AW9" s="327">
        <f t="shared" si="53"/>
        <v>93.92</v>
      </c>
      <c r="AX9" s="328">
        <f t="shared" si="54"/>
        <v>92.47</v>
      </c>
      <c r="AY9" s="326">
        <f t="shared" si="55"/>
        <v>271.32</v>
      </c>
      <c r="AZ9" s="327">
        <f t="shared" si="55"/>
        <v>260</v>
      </c>
      <c r="BA9" s="327">
        <f t="shared" si="55"/>
        <v>273.56</v>
      </c>
      <c r="BB9" s="328">
        <f t="shared" si="55"/>
        <v>260.60000000000002</v>
      </c>
      <c r="BC9" s="326">
        <f t="shared" si="34"/>
        <v>166.7</v>
      </c>
      <c r="BD9" s="327">
        <f t="shared" si="35"/>
        <v>113.9</v>
      </c>
      <c r="BE9" s="327">
        <f t="shared" si="36"/>
        <v>146.82</v>
      </c>
      <c r="BF9" s="328">
        <f t="shared" si="37"/>
        <v>186.60000000000002</v>
      </c>
      <c r="BG9" s="326">
        <f t="shared" si="38"/>
        <v>83.02</v>
      </c>
      <c r="BH9" s="327">
        <f t="shared" si="39"/>
        <v>71.92</v>
      </c>
      <c r="BI9" s="327">
        <f t="shared" si="40"/>
        <v>61.61</v>
      </c>
      <c r="BJ9" s="328">
        <f t="shared" si="41"/>
        <v>122.1</v>
      </c>
      <c r="BK9" s="326">
        <f t="shared" si="42"/>
        <v>106.95</v>
      </c>
      <c r="BL9" s="327">
        <f t="shared" si="43"/>
        <v>53</v>
      </c>
      <c r="BM9" s="327">
        <f t="shared" si="56"/>
        <v>151.68</v>
      </c>
      <c r="BN9" s="595">
        <f>VLOOKUP(B9,year2022to23,307,FALSE)</f>
        <v>80.009999999999991</v>
      </c>
      <c r="BO9" s="326">
        <f t="shared" si="57"/>
        <v>356.66999999999996</v>
      </c>
      <c r="BP9" s="327">
        <f t="shared" si="57"/>
        <v>238.82</v>
      </c>
      <c r="BQ9" s="327">
        <f t="shared" si="57"/>
        <v>360.11</v>
      </c>
      <c r="BR9" s="329"/>
      <c r="BS9" s="335"/>
      <c r="BT9" s="326">
        <f t="shared" si="44"/>
        <v>35.56</v>
      </c>
      <c r="BU9" s="327">
        <f t="shared" si="44"/>
        <v>-74.450000000000017</v>
      </c>
      <c r="BV9" s="328">
        <f t="shared" si="44"/>
        <v>66.78000000000003</v>
      </c>
      <c r="BW9" s="326">
        <f t="shared" si="45"/>
        <v>-46.409999999999968</v>
      </c>
      <c r="BX9" s="327">
        <f t="shared" si="45"/>
        <v>17.479999999999961</v>
      </c>
      <c r="BY9" s="328">
        <f t="shared" si="45"/>
        <v>76.260000000000019</v>
      </c>
      <c r="BZ9" s="326">
        <f t="shared" si="46"/>
        <v>-11.319999999999993</v>
      </c>
      <c r="CA9" s="327">
        <f t="shared" si="46"/>
        <v>13.560000000000002</v>
      </c>
      <c r="CB9" s="328">
        <f t="shared" si="46"/>
        <v>-12.95999999999998</v>
      </c>
      <c r="CC9" s="326">
        <f t="shared" si="58"/>
        <v>-117.84999999999997</v>
      </c>
      <c r="CD9" s="327">
        <f t="shared" si="58"/>
        <v>121.29000000000002</v>
      </c>
      <c r="CE9" s="329"/>
      <c r="CF9" s="335"/>
      <c r="CG9" s="326">
        <f t="shared" si="47"/>
        <v>164.34</v>
      </c>
      <c r="CH9" s="327">
        <f t="shared" si="47"/>
        <v>199.9</v>
      </c>
      <c r="CI9" s="327">
        <f t="shared" si="47"/>
        <v>125.44999999999999</v>
      </c>
      <c r="CJ9" s="328">
        <f t="shared" si="47"/>
        <v>192.23000000000002</v>
      </c>
      <c r="CK9" s="326">
        <f t="shared" si="48"/>
        <v>361.21999999999997</v>
      </c>
      <c r="CL9" s="327">
        <f t="shared" si="48"/>
        <v>350.37</v>
      </c>
      <c r="CM9" s="327">
        <f t="shared" si="48"/>
        <v>293.40000000000003</v>
      </c>
      <c r="CN9" s="328">
        <f t="shared" si="48"/>
        <v>436.44</v>
      </c>
      <c r="CO9" s="326">
        <f t="shared" si="49"/>
        <v>632.54</v>
      </c>
      <c r="CP9" s="327">
        <f t="shared" si="49"/>
        <v>610.37</v>
      </c>
      <c r="CQ9" s="327">
        <f t="shared" si="49"/>
        <v>566.96</v>
      </c>
      <c r="CR9" s="328">
        <f t="shared" si="49"/>
        <v>697.04000000000008</v>
      </c>
      <c r="CS9" s="326">
        <f t="shared" si="50"/>
        <v>989.21</v>
      </c>
      <c r="CT9" s="327">
        <f t="shared" si="50"/>
        <v>849.18999999999994</v>
      </c>
      <c r="CU9" s="327">
        <f t="shared" si="50"/>
        <v>927.06999999999994</v>
      </c>
      <c r="CV9" s="328">
        <f t="shared" si="50"/>
        <v>1085.75</v>
      </c>
      <c r="CW9" s="335"/>
      <c r="CX9" s="326">
        <f t="shared" si="59"/>
        <v>2.3748554913294799</v>
      </c>
      <c r="CY9" s="327">
        <f t="shared" si="59"/>
        <v>2.8887283236994219</v>
      </c>
      <c r="CZ9" s="327">
        <f t="shared" si="59"/>
        <v>1.8128612716763004</v>
      </c>
      <c r="DA9" s="328">
        <f t="shared" si="59"/>
        <v>2.7778901734104049</v>
      </c>
      <c r="DB9" s="326">
        <f t="shared" si="60"/>
        <v>5.2199421965317914</v>
      </c>
      <c r="DC9" s="327">
        <f t="shared" si="60"/>
        <v>5.063150289017341</v>
      </c>
      <c r="DD9" s="327">
        <f t="shared" si="60"/>
        <v>4.2398843930635843</v>
      </c>
      <c r="DE9" s="328">
        <f t="shared" si="60"/>
        <v>6.3069364161849713</v>
      </c>
      <c r="DF9" s="326">
        <f t="shared" si="61"/>
        <v>9.1407514450867051</v>
      </c>
      <c r="DG9" s="327">
        <f t="shared" si="61"/>
        <v>8.8203757225433517</v>
      </c>
      <c r="DH9" s="327">
        <f t="shared" si="61"/>
        <v>8.1930635838150287</v>
      </c>
      <c r="DI9" s="327">
        <f t="shared" si="61"/>
        <v>10.072832369942198</v>
      </c>
      <c r="DJ9" s="326">
        <f t="shared" si="62"/>
        <v>14.294942196531792</v>
      </c>
      <c r="DK9" s="327">
        <f t="shared" si="62"/>
        <v>12.271531791907513</v>
      </c>
      <c r="DL9" s="327">
        <f t="shared" si="62"/>
        <v>13.396965317919074</v>
      </c>
      <c r="DM9" s="324"/>
      <c r="DO9" s="326">
        <v>927.06999999999994</v>
      </c>
      <c r="DP9" s="328">
        <v>13.396965317919074</v>
      </c>
      <c r="DR9" s="326">
        <f t="shared" si="63"/>
        <v>1085.75</v>
      </c>
      <c r="DS9" s="328">
        <f t="shared" si="64"/>
        <v>15.690028901734104</v>
      </c>
    </row>
    <row r="10" spans="1:123" x14ac:dyDescent="0.25">
      <c r="A10" s="521"/>
      <c r="B10" s="55">
        <v>4</v>
      </c>
      <c r="C10" s="368">
        <v>70.599999999999994</v>
      </c>
      <c r="D10" s="368">
        <v>70.599999999999994</v>
      </c>
      <c r="E10" s="368">
        <v>70.599999999999994</v>
      </c>
      <c r="F10" s="368">
        <v>70.599999999999994</v>
      </c>
      <c r="G10" s="326">
        <f t="shared" si="0"/>
        <v>92.69</v>
      </c>
      <c r="H10" s="327">
        <f t="shared" si="1"/>
        <v>115.94</v>
      </c>
      <c r="I10" s="327">
        <f t="shared" si="2"/>
        <v>76.839999999999989</v>
      </c>
      <c r="J10" s="328">
        <f t="shared" si="3"/>
        <v>106.11</v>
      </c>
      <c r="K10" s="326">
        <f t="shared" si="4"/>
        <v>53.92</v>
      </c>
      <c r="L10" s="327">
        <f t="shared" si="5"/>
        <v>57.12</v>
      </c>
      <c r="M10" s="327">
        <f t="shared" si="6"/>
        <v>55.71</v>
      </c>
      <c r="N10" s="328">
        <f t="shared" si="7"/>
        <v>64.010000000000005</v>
      </c>
      <c r="O10" s="326">
        <f t="shared" si="8"/>
        <v>63.88</v>
      </c>
      <c r="P10" s="327">
        <f t="shared" si="9"/>
        <v>67.13</v>
      </c>
      <c r="Q10" s="327">
        <f t="shared" si="10"/>
        <v>20.3</v>
      </c>
      <c r="R10" s="334">
        <f t="shared" si="11"/>
        <v>111.08000000000001</v>
      </c>
      <c r="S10" s="326">
        <f t="shared" si="51"/>
        <v>210.49</v>
      </c>
      <c r="T10" s="327">
        <f t="shared" si="51"/>
        <v>240.19</v>
      </c>
      <c r="U10" s="327">
        <f t="shared" si="51"/>
        <v>152.85</v>
      </c>
      <c r="V10" s="328">
        <f t="shared" si="51"/>
        <v>281.20000000000005</v>
      </c>
      <c r="W10" s="326">
        <f t="shared" si="12"/>
        <v>103.24</v>
      </c>
      <c r="X10" s="327">
        <f t="shared" si="13"/>
        <v>93.68</v>
      </c>
      <c r="Y10" s="327">
        <f t="shared" si="14"/>
        <v>54.88</v>
      </c>
      <c r="Z10" s="328">
        <f t="shared" si="15"/>
        <v>115.12</v>
      </c>
      <c r="AA10" s="326">
        <f t="shared" si="16"/>
        <v>81.430000000000007</v>
      </c>
      <c r="AB10" s="327">
        <f t="shared" si="17"/>
        <v>51.370000000000005</v>
      </c>
      <c r="AC10" s="327">
        <f t="shared" si="18"/>
        <v>76.83</v>
      </c>
      <c r="AD10" s="328">
        <f t="shared" si="19"/>
        <v>103.83</v>
      </c>
      <c r="AE10" s="326">
        <f t="shared" si="20"/>
        <v>56.7</v>
      </c>
      <c r="AF10" s="327">
        <f t="shared" si="21"/>
        <v>58.230000000000004</v>
      </c>
      <c r="AG10" s="327">
        <f t="shared" si="22"/>
        <v>65.08</v>
      </c>
      <c r="AH10" s="328">
        <f t="shared" si="23"/>
        <v>59.24</v>
      </c>
      <c r="AI10" s="326">
        <f t="shared" si="52"/>
        <v>241.37</v>
      </c>
      <c r="AJ10" s="327">
        <f t="shared" si="52"/>
        <v>203.28000000000003</v>
      </c>
      <c r="AK10" s="327">
        <f t="shared" si="52"/>
        <v>196.79000000000002</v>
      </c>
      <c r="AL10" s="328">
        <f t="shared" si="52"/>
        <v>278.19</v>
      </c>
      <c r="AM10" s="326">
        <f t="shared" si="24"/>
        <v>71.03</v>
      </c>
      <c r="AN10" s="327">
        <f t="shared" si="25"/>
        <v>67.95</v>
      </c>
      <c r="AO10" s="327">
        <f t="shared" si="26"/>
        <v>103.42</v>
      </c>
      <c r="AP10" s="328">
        <f t="shared" si="27"/>
        <v>53.76</v>
      </c>
      <c r="AQ10" s="326">
        <f t="shared" si="28"/>
        <v>78.089999999999989</v>
      </c>
      <c r="AR10" s="327">
        <f t="shared" si="29"/>
        <v>72.509999999999991</v>
      </c>
      <c r="AS10" s="327">
        <f t="shared" si="30"/>
        <v>94.57</v>
      </c>
      <c r="AT10" s="328">
        <f t="shared" si="31"/>
        <v>61.849999999999994</v>
      </c>
      <c r="AU10" s="326">
        <f t="shared" si="32"/>
        <v>172.08999999999997</v>
      </c>
      <c r="AV10" s="327">
        <f t="shared" si="33"/>
        <v>79.75</v>
      </c>
      <c r="AW10" s="327">
        <f t="shared" si="53"/>
        <v>127.55000000000001</v>
      </c>
      <c r="AX10" s="328">
        <f t="shared" si="54"/>
        <v>69.680000000000007</v>
      </c>
      <c r="AY10" s="326">
        <f t="shared" si="55"/>
        <v>321.20999999999998</v>
      </c>
      <c r="AZ10" s="327">
        <f t="shared" si="55"/>
        <v>220.20999999999998</v>
      </c>
      <c r="BA10" s="327">
        <f t="shared" si="55"/>
        <v>325.54000000000002</v>
      </c>
      <c r="BB10" s="328">
        <f t="shared" si="55"/>
        <v>185.29</v>
      </c>
      <c r="BC10" s="326">
        <f t="shared" si="34"/>
        <v>115.32</v>
      </c>
      <c r="BD10" s="327">
        <f t="shared" si="35"/>
        <v>89.35</v>
      </c>
      <c r="BE10" s="327">
        <f t="shared" si="36"/>
        <v>143.9</v>
      </c>
      <c r="BF10" s="328">
        <f t="shared" si="37"/>
        <v>116.65</v>
      </c>
      <c r="BG10" s="326">
        <f t="shared" si="38"/>
        <v>109.25</v>
      </c>
      <c r="BH10" s="327">
        <f t="shared" si="39"/>
        <v>91.68</v>
      </c>
      <c r="BI10" s="327">
        <f t="shared" si="40"/>
        <v>137.82300000000001</v>
      </c>
      <c r="BJ10" s="328">
        <f t="shared" si="41"/>
        <v>137.19999999999999</v>
      </c>
      <c r="BK10" s="326">
        <f t="shared" si="42"/>
        <v>82.56</v>
      </c>
      <c r="BL10" s="327">
        <f t="shared" si="43"/>
        <v>60.49</v>
      </c>
      <c r="BM10" s="327">
        <f t="shared" si="56"/>
        <v>70.53</v>
      </c>
      <c r="BN10" s="595">
        <f>VLOOKUP(B10,year2022to23,307,FALSE)</f>
        <v>65.040000000000006</v>
      </c>
      <c r="BO10" s="326">
        <f t="shared" si="57"/>
        <v>307.13</v>
      </c>
      <c r="BP10" s="327">
        <f t="shared" si="57"/>
        <v>241.52</v>
      </c>
      <c r="BQ10" s="327">
        <f t="shared" si="57"/>
        <v>352.25300000000004</v>
      </c>
      <c r="BR10" s="329"/>
      <c r="BS10" s="335"/>
      <c r="BT10" s="326">
        <f t="shared" si="44"/>
        <v>29.699999999999989</v>
      </c>
      <c r="BU10" s="327">
        <f t="shared" si="44"/>
        <v>-87.34</v>
      </c>
      <c r="BV10" s="328">
        <f t="shared" si="44"/>
        <v>128.35000000000005</v>
      </c>
      <c r="BW10" s="326">
        <f t="shared" si="45"/>
        <v>-38.089999999999975</v>
      </c>
      <c r="BX10" s="327">
        <f t="shared" si="45"/>
        <v>-6.4900000000000091</v>
      </c>
      <c r="BY10" s="328">
        <f t="shared" si="45"/>
        <v>81.399999999999977</v>
      </c>
      <c r="BZ10" s="326">
        <f t="shared" si="46"/>
        <v>-101</v>
      </c>
      <c r="CA10" s="327">
        <f t="shared" si="46"/>
        <v>105.33000000000004</v>
      </c>
      <c r="CB10" s="328">
        <f t="shared" si="46"/>
        <v>-140.25000000000003</v>
      </c>
      <c r="CC10" s="326">
        <f t="shared" si="58"/>
        <v>-65.609999999999985</v>
      </c>
      <c r="CD10" s="327">
        <f t="shared" si="58"/>
        <v>110.73300000000003</v>
      </c>
      <c r="CE10" s="329"/>
      <c r="CF10" s="335"/>
      <c r="CG10" s="326">
        <f t="shared" si="47"/>
        <v>210.49</v>
      </c>
      <c r="CH10" s="327">
        <f t="shared" si="47"/>
        <v>240.19</v>
      </c>
      <c r="CI10" s="327">
        <f t="shared" si="47"/>
        <v>152.85</v>
      </c>
      <c r="CJ10" s="328">
        <f t="shared" si="47"/>
        <v>281.20000000000005</v>
      </c>
      <c r="CK10" s="326">
        <f t="shared" si="48"/>
        <v>451.86</v>
      </c>
      <c r="CL10" s="327">
        <f t="shared" si="48"/>
        <v>443.47</v>
      </c>
      <c r="CM10" s="327">
        <f t="shared" si="48"/>
        <v>349.64</v>
      </c>
      <c r="CN10" s="328">
        <f t="shared" si="48"/>
        <v>559.39</v>
      </c>
      <c r="CO10" s="326">
        <f t="shared" si="49"/>
        <v>773.06999999999994</v>
      </c>
      <c r="CP10" s="327">
        <f t="shared" si="49"/>
        <v>663.68000000000006</v>
      </c>
      <c r="CQ10" s="327">
        <f t="shared" si="49"/>
        <v>675.18000000000006</v>
      </c>
      <c r="CR10" s="328">
        <f t="shared" si="49"/>
        <v>744.68000000000006</v>
      </c>
      <c r="CS10" s="326">
        <f t="shared" si="50"/>
        <v>1080.1999999999998</v>
      </c>
      <c r="CT10" s="327">
        <f t="shared" si="50"/>
        <v>905.2</v>
      </c>
      <c r="CU10" s="327">
        <f t="shared" si="50"/>
        <v>1027.433</v>
      </c>
      <c r="CV10" s="328">
        <f t="shared" si="50"/>
        <v>1063.57</v>
      </c>
      <c r="CW10" s="335"/>
      <c r="CX10" s="326">
        <f t="shared" si="59"/>
        <v>2.9814447592067994</v>
      </c>
      <c r="CY10" s="327">
        <f t="shared" si="59"/>
        <v>3.4021246458923513</v>
      </c>
      <c r="CZ10" s="327">
        <f t="shared" si="59"/>
        <v>2.1650141643059491</v>
      </c>
      <c r="DA10" s="328">
        <f t="shared" si="59"/>
        <v>3.9830028328611906</v>
      </c>
      <c r="DB10" s="326">
        <f t="shared" si="60"/>
        <v>6.4002832861189809</v>
      </c>
      <c r="DC10" s="327">
        <f t="shared" si="60"/>
        <v>6.2814447592068001</v>
      </c>
      <c r="DD10" s="327">
        <f t="shared" si="60"/>
        <v>4.9524079320113312</v>
      </c>
      <c r="DE10" s="328">
        <f t="shared" si="60"/>
        <v>7.9233711048158648</v>
      </c>
      <c r="DF10" s="326">
        <f t="shared" si="61"/>
        <v>10.95</v>
      </c>
      <c r="DG10" s="327">
        <f t="shared" si="61"/>
        <v>9.4005665722379614</v>
      </c>
      <c r="DH10" s="327">
        <f t="shared" si="61"/>
        <v>9.5634560906515595</v>
      </c>
      <c r="DI10" s="327">
        <f t="shared" si="61"/>
        <v>10.547875354107651</v>
      </c>
      <c r="DJ10" s="326">
        <f t="shared" si="62"/>
        <v>15.300283286118979</v>
      </c>
      <c r="DK10" s="327">
        <f t="shared" si="62"/>
        <v>12.821529745042495</v>
      </c>
      <c r="DL10" s="327">
        <f t="shared" si="62"/>
        <v>14.55287535410765</v>
      </c>
      <c r="DM10" s="324"/>
      <c r="DO10" s="326">
        <v>1027.433</v>
      </c>
      <c r="DP10" s="328">
        <v>14.55287535410765</v>
      </c>
      <c r="DR10" s="326">
        <f t="shared" si="63"/>
        <v>1063.57</v>
      </c>
      <c r="DS10" s="328">
        <f t="shared" si="64"/>
        <v>15.064730878186969</v>
      </c>
    </row>
    <row r="11" spans="1:123" x14ac:dyDescent="0.25">
      <c r="A11" s="521"/>
      <c r="B11" s="55">
        <v>5</v>
      </c>
      <c r="C11" s="368">
        <v>50.4</v>
      </c>
      <c r="D11" s="368">
        <v>50.4</v>
      </c>
      <c r="E11" s="368">
        <v>50.4</v>
      </c>
      <c r="F11" s="368">
        <v>50.4</v>
      </c>
      <c r="G11" s="326">
        <f t="shared" si="0"/>
        <v>63.64</v>
      </c>
      <c r="H11" s="327">
        <f t="shared" si="1"/>
        <v>39.22</v>
      </c>
      <c r="I11" s="327">
        <f t="shared" si="2"/>
        <v>45.32</v>
      </c>
      <c r="J11" s="328">
        <f t="shared" si="3"/>
        <v>50.88</v>
      </c>
      <c r="K11" s="326">
        <f t="shared" si="4"/>
        <v>32.69</v>
      </c>
      <c r="L11" s="327">
        <f t="shared" si="5"/>
        <v>37.86</v>
      </c>
      <c r="M11" s="327">
        <f t="shared" si="6"/>
        <v>26.16</v>
      </c>
      <c r="N11" s="328">
        <f t="shared" si="7"/>
        <v>51.14</v>
      </c>
      <c r="O11" s="326">
        <f t="shared" si="8"/>
        <v>51.55</v>
      </c>
      <c r="P11" s="327">
        <f t="shared" si="9"/>
        <v>44.35</v>
      </c>
      <c r="Q11" s="327">
        <f t="shared" si="10"/>
        <v>24.85</v>
      </c>
      <c r="R11" s="334">
        <f t="shared" si="11"/>
        <v>57.42</v>
      </c>
      <c r="S11" s="326">
        <f t="shared" si="51"/>
        <v>147.88</v>
      </c>
      <c r="T11" s="327">
        <f t="shared" si="51"/>
        <v>121.43</v>
      </c>
      <c r="U11" s="327">
        <f t="shared" si="51"/>
        <v>96.330000000000013</v>
      </c>
      <c r="V11" s="328">
        <f t="shared" si="51"/>
        <v>159.44</v>
      </c>
      <c r="W11" s="326">
        <f t="shared" si="12"/>
        <v>42.08</v>
      </c>
      <c r="X11" s="327">
        <f t="shared" si="13"/>
        <v>81.83</v>
      </c>
      <c r="Y11" s="327">
        <f t="shared" si="14"/>
        <v>44.879999999999995</v>
      </c>
      <c r="Z11" s="328">
        <f t="shared" si="15"/>
        <v>92.55</v>
      </c>
      <c r="AA11" s="326">
        <f t="shared" si="16"/>
        <v>68.12</v>
      </c>
      <c r="AB11" s="327">
        <f t="shared" si="17"/>
        <v>45.88</v>
      </c>
      <c r="AC11" s="327">
        <f t="shared" si="18"/>
        <v>66.300000000000011</v>
      </c>
      <c r="AD11" s="328">
        <f t="shared" si="19"/>
        <v>69.02</v>
      </c>
      <c r="AE11" s="326">
        <f t="shared" si="20"/>
        <v>55.98</v>
      </c>
      <c r="AF11" s="327">
        <f t="shared" si="21"/>
        <v>53.33</v>
      </c>
      <c r="AG11" s="327">
        <f t="shared" si="22"/>
        <v>36.520000000000003</v>
      </c>
      <c r="AH11" s="328">
        <f t="shared" si="23"/>
        <v>79.069999999999993</v>
      </c>
      <c r="AI11" s="326">
        <f t="shared" si="52"/>
        <v>166.18</v>
      </c>
      <c r="AJ11" s="327">
        <f t="shared" si="52"/>
        <v>181.04000000000002</v>
      </c>
      <c r="AK11" s="327">
        <f t="shared" si="52"/>
        <v>147.70000000000002</v>
      </c>
      <c r="AL11" s="328">
        <f t="shared" si="52"/>
        <v>240.64</v>
      </c>
      <c r="AM11" s="326">
        <f t="shared" si="24"/>
        <v>55.230000000000004</v>
      </c>
      <c r="AN11" s="327">
        <f t="shared" si="25"/>
        <v>68.52</v>
      </c>
      <c r="AO11" s="327">
        <f t="shared" si="26"/>
        <v>84.32</v>
      </c>
      <c r="AP11" s="328">
        <f t="shared" si="27"/>
        <v>58.260000000000005</v>
      </c>
      <c r="AQ11" s="326">
        <f t="shared" si="28"/>
        <v>80.91</v>
      </c>
      <c r="AR11" s="327">
        <f t="shared" si="29"/>
        <v>46.760000000000005</v>
      </c>
      <c r="AS11" s="327">
        <f t="shared" si="30"/>
        <v>63.39</v>
      </c>
      <c r="AT11" s="328">
        <f t="shared" si="31"/>
        <v>66.64</v>
      </c>
      <c r="AU11" s="326">
        <f t="shared" si="32"/>
        <v>69.92</v>
      </c>
      <c r="AV11" s="327">
        <f t="shared" si="33"/>
        <v>74.39</v>
      </c>
      <c r="AW11" s="327">
        <f t="shared" si="53"/>
        <v>114.38</v>
      </c>
      <c r="AX11" s="328">
        <f t="shared" si="54"/>
        <v>63.83</v>
      </c>
      <c r="AY11" s="326">
        <f t="shared" si="55"/>
        <v>206.06</v>
      </c>
      <c r="AZ11" s="327">
        <f t="shared" si="55"/>
        <v>189.67000000000002</v>
      </c>
      <c r="BA11" s="327">
        <f t="shared" si="55"/>
        <v>262.08999999999997</v>
      </c>
      <c r="BB11" s="328">
        <f t="shared" si="55"/>
        <v>188.73000000000002</v>
      </c>
      <c r="BC11" s="326">
        <f t="shared" si="34"/>
        <v>93.72</v>
      </c>
      <c r="BD11" s="327">
        <f t="shared" si="35"/>
        <v>76.599999999999994</v>
      </c>
      <c r="BE11" s="327">
        <f t="shared" si="36"/>
        <v>105.11999999999999</v>
      </c>
      <c r="BF11" s="328">
        <f t="shared" si="37"/>
        <v>64.44</v>
      </c>
      <c r="BG11" s="326">
        <f t="shared" si="38"/>
        <v>83.75</v>
      </c>
      <c r="BH11" s="327">
        <f t="shared" si="39"/>
        <v>66.23</v>
      </c>
      <c r="BI11" s="327">
        <f t="shared" si="40"/>
        <v>94.22999999999999</v>
      </c>
      <c r="BJ11" s="328">
        <f t="shared" si="41"/>
        <v>102.50999999999999</v>
      </c>
      <c r="BK11" s="326">
        <f t="shared" si="42"/>
        <v>104.35</v>
      </c>
      <c r="BL11" s="327">
        <f t="shared" si="43"/>
        <v>69.58</v>
      </c>
      <c r="BM11" s="327">
        <f t="shared" si="56"/>
        <v>76.289999999999992</v>
      </c>
      <c r="BN11" s="595">
        <f>VLOOKUP(B11,year2022to23,307,FALSE)</f>
        <v>79.53</v>
      </c>
      <c r="BO11" s="326">
        <f t="shared" si="57"/>
        <v>281.82</v>
      </c>
      <c r="BP11" s="327">
        <f t="shared" si="57"/>
        <v>212.40999999999997</v>
      </c>
      <c r="BQ11" s="327">
        <f t="shared" si="57"/>
        <v>275.64</v>
      </c>
      <c r="BR11" s="329"/>
      <c r="BS11" s="335"/>
      <c r="BT11" s="326">
        <f t="shared" si="44"/>
        <v>-26.449999999999989</v>
      </c>
      <c r="BU11" s="327">
        <f t="shared" si="44"/>
        <v>-25.099999999999994</v>
      </c>
      <c r="BV11" s="328">
        <f t="shared" si="44"/>
        <v>63.109999999999985</v>
      </c>
      <c r="BW11" s="326">
        <f t="shared" si="45"/>
        <v>14.860000000000014</v>
      </c>
      <c r="BX11" s="327">
        <f t="shared" si="45"/>
        <v>-33.340000000000003</v>
      </c>
      <c r="BY11" s="328">
        <f t="shared" si="45"/>
        <v>92.939999999999969</v>
      </c>
      <c r="BZ11" s="326">
        <f t="shared" si="46"/>
        <v>-16.389999999999986</v>
      </c>
      <c r="CA11" s="327">
        <f t="shared" si="46"/>
        <v>72.419999999999959</v>
      </c>
      <c r="CB11" s="328">
        <f t="shared" si="46"/>
        <v>-73.359999999999957</v>
      </c>
      <c r="CC11" s="326">
        <f t="shared" si="58"/>
        <v>-69.410000000000025</v>
      </c>
      <c r="CD11" s="327">
        <f t="shared" si="58"/>
        <v>63.230000000000018</v>
      </c>
      <c r="CE11" s="329"/>
      <c r="CF11" s="335"/>
      <c r="CG11" s="326">
        <f t="shared" si="47"/>
        <v>147.88</v>
      </c>
      <c r="CH11" s="327">
        <f t="shared" si="47"/>
        <v>121.43</v>
      </c>
      <c r="CI11" s="327">
        <f t="shared" si="47"/>
        <v>96.330000000000013</v>
      </c>
      <c r="CJ11" s="328">
        <f t="shared" si="47"/>
        <v>159.44</v>
      </c>
      <c r="CK11" s="326">
        <f t="shared" si="48"/>
        <v>314.06</v>
      </c>
      <c r="CL11" s="327">
        <f t="shared" si="48"/>
        <v>302.46999999999997</v>
      </c>
      <c r="CM11" s="327">
        <f t="shared" si="48"/>
        <v>244.03000000000003</v>
      </c>
      <c r="CN11" s="328">
        <f t="shared" si="48"/>
        <v>400.08</v>
      </c>
      <c r="CO11" s="326">
        <f t="shared" si="49"/>
        <v>520.12</v>
      </c>
      <c r="CP11" s="327">
        <f t="shared" si="49"/>
        <v>492.13999999999993</v>
      </c>
      <c r="CQ11" s="327">
        <f t="shared" si="49"/>
        <v>506.12</v>
      </c>
      <c r="CR11" s="328">
        <f t="shared" si="49"/>
        <v>588.81000000000006</v>
      </c>
      <c r="CS11" s="326">
        <f t="shared" si="50"/>
        <v>801.94</v>
      </c>
      <c r="CT11" s="327">
        <f t="shared" si="50"/>
        <v>704.55</v>
      </c>
      <c r="CU11" s="327">
        <f t="shared" si="50"/>
        <v>781.76</v>
      </c>
      <c r="CV11" s="328">
        <f t="shared" si="50"/>
        <v>835.29</v>
      </c>
      <c r="CW11" s="335"/>
      <c r="CX11" s="326">
        <f t="shared" si="59"/>
        <v>2.9341269841269839</v>
      </c>
      <c r="CY11" s="327">
        <f t="shared" si="59"/>
        <v>2.4093253968253969</v>
      </c>
      <c r="CZ11" s="327">
        <f t="shared" si="59"/>
        <v>1.9113095238095241</v>
      </c>
      <c r="DA11" s="328">
        <f t="shared" si="59"/>
        <v>3.1634920634920634</v>
      </c>
      <c r="DB11" s="326">
        <f t="shared" si="60"/>
        <v>6.2313492063492069</v>
      </c>
      <c r="DC11" s="327">
        <f t="shared" si="60"/>
        <v>6.0013888888888882</v>
      </c>
      <c r="DD11" s="327">
        <f t="shared" si="60"/>
        <v>4.8418650793650801</v>
      </c>
      <c r="DE11" s="328">
        <f t="shared" si="60"/>
        <v>7.9380952380952383</v>
      </c>
      <c r="DF11" s="326">
        <f t="shared" si="61"/>
        <v>10.31984126984127</v>
      </c>
      <c r="DG11" s="327">
        <f t="shared" si="61"/>
        <v>9.7646825396825392</v>
      </c>
      <c r="DH11" s="327">
        <f t="shared" si="61"/>
        <v>10.042063492063493</v>
      </c>
      <c r="DI11" s="327">
        <f t="shared" si="61"/>
        <v>11.682738095238097</v>
      </c>
      <c r="DJ11" s="326">
        <f t="shared" si="62"/>
        <v>15.911507936507938</v>
      </c>
      <c r="DK11" s="327">
        <f t="shared" si="62"/>
        <v>13.979166666666666</v>
      </c>
      <c r="DL11" s="327">
        <f t="shared" si="62"/>
        <v>15.511111111111111</v>
      </c>
      <c r="DM11" s="324"/>
      <c r="DO11" s="326">
        <v>781.76</v>
      </c>
      <c r="DP11" s="328">
        <v>15.511111111111111</v>
      </c>
      <c r="DR11" s="326">
        <f t="shared" si="63"/>
        <v>835.29</v>
      </c>
      <c r="DS11" s="328">
        <f t="shared" si="64"/>
        <v>16.573214285714286</v>
      </c>
    </row>
    <row r="12" spans="1:123" x14ac:dyDescent="0.25">
      <c r="A12" s="521"/>
      <c r="B12" s="55">
        <v>6</v>
      </c>
      <c r="C12" s="368">
        <v>58.6</v>
      </c>
      <c r="D12" s="368">
        <v>58.6</v>
      </c>
      <c r="E12" s="368">
        <v>58.6</v>
      </c>
      <c r="F12" s="368">
        <v>58.6</v>
      </c>
      <c r="G12" s="326">
        <f t="shared" si="0"/>
        <v>82.14</v>
      </c>
      <c r="H12" s="327">
        <f t="shared" si="1"/>
        <v>62.2</v>
      </c>
      <c r="I12" s="327">
        <f t="shared" si="2"/>
        <v>88.02</v>
      </c>
      <c r="J12" s="328">
        <f t="shared" si="3"/>
        <v>47.81</v>
      </c>
      <c r="K12" s="326">
        <f t="shared" si="4"/>
        <v>33.700000000000003</v>
      </c>
      <c r="L12" s="327">
        <f t="shared" si="5"/>
        <v>58.660000000000004</v>
      </c>
      <c r="M12" s="327">
        <f t="shared" si="6"/>
        <v>39.82</v>
      </c>
      <c r="N12" s="328">
        <f t="shared" si="7"/>
        <v>85.15</v>
      </c>
      <c r="O12" s="326">
        <f t="shared" si="8"/>
        <v>53.980000000000004</v>
      </c>
      <c r="P12" s="327">
        <f t="shared" si="9"/>
        <v>97.28</v>
      </c>
      <c r="Q12" s="327">
        <f t="shared" si="10"/>
        <v>27.39</v>
      </c>
      <c r="R12" s="334">
        <f t="shared" si="11"/>
        <v>43.95</v>
      </c>
      <c r="S12" s="326">
        <f t="shared" si="51"/>
        <v>169.82</v>
      </c>
      <c r="T12" s="327">
        <f t="shared" si="51"/>
        <v>218.14000000000001</v>
      </c>
      <c r="U12" s="327">
        <f t="shared" si="51"/>
        <v>155.23000000000002</v>
      </c>
      <c r="V12" s="328">
        <f t="shared" si="51"/>
        <v>176.91000000000003</v>
      </c>
      <c r="W12" s="326">
        <f t="shared" si="12"/>
        <v>82.02</v>
      </c>
      <c r="X12" s="327">
        <f t="shared" si="13"/>
        <v>47.78</v>
      </c>
      <c r="Y12" s="327">
        <f t="shared" si="14"/>
        <v>39.629999999999995</v>
      </c>
      <c r="Z12" s="328">
        <f t="shared" si="15"/>
        <v>88.86</v>
      </c>
      <c r="AA12" s="326">
        <f t="shared" si="16"/>
        <v>62.47</v>
      </c>
      <c r="AB12" s="327">
        <f t="shared" si="17"/>
        <v>60.03</v>
      </c>
      <c r="AC12" s="327">
        <f t="shared" si="18"/>
        <v>68.929999999999993</v>
      </c>
      <c r="AD12" s="328">
        <f t="shared" si="19"/>
        <v>56.379999999999995</v>
      </c>
      <c r="AE12" s="326">
        <f t="shared" si="20"/>
        <v>55.129999999999995</v>
      </c>
      <c r="AF12" s="327">
        <f t="shared" si="21"/>
        <v>97.64</v>
      </c>
      <c r="AG12" s="327">
        <f t="shared" si="22"/>
        <v>39.14</v>
      </c>
      <c r="AH12" s="328">
        <f t="shared" si="23"/>
        <v>93.49</v>
      </c>
      <c r="AI12" s="326">
        <f t="shared" si="52"/>
        <v>199.62</v>
      </c>
      <c r="AJ12" s="327">
        <f t="shared" si="52"/>
        <v>205.45</v>
      </c>
      <c r="AK12" s="327">
        <f t="shared" si="52"/>
        <v>147.69999999999999</v>
      </c>
      <c r="AL12" s="328">
        <f t="shared" si="52"/>
        <v>238.73000000000002</v>
      </c>
      <c r="AM12" s="326">
        <f t="shared" si="24"/>
        <v>59.97</v>
      </c>
      <c r="AN12" s="327">
        <f t="shared" si="25"/>
        <v>68.7</v>
      </c>
      <c r="AO12" s="327">
        <f t="shared" si="26"/>
        <v>127.84</v>
      </c>
      <c r="AP12" s="328">
        <f t="shared" si="27"/>
        <v>52.900000000000006</v>
      </c>
      <c r="AQ12" s="326">
        <f t="shared" si="28"/>
        <v>93.3</v>
      </c>
      <c r="AR12" s="327">
        <f t="shared" si="29"/>
        <v>69.800000000000011</v>
      </c>
      <c r="AS12" s="327">
        <f t="shared" si="30"/>
        <v>160.67000000000002</v>
      </c>
      <c r="AT12" s="328">
        <f t="shared" si="31"/>
        <v>80.460000000000008</v>
      </c>
      <c r="AU12" s="326">
        <f t="shared" si="32"/>
        <v>75.150000000000006</v>
      </c>
      <c r="AV12" s="327">
        <f t="shared" si="33"/>
        <v>84.59</v>
      </c>
      <c r="AW12" s="327">
        <f t="shared" si="53"/>
        <v>99.91</v>
      </c>
      <c r="AX12" s="328">
        <f t="shared" si="54"/>
        <v>79.11</v>
      </c>
      <c r="AY12" s="326">
        <f t="shared" si="55"/>
        <v>228.42</v>
      </c>
      <c r="AZ12" s="327">
        <f t="shared" si="55"/>
        <v>223.09</v>
      </c>
      <c r="BA12" s="327">
        <f t="shared" si="55"/>
        <v>388.41999999999996</v>
      </c>
      <c r="BB12" s="328">
        <f t="shared" si="55"/>
        <v>212.47000000000003</v>
      </c>
      <c r="BC12" s="326">
        <f t="shared" si="34"/>
        <v>124.62</v>
      </c>
      <c r="BD12" s="327">
        <f t="shared" si="35"/>
        <v>86</v>
      </c>
      <c r="BE12" s="327">
        <f t="shared" si="36"/>
        <v>113.91</v>
      </c>
      <c r="BF12" s="328">
        <f t="shared" si="37"/>
        <v>144.55000000000001</v>
      </c>
      <c r="BG12" s="326">
        <f t="shared" si="38"/>
        <v>138.05000000000001</v>
      </c>
      <c r="BH12" s="327">
        <f t="shared" si="39"/>
        <v>72.28</v>
      </c>
      <c r="BI12" s="327">
        <f t="shared" si="40"/>
        <v>101.49000000000001</v>
      </c>
      <c r="BJ12" s="328">
        <f t="shared" si="41"/>
        <v>63.34</v>
      </c>
      <c r="BK12" s="326">
        <f t="shared" si="42"/>
        <v>72.959999999999994</v>
      </c>
      <c r="BL12" s="327">
        <f t="shared" si="43"/>
        <v>44.85</v>
      </c>
      <c r="BM12" s="327">
        <f t="shared" si="56"/>
        <v>107.57</v>
      </c>
      <c r="BN12" s="595">
        <f>VLOOKUP(B12,year2022to23,307,FALSE)</f>
        <v>125.24</v>
      </c>
      <c r="BO12" s="326">
        <f t="shared" si="57"/>
        <v>335.63</v>
      </c>
      <c r="BP12" s="327">
        <f t="shared" si="57"/>
        <v>203.13</v>
      </c>
      <c r="BQ12" s="327">
        <f t="shared" si="57"/>
        <v>322.97000000000003</v>
      </c>
      <c r="BR12" s="329"/>
      <c r="BS12" s="335"/>
      <c r="BT12" s="326">
        <f t="shared" si="44"/>
        <v>48.320000000000022</v>
      </c>
      <c r="BU12" s="327">
        <f t="shared" si="44"/>
        <v>-62.91</v>
      </c>
      <c r="BV12" s="328">
        <f t="shared" si="44"/>
        <v>21.680000000000007</v>
      </c>
      <c r="BW12" s="326">
        <f t="shared" si="45"/>
        <v>5.8299999999999841</v>
      </c>
      <c r="BX12" s="327">
        <f t="shared" si="45"/>
        <v>-57.75</v>
      </c>
      <c r="BY12" s="328">
        <f t="shared" si="45"/>
        <v>91.03000000000003</v>
      </c>
      <c r="BZ12" s="326">
        <f t="shared" si="46"/>
        <v>-5.3299999999999841</v>
      </c>
      <c r="CA12" s="327">
        <f t="shared" si="46"/>
        <v>165.32999999999996</v>
      </c>
      <c r="CB12" s="328">
        <f t="shared" si="46"/>
        <v>-175.94999999999993</v>
      </c>
      <c r="CC12" s="326">
        <f t="shared" si="58"/>
        <v>-132.5</v>
      </c>
      <c r="CD12" s="327">
        <f t="shared" si="58"/>
        <v>119.84000000000003</v>
      </c>
      <c r="CE12" s="329"/>
      <c r="CF12" s="335"/>
      <c r="CG12" s="326">
        <f t="shared" si="47"/>
        <v>169.82</v>
      </c>
      <c r="CH12" s="327">
        <f t="shared" si="47"/>
        <v>218.14000000000001</v>
      </c>
      <c r="CI12" s="327">
        <f t="shared" si="47"/>
        <v>155.23000000000002</v>
      </c>
      <c r="CJ12" s="328">
        <f t="shared" si="47"/>
        <v>176.91000000000003</v>
      </c>
      <c r="CK12" s="326">
        <f t="shared" si="48"/>
        <v>369.43999999999994</v>
      </c>
      <c r="CL12" s="327">
        <f t="shared" si="48"/>
        <v>423.59000000000003</v>
      </c>
      <c r="CM12" s="327">
        <f t="shared" si="48"/>
        <v>302.93</v>
      </c>
      <c r="CN12" s="328">
        <f t="shared" si="48"/>
        <v>415.64000000000004</v>
      </c>
      <c r="CO12" s="326">
        <f t="shared" si="49"/>
        <v>597.8599999999999</v>
      </c>
      <c r="CP12" s="327">
        <f t="shared" si="49"/>
        <v>646.68000000000006</v>
      </c>
      <c r="CQ12" s="327">
        <f t="shared" si="49"/>
        <v>691.35</v>
      </c>
      <c r="CR12" s="328">
        <f t="shared" si="49"/>
        <v>628.11000000000013</v>
      </c>
      <c r="CS12" s="326">
        <f t="shared" si="50"/>
        <v>933.49</v>
      </c>
      <c r="CT12" s="327">
        <f t="shared" si="50"/>
        <v>849.81000000000006</v>
      </c>
      <c r="CU12" s="327">
        <f t="shared" si="50"/>
        <v>1014.3199999999999</v>
      </c>
      <c r="CV12" s="328">
        <f t="shared" si="50"/>
        <v>961.24000000000012</v>
      </c>
      <c r="CW12" s="335"/>
      <c r="CX12" s="326">
        <f t="shared" si="59"/>
        <v>2.8979522184300341</v>
      </c>
      <c r="CY12" s="327">
        <f t="shared" si="59"/>
        <v>3.722525597269625</v>
      </c>
      <c r="CZ12" s="327">
        <f t="shared" si="59"/>
        <v>2.6489761092150172</v>
      </c>
      <c r="DA12" s="328">
        <f t="shared" si="59"/>
        <v>3.0189419795221846</v>
      </c>
      <c r="DB12" s="326">
        <f t="shared" si="60"/>
        <v>6.3044368600682583</v>
      </c>
      <c r="DC12" s="327">
        <f t="shared" si="60"/>
        <v>7.2284982935153588</v>
      </c>
      <c r="DD12" s="327">
        <f t="shared" si="60"/>
        <v>5.1694539249146754</v>
      </c>
      <c r="DE12" s="328">
        <f t="shared" si="60"/>
        <v>7.0928327645051201</v>
      </c>
      <c r="DF12" s="326">
        <f t="shared" si="61"/>
        <v>10.202389078498291</v>
      </c>
      <c r="DG12" s="327">
        <f t="shared" si="61"/>
        <v>11.035494880546075</v>
      </c>
      <c r="DH12" s="327">
        <f t="shared" si="61"/>
        <v>11.797781569965871</v>
      </c>
      <c r="DI12" s="327">
        <f t="shared" si="61"/>
        <v>10.718600682593859</v>
      </c>
      <c r="DJ12" s="326">
        <f t="shared" si="62"/>
        <v>15.929863481228669</v>
      </c>
      <c r="DK12" s="327">
        <f t="shared" si="62"/>
        <v>14.501877133105802</v>
      </c>
      <c r="DL12" s="327">
        <f t="shared" si="62"/>
        <v>17.309215017064844</v>
      </c>
      <c r="DM12" s="324"/>
      <c r="DO12" s="326">
        <v>1014.3199999999999</v>
      </c>
      <c r="DP12" s="328">
        <v>17.309215017064844</v>
      </c>
      <c r="DR12" s="326">
        <f t="shared" si="63"/>
        <v>961.24000000000012</v>
      </c>
      <c r="DS12" s="328">
        <f t="shared" si="64"/>
        <v>16.403412969283277</v>
      </c>
    </row>
    <row r="13" spans="1:123" x14ac:dyDescent="0.25">
      <c r="A13" s="521"/>
      <c r="B13" s="55">
        <v>7</v>
      </c>
      <c r="C13" s="368">
        <v>23.6</v>
      </c>
      <c r="D13" s="368">
        <v>23.6</v>
      </c>
      <c r="E13" s="368">
        <v>23.6</v>
      </c>
      <c r="F13" s="368">
        <v>23.6</v>
      </c>
      <c r="G13" s="326">
        <f t="shared" si="0"/>
        <v>22.759999999999998</v>
      </c>
      <c r="H13" s="327">
        <f t="shared" si="1"/>
        <v>16.510000000000002</v>
      </c>
      <c r="I13" s="327">
        <f t="shared" si="2"/>
        <v>25.830000000000002</v>
      </c>
      <c r="J13" s="328">
        <f t="shared" si="3"/>
        <v>18.989999999999998</v>
      </c>
      <c r="K13" s="326">
        <f t="shared" si="4"/>
        <v>12.65</v>
      </c>
      <c r="L13" s="327">
        <f t="shared" si="5"/>
        <v>16.84</v>
      </c>
      <c r="M13" s="327">
        <f t="shared" si="6"/>
        <v>11.9</v>
      </c>
      <c r="N13" s="328">
        <f t="shared" si="7"/>
        <v>25.669999999999998</v>
      </c>
      <c r="O13" s="326">
        <f t="shared" si="8"/>
        <v>21.92</v>
      </c>
      <c r="P13" s="327">
        <f t="shared" si="9"/>
        <v>21.41</v>
      </c>
      <c r="Q13" s="327">
        <f t="shared" si="10"/>
        <v>13.7</v>
      </c>
      <c r="R13" s="334">
        <f t="shared" si="11"/>
        <v>21.080000000000002</v>
      </c>
      <c r="S13" s="326">
        <f t="shared" si="51"/>
        <v>57.33</v>
      </c>
      <c r="T13" s="327">
        <f t="shared" si="51"/>
        <v>54.760000000000005</v>
      </c>
      <c r="U13" s="327">
        <f t="shared" si="51"/>
        <v>51.430000000000007</v>
      </c>
      <c r="V13" s="328">
        <f t="shared" si="51"/>
        <v>65.739999999999995</v>
      </c>
      <c r="W13" s="326">
        <f t="shared" si="12"/>
        <v>18.34</v>
      </c>
      <c r="X13" s="327">
        <f t="shared" si="13"/>
        <v>34.83</v>
      </c>
      <c r="Y13" s="327">
        <f t="shared" si="14"/>
        <v>24.4</v>
      </c>
      <c r="Z13" s="328">
        <f t="shared" si="15"/>
        <v>39.61</v>
      </c>
      <c r="AA13" s="326">
        <f t="shared" si="16"/>
        <v>25.35</v>
      </c>
      <c r="AB13" s="327">
        <f t="shared" si="17"/>
        <v>15.27</v>
      </c>
      <c r="AC13" s="327">
        <f t="shared" si="18"/>
        <v>17.649999999999999</v>
      </c>
      <c r="AD13" s="328">
        <f t="shared" si="19"/>
        <v>27.619999999999997</v>
      </c>
      <c r="AE13" s="326">
        <f t="shared" si="20"/>
        <v>17.48</v>
      </c>
      <c r="AF13" s="327">
        <f t="shared" si="21"/>
        <v>19.27</v>
      </c>
      <c r="AG13" s="327">
        <f t="shared" si="22"/>
        <v>19.5</v>
      </c>
      <c r="AH13" s="328">
        <f t="shared" si="23"/>
        <v>29.53</v>
      </c>
      <c r="AI13" s="326">
        <f t="shared" si="52"/>
        <v>61.17</v>
      </c>
      <c r="AJ13" s="327">
        <f t="shared" si="52"/>
        <v>69.36999999999999</v>
      </c>
      <c r="AK13" s="327">
        <f t="shared" si="52"/>
        <v>61.55</v>
      </c>
      <c r="AL13" s="328">
        <f t="shared" si="52"/>
        <v>96.759999999999991</v>
      </c>
      <c r="AM13" s="326">
        <f t="shared" si="24"/>
        <v>18.63</v>
      </c>
      <c r="AN13" s="327">
        <f t="shared" si="25"/>
        <v>21.53</v>
      </c>
      <c r="AO13" s="327">
        <f t="shared" si="26"/>
        <v>29.25</v>
      </c>
      <c r="AP13" s="328">
        <f t="shared" si="27"/>
        <v>27.06</v>
      </c>
      <c r="AQ13" s="326">
        <f t="shared" si="28"/>
        <v>30.490000000000002</v>
      </c>
      <c r="AR13" s="327">
        <f t="shared" si="29"/>
        <v>24.43</v>
      </c>
      <c r="AS13" s="327">
        <f t="shared" si="30"/>
        <v>29.03</v>
      </c>
      <c r="AT13" s="328">
        <f t="shared" si="31"/>
        <v>26.330000000000002</v>
      </c>
      <c r="AU13" s="326">
        <f t="shared" si="32"/>
        <v>26.76</v>
      </c>
      <c r="AV13" s="327">
        <f t="shared" si="33"/>
        <v>13.77</v>
      </c>
      <c r="AW13" s="327">
        <f t="shared" si="53"/>
        <v>60.980000000000004</v>
      </c>
      <c r="AX13" s="328">
        <f t="shared" si="54"/>
        <v>31.75</v>
      </c>
      <c r="AY13" s="326">
        <f t="shared" si="55"/>
        <v>75.88000000000001</v>
      </c>
      <c r="AZ13" s="327">
        <f t="shared" si="55"/>
        <v>59.730000000000004</v>
      </c>
      <c r="BA13" s="327">
        <f t="shared" si="55"/>
        <v>119.26</v>
      </c>
      <c r="BB13" s="328">
        <f t="shared" si="55"/>
        <v>85.14</v>
      </c>
      <c r="BC13" s="326">
        <f t="shared" si="34"/>
        <v>35.340000000000003</v>
      </c>
      <c r="BD13" s="327">
        <f t="shared" si="35"/>
        <v>21.21</v>
      </c>
      <c r="BE13" s="327">
        <f t="shared" si="36"/>
        <v>33.08</v>
      </c>
      <c r="BF13" s="328">
        <f t="shared" si="37"/>
        <v>25.9</v>
      </c>
      <c r="BG13" s="326">
        <f t="shared" si="38"/>
        <v>34.020000000000003</v>
      </c>
      <c r="BH13" s="327">
        <f t="shared" si="39"/>
        <v>23.759999999999998</v>
      </c>
      <c r="BI13" s="327">
        <f t="shared" si="40"/>
        <v>41.293999999999997</v>
      </c>
      <c r="BJ13" s="328">
        <f t="shared" si="41"/>
        <v>41.92</v>
      </c>
      <c r="BK13" s="326">
        <f t="shared" si="42"/>
        <v>48.28</v>
      </c>
      <c r="BL13" s="327">
        <f t="shared" si="43"/>
        <v>15.62</v>
      </c>
      <c r="BM13" s="327">
        <f t="shared" si="56"/>
        <v>45.37</v>
      </c>
      <c r="BN13" s="595">
        <f>VLOOKUP(B13,year2022to23,307,FALSE)</f>
        <v>19.149999999999999</v>
      </c>
      <c r="BO13" s="326">
        <f t="shared" si="57"/>
        <v>117.64000000000001</v>
      </c>
      <c r="BP13" s="327">
        <f t="shared" si="57"/>
        <v>60.589999999999996</v>
      </c>
      <c r="BQ13" s="327">
        <f t="shared" si="57"/>
        <v>119.744</v>
      </c>
      <c r="BR13" s="329"/>
      <c r="BS13" s="335"/>
      <c r="BT13" s="326">
        <f t="shared" si="44"/>
        <v>-2.5699999999999932</v>
      </c>
      <c r="BU13" s="327">
        <f t="shared" si="44"/>
        <v>-3.3299999999999983</v>
      </c>
      <c r="BV13" s="328">
        <f t="shared" si="44"/>
        <v>14.309999999999988</v>
      </c>
      <c r="BW13" s="326">
        <f t="shared" si="45"/>
        <v>8.1999999999999886</v>
      </c>
      <c r="BX13" s="327">
        <f t="shared" si="45"/>
        <v>-7.8199999999999932</v>
      </c>
      <c r="BY13" s="328">
        <f t="shared" si="45"/>
        <v>35.209999999999994</v>
      </c>
      <c r="BZ13" s="326">
        <f t="shared" si="46"/>
        <v>-16.150000000000006</v>
      </c>
      <c r="CA13" s="327">
        <f t="shared" si="46"/>
        <v>59.53</v>
      </c>
      <c r="CB13" s="328">
        <f t="shared" si="46"/>
        <v>-34.120000000000005</v>
      </c>
      <c r="CC13" s="326">
        <f t="shared" si="58"/>
        <v>-57.050000000000018</v>
      </c>
      <c r="CD13" s="327">
        <f t="shared" si="58"/>
        <v>59.154000000000003</v>
      </c>
      <c r="CE13" s="329"/>
      <c r="CF13" s="335"/>
      <c r="CG13" s="326">
        <f t="shared" si="47"/>
        <v>57.33</v>
      </c>
      <c r="CH13" s="327">
        <f t="shared" si="47"/>
        <v>54.760000000000005</v>
      </c>
      <c r="CI13" s="327">
        <f t="shared" si="47"/>
        <v>51.430000000000007</v>
      </c>
      <c r="CJ13" s="328">
        <f t="shared" si="47"/>
        <v>65.739999999999995</v>
      </c>
      <c r="CK13" s="326">
        <f t="shared" si="48"/>
        <v>118.50000000000001</v>
      </c>
      <c r="CL13" s="327">
        <f t="shared" si="48"/>
        <v>124.13</v>
      </c>
      <c r="CM13" s="327">
        <f t="shared" si="48"/>
        <v>112.98000000000002</v>
      </c>
      <c r="CN13" s="328">
        <f t="shared" si="48"/>
        <v>162.5</v>
      </c>
      <c r="CO13" s="326">
        <f t="shared" si="49"/>
        <v>194.38000000000002</v>
      </c>
      <c r="CP13" s="327">
        <f t="shared" si="49"/>
        <v>183.86</v>
      </c>
      <c r="CQ13" s="327">
        <f t="shared" si="49"/>
        <v>232.24</v>
      </c>
      <c r="CR13" s="328">
        <f t="shared" si="49"/>
        <v>247.64000000000001</v>
      </c>
      <c r="CS13" s="326">
        <f t="shared" si="50"/>
        <v>312.02</v>
      </c>
      <c r="CT13" s="327">
        <f t="shared" si="50"/>
        <v>244.45000000000002</v>
      </c>
      <c r="CU13" s="327">
        <f t="shared" si="50"/>
        <v>351.98399999999998</v>
      </c>
      <c r="CV13" s="328">
        <f t="shared" si="50"/>
        <v>334.61</v>
      </c>
      <c r="CW13" s="335"/>
      <c r="CX13" s="326">
        <f t="shared" si="59"/>
        <v>2.4292372881355928</v>
      </c>
      <c r="CY13" s="327">
        <f t="shared" si="59"/>
        <v>2.3203389830508474</v>
      </c>
      <c r="CZ13" s="327">
        <f t="shared" si="59"/>
        <v>2.1792372881355933</v>
      </c>
      <c r="DA13" s="328">
        <f t="shared" si="59"/>
        <v>2.7855932203389826</v>
      </c>
      <c r="DB13" s="326">
        <f t="shared" si="60"/>
        <v>5.0211864406779663</v>
      </c>
      <c r="DC13" s="327">
        <f t="shared" si="60"/>
        <v>5.259745762711864</v>
      </c>
      <c r="DD13" s="327">
        <f t="shared" si="60"/>
        <v>4.7872881355932204</v>
      </c>
      <c r="DE13" s="328">
        <f t="shared" si="60"/>
        <v>6.8855932203389827</v>
      </c>
      <c r="DF13" s="326">
        <f t="shared" si="61"/>
        <v>8.2364406779661028</v>
      </c>
      <c r="DG13" s="327">
        <f t="shared" si="61"/>
        <v>7.7906779661016952</v>
      </c>
      <c r="DH13" s="327">
        <f t="shared" si="61"/>
        <v>9.8406779661016941</v>
      </c>
      <c r="DI13" s="327">
        <f t="shared" si="61"/>
        <v>10.493220338983051</v>
      </c>
      <c r="DJ13" s="326">
        <f t="shared" si="62"/>
        <v>13.221186440677965</v>
      </c>
      <c r="DK13" s="327">
        <f t="shared" si="62"/>
        <v>10.358050847457628</v>
      </c>
      <c r="DL13" s="327">
        <f t="shared" si="62"/>
        <v>14.914576271186439</v>
      </c>
      <c r="DM13" s="324"/>
      <c r="DO13" s="326">
        <v>351.98399999999998</v>
      </c>
      <c r="DP13" s="328">
        <v>14.914576271186439</v>
      </c>
      <c r="DR13" s="326">
        <f t="shared" si="63"/>
        <v>334.61</v>
      </c>
      <c r="DS13" s="328">
        <f t="shared" si="64"/>
        <v>14.178389830508474</v>
      </c>
    </row>
    <row r="14" spans="1:123" x14ac:dyDescent="0.25">
      <c r="A14" s="521"/>
      <c r="B14" s="55">
        <v>8</v>
      </c>
      <c r="C14" s="368">
        <v>61.6</v>
      </c>
      <c r="D14" s="368">
        <v>61.6</v>
      </c>
      <c r="E14" s="368">
        <v>61.6</v>
      </c>
      <c r="F14" s="368">
        <v>61.6</v>
      </c>
      <c r="G14" s="326">
        <f t="shared" si="0"/>
        <v>50.760000000000005</v>
      </c>
      <c r="H14" s="327">
        <f t="shared" si="1"/>
        <v>68.63</v>
      </c>
      <c r="I14" s="327">
        <f t="shared" si="2"/>
        <v>61.160000000000004</v>
      </c>
      <c r="J14" s="328">
        <f t="shared" si="3"/>
        <v>44.66</v>
      </c>
      <c r="K14" s="326">
        <f t="shared" si="4"/>
        <v>34.92</v>
      </c>
      <c r="L14" s="327">
        <f t="shared" si="5"/>
        <v>53.54</v>
      </c>
      <c r="M14" s="327">
        <f t="shared" si="6"/>
        <v>52.8</v>
      </c>
      <c r="N14" s="328">
        <f t="shared" si="7"/>
        <v>96.6</v>
      </c>
      <c r="O14" s="326">
        <f t="shared" si="8"/>
        <v>54.47</v>
      </c>
      <c r="P14" s="327">
        <f t="shared" si="9"/>
        <v>70.759999999999991</v>
      </c>
      <c r="Q14" s="327">
        <f t="shared" si="10"/>
        <v>41.66</v>
      </c>
      <c r="R14" s="334">
        <f t="shared" si="11"/>
        <v>59.2</v>
      </c>
      <c r="S14" s="326">
        <f t="shared" si="51"/>
        <v>140.15</v>
      </c>
      <c r="T14" s="327">
        <f t="shared" si="51"/>
        <v>192.92999999999998</v>
      </c>
      <c r="U14" s="327">
        <f t="shared" si="51"/>
        <v>155.62</v>
      </c>
      <c r="V14" s="328">
        <f t="shared" si="51"/>
        <v>200.45999999999998</v>
      </c>
      <c r="W14" s="326">
        <f t="shared" si="12"/>
        <v>57.42</v>
      </c>
      <c r="X14" s="327">
        <f t="shared" si="13"/>
        <v>55.5</v>
      </c>
      <c r="Y14" s="327">
        <f t="shared" si="14"/>
        <v>39.129999999999995</v>
      </c>
      <c r="Z14" s="328">
        <f t="shared" si="15"/>
        <v>79.03</v>
      </c>
      <c r="AA14" s="326">
        <f t="shared" si="16"/>
        <v>51.88</v>
      </c>
      <c r="AB14" s="327">
        <f t="shared" si="17"/>
        <v>62.94</v>
      </c>
      <c r="AC14" s="327">
        <f t="shared" si="18"/>
        <v>72.48</v>
      </c>
      <c r="AD14" s="328">
        <f t="shared" si="19"/>
        <v>63.73</v>
      </c>
      <c r="AE14" s="326">
        <f t="shared" si="20"/>
        <v>42.86</v>
      </c>
      <c r="AF14" s="327">
        <f t="shared" si="21"/>
        <v>62.16</v>
      </c>
      <c r="AG14" s="327">
        <f t="shared" si="22"/>
        <v>41.769999999999996</v>
      </c>
      <c r="AH14" s="328">
        <f t="shared" si="23"/>
        <v>58.540000000000006</v>
      </c>
      <c r="AI14" s="326">
        <f t="shared" si="52"/>
        <v>152.16000000000003</v>
      </c>
      <c r="AJ14" s="327">
        <f t="shared" si="52"/>
        <v>180.6</v>
      </c>
      <c r="AK14" s="327">
        <f t="shared" si="52"/>
        <v>153.38</v>
      </c>
      <c r="AL14" s="328">
        <f t="shared" si="52"/>
        <v>201.3</v>
      </c>
      <c r="AM14" s="326">
        <f t="shared" si="24"/>
        <v>68.03</v>
      </c>
      <c r="AN14" s="327">
        <f t="shared" si="25"/>
        <v>62.61</v>
      </c>
      <c r="AO14" s="327">
        <f t="shared" si="26"/>
        <v>52.96</v>
      </c>
      <c r="AP14" s="328">
        <f t="shared" si="27"/>
        <v>56.069999999999993</v>
      </c>
      <c r="AQ14" s="326">
        <f t="shared" si="28"/>
        <v>72.460000000000008</v>
      </c>
      <c r="AR14" s="327">
        <f t="shared" si="29"/>
        <v>105.85</v>
      </c>
      <c r="AS14" s="327">
        <f t="shared" si="30"/>
        <v>114.4</v>
      </c>
      <c r="AT14" s="328">
        <f t="shared" si="31"/>
        <v>68.81</v>
      </c>
      <c r="AU14" s="326">
        <f t="shared" si="32"/>
        <v>78.78</v>
      </c>
      <c r="AV14" s="327">
        <f t="shared" si="33"/>
        <v>54.25</v>
      </c>
      <c r="AW14" s="327">
        <f t="shared" si="53"/>
        <v>78.790000000000006</v>
      </c>
      <c r="AX14" s="328">
        <f t="shared" si="54"/>
        <v>81.760000000000005</v>
      </c>
      <c r="AY14" s="326">
        <f t="shared" si="55"/>
        <v>219.27</v>
      </c>
      <c r="AZ14" s="327">
        <f t="shared" si="55"/>
        <v>222.70999999999998</v>
      </c>
      <c r="BA14" s="327">
        <f t="shared" si="55"/>
        <v>246.15000000000003</v>
      </c>
      <c r="BB14" s="328">
        <f t="shared" si="55"/>
        <v>206.64</v>
      </c>
      <c r="BC14" s="326">
        <f t="shared" si="34"/>
        <v>118.71</v>
      </c>
      <c r="BD14" s="327">
        <f t="shared" si="35"/>
        <v>94.95</v>
      </c>
      <c r="BE14" s="327">
        <f t="shared" si="36"/>
        <v>94.64</v>
      </c>
      <c r="BF14" s="328">
        <f t="shared" si="37"/>
        <v>109.34</v>
      </c>
      <c r="BG14" s="326">
        <f t="shared" si="38"/>
        <v>111.62</v>
      </c>
      <c r="BH14" s="327">
        <f t="shared" si="39"/>
        <v>75.259999999999991</v>
      </c>
      <c r="BI14" s="327">
        <f t="shared" si="40"/>
        <v>151.48000000000002</v>
      </c>
      <c r="BJ14" s="328">
        <f t="shared" si="41"/>
        <v>121.44</v>
      </c>
      <c r="BK14" s="326">
        <f t="shared" si="42"/>
        <v>70.260000000000005</v>
      </c>
      <c r="BL14" s="327">
        <f t="shared" si="43"/>
        <v>96.98</v>
      </c>
      <c r="BM14" s="327">
        <f t="shared" si="56"/>
        <v>123.15</v>
      </c>
      <c r="BN14" s="595">
        <f>VLOOKUP(B14,year2022to23,307,FALSE)</f>
        <v>66.94</v>
      </c>
      <c r="BO14" s="326">
        <f t="shared" si="57"/>
        <v>300.58999999999997</v>
      </c>
      <c r="BP14" s="327">
        <f t="shared" si="57"/>
        <v>267.19</v>
      </c>
      <c r="BQ14" s="327">
        <f t="shared" si="57"/>
        <v>369.27</v>
      </c>
      <c r="BR14" s="329"/>
      <c r="BS14" s="335"/>
      <c r="BT14" s="326">
        <f t="shared" si="44"/>
        <v>52.779999999999973</v>
      </c>
      <c r="BU14" s="327">
        <f t="shared" si="44"/>
        <v>-37.309999999999974</v>
      </c>
      <c r="BV14" s="328">
        <f t="shared" si="44"/>
        <v>44.839999999999975</v>
      </c>
      <c r="BW14" s="326">
        <f t="shared" si="45"/>
        <v>28.439999999999969</v>
      </c>
      <c r="BX14" s="327">
        <f t="shared" si="45"/>
        <v>-27.22</v>
      </c>
      <c r="BY14" s="328">
        <f t="shared" si="45"/>
        <v>47.920000000000016</v>
      </c>
      <c r="BZ14" s="326">
        <f t="shared" si="46"/>
        <v>3.4399999999999693</v>
      </c>
      <c r="CA14" s="327">
        <f t="shared" si="46"/>
        <v>23.440000000000055</v>
      </c>
      <c r="CB14" s="328">
        <f t="shared" si="46"/>
        <v>-39.510000000000048</v>
      </c>
      <c r="CC14" s="326">
        <f t="shared" si="58"/>
        <v>-33.399999999999977</v>
      </c>
      <c r="CD14" s="327">
        <f t="shared" si="58"/>
        <v>102.07999999999998</v>
      </c>
      <c r="CE14" s="329"/>
      <c r="CF14" s="335"/>
      <c r="CG14" s="326">
        <f t="shared" si="47"/>
        <v>140.15</v>
      </c>
      <c r="CH14" s="327">
        <f t="shared" si="47"/>
        <v>192.92999999999998</v>
      </c>
      <c r="CI14" s="327">
        <f t="shared" si="47"/>
        <v>155.62</v>
      </c>
      <c r="CJ14" s="328">
        <f t="shared" si="47"/>
        <v>200.45999999999998</v>
      </c>
      <c r="CK14" s="326">
        <f t="shared" si="48"/>
        <v>292.31</v>
      </c>
      <c r="CL14" s="327">
        <f t="shared" si="48"/>
        <v>373.53</v>
      </c>
      <c r="CM14" s="327">
        <f t="shared" si="48"/>
        <v>309</v>
      </c>
      <c r="CN14" s="328">
        <f t="shared" si="48"/>
        <v>401.76000000000005</v>
      </c>
      <c r="CO14" s="326">
        <f t="shared" si="49"/>
        <v>511.58000000000004</v>
      </c>
      <c r="CP14" s="327">
        <f t="shared" si="49"/>
        <v>596.24</v>
      </c>
      <c r="CQ14" s="327">
        <f t="shared" si="49"/>
        <v>555.15</v>
      </c>
      <c r="CR14" s="328">
        <f t="shared" si="49"/>
        <v>608.40000000000009</v>
      </c>
      <c r="CS14" s="326">
        <f t="shared" si="50"/>
        <v>812.17000000000007</v>
      </c>
      <c r="CT14" s="327">
        <f t="shared" si="50"/>
        <v>863.43000000000006</v>
      </c>
      <c r="CU14" s="327">
        <f t="shared" si="50"/>
        <v>924.42</v>
      </c>
      <c r="CV14" s="328">
        <f t="shared" si="50"/>
        <v>906.12000000000012</v>
      </c>
      <c r="CW14" s="335"/>
      <c r="CX14" s="326">
        <f t="shared" si="59"/>
        <v>2.2751623376623376</v>
      </c>
      <c r="CY14" s="327">
        <f t="shared" si="59"/>
        <v>3.131980519480519</v>
      </c>
      <c r="CZ14" s="327">
        <f t="shared" si="59"/>
        <v>2.5262987012987015</v>
      </c>
      <c r="DA14" s="328">
        <f t="shared" si="59"/>
        <v>3.2542207792207787</v>
      </c>
      <c r="DB14" s="326">
        <f t="shared" si="60"/>
        <v>4.7452922077922075</v>
      </c>
      <c r="DC14" s="327">
        <f t="shared" si="60"/>
        <v>6.0637987012987011</v>
      </c>
      <c r="DD14" s="327">
        <f t="shared" si="60"/>
        <v>5.0162337662337659</v>
      </c>
      <c r="DE14" s="328">
        <f t="shared" si="60"/>
        <v>6.5220779220779228</v>
      </c>
      <c r="DF14" s="326">
        <f t="shared" si="61"/>
        <v>8.30487012987013</v>
      </c>
      <c r="DG14" s="327">
        <f t="shared" si="61"/>
        <v>9.6792207792207794</v>
      </c>
      <c r="DH14" s="327">
        <f t="shared" si="61"/>
        <v>9.012175324675324</v>
      </c>
      <c r="DI14" s="327">
        <f t="shared" si="61"/>
        <v>9.8766233766233782</v>
      </c>
      <c r="DJ14" s="326">
        <f t="shared" si="62"/>
        <v>13.184577922077922</v>
      </c>
      <c r="DK14" s="327">
        <f t="shared" si="62"/>
        <v>14.01672077922078</v>
      </c>
      <c r="DL14" s="327">
        <f t="shared" si="62"/>
        <v>15.006818181818181</v>
      </c>
      <c r="DM14" s="324"/>
      <c r="DO14" s="326">
        <v>924.42</v>
      </c>
      <c r="DP14" s="328">
        <v>15.006818181818181</v>
      </c>
      <c r="DR14" s="326">
        <f t="shared" si="63"/>
        <v>906.12000000000012</v>
      </c>
      <c r="DS14" s="328">
        <f t="shared" si="64"/>
        <v>14.709740259740261</v>
      </c>
    </row>
    <row r="15" spans="1:123" x14ac:dyDescent="0.25">
      <c r="A15" s="521"/>
      <c r="B15" s="55">
        <v>9</v>
      </c>
      <c r="C15" s="368">
        <v>38.299999999999997</v>
      </c>
      <c r="D15" s="368">
        <v>38.299999999999997</v>
      </c>
      <c r="E15" s="368">
        <v>38.299999999999997</v>
      </c>
      <c r="F15" s="368">
        <v>38.299999999999997</v>
      </c>
      <c r="G15" s="326">
        <f t="shared" si="0"/>
        <v>27.38</v>
      </c>
      <c r="H15" s="327">
        <f t="shared" si="1"/>
        <v>27.94</v>
      </c>
      <c r="I15" s="327">
        <f t="shared" si="2"/>
        <v>38.049999999999997</v>
      </c>
      <c r="J15" s="328">
        <f t="shared" si="3"/>
        <v>19.18</v>
      </c>
      <c r="K15" s="326">
        <f t="shared" si="4"/>
        <v>25.270000000000003</v>
      </c>
      <c r="L15" s="327">
        <f t="shared" si="5"/>
        <v>33.89</v>
      </c>
      <c r="M15" s="327">
        <f t="shared" si="6"/>
        <v>20.71</v>
      </c>
      <c r="N15" s="328">
        <f t="shared" si="7"/>
        <v>34.56</v>
      </c>
      <c r="O15" s="326">
        <f t="shared" si="8"/>
        <v>19.630000000000003</v>
      </c>
      <c r="P15" s="327">
        <f t="shared" si="9"/>
        <v>46.93</v>
      </c>
      <c r="Q15" s="327">
        <f t="shared" si="10"/>
        <v>22.65</v>
      </c>
      <c r="R15" s="334">
        <f t="shared" si="11"/>
        <v>39.230000000000004</v>
      </c>
      <c r="S15" s="326">
        <f t="shared" si="51"/>
        <v>72.28</v>
      </c>
      <c r="T15" s="327">
        <f t="shared" si="51"/>
        <v>108.75999999999999</v>
      </c>
      <c r="U15" s="327">
        <f t="shared" si="51"/>
        <v>81.41</v>
      </c>
      <c r="V15" s="328">
        <f t="shared" si="51"/>
        <v>92.97</v>
      </c>
      <c r="W15" s="326">
        <f t="shared" si="12"/>
        <v>40.680000000000007</v>
      </c>
      <c r="X15" s="327">
        <f t="shared" si="13"/>
        <v>38.409999999999997</v>
      </c>
      <c r="Y15" s="327">
        <f t="shared" si="14"/>
        <v>21.23</v>
      </c>
      <c r="Z15" s="328">
        <f t="shared" si="15"/>
        <v>16.64</v>
      </c>
      <c r="AA15" s="326">
        <f t="shared" si="16"/>
        <v>32.57</v>
      </c>
      <c r="AB15" s="327">
        <f t="shared" si="17"/>
        <v>31.91</v>
      </c>
      <c r="AC15" s="327">
        <f t="shared" si="18"/>
        <v>28.57</v>
      </c>
      <c r="AD15" s="328">
        <f t="shared" si="19"/>
        <v>47.69</v>
      </c>
      <c r="AE15" s="326">
        <f t="shared" si="20"/>
        <v>20.27</v>
      </c>
      <c r="AF15" s="327">
        <f t="shared" si="21"/>
        <v>32.75</v>
      </c>
      <c r="AG15" s="327">
        <f t="shared" si="22"/>
        <v>29.07</v>
      </c>
      <c r="AH15" s="328">
        <f t="shared" si="23"/>
        <v>48.05</v>
      </c>
      <c r="AI15" s="326">
        <f t="shared" si="52"/>
        <v>93.52</v>
      </c>
      <c r="AJ15" s="327">
        <f t="shared" si="52"/>
        <v>103.07</v>
      </c>
      <c r="AK15" s="327">
        <f t="shared" si="52"/>
        <v>78.87</v>
      </c>
      <c r="AL15" s="328">
        <f t="shared" si="52"/>
        <v>112.38</v>
      </c>
      <c r="AM15" s="326">
        <f t="shared" si="24"/>
        <v>18.43</v>
      </c>
      <c r="AN15" s="327">
        <f t="shared" si="25"/>
        <v>35.010000000000005</v>
      </c>
      <c r="AO15" s="327">
        <f t="shared" si="26"/>
        <v>23.439999999999998</v>
      </c>
      <c r="AP15" s="328">
        <f t="shared" si="27"/>
        <v>33.1</v>
      </c>
      <c r="AQ15" s="326">
        <f t="shared" si="28"/>
        <v>75.52000000000001</v>
      </c>
      <c r="AR15" s="327">
        <f t="shared" si="29"/>
        <v>43.31</v>
      </c>
      <c r="AS15" s="327">
        <f t="shared" si="30"/>
        <v>43.71</v>
      </c>
      <c r="AT15" s="328">
        <f t="shared" si="31"/>
        <v>43.36</v>
      </c>
      <c r="AU15" s="326">
        <f t="shared" si="32"/>
        <v>64.02</v>
      </c>
      <c r="AV15" s="327">
        <f t="shared" si="33"/>
        <v>48.209999999999994</v>
      </c>
      <c r="AW15" s="327">
        <f t="shared" si="53"/>
        <v>59.56</v>
      </c>
      <c r="AX15" s="328">
        <f t="shared" si="54"/>
        <v>38.1</v>
      </c>
      <c r="AY15" s="326">
        <f t="shared" si="55"/>
        <v>157.97000000000003</v>
      </c>
      <c r="AZ15" s="327">
        <f t="shared" si="55"/>
        <v>126.53</v>
      </c>
      <c r="BA15" s="327">
        <f t="shared" si="55"/>
        <v>126.71000000000001</v>
      </c>
      <c r="BB15" s="328">
        <f t="shared" si="55"/>
        <v>114.56</v>
      </c>
      <c r="BC15" s="326">
        <f t="shared" si="34"/>
        <v>72.98</v>
      </c>
      <c r="BD15" s="327">
        <f t="shared" si="35"/>
        <v>71.400000000000006</v>
      </c>
      <c r="BE15" s="327">
        <f t="shared" si="36"/>
        <v>63.760000000000005</v>
      </c>
      <c r="BF15" s="328">
        <f t="shared" si="37"/>
        <v>68.179999999999993</v>
      </c>
      <c r="BG15" s="326">
        <f t="shared" si="38"/>
        <v>43.4</v>
      </c>
      <c r="BH15" s="327">
        <f t="shared" si="39"/>
        <v>49.980000000000004</v>
      </c>
      <c r="BI15" s="327">
        <f t="shared" si="40"/>
        <v>76.490000000000009</v>
      </c>
      <c r="BJ15" s="328">
        <f t="shared" si="41"/>
        <v>65.02</v>
      </c>
      <c r="BK15" s="326">
        <f t="shared" si="42"/>
        <v>54.92</v>
      </c>
      <c r="BL15" s="327">
        <f t="shared" si="43"/>
        <v>45.25</v>
      </c>
      <c r="BM15" s="327">
        <f t="shared" si="56"/>
        <v>62.45</v>
      </c>
      <c r="BN15" s="595">
        <f>VLOOKUP(B15,year2022to23,307,FALSE)</f>
        <v>33.010000000000005</v>
      </c>
      <c r="BO15" s="326">
        <f t="shared" si="57"/>
        <v>171.3</v>
      </c>
      <c r="BP15" s="327">
        <f t="shared" si="57"/>
        <v>166.63</v>
      </c>
      <c r="BQ15" s="327">
        <f t="shared" si="57"/>
        <v>202.7</v>
      </c>
      <c r="BR15" s="329"/>
      <c r="BS15" s="335"/>
      <c r="BT15" s="326">
        <f t="shared" si="44"/>
        <v>36.47999999999999</v>
      </c>
      <c r="BU15" s="327">
        <f t="shared" si="44"/>
        <v>-27.349999999999994</v>
      </c>
      <c r="BV15" s="328">
        <f t="shared" si="44"/>
        <v>11.560000000000002</v>
      </c>
      <c r="BW15" s="326">
        <f t="shared" si="45"/>
        <v>9.5499999999999972</v>
      </c>
      <c r="BX15" s="327">
        <f t="shared" si="45"/>
        <v>-24.199999999999989</v>
      </c>
      <c r="BY15" s="328">
        <f t="shared" si="45"/>
        <v>33.509999999999991</v>
      </c>
      <c r="BZ15" s="326">
        <f t="shared" si="46"/>
        <v>-31.440000000000026</v>
      </c>
      <c r="CA15" s="327">
        <f t="shared" si="46"/>
        <v>0.18000000000000682</v>
      </c>
      <c r="CB15" s="328">
        <f t="shared" si="46"/>
        <v>-12.150000000000006</v>
      </c>
      <c r="CC15" s="326">
        <f t="shared" si="58"/>
        <v>-4.6700000000000159</v>
      </c>
      <c r="CD15" s="327">
        <f t="shared" si="58"/>
        <v>36.069999999999993</v>
      </c>
      <c r="CE15" s="329"/>
      <c r="CF15" s="335"/>
      <c r="CG15" s="326">
        <f t="shared" si="47"/>
        <v>72.28</v>
      </c>
      <c r="CH15" s="327">
        <f t="shared" si="47"/>
        <v>108.75999999999999</v>
      </c>
      <c r="CI15" s="327">
        <f t="shared" si="47"/>
        <v>81.41</v>
      </c>
      <c r="CJ15" s="328">
        <f t="shared" si="47"/>
        <v>92.97</v>
      </c>
      <c r="CK15" s="326">
        <f t="shared" si="48"/>
        <v>165.8</v>
      </c>
      <c r="CL15" s="327">
        <f t="shared" si="48"/>
        <v>211.82999999999998</v>
      </c>
      <c r="CM15" s="327">
        <f t="shared" si="48"/>
        <v>160.28</v>
      </c>
      <c r="CN15" s="328">
        <f t="shared" si="48"/>
        <v>205.35000000000002</v>
      </c>
      <c r="CO15" s="326">
        <f t="shared" si="49"/>
        <v>323.77</v>
      </c>
      <c r="CP15" s="327">
        <f t="shared" si="49"/>
        <v>338.35999999999996</v>
      </c>
      <c r="CQ15" s="327">
        <f t="shared" si="49"/>
        <v>286.99</v>
      </c>
      <c r="CR15" s="328">
        <f t="shared" si="49"/>
        <v>319.91000000000003</v>
      </c>
      <c r="CS15" s="326">
        <f t="shared" si="50"/>
        <v>495.07</v>
      </c>
      <c r="CT15" s="327">
        <f t="shared" si="50"/>
        <v>504.99</v>
      </c>
      <c r="CU15" s="327">
        <f t="shared" si="50"/>
        <v>489.69</v>
      </c>
      <c r="CV15" s="328">
        <f t="shared" si="50"/>
        <v>486.12</v>
      </c>
      <c r="CW15" s="335"/>
      <c r="CX15" s="326">
        <f t="shared" si="59"/>
        <v>1.8872062663185381</v>
      </c>
      <c r="CY15" s="327">
        <f t="shared" si="59"/>
        <v>2.839686684073107</v>
      </c>
      <c r="CZ15" s="327">
        <f t="shared" si="59"/>
        <v>2.1255874673629243</v>
      </c>
      <c r="DA15" s="328">
        <f t="shared" si="59"/>
        <v>2.4274151436031333</v>
      </c>
      <c r="DB15" s="326">
        <f t="shared" si="60"/>
        <v>4.3289817232375984</v>
      </c>
      <c r="DC15" s="327">
        <f t="shared" si="60"/>
        <v>5.5308093994778069</v>
      </c>
      <c r="DD15" s="327">
        <f t="shared" si="60"/>
        <v>4.1848563968668406</v>
      </c>
      <c r="DE15" s="328">
        <f t="shared" si="60"/>
        <v>5.3616187989556146</v>
      </c>
      <c r="DF15" s="326">
        <f t="shared" si="61"/>
        <v>8.4535248041775457</v>
      </c>
      <c r="DG15" s="327">
        <f t="shared" si="61"/>
        <v>8.8344647519582242</v>
      </c>
      <c r="DH15" s="327">
        <f t="shared" si="61"/>
        <v>7.4932114882506538</v>
      </c>
      <c r="DI15" s="327">
        <f t="shared" si="61"/>
        <v>8.3527415143603143</v>
      </c>
      <c r="DJ15" s="326">
        <f t="shared" si="62"/>
        <v>12.926109660574413</v>
      </c>
      <c r="DK15" s="327">
        <f t="shared" si="62"/>
        <v>13.185117493472585</v>
      </c>
      <c r="DL15" s="327">
        <f t="shared" si="62"/>
        <v>12.785639686684075</v>
      </c>
      <c r="DM15" s="324"/>
      <c r="DO15" s="326">
        <v>489.69</v>
      </c>
      <c r="DP15" s="328">
        <v>12.785639686684075</v>
      </c>
      <c r="DR15" s="326">
        <f t="shared" si="63"/>
        <v>486.12</v>
      </c>
      <c r="DS15" s="328">
        <f t="shared" si="64"/>
        <v>12.692428198433422</v>
      </c>
    </row>
    <row r="16" spans="1:123" x14ac:dyDescent="0.25">
      <c r="A16" s="521"/>
      <c r="B16" s="55">
        <v>11</v>
      </c>
      <c r="C16" s="368">
        <v>44.5</v>
      </c>
      <c r="D16" s="368">
        <v>44.5</v>
      </c>
      <c r="E16" s="368">
        <v>44.5</v>
      </c>
      <c r="F16" s="368">
        <v>44.5</v>
      </c>
      <c r="G16" s="326">
        <f t="shared" si="0"/>
        <v>49.190000000000005</v>
      </c>
      <c r="H16" s="327">
        <f t="shared" si="1"/>
        <v>38.659999999999997</v>
      </c>
      <c r="I16" s="327">
        <f t="shared" si="2"/>
        <v>29.79</v>
      </c>
      <c r="J16" s="328">
        <f t="shared" si="3"/>
        <v>41.08</v>
      </c>
      <c r="K16" s="326">
        <f t="shared" si="4"/>
        <v>20.090000000000003</v>
      </c>
      <c r="L16" s="327">
        <f t="shared" si="5"/>
        <v>32.729999999999997</v>
      </c>
      <c r="M16" s="327">
        <f t="shared" si="6"/>
        <v>31.44</v>
      </c>
      <c r="N16" s="328">
        <f t="shared" si="7"/>
        <v>27.060000000000002</v>
      </c>
      <c r="O16" s="326">
        <f t="shared" si="8"/>
        <v>37.300000000000004</v>
      </c>
      <c r="P16" s="327">
        <f t="shared" si="9"/>
        <v>36.949999999999996</v>
      </c>
      <c r="Q16" s="327">
        <f t="shared" si="10"/>
        <v>30.26</v>
      </c>
      <c r="R16" s="334">
        <f t="shared" si="11"/>
        <v>40.57</v>
      </c>
      <c r="S16" s="326">
        <f t="shared" si="51"/>
        <v>106.58000000000001</v>
      </c>
      <c r="T16" s="327">
        <f t="shared" si="51"/>
        <v>108.33999999999997</v>
      </c>
      <c r="U16" s="327">
        <f t="shared" si="51"/>
        <v>91.490000000000009</v>
      </c>
      <c r="V16" s="328">
        <f t="shared" si="51"/>
        <v>108.71000000000001</v>
      </c>
      <c r="W16" s="326">
        <f t="shared" si="12"/>
        <v>63.84</v>
      </c>
      <c r="X16" s="327">
        <f t="shared" si="13"/>
        <v>82.75</v>
      </c>
      <c r="Y16" s="327">
        <f t="shared" si="14"/>
        <v>37.340000000000003</v>
      </c>
      <c r="Z16" s="328">
        <f t="shared" si="15"/>
        <v>35.96</v>
      </c>
      <c r="AA16" s="326">
        <f t="shared" si="16"/>
        <v>47.269999999999996</v>
      </c>
      <c r="AB16" s="327">
        <f t="shared" si="17"/>
        <v>48.66</v>
      </c>
      <c r="AC16" s="327">
        <f t="shared" si="18"/>
        <v>53.78</v>
      </c>
      <c r="AD16" s="328">
        <f t="shared" si="19"/>
        <v>51.4</v>
      </c>
      <c r="AE16" s="326">
        <f t="shared" si="20"/>
        <v>29.83</v>
      </c>
      <c r="AF16" s="327">
        <f t="shared" si="21"/>
        <v>48.43</v>
      </c>
      <c r="AG16" s="327">
        <f t="shared" si="22"/>
        <v>30.880000000000003</v>
      </c>
      <c r="AH16" s="328">
        <f t="shared" si="23"/>
        <v>44.1</v>
      </c>
      <c r="AI16" s="326">
        <f t="shared" si="52"/>
        <v>140.94</v>
      </c>
      <c r="AJ16" s="327">
        <f t="shared" si="52"/>
        <v>179.84</v>
      </c>
      <c r="AK16" s="327">
        <f t="shared" si="52"/>
        <v>122</v>
      </c>
      <c r="AL16" s="328">
        <f t="shared" si="52"/>
        <v>131.46</v>
      </c>
      <c r="AM16" s="326">
        <f t="shared" si="24"/>
        <v>22.3</v>
      </c>
      <c r="AN16" s="327">
        <f t="shared" si="25"/>
        <v>54.44</v>
      </c>
      <c r="AO16" s="327">
        <f t="shared" si="26"/>
        <v>24.82</v>
      </c>
      <c r="AP16" s="328">
        <f t="shared" si="27"/>
        <v>47.35</v>
      </c>
      <c r="AQ16" s="326">
        <f t="shared" si="28"/>
        <v>36.81</v>
      </c>
      <c r="AR16" s="327">
        <f t="shared" si="29"/>
        <v>61.24</v>
      </c>
      <c r="AS16" s="327">
        <f t="shared" si="30"/>
        <v>43.08</v>
      </c>
      <c r="AT16" s="328">
        <f t="shared" si="31"/>
        <v>51.099999999999994</v>
      </c>
      <c r="AU16" s="326">
        <f t="shared" si="32"/>
        <v>87.84</v>
      </c>
      <c r="AV16" s="327">
        <f t="shared" si="33"/>
        <v>59.05</v>
      </c>
      <c r="AW16" s="327">
        <f t="shared" si="53"/>
        <v>98.26</v>
      </c>
      <c r="AX16" s="328">
        <f t="shared" si="54"/>
        <v>51.02</v>
      </c>
      <c r="AY16" s="326">
        <f t="shared" si="55"/>
        <v>146.94999999999999</v>
      </c>
      <c r="AZ16" s="327">
        <f t="shared" si="55"/>
        <v>174.73000000000002</v>
      </c>
      <c r="BA16" s="327">
        <f t="shared" si="55"/>
        <v>166.16000000000003</v>
      </c>
      <c r="BB16" s="328">
        <f t="shared" si="55"/>
        <v>149.47</v>
      </c>
      <c r="BC16" s="326">
        <f t="shared" si="34"/>
        <v>59.98</v>
      </c>
      <c r="BD16" s="327">
        <f t="shared" si="35"/>
        <v>59.16</v>
      </c>
      <c r="BE16" s="327">
        <f t="shared" si="36"/>
        <v>45.33</v>
      </c>
      <c r="BF16" s="328">
        <f t="shared" si="37"/>
        <v>63.94</v>
      </c>
      <c r="BG16" s="326">
        <f t="shared" si="38"/>
        <v>85.12</v>
      </c>
      <c r="BH16" s="327">
        <f t="shared" si="39"/>
        <v>28.49</v>
      </c>
      <c r="BI16" s="327">
        <f t="shared" si="40"/>
        <v>62.233999999999995</v>
      </c>
      <c r="BJ16" s="328">
        <f t="shared" si="41"/>
        <v>43.89</v>
      </c>
      <c r="BK16" s="326">
        <f t="shared" si="42"/>
        <v>58.31</v>
      </c>
      <c r="BL16" s="327">
        <f t="shared" si="43"/>
        <v>54.529999999999994</v>
      </c>
      <c r="BM16" s="327">
        <f t="shared" si="56"/>
        <v>52</v>
      </c>
      <c r="BN16" s="595">
        <f>VLOOKUP(B16,year2022to23,307,FALSE)</f>
        <v>32.42</v>
      </c>
      <c r="BO16" s="326">
        <f t="shared" si="57"/>
        <v>203.41</v>
      </c>
      <c r="BP16" s="327">
        <f t="shared" si="57"/>
        <v>142.17999999999998</v>
      </c>
      <c r="BQ16" s="327">
        <f t="shared" si="57"/>
        <v>159.56399999999999</v>
      </c>
      <c r="BR16" s="329"/>
      <c r="BS16" s="335"/>
      <c r="BT16" s="326">
        <f t="shared" si="44"/>
        <v>1.7599999999999625</v>
      </c>
      <c r="BU16" s="327">
        <f t="shared" si="44"/>
        <v>-16.849999999999966</v>
      </c>
      <c r="BV16" s="328">
        <f t="shared" si="44"/>
        <v>17.22</v>
      </c>
      <c r="BW16" s="326">
        <f t="shared" si="45"/>
        <v>38.900000000000006</v>
      </c>
      <c r="BX16" s="327">
        <f t="shared" si="45"/>
        <v>-57.84</v>
      </c>
      <c r="BY16" s="328">
        <f t="shared" si="45"/>
        <v>9.460000000000008</v>
      </c>
      <c r="BZ16" s="326">
        <f t="shared" si="46"/>
        <v>27.78000000000003</v>
      </c>
      <c r="CA16" s="327">
        <f t="shared" si="46"/>
        <v>-8.5699999999999932</v>
      </c>
      <c r="CB16" s="328">
        <f t="shared" si="46"/>
        <v>-16.690000000000026</v>
      </c>
      <c r="CC16" s="326">
        <f t="shared" si="58"/>
        <v>-61.230000000000018</v>
      </c>
      <c r="CD16" s="327">
        <f t="shared" si="58"/>
        <v>17.384000000000015</v>
      </c>
      <c r="CE16" s="329"/>
      <c r="CF16" s="335"/>
      <c r="CG16" s="326">
        <f t="shared" si="47"/>
        <v>106.58000000000001</v>
      </c>
      <c r="CH16" s="327">
        <f t="shared" si="47"/>
        <v>108.33999999999997</v>
      </c>
      <c r="CI16" s="327">
        <f t="shared" si="47"/>
        <v>91.490000000000009</v>
      </c>
      <c r="CJ16" s="328">
        <f t="shared" si="47"/>
        <v>108.71000000000001</v>
      </c>
      <c r="CK16" s="326">
        <f t="shared" si="48"/>
        <v>247.51999999999998</v>
      </c>
      <c r="CL16" s="327">
        <f t="shared" si="48"/>
        <v>288.17999999999995</v>
      </c>
      <c r="CM16" s="327">
        <f t="shared" si="48"/>
        <v>213.49</v>
      </c>
      <c r="CN16" s="328">
        <f t="shared" si="48"/>
        <v>240.17000000000002</v>
      </c>
      <c r="CO16" s="326">
        <f t="shared" si="49"/>
        <v>394.47</v>
      </c>
      <c r="CP16" s="327">
        <f t="shared" si="49"/>
        <v>462.90999999999997</v>
      </c>
      <c r="CQ16" s="327">
        <f t="shared" si="49"/>
        <v>379.65</v>
      </c>
      <c r="CR16" s="328">
        <f t="shared" si="49"/>
        <v>389.64</v>
      </c>
      <c r="CS16" s="326">
        <f t="shared" si="50"/>
        <v>597.88000000000011</v>
      </c>
      <c r="CT16" s="327">
        <f t="shared" si="50"/>
        <v>605.08999999999992</v>
      </c>
      <c r="CU16" s="327">
        <f t="shared" si="50"/>
        <v>539.21399999999994</v>
      </c>
      <c r="CV16" s="328">
        <f t="shared" si="50"/>
        <v>529.89</v>
      </c>
      <c r="CW16" s="335"/>
      <c r="CX16" s="326">
        <f t="shared" si="59"/>
        <v>2.3950561797752812</v>
      </c>
      <c r="CY16" s="327">
        <f t="shared" si="59"/>
        <v>2.4346067415730333</v>
      </c>
      <c r="CZ16" s="327">
        <f t="shared" si="59"/>
        <v>2.0559550561797755</v>
      </c>
      <c r="DA16" s="328">
        <f t="shared" si="59"/>
        <v>2.4429213483146071</v>
      </c>
      <c r="DB16" s="326">
        <f t="shared" si="60"/>
        <v>5.5622471910112354</v>
      </c>
      <c r="DC16" s="327">
        <f t="shared" si="60"/>
        <v>6.4759550561797745</v>
      </c>
      <c r="DD16" s="327">
        <f t="shared" si="60"/>
        <v>4.7975280898876402</v>
      </c>
      <c r="DE16" s="328">
        <f t="shared" si="60"/>
        <v>5.3970786516853932</v>
      </c>
      <c r="DF16" s="326">
        <f t="shared" si="61"/>
        <v>8.8644943820224729</v>
      </c>
      <c r="DG16" s="327">
        <f t="shared" si="61"/>
        <v>10.402471910112359</v>
      </c>
      <c r="DH16" s="327">
        <f t="shared" si="61"/>
        <v>8.5314606741573034</v>
      </c>
      <c r="DI16" s="327">
        <f t="shared" si="61"/>
        <v>8.7559550561797757</v>
      </c>
      <c r="DJ16" s="326">
        <f t="shared" si="62"/>
        <v>13.435505617977531</v>
      </c>
      <c r="DK16" s="327">
        <f t="shared" si="62"/>
        <v>13.597528089887639</v>
      </c>
      <c r="DL16" s="327">
        <f t="shared" si="62"/>
        <v>12.117168539325842</v>
      </c>
      <c r="DM16" s="324"/>
      <c r="DO16" s="326">
        <v>539.21399999999994</v>
      </c>
      <c r="DP16" s="328">
        <v>12.117168539325842</v>
      </c>
      <c r="DR16" s="326">
        <f t="shared" si="63"/>
        <v>529.89</v>
      </c>
      <c r="DS16" s="328">
        <f t="shared" si="64"/>
        <v>11.907640449438201</v>
      </c>
    </row>
    <row r="17" spans="1:123" x14ac:dyDescent="0.25">
      <c r="A17" s="521"/>
      <c r="B17" s="55">
        <v>12</v>
      </c>
      <c r="C17" s="368">
        <v>76.2</v>
      </c>
      <c r="D17" s="368">
        <v>76.2</v>
      </c>
      <c r="E17" s="368">
        <v>71</v>
      </c>
      <c r="F17" s="368">
        <v>71</v>
      </c>
      <c r="G17" s="326">
        <f t="shared" si="0"/>
        <v>103.92</v>
      </c>
      <c r="H17" s="327">
        <f t="shared" si="1"/>
        <v>64.150000000000006</v>
      </c>
      <c r="I17" s="327">
        <f t="shared" si="2"/>
        <v>78.53</v>
      </c>
      <c r="J17" s="328">
        <f t="shared" si="3"/>
        <v>51.83</v>
      </c>
      <c r="K17" s="326">
        <f t="shared" si="4"/>
        <v>41.82</v>
      </c>
      <c r="L17" s="327">
        <f t="shared" si="5"/>
        <v>73.37</v>
      </c>
      <c r="M17" s="327">
        <f t="shared" si="6"/>
        <v>60.73</v>
      </c>
      <c r="N17" s="328">
        <f t="shared" si="7"/>
        <v>82.91</v>
      </c>
      <c r="O17" s="326">
        <f t="shared" si="8"/>
        <v>69.2</v>
      </c>
      <c r="P17" s="327">
        <f t="shared" si="9"/>
        <v>66.05</v>
      </c>
      <c r="Q17" s="327">
        <f t="shared" si="10"/>
        <v>41.84</v>
      </c>
      <c r="R17" s="334">
        <f t="shared" si="11"/>
        <v>61.5</v>
      </c>
      <c r="S17" s="326">
        <f t="shared" si="51"/>
        <v>214.94</v>
      </c>
      <c r="T17" s="327">
        <f t="shared" si="51"/>
        <v>203.57</v>
      </c>
      <c r="U17" s="327">
        <f t="shared" si="51"/>
        <v>181.1</v>
      </c>
      <c r="V17" s="328">
        <f t="shared" si="51"/>
        <v>196.24</v>
      </c>
      <c r="W17" s="326">
        <f t="shared" si="12"/>
        <v>62.67</v>
      </c>
      <c r="X17" s="327">
        <f t="shared" si="13"/>
        <v>72.349999999999994</v>
      </c>
      <c r="Y17" s="327">
        <f t="shared" si="14"/>
        <v>85.08</v>
      </c>
      <c r="Z17" s="328">
        <f t="shared" si="15"/>
        <v>108.55</v>
      </c>
      <c r="AA17" s="326">
        <f t="shared" si="16"/>
        <v>96.63000000000001</v>
      </c>
      <c r="AB17" s="327">
        <f t="shared" si="17"/>
        <v>69.09</v>
      </c>
      <c r="AC17" s="327">
        <f t="shared" si="18"/>
        <v>60.72</v>
      </c>
      <c r="AD17" s="328">
        <f t="shared" si="19"/>
        <v>69.22999999999999</v>
      </c>
      <c r="AE17" s="326">
        <f t="shared" si="20"/>
        <v>57.239999999999995</v>
      </c>
      <c r="AF17" s="327">
        <f t="shared" si="21"/>
        <v>77.56</v>
      </c>
      <c r="AG17" s="327">
        <f t="shared" si="22"/>
        <v>57.980000000000004</v>
      </c>
      <c r="AH17" s="328">
        <f t="shared" si="23"/>
        <v>72.430000000000007</v>
      </c>
      <c r="AI17" s="326">
        <f t="shared" si="52"/>
        <v>216.54000000000002</v>
      </c>
      <c r="AJ17" s="327">
        <f t="shared" si="52"/>
        <v>219</v>
      </c>
      <c r="AK17" s="327">
        <f t="shared" si="52"/>
        <v>203.78000000000003</v>
      </c>
      <c r="AL17" s="328">
        <f t="shared" si="52"/>
        <v>250.20999999999998</v>
      </c>
      <c r="AM17" s="326">
        <f t="shared" si="24"/>
        <v>43.55</v>
      </c>
      <c r="AN17" s="327">
        <f t="shared" si="25"/>
        <v>77.760000000000005</v>
      </c>
      <c r="AO17" s="327">
        <f t="shared" si="26"/>
        <v>62.17</v>
      </c>
      <c r="AP17" s="328">
        <f t="shared" si="27"/>
        <v>75.459999999999994</v>
      </c>
      <c r="AQ17" s="326">
        <f t="shared" si="28"/>
        <v>58.84</v>
      </c>
      <c r="AR17" s="327">
        <f t="shared" si="29"/>
        <v>74.569999999999993</v>
      </c>
      <c r="AS17" s="327">
        <f t="shared" si="30"/>
        <v>67.44</v>
      </c>
      <c r="AT17" s="328">
        <f t="shared" si="31"/>
        <v>80.36</v>
      </c>
      <c r="AU17" s="326">
        <f t="shared" si="32"/>
        <v>81.45</v>
      </c>
      <c r="AV17" s="327">
        <f t="shared" si="33"/>
        <v>95.53</v>
      </c>
      <c r="AW17" s="327">
        <f t="shared" si="53"/>
        <v>147.54000000000002</v>
      </c>
      <c r="AX17" s="328">
        <f t="shared" si="54"/>
        <v>104.3</v>
      </c>
      <c r="AY17" s="326">
        <f t="shared" si="55"/>
        <v>183.84</v>
      </c>
      <c r="AZ17" s="327">
        <f t="shared" si="55"/>
        <v>247.85999999999999</v>
      </c>
      <c r="BA17" s="327">
        <f t="shared" si="55"/>
        <v>277.15000000000003</v>
      </c>
      <c r="BB17" s="328">
        <f t="shared" si="55"/>
        <v>260.12</v>
      </c>
      <c r="BC17" s="326">
        <f t="shared" si="34"/>
        <v>139.88</v>
      </c>
      <c r="BD17" s="327">
        <f t="shared" si="35"/>
        <v>117.32</v>
      </c>
      <c r="BE17" s="327">
        <f t="shared" si="36"/>
        <v>92.97</v>
      </c>
      <c r="BF17" s="328">
        <f t="shared" si="37"/>
        <v>106.28</v>
      </c>
      <c r="BG17" s="326">
        <f t="shared" si="38"/>
        <v>122.47</v>
      </c>
      <c r="BH17" s="327">
        <f t="shared" si="39"/>
        <v>97.89</v>
      </c>
      <c r="BI17" s="327">
        <f t="shared" si="40"/>
        <v>143.44999999999999</v>
      </c>
      <c r="BJ17" s="328">
        <f t="shared" si="41"/>
        <v>94.509999999999991</v>
      </c>
      <c r="BK17" s="326">
        <f t="shared" si="42"/>
        <v>180.53</v>
      </c>
      <c r="BL17" s="327">
        <f t="shared" si="43"/>
        <v>94.080000000000013</v>
      </c>
      <c r="BM17" s="327">
        <f t="shared" si="56"/>
        <v>98.47</v>
      </c>
      <c r="BN17" s="595">
        <f>VLOOKUP(B17,year2022to23,307,FALSE)</f>
        <v>93.38</v>
      </c>
      <c r="BO17" s="326">
        <f t="shared" si="57"/>
        <v>442.88</v>
      </c>
      <c r="BP17" s="327">
        <f t="shared" si="57"/>
        <v>309.28999999999996</v>
      </c>
      <c r="BQ17" s="327">
        <f t="shared" si="57"/>
        <v>334.89</v>
      </c>
      <c r="BR17" s="329"/>
      <c r="BS17" s="335"/>
      <c r="BT17" s="326">
        <f t="shared" si="44"/>
        <v>-11.370000000000005</v>
      </c>
      <c r="BU17" s="327">
        <f t="shared" si="44"/>
        <v>-22.47</v>
      </c>
      <c r="BV17" s="328">
        <f t="shared" si="44"/>
        <v>15.140000000000015</v>
      </c>
      <c r="BW17" s="326">
        <f t="shared" si="45"/>
        <v>2.4599999999999795</v>
      </c>
      <c r="BX17" s="327">
        <f t="shared" si="45"/>
        <v>-15.21999999999997</v>
      </c>
      <c r="BY17" s="328">
        <f t="shared" si="45"/>
        <v>46.42999999999995</v>
      </c>
      <c r="BZ17" s="326">
        <f t="shared" si="46"/>
        <v>64.019999999999982</v>
      </c>
      <c r="CA17" s="327">
        <f t="shared" si="46"/>
        <v>29.290000000000049</v>
      </c>
      <c r="CB17" s="328">
        <f t="shared" si="46"/>
        <v>-17.03000000000003</v>
      </c>
      <c r="CC17" s="326">
        <f t="shared" si="58"/>
        <v>-133.59000000000003</v>
      </c>
      <c r="CD17" s="327">
        <f t="shared" si="58"/>
        <v>25.600000000000023</v>
      </c>
      <c r="CE17" s="329"/>
      <c r="CF17" s="335"/>
      <c r="CG17" s="326">
        <f t="shared" si="47"/>
        <v>214.94</v>
      </c>
      <c r="CH17" s="327">
        <f t="shared" si="47"/>
        <v>203.57</v>
      </c>
      <c r="CI17" s="327">
        <f t="shared" si="47"/>
        <v>181.1</v>
      </c>
      <c r="CJ17" s="328">
        <f t="shared" si="47"/>
        <v>196.24</v>
      </c>
      <c r="CK17" s="326">
        <f t="shared" si="48"/>
        <v>431.48</v>
      </c>
      <c r="CL17" s="327">
        <f t="shared" si="48"/>
        <v>422.57</v>
      </c>
      <c r="CM17" s="327">
        <f t="shared" si="48"/>
        <v>384.88</v>
      </c>
      <c r="CN17" s="328">
        <f t="shared" si="48"/>
        <v>446.45</v>
      </c>
      <c r="CO17" s="326">
        <f t="shared" si="49"/>
        <v>615.32000000000005</v>
      </c>
      <c r="CP17" s="327">
        <f t="shared" si="49"/>
        <v>670.43</v>
      </c>
      <c r="CQ17" s="327">
        <f t="shared" si="49"/>
        <v>662.03</v>
      </c>
      <c r="CR17" s="328">
        <f t="shared" si="49"/>
        <v>706.56999999999994</v>
      </c>
      <c r="CS17" s="326">
        <f t="shared" si="50"/>
        <v>1058.2</v>
      </c>
      <c r="CT17" s="327">
        <f t="shared" si="50"/>
        <v>979.72</v>
      </c>
      <c r="CU17" s="327">
        <f t="shared" si="50"/>
        <v>996.92000000000007</v>
      </c>
      <c r="CV17" s="328">
        <f t="shared" si="50"/>
        <v>1000.7399999999999</v>
      </c>
      <c r="CW17" s="335"/>
      <c r="CX17" s="326">
        <f t="shared" si="59"/>
        <v>2.8207349081364828</v>
      </c>
      <c r="CY17" s="327">
        <f t="shared" si="59"/>
        <v>2.6715223097112859</v>
      </c>
      <c r="CZ17" s="327">
        <f t="shared" si="59"/>
        <v>2.5507042253521126</v>
      </c>
      <c r="DA17" s="328">
        <f t="shared" si="59"/>
        <v>2.7639436619718309</v>
      </c>
      <c r="DB17" s="326">
        <f t="shared" si="60"/>
        <v>5.6624671916010501</v>
      </c>
      <c r="DC17" s="327">
        <f t="shared" si="60"/>
        <v>5.5455380577427817</v>
      </c>
      <c r="DD17" s="327">
        <f t="shared" si="60"/>
        <v>5.4208450704225353</v>
      </c>
      <c r="DE17" s="328">
        <f t="shared" si="60"/>
        <v>6.2880281690140842</v>
      </c>
      <c r="DF17" s="326">
        <f t="shared" si="61"/>
        <v>8.0750656167979002</v>
      </c>
      <c r="DG17" s="327">
        <f t="shared" si="61"/>
        <v>8.7982939632545918</v>
      </c>
      <c r="DH17" s="327">
        <f t="shared" si="61"/>
        <v>9.3243661971830978</v>
      </c>
      <c r="DI17" s="327">
        <f t="shared" si="61"/>
        <v>9.95169014084507</v>
      </c>
      <c r="DJ17" s="326">
        <f t="shared" si="62"/>
        <v>13.887139107611549</v>
      </c>
      <c r="DK17" s="327">
        <f t="shared" si="62"/>
        <v>12.857217847769029</v>
      </c>
      <c r="DL17" s="327">
        <f t="shared" si="62"/>
        <v>14.041126760563381</v>
      </c>
      <c r="DM17" s="324"/>
      <c r="DO17" s="326">
        <v>996.92000000000007</v>
      </c>
      <c r="DP17" s="328">
        <v>14.041126760563381</v>
      </c>
      <c r="DR17" s="326">
        <f t="shared" si="63"/>
        <v>1000.7399999999999</v>
      </c>
      <c r="DS17" s="328">
        <f t="shared" si="64"/>
        <v>14.094929577464788</v>
      </c>
    </row>
    <row r="18" spans="1:123" ht="15.75" thickBot="1" x14ac:dyDescent="0.3">
      <c r="A18" s="522"/>
      <c r="B18" s="83">
        <v>23</v>
      </c>
      <c r="C18" s="369">
        <v>14.6</v>
      </c>
      <c r="D18" s="369">
        <v>14.6</v>
      </c>
      <c r="E18" s="369">
        <v>14.6</v>
      </c>
      <c r="F18" s="369">
        <v>14.6</v>
      </c>
      <c r="G18" s="447">
        <f t="shared" si="0"/>
        <v>16.240000000000002</v>
      </c>
      <c r="H18" s="448">
        <f t="shared" si="1"/>
        <v>13.39</v>
      </c>
      <c r="I18" s="448">
        <f t="shared" si="2"/>
        <v>20.83</v>
      </c>
      <c r="J18" s="449">
        <f t="shared" si="3"/>
        <v>15.99</v>
      </c>
      <c r="K18" s="447">
        <f t="shared" si="4"/>
        <v>8.74</v>
      </c>
      <c r="L18" s="448">
        <f t="shared" si="5"/>
        <v>23.380000000000003</v>
      </c>
      <c r="M18" s="448">
        <f t="shared" si="6"/>
        <v>15.02</v>
      </c>
      <c r="N18" s="449">
        <f t="shared" si="7"/>
        <v>20.85</v>
      </c>
      <c r="O18" s="447">
        <f t="shared" si="8"/>
        <v>14.7</v>
      </c>
      <c r="P18" s="448">
        <f t="shared" si="9"/>
        <v>14.47</v>
      </c>
      <c r="Q18" s="448">
        <f t="shared" si="10"/>
        <v>7.17</v>
      </c>
      <c r="R18" s="450">
        <f t="shared" si="11"/>
        <v>12.399999999999999</v>
      </c>
      <c r="S18" s="447">
        <f t="shared" si="51"/>
        <v>39.680000000000007</v>
      </c>
      <c r="T18" s="448">
        <f t="shared" si="51"/>
        <v>51.24</v>
      </c>
      <c r="U18" s="448">
        <f t="shared" si="51"/>
        <v>43.019999999999996</v>
      </c>
      <c r="V18" s="449">
        <f t="shared" si="51"/>
        <v>49.24</v>
      </c>
      <c r="W18" s="447">
        <f t="shared" si="12"/>
        <v>20.130000000000003</v>
      </c>
      <c r="X18" s="448">
        <f t="shared" si="13"/>
        <v>7.79</v>
      </c>
      <c r="Y18" s="448">
        <f t="shared" si="14"/>
        <v>12.370000000000001</v>
      </c>
      <c r="Z18" s="449">
        <f t="shared" si="15"/>
        <v>31.32</v>
      </c>
      <c r="AA18" s="447">
        <f t="shared" si="16"/>
        <v>18.100000000000001</v>
      </c>
      <c r="AB18" s="448">
        <f t="shared" si="17"/>
        <v>16.48</v>
      </c>
      <c r="AC18" s="448">
        <f t="shared" si="18"/>
        <v>24.14</v>
      </c>
      <c r="AD18" s="449">
        <f t="shared" si="19"/>
        <v>21.55</v>
      </c>
      <c r="AE18" s="447">
        <f t="shared" si="20"/>
        <v>12.600000000000001</v>
      </c>
      <c r="AF18" s="448">
        <f t="shared" si="21"/>
        <v>21.369999999999997</v>
      </c>
      <c r="AG18" s="448">
        <f t="shared" si="22"/>
        <v>15.32</v>
      </c>
      <c r="AH18" s="449">
        <f t="shared" si="23"/>
        <v>21.51</v>
      </c>
      <c r="AI18" s="447">
        <f t="shared" si="52"/>
        <v>50.830000000000005</v>
      </c>
      <c r="AJ18" s="448">
        <f t="shared" si="52"/>
        <v>45.64</v>
      </c>
      <c r="AK18" s="448">
        <f t="shared" si="52"/>
        <v>51.830000000000005</v>
      </c>
      <c r="AL18" s="449">
        <f t="shared" si="52"/>
        <v>74.38000000000001</v>
      </c>
      <c r="AM18" s="447">
        <f t="shared" si="24"/>
        <v>13.33</v>
      </c>
      <c r="AN18" s="448">
        <f t="shared" si="25"/>
        <v>21.189999999999998</v>
      </c>
      <c r="AO18" s="448">
        <f t="shared" si="26"/>
        <v>29.12</v>
      </c>
      <c r="AP18" s="449">
        <f t="shared" si="27"/>
        <v>19.11</v>
      </c>
      <c r="AQ18" s="447">
        <f t="shared" si="28"/>
        <v>18.82</v>
      </c>
      <c r="AR18" s="448">
        <f t="shared" si="29"/>
        <v>41.82</v>
      </c>
      <c r="AS18" s="448">
        <f t="shared" si="30"/>
        <v>40.04</v>
      </c>
      <c r="AT18" s="449">
        <f t="shared" si="31"/>
        <v>29.76</v>
      </c>
      <c r="AU18" s="447">
        <f t="shared" si="32"/>
        <v>14.39</v>
      </c>
      <c r="AV18" s="448">
        <f t="shared" si="33"/>
        <v>22.19</v>
      </c>
      <c r="AW18" s="448">
        <f t="shared" si="53"/>
        <v>25.52</v>
      </c>
      <c r="AX18" s="449">
        <f t="shared" si="54"/>
        <v>23.46</v>
      </c>
      <c r="AY18" s="447">
        <f t="shared" si="55"/>
        <v>46.54</v>
      </c>
      <c r="AZ18" s="448">
        <f t="shared" si="55"/>
        <v>85.2</v>
      </c>
      <c r="BA18" s="448">
        <f t="shared" si="55"/>
        <v>94.679999999999993</v>
      </c>
      <c r="BB18" s="449">
        <f t="shared" si="55"/>
        <v>72.330000000000013</v>
      </c>
      <c r="BC18" s="447">
        <f t="shared" si="34"/>
        <v>42.260000000000005</v>
      </c>
      <c r="BD18" s="448">
        <f t="shared" si="35"/>
        <v>23.86</v>
      </c>
      <c r="BE18" s="448">
        <f t="shared" si="36"/>
        <v>44.03</v>
      </c>
      <c r="BF18" s="449">
        <f t="shared" si="37"/>
        <v>35.11</v>
      </c>
      <c r="BG18" s="447">
        <f t="shared" si="38"/>
        <v>28.15</v>
      </c>
      <c r="BH18" s="448">
        <f t="shared" si="39"/>
        <v>20.75</v>
      </c>
      <c r="BI18" s="448">
        <f t="shared" si="40"/>
        <v>32.370000000000005</v>
      </c>
      <c r="BJ18" s="328">
        <f t="shared" si="41"/>
        <v>35.29</v>
      </c>
      <c r="BK18" s="447">
        <f t="shared" si="42"/>
        <v>18.77</v>
      </c>
      <c r="BL18" s="448">
        <f t="shared" si="43"/>
        <v>16.809999999999999</v>
      </c>
      <c r="BM18" s="448">
        <f t="shared" si="56"/>
        <v>21.66</v>
      </c>
      <c r="BN18" s="596">
        <f>VLOOKUP(B18,year2022to23,307,FALSE)</f>
        <v>25.259999999999998</v>
      </c>
      <c r="BO18" s="447">
        <f t="shared" si="57"/>
        <v>89.179999999999993</v>
      </c>
      <c r="BP18" s="448">
        <f t="shared" si="57"/>
        <v>61.42</v>
      </c>
      <c r="BQ18" s="448">
        <f t="shared" si="57"/>
        <v>98.06</v>
      </c>
      <c r="BR18" s="451"/>
      <c r="BS18" s="452"/>
      <c r="BT18" s="447">
        <f t="shared" si="44"/>
        <v>11.559999999999995</v>
      </c>
      <c r="BU18" s="448">
        <f t="shared" si="44"/>
        <v>-8.220000000000006</v>
      </c>
      <c r="BV18" s="449">
        <f t="shared" si="44"/>
        <v>6.220000000000006</v>
      </c>
      <c r="BW18" s="447">
        <f t="shared" si="45"/>
        <v>-5.1900000000000048</v>
      </c>
      <c r="BX18" s="448">
        <f t="shared" si="45"/>
        <v>6.1900000000000048</v>
      </c>
      <c r="BY18" s="449">
        <f t="shared" si="45"/>
        <v>22.550000000000004</v>
      </c>
      <c r="BZ18" s="447">
        <f t="shared" si="46"/>
        <v>38.660000000000004</v>
      </c>
      <c r="CA18" s="448">
        <f t="shared" si="46"/>
        <v>9.4799999999999898</v>
      </c>
      <c r="CB18" s="449">
        <f t="shared" si="46"/>
        <v>-22.34999999999998</v>
      </c>
      <c r="CC18" s="447">
        <f t="shared" si="58"/>
        <v>-27.759999999999991</v>
      </c>
      <c r="CD18" s="448">
        <f t="shared" si="58"/>
        <v>36.64</v>
      </c>
      <c r="CE18" s="451"/>
      <c r="CF18" s="452"/>
      <c r="CG18" s="447">
        <f t="shared" si="47"/>
        <v>39.680000000000007</v>
      </c>
      <c r="CH18" s="448">
        <f t="shared" si="47"/>
        <v>51.24</v>
      </c>
      <c r="CI18" s="448">
        <f t="shared" si="47"/>
        <v>43.019999999999996</v>
      </c>
      <c r="CJ18" s="449">
        <f t="shared" si="47"/>
        <v>49.24</v>
      </c>
      <c r="CK18" s="447">
        <f t="shared" si="48"/>
        <v>90.510000000000019</v>
      </c>
      <c r="CL18" s="448">
        <f t="shared" si="48"/>
        <v>96.88</v>
      </c>
      <c r="CM18" s="448">
        <f t="shared" si="48"/>
        <v>94.85</v>
      </c>
      <c r="CN18" s="449">
        <f t="shared" si="48"/>
        <v>123.62</v>
      </c>
      <c r="CO18" s="447">
        <f t="shared" si="49"/>
        <v>137.05000000000001</v>
      </c>
      <c r="CP18" s="448">
        <f t="shared" si="49"/>
        <v>182.07999999999998</v>
      </c>
      <c r="CQ18" s="448">
        <f t="shared" si="49"/>
        <v>189.53</v>
      </c>
      <c r="CR18" s="449">
        <f t="shared" si="49"/>
        <v>195.95000000000002</v>
      </c>
      <c r="CS18" s="447">
        <f t="shared" si="50"/>
        <v>226.23000000000002</v>
      </c>
      <c r="CT18" s="448">
        <f t="shared" si="50"/>
        <v>243.5</v>
      </c>
      <c r="CU18" s="448">
        <f t="shared" si="50"/>
        <v>287.59000000000003</v>
      </c>
      <c r="CV18" s="449">
        <f t="shared" si="50"/>
        <v>291.61</v>
      </c>
      <c r="CW18" s="452"/>
      <c r="CX18" s="447">
        <f t="shared" si="59"/>
        <v>2.7178082191780826</v>
      </c>
      <c r="CY18" s="448">
        <f t="shared" si="59"/>
        <v>3.5095890410958908</v>
      </c>
      <c r="CZ18" s="448">
        <f t="shared" si="59"/>
        <v>2.9465753424657533</v>
      </c>
      <c r="DA18" s="449">
        <f t="shared" si="59"/>
        <v>3.3726027397260276</v>
      </c>
      <c r="DB18" s="447">
        <f t="shared" si="60"/>
        <v>6.1993150684931519</v>
      </c>
      <c r="DC18" s="448">
        <f t="shared" si="60"/>
        <v>6.6356164383561644</v>
      </c>
      <c r="DD18" s="448">
        <f t="shared" si="60"/>
        <v>6.4965753424657535</v>
      </c>
      <c r="DE18" s="449">
        <f t="shared" si="60"/>
        <v>8.4671232876712335</v>
      </c>
      <c r="DF18" s="447">
        <f t="shared" si="61"/>
        <v>9.3869863013698644</v>
      </c>
      <c r="DG18" s="448">
        <f t="shared" si="61"/>
        <v>12.471232876712328</v>
      </c>
      <c r="DH18" s="448">
        <f t="shared" si="61"/>
        <v>12.981506849315069</v>
      </c>
      <c r="DI18" s="448">
        <f t="shared" si="61"/>
        <v>13.421232876712331</v>
      </c>
      <c r="DJ18" s="447">
        <f t="shared" si="62"/>
        <v>15.495205479452057</v>
      </c>
      <c r="DK18" s="448">
        <f t="shared" si="62"/>
        <v>16.678082191780824</v>
      </c>
      <c r="DL18" s="448">
        <f t="shared" si="62"/>
        <v>19.697945205479456</v>
      </c>
      <c r="DM18" s="453"/>
      <c r="DN18" s="454"/>
      <c r="DO18" s="447">
        <v>287.59000000000003</v>
      </c>
      <c r="DP18" s="449">
        <v>19.697945205479456</v>
      </c>
      <c r="DQ18" s="454"/>
      <c r="DR18" s="447">
        <f t="shared" si="63"/>
        <v>291.61</v>
      </c>
      <c r="DS18" s="449">
        <f t="shared" si="64"/>
        <v>19.973287671232878</v>
      </c>
    </row>
    <row r="19" spans="1:123" x14ac:dyDescent="0.25">
      <c r="A19" s="520" t="s">
        <v>22</v>
      </c>
      <c r="B19" s="23">
        <v>10</v>
      </c>
      <c r="C19" s="367">
        <v>19.100000000000001</v>
      </c>
      <c r="D19" s="367">
        <v>19.100000000000001</v>
      </c>
      <c r="E19" s="367">
        <v>19.100000000000001</v>
      </c>
      <c r="F19" s="367">
        <v>19.100000000000001</v>
      </c>
      <c r="G19" s="439">
        <f t="shared" si="0"/>
        <v>11.7</v>
      </c>
      <c r="H19" s="440">
        <f t="shared" si="1"/>
        <v>16.29</v>
      </c>
      <c r="I19" s="440">
        <f t="shared" si="2"/>
        <v>19.59</v>
      </c>
      <c r="J19" s="441">
        <f t="shared" si="3"/>
        <v>8.8699999999999992</v>
      </c>
      <c r="K19" s="439">
        <f t="shared" si="4"/>
        <v>7.34</v>
      </c>
      <c r="L19" s="440">
        <f t="shared" si="5"/>
        <v>16.53</v>
      </c>
      <c r="M19" s="440">
        <f t="shared" si="6"/>
        <v>10.29</v>
      </c>
      <c r="N19" s="441">
        <f t="shared" si="7"/>
        <v>18.600000000000001</v>
      </c>
      <c r="O19" s="439">
        <f t="shared" si="8"/>
        <v>14.849999999999998</v>
      </c>
      <c r="P19" s="440">
        <f t="shared" si="9"/>
        <v>18.66</v>
      </c>
      <c r="Q19" s="440">
        <f t="shared" si="10"/>
        <v>10.94</v>
      </c>
      <c r="R19" s="442">
        <f t="shared" si="11"/>
        <v>21.950000000000003</v>
      </c>
      <c r="S19" s="439">
        <f t="shared" si="51"/>
        <v>33.89</v>
      </c>
      <c r="T19" s="440">
        <f t="shared" si="51"/>
        <v>51.480000000000004</v>
      </c>
      <c r="U19" s="440">
        <f t="shared" si="51"/>
        <v>40.82</v>
      </c>
      <c r="V19" s="441">
        <f t="shared" si="51"/>
        <v>49.42</v>
      </c>
      <c r="W19" s="439">
        <f t="shared" si="12"/>
        <v>19.18</v>
      </c>
      <c r="X19" s="440">
        <f t="shared" si="13"/>
        <v>15.34</v>
      </c>
      <c r="Y19" s="440">
        <f t="shared" si="14"/>
        <v>7.91</v>
      </c>
      <c r="Z19" s="441">
        <f t="shared" si="15"/>
        <v>17.760000000000002</v>
      </c>
      <c r="AA19" s="439">
        <f t="shared" si="16"/>
        <v>26.41</v>
      </c>
      <c r="AB19" s="440">
        <f t="shared" si="17"/>
        <v>25.56</v>
      </c>
      <c r="AC19" s="440">
        <f t="shared" si="18"/>
        <v>16.59</v>
      </c>
      <c r="AD19" s="441">
        <f t="shared" si="19"/>
        <v>21.09</v>
      </c>
      <c r="AE19" s="439">
        <f t="shared" si="20"/>
        <v>22.54</v>
      </c>
      <c r="AF19" s="440">
        <f t="shared" si="21"/>
        <v>21.5</v>
      </c>
      <c r="AG19" s="440">
        <f t="shared" si="22"/>
        <v>20.95</v>
      </c>
      <c r="AH19" s="441">
        <f t="shared" si="23"/>
        <v>29.669999999999998</v>
      </c>
      <c r="AI19" s="439">
        <f t="shared" si="52"/>
        <v>68.13</v>
      </c>
      <c r="AJ19" s="440">
        <f t="shared" si="52"/>
        <v>62.4</v>
      </c>
      <c r="AK19" s="440">
        <f t="shared" si="52"/>
        <v>45.45</v>
      </c>
      <c r="AL19" s="441">
        <f t="shared" si="52"/>
        <v>68.52</v>
      </c>
      <c r="AM19" s="439">
        <f t="shared" si="24"/>
        <v>13.11</v>
      </c>
      <c r="AN19" s="440">
        <f t="shared" si="25"/>
        <v>27.93</v>
      </c>
      <c r="AO19" s="440">
        <f t="shared" si="26"/>
        <v>13.52</v>
      </c>
      <c r="AP19" s="441">
        <f t="shared" si="27"/>
        <v>15.129999999999999</v>
      </c>
      <c r="AQ19" s="439">
        <f t="shared" si="28"/>
        <v>20.47</v>
      </c>
      <c r="AR19" s="440">
        <f t="shared" si="29"/>
        <v>29.2</v>
      </c>
      <c r="AS19" s="440">
        <f t="shared" si="30"/>
        <v>27.61</v>
      </c>
      <c r="AT19" s="441">
        <f t="shared" si="31"/>
        <v>23.62</v>
      </c>
      <c r="AU19" s="439">
        <f t="shared" si="32"/>
        <v>44.04</v>
      </c>
      <c r="AV19" s="440">
        <f t="shared" si="33"/>
        <v>34.06</v>
      </c>
      <c r="AW19" s="440">
        <f t="shared" si="53"/>
        <v>40.57</v>
      </c>
      <c r="AX19" s="441">
        <f t="shared" si="54"/>
        <v>25.64</v>
      </c>
      <c r="AY19" s="439">
        <f t="shared" si="55"/>
        <v>77.62</v>
      </c>
      <c r="AZ19" s="440">
        <f t="shared" si="55"/>
        <v>91.19</v>
      </c>
      <c r="BA19" s="440">
        <f t="shared" si="55"/>
        <v>81.699999999999989</v>
      </c>
      <c r="BB19" s="441">
        <f t="shared" si="55"/>
        <v>64.39</v>
      </c>
      <c r="BC19" s="439">
        <f t="shared" si="34"/>
        <v>36.01</v>
      </c>
      <c r="BD19" s="440">
        <f t="shared" si="35"/>
        <v>29.66</v>
      </c>
      <c r="BE19" s="440">
        <f t="shared" si="36"/>
        <v>28.14</v>
      </c>
      <c r="BF19" s="441">
        <f t="shared" si="37"/>
        <v>31.32</v>
      </c>
      <c r="BG19" s="439">
        <f t="shared" si="38"/>
        <v>0</v>
      </c>
      <c r="BH19" s="440">
        <f t="shared" si="39"/>
        <v>24.72</v>
      </c>
      <c r="BI19" s="440">
        <f t="shared" si="40"/>
        <v>35.380000000000003</v>
      </c>
      <c r="BJ19" s="328">
        <f t="shared" si="41"/>
        <v>31.979999999999997</v>
      </c>
      <c r="BK19" s="439">
        <f t="shared" si="42"/>
        <v>53.05</v>
      </c>
      <c r="BL19" s="440">
        <f t="shared" si="43"/>
        <v>28.05</v>
      </c>
      <c r="BM19" s="440">
        <f t="shared" si="56"/>
        <v>29.310000000000002</v>
      </c>
      <c r="BN19" s="594">
        <f>VLOOKUP(B19,year2022to23,307,FALSE)</f>
        <v>13.41</v>
      </c>
      <c r="BO19" s="439">
        <f t="shared" si="57"/>
        <v>89.06</v>
      </c>
      <c r="BP19" s="440">
        <f t="shared" si="57"/>
        <v>82.429999999999993</v>
      </c>
      <c r="BQ19" s="440">
        <f t="shared" si="57"/>
        <v>92.830000000000013</v>
      </c>
      <c r="BR19" s="443"/>
      <c r="BS19" s="444"/>
      <c r="BT19" s="439">
        <f t="shared" si="44"/>
        <v>17.590000000000003</v>
      </c>
      <c r="BU19" s="440">
        <f t="shared" si="44"/>
        <v>-10.660000000000004</v>
      </c>
      <c r="BV19" s="441">
        <f t="shared" si="44"/>
        <v>8.6000000000000014</v>
      </c>
      <c r="BW19" s="439">
        <f t="shared" si="45"/>
        <v>-5.7299999999999969</v>
      </c>
      <c r="BX19" s="440">
        <f t="shared" si="45"/>
        <v>-16.949999999999996</v>
      </c>
      <c r="BY19" s="441">
        <f t="shared" si="45"/>
        <v>23.069999999999993</v>
      </c>
      <c r="BZ19" s="439">
        <f t="shared" si="46"/>
        <v>13.569999999999993</v>
      </c>
      <c r="CA19" s="440">
        <f t="shared" si="46"/>
        <v>-9.4900000000000091</v>
      </c>
      <c r="CB19" s="441">
        <f t="shared" si="46"/>
        <v>-17.309999999999988</v>
      </c>
      <c r="CC19" s="439">
        <f t="shared" si="58"/>
        <v>-6.6300000000000097</v>
      </c>
      <c r="CD19" s="440">
        <f t="shared" si="58"/>
        <v>10.40000000000002</v>
      </c>
      <c r="CE19" s="443"/>
      <c r="CF19" s="444"/>
      <c r="CG19" s="439">
        <f t="shared" si="47"/>
        <v>33.89</v>
      </c>
      <c r="CH19" s="440">
        <f t="shared" si="47"/>
        <v>51.480000000000004</v>
      </c>
      <c r="CI19" s="440">
        <f t="shared" si="47"/>
        <v>40.82</v>
      </c>
      <c r="CJ19" s="441">
        <f t="shared" si="47"/>
        <v>49.42</v>
      </c>
      <c r="CK19" s="439">
        <f t="shared" si="48"/>
        <v>102.02000000000001</v>
      </c>
      <c r="CL19" s="440">
        <f t="shared" si="48"/>
        <v>113.88000000000001</v>
      </c>
      <c r="CM19" s="440">
        <f t="shared" si="48"/>
        <v>86.27000000000001</v>
      </c>
      <c r="CN19" s="441">
        <f t="shared" si="48"/>
        <v>117.94000000000001</v>
      </c>
      <c r="CO19" s="439">
        <f t="shared" si="49"/>
        <v>179.64000000000001</v>
      </c>
      <c r="CP19" s="440">
        <f t="shared" si="49"/>
        <v>205.07</v>
      </c>
      <c r="CQ19" s="440">
        <f t="shared" si="49"/>
        <v>167.97</v>
      </c>
      <c r="CR19" s="441">
        <f t="shared" si="49"/>
        <v>182.33000000000004</v>
      </c>
      <c r="CS19" s="439">
        <f t="shared" si="50"/>
        <v>268.7</v>
      </c>
      <c r="CT19" s="440">
        <f t="shared" si="50"/>
        <v>287.5</v>
      </c>
      <c r="CU19" s="440">
        <f t="shared" si="50"/>
        <v>260.8</v>
      </c>
      <c r="CV19" s="441">
        <f t="shared" si="50"/>
        <v>259.04000000000002</v>
      </c>
      <c r="CW19" s="444"/>
      <c r="CX19" s="439">
        <f t="shared" si="59"/>
        <v>1.7743455497382199</v>
      </c>
      <c r="CY19" s="440">
        <f t="shared" si="59"/>
        <v>2.6952879581151832</v>
      </c>
      <c r="CZ19" s="440">
        <f t="shared" si="59"/>
        <v>2.1371727748691098</v>
      </c>
      <c r="DA19" s="441">
        <f t="shared" si="59"/>
        <v>2.587434554973822</v>
      </c>
      <c r="DB19" s="439">
        <f t="shared" si="60"/>
        <v>5.341361256544503</v>
      </c>
      <c r="DC19" s="440">
        <f t="shared" si="60"/>
        <v>5.9623036649214658</v>
      </c>
      <c r="DD19" s="440">
        <f t="shared" si="60"/>
        <v>4.5167539267015711</v>
      </c>
      <c r="DE19" s="441">
        <f t="shared" si="60"/>
        <v>6.174869109947644</v>
      </c>
      <c r="DF19" s="439">
        <f t="shared" si="61"/>
        <v>9.4052356020942405</v>
      </c>
      <c r="DG19" s="440">
        <f t="shared" si="61"/>
        <v>10.736649214659685</v>
      </c>
      <c r="DH19" s="440">
        <f t="shared" si="61"/>
        <v>8.7942408376963339</v>
      </c>
      <c r="DI19" s="440">
        <f t="shared" si="61"/>
        <v>9.5460732984293202</v>
      </c>
      <c r="DJ19" s="439">
        <f t="shared" si="62"/>
        <v>14.068062827225129</v>
      </c>
      <c r="DK19" s="440">
        <f t="shared" si="62"/>
        <v>15.052356020942407</v>
      </c>
      <c r="DL19" s="440">
        <f t="shared" si="62"/>
        <v>13.654450261780104</v>
      </c>
      <c r="DM19" s="445"/>
      <c r="DN19" s="446"/>
      <c r="DO19" s="439">
        <v>260.8</v>
      </c>
      <c r="DP19" s="441">
        <v>13.654450261780104</v>
      </c>
      <c r="DQ19" s="446"/>
      <c r="DR19" s="439">
        <f t="shared" si="63"/>
        <v>259.04000000000002</v>
      </c>
      <c r="DS19" s="441">
        <f t="shared" si="64"/>
        <v>13.562303664921465</v>
      </c>
    </row>
    <row r="20" spans="1:123" x14ac:dyDescent="0.25">
      <c r="A20" s="521"/>
      <c r="B20" s="55">
        <v>13</v>
      </c>
      <c r="C20" s="368">
        <v>60.8</v>
      </c>
      <c r="D20" s="368">
        <v>60.8</v>
      </c>
      <c r="E20" s="368">
        <v>60.8</v>
      </c>
      <c r="F20" s="368">
        <v>60.8</v>
      </c>
      <c r="G20" s="326">
        <f t="shared" si="0"/>
        <v>55.04</v>
      </c>
      <c r="H20" s="327">
        <f t="shared" si="1"/>
        <v>107.76</v>
      </c>
      <c r="I20" s="327">
        <f t="shared" si="2"/>
        <v>74.92</v>
      </c>
      <c r="J20" s="328">
        <f t="shared" si="3"/>
        <v>91.4</v>
      </c>
      <c r="K20" s="326">
        <f t="shared" si="4"/>
        <v>49.260000000000005</v>
      </c>
      <c r="L20" s="327">
        <f t="shared" si="5"/>
        <v>63.97</v>
      </c>
      <c r="M20" s="327">
        <f t="shared" si="6"/>
        <v>56.88</v>
      </c>
      <c r="N20" s="328">
        <f t="shared" si="7"/>
        <v>74.7</v>
      </c>
      <c r="O20" s="326">
        <f t="shared" si="8"/>
        <v>55.06</v>
      </c>
      <c r="P20" s="327">
        <f t="shared" si="9"/>
        <v>61.980000000000004</v>
      </c>
      <c r="Q20" s="327">
        <f t="shared" si="10"/>
        <v>44.790000000000006</v>
      </c>
      <c r="R20" s="334">
        <f t="shared" si="11"/>
        <v>57.589999999999996</v>
      </c>
      <c r="S20" s="326">
        <f t="shared" si="51"/>
        <v>159.36000000000001</v>
      </c>
      <c r="T20" s="327">
        <f t="shared" si="51"/>
        <v>233.71000000000004</v>
      </c>
      <c r="U20" s="327">
        <f t="shared" si="51"/>
        <v>176.59000000000003</v>
      </c>
      <c r="V20" s="328">
        <f t="shared" si="51"/>
        <v>223.69000000000003</v>
      </c>
      <c r="W20" s="326">
        <f t="shared" si="12"/>
        <v>51.75</v>
      </c>
      <c r="X20" s="327">
        <f t="shared" si="13"/>
        <v>47.14</v>
      </c>
      <c r="Y20" s="327">
        <f t="shared" si="14"/>
        <v>68.010000000000005</v>
      </c>
      <c r="Z20" s="328">
        <f t="shared" si="15"/>
        <v>47.86</v>
      </c>
      <c r="AA20" s="326">
        <f t="shared" si="16"/>
        <v>86.15</v>
      </c>
      <c r="AB20" s="327">
        <f t="shared" si="17"/>
        <v>85.9</v>
      </c>
      <c r="AC20" s="327">
        <f t="shared" si="18"/>
        <v>48.01</v>
      </c>
      <c r="AD20" s="328">
        <f t="shared" si="19"/>
        <v>90.56</v>
      </c>
      <c r="AE20" s="326">
        <f t="shared" si="20"/>
        <v>76.180000000000007</v>
      </c>
      <c r="AF20" s="327">
        <f t="shared" si="21"/>
        <v>77.59</v>
      </c>
      <c r="AG20" s="327">
        <f t="shared" si="22"/>
        <v>53.45</v>
      </c>
      <c r="AH20" s="328">
        <f t="shared" si="23"/>
        <v>56.22</v>
      </c>
      <c r="AI20" s="326">
        <f t="shared" si="52"/>
        <v>214.08</v>
      </c>
      <c r="AJ20" s="327">
        <f t="shared" si="52"/>
        <v>210.63000000000002</v>
      </c>
      <c r="AK20" s="327">
        <f t="shared" si="52"/>
        <v>169.47000000000003</v>
      </c>
      <c r="AL20" s="328">
        <f t="shared" si="52"/>
        <v>194.64000000000001</v>
      </c>
      <c r="AM20" s="326">
        <f t="shared" si="24"/>
        <v>84.359999999999985</v>
      </c>
      <c r="AN20" s="327">
        <f t="shared" si="25"/>
        <v>93.78</v>
      </c>
      <c r="AO20" s="327">
        <f t="shared" si="26"/>
        <v>71.09</v>
      </c>
      <c r="AP20" s="328">
        <f t="shared" si="27"/>
        <v>89.53</v>
      </c>
      <c r="AQ20" s="326">
        <f t="shared" si="28"/>
        <v>80.569999999999993</v>
      </c>
      <c r="AR20" s="327">
        <f t="shared" si="29"/>
        <v>85.92</v>
      </c>
      <c r="AS20" s="327">
        <f t="shared" si="30"/>
        <v>96.89</v>
      </c>
      <c r="AT20" s="328">
        <f t="shared" si="31"/>
        <v>66.47</v>
      </c>
      <c r="AU20" s="326">
        <f t="shared" si="32"/>
        <v>96.34</v>
      </c>
      <c r="AV20" s="327">
        <f t="shared" si="33"/>
        <v>109.63999999999999</v>
      </c>
      <c r="AW20" s="327">
        <f t="shared" si="53"/>
        <v>80.66</v>
      </c>
      <c r="AX20" s="328">
        <f t="shared" si="54"/>
        <v>91.89</v>
      </c>
      <c r="AY20" s="326">
        <f t="shared" si="55"/>
        <v>261.27</v>
      </c>
      <c r="AZ20" s="327">
        <f t="shared" si="55"/>
        <v>289.33999999999997</v>
      </c>
      <c r="BA20" s="327">
        <f t="shared" si="55"/>
        <v>248.64000000000001</v>
      </c>
      <c r="BB20" s="328">
        <f t="shared" si="55"/>
        <v>247.89</v>
      </c>
      <c r="BC20" s="326">
        <f t="shared" si="34"/>
        <v>113.44</v>
      </c>
      <c r="BD20" s="327">
        <f t="shared" si="35"/>
        <v>94.43</v>
      </c>
      <c r="BE20" s="327">
        <f t="shared" si="36"/>
        <v>184.71</v>
      </c>
      <c r="BF20" s="328">
        <f t="shared" si="37"/>
        <v>116.15</v>
      </c>
      <c r="BG20" s="326">
        <f t="shared" si="38"/>
        <v>119.28</v>
      </c>
      <c r="BH20" s="327">
        <f t="shared" si="39"/>
        <v>112.62</v>
      </c>
      <c r="BI20" s="327">
        <f t="shared" si="40"/>
        <v>139.12900000000002</v>
      </c>
      <c r="BJ20" s="328">
        <f t="shared" si="41"/>
        <v>143.57999999999998</v>
      </c>
      <c r="BK20" s="326">
        <f t="shared" si="42"/>
        <v>97.38</v>
      </c>
      <c r="BL20" s="327">
        <f t="shared" si="43"/>
        <v>98.88</v>
      </c>
      <c r="BM20" s="327">
        <f t="shared" si="56"/>
        <v>80.319999999999993</v>
      </c>
      <c r="BN20" s="595">
        <f>VLOOKUP(B20,year2022to23,307,FALSE)</f>
        <v>112.95000000000002</v>
      </c>
      <c r="BO20" s="326">
        <f t="shared" si="57"/>
        <v>330.1</v>
      </c>
      <c r="BP20" s="327">
        <f t="shared" si="57"/>
        <v>305.93</v>
      </c>
      <c r="BQ20" s="327">
        <f t="shared" si="57"/>
        <v>404.15900000000005</v>
      </c>
      <c r="BR20" s="329"/>
      <c r="BS20" s="335"/>
      <c r="BT20" s="326">
        <f t="shared" si="44"/>
        <v>74.350000000000023</v>
      </c>
      <c r="BU20" s="327">
        <f t="shared" si="44"/>
        <v>-57.120000000000005</v>
      </c>
      <c r="BV20" s="328">
        <f t="shared" si="44"/>
        <v>47.099999999999994</v>
      </c>
      <c r="BW20" s="326">
        <f t="shared" si="45"/>
        <v>-3.4499999999999886</v>
      </c>
      <c r="BX20" s="327">
        <f t="shared" si="45"/>
        <v>-41.16</v>
      </c>
      <c r="BY20" s="328">
        <f t="shared" si="45"/>
        <v>25.169999999999987</v>
      </c>
      <c r="BZ20" s="326">
        <f t="shared" si="46"/>
        <v>28.069999999999993</v>
      </c>
      <c r="CA20" s="327">
        <f t="shared" si="46"/>
        <v>-40.69999999999996</v>
      </c>
      <c r="CB20" s="328">
        <f t="shared" si="46"/>
        <v>-0.75000000000002842</v>
      </c>
      <c r="CC20" s="326">
        <f t="shared" si="58"/>
        <v>-24.170000000000016</v>
      </c>
      <c r="CD20" s="327">
        <f t="shared" si="58"/>
        <v>98.229000000000042</v>
      </c>
      <c r="CE20" s="329"/>
      <c r="CF20" s="335"/>
      <c r="CG20" s="326">
        <f t="shared" si="47"/>
        <v>159.36000000000001</v>
      </c>
      <c r="CH20" s="327">
        <f t="shared" si="47"/>
        <v>233.71000000000004</v>
      </c>
      <c r="CI20" s="327">
        <f t="shared" si="47"/>
        <v>176.59000000000003</v>
      </c>
      <c r="CJ20" s="328">
        <f t="shared" si="47"/>
        <v>223.69000000000003</v>
      </c>
      <c r="CK20" s="326">
        <f t="shared" si="48"/>
        <v>373.44</v>
      </c>
      <c r="CL20" s="327">
        <f t="shared" si="48"/>
        <v>444.34000000000003</v>
      </c>
      <c r="CM20" s="327">
        <f t="shared" si="48"/>
        <v>346.06</v>
      </c>
      <c r="CN20" s="328">
        <f t="shared" si="48"/>
        <v>418.33000000000004</v>
      </c>
      <c r="CO20" s="326">
        <f t="shared" si="49"/>
        <v>634.70999999999992</v>
      </c>
      <c r="CP20" s="327">
        <f t="shared" si="49"/>
        <v>733.68</v>
      </c>
      <c r="CQ20" s="327">
        <f t="shared" si="49"/>
        <v>594.69999999999993</v>
      </c>
      <c r="CR20" s="328">
        <f t="shared" si="49"/>
        <v>666.22</v>
      </c>
      <c r="CS20" s="326">
        <f t="shared" si="50"/>
        <v>964.80999999999983</v>
      </c>
      <c r="CT20" s="327">
        <f t="shared" si="50"/>
        <v>1039.6099999999999</v>
      </c>
      <c r="CU20" s="327">
        <f t="shared" si="50"/>
        <v>998.85899999999992</v>
      </c>
      <c r="CV20" s="328">
        <f t="shared" si="50"/>
        <v>1038.9000000000001</v>
      </c>
      <c r="CW20" s="335"/>
      <c r="CX20" s="326">
        <f t="shared" si="59"/>
        <v>2.6210526315789475</v>
      </c>
      <c r="CY20" s="327">
        <f t="shared" si="59"/>
        <v>3.8439144736842112</v>
      </c>
      <c r="CZ20" s="327">
        <f t="shared" si="59"/>
        <v>2.9044407894736848</v>
      </c>
      <c r="DA20" s="328">
        <f t="shared" si="59"/>
        <v>3.6791118421052635</v>
      </c>
      <c r="DB20" s="326">
        <f t="shared" si="60"/>
        <v>6.1421052631578954</v>
      </c>
      <c r="DC20" s="327">
        <f t="shared" si="60"/>
        <v>7.3082236842105273</v>
      </c>
      <c r="DD20" s="327">
        <f t="shared" si="60"/>
        <v>5.6917763157894736</v>
      </c>
      <c r="DE20" s="328">
        <f t="shared" si="60"/>
        <v>6.8804276315789483</v>
      </c>
      <c r="DF20" s="326">
        <f t="shared" si="61"/>
        <v>10.439309210526314</v>
      </c>
      <c r="DG20" s="327">
        <f t="shared" si="61"/>
        <v>12.067105263157895</v>
      </c>
      <c r="DH20" s="327">
        <f t="shared" si="61"/>
        <v>9.78125</v>
      </c>
      <c r="DI20" s="327">
        <f t="shared" si="61"/>
        <v>10.957565789473685</v>
      </c>
      <c r="DJ20" s="326">
        <f t="shared" si="62"/>
        <v>15.868585526315787</v>
      </c>
      <c r="DK20" s="327">
        <f t="shared" si="62"/>
        <v>17.098848684210527</v>
      </c>
      <c r="DL20" s="327">
        <f t="shared" si="62"/>
        <v>16.428601973684209</v>
      </c>
      <c r="DM20" s="324"/>
      <c r="DO20" s="326">
        <v>998.85899999999992</v>
      </c>
      <c r="DP20" s="328">
        <v>16.428601973684209</v>
      </c>
      <c r="DR20" s="326">
        <f t="shared" si="63"/>
        <v>1038.9000000000001</v>
      </c>
      <c r="DS20" s="328">
        <f t="shared" si="64"/>
        <v>17.087171052631582</v>
      </c>
    </row>
    <row r="21" spans="1:123" x14ac:dyDescent="0.25">
      <c r="A21" s="521"/>
      <c r="B21" s="55">
        <v>14</v>
      </c>
      <c r="C21" s="368">
        <v>41.6</v>
      </c>
      <c r="D21" s="368">
        <v>41.6</v>
      </c>
      <c r="E21" s="368">
        <v>41.6</v>
      </c>
      <c r="F21" s="368">
        <v>41.6</v>
      </c>
      <c r="G21" s="326">
        <f t="shared" si="0"/>
        <v>65.56</v>
      </c>
      <c r="H21" s="327">
        <f t="shared" si="1"/>
        <v>42.41</v>
      </c>
      <c r="I21" s="327">
        <f t="shared" si="2"/>
        <v>52.870000000000005</v>
      </c>
      <c r="J21" s="328">
        <f t="shared" si="3"/>
        <v>46.739999999999995</v>
      </c>
      <c r="K21" s="326">
        <f t="shared" si="4"/>
        <v>34.21</v>
      </c>
      <c r="L21" s="327">
        <f t="shared" si="5"/>
        <v>45.37</v>
      </c>
      <c r="M21" s="327">
        <f t="shared" si="6"/>
        <v>38.82</v>
      </c>
      <c r="N21" s="328">
        <f t="shared" si="7"/>
        <v>39.24</v>
      </c>
      <c r="O21" s="326">
        <f t="shared" si="8"/>
        <v>29.24</v>
      </c>
      <c r="P21" s="327">
        <f t="shared" si="9"/>
        <v>58.05</v>
      </c>
      <c r="Q21" s="327">
        <f t="shared" si="10"/>
        <v>18.579999999999998</v>
      </c>
      <c r="R21" s="334">
        <f t="shared" si="11"/>
        <v>32.08</v>
      </c>
      <c r="S21" s="326">
        <f t="shared" si="51"/>
        <v>129.01000000000002</v>
      </c>
      <c r="T21" s="327">
        <f t="shared" si="51"/>
        <v>145.82999999999998</v>
      </c>
      <c r="U21" s="327">
        <f t="shared" si="51"/>
        <v>110.27</v>
      </c>
      <c r="V21" s="328">
        <f t="shared" si="51"/>
        <v>118.05999999999999</v>
      </c>
      <c r="W21" s="326">
        <f t="shared" si="12"/>
        <v>28.13</v>
      </c>
      <c r="X21" s="327">
        <f t="shared" si="13"/>
        <v>37.229999999999997</v>
      </c>
      <c r="Y21" s="327">
        <f t="shared" si="14"/>
        <v>48.01</v>
      </c>
      <c r="Z21" s="328">
        <f t="shared" si="15"/>
        <v>61.87</v>
      </c>
      <c r="AA21" s="326">
        <f t="shared" si="16"/>
        <v>86.62</v>
      </c>
      <c r="AB21" s="327">
        <f t="shared" si="17"/>
        <v>59.67</v>
      </c>
      <c r="AC21" s="327">
        <f t="shared" si="18"/>
        <v>71.760000000000005</v>
      </c>
      <c r="AD21" s="328">
        <f t="shared" si="19"/>
        <v>55.48</v>
      </c>
      <c r="AE21" s="326">
        <f t="shared" si="20"/>
        <v>44.92</v>
      </c>
      <c r="AF21" s="327">
        <f t="shared" si="21"/>
        <v>55.47</v>
      </c>
      <c r="AG21" s="327">
        <f t="shared" si="22"/>
        <v>41.28</v>
      </c>
      <c r="AH21" s="328">
        <f t="shared" si="23"/>
        <v>76.95</v>
      </c>
      <c r="AI21" s="326">
        <f t="shared" si="52"/>
        <v>159.67000000000002</v>
      </c>
      <c r="AJ21" s="327">
        <f t="shared" si="52"/>
        <v>152.37</v>
      </c>
      <c r="AK21" s="327">
        <f t="shared" si="52"/>
        <v>161.05000000000001</v>
      </c>
      <c r="AL21" s="328">
        <f t="shared" si="52"/>
        <v>194.3</v>
      </c>
      <c r="AM21" s="326">
        <f t="shared" si="24"/>
        <v>62.59</v>
      </c>
      <c r="AN21" s="327">
        <f t="shared" si="25"/>
        <v>51.68</v>
      </c>
      <c r="AO21" s="327">
        <f t="shared" si="26"/>
        <v>53.03</v>
      </c>
      <c r="AP21" s="328">
        <f t="shared" si="27"/>
        <v>62.519999999999996</v>
      </c>
      <c r="AQ21" s="326">
        <f t="shared" si="28"/>
        <v>49.78</v>
      </c>
      <c r="AR21" s="327">
        <f t="shared" si="29"/>
        <v>58.789999999999992</v>
      </c>
      <c r="AS21" s="327">
        <f t="shared" si="30"/>
        <v>105.18</v>
      </c>
      <c r="AT21" s="328">
        <f t="shared" si="31"/>
        <v>58.45</v>
      </c>
      <c r="AU21" s="326">
        <f t="shared" si="32"/>
        <v>59</v>
      </c>
      <c r="AV21" s="327">
        <f t="shared" si="33"/>
        <v>79.78</v>
      </c>
      <c r="AW21" s="327">
        <f t="shared" si="53"/>
        <v>84.46</v>
      </c>
      <c r="AX21" s="328">
        <f t="shared" si="54"/>
        <v>76.05</v>
      </c>
      <c r="AY21" s="326">
        <f t="shared" si="55"/>
        <v>171.37</v>
      </c>
      <c r="AZ21" s="327">
        <f t="shared" si="55"/>
        <v>190.25</v>
      </c>
      <c r="BA21" s="327">
        <f t="shared" si="55"/>
        <v>242.67000000000002</v>
      </c>
      <c r="BB21" s="328">
        <f t="shared" si="55"/>
        <v>197.01999999999998</v>
      </c>
      <c r="BC21" s="326">
        <f t="shared" si="34"/>
        <v>61.58</v>
      </c>
      <c r="BD21" s="327">
        <f t="shared" si="35"/>
        <v>57.91</v>
      </c>
      <c r="BE21" s="327">
        <f t="shared" si="36"/>
        <v>96.19</v>
      </c>
      <c r="BF21" s="328">
        <f t="shared" si="37"/>
        <v>65.400000000000006</v>
      </c>
      <c r="BG21" s="326">
        <f t="shared" si="38"/>
        <v>64.37</v>
      </c>
      <c r="BH21" s="327">
        <f t="shared" si="39"/>
        <v>77.38</v>
      </c>
      <c r="BI21" s="327">
        <f t="shared" si="40"/>
        <v>58.596000000000004</v>
      </c>
      <c r="BJ21" s="328">
        <f t="shared" si="41"/>
        <v>93.41</v>
      </c>
      <c r="BK21" s="326">
        <f t="shared" si="42"/>
        <v>63.52</v>
      </c>
      <c r="BL21" s="327">
        <f t="shared" si="43"/>
        <v>63.4</v>
      </c>
      <c r="BM21" s="327">
        <f t="shared" si="56"/>
        <v>93.91</v>
      </c>
      <c r="BN21" s="595">
        <f>VLOOKUP(B21,year2022to23,307,FALSE)</f>
        <v>45.839999999999996</v>
      </c>
      <c r="BO21" s="326">
        <f t="shared" si="57"/>
        <v>189.47</v>
      </c>
      <c r="BP21" s="327">
        <f t="shared" si="57"/>
        <v>198.69</v>
      </c>
      <c r="BQ21" s="327">
        <f t="shared" si="57"/>
        <v>248.696</v>
      </c>
      <c r="BR21" s="329"/>
      <c r="BS21" s="335"/>
      <c r="BT21" s="326">
        <f t="shared" si="44"/>
        <v>16.819999999999965</v>
      </c>
      <c r="BU21" s="327">
        <f t="shared" si="44"/>
        <v>-35.559999999999988</v>
      </c>
      <c r="BV21" s="328">
        <f t="shared" si="44"/>
        <v>7.789999999999992</v>
      </c>
      <c r="BW21" s="326">
        <f t="shared" si="45"/>
        <v>-7.3000000000000114</v>
      </c>
      <c r="BX21" s="327">
        <f t="shared" si="45"/>
        <v>8.6800000000000068</v>
      </c>
      <c r="BY21" s="328">
        <f t="shared" si="45"/>
        <v>33.25</v>
      </c>
      <c r="BZ21" s="326">
        <f t="shared" si="46"/>
        <v>18.879999999999995</v>
      </c>
      <c r="CA21" s="327">
        <f t="shared" si="46"/>
        <v>52.420000000000016</v>
      </c>
      <c r="CB21" s="328">
        <f t="shared" si="46"/>
        <v>-45.650000000000034</v>
      </c>
      <c r="CC21" s="326">
        <f t="shared" si="58"/>
        <v>9.2199999999999989</v>
      </c>
      <c r="CD21" s="327">
        <f t="shared" si="58"/>
        <v>50.006</v>
      </c>
      <c r="CE21" s="329"/>
      <c r="CF21" s="335"/>
      <c r="CG21" s="326">
        <f t="shared" si="47"/>
        <v>129.01000000000002</v>
      </c>
      <c r="CH21" s="327">
        <f t="shared" si="47"/>
        <v>145.82999999999998</v>
      </c>
      <c r="CI21" s="327">
        <f t="shared" si="47"/>
        <v>110.27</v>
      </c>
      <c r="CJ21" s="328">
        <f t="shared" si="47"/>
        <v>118.05999999999999</v>
      </c>
      <c r="CK21" s="326">
        <f t="shared" si="48"/>
        <v>288.68</v>
      </c>
      <c r="CL21" s="327">
        <f t="shared" si="48"/>
        <v>298.19999999999993</v>
      </c>
      <c r="CM21" s="327">
        <f t="shared" si="48"/>
        <v>271.32000000000005</v>
      </c>
      <c r="CN21" s="328">
        <f t="shared" si="48"/>
        <v>312.35999999999996</v>
      </c>
      <c r="CO21" s="326">
        <f t="shared" si="49"/>
        <v>460.04999999999995</v>
      </c>
      <c r="CP21" s="327">
        <f t="shared" si="49"/>
        <v>488.44999999999993</v>
      </c>
      <c r="CQ21" s="327">
        <f t="shared" si="49"/>
        <v>513.99</v>
      </c>
      <c r="CR21" s="328">
        <f t="shared" si="49"/>
        <v>509.37999999999994</v>
      </c>
      <c r="CS21" s="326">
        <f t="shared" si="50"/>
        <v>649.52</v>
      </c>
      <c r="CT21" s="327">
        <f t="shared" si="50"/>
        <v>687.13999999999987</v>
      </c>
      <c r="CU21" s="327">
        <f t="shared" si="50"/>
        <v>762.68600000000004</v>
      </c>
      <c r="CV21" s="328">
        <f t="shared" si="50"/>
        <v>714.03</v>
      </c>
      <c r="CW21" s="335"/>
      <c r="CX21" s="326">
        <f t="shared" si="59"/>
        <v>3.1012019230769234</v>
      </c>
      <c r="CY21" s="327">
        <f t="shared" si="59"/>
        <v>3.5055288461538456</v>
      </c>
      <c r="CZ21" s="327">
        <f t="shared" si="59"/>
        <v>2.6507211538461535</v>
      </c>
      <c r="DA21" s="328">
        <f t="shared" si="59"/>
        <v>2.8379807692307688</v>
      </c>
      <c r="DB21" s="326">
        <f t="shared" si="60"/>
        <v>6.9394230769230765</v>
      </c>
      <c r="DC21" s="327">
        <f t="shared" si="60"/>
        <v>7.1682692307692291</v>
      </c>
      <c r="DD21" s="327">
        <f t="shared" si="60"/>
        <v>6.5221153846153852</v>
      </c>
      <c r="DE21" s="328">
        <f t="shared" si="60"/>
        <v>7.5086538461538446</v>
      </c>
      <c r="DF21" s="326">
        <f t="shared" si="61"/>
        <v>11.05889423076923</v>
      </c>
      <c r="DG21" s="327">
        <f t="shared" si="61"/>
        <v>11.741586538461537</v>
      </c>
      <c r="DH21" s="327">
        <f t="shared" si="61"/>
        <v>12.355528846153845</v>
      </c>
      <c r="DI21" s="327">
        <f t="shared" si="61"/>
        <v>12.244711538461537</v>
      </c>
      <c r="DJ21" s="326">
        <f t="shared" si="62"/>
        <v>15.613461538461538</v>
      </c>
      <c r="DK21" s="327">
        <f t="shared" si="62"/>
        <v>16.517788461538458</v>
      </c>
      <c r="DL21" s="327">
        <f t="shared" si="62"/>
        <v>18.333798076923078</v>
      </c>
      <c r="DM21" s="324"/>
      <c r="DO21" s="326">
        <v>762.68600000000004</v>
      </c>
      <c r="DP21" s="328">
        <v>18.333798076923078</v>
      </c>
      <c r="DR21" s="326">
        <f t="shared" si="63"/>
        <v>714.03</v>
      </c>
      <c r="DS21" s="328">
        <f t="shared" si="64"/>
        <v>17.164182692307691</v>
      </c>
    </row>
    <row r="22" spans="1:123" x14ac:dyDescent="0.25">
      <c r="A22" s="521"/>
      <c r="B22" s="55">
        <v>15</v>
      </c>
      <c r="C22" s="368">
        <v>49.3</v>
      </c>
      <c r="D22" s="368">
        <v>49.3</v>
      </c>
      <c r="E22" s="368">
        <v>49.3</v>
      </c>
      <c r="F22" s="368">
        <v>49.3</v>
      </c>
      <c r="G22" s="326">
        <f t="shared" si="0"/>
        <v>25.64</v>
      </c>
      <c r="H22" s="327">
        <f t="shared" si="1"/>
        <v>69.069999999999993</v>
      </c>
      <c r="I22" s="327">
        <f t="shared" si="2"/>
        <v>37.380000000000003</v>
      </c>
      <c r="J22" s="328">
        <f t="shared" si="3"/>
        <v>58.17</v>
      </c>
      <c r="K22" s="326">
        <f t="shared" si="4"/>
        <v>19.36</v>
      </c>
      <c r="L22" s="327">
        <f t="shared" si="5"/>
        <v>56.76</v>
      </c>
      <c r="M22" s="327">
        <f t="shared" si="6"/>
        <v>16.95</v>
      </c>
      <c r="N22" s="328">
        <f t="shared" si="7"/>
        <v>59.539999999999992</v>
      </c>
      <c r="O22" s="326">
        <f t="shared" si="8"/>
        <v>36.07</v>
      </c>
      <c r="P22" s="327">
        <f t="shared" si="9"/>
        <v>60.91</v>
      </c>
      <c r="Q22" s="327">
        <f t="shared" si="10"/>
        <v>13.440000000000001</v>
      </c>
      <c r="R22" s="334">
        <f t="shared" si="11"/>
        <v>48.32</v>
      </c>
      <c r="S22" s="326">
        <f t="shared" si="51"/>
        <v>81.069999999999993</v>
      </c>
      <c r="T22" s="327">
        <f t="shared" si="51"/>
        <v>186.73999999999998</v>
      </c>
      <c r="U22" s="327">
        <f t="shared" si="51"/>
        <v>67.77</v>
      </c>
      <c r="V22" s="328">
        <f t="shared" si="51"/>
        <v>166.03</v>
      </c>
      <c r="W22" s="326">
        <f t="shared" si="12"/>
        <v>37</v>
      </c>
      <c r="X22" s="327">
        <f t="shared" si="13"/>
        <v>45.019999999999996</v>
      </c>
      <c r="Y22" s="327">
        <f t="shared" si="14"/>
        <v>14.53</v>
      </c>
      <c r="Z22" s="328">
        <f t="shared" si="15"/>
        <v>46.6</v>
      </c>
      <c r="AA22" s="326">
        <f t="shared" si="16"/>
        <v>48.989999999999995</v>
      </c>
      <c r="AB22" s="327">
        <f t="shared" si="17"/>
        <v>52.25</v>
      </c>
      <c r="AC22" s="327">
        <f t="shared" si="18"/>
        <v>32.5</v>
      </c>
      <c r="AD22" s="328">
        <f t="shared" si="19"/>
        <v>59.36</v>
      </c>
      <c r="AE22" s="326">
        <f t="shared" si="20"/>
        <v>81.740000000000009</v>
      </c>
      <c r="AF22" s="327">
        <f t="shared" si="21"/>
        <v>59.48</v>
      </c>
      <c r="AG22" s="327">
        <f t="shared" si="22"/>
        <v>49.5</v>
      </c>
      <c r="AH22" s="328">
        <f t="shared" si="23"/>
        <v>54.86</v>
      </c>
      <c r="AI22" s="326">
        <f t="shared" si="52"/>
        <v>167.73000000000002</v>
      </c>
      <c r="AJ22" s="327">
        <f t="shared" si="52"/>
        <v>156.75</v>
      </c>
      <c r="AK22" s="327">
        <f t="shared" si="52"/>
        <v>96.53</v>
      </c>
      <c r="AL22" s="328">
        <f t="shared" si="52"/>
        <v>160.82</v>
      </c>
      <c r="AM22" s="326">
        <f t="shared" si="24"/>
        <v>60.22</v>
      </c>
      <c r="AN22" s="327">
        <f t="shared" si="25"/>
        <v>69.97999999999999</v>
      </c>
      <c r="AO22" s="327">
        <f t="shared" si="26"/>
        <v>34.08</v>
      </c>
      <c r="AP22" s="328">
        <f t="shared" si="27"/>
        <v>51.02</v>
      </c>
      <c r="AQ22" s="326">
        <f t="shared" si="28"/>
        <v>72.84</v>
      </c>
      <c r="AR22" s="327">
        <f t="shared" si="29"/>
        <v>65.38</v>
      </c>
      <c r="AS22" s="327">
        <f t="shared" si="30"/>
        <v>96.44</v>
      </c>
      <c r="AT22" s="328">
        <f t="shared" si="31"/>
        <v>51.72</v>
      </c>
      <c r="AU22" s="326">
        <f t="shared" si="32"/>
        <v>50.53</v>
      </c>
      <c r="AV22" s="327">
        <f t="shared" si="33"/>
        <v>69.63</v>
      </c>
      <c r="AW22" s="327">
        <f t="shared" si="53"/>
        <v>79.52</v>
      </c>
      <c r="AX22" s="328">
        <f t="shared" si="54"/>
        <v>56.42</v>
      </c>
      <c r="AY22" s="326">
        <f t="shared" si="55"/>
        <v>183.59</v>
      </c>
      <c r="AZ22" s="327">
        <f t="shared" si="55"/>
        <v>204.98999999999998</v>
      </c>
      <c r="BA22" s="327">
        <f t="shared" si="55"/>
        <v>210.03999999999996</v>
      </c>
      <c r="BB22" s="328">
        <f t="shared" si="55"/>
        <v>159.16000000000003</v>
      </c>
      <c r="BC22" s="326">
        <f t="shared" si="34"/>
        <v>110.6</v>
      </c>
      <c r="BD22" s="327">
        <f t="shared" si="35"/>
        <v>75.489999999999995</v>
      </c>
      <c r="BE22" s="327">
        <f t="shared" si="36"/>
        <v>107.01999999999998</v>
      </c>
      <c r="BF22" s="328">
        <f t="shared" si="37"/>
        <v>117.03999999999999</v>
      </c>
      <c r="BG22" s="326">
        <f t="shared" si="38"/>
        <v>61.53</v>
      </c>
      <c r="BH22" s="327">
        <f t="shared" si="39"/>
        <v>71.150000000000006</v>
      </c>
      <c r="BI22" s="327">
        <f t="shared" si="40"/>
        <v>77.91</v>
      </c>
      <c r="BJ22" s="328">
        <f t="shared" si="41"/>
        <v>49.78</v>
      </c>
      <c r="BK22" s="326">
        <f t="shared" si="42"/>
        <v>82.2</v>
      </c>
      <c r="BL22" s="327">
        <f t="shared" si="43"/>
        <v>58.239999999999995</v>
      </c>
      <c r="BM22" s="327">
        <f t="shared" si="56"/>
        <v>60.49</v>
      </c>
      <c r="BN22" s="595">
        <f>VLOOKUP(B22,year2022to23,307,FALSE)</f>
        <v>124.06</v>
      </c>
      <c r="BO22" s="326">
        <f t="shared" si="57"/>
        <v>254.32999999999998</v>
      </c>
      <c r="BP22" s="327">
        <f t="shared" si="57"/>
        <v>204.88</v>
      </c>
      <c r="BQ22" s="327">
        <f t="shared" si="57"/>
        <v>245.42</v>
      </c>
      <c r="BR22" s="329"/>
      <c r="BS22" s="335"/>
      <c r="BT22" s="326">
        <f t="shared" si="44"/>
        <v>105.66999999999999</v>
      </c>
      <c r="BU22" s="327">
        <f t="shared" si="44"/>
        <v>-118.96999999999998</v>
      </c>
      <c r="BV22" s="328">
        <f t="shared" si="44"/>
        <v>98.26</v>
      </c>
      <c r="BW22" s="326">
        <f t="shared" si="45"/>
        <v>-10.980000000000018</v>
      </c>
      <c r="BX22" s="327">
        <f t="shared" si="45"/>
        <v>-60.22</v>
      </c>
      <c r="BY22" s="328">
        <f t="shared" si="45"/>
        <v>64.289999999999992</v>
      </c>
      <c r="BZ22" s="326">
        <f t="shared" si="46"/>
        <v>21.399999999999977</v>
      </c>
      <c r="CA22" s="327">
        <f t="shared" si="46"/>
        <v>5.0499999999999829</v>
      </c>
      <c r="CB22" s="328">
        <f t="shared" si="46"/>
        <v>-50.879999999999939</v>
      </c>
      <c r="CC22" s="326">
        <f t="shared" si="58"/>
        <v>-49.449999999999989</v>
      </c>
      <c r="CD22" s="327">
        <f t="shared" si="58"/>
        <v>40.539999999999992</v>
      </c>
      <c r="CE22" s="329"/>
      <c r="CF22" s="335"/>
      <c r="CG22" s="326">
        <f t="shared" si="47"/>
        <v>81.069999999999993</v>
      </c>
      <c r="CH22" s="327">
        <f t="shared" si="47"/>
        <v>186.73999999999998</v>
      </c>
      <c r="CI22" s="327">
        <f t="shared" si="47"/>
        <v>67.77</v>
      </c>
      <c r="CJ22" s="328">
        <f t="shared" si="47"/>
        <v>166.03</v>
      </c>
      <c r="CK22" s="326">
        <f t="shared" si="48"/>
        <v>248.8</v>
      </c>
      <c r="CL22" s="327">
        <f t="shared" si="48"/>
        <v>343.49</v>
      </c>
      <c r="CM22" s="327">
        <f t="shared" si="48"/>
        <v>164.3</v>
      </c>
      <c r="CN22" s="328">
        <f t="shared" si="48"/>
        <v>326.85000000000002</v>
      </c>
      <c r="CO22" s="326">
        <f t="shared" si="49"/>
        <v>432.39</v>
      </c>
      <c r="CP22" s="327">
        <f t="shared" si="49"/>
        <v>548.48</v>
      </c>
      <c r="CQ22" s="327">
        <f t="shared" si="49"/>
        <v>374.34</v>
      </c>
      <c r="CR22" s="328">
        <f t="shared" si="49"/>
        <v>486.01000000000005</v>
      </c>
      <c r="CS22" s="326">
        <f t="shared" si="50"/>
        <v>686.72</v>
      </c>
      <c r="CT22" s="327">
        <f t="shared" si="50"/>
        <v>753.36</v>
      </c>
      <c r="CU22" s="327">
        <f t="shared" si="50"/>
        <v>619.76</v>
      </c>
      <c r="CV22" s="328">
        <f t="shared" si="50"/>
        <v>776.8900000000001</v>
      </c>
      <c r="CW22" s="335"/>
      <c r="CX22" s="326">
        <f t="shared" si="59"/>
        <v>1.644421906693712</v>
      </c>
      <c r="CY22" s="327">
        <f t="shared" si="59"/>
        <v>3.7878296146044623</v>
      </c>
      <c r="CZ22" s="327">
        <f t="shared" si="59"/>
        <v>1.3746450304259634</v>
      </c>
      <c r="DA22" s="328">
        <f t="shared" si="59"/>
        <v>3.3677484787018259</v>
      </c>
      <c r="DB22" s="326">
        <f t="shared" si="60"/>
        <v>5.0466531440162274</v>
      </c>
      <c r="DC22" s="327">
        <f t="shared" si="60"/>
        <v>6.9673427991886419</v>
      </c>
      <c r="DD22" s="327">
        <f t="shared" si="60"/>
        <v>3.3326572008113593</v>
      </c>
      <c r="DE22" s="328">
        <f t="shared" si="60"/>
        <v>6.6298174442190678</v>
      </c>
      <c r="DF22" s="326">
        <f t="shared" si="61"/>
        <v>8.7705882352941185</v>
      </c>
      <c r="DG22" s="327">
        <f t="shared" si="61"/>
        <v>11.125354969574037</v>
      </c>
      <c r="DH22" s="327">
        <f t="shared" si="61"/>
        <v>7.5931034482758619</v>
      </c>
      <c r="DI22" s="327">
        <f t="shared" si="61"/>
        <v>9.8582150101419899</v>
      </c>
      <c r="DJ22" s="326">
        <f t="shared" si="62"/>
        <v>13.929411764705884</v>
      </c>
      <c r="DK22" s="327">
        <f t="shared" si="62"/>
        <v>15.281135902636917</v>
      </c>
      <c r="DL22" s="327">
        <f t="shared" si="62"/>
        <v>12.571196754563895</v>
      </c>
      <c r="DM22" s="324"/>
      <c r="DO22" s="326">
        <v>619.76</v>
      </c>
      <c r="DP22" s="328">
        <v>12.571196754563895</v>
      </c>
      <c r="DR22" s="326">
        <f t="shared" si="63"/>
        <v>776.8900000000001</v>
      </c>
      <c r="DS22" s="328">
        <f t="shared" si="64"/>
        <v>15.758417849898583</v>
      </c>
    </row>
    <row r="23" spans="1:123" x14ac:dyDescent="0.25">
      <c r="A23" s="521"/>
      <c r="B23" s="55">
        <v>16</v>
      </c>
      <c r="C23" s="368">
        <v>53.2</v>
      </c>
      <c r="D23" s="368">
        <v>53.2</v>
      </c>
      <c r="E23" s="368">
        <v>53.2</v>
      </c>
      <c r="F23" s="368">
        <v>53.2</v>
      </c>
      <c r="G23" s="326">
        <f t="shared" si="0"/>
        <v>46.480000000000004</v>
      </c>
      <c r="H23" s="327">
        <f t="shared" si="1"/>
        <v>65.75</v>
      </c>
      <c r="I23" s="327">
        <f t="shared" si="2"/>
        <v>48.33</v>
      </c>
      <c r="J23" s="328">
        <f t="shared" si="3"/>
        <v>42.08</v>
      </c>
      <c r="K23" s="326">
        <f t="shared" si="4"/>
        <v>47.370000000000005</v>
      </c>
      <c r="L23" s="327">
        <f t="shared" si="5"/>
        <v>82.25</v>
      </c>
      <c r="M23" s="327">
        <f t="shared" si="6"/>
        <v>34.19</v>
      </c>
      <c r="N23" s="328">
        <f t="shared" si="7"/>
        <v>65.67</v>
      </c>
      <c r="O23" s="326">
        <f t="shared" si="8"/>
        <v>44.989999999999995</v>
      </c>
      <c r="P23" s="327">
        <f t="shared" si="9"/>
        <v>75.31</v>
      </c>
      <c r="Q23" s="327">
        <f t="shared" si="10"/>
        <v>23.630000000000003</v>
      </c>
      <c r="R23" s="334">
        <f t="shared" si="11"/>
        <v>62.629999999999995</v>
      </c>
      <c r="S23" s="326">
        <f t="shared" si="51"/>
        <v>138.84</v>
      </c>
      <c r="T23" s="327">
        <f t="shared" si="51"/>
        <v>223.31</v>
      </c>
      <c r="U23" s="327">
        <f t="shared" si="51"/>
        <v>106.15</v>
      </c>
      <c r="V23" s="328">
        <f t="shared" si="51"/>
        <v>170.38</v>
      </c>
      <c r="W23" s="326">
        <f t="shared" si="12"/>
        <v>51.67</v>
      </c>
      <c r="X23" s="327">
        <f t="shared" si="13"/>
        <v>49.5</v>
      </c>
      <c r="Y23" s="327">
        <f t="shared" si="14"/>
        <v>55.41</v>
      </c>
      <c r="Z23" s="328">
        <f t="shared" si="15"/>
        <v>59.59</v>
      </c>
      <c r="AA23" s="326">
        <f t="shared" si="16"/>
        <v>71.490000000000009</v>
      </c>
      <c r="AB23" s="327">
        <f t="shared" si="17"/>
        <v>67.050000000000011</v>
      </c>
      <c r="AC23" s="327">
        <f t="shared" si="18"/>
        <v>40.53</v>
      </c>
      <c r="AD23" s="328">
        <f t="shared" si="19"/>
        <v>73.150000000000006</v>
      </c>
      <c r="AE23" s="326">
        <f t="shared" si="20"/>
        <v>112.24000000000001</v>
      </c>
      <c r="AF23" s="327">
        <f t="shared" si="21"/>
        <v>64.47</v>
      </c>
      <c r="AG23" s="327">
        <f t="shared" si="22"/>
        <v>68.680000000000007</v>
      </c>
      <c r="AH23" s="328">
        <f t="shared" si="23"/>
        <v>69.87</v>
      </c>
      <c r="AI23" s="326">
        <f t="shared" si="52"/>
        <v>235.40000000000003</v>
      </c>
      <c r="AJ23" s="327">
        <f t="shared" si="52"/>
        <v>181.02</v>
      </c>
      <c r="AK23" s="327">
        <f t="shared" si="52"/>
        <v>164.62</v>
      </c>
      <c r="AL23" s="328">
        <f t="shared" si="52"/>
        <v>202.61</v>
      </c>
      <c r="AM23" s="326">
        <f t="shared" si="24"/>
        <v>91.59</v>
      </c>
      <c r="AN23" s="327">
        <f t="shared" si="25"/>
        <v>103.61</v>
      </c>
      <c r="AO23" s="327">
        <f t="shared" si="26"/>
        <v>68.210000000000008</v>
      </c>
      <c r="AP23" s="328">
        <f t="shared" si="27"/>
        <v>76.2</v>
      </c>
      <c r="AQ23" s="326">
        <f t="shared" si="28"/>
        <v>105.17</v>
      </c>
      <c r="AR23" s="327">
        <f t="shared" si="29"/>
        <v>93.17</v>
      </c>
      <c r="AS23" s="327">
        <f t="shared" si="30"/>
        <v>115.72</v>
      </c>
      <c r="AT23" s="328">
        <f t="shared" si="31"/>
        <v>78.81</v>
      </c>
      <c r="AU23" s="326">
        <f t="shared" si="32"/>
        <v>103.51</v>
      </c>
      <c r="AV23" s="327">
        <f t="shared" si="33"/>
        <v>91.37</v>
      </c>
      <c r="AW23" s="327">
        <f t="shared" si="53"/>
        <v>88.25</v>
      </c>
      <c r="AX23" s="328">
        <f t="shared" si="54"/>
        <v>81.41</v>
      </c>
      <c r="AY23" s="326">
        <f t="shared" si="55"/>
        <v>300.27</v>
      </c>
      <c r="AZ23" s="327">
        <f t="shared" si="55"/>
        <v>288.14999999999998</v>
      </c>
      <c r="BA23" s="327">
        <f t="shared" si="55"/>
        <v>272.18</v>
      </c>
      <c r="BB23" s="328">
        <f t="shared" si="55"/>
        <v>236.42</v>
      </c>
      <c r="BC23" s="326">
        <f t="shared" si="34"/>
        <v>118.93</v>
      </c>
      <c r="BD23" s="327">
        <f t="shared" si="35"/>
        <v>84.15</v>
      </c>
      <c r="BE23" s="327">
        <f t="shared" si="36"/>
        <v>115.61</v>
      </c>
      <c r="BF23" s="328">
        <f t="shared" si="37"/>
        <v>100.71000000000001</v>
      </c>
      <c r="BG23" s="326">
        <f t="shared" si="38"/>
        <v>81.400000000000006</v>
      </c>
      <c r="BH23" s="327">
        <f t="shared" si="39"/>
        <v>83.330000000000013</v>
      </c>
      <c r="BI23" s="327">
        <f t="shared" si="40"/>
        <v>91.01</v>
      </c>
      <c r="BJ23" s="328">
        <f t="shared" si="41"/>
        <v>78.900000000000006</v>
      </c>
      <c r="BK23" s="326">
        <f t="shared" si="42"/>
        <v>96.32</v>
      </c>
      <c r="BL23" s="327">
        <f t="shared" si="43"/>
        <v>65.490000000000009</v>
      </c>
      <c r="BM23" s="327">
        <f t="shared" si="56"/>
        <v>87.66</v>
      </c>
      <c r="BN23" s="595">
        <f>VLOOKUP(B23,year2022to23,307,FALSE)</f>
        <v>111.66</v>
      </c>
      <c r="BO23" s="326">
        <f t="shared" si="57"/>
        <v>296.64999999999998</v>
      </c>
      <c r="BP23" s="327">
        <f t="shared" si="57"/>
        <v>232.97000000000003</v>
      </c>
      <c r="BQ23" s="327">
        <f t="shared" si="57"/>
        <v>294.27999999999997</v>
      </c>
      <c r="BR23" s="329"/>
      <c r="BS23" s="335"/>
      <c r="BT23" s="326">
        <f t="shared" si="44"/>
        <v>84.47</v>
      </c>
      <c r="BU23" s="327">
        <f t="shared" si="44"/>
        <v>-117.16</v>
      </c>
      <c r="BV23" s="328">
        <f t="shared" si="44"/>
        <v>64.22999999999999</v>
      </c>
      <c r="BW23" s="326">
        <f t="shared" si="45"/>
        <v>-54.380000000000024</v>
      </c>
      <c r="BX23" s="327">
        <f t="shared" si="45"/>
        <v>-16.400000000000006</v>
      </c>
      <c r="BY23" s="328">
        <f t="shared" si="45"/>
        <v>37.990000000000009</v>
      </c>
      <c r="BZ23" s="326">
        <f t="shared" si="46"/>
        <v>-12.120000000000005</v>
      </c>
      <c r="CA23" s="327">
        <f t="shared" si="46"/>
        <v>-15.96999999999997</v>
      </c>
      <c r="CB23" s="328">
        <f t="shared" si="46"/>
        <v>-35.760000000000019</v>
      </c>
      <c r="CC23" s="326">
        <f t="shared" si="58"/>
        <v>-63.67999999999995</v>
      </c>
      <c r="CD23" s="327">
        <f t="shared" si="58"/>
        <v>61.309999999999945</v>
      </c>
      <c r="CE23" s="329"/>
      <c r="CF23" s="335"/>
      <c r="CG23" s="326">
        <f t="shared" si="47"/>
        <v>138.84</v>
      </c>
      <c r="CH23" s="327">
        <f t="shared" si="47"/>
        <v>223.31</v>
      </c>
      <c r="CI23" s="327">
        <f t="shared" si="47"/>
        <v>106.15</v>
      </c>
      <c r="CJ23" s="328">
        <f t="shared" si="47"/>
        <v>170.38</v>
      </c>
      <c r="CK23" s="326">
        <f t="shared" si="48"/>
        <v>374.24</v>
      </c>
      <c r="CL23" s="327">
        <f t="shared" si="48"/>
        <v>404.33000000000004</v>
      </c>
      <c r="CM23" s="327">
        <f t="shared" si="48"/>
        <v>270.77</v>
      </c>
      <c r="CN23" s="328">
        <f t="shared" si="48"/>
        <v>372.99</v>
      </c>
      <c r="CO23" s="326">
        <f t="shared" si="49"/>
        <v>674.51</v>
      </c>
      <c r="CP23" s="327">
        <f t="shared" si="49"/>
        <v>692.48</v>
      </c>
      <c r="CQ23" s="327">
        <f t="shared" si="49"/>
        <v>542.95000000000005</v>
      </c>
      <c r="CR23" s="328">
        <f t="shared" si="49"/>
        <v>609.41</v>
      </c>
      <c r="CS23" s="326">
        <f t="shared" si="50"/>
        <v>971.16000000000008</v>
      </c>
      <c r="CT23" s="327">
        <f t="shared" si="50"/>
        <v>925.45</v>
      </c>
      <c r="CU23" s="327">
        <f t="shared" si="50"/>
        <v>837.23</v>
      </c>
      <c r="CV23" s="328">
        <f t="shared" si="50"/>
        <v>900.68</v>
      </c>
      <c r="CW23" s="335"/>
      <c r="CX23" s="326">
        <f t="shared" si="59"/>
        <v>2.6097744360902255</v>
      </c>
      <c r="CY23" s="327">
        <f t="shared" si="59"/>
        <v>4.1975563909774438</v>
      </c>
      <c r="CZ23" s="327">
        <f t="shared" si="59"/>
        <v>1.9953007518796992</v>
      </c>
      <c r="DA23" s="328">
        <f t="shared" si="59"/>
        <v>3.2026315789473681</v>
      </c>
      <c r="DB23" s="326">
        <f t="shared" si="60"/>
        <v>7.0345864661654129</v>
      </c>
      <c r="DC23" s="327">
        <f t="shared" si="60"/>
        <v>7.6001879699248125</v>
      </c>
      <c r="DD23" s="327">
        <f t="shared" si="60"/>
        <v>5.0896616541353374</v>
      </c>
      <c r="DE23" s="328">
        <f t="shared" si="60"/>
        <v>7.0110902255639092</v>
      </c>
      <c r="DF23" s="326">
        <f t="shared" si="61"/>
        <v>12.67875939849624</v>
      </c>
      <c r="DG23" s="327">
        <f t="shared" si="61"/>
        <v>13.016541353383458</v>
      </c>
      <c r="DH23" s="327">
        <f t="shared" si="61"/>
        <v>10.205827067669173</v>
      </c>
      <c r="DI23" s="327">
        <f t="shared" si="61"/>
        <v>11.455075187969923</v>
      </c>
      <c r="DJ23" s="326">
        <f t="shared" si="62"/>
        <v>18.254887218045113</v>
      </c>
      <c r="DK23" s="327">
        <f t="shared" si="62"/>
        <v>17.395676691729324</v>
      </c>
      <c r="DL23" s="327">
        <f t="shared" si="62"/>
        <v>15.737406015037594</v>
      </c>
      <c r="DM23" s="324"/>
      <c r="DO23" s="326">
        <v>837.23</v>
      </c>
      <c r="DP23" s="328">
        <v>15.737406015037594</v>
      </c>
      <c r="DR23" s="326">
        <f t="shared" si="63"/>
        <v>900.68</v>
      </c>
      <c r="DS23" s="328">
        <f t="shared" si="64"/>
        <v>16.930075187969923</v>
      </c>
    </row>
    <row r="24" spans="1:123" x14ac:dyDescent="0.25">
      <c r="A24" s="521"/>
      <c r="B24" s="55">
        <v>17</v>
      </c>
      <c r="C24" s="368">
        <v>45.7</v>
      </c>
      <c r="D24" s="368">
        <v>45.7</v>
      </c>
      <c r="E24" s="368">
        <v>45.7</v>
      </c>
      <c r="F24" s="368">
        <v>45.7</v>
      </c>
      <c r="G24" s="326">
        <f t="shared" si="0"/>
        <v>36.549999999999997</v>
      </c>
      <c r="H24" s="327">
        <f t="shared" si="1"/>
        <v>48.370000000000005</v>
      </c>
      <c r="I24" s="327">
        <f t="shared" si="2"/>
        <v>45.769999999999996</v>
      </c>
      <c r="J24" s="328">
        <f t="shared" si="3"/>
        <v>35.18</v>
      </c>
      <c r="K24" s="326">
        <f t="shared" si="4"/>
        <v>44.16</v>
      </c>
      <c r="L24" s="327">
        <f t="shared" si="5"/>
        <v>32.46</v>
      </c>
      <c r="M24" s="327">
        <f t="shared" si="6"/>
        <v>26.55</v>
      </c>
      <c r="N24" s="328">
        <f t="shared" si="7"/>
        <v>78.650000000000006</v>
      </c>
      <c r="O24" s="326">
        <f t="shared" si="8"/>
        <v>40.82</v>
      </c>
      <c r="P24" s="327">
        <f t="shared" si="9"/>
        <v>56.51</v>
      </c>
      <c r="Q24" s="327">
        <f t="shared" si="10"/>
        <v>21.46</v>
      </c>
      <c r="R24" s="334">
        <f t="shared" si="11"/>
        <v>56.2</v>
      </c>
      <c r="S24" s="326">
        <f t="shared" si="51"/>
        <v>121.53</v>
      </c>
      <c r="T24" s="327">
        <f t="shared" si="51"/>
        <v>137.34</v>
      </c>
      <c r="U24" s="327">
        <f t="shared" si="51"/>
        <v>93.78</v>
      </c>
      <c r="V24" s="328">
        <f t="shared" si="51"/>
        <v>170.03000000000003</v>
      </c>
      <c r="W24" s="326">
        <f t="shared" si="12"/>
        <v>51.540000000000006</v>
      </c>
      <c r="X24" s="327">
        <f t="shared" si="13"/>
        <v>46.55</v>
      </c>
      <c r="Y24" s="327">
        <f t="shared" si="14"/>
        <v>57.06</v>
      </c>
      <c r="Z24" s="328">
        <f t="shared" si="15"/>
        <v>48.38</v>
      </c>
      <c r="AA24" s="326">
        <f t="shared" si="16"/>
        <v>74.449999999999989</v>
      </c>
      <c r="AB24" s="327">
        <f t="shared" si="17"/>
        <v>63.730000000000004</v>
      </c>
      <c r="AC24" s="327">
        <f t="shared" si="18"/>
        <v>57.019999999999996</v>
      </c>
      <c r="AD24" s="328">
        <f t="shared" si="19"/>
        <v>62.33</v>
      </c>
      <c r="AE24" s="326">
        <f t="shared" si="20"/>
        <v>102.15</v>
      </c>
      <c r="AF24" s="327">
        <f t="shared" si="21"/>
        <v>63.400000000000006</v>
      </c>
      <c r="AG24" s="327">
        <f t="shared" si="22"/>
        <v>59.54</v>
      </c>
      <c r="AH24" s="328">
        <f t="shared" si="23"/>
        <v>71.84</v>
      </c>
      <c r="AI24" s="326">
        <f t="shared" si="52"/>
        <v>228.14</v>
      </c>
      <c r="AJ24" s="327">
        <f t="shared" si="52"/>
        <v>173.68</v>
      </c>
      <c r="AK24" s="327">
        <f t="shared" si="52"/>
        <v>173.62</v>
      </c>
      <c r="AL24" s="328">
        <f t="shared" si="52"/>
        <v>182.55</v>
      </c>
      <c r="AM24" s="326">
        <f t="shared" si="24"/>
        <v>79.64</v>
      </c>
      <c r="AN24" s="327">
        <f t="shared" si="25"/>
        <v>66.400000000000006</v>
      </c>
      <c r="AO24" s="327">
        <f t="shared" si="26"/>
        <v>62.67</v>
      </c>
      <c r="AP24" s="328">
        <f t="shared" si="27"/>
        <v>75.58</v>
      </c>
      <c r="AQ24" s="326">
        <f t="shared" si="28"/>
        <v>130.93</v>
      </c>
      <c r="AR24" s="327">
        <f t="shared" si="29"/>
        <v>80.08</v>
      </c>
      <c r="AS24" s="327">
        <f t="shared" si="30"/>
        <v>114.07000000000001</v>
      </c>
      <c r="AT24" s="328">
        <f t="shared" si="31"/>
        <v>67.88</v>
      </c>
      <c r="AU24" s="326">
        <f t="shared" si="32"/>
        <v>78.13</v>
      </c>
      <c r="AV24" s="327">
        <f t="shared" si="33"/>
        <v>79.959999999999994</v>
      </c>
      <c r="AW24" s="327">
        <f t="shared" si="53"/>
        <v>78.14</v>
      </c>
      <c r="AX24" s="328">
        <f t="shared" si="54"/>
        <v>64.81</v>
      </c>
      <c r="AY24" s="326">
        <f t="shared" si="55"/>
        <v>288.7</v>
      </c>
      <c r="AZ24" s="327">
        <f t="shared" si="55"/>
        <v>226.44</v>
      </c>
      <c r="BA24" s="327">
        <f t="shared" si="55"/>
        <v>254.88</v>
      </c>
      <c r="BB24" s="328">
        <f t="shared" si="55"/>
        <v>208.26999999999998</v>
      </c>
      <c r="BC24" s="326">
        <f t="shared" si="34"/>
        <v>89.15</v>
      </c>
      <c r="BD24" s="327">
        <f t="shared" si="35"/>
        <v>77.740000000000009</v>
      </c>
      <c r="BE24" s="327">
        <f t="shared" si="36"/>
        <v>120.67</v>
      </c>
      <c r="BF24" s="328">
        <f t="shared" si="37"/>
        <v>89.89</v>
      </c>
      <c r="BG24" s="326">
        <f t="shared" si="38"/>
        <v>60.17</v>
      </c>
      <c r="BH24" s="327">
        <f t="shared" si="39"/>
        <v>69.039999999999992</v>
      </c>
      <c r="BI24" s="327">
        <f t="shared" si="40"/>
        <v>74.709999999999994</v>
      </c>
      <c r="BJ24" s="328">
        <f t="shared" si="41"/>
        <v>103.34</v>
      </c>
      <c r="BK24" s="326">
        <f t="shared" si="42"/>
        <v>83.35</v>
      </c>
      <c r="BL24" s="327">
        <f t="shared" si="43"/>
        <v>52.19</v>
      </c>
      <c r="BM24" s="327">
        <f t="shared" si="56"/>
        <v>96.89</v>
      </c>
      <c r="BN24" s="595">
        <f>VLOOKUP(B24,year2022to23,307,FALSE)</f>
        <v>43.17</v>
      </c>
      <c r="BO24" s="326">
        <f t="shared" si="57"/>
        <v>232.67</v>
      </c>
      <c r="BP24" s="327">
        <f t="shared" si="57"/>
        <v>198.97</v>
      </c>
      <c r="BQ24" s="327">
        <f t="shared" si="57"/>
        <v>292.27</v>
      </c>
      <c r="BR24" s="329"/>
      <c r="BS24" s="335"/>
      <c r="BT24" s="326">
        <f t="shared" si="44"/>
        <v>15.810000000000002</v>
      </c>
      <c r="BU24" s="327">
        <f t="shared" si="44"/>
        <v>-43.56</v>
      </c>
      <c r="BV24" s="328">
        <f t="shared" si="44"/>
        <v>76.250000000000028</v>
      </c>
      <c r="BW24" s="326">
        <f t="shared" si="45"/>
        <v>-54.45999999999998</v>
      </c>
      <c r="BX24" s="327">
        <f t="shared" si="45"/>
        <v>-6.0000000000002274E-2</v>
      </c>
      <c r="BY24" s="328">
        <f t="shared" si="45"/>
        <v>8.9300000000000068</v>
      </c>
      <c r="BZ24" s="326">
        <f t="shared" si="46"/>
        <v>-62.259999999999991</v>
      </c>
      <c r="CA24" s="327">
        <f t="shared" si="46"/>
        <v>28.439999999999998</v>
      </c>
      <c r="CB24" s="328">
        <f t="shared" si="46"/>
        <v>-46.610000000000014</v>
      </c>
      <c r="CC24" s="326">
        <f t="shared" si="58"/>
        <v>-33.699999999999989</v>
      </c>
      <c r="CD24" s="327">
        <f t="shared" si="58"/>
        <v>93.299999999999983</v>
      </c>
      <c r="CE24" s="329"/>
      <c r="CF24" s="335"/>
      <c r="CG24" s="326">
        <f t="shared" si="47"/>
        <v>121.53</v>
      </c>
      <c r="CH24" s="327">
        <f t="shared" si="47"/>
        <v>137.34</v>
      </c>
      <c r="CI24" s="327">
        <f t="shared" si="47"/>
        <v>93.78</v>
      </c>
      <c r="CJ24" s="328">
        <f t="shared" si="47"/>
        <v>170.03000000000003</v>
      </c>
      <c r="CK24" s="326">
        <f t="shared" si="48"/>
        <v>349.66999999999996</v>
      </c>
      <c r="CL24" s="327">
        <f t="shared" si="48"/>
        <v>311.02</v>
      </c>
      <c r="CM24" s="327">
        <f t="shared" si="48"/>
        <v>267.40000000000003</v>
      </c>
      <c r="CN24" s="328">
        <f t="shared" si="48"/>
        <v>352.58000000000004</v>
      </c>
      <c r="CO24" s="326">
        <f t="shared" si="49"/>
        <v>638.37</v>
      </c>
      <c r="CP24" s="327">
        <f t="shared" si="49"/>
        <v>537.45999999999992</v>
      </c>
      <c r="CQ24" s="327">
        <f t="shared" si="49"/>
        <v>522.28000000000009</v>
      </c>
      <c r="CR24" s="328">
        <f t="shared" si="49"/>
        <v>560.85</v>
      </c>
      <c r="CS24" s="326">
        <f t="shared" si="50"/>
        <v>871.04</v>
      </c>
      <c r="CT24" s="327">
        <f t="shared" si="50"/>
        <v>736.42999999999984</v>
      </c>
      <c r="CU24" s="327">
        <f t="shared" si="50"/>
        <v>814.55000000000007</v>
      </c>
      <c r="CV24" s="328">
        <f t="shared" si="50"/>
        <v>797.25</v>
      </c>
      <c r="CW24" s="335"/>
      <c r="CX24" s="326">
        <f t="shared" si="59"/>
        <v>2.6592997811816192</v>
      </c>
      <c r="CY24" s="327">
        <f t="shared" si="59"/>
        <v>3.0052516411378556</v>
      </c>
      <c r="CZ24" s="327">
        <f t="shared" si="59"/>
        <v>2.0520787746170677</v>
      </c>
      <c r="DA24" s="328">
        <f t="shared" si="59"/>
        <v>3.7205689277899348</v>
      </c>
      <c r="DB24" s="326">
        <f t="shared" si="60"/>
        <v>7.6514223194748343</v>
      </c>
      <c r="DC24" s="327">
        <f t="shared" si="60"/>
        <v>6.8056892778993427</v>
      </c>
      <c r="DD24" s="327">
        <f t="shared" si="60"/>
        <v>5.8512035010940924</v>
      </c>
      <c r="DE24" s="328">
        <f t="shared" si="60"/>
        <v>7.7150984682713348</v>
      </c>
      <c r="DF24" s="326">
        <f t="shared" si="61"/>
        <v>13.96870897155361</v>
      </c>
      <c r="DG24" s="327">
        <f t="shared" si="61"/>
        <v>11.760612691466081</v>
      </c>
      <c r="DH24" s="327">
        <f t="shared" si="61"/>
        <v>11.428446389496719</v>
      </c>
      <c r="DI24" s="327">
        <f t="shared" si="61"/>
        <v>12.272428884026258</v>
      </c>
      <c r="DJ24" s="326">
        <f t="shared" si="62"/>
        <v>19.059956236323849</v>
      </c>
      <c r="DK24" s="327">
        <f t="shared" si="62"/>
        <v>16.1144420131291</v>
      </c>
      <c r="DL24" s="327">
        <f t="shared" si="62"/>
        <v>17.823851203501093</v>
      </c>
      <c r="DM24" s="324"/>
      <c r="DO24" s="326">
        <v>814.55000000000007</v>
      </c>
      <c r="DP24" s="328">
        <v>17.823851203501093</v>
      </c>
      <c r="DR24" s="326">
        <f t="shared" si="63"/>
        <v>797.25</v>
      </c>
      <c r="DS24" s="328">
        <f t="shared" si="64"/>
        <v>17.445295404814004</v>
      </c>
    </row>
    <row r="25" spans="1:123" ht="15.75" thickBot="1" x14ac:dyDescent="0.3">
      <c r="A25" s="522"/>
      <c r="B25" s="83">
        <v>18</v>
      </c>
      <c r="C25" s="369">
        <v>40.799999999999997</v>
      </c>
      <c r="D25" s="369">
        <v>40.799999999999997</v>
      </c>
      <c r="E25" s="369">
        <v>40.799999999999997</v>
      </c>
      <c r="F25" s="369">
        <v>40.799999999999997</v>
      </c>
      <c r="G25" s="447">
        <f t="shared" si="0"/>
        <v>49.489999999999995</v>
      </c>
      <c r="H25" s="448">
        <f t="shared" si="1"/>
        <v>81.759999999999991</v>
      </c>
      <c r="I25" s="448">
        <f t="shared" si="2"/>
        <v>58.010000000000005</v>
      </c>
      <c r="J25" s="449">
        <f t="shared" si="3"/>
        <v>54.83</v>
      </c>
      <c r="K25" s="447">
        <f t="shared" si="4"/>
        <v>30.770000000000003</v>
      </c>
      <c r="L25" s="448">
        <f t="shared" si="5"/>
        <v>49.31</v>
      </c>
      <c r="M25" s="448">
        <f t="shared" si="6"/>
        <v>38.22</v>
      </c>
      <c r="N25" s="449">
        <f t="shared" si="7"/>
        <v>52.43</v>
      </c>
      <c r="O25" s="447">
        <f t="shared" si="8"/>
        <v>41.150000000000006</v>
      </c>
      <c r="P25" s="448">
        <f t="shared" si="9"/>
        <v>30.29</v>
      </c>
      <c r="Q25" s="448">
        <f t="shared" si="10"/>
        <v>30.490000000000002</v>
      </c>
      <c r="R25" s="450">
        <f t="shared" si="11"/>
        <v>45.2</v>
      </c>
      <c r="S25" s="447">
        <f t="shared" si="51"/>
        <v>121.41</v>
      </c>
      <c r="T25" s="448">
        <f t="shared" si="51"/>
        <v>161.35999999999999</v>
      </c>
      <c r="U25" s="448">
        <f t="shared" si="51"/>
        <v>126.72</v>
      </c>
      <c r="V25" s="449">
        <f t="shared" si="51"/>
        <v>152.45999999999998</v>
      </c>
      <c r="W25" s="447">
        <f t="shared" si="12"/>
        <v>37.89</v>
      </c>
      <c r="X25" s="448">
        <f t="shared" si="13"/>
        <v>64.37</v>
      </c>
      <c r="Y25" s="448">
        <f t="shared" si="14"/>
        <v>55.14</v>
      </c>
      <c r="Z25" s="449">
        <f t="shared" si="15"/>
        <v>65.709999999999994</v>
      </c>
      <c r="AA25" s="447">
        <f t="shared" si="16"/>
        <v>60.69</v>
      </c>
      <c r="AB25" s="448">
        <f t="shared" si="17"/>
        <v>43.16</v>
      </c>
      <c r="AC25" s="448">
        <f t="shared" si="18"/>
        <v>46.07</v>
      </c>
      <c r="AD25" s="449">
        <f t="shared" si="19"/>
        <v>60.910000000000004</v>
      </c>
      <c r="AE25" s="447">
        <f t="shared" si="20"/>
        <v>81.960000000000008</v>
      </c>
      <c r="AF25" s="448">
        <f t="shared" si="21"/>
        <v>58.78</v>
      </c>
      <c r="AG25" s="448">
        <f t="shared" si="22"/>
        <v>40.53</v>
      </c>
      <c r="AH25" s="449">
        <f t="shared" si="23"/>
        <v>53.150000000000006</v>
      </c>
      <c r="AI25" s="447">
        <f t="shared" si="52"/>
        <v>180.54000000000002</v>
      </c>
      <c r="AJ25" s="448">
        <f t="shared" si="52"/>
        <v>166.31</v>
      </c>
      <c r="AK25" s="448">
        <f t="shared" si="52"/>
        <v>141.74</v>
      </c>
      <c r="AL25" s="449">
        <f t="shared" si="52"/>
        <v>179.77</v>
      </c>
      <c r="AM25" s="447">
        <f t="shared" si="24"/>
        <v>47.95</v>
      </c>
      <c r="AN25" s="448">
        <f t="shared" si="25"/>
        <v>62.41</v>
      </c>
      <c r="AO25" s="448">
        <f t="shared" si="26"/>
        <v>59.76</v>
      </c>
      <c r="AP25" s="449">
        <f t="shared" si="27"/>
        <v>69.66</v>
      </c>
      <c r="AQ25" s="447">
        <f t="shared" si="28"/>
        <v>65.5</v>
      </c>
      <c r="AR25" s="448">
        <f t="shared" si="29"/>
        <v>55.11</v>
      </c>
      <c r="AS25" s="448">
        <f t="shared" si="30"/>
        <v>64.100000000000009</v>
      </c>
      <c r="AT25" s="449">
        <f t="shared" si="31"/>
        <v>63.809999999999995</v>
      </c>
      <c r="AU25" s="447">
        <f t="shared" si="32"/>
        <v>71.73</v>
      </c>
      <c r="AV25" s="448">
        <f t="shared" si="33"/>
        <v>68.87</v>
      </c>
      <c r="AW25" s="448">
        <f t="shared" si="53"/>
        <v>79.039999999999992</v>
      </c>
      <c r="AX25" s="449">
        <f t="shared" si="54"/>
        <v>69.430000000000007</v>
      </c>
      <c r="AY25" s="447">
        <f t="shared" si="55"/>
        <v>185.18</v>
      </c>
      <c r="AZ25" s="448">
        <f t="shared" si="55"/>
        <v>186.39</v>
      </c>
      <c r="BA25" s="448">
        <f t="shared" si="55"/>
        <v>202.9</v>
      </c>
      <c r="BB25" s="449">
        <f t="shared" si="55"/>
        <v>202.9</v>
      </c>
      <c r="BC25" s="447">
        <f t="shared" si="34"/>
        <v>66.47</v>
      </c>
      <c r="BD25" s="448">
        <f t="shared" si="35"/>
        <v>81.789999999999992</v>
      </c>
      <c r="BE25" s="448">
        <f t="shared" si="36"/>
        <v>108.66</v>
      </c>
      <c r="BF25" s="449">
        <f t="shared" si="37"/>
        <v>78.080000000000013</v>
      </c>
      <c r="BG25" s="447">
        <f t="shared" si="38"/>
        <v>87.02</v>
      </c>
      <c r="BH25" s="448">
        <f t="shared" si="39"/>
        <v>58.15</v>
      </c>
      <c r="BI25" s="448">
        <f t="shared" si="40"/>
        <v>54.73</v>
      </c>
      <c r="BJ25" s="328">
        <f t="shared" si="41"/>
        <v>101.57</v>
      </c>
      <c r="BK25" s="447">
        <f t="shared" si="42"/>
        <v>67.2</v>
      </c>
      <c r="BL25" s="448">
        <f t="shared" si="43"/>
        <v>60.239999999999995</v>
      </c>
      <c r="BM25" s="448">
        <f t="shared" si="56"/>
        <v>102.33</v>
      </c>
      <c r="BN25" s="596">
        <f>VLOOKUP(B25,year2022to23,307,FALSE)</f>
        <v>85.93</v>
      </c>
      <c r="BO25" s="447">
        <f t="shared" si="57"/>
        <v>220.69</v>
      </c>
      <c r="BP25" s="448">
        <f t="shared" si="57"/>
        <v>200.18</v>
      </c>
      <c r="BQ25" s="448">
        <f t="shared" si="57"/>
        <v>265.71999999999997</v>
      </c>
      <c r="BR25" s="451"/>
      <c r="BS25" s="452"/>
      <c r="BT25" s="447">
        <f t="shared" si="44"/>
        <v>39.949999999999989</v>
      </c>
      <c r="BU25" s="448">
        <f t="shared" si="44"/>
        <v>-34.639999999999986</v>
      </c>
      <c r="BV25" s="449">
        <f t="shared" si="44"/>
        <v>25.739999999999981</v>
      </c>
      <c r="BW25" s="447">
        <f t="shared" si="45"/>
        <v>-14.230000000000018</v>
      </c>
      <c r="BX25" s="448">
        <f t="shared" si="45"/>
        <v>-24.569999999999993</v>
      </c>
      <c r="BY25" s="449">
        <f t="shared" si="45"/>
        <v>38.03</v>
      </c>
      <c r="BZ25" s="447">
        <f t="shared" si="46"/>
        <v>1.2099999999999795</v>
      </c>
      <c r="CA25" s="448">
        <f t="shared" si="46"/>
        <v>16.510000000000019</v>
      </c>
      <c r="CB25" s="449">
        <f t="shared" si="46"/>
        <v>0</v>
      </c>
      <c r="CC25" s="447">
        <f t="shared" si="58"/>
        <v>-20.509999999999991</v>
      </c>
      <c r="CD25" s="448">
        <f t="shared" si="58"/>
        <v>65.539999999999964</v>
      </c>
      <c r="CE25" s="451"/>
      <c r="CF25" s="452"/>
      <c r="CG25" s="447">
        <f t="shared" si="47"/>
        <v>121.41</v>
      </c>
      <c r="CH25" s="448">
        <f t="shared" si="47"/>
        <v>161.35999999999999</v>
      </c>
      <c r="CI25" s="448">
        <f t="shared" si="47"/>
        <v>126.72</v>
      </c>
      <c r="CJ25" s="449">
        <f t="shared" si="47"/>
        <v>152.45999999999998</v>
      </c>
      <c r="CK25" s="447">
        <f t="shared" si="48"/>
        <v>301.95000000000005</v>
      </c>
      <c r="CL25" s="448">
        <f t="shared" si="48"/>
        <v>327.66999999999996</v>
      </c>
      <c r="CM25" s="448">
        <f t="shared" si="48"/>
        <v>268.46000000000004</v>
      </c>
      <c r="CN25" s="449">
        <f t="shared" si="48"/>
        <v>332.23</v>
      </c>
      <c r="CO25" s="447">
        <f t="shared" si="49"/>
        <v>487.13000000000005</v>
      </c>
      <c r="CP25" s="448">
        <f t="shared" si="49"/>
        <v>514.05999999999995</v>
      </c>
      <c r="CQ25" s="448">
        <f t="shared" si="49"/>
        <v>471.36</v>
      </c>
      <c r="CR25" s="449">
        <f t="shared" si="49"/>
        <v>535.13</v>
      </c>
      <c r="CS25" s="447">
        <f t="shared" si="50"/>
        <v>707.82</v>
      </c>
      <c r="CT25" s="448">
        <f t="shared" si="50"/>
        <v>714.2399999999999</v>
      </c>
      <c r="CU25" s="448">
        <f t="shared" si="50"/>
        <v>737.08</v>
      </c>
      <c r="CV25" s="449">
        <f t="shared" si="50"/>
        <v>800.71</v>
      </c>
      <c r="CW25" s="452"/>
      <c r="CX25" s="447">
        <f t="shared" si="59"/>
        <v>2.9757352941176474</v>
      </c>
      <c r="CY25" s="448">
        <f t="shared" si="59"/>
        <v>3.9549019607843134</v>
      </c>
      <c r="CZ25" s="448">
        <f t="shared" si="59"/>
        <v>3.1058823529411765</v>
      </c>
      <c r="DA25" s="449">
        <f t="shared" si="59"/>
        <v>3.7367647058823525</v>
      </c>
      <c r="DB25" s="447">
        <f t="shared" si="60"/>
        <v>7.4007352941176485</v>
      </c>
      <c r="DC25" s="448">
        <f t="shared" si="60"/>
        <v>8.0311274509803923</v>
      </c>
      <c r="DD25" s="448">
        <f t="shared" si="60"/>
        <v>6.5799019607843148</v>
      </c>
      <c r="DE25" s="449">
        <f t="shared" si="60"/>
        <v>8.1428921568627466</v>
      </c>
      <c r="DF25" s="447">
        <f t="shared" si="61"/>
        <v>11.939460784313727</v>
      </c>
      <c r="DG25" s="448">
        <f t="shared" si="61"/>
        <v>12.599509803921569</v>
      </c>
      <c r="DH25" s="448">
        <f t="shared" si="61"/>
        <v>11.55294117647059</v>
      </c>
      <c r="DI25" s="448">
        <f t="shared" si="61"/>
        <v>13.115931372549021</v>
      </c>
      <c r="DJ25" s="447">
        <f t="shared" si="62"/>
        <v>17.348529411764709</v>
      </c>
      <c r="DK25" s="448">
        <f t="shared" si="62"/>
        <v>17.505882352941175</v>
      </c>
      <c r="DL25" s="448">
        <f t="shared" si="62"/>
        <v>18.065686274509805</v>
      </c>
      <c r="DM25" s="453"/>
      <c r="DN25" s="454"/>
      <c r="DO25" s="447">
        <v>737.08</v>
      </c>
      <c r="DP25" s="449">
        <v>18.065686274509805</v>
      </c>
      <c r="DQ25" s="454"/>
      <c r="DR25" s="447">
        <f t="shared" si="63"/>
        <v>800.71</v>
      </c>
      <c r="DS25" s="449">
        <f t="shared" si="64"/>
        <v>19.625245098039219</v>
      </c>
    </row>
    <row r="26" spans="1:123" x14ac:dyDescent="0.25">
      <c r="A26" s="520" t="s">
        <v>23</v>
      </c>
      <c r="B26" s="23">
        <v>19</v>
      </c>
      <c r="C26" s="367">
        <v>50.62</v>
      </c>
      <c r="D26" s="367">
        <v>50.62</v>
      </c>
      <c r="E26" s="367">
        <v>50.62</v>
      </c>
      <c r="F26" s="367">
        <v>50.62</v>
      </c>
      <c r="G26" s="439">
        <f t="shared" si="0"/>
        <v>48.099999999999994</v>
      </c>
      <c r="H26" s="440">
        <f t="shared" si="1"/>
        <v>54.7</v>
      </c>
      <c r="I26" s="440">
        <f t="shared" si="2"/>
        <v>48.26</v>
      </c>
      <c r="J26" s="441">
        <f t="shared" si="3"/>
        <v>55.03</v>
      </c>
      <c r="K26" s="439">
        <f t="shared" si="4"/>
        <v>35.049999999999997</v>
      </c>
      <c r="L26" s="440">
        <f t="shared" si="5"/>
        <v>57.463000000000001</v>
      </c>
      <c r="M26" s="440">
        <f t="shared" si="6"/>
        <v>26.060000000000002</v>
      </c>
      <c r="N26" s="441">
        <f t="shared" si="7"/>
        <v>63.99</v>
      </c>
      <c r="O26" s="439">
        <f t="shared" si="8"/>
        <v>47.3</v>
      </c>
      <c r="P26" s="440">
        <f t="shared" si="9"/>
        <v>42.13</v>
      </c>
      <c r="Q26" s="440">
        <f t="shared" si="10"/>
        <v>27.34</v>
      </c>
      <c r="R26" s="442">
        <f t="shared" si="11"/>
        <v>40.67</v>
      </c>
      <c r="S26" s="439">
        <f t="shared" si="51"/>
        <v>130.44999999999999</v>
      </c>
      <c r="T26" s="440">
        <f t="shared" si="51"/>
        <v>154.29300000000001</v>
      </c>
      <c r="U26" s="440">
        <f t="shared" si="51"/>
        <v>101.66</v>
      </c>
      <c r="V26" s="441">
        <f t="shared" si="51"/>
        <v>159.69</v>
      </c>
      <c r="W26" s="439">
        <f t="shared" si="12"/>
        <v>68.430000000000007</v>
      </c>
      <c r="X26" s="440">
        <f t="shared" si="13"/>
        <v>70.790000000000006</v>
      </c>
      <c r="Y26" s="440">
        <f t="shared" si="14"/>
        <v>37.159999999999997</v>
      </c>
      <c r="Z26" s="441">
        <f t="shared" si="15"/>
        <v>91.65</v>
      </c>
      <c r="AA26" s="439">
        <f t="shared" si="16"/>
        <v>54.1</v>
      </c>
      <c r="AB26" s="440">
        <f t="shared" si="17"/>
        <v>94.009999999999991</v>
      </c>
      <c r="AC26" s="440">
        <f t="shared" si="18"/>
        <v>58.52000000000001</v>
      </c>
      <c r="AD26" s="441">
        <f t="shared" si="19"/>
        <v>65.03</v>
      </c>
      <c r="AE26" s="439">
        <f t="shared" si="20"/>
        <v>66</v>
      </c>
      <c r="AF26" s="440">
        <f t="shared" si="21"/>
        <v>74.44</v>
      </c>
      <c r="AG26" s="440">
        <f t="shared" si="22"/>
        <v>51.44</v>
      </c>
      <c r="AH26" s="441">
        <f t="shared" si="23"/>
        <v>52.7</v>
      </c>
      <c r="AI26" s="439">
        <f t="shared" si="52"/>
        <v>188.53</v>
      </c>
      <c r="AJ26" s="440">
        <f t="shared" si="52"/>
        <v>239.24</v>
      </c>
      <c r="AK26" s="440">
        <f t="shared" si="52"/>
        <v>147.12</v>
      </c>
      <c r="AL26" s="441">
        <f t="shared" si="52"/>
        <v>209.38</v>
      </c>
      <c r="AM26" s="439">
        <f t="shared" si="24"/>
        <v>88.17</v>
      </c>
      <c r="AN26" s="440">
        <f t="shared" si="25"/>
        <v>87.85</v>
      </c>
      <c r="AO26" s="440">
        <f t="shared" si="26"/>
        <v>40.230000000000004</v>
      </c>
      <c r="AP26" s="441">
        <f t="shared" si="27"/>
        <v>83.75</v>
      </c>
      <c r="AQ26" s="439">
        <f t="shared" si="28"/>
        <v>89.4</v>
      </c>
      <c r="AR26" s="440">
        <f t="shared" si="29"/>
        <v>43.36</v>
      </c>
      <c r="AS26" s="440">
        <f t="shared" si="30"/>
        <v>68.5</v>
      </c>
      <c r="AT26" s="441">
        <f t="shared" si="31"/>
        <v>82.09</v>
      </c>
      <c r="AU26" s="439">
        <f t="shared" si="32"/>
        <v>62.32</v>
      </c>
      <c r="AV26" s="440">
        <f t="shared" si="33"/>
        <v>81.09</v>
      </c>
      <c r="AW26" s="440">
        <f t="shared" si="53"/>
        <v>174.93</v>
      </c>
      <c r="AX26" s="441">
        <f t="shared" si="54"/>
        <v>84.21</v>
      </c>
      <c r="AY26" s="439">
        <f t="shared" si="55"/>
        <v>239.89</v>
      </c>
      <c r="AZ26" s="440">
        <f t="shared" si="55"/>
        <v>212.29999999999998</v>
      </c>
      <c r="BA26" s="440">
        <f t="shared" si="55"/>
        <v>283.66000000000003</v>
      </c>
      <c r="BB26" s="441">
        <f t="shared" si="55"/>
        <v>250.05</v>
      </c>
      <c r="BC26" s="439">
        <f t="shared" si="34"/>
        <v>109.92</v>
      </c>
      <c r="BD26" s="440">
        <f t="shared" si="35"/>
        <v>76.05</v>
      </c>
      <c r="BE26" s="440">
        <f t="shared" si="36"/>
        <v>89.71</v>
      </c>
      <c r="BF26" s="441">
        <f t="shared" si="37"/>
        <v>106.4</v>
      </c>
      <c r="BG26" s="439">
        <f t="shared" si="38"/>
        <v>67.989999999999995</v>
      </c>
      <c r="BH26" s="440">
        <f t="shared" si="39"/>
        <v>78.8</v>
      </c>
      <c r="BI26" s="440">
        <f t="shared" si="40"/>
        <v>74.45</v>
      </c>
      <c r="BJ26" s="328">
        <f t="shared" si="41"/>
        <v>50.51</v>
      </c>
      <c r="BK26" s="439">
        <f t="shared" si="42"/>
        <v>82.53</v>
      </c>
      <c r="BL26" s="440">
        <f t="shared" si="43"/>
        <v>58.84</v>
      </c>
      <c r="BM26" s="440">
        <f t="shared" si="56"/>
        <v>49.21</v>
      </c>
      <c r="BN26" s="594">
        <f>VLOOKUP(B26,year2022to23,307,FALSE)</f>
        <v>89.97</v>
      </c>
      <c r="BO26" s="439">
        <f t="shared" si="57"/>
        <v>260.44</v>
      </c>
      <c r="BP26" s="440">
        <f t="shared" si="57"/>
        <v>213.69</v>
      </c>
      <c r="BQ26" s="440">
        <f t="shared" si="57"/>
        <v>213.37</v>
      </c>
      <c r="BR26" s="443"/>
      <c r="BS26" s="444"/>
      <c r="BT26" s="439">
        <f t="shared" si="44"/>
        <v>23.843000000000018</v>
      </c>
      <c r="BU26" s="440">
        <f t="shared" si="44"/>
        <v>-52.63300000000001</v>
      </c>
      <c r="BV26" s="441">
        <f t="shared" si="44"/>
        <v>58.03</v>
      </c>
      <c r="BW26" s="439">
        <f t="shared" si="45"/>
        <v>50.710000000000008</v>
      </c>
      <c r="BX26" s="440">
        <f t="shared" si="45"/>
        <v>-92.12</v>
      </c>
      <c r="BY26" s="441">
        <f t="shared" si="45"/>
        <v>62.259999999999991</v>
      </c>
      <c r="BZ26" s="439">
        <f t="shared" si="46"/>
        <v>-27.590000000000003</v>
      </c>
      <c r="CA26" s="440">
        <f t="shared" si="46"/>
        <v>71.360000000000042</v>
      </c>
      <c r="CB26" s="441">
        <f t="shared" si="46"/>
        <v>-33.610000000000014</v>
      </c>
      <c r="CC26" s="439">
        <f t="shared" si="58"/>
        <v>-46.75</v>
      </c>
      <c r="CD26" s="440">
        <f t="shared" si="58"/>
        <v>-0.31999999999999318</v>
      </c>
      <c r="CE26" s="443"/>
      <c r="CF26" s="444"/>
      <c r="CG26" s="439">
        <f t="shared" si="47"/>
        <v>130.44999999999999</v>
      </c>
      <c r="CH26" s="440">
        <f t="shared" si="47"/>
        <v>154.29300000000001</v>
      </c>
      <c r="CI26" s="440">
        <f t="shared" si="47"/>
        <v>101.66</v>
      </c>
      <c r="CJ26" s="441">
        <f t="shared" si="47"/>
        <v>159.69</v>
      </c>
      <c r="CK26" s="439">
        <f t="shared" si="48"/>
        <v>318.98</v>
      </c>
      <c r="CL26" s="440">
        <f t="shared" si="48"/>
        <v>393.53300000000002</v>
      </c>
      <c r="CM26" s="440">
        <f t="shared" si="48"/>
        <v>248.78</v>
      </c>
      <c r="CN26" s="441">
        <f t="shared" si="48"/>
        <v>369.07</v>
      </c>
      <c r="CO26" s="439">
        <f t="shared" si="49"/>
        <v>558.87000000000012</v>
      </c>
      <c r="CP26" s="440">
        <f t="shared" si="49"/>
        <v>605.83300000000008</v>
      </c>
      <c r="CQ26" s="440">
        <f t="shared" si="49"/>
        <v>532.44000000000005</v>
      </c>
      <c r="CR26" s="441">
        <f t="shared" si="49"/>
        <v>619.12</v>
      </c>
      <c r="CS26" s="439">
        <f t="shared" si="50"/>
        <v>819.31000000000006</v>
      </c>
      <c r="CT26" s="440">
        <f t="shared" si="50"/>
        <v>819.52300000000002</v>
      </c>
      <c r="CU26" s="440">
        <f t="shared" si="50"/>
        <v>745.81000000000017</v>
      </c>
      <c r="CV26" s="441">
        <f t="shared" si="50"/>
        <v>866</v>
      </c>
      <c r="CW26" s="444"/>
      <c r="CX26" s="439">
        <f t="shared" si="59"/>
        <v>2.5770446463848282</v>
      </c>
      <c r="CY26" s="440">
        <f t="shared" si="59"/>
        <v>3.0480640063216122</v>
      </c>
      <c r="CZ26" s="440">
        <f t="shared" si="59"/>
        <v>2.00829711576452</v>
      </c>
      <c r="DA26" s="441">
        <f t="shared" si="59"/>
        <v>3.1546819438956937</v>
      </c>
      <c r="DB26" s="439">
        <f t="shared" si="60"/>
        <v>6.3014618727775593</v>
      </c>
      <c r="DC26" s="440">
        <f t="shared" si="60"/>
        <v>7.7742591860924541</v>
      </c>
      <c r="DD26" s="440">
        <f t="shared" si="60"/>
        <v>4.9146582378506523</v>
      </c>
      <c r="DE26" s="441">
        <f t="shared" si="60"/>
        <v>7.2909917028842361</v>
      </c>
      <c r="DF26" s="439">
        <f t="shared" si="61"/>
        <v>11.040497826945874</v>
      </c>
      <c r="DG26" s="440">
        <f t="shared" si="61"/>
        <v>11.968253654681947</v>
      </c>
      <c r="DH26" s="440">
        <f t="shared" si="61"/>
        <v>10.518372184907152</v>
      </c>
      <c r="DI26" s="440">
        <f t="shared" si="61"/>
        <v>12.230738838403793</v>
      </c>
      <c r="DJ26" s="439">
        <f t="shared" si="62"/>
        <v>16.185499802449627</v>
      </c>
      <c r="DK26" s="440">
        <f t="shared" si="62"/>
        <v>16.189707625444491</v>
      </c>
      <c r="DL26" s="440">
        <f t="shared" si="62"/>
        <v>14.733504543658636</v>
      </c>
      <c r="DM26" s="445"/>
      <c r="DN26" s="446"/>
      <c r="DO26" s="439">
        <v>745.81000000000017</v>
      </c>
      <c r="DP26" s="441">
        <v>14.733504543658636</v>
      </c>
      <c r="DQ26" s="446"/>
      <c r="DR26" s="439">
        <f t="shared" si="63"/>
        <v>866</v>
      </c>
      <c r="DS26" s="441">
        <f t="shared" si="64"/>
        <v>17.107862504938762</v>
      </c>
    </row>
    <row r="27" spans="1:123" x14ac:dyDescent="0.25">
      <c r="A27" s="521"/>
      <c r="B27" s="55">
        <v>20</v>
      </c>
      <c r="C27" s="368">
        <v>62.08</v>
      </c>
      <c r="D27" s="368">
        <v>62.08</v>
      </c>
      <c r="E27" s="368">
        <v>62.08</v>
      </c>
      <c r="F27" s="368">
        <v>62.08</v>
      </c>
      <c r="G27" s="326">
        <f t="shared" si="0"/>
        <v>51.910000000000004</v>
      </c>
      <c r="H27" s="327">
        <f t="shared" si="1"/>
        <v>61.47</v>
      </c>
      <c r="I27" s="327">
        <f t="shared" si="2"/>
        <v>49.510000000000005</v>
      </c>
      <c r="J27" s="328">
        <f t="shared" si="3"/>
        <v>70.12</v>
      </c>
      <c r="K27" s="326">
        <f t="shared" si="4"/>
        <v>31.21</v>
      </c>
      <c r="L27" s="327">
        <f t="shared" si="5"/>
        <v>54.67</v>
      </c>
      <c r="M27" s="327">
        <f t="shared" si="6"/>
        <v>24.08</v>
      </c>
      <c r="N27" s="328">
        <f t="shared" si="7"/>
        <v>70.84</v>
      </c>
      <c r="O27" s="326">
        <f t="shared" si="8"/>
        <v>39.92</v>
      </c>
      <c r="P27" s="327">
        <f t="shared" si="9"/>
        <v>52.680000000000007</v>
      </c>
      <c r="Q27" s="327">
        <f t="shared" si="10"/>
        <v>16.55</v>
      </c>
      <c r="R27" s="334">
        <f t="shared" si="11"/>
        <v>34.53</v>
      </c>
      <c r="S27" s="326">
        <f t="shared" si="51"/>
        <v>123.04</v>
      </c>
      <c r="T27" s="327">
        <f t="shared" si="51"/>
        <v>168.82</v>
      </c>
      <c r="U27" s="327">
        <f t="shared" si="51"/>
        <v>90.14</v>
      </c>
      <c r="V27" s="328">
        <f t="shared" si="51"/>
        <v>175.49</v>
      </c>
      <c r="W27" s="326">
        <f t="shared" si="12"/>
        <v>68.349999999999994</v>
      </c>
      <c r="X27" s="327">
        <f t="shared" si="13"/>
        <v>63.680000000000007</v>
      </c>
      <c r="Y27" s="327">
        <f t="shared" si="14"/>
        <v>22.51</v>
      </c>
      <c r="Z27" s="328">
        <f t="shared" si="15"/>
        <v>116.55000000000001</v>
      </c>
      <c r="AA27" s="326">
        <f t="shared" si="16"/>
        <v>52.46</v>
      </c>
      <c r="AB27" s="327">
        <f t="shared" si="17"/>
        <v>108.25999999999999</v>
      </c>
      <c r="AC27" s="327">
        <f t="shared" si="18"/>
        <v>45.83</v>
      </c>
      <c r="AD27" s="328">
        <f t="shared" si="19"/>
        <v>90.210000000000008</v>
      </c>
      <c r="AE27" s="326">
        <f t="shared" si="20"/>
        <v>50.1</v>
      </c>
      <c r="AF27" s="327">
        <f t="shared" si="21"/>
        <v>74.180000000000007</v>
      </c>
      <c r="AG27" s="327">
        <f t="shared" si="22"/>
        <v>64.81</v>
      </c>
      <c r="AH27" s="328">
        <f t="shared" si="23"/>
        <v>51.129999999999995</v>
      </c>
      <c r="AI27" s="326">
        <f t="shared" si="52"/>
        <v>170.91</v>
      </c>
      <c r="AJ27" s="327">
        <f t="shared" si="52"/>
        <v>246.12</v>
      </c>
      <c r="AK27" s="327">
        <f t="shared" si="52"/>
        <v>133.15</v>
      </c>
      <c r="AL27" s="328">
        <f t="shared" si="52"/>
        <v>257.89</v>
      </c>
      <c r="AM27" s="326">
        <f t="shared" si="24"/>
        <v>128.19</v>
      </c>
      <c r="AN27" s="327">
        <f t="shared" si="25"/>
        <v>66.97</v>
      </c>
      <c r="AO27" s="327">
        <f t="shared" si="26"/>
        <v>69.28</v>
      </c>
      <c r="AP27" s="328">
        <f t="shared" si="27"/>
        <v>75.31</v>
      </c>
      <c r="AQ27" s="326">
        <f t="shared" si="28"/>
        <v>99.44</v>
      </c>
      <c r="AR27" s="327">
        <f t="shared" si="29"/>
        <v>75.47</v>
      </c>
      <c r="AS27" s="327">
        <f t="shared" si="30"/>
        <v>70.23</v>
      </c>
      <c r="AT27" s="328">
        <f t="shared" si="31"/>
        <v>101.19999999999999</v>
      </c>
      <c r="AU27" s="326">
        <f t="shared" si="32"/>
        <v>69.430000000000007</v>
      </c>
      <c r="AV27" s="327">
        <f t="shared" si="33"/>
        <v>66.61</v>
      </c>
      <c r="AW27" s="327">
        <f t="shared" si="53"/>
        <v>168.56</v>
      </c>
      <c r="AX27" s="328">
        <f t="shared" si="54"/>
        <v>82.1</v>
      </c>
      <c r="AY27" s="326">
        <f t="shared" si="55"/>
        <v>297.06</v>
      </c>
      <c r="AZ27" s="327">
        <f t="shared" si="55"/>
        <v>209.05</v>
      </c>
      <c r="BA27" s="327">
        <f t="shared" si="55"/>
        <v>308.07</v>
      </c>
      <c r="BB27" s="328">
        <f t="shared" si="55"/>
        <v>258.61</v>
      </c>
      <c r="BC27" s="326">
        <f t="shared" si="34"/>
        <v>109.81</v>
      </c>
      <c r="BD27" s="327">
        <f t="shared" si="35"/>
        <v>92.47999999999999</v>
      </c>
      <c r="BE27" s="327">
        <f t="shared" si="36"/>
        <v>115.34</v>
      </c>
      <c r="BF27" s="328">
        <f t="shared" si="37"/>
        <v>124.84</v>
      </c>
      <c r="BG27" s="326">
        <f t="shared" si="38"/>
        <v>91.39</v>
      </c>
      <c r="BH27" s="327">
        <f t="shared" si="39"/>
        <v>78.05</v>
      </c>
      <c r="BI27" s="327">
        <f t="shared" si="40"/>
        <v>84.289999999999992</v>
      </c>
      <c r="BJ27" s="328">
        <f t="shared" si="41"/>
        <v>75.11</v>
      </c>
      <c r="BK27" s="326">
        <f t="shared" si="42"/>
        <v>77.41</v>
      </c>
      <c r="BL27" s="327">
        <f t="shared" si="43"/>
        <v>68.31</v>
      </c>
      <c r="BM27" s="327">
        <f t="shared" si="56"/>
        <v>69</v>
      </c>
      <c r="BN27" s="595">
        <f>VLOOKUP(B27,year2022to23,307,FALSE)</f>
        <v>136.66</v>
      </c>
      <c r="BO27" s="326">
        <f t="shared" si="57"/>
        <v>278.61</v>
      </c>
      <c r="BP27" s="327">
        <f t="shared" si="57"/>
        <v>238.83999999999997</v>
      </c>
      <c r="BQ27" s="327">
        <f t="shared" si="57"/>
        <v>268.63</v>
      </c>
      <c r="BR27" s="329"/>
      <c r="BS27" s="335"/>
      <c r="BT27" s="326">
        <f t="shared" si="44"/>
        <v>45.779999999999987</v>
      </c>
      <c r="BU27" s="327">
        <f t="shared" si="44"/>
        <v>-78.679999999999993</v>
      </c>
      <c r="BV27" s="328">
        <f t="shared" si="44"/>
        <v>85.350000000000009</v>
      </c>
      <c r="BW27" s="326">
        <f t="shared" si="45"/>
        <v>75.210000000000008</v>
      </c>
      <c r="BX27" s="327">
        <f t="shared" si="45"/>
        <v>-112.97</v>
      </c>
      <c r="BY27" s="328">
        <f t="shared" si="45"/>
        <v>124.73999999999998</v>
      </c>
      <c r="BZ27" s="326">
        <f t="shared" si="46"/>
        <v>-88.009999999999991</v>
      </c>
      <c r="CA27" s="327">
        <f t="shared" si="46"/>
        <v>99.019999999999982</v>
      </c>
      <c r="CB27" s="328">
        <f t="shared" si="46"/>
        <v>-49.45999999999998</v>
      </c>
      <c r="CC27" s="326">
        <f t="shared" si="58"/>
        <v>-39.770000000000039</v>
      </c>
      <c r="CD27" s="327">
        <f t="shared" si="58"/>
        <v>29.79000000000002</v>
      </c>
      <c r="CE27" s="329"/>
      <c r="CF27" s="335"/>
      <c r="CG27" s="326">
        <f t="shared" si="47"/>
        <v>123.04</v>
      </c>
      <c r="CH27" s="327">
        <f t="shared" si="47"/>
        <v>168.82</v>
      </c>
      <c r="CI27" s="327">
        <f t="shared" si="47"/>
        <v>90.14</v>
      </c>
      <c r="CJ27" s="328">
        <f t="shared" si="47"/>
        <v>175.49</v>
      </c>
      <c r="CK27" s="326">
        <f t="shared" si="48"/>
        <v>293.95</v>
      </c>
      <c r="CL27" s="327">
        <f t="shared" si="48"/>
        <v>414.94</v>
      </c>
      <c r="CM27" s="327">
        <f t="shared" si="48"/>
        <v>223.29000000000002</v>
      </c>
      <c r="CN27" s="328">
        <f t="shared" si="48"/>
        <v>433.38</v>
      </c>
      <c r="CO27" s="326">
        <f t="shared" si="49"/>
        <v>591.01</v>
      </c>
      <c r="CP27" s="327">
        <f t="shared" si="49"/>
        <v>623.99</v>
      </c>
      <c r="CQ27" s="327">
        <f t="shared" si="49"/>
        <v>531.36000000000013</v>
      </c>
      <c r="CR27" s="328">
        <f t="shared" si="49"/>
        <v>691.99</v>
      </c>
      <c r="CS27" s="326">
        <f t="shared" si="50"/>
        <v>869.61999999999989</v>
      </c>
      <c r="CT27" s="327">
        <f t="shared" si="50"/>
        <v>862.82999999999993</v>
      </c>
      <c r="CU27" s="327">
        <f t="shared" si="50"/>
        <v>799.99000000000012</v>
      </c>
      <c r="CV27" s="328">
        <f t="shared" si="50"/>
        <v>1028.6000000000001</v>
      </c>
      <c r="CW27" s="335"/>
      <c r="CX27" s="326">
        <f t="shared" si="59"/>
        <v>1.981958762886598</v>
      </c>
      <c r="CY27" s="327">
        <f t="shared" si="59"/>
        <v>2.719394329896907</v>
      </c>
      <c r="CZ27" s="327">
        <f t="shared" si="59"/>
        <v>1.4519974226804124</v>
      </c>
      <c r="DA27" s="328">
        <f t="shared" si="59"/>
        <v>2.8268363402061856</v>
      </c>
      <c r="DB27" s="326">
        <f t="shared" si="60"/>
        <v>4.7350193298969074</v>
      </c>
      <c r="DC27" s="327">
        <f t="shared" si="60"/>
        <v>6.6839561855670109</v>
      </c>
      <c r="DD27" s="327">
        <f t="shared" si="60"/>
        <v>3.5968105670103099</v>
      </c>
      <c r="DE27" s="328">
        <f t="shared" si="60"/>
        <v>6.9809922680412368</v>
      </c>
      <c r="DF27" s="326">
        <f t="shared" si="61"/>
        <v>9.5201353092783503</v>
      </c>
      <c r="DG27" s="327">
        <f t="shared" si="61"/>
        <v>10.05138530927835</v>
      </c>
      <c r="DH27" s="327">
        <f t="shared" si="61"/>
        <v>8.5592783505154664</v>
      </c>
      <c r="DI27" s="327">
        <f t="shared" si="61"/>
        <v>11.146746134020619</v>
      </c>
      <c r="DJ27" s="326">
        <f t="shared" si="62"/>
        <v>14.008054123711339</v>
      </c>
      <c r="DK27" s="327">
        <f t="shared" si="62"/>
        <v>13.898679123711339</v>
      </c>
      <c r="DL27" s="327">
        <f t="shared" si="62"/>
        <v>12.886436855670105</v>
      </c>
      <c r="DM27" s="324"/>
      <c r="DO27" s="326">
        <v>799.99000000000012</v>
      </c>
      <c r="DP27" s="328">
        <v>12.886436855670105</v>
      </c>
      <c r="DR27" s="326">
        <f t="shared" si="63"/>
        <v>1028.6000000000001</v>
      </c>
      <c r="DS27" s="328">
        <f t="shared" si="64"/>
        <v>16.568943298969074</v>
      </c>
    </row>
    <row r="28" spans="1:123" x14ac:dyDescent="0.25">
      <c r="A28" s="521"/>
      <c r="B28" s="55">
        <v>21</v>
      </c>
      <c r="C28" s="368">
        <v>72.2</v>
      </c>
      <c r="D28" s="368">
        <v>72.2</v>
      </c>
      <c r="E28" s="368">
        <v>72.2</v>
      </c>
      <c r="F28" s="368">
        <v>72.2</v>
      </c>
      <c r="G28" s="326">
        <f t="shared" si="0"/>
        <v>86.86</v>
      </c>
      <c r="H28" s="327">
        <f t="shared" si="1"/>
        <v>94.92</v>
      </c>
      <c r="I28" s="327">
        <f t="shared" si="2"/>
        <v>86.449999999999989</v>
      </c>
      <c r="J28" s="328">
        <f t="shared" si="3"/>
        <v>95.460000000000008</v>
      </c>
      <c r="K28" s="326">
        <f t="shared" si="4"/>
        <v>53.870000000000005</v>
      </c>
      <c r="L28" s="327">
        <f t="shared" si="5"/>
        <v>60.31</v>
      </c>
      <c r="M28" s="327">
        <f t="shared" si="6"/>
        <v>50.78</v>
      </c>
      <c r="N28" s="328">
        <f t="shared" si="7"/>
        <v>59.44</v>
      </c>
      <c r="O28" s="326">
        <f t="shared" si="8"/>
        <v>67.97</v>
      </c>
      <c r="P28" s="327">
        <f t="shared" si="9"/>
        <v>119.83</v>
      </c>
      <c r="Q28" s="327">
        <f t="shared" si="10"/>
        <v>46.08</v>
      </c>
      <c r="R28" s="334">
        <f t="shared" si="11"/>
        <v>83.73</v>
      </c>
      <c r="S28" s="326">
        <f t="shared" si="51"/>
        <v>208.70000000000002</v>
      </c>
      <c r="T28" s="327">
        <f t="shared" si="51"/>
        <v>275.06</v>
      </c>
      <c r="U28" s="327">
        <f t="shared" si="51"/>
        <v>183.31</v>
      </c>
      <c r="V28" s="328">
        <f t="shared" si="51"/>
        <v>238.63</v>
      </c>
      <c r="W28" s="326">
        <f t="shared" si="12"/>
        <v>77.02000000000001</v>
      </c>
      <c r="X28" s="327">
        <f t="shared" si="13"/>
        <v>76.39</v>
      </c>
      <c r="Y28" s="327">
        <f t="shared" si="14"/>
        <v>70.38</v>
      </c>
      <c r="Z28" s="328">
        <f t="shared" si="15"/>
        <v>159.93</v>
      </c>
      <c r="AA28" s="326">
        <f t="shared" si="16"/>
        <v>126.65</v>
      </c>
      <c r="AB28" s="327">
        <f t="shared" si="17"/>
        <v>92.749999999999986</v>
      </c>
      <c r="AC28" s="327">
        <f t="shared" si="18"/>
        <v>77.599999999999994</v>
      </c>
      <c r="AD28" s="328">
        <f t="shared" si="19"/>
        <v>112.19</v>
      </c>
      <c r="AE28" s="326">
        <f t="shared" si="20"/>
        <v>78.989999999999995</v>
      </c>
      <c r="AF28" s="327">
        <f t="shared" si="21"/>
        <v>84.47999999999999</v>
      </c>
      <c r="AG28" s="327">
        <f t="shared" si="22"/>
        <v>105.44</v>
      </c>
      <c r="AH28" s="328">
        <f t="shared" si="23"/>
        <v>69.569999999999993</v>
      </c>
      <c r="AI28" s="326">
        <f t="shared" si="52"/>
        <v>282.66000000000003</v>
      </c>
      <c r="AJ28" s="327">
        <f t="shared" si="52"/>
        <v>253.61999999999998</v>
      </c>
      <c r="AK28" s="327">
        <f t="shared" si="52"/>
        <v>253.42</v>
      </c>
      <c r="AL28" s="328">
        <f t="shared" si="52"/>
        <v>341.69</v>
      </c>
      <c r="AM28" s="326">
        <f t="shared" si="24"/>
        <v>140.62</v>
      </c>
      <c r="AN28" s="327">
        <f t="shared" si="25"/>
        <v>117.65</v>
      </c>
      <c r="AO28" s="327">
        <f t="shared" si="26"/>
        <v>160.38</v>
      </c>
      <c r="AP28" s="328">
        <f t="shared" si="27"/>
        <v>95.68</v>
      </c>
      <c r="AQ28" s="326">
        <f t="shared" si="28"/>
        <v>190.25</v>
      </c>
      <c r="AR28" s="327">
        <f t="shared" si="29"/>
        <v>139.73000000000002</v>
      </c>
      <c r="AS28" s="327">
        <f t="shared" si="30"/>
        <v>115.14</v>
      </c>
      <c r="AT28" s="328">
        <f t="shared" si="31"/>
        <v>111.16999999999999</v>
      </c>
      <c r="AU28" s="326">
        <f t="shared" si="32"/>
        <v>137.12</v>
      </c>
      <c r="AV28" s="327">
        <f t="shared" si="33"/>
        <v>137.98000000000002</v>
      </c>
      <c r="AW28" s="327">
        <f t="shared" si="53"/>
        <v>142.54999999999998</v>
      </c>
      <c r="AX28" s="328">
        <f t="shared" si="54"/>
        <v>145.96</v>
      </c>
      <c r="AY28" s="326">
        <f t="shared" si="55"/>
        <v>467.99</v>
      </c>
      <c r="AZ28" s="327">
        <f t="shared" si="55"/>
        <v>395.36</v>
      </c>
      <c r="BA28" s="327">
        <f t="shared" si="55"/>
        <v>418.06999999999994</v>
      </c>
      <c r="BB28" s="328">
        <f t="shared" si="55"/>
        <v>352.81</v>
      </c>
      <c r="BC28" s="326">
        <f t="shared" si="34"/>
        <v>161.85000000000002</v>
      </c>
      <c r="BD28" s="327">
        <f t="shared" si="35"/>
        <v>143.07</v>
      </c>
      <c r="BE28" s="327">
        <f t="shared" si="36"/>
        <v>199.91000000000003</v>
      </c>
      <c r="BF28" s="328">
        <f t="shared" si="37"/>
        <v>105.41</v>
      </c>
      <c r="BG28" s="326">
        <f t="shared" si="38"/>
        <v>152.35</v>
      </c>
      <c r="BH28" s="327">
        <f t="shared" si="39"/>
        <v>148.07</v>
      </c>
      <c r="BI28" s="327">
        <f t="shared" si="40"/>
        <v>154.22999999999999</v>
      </c>
      <c r="BJ28" s="328">
        <f t="shared" si="41"/>
        <v>163.67000000000002</v>
      </c>
      <c r="BK28" s="326">
        <f t="shared" si="42"/>
        <v>139.48000000000002</v>
      </c>
      <c r="BL28" s="327">
        <f t="shared" si="43"/>
        <v>108.66</v>
      </c>
      <c r="BM28" s="327">
        <f t="shared" si="56"/>
        <v>96.05</v>
      </c>
      <c r="BN28" s="595">
        <f>VLOOKUP(B28,year2022to23,307,FALSE)</f>
        <v>122.20000000000002</v>
      </c>
      <c r="BO28" s="326">
        <f t="shared" si="57"/>
        <v>453.68000000000006</v>
      </c>
      <c r="BP28" s="327">
        <f t="shared" si="57"/>
        <v>399.79999999999995</v>
      </c>
      <c r="BQ28" s="327">
        <f t="shared" si="57"/>
        <v>450.19</v>
      </c>
      <c r="BR28" s="329"/>
      <c r="BS28" s="335"/>
      <c r="BT28" s="326">
        <f t="shared" si="44"/>
        <v>66.359999999999985</v>
      </c>
      <c r="BU28" s="327">
        <f t="shared" si="44"/>
        <v>-91.75</v>
      </c>
      <c r="BV28" s="328">
        <f t="shared" si="44"/>
        <v>55.319999999999993</v>
      </c>
      <c r="BW28" s="326">
        <f t="shared" si="45"/>
        <v>-29.040000000000049</v>
      </c>
      <c r="BX28" s="327">
        <f t="shared" si="45"/>
        <v>-0.19999999999998863</v>
      </c>
      <c r="BY28" s="328">
        <f t="shared" si="45"/>
        <v>88.27000000000001</v>
      </c>
      <c r="BZ28" s="326">
        <f t="shared" si="46"/>
        <v>-72.63</v>
      </c>
      <c r="CA28" s="327">
        <f t="shared" si="46"/>
        <v>22.709999999999923</v>
      </c>
      <c r="CB28" s="328">
        <f t="shared" si="46"/>
        <v>-65.259999999999934</v>
      </c>
      <c r="CC28" s="326">
        <f t="shared" si="58"/>
        <v>-53.880000000000109</v>
      </c>
      <c r="CD28" s="327">
        <f t="shared" si="58"/>
        <v>50.390000000000043</v>
      </c>
      <c r="CE28" s="329"/>
      <c r="CF28" s="335"/>
      <c r="CG28" s="326">
        <f t="shared" si="47"/>
        <v>208.70000000000002</v>
      </c>
      <c r="CH28" s="327">
        <f t="shared" si="47"/>
        <v>275.06</v>
      </c>
      <c r="CI28" s="327">
        <f t="shared" si="47"/>
        <v>183.31</v>
      </c>
      <c r="CJ28" s="328">
        <f t="shared" si="47"/>
        <v>238.63</v>
      </c>
      <c r="CK28" s="326">
        <f t="shared" si="48"/>
        <v>491.36</v>
      </c>
      <c r="CL28" s="327">
        <f t="shared" si="48"/>
        <v>528.67999999999995</v>
      </c>
      <c r="CM28" s="327">
        <f t="shared" si="48"/>
        <v>436.72999999999996</v>
      </c>
      <c r="CN28" s="328">
        <f t="shared" si="48"/>
        <v>580.31999999999994</v>
      </c>
      <c r="CO28" s="326">
        <f t="shared" si="49"/>
        <v>959.35</v>
      </c>
      <c r="CP28" s="327">
        <f t="shared" si="49"/>
        <v>924.04</v>
      </c>
      <c r="CQ28" s="327">
        <f t="shared" si="49"/>
        <v>854.79999999999984</v>
      </c>
      <c r="CR28" s="328">
        <f t="shared" si="49"/>
        <v>933.13</v>
      </c>
      <c r="CS28" s="326">
        <f t="shared" si="50"/>
        <v>1413.03</v>
      </c>
      <c r="CT28" s="327">
        <f t="shared" si="50"/>
        <v>1323.84</v>
      </c>
      <c r="CU28" s="327">
        <f t="shared" si="50"/>
        <v>1304.9899999999998</v>
      </c>
      <c r="CV28" s="328">
        <f t="shared" si="50"/>
        <v>1324.41</v>
      </c>
      <c r="CW28" s="335"/>
      <c r="CX28" s="326">
        <f t="shared" si="59"/>
        <v>2.8905817174515236</v>
      </c>
      <c r="CY28" s="327">
        <f t="shared" si="59"/>
        <v>3.8096952908587256</v>
      </c>
      <c r="CZ28" s="327">
        <f t="shared" si="59"/>
        <v>2.5389196675900276</v>
      </c>
      <c r="DA28" s="328">
        <f t="shared" si="59"/>
        <v>3.305124653739612</v>
      </c>
      <c r="DB28" s="326">
        <f t="shared" si="60"/>
        <v>6.8055401662049864</v>
      </c>
      <c r="DC28" s="327">
        <f t="shared" si="60"/>
        <v>7.3224376731301932</v>
      </c>
      <c r="DD28" s="327">
        <f t="shared" si="60"/>
        <v>6.048891966759002</v>
      </c>
      <c r="DE28" s="328">
        <f t="shared" si="60"/>
        <v>8.0376731301939053</v>
      </c>
      <c r="DF28" s="326">
        <f t="shared" si="61"/>
        <v>13.287396121883656</v>
      </c>
      <c r="DG28" s="327">
        <f t="shared" si="61"/>
        <v>12.798337950138503</v>
      </c>
      <c r="DH28" s="327">
        <f t="shared" si="61"/>
        <v>11.839335180055398</v>
      </c>
      <c r="DI28" s="327">
        <f t="shared" si="61"/>
        <v>12.924238227146814</v>
      </c>
      <c r="DJ28" s="326">
        <f t="shared" si="62"/>
        <v>19.571052631578947</v>
      </c>
      <c r="DK28" s="327">
        <f t="shared" si="62"/>
        <v>18.335734072022159</v>
      </c>
      <c r="DL28" s="327">
        <f t="shared" si="62"/>
        <v>18.074653739612184</v>
      </c>
      <c r="DM28" s="324"/>
      <c r="DO28" s="326">
        <v>1304.9899999999998</v>
      </c>
      <c r="DP28" s="328">
        <v>18.074653739612184</v>
      </c>
      <c r="DR28" s="326">
        <f t="shared" si="63"/>
        <v>1324.41</v>
      </c>
      <c r="DS28" s="328">
        <f t="shared" si="64"/>
        <v>18.343628808864267</v>
      </c>
    </row>
    <row r="29" spans="1:123" x14ac:dyDescent="0.25">
      <c r="A29" s="521"/>
      <c r="B29" s="55">
        <v>22</v>
      </c>
      <c r="C29" s="368">
        <v>52.3</v>
      </c>
      <c r="D29" s="368">
        <v>52.3</v>
      </c>
      <c r="E29" s="368">
        <v>52.3</v>
      </c>
      <c r="F29" s="368">
        <v>52.3</v>
      </c>
      <c r="G29" s="326">
        <f t="shared" si="0"/>
        <v>55.309999999999995</v>
      </c>
      <c r="H29" s="327">
        <f t="shared" si="1"/>
        <v>63.79</v>
      </c>
      <c r="I29" s="327">
        <f t="shared" si="2"/>
        <v>58.67</v>
      </c>
      <c r="J29" s="328">
        <f t="shared" si="3"/>
        <v>30.8</v>
      </c>
      <c r="K29" s="326">
        <f t="shared" si="4"/>
        <v>40.28</v>
      </c>
      <c r="L29" s="327">
        <f t="shared" si="5"/>
        <v>38.15</v>
      </c>
      <c r="M29" s="327">
        <f t="shared" si="6"/>
        <v>36.06</v>
      </c>
      <c r="N29" s="328">
        <f t="shared" si="7"/>
        <v>74.5</v>
      </c>
      <c r="O29" s="326">
        <f t="shared" si="8"/>
        <v>37.519999999999996</v>
      </c>
      <c r="P29" s="327">
        <f t="shared" si="9"/>
        <v>63.980000000000004</v>
      </c>
      <c r="Q29" s="327">
        <f t="shared" si="10"/>
        <v>27.049999999999997</v>
      </c>
      <c r="R29" s="334">
        <f t="shared" si="11"/>
        <v>55.26</v>
      </c>
      <c r="S29" s="326">
        <f t="shared" si="51"/>
        <v>133.11000000000001</v>
      </c>
      <c r="T29" s="327">
        <f t="shared" si="51"/>
        <v>165.92000000000002</v>
      </c>
      <c r="U29" s="327">
        <f t="shared" si="51"/>
        <v>121.78</v>
      </c>
      <c r="V29" s="328">
        <f t="shared" si="51"/>
        <v>160.56</v>
      </c>
      <c r="W29" s="326">
        <f t="shared" si="12"/>
        <v>50.19</v>
      </c>
      <c r="X29" s="327">
        <f t="shared" si="13"/>
        <v>44.94</v>
      </c>
      <c r="Y29" s="327">
        <f t="shared" si="14"/>
        <v>43.81</v>
      </c>
      <c r="Z29" s="328">
        <f t="shared" si="15"/>
        <v>78.13</v>
      </c>
      <c r="AA29" s="326">
        <f t="shared" si="16"/>
        <v>78.41</v>
      </c>
      <c r="AB29" s="327">
        <f t="shared" si="17"/>
        <v>55.76</v>
      </c>
      <c r="AC29" s="327">
        <f t="shared" si="18"/>
        <v>38.590000000000003</v>
      </c>
      <c r="AD29" s="328">
        <f t="shared" si="19"/>
        <v>40.56</v>
      </c>
      <c r="AE29" s="326">
        <f t="shared" si="20"/>
        <v>57.33</v>
      </c>
      <c r="AF29" s="327">
        <f t="shared" si="21"/>
        <v>62</v>
      </c>
      <c r="AG29" s="327">
        <f t="shared" si="22"/>
        <v>58.92</v>
      </c>
      <c r="AH29" s="328">
        <f t="shared" si="23"/>
        <v>65</v>
      </c>
      <c r="AI29" s="326">
        <f t="shared" si="52"/>
        <v>185.93</v>
      </c>
      <c r="AJ29" s="327">
        <f t="shared" si="52"/>
        <v>162.69999999999999</v>
      </c>
      <c r="AK29" s="327">
        <f t="shared" si="52"/>
        <v>141.32</v>
      </c>
      <c r="AL29" s="328">
        <f t="shared" si="52"/>
        <v>183.69</v>
      </c>
      <c r="AM29" s="326">
        <f t="shared" si="24"/>
        <v>77.830000000000013</v>
      </c>
      <c r="AN29" s="327">
        <f t="shared" si="25"/>
        <v>83.44</v>
      </c>
      <c r="AO29" s="327">
        <f t="shared" si="26"/>
        <v>68.87</v>
      </c>
      <c r="AP29" s="328">
        <f t="shared" si="27"/>
        <v>66.36</v>
      </c>
      <c r="AQ29" s="326">
        <f t="shared" si="28"/>
        <v>137.77000000000001</v>
      </c>
      <c r="AR29" s="327">
        <f t="shared" si="29"/>
        <v>91.12</v>
      </c>
      <c r="AS29" s="327">
        <f t="shared" si="30"/>
        <v>100.56</v>
      </c>
      <c r="AT29" s="328">
        <f t="shared" si="31"/>
        <v>66.599999999999994</v>
      </c>
      <c r="AU29" s="326">
        <f t="shared" si="32"/>
        <v>87.65</v>
      </c>
      <c r="AV29" s="327">
        <f t="shared" si="33"/>
        <v>89.7</v>
      </c>
      <c r="AW29" s="327">
        <f t="shared" si="53"/>
        <v>75.260000000000005</v>
      </c>
      <c r="AX29" s="328">
        <f t="shared" si="54"/>
        <v>97.81</v>
      </c>
      <c r="AY29" s="326">
        <f t="shared" si="55"/>
        <v>303.25</v>
      </c>
      <c r="AZ29" s="327">
        <f t="shared" si="55"/>
        <v>264.26</v>
      </c>
      <c r="BA29" s="327">
        <f t="shared" si="55"/>
        <v>244.69</v>
      </c>
      <c r="BB29" s="328">
        <f t="shared" si="55"/>
        <v>230.76999999999998</v>
      </c>
      <c r="BC29" s="326">
        <f t="shared" si="34"/>
        <v>103.59</v>
      </c>
      <c r="BD29" s="327">
        <f t="shared" si="35"/>
        <v>100.33</v>
      </c>
      <c r="BE29" s="327">
        <f t="shared" si="36"/>
        <v>133.42000000000002</v>
      </c>
      <c r="BF29" s="328">
        <f t="shared" si="37"/>
        <v>84.2</v>
      </c>
      <c r="BG29" s="326">
        <f t="shared" si="38"/>
        <v>83.89</v>
      </c>
      <c r="BH29" s="327">
        <f t="shared" si="39"/>
        <v>96.06</v>
      </c>
      <c r="BI29" s="327">
        <f t="shared" si="40"/>
        <v>93.41</v>
      </c>
      <c r="BJ29" s="328">
        <f t="shared" si="41"/>
        <v>122.16999999999999</v>
      </c>
      <c r="BK29" s="326">
        <f t="shared" si="42"/>
        <v>91.81</v>
      </c>
      <c r="BL29" s="327">
        <f t="shared" si="43"/>
        <v>70.740000000000009</v>
      </c>
      <c r="BM29" s="327">
        <f t="shared" si="56"/>
        <v>67.679999999999993</v>
      </c>
      <c r="BN29" s="595">
        <f>VLOOKUP(B29,year2022to23,307,FALSE)</f>
        <v>64.45</v>
      </c>
      <c r="BO29" s="326">
        <f t="shared" si="57"/>
        <v>279.29000000000002</v>
      </c>
      <c r="BP29" s="327">
        <f t="shared" si="57"/>
        <v>267.13</v>
      </c>
      <c r="BQ29" s="327">
        <f t="shared" si="57"/>
        <v>294.51</v>
      </c>
      <c r="BR29" s="329"/>
      <c r="BS29" s="335"/>
      <c r="BT29" s="326">
        <f t="shared" si="44"/>
        <v>32.81</v>
      </c>
      <c r="BU29" s="327">
        <f t="shared" si="44"/>
        <v>-44.140000000000015</v>
      </c>
      <c r="BV29" s="328">
        <f t="shared" si="44"/>
        <v>38.78</v>
      </c>
      <c r="BW29" s="326">
        <f t="shared" si="45"/>
        <v>-23.230000000000018</v>
      </c>
      <c r="BX29" s="327">
        <f t="shared" si="45"/>
        <v>-21.379999999999995</v>
      </c>
      <c r="BY29" s="328">
        <f t="shared" si="45"/>
        <v>42.370000000000005</v>
      </c>
      <c r="BZ29" s="326">
        <f t="shared" si="46"/>
        <v>-38.990000000000009</v>
      </c>
      <c r="CA29" s="327">
        <f t="shared" si="46"/>
        <v>-19.569999999999993</v>
      </c>
      <c r="CB29" s="328">
        <f t="shared" si="46"/>
        <v>-13.920000000000016</v>
      </c>
      <c r="CC29" s="326">
        <f t="shared" si="58"/>
        <v>-12.160000000000025</v>
      </c>
      <c r="CD29" s="327">
        <f t="shared" si="58"/>
        <v>27.379999999999995</v>
      </c>
      <c r="CE29" s="329"/>
      <c r="CF29" s="335"/>
      <c r="CG29" s="326">
        <f t="shared" si="47"/>
        <v>133.11000000000001</v>
      </c>
      <c r="CH29" s="327">
        <f t="shared" si="47"/>
        <v>165.92000000000002</v>
      </c>
      <c r="CI29" s="327">
        <f t="shared" si="47"/>
        <v>121.78</v>
      </c>
      <c r="CJ29" s="328">
        <f t="shared" si="47"/>
        <v>160.56</v>
      </c>
      <c r="CK29" s="326">
        <f t="shared" si="48"/>
        <v>319.04000000000002</v>
      </c>
      <c r="CL29" s="327">
        <f t="shared" si="48"/>
        <v>328.62</v>
      </c>
      <c r="CM29" s="327">
        <f t="shared" si="48"/>
        <v>263.10000000000002</v>
      </c>
      <c r="CN29" s="328">
        <f t="shared" si="48"/>
        <v>344.25</v>
      </c>
      <c r="CO29" s="326">
        <f t="shared" si="49"/>
        <v>622.29</v>
      </c>
      <c r="CP29" s="327">
        <f t="shared" si="49"/>
        <v>592.88</v>
      </c>
      <c r="CQ29" s="327">
        <f t="shared" si="49"/>
        <v>507.79</v>
      </c>
      <c r="CR29" s="328">
        <f t="shared" si="49"/>
        <v>575.02</v>
      </c>
      <c r="CS29" s="326">
        <f t="shared" si="50"/>
        <v>901.57999999999993</v>
      </c>
      <c r="CT29" s="327">
        <f t="shared" si="50"/>
        <v>860.01</v>
      </c>
      <c r="CU29" s="327">
        <f t="shared" si="50"/>
        <v>802.3</v>
      </c>
      <c r="CV29" s="328">
        <f t="shared" si="50"/>
        <v>845.84</v>
      </c>
      <c r="CW29" s="335"/>
      <c r="CX29" s="326">
        <f t="shared" si="59"/>
        <v>2.5451242829827918</v>
      </c>
      <c r="CY29" s="327">
        <f t="shared" si="59"/>
        <v>3.1724665391969413</v>
      </c>
      <c r="CZ29" s="327">
        <f t="shared" si="59"/>
        <v>2.3284894837476102</v>
      </c>
      <c r="DA29" s="328">
        <f t="shared" si="59"/>
        <v>3.069980879541109</v>
      </c>
      <c r="DB29" s="326">
        <f t="shared" si="60"/>
        <v>6.1001912045889108</v>
      </c>
      <c r="DC29" s="327">
        <f t="shared" si="60"/>
        <v>6.2833652007648189</v>
      </c>
      <c r="DD29" s="327">
        <f t="shared" si="60"/>
        <v>5.030592734225622</v>
      </c>
      <c r="DE29" s="328">
        <f t="shared" si="60"/>
        <v>6.5822179732313577</v>
      </c>
      <c r="DF29" s="326">
        <f t="shared" si="61"/>
        <v>11.89847036328872</v>
      </c>
      <c r="DG29" s="327">
        <f t="shared" si="61"/>
        <v>11.336137667304016</v>
      </c>
      <c r="DH29" s="327">
        <f t="shared" si="61"/>
        <v>9.7091778202676871</v>
      </c>
      <c r="DI29" s="327">
        <f t="shared" si="61"/>
        <v>10.994646271510517</v>
      </c>
      <c r="DJ29" s="326">
        <f t="shared" si="62"/>
        <v>17.238623326959846</v>
      </c>
      <c r="DK29" s="327">
        <f t="shared" si="62"/>
        <v>16.443785850860422</v>
      </c>
      <c r="DL29" s="327">
        <f t="shared" si="62"/>
        <v>15.340344168260039</v>
      </c>
      <c r="DM29" s="324"/>
      <c r="DO29" s="326">
        <v>802.3</v>
      </c>
      <c r="DP29" s="328">
        <v>15.340344168260039</v>
      </c>
      <c r="DR29" s="326">
        <f t="shared" si="63"/>
        <v>845.84</v>
      </c>
      <c r="DS29" s="328">
        <f t="shared" si="64"/>
        <v>16.172848948374764</v>
      </c>
    </row>
    <row r="30" spans="1:123" ht="15.75" thickBot="1" x14ac:dyDescent="0.3">
      <c r="A30" s="522"/>
      <c r="B30" s="83">
        <v>24</v>
      </c>
      <c r="C30" s="369">
        <v>44.7</v>
      </c>
      <c r="D30" s="369">
        <v>44.7</v>
      </c>
      <c r="E30" s="369">
        <v>44.7</v>
      </c>
      <c r="F30" s="369">
        <v>44.7</v>
      </c>
      <c r="G30" s="447">
        <f t="shared" si="0"/>
        <v>61.879999999999995</v>
      </c>
      <c r="H30" s="448">
        <f t="shared" si="1"/>
        <v>49.75</v>
      </c>
      <c r="I30" s="448">
        <f t="shared" si="2"/>
        <v>52.45</v>
      </c>
      <c r="J30" s="449">
        <f t="shared" si="3"/>
        <v>53.53</v>
      </c>
      <c r="K30" s="447">
        <f t="shared" si="4"/>
        <v>15.52</v>
      </c>
      <c r="L30" s="448">
        <f t="shared" si="5"/>
        <v>34.5</v>
      </c>
      <c r="M30" s="448">
        <f t="shared" si="6"/>
        <v>22.4</v>
      </c>
      <c r="N30" s="449">
        <f t="shared" si="7"/>
        <v>60.35</v>
      </c>
      <c r="O30" s="447">
        <f t="shared" si="8"/>
        <v>25.990000000000002</v>
      </c>
      <c r="P30" s="448">
        <f t="shared" si="9"/>
        <v>29.77</v>
      </c>
      <c r="Q30" s="448">
        <f t="shared" si="10"/>
        <v>13.799999999999999</v>
      </c>
      <c r="R30" s="450">
        <f t="shared" si="11"/>
        <v>48.56</v>
      </c>
      <c r="S30" s="447">
        <f t="shared" si="51"/>
        <v>103.38999999999999</v>
      </c>
      <c r="T30" s="448">
        <f t="shared" si="51"/>
        <v>114.02</v>
      </c>
      <c r="U30" s="448">
        <f t="shared" si="51"/>
        <v>88.649999999999991</v>
      </c>
      <c r="V30" s="449">
        <f t="shared" si="51"/>
        <v>162.44</v>
      </c>
      <c r="W30" s="447">
        <f t="shared" si="12"/>
        <v>42.349999999999994</v>
      </c>
      <c r="X30" s="448">
        <f t="shared" si="13"/>
        <v>29.76</v>
      </c>
      <c r="Y30" s="448">
        <f t="shared" si="14"/>
        <v>17.14</v>
      </c>
      <c r="Z30" s="449">
        <f t="shared" si="15"/>
        <v>92.41</v>
      </c>
      <c r="AA30" s="447">
        <f t="shared" si="16"/>
        <v>35.019999999999996</v>
      </c>
      <c r="AB30" s="448">
        <f t="shared" si="17"/>
        <v>47.11</v>
      </c>
      <c r="AC30" s="448">
        <f t="shared" si="18"/>
        <v>65.12</v>
      </c>
      <c r="AD30" s="449">
        <f t="shared" si="19"/>
        <v>32.630000000000003</v>
      </c>
      <c r="AE30" s="447">
        <f t="shared" si="20"/>
        <v>32.69</v>
      </c>
      <c r="AF30" s="448">
        <f t="shared" si="21"/>
        <v>55.39</v>
      </c>
      <c r="AG30" s="448">
        <f t="shared" si="22"/>
        <v>63.070000000000007</v>
      </c>
      <c r="AH30" s="449">
        <f t="shared" si="23"/>
        <v>64.31</v>
      </c>
      <c r="AI30" s="447">
        <f t="shared" si="52"/>
        <v>110.05999999999999</v>
      </c>
      <c r="AJ30" s="448">
        <f t="shared" si="52"/>
        <v>132.26</v>
      </c>
      <c r="AK30" s="448">
        <f t="shared" si="52"/>
        <v>145.33000000000001</v>
      </c>
      <c r="AL30" s="449">
        <f t="shared" si="52"/>
        <v>189.35</v>
      </c>
      <c r="AM30" s="447">
        <f t="shared" si="24"/>
        <v>37.86</v>
      </c>
      <c r="AN30" s="448">
        <f t="shared" si="25"/>
        <v>53.04</v>
      </c>
      <c r="AO30" s="448">
        <f t="shared" si="26"/>
        <v>57.019999999999996</v>
      </c>
      <c r="AP30" s="449">
        <f t="shared" si="27"/>
        <v>49.339999999999996</v>
      </c>
      <c r="AQ30" s="447">
        <f t="shared" si="28"/>
        <v>71.77</v>
      </c>
      <c r="AR30" s="448">
        <f t="shared" si="29"/>
        <v>55.93</v>
      </c>
      <c r="AS30" s="448">
        <f t="shared" si="30"/>
        <v>97.320000000000007</v>
      </c>
      <c r="AT30" s="449">
        <f t="shared" si="31"/>
        <v>77.790000000000006</v>
      </c>
      <c r="AU30" s="447">
        <f t="shared" si="32"/>
        <v>75.08</v>
      </c>
      <c r="AV30" s="448">
        <f t="shared" si="33"/>
        <v>68.63</v>
      </c>
      <c r="AW30" s="448">
        <f t="shared" si="53"/>
        <v>87.79</v>
      </c>
      <c r="AX30" s="449">
        <f t="shared" si="54"/>
        <v>70.89</v>
      </c>
      <c r="AY30" s="447">
        <f t="shared" si="55"/>
        <v>184.70999999999998</v>
      </c>
      <c r="AZ30" s="448">
        <f t="shared" si="55"/>
        <v>177.6</v>
      </c>
      <c r="BA30" s="448">
        <f t="shared" si="55"/>
        <v>242.13</v>
      </c>
      <c r="BB30" s="449">
        <f t="shared" si="55"/>
        <v>198.01999999999998</v>
      </c>
      <c r="BC30" s="447">
        <f t="shared" si="34"/>
        <v>82.28</v>
      </c>
      <c r="BD30" s="448">
        <f t="shared" si="35"/>
        <v>87.460000000000008</v>
      </c>
      <c r="BE30" s="448">
        <f t="shared" si="36"/>
        <v>131.74</v>
      </c>
      <c r="BF30" s="449">
        <f t="shared" si="37"/>
        <v>113.12</v>
      </c>
      <c r="BG30" s="447">
        <f t="shared" si="38"/>
        <v>59.83</v>
      </c>
      <c r="BH30" s="448">
        <f t="shared" si="39"/>
        <v>81.02</v>
      </c>
      <c r="BI30" s="448">
        <f t="shared" si="40"/>
        <v>99.53</v>
      </c>
      <c r="BJ30" s="328">
        <f t="shared" si="41"/>
        <v>94.64</v>
      </c>
      <c r="BK30" s="447">
        <f t="shared" si="42"/>
        <v>46.12</v>
      </c>
      <c r="BL30" s="448">
        <f t="shared" si="43"/>
        <v>61.3</v>
      </c>
      <c r="BM30" s="448">
        <f t="shared" si="56"/>
        <v>87.56</v>
      </c>
      <c r="BN30" s="596">
        <f>VLOOKUP(B30,year2022to23,307,FALSE)</f>
        <v>49.910000000000004</v>
      </c>
      <c r="BO30" s="447">
        <f t="shared" si="57"/>
        <v>188.23000000000002</v>
      </c>
      <c r="BP30" s="448">
        <f t="shared" si="57"/>
        <v>229.78000000000003</v>
      </c>
      <c r="BQ30" s="448">
        <f t="shared" si="57"/>
        <v>318.83000000000004</v>
      </c>
      <c r="BR30" s="451"/>
      <c r="BS30" s="452"/>
      <c r="BT30" s="447">
        <f t="shared" si="44"/>
        <v>10.63000000000001</v>
      </c>
      <c r="BU30" s="448">
        <f t="shared" si="44"/>
        <v>-25.370000000000005</v>
      </c>
      <c r="BV30" s="449">
        <f t="shared" si="44"/>
        <v>73.790000000000006</v>
      </c>
      <c r="BW30" s="447">
        <f t="shared" si="45"/>
        <v>22.200000000000003</v>
      </c>
      <c r="BX30" s="448">
        <f t="shared" si="45"/>
        <v>13.070000000000022</v>
      </c>
      <c r="BY30" s="449">
        <f t="shared" si="45"/>
        <v>44.019999999999982</v>
      </c>
      <c r="BZ30" s="447">
        <f t="shared" si="46"/>
        <v>-7.1099999999999852</v>
      </c>
      <c r="CA30" s="448">
        <f t="shared" si="46"/>
        <v>64.53</v>
      </c>
      <c r="CB30" s="449">
        <f>BB30-BA30</f>
        <v>-44.110000000000014</v>
      </c>
      <c r="CC30" s="447">
        <f t="shared" si="58"/>
        <v>41.550000000000011</v>
      </c>
      <c r="CD30" s="448">
        <f t="shared" si="58"/>
        <v>89.050000000000011</v>
      </c>
      <c r="CE30" s="451"/>
      <c r="CF30" s="452"/>
      <c r="CG30" s="447">
        <f t="shared" si="47"/>
        <v>103.38999999999999</v>
      </c>
      <c r="CH30" s="448">
        <f t="shared" si="47"/>
        <v>114.02</v>
      </c>
      <c r="CI30" s="448">
        <f t="shared" si="47"/>
        <v>88.649999999999991</v>
      </c>
      <c r="CJ30" s="449">
        <f t="shared" si="47"/>
        <v>162.44</v>
      </c>
      <c r="CK30" s="447">
        <f t="shared" si="48"/>
        <v>213.45</v>
      </c>
      <c r="CL30" s="448">
        <f t="shared" si="48"/>
        <v>246.27999999999997</v>
      </c>
      <c r="CM30" s="448">
        <f t="shared" si="48"/>
        <v>233.98000000000002</v>
      </c>
      <c r="CN30" s="449">
        <f t="shared" si="48"/>
        <v>351.79</v>
      </c>
      <c r="CO30" s="447">
        <f t="shared" si="49"/>
        <v>398.15999999999997</v>
      </c>
      <c r="CP30" s="448">
        <f t="shared" si="49"/>
        <v>423.88</v>
      </c>
      <c r="CQ30" s="448">
        <f t="shared" si="49"/>
        <v>476.11</v>
      </c>
      <c r="CR30" s="449">
        <f t="shared" si="49"/>
        <v>549.81000000000006</v>
      </c>
      <c r="CS30" s="447">
        <f t="shared" si="50"/>
        <v>586.39</v>
      </c>
      <c r="CT30" s="448">
        <f t="shared" si="50"/>
        <v>653.66</v>
      </c>
      <c r="CU30" s="448">
        <f t="shared" si="50"/>
        <v>794.94</v>
      </c>
      <c r="CV30" s="449">
        <f t="shared" si="50"/>
        <v>807.48</v>
      </c>
      <c r="CW30" s="452"/>
      <c r="CX30" s="447">
        <f t="shared" si="59"/>
        <v>2.3129753914988811</v>
      </c>
      <c r="CY30" s="448">
        <f t="shared" si="59"/>
        <v>2.5507829977628633</v>
      </c>
      <c r="CZ30" s="448">
        <f t="shared" si="59"/>
        <v>1.9832214765100669</v>
      </c>
      <c r="DA30" s="449">
        <f t="shared" si="59"/>
        <v>3.6340044742729303</v>
      </c>
      <c r="DB30" s="447">
        <f t="shared" si="60"/>
        <v>4.775167785234899</v>
      </c>
      <c r="DC30" s="448">
        <f t="shared" si="60"/>
        <v>5.5096196868008942</v>
      </c>
      <c r="DD30" s="448">
        <f t="shared" si="60"/>
        <v>5.2344519015659952</v>
      </c>
      <c r="DE30" s="449">
        <f t="shared" si="60"/>
        <v>7.8700223713646533</v>
      </c>
      <c r="DF30" s="447">
        <f t="shared" si="61"/>
        <v>8.9073825503355692</v>
      </c>
      <c r="DG30" s="448">
        <f t="shared" si="61"/>
        <v>9.4827740492170012</v>
      </c>
      <c r="DH30" s="448">
        <f t="shared" si="61"/>
        <v>10.651230425055928</v>
      </c>
      <c r="DI30" s="448">
        <f t="shared" si="61"/>
        <v>12.3</v>
      </c>
      <c r="DJ30" s="447">
        <f t="shared" si="62"/>
        <v>13.118344519015659</v>
      </c>
      <c r="DK30" s="448">
        <f t="shared" si="62"/>
        <v>14.623266219239373</v>
      </c>
      <c r="DL30" s="448">
        <f t="shared" si="62"/>
        <v>17.783892617449663</v>
      </c>
      <c r="DM30" s="453"/>
      <c r="DN30" s="454"/>
      <c r="DO30" s="447">
        <v>794.94</v>
      </c>
      <c r="DP30" s="449">
        <v>17.783892617449663</v>
      </c>
      <c r="DQ30" s="454"/>
      <c r="DR30" s="447">
        <f t="shared" si="63"/>
        <v>807.48</v>
      </c>
      <c r="DS30" s="449">
        <f t="shared" si="64"/>
        <v>18.064429530201341</v>
      </c>
    </row>
    <row r="31" spans="1:123" s="285" customFormat="1" ht="16.5" thickBot="1" x14ac:dyDescent="0.3">
      <c r="A31" s="585" t="s">
        <v>6</v>
      </c>
      <c r="B31" s="586"/>
      <c r="C31" s="431">
        <f>SUM(C7:C30)</f>
        <v>1213.6000000000001</v>
      </c>
      <c r="D31" s="431">
        <f>SUM(D7:D30)</f>
        <v>1213.6000000000001</v>
      </c>
      <c r="E31" s="431">
        <f>SUM(E7:E30)</f>
        <v>1208.4000000000001</v>
      </c>
      <c r="F31" s="431">
        <f>SUM(F7:F30)</f>
        <v>1208.4000000000001</v>
      </c>
      <c r="G31" s="432">
        <f t="shared" ref="G31:R31" si="65">SUBTOTAL(9,G7:G30)</f>
        <v>1264.92</v>
      </c>
      <c r="H31" s="433">
        <f t="shared" si="65"/>
        <v>1415.1399999999999</v>
      </c>
      <c r="I31" s="433">
        <f t="shared" si="65"/>
        <v>1277.7</v>
      </c>
      <c r="J31" s="434">
        <f t="shared" si="65"/>
        <v>1226.3699999999999</v>
      </c>
      <c r="K31" s="432">
        <f t="shared" si="65"/>
        <v>811.91999999999973</v>
      </c>
      <c r="L31" s="433">
        <f t="shared" si="65"/>
        <v>1161.9730000000002</v>
      </c>
      <c r="M31" s="433">
        <f t="shared" si="65"/>
        <v>809.88</v>
      </c>
      <c r="N31" s="434">
        <f t="shared" si="65"/>
        <v>1408.24</v>
      </c>
      <c r="O31" s="432">
        <f t="shared" si="65"/>
        <v>1052.42</v>
      </c>
      <c r="P31" s="433">
        <f t="shared" si="65"/>
        <v>1305.0899999999999</v>
      </c>
      <c r="Q31" s="433">
        <f t="shared" si="65"/>
        <v>606.42999999999995</v>
      </c>
      <c r="R31" s="435">
        <f t="shared" si="65"/>
        <v>1255.2400000000002</v>
      </c>
      <c r="S31" s="432">
        <f>G31+K31+O31</f>
        <v>3129.2599999999998</v>
      </c>
      <c r="T31" s="433">
        <f t="shared" ref="T31:V31" si="66">H31+L31+P31</f>
        <v>3882.2030000000004</v>
      </c>
      <c r="U31" s="433">
        <f t="shared" si="66"/>
        <v>2694.0099999999998</v>
      </c>
      <c r="V31" s="434">
        <f t="shared" si="66"/>
        <v>3889.85</v>
      </c>
      <c r="W31" s="432">
        <f t="shared" ref="W31:AH31" si="67">SUBTOTAL(9,W7:W30)</f>
        <v>1265.5099999999995</v>
      </c>
      <c r="X31" s="433">
        <f t="shared" si="67"/>
        <v>1215.4000000000001</v>
      </c>
      <c r="Y31" s="433">
        <f t="shared" si="67"/>
        <v>995.62</v>
      </c>
      <c r="Z31" s="434">
        <f t="shared" si="67"/>
        <v>1755.8100000000002</v>
      </c>
      <c r="AA31" s="432">
        <f t="shared" si="67"/>
        <v>1463.9200000000003</v>
      </c>
      <c r="AB31" s="433">
        <f t="shared" si="67"/>
        <v>1351.82</v>
      </c>
      <c r="AC31" s="433">
        <f t="shared" si="67"/>
        <v>1262.75</v>
      </c>
      <c r="AD31" s="434">
        <f t="shared" si="67"/>
        <v>1524.9</v>
      </c>
      <c r="AE31" s="432">
        <f t="shared" si="67"/>
        <v>1322.6699999999998</v>
      </c>
      <c r="AF31" s="433">
        <f t="shared" si="67"/>
        <v>1372.71</v>
      </c>
      <c r="AG31" s="433">
        <f t="shared" si="67"/>
        <v>1188.48</v>
      </c>
      <c r="AH31" s="434">
        <f t="shared" si="67"/>
        <v>1378.8800000000003</v>
      </c>
      <c r="AI31" s="432">
        <f>W31+AA31+AE31</f>
        <v>4052.0999999999995</v>
      </c>
      <c r="AJ31" s="433">
        <f t="shared" ref="AJ31:AL31" si="68">X31+AB31+AF31</f>
        <v>3939.9300000000003</v>
      </c>
      <c r="AK31" s="433">
        <f t="shared" si="68"/>
        <v>3446.85</v>
      </c>
      <c r="AL31" s="434">
        <f t="shared" si="68"/>
        <v>4659.59</v>
      </c>
      <c r="AM31" s="432">
        <f t="shared" ref="AM31:AX31" si="69">SUBTOTAL(9,AM7:AM30)</f>
        <v>1446.64</v>
      </c>
      <c r="AN31" s="433">
        <f t="shared" si="69"/>
        <v>1532.82</v>
      </c>
      <c r="AO31" s="433">
        <f t="shared" si="69"/>
        <v>1457.13</v>
      </c>
      <c r="AP31" s="434">
        <f t="shared" si="69"/>
        <v>1412.33</v>
      </c>
      <c r="AQ31" s="432">
        <f t="shared" si="69"/>
        <v>1858.1000000000001</v>
      </c>
      <c r="AR31" s="433">
        <f t="shared" si="69"/>
        <v>1594.9699999999996</v>
      </c>
      <c r="AS31" s="433">
        <f t="shared" si="69"/>
        <v>2015.58</v>
      </c>
      <c r="AT31" s="433">
        <f t="shared" si="69"/>
        <v>1566.75</v>
      </c>
      <c r="AU31" s="432">
        <f t="shared" si="69"/>
        <v>1841.2599999999998</v>
      </c>
      <c r="AV31" s="433">
        <f t="shared" si="69"/>
        <v>1748.8999999999996</v>
      </c>
      <c r="AW31" s="433">
        <f t="shared" si="69"/>
        <v>2212.2900000000004</v>
      </c>
      <c r="AX31" s="434">
        <f t="shared" si="69"/>
        <v>1734.66</v>
      </c>
      <c r="AY31" s="432">
        <f>AM31+AQ31+AU31</f>
        <v>5146</v>
      </c>
      <c r="AZ31" s="433">
        <f t="shared" ref="AZ31:BB31" si="70">AN31+AR31+AV31</f>
        <v>4876.6899999999987</v>
      </c>
      <c r="BA31" s="433">
        <f t="shared" si="70"/>
        <v>5685</v>
      </c>
      <c r="BB31" s="434">
        <f t="shared" si="70"/>
        <v>4713.74</v>
      </c>
      <c r="BC31" s="432">
        <f t="shared" ref="BC31:BN31" si="71">SUBTOTAL(9,BC7:BC30)</f>
        <v>2290.4800000000005</v>
      </c>
      <c r="BD31" s="433">
        <f t="shared" si="71"/>
        <v>1895.94</v>
      </c>
      <c r="BE31" s="433">
        <f t="shared" si="71"/>
        <v>2507.34</v>
      </c>
      <c r="BF31" s="434">
        <f t="shared" si="71"/>
        <v>2223.41</v>
      </c>
      <c r="BG31" s="432">
        <f t="shared" si="71"/>
        <v>1893.7000000000003</v>
      </c>
      <c r="BH31" s="433">
        <f t="shared" si="71"/>
        <v>1734.1999999999998</v>
      </c>
      <c r="BI31" s="433">
        <f t="shared" si="71"/>
        <v>2139.4100000000003</v>
      </c>
      <c r="BJ31" s="434">
        <f t="shared" si="71"/>
        <v>2183.39</v>
      </c>
      <c r="BK31" s="432">
        <f t="shared" si="71"/>
        <v>1943.4399999999998</v>
      </c>
      <c r="BL31" s="433">
        <f t="shared" si="71"/>
        <v>1491.7599999999998</v>
      </c>
      <c r="BM31" s="433">
        <f t="shared" si="71"/>
        <v>1882.64</v>
      </c>
      <c r="BN31" s="433">
        <f t="shared" si="71"/>
        <v>1784.1500000000003</v>
      </c>
      <c r="BO31" s="432">
        <f>BC31+BG31+BK31</f>
        <v>6127.62</v>
      </c>
      <c r="BP31" s="433">
        <f t="shared" ref="BP31:BR31" si="72">BD31+BH31+BL31</f>
        <v>5121.8999999999996</v>
      </c>
      <c r="BQ31" s="433">
        <f t="shared" si="72"/>
        <v>6529.39</v>
      </c>
      <c r="BR31" s="436">
        <f t="shared" si="72"/>
        <v>6190.95</v>
      </c>
      <c r="BS31" s="437"/>
      <c r="BT31" s="432">
        <f t="shared" si="44"/>
        <v>752.94300000000067</v>
      </c>
      <c r="BU31" s="433">
        <f t="shared" si="44"/>
        <v>-1188.1930000000007</v>
      </c>
      <c r="BV31" s="434">
        <f t="shared" si="44"/>
        <v>1195.8400000000001</v>
      </c>
      <c r="BW31" s="432">
        <f t="shared" si="45"/>
        <v>-112.16999999999916</v>
      </c>
      <c r="BX31" s="433">
        <f t="shared" si="45"/>
        <v>-493.08000000000038</v>
      </c>
      <c r="BY31" s="434">
        <f t="shared" si="45"/>
        <v>1212.7400000000002</v>
      </c>
      <c r="BZ31" s="432">
        <f t="shared" si="46"/>
        <v>-269.31000000000131</v>
      </c>
      <c r="CA31" s="433">
        <f t="shared" si="46"/>
        <v>808.31000000000131</v>
      </c>
      <c r="CB31" s="434">
        <f>BB31-BA31</f>
        <v>-971.26000000000022</v>
      </c>
      <c r="CC31" s="432">
        <f t="shared" si="58"/>
        <v>-1005.7200000000003</v>
      </c>
      <c r="CD31" s="433">
        <f t="shared" si="58"/>
        <v>1407.4900000000007</v>
      </c>
      <c r="CE31" s="436">
        <f t="shared" si="58"/>
        <v>-338.44000000000051</v>
      </c>
      <c r="CF31" s="437"/>
      <c r="CG31" s="432">
        <f t="shared" si="47"/>
        <v>3129.2599999999998</v>
      </c>
      <c r="CH31" s="433">
        <f t="shared" si="47"/>
        <v>3882.2030000000004</v>
      </c>
      <c r="CI31" s="433">
        <f t="shared" si="47"/>
        <v>2694.0099999999998</v>
      </c>
      <c r="CJ31" s="434">
        <f t="shared" si="47"/>
        <v>3889.85</v>
      </c>
      <c r="CK31" s="432">
        <f t="shared" si="48"/>
        <v>7181.36</v>
      </c>
      <c r="CL31" s="433">
        <f t="shared" si="48"/>
        <v>7822.1330000000007</v>
      </c>
      <c r="CM31" s="433">
        <f t="shared" si="48"/>
        <v>6140.8599999999988</v>
      </c>
      <c r="CN31" s="434">
        <f t="shared" si="48"/>
        <v>8549.44</v>
      </c>
      <c r="CO31" s="432">
        <f t="shared" si="49"/>
        <v>12327.36</v>
      </c>
      <c r="CP31" s="433">
        <f t="shared" si="49"/>
        <v>12698.823</v>
      </c>
      <c r="CQ31" s="433">
        <f t="shared" si="49"/>
        <v>11825.86</v>
      </c>
      <c r="CR31" s="433">
        <f t="shared" si="49"/>
        <v>13263.18</v>
      </c>
      <c r="CS31" s="432">
        <f t="shared" si="50"/>
        <v>18454.98</v>
      </c>
      <c r="CT31" s="433">
        <f t="shared" si="50"/>
        <v>17820.722999999998</v>
      </c>
      <c r="CU31" s="433">
        <f t="shared" si="50"/>
        <v>18355.25</v>
      </c>
      <c r="CV31" s="434">
        <f>CR31+BF31+BJ31+BN31</f>
        <v>19454.13</v>
      </c>
      <c r="CW31" s="437"/>
      <c r="CX31" s="432">
        <f t="shared" si="59"/>
        <v>2.5784937376400787</v>
      </c>
      <c r="CY31" s="433">
        <f t="shared" si="59"/>
        <v>3.1989147989452866</v>
      </c>
      <c r="CZ31" s="433">
        <f t="shared" si="59"/>
        <v>2.2294025157232702</v>
      </c>
      <c r="DA31" s="434">
        <f t="shared" si="59"/>
        <v>3.2190086064217143</v>
      </c>
      <c r="DB31" s="432">
        <f t="shared" si="60"/>
        <v>5.9174027686222797</v>
      </c>
      <c r="DC31" s="433">
        <f t="shared" si="60"/>
        <v>6.4453963414634146</v>
      </c>
      <c r="DD31" s="433">
        <f t="shared" si="60"/>
        <v>5.0818106587222758</v>
      </c>
      <c r="DE31" s="434">
        <f t="shared" si="60"/>
        <v>7.0750082754054944</v>
      </c>
      <c r="DF31" s="432">
        <f t="shared" si="61"/>
        <v>10.157679630850362</v>
      </c>
      <c r="DG31" s="433">
        <f t="shared" si="61"/>
        <v>10.463763183915622</v>
      </c>
      <c r="DH31" s="433">
        <f t="shared" si="61"/>
        <v>9.7863786825554442</v>
      </c>
      <c r="DI31" s="434">
        <v>11.099436090225563</v>
      </c>
      <c r="DJ31" s="432">
        <f t="shared" si="62"/>
        <v>15.206806196440342</v>
      </c>
      <c r="DK31" s="433">
        <f t="shared" si="62"/>
        <v>14.684181773236649</v>
      </c>
      <c r="DL31" s="433">
        <f t="shared" si="62"/>
        <v>15.189713670969876</v>
      </c>
      <c r="DM31" s="438"/>
      <c r="DO31" s="432">
        <v>18355.25</v>
      </c>
      <c r="DP31" s="434">
        <v>15.189713670969876</v>
      </c>
      <c r="DR31" s="432">
        <f t="shared" si="63"/>
        <v>19454.13</v>
      </c>
      <c r="DS31" s="468">
        <f t="shared" si="64"/>
        <v>16.099081429990068</v>
      </c>
    </row>
    <row r="32" spans="1:123" s="285" customFormat="1" ht="15.75" x14ac:dyDescent="0.25">
      <c r="A32" s="310"/>
      <c r="B32" s="310"/>
      <c r="C32" s="372"/>
      <c r="D32" s="372"/>
      <c r="E32" s="372"/>
      <c r="F32" s="311"/>
      <c r="BB32" s="365"/>
      <c r="BN32" s="592"/>
      <c r="CX32" s="312"/>
      <c r="CY32" s="312"/>
      <c r="CZ32" s="312"/>
      <c r="DA32" s="312"/>
      <c r="DO32" s="365"/>
      <c r="DP32" s="365"/>
      <c r="DR32" s="365"/>
      <c r="DS32" s="365"/>
    </row>
    <row r="33" spans="1:117" x14ac:dyDescent="0.25">
      <c r="CF33" s="280" cm="1">
        <f t="array" aca="1" ref="CF33" ca="1">BW:CF</f>
        <v>0</v>
      </c>
    </row>
    <row r="34" spans="1:117" ht="15.75" hidden="1" customHeight="1" thickBot="1" x14ac:dyDescent="0.25">
      <c r="CS34" s="280">
        <f>G31+K31+O31+W31+AA31+AE31+AM31+AQ31+AU31+BC31+BG31+BK31</f>
        <v>18454.98</v>
      </c>
      <c r="CT34" s="280">
        <f>H31+L31+P31+X31+AB31+AF31+AN31+AR31+AV31+BD31+BH31+BL31</f>
        <v>17820.722999999998</v>
      </c>
      <c r="CU34" s="280">
        <f>I31+M31+Q31+Y31+AC31+AG31+AO31+AS31+AW31+BE31+BI31+BM31</f>
        <v>18355.25</v>
      </c>
      <c r="CV34" s="280">
        <f>J31+N31+R31+Z31+AD31+AH31+AP31+AT31+AX31+BF31+BJ31+BN31</f>
        <v>19454.13</v>
      </c>
      <c r="DJ34" s="280">
        <f>X31+AB31+AF31+AN31+AR31+AV31+BD31+BH31+BL31+BT31+BX31+CB31</f>
        <v>13227.123</v>
      </c>
      <c r="DK34" s="280">
        <f>Y31+AC31+AG31+AO31+AS31+AW31+BE31+BI31+BM31+BU31+BY31+CC31</f>
        <v>14680.066999999999</v>
      </c>
      <c r="DL34" s="280">
        <f>Z31+AD31+AH31+AP31+AT31+AX31+BF31+BJ31+BN31+BV31+BZ31+CD31</f>
        <v>17898.3</v>
      </c>
      <c r="DM34" s="280">
        <f>AA31+AE31+AI31+AQ31+AU31+AY31+BG31+BK31+BO31+BW31+CA31+CE31</f>
        <v>26006.510000000002</v>
      </c>
    </row>
    <row r="35" spans="1:117" ht="15.75" hidden="1" customHeight="1" thickBot="1" x14ac:dyDescent="0.25"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BT35" s="529" t="s">
        <v>61</v>
      </c>
      <c r="BU35" s="530"/>
      <c r="BV35" s="531"/>
      <c r="BW35" s="529" t="s">
        <v>58</v>
      </c>
      <c r="BX35" s="530"/>
      <c r="BY35" s="531"/>
      <c r="BZ35" s="529" t="s">
        <v>55</v>
      </c>
      <c r="CA35" s="530"/>
      <c r="CB35" s="531"/>
      <c r="CC35" s="529" t="s">
        <v>52</v>
      </c>
      <c r="CD35" s="530"/>
      <c r="CE35" s="531"/>
    </row>
    <row r="36" spans="1:117" ht="15.75" hidden="1" customHeight="1" x14ac:dyDescent="0.25">
      <c r="A36" s="523" t="s">
        <v>3</v>
      </c>
      <c r="B36" s="524"/>
      <c r="C36" s="373"/>
      <c r="D36" s="373"/>
      <c r="E36" s="373"/>
      <c r="F36" s="543" t="s">
        <v>4</v>
      </c>
      <c r="G36" s="498" t="s">
        <v>37</v>
      </c>
      <c r="H36" s="499"/>
      <c r="I36" s="499"/>
      <c r="J36" s="500"/>
      <c r="K36" s="498" t="s">
        <v>38</v>
      </c>
      <c r="L36" s="499"/>
      <c r="M36" s="499"/>
      <c r="N36" s="500"/>
      <c r="O36" s="498" t="s">
        <v>39</v>
      </c>
      <c r="P36" s="499"/>
      <c r="Q36" s="499"/>
      <c r="R36" s="500"/>
      <c r="W36" s="498" t="s">
        <v>40</v>
      </c>
      <c r="X36" s="499"/>
      <c r="Y36" s="499"/>
      <c r="Z36" s="500"/>
      <c r="AA36" s="498" t="s">
        <v>11</v>
      </c>
      <c r="AB36" s="499"/>
      <c r="AC36" s="499"/>
      <c r="AD36" s="500"/>
      <c r="AE36" s="498" t="s">
        <v>41</v>
      </c>
      <c r="AF36" s="499"/>
      <c r="AG36" s="499"/>
      <c r="AH36" s="500"/>
      <c r="AM36" s="498" t="s">
        <v>42</v>
      </c>
      <c r="AN36" s="499"/>
      <c r="AO36" s="499"/>
      <c r="AP36" s="500"/>
      <c r="AQ36" s="498" t="s">
        <v>43</v>
      </c>
      <c r="AR36" s="499"/>
      <c r="AS36" s="499"/>
      <c r="AT36" s="500"/>
      <c r="AU36" s="498" t="s">
        <v>44</v>
      </c>
      <c r="AV36" s="499"/>
      <c r="AW36" s="499"/>
      <c r="AX36" s="500"/>
      <c r="BC36" s="498" t="s">
        <v>45</v>
      </c>
      <c r="BD36" s="499"/>
      <c r="BE36" s="499"/>
      <c r="BF36" s="500"/>
      <c r="BG36" s="498" t="s">
        <v>46</v>
      </c>
      <c r="BH36" s="499"/>
      <c r="BI36" s="499"/>
      <c r="BJ36" s="500"/>
      <c r="BK36" s="498" t="s">
        <v>47</v>
      </c>
      <c r="BL36" s="499"/>
      <c r="BM36" s="499"/>
      <c r="BN36" s="500"/>
      <c r="BT36" s="532"/>
      <c r="BU36" s="533"/>
      <c r="BV36" s="534"/>
      <c r="BW36" s="532"/>
      <c r="BX36" s="533"/>
      <c r="BY36" s="534"/>
      <c r="BZ36" s="532"/>
      <c r="CA36" s="533"/>
      <c r="CB36" s="534"/>
      <c r="CC36" s="532"/>
      <c r="CD36" s="533"/>
      <c r="CE36" s="534"/>
    </row>
    <row r="37" spans="1:117" ht="15.75" hidden="1" customHeight="1" thickBot="1" x14ac:dyDescent="0.3">
      <c r="A37" s="525"/>
      <c r="B37" s="526"/>
      <c r="C37" s="374"/>
      <c r="D37" s="374"/>
      <c r="E37" s="374"/>
      <c r="F37" s="536"/>
      <c r="G37" s="288">
        <v>2022</v>
      </c>
      <c r="H37" s="289">
        <v>2023</v>
      </c>
      <c r="I37" s="289">
        <v>2024</v>
      </c>
      <c r="J37" s="290">
        <v>2025</v>
      </c>
      <c r="K37" s="288">
        <v>2022</v>
      </c>
      <c r="L37" s="289">
        <v>2023</v>
      </c>
      <c r="M37" s="289">
        <v>2024</v>
      </c>
      <c r="N37" s="290">
        <v>2025</v>
      </c>
      <c r="O37" s="288">
        <v>2022</v>
      </c>
      <c r="P37" s="289">
        <v>2023</v>
      </c>
      <c r="Q37" s="289">
        <v>2024</v>
      </c>
      <c r="R37" s="290">
        <v>2025</v>
      </c>
      <c r="W37" s="288">
        <v>2022</v>
      </c>
      <c r="X37" s="289">
        <v>2023</v>
      </c>
      <c r="Y37" s="289">
        <v>2024</v>
      </c>
      <c r="Z37" s="290">
        <v>2025</v>
      </c>
      <c r="AA37" s="288">
        <v>2022</v>
      </c>
      <c r="AB37" s="289">
        <v>2023</v>
      </c>
      <c r="AC37" s="289">
        <v>2024</v>
      </c>
      <c r="AD37" s="290">
        <v>2025</v>
      </c>
      <c r="AE37" s="288">
        <v>2022</v>
      </c>
      <c r="AF37" s="289">
        <v>2023</v>
      </c>
      <c r="AG37" s="289">
        <v>2024</v>
      </c>
      <c r="AH37" s="290">
        <v>2025</v>
      </c>
      <c r="AM37" s="288">
        <v>2022</v>
      </c>
      <c r="AN37" s="289">
        <v>2023</v>
      </c>
      <c r="AO37" s="289">
        <v>2024</v>
      </c>
      <c r="AP37" s="290">
        <v>2025</v>
      </c>
      <c r="AQ37" s="288">
        <v>2022</v>
      </c>
      <c r="AR37" s="289">
        <v>2023</v>
      </c>
      <c r="AS37" s="289">
        <v>2024</v>
      </c>
      <c r="AT37" s="290">
        <v>2025</v>
      </c>
      <c r="AU37" s="288">
        <v>2022</v>
      </c>
      <c r="AV37" s="289">
        <v>2023</v>
      </c>
      <c r="AW37" s="289">
        <v>2024</v>
      </c>
      <c r="AX37" s="290">
        <v>2025</v>
      </c>
      <c r="BC37" s="288">
        <v>2022</v>
      </c>
      <c r="BD37" s="289">
        <v>2023</v>
      </c>
      <c r="BE37" s="289">
        <v>2024</v>
      </c>
      <c r="BF37" s="290">
        <v>2025</v>
      </c>
      <c r="BG37" s="288">
        <v>2022</v>
      </c>
      <c r="BH37" s="289">
        <v>2023</v>
      </c>
      <c r="BI37" s="289">
        <v>2024</v>
      </c>
      <c r="BJ37" s="290">
        <v>2025</v>
      </c>
      <c r="BK37" s="288">
        <v>2022</v>
      </c>
      <c r="BL37" s="289">
        <v>2023</v>
      </c>
      <c r="BM37" s="289">
        <v>2024</v>
      </c>
      <c r="BN37" s="598">
        <v>2025</v>
      </c>
      <c r="BT37" s="288" t="s">
        <v>48</v>
      </c>
      <c r="BU37" s="289" t="s">
        <v>49</v>
      </c>
      <c r="BV37" s="290" t="s">
        <v>50</v>
      </c>
      <c r="BW37" s="288" t="s">
        <v>48</v>
      </c>
      <c r="BX37" s="289" t="s">
        <v>49</v>
      </c>
      <c r="BY37" s="290" t="s">
        <v>50</v>
      </c>
      <c r="BZ37" s="288" t="s">
        <v>48</v>
      </c>
      <c r="CA37" s="289" t="s">
        <v>49</v>
      </c>
      <c r="CB37" s="290" t="s">
        <v>50</v>
      </c>
      <c r="CC37" s="288" t="s">
        <v>48</v>
      </c>
      <c r="CD37" s="289" t="s">
        <v>49</v>
      </c>
      <c r="CE37" s="290" t="s">
        <v>50</v>
      </c>
    </row>
    <row r="38" spans="1:117" ht="15" hidden="1" customHeight="1" x14ac:dyDescent="0.25">
      <c r="A38" s="520" t="s">
        <v>21</v>
      </c>
      <c r="B38" s="23">
        <v>1</v>
      </c>
      <c r="C38" s="367"/>
      <c r="D38" s="367"/>
      <c r="E38" s="367"/>
      <c r="F38" s="367">
        <v>53.2</v>
      </c>
      <c r="G38" s="281">
        <f t="shared" ref="G38:G74" si="73">VLOOKUP(B38,year2022to23,72,FALSE)</f>
        <v>62.09</v>
      </c>
      <c r="H38" s="282">
        <f t="shared" ref="H38:H74" si="74">VLOOKUP(B38,year2022to23,132,FALSE)</f>
        <v>93.17</v>
      </c>
      <c r="I38" s="282">
        <f t="shared" ref="I38:I74" si="75">VLOOKUP(B38,year2022to23,192,FALSE)</f>
        <v>36.94</v>
      </c>
      <c r="J38" s="283">
        <f t="shared" ref="J38:J74" si="76">VLOOKUP(B38,year2022to23,252,FALSE)</f>
        <v>69.42</v>
      </c>
      <c r="K38" s="281">
        <f t="shared" ref="K38:K74" si="77">VLOOKUP(B38,year2022to23,77,FALSE)</f>
        <v>55.72</v>
      </c>
      <c r="L38" s="282">
        <f t="shared" ref="L38:L74" si="78">VLOOKUP(B38,year2022to23,137,FALSE)</f>
        <v>56.28</v>
      </c>
      <c r="M38" s="282">
        <f t="shared" ref="M38:M74" si="79">VLOOKUP(B38,year2022to23,197,FALSE)</f>
        <v>39.44</v>
      </c>
      <c r="N38" s="283">
        <f t="shared" ref="N38:N74" si="80">VLOOKUP(B38,year2022to23,257,FALSE)</f>
        <v>43.2</v>
      </c>
      <c r="O38" s="281">
        <f t="shared" ref="O38:O74" si="81">VLOOKUP(B38,year2022to23,82,FALSE)</f>
        <v>43.06</v>
      </c>
      <c r="P38" s="282">
        <f t="shared" ref="P38:P74" si="82">VLOOKUP(B38,year2022to23,142,FALSE)</f>
        <v>31.12</v>
      </c>
      <c r="Q38" s="282">
        <f t="shared" ref="Q38:Q74" si="83">VLOOKUP(B38,year2022to23,202,FALSE)</f>
        <v>27.55</v>
      </c>
      <c r="R38" s="283">
        <f t="shared" ref="R38:R74" si="84">VLOOKUP(B38,year2022to23,262,FALSE)</f>
        <v>71.900000000000006</v>
      </c>
      <c r="W38" s="281">
        <f t="shared" ref="W38:W74" si="85">VLOOKUP(B38,year2022to23,87,FALSE)</f>
        <v>87.37</v>
      </c>
      <c r="X38" s="282">
        <f t="shared" ref="X38:X74" si="86">VLOOKUP(B38,year2022to23,147,FALSE)</f>
        <v>36.07</v>
      </c>
      <c r="Y38" s="282">
        <f t="shared" ref="Y38:Y74" si="87">VLOOKUP(B38,year2022to23,207,FALSE)</f>
        <v>34.130000000000003</v>
      </c>
      <c r="Z38" s="283">
        <f t="shared" ref="Z38:Z74" si="88">VLOOKUP(B38,year2022to23,267,FALSE)</f>
        <v>82.490000000000009</v>
      </c>
      <c r="AA38" s="281">
        <f t="shared" ref="AA38:AA74" si="89">VLOOKUP(B38,year2022to23,92,FALSE)</f>
        <v>52.38</v>
      </c>
      <c r="AB38" s="282">
        <f t="shared" ref="AB38:AB74" si="90">VLOOKUP(B38,year2022to23,152,FALSE)</f>
        <v>50.52</v>
      </c>
      <c r="AC38" s="282">
        <f t="shared" ref="AC38:AC74" si="91">VLOOKUP(B38,year2022to23,212,FALSE)</f>
        <v>58.91</v>
      </c>
      <c r="AD38" s="283">
        <f t="shared" ref="AD38:AD74" si="92">VLOOKUP(B38,year2022to23,272,FALSE)</f>
        <v>84.13</v>
      </c>
      <c r="AE38" s="281">
        <f t="shared" ref="AE38:AE74" si="93">VLOOKUP(B38,year2022to23,97,FALSE)</f>
        <v>54.89</v>
      </c>
      <c r="AF38" s="282">
        <f t="shared" ref="AF38:AF74" si="94">VLOOKUP(B38,year2022to23,157,FALSE)</f>
        <v>55.36</v>
      </c>
      <c r="AG38" s="282">
        <f t="shared" ref="AG38:AG74" si="95">VLOOKUP(B38,year2022to23,217,FALSE)</f>
        <v>54.04</v>
      </c>
      <c r="AH38" s="283">
        <f t="shared" ref="AH38:AH74" si="96">VLOOKUP(B38,year2022to23,277,FALSE)</f>
        <v>52.52</v>
      </c>
      <c r="AM38" s="281">
        <f t="shared" ref="AM38:AM74" si="97">VLOOKUP(B38,year2022to23,102,FALSE)</f>
        <v>67.599999999999994</v>
      </c>
      <c r="AN38" s="282">
        <f t="shared" ref="AN38:AN74" si="98">VLOOKUP(B38,year2022to23,162,FALSE)</f>
        <v>46.79</v>
      </c>
      <c r="AO38" s="282">
        <f t="shared" ref="AO38:AO74" si="99">VLOOKUP(B38,year2022to23,222,FALSE)</f>
        <v>44.8</v>
      </c>
      <c r="AP38" s="283">
        <f t="shared" ref="AP38:AP74" si="100">VLOOKUP(B38,year2022to23,282,FALSE)</f>
        <v>45.54</v>
      </c>
      <c r="AQ38" s="281">
        <f t="shared" ref="AQ38:AQ74" si="101">VLOOKUP(B38,year2022to23,107,FALSE)</f>
        <v>45.84</v>
      </c>
      <c r="AR38" s="282">
        <f t="shared" ref="AR38:AR74" si="102">VLOOKUP(B38,year2022to23,167,FALSE)</f>
        <v>54.7</v>
      </c>
      <c r="AS38" s="282">
        <f t="shared" ref="AS38:AS74" si="103">VLOOKUP(B38,year2022to23,227,FALSE)</f>
        <v>65.94</v>
      </c>
      <c r="AT38" s="283">
        <f t="shared" ref="AT38:AT74" si="104">IFERROR(VLOOKUP(B38,year2022to23,287,FALSE),0)</f>
        <v>64.97999999999999</v>
      </c>
      <c r="AU38" s="281">
        <f t="shared" ref="AU38:AU74" si="105">VLOOKUP(B38,year2022to23,112,FALSE)</f>
        <v>70.95</v>
      </c>
      <c r="AV38" s="282">
        <f t="shared" ref="AV38:AV74" si="106">VLOOKUP(B38,year2022to23,172,FALSE)</f>
        <v>66.5</v>
      </c>
      <c r="AW38" s="282">
        <f t="shared" ref="AW38:AW74" si="107">VLOOKUP(B38,year2022to23,232,FALSE)</f>
        <v>51.120000000000005</v>
      </c>
      <c r="AX38" s="283"/>
      <c r="BC38" s="281">
        <f t="shared" ref="BC38:BC74" si="108">VLOOKUP(B38,year2022to23,117,FALSE)</f>
        <v>71.67</v>
      </c>
      <c r="BD38" s="282">
        <f t="shared" ref="BD38:BD74" si="109">VLOOKUP(B38,year2022to23,177,FALSE)</f>
        <v>74.05</v>
      </c>
      <c r="BE38" s="282">
        <f t="shared" ref="BE38:BE74" si="110">VLOOKUP(B38,year2022to23,237,FALSE)</f>
        <v>108.35</v>
      </c>
      <c r="BF38" s="283"/>
      <c r="BG38" s="281">
        <f t="shared" ref="BG38:BG74" si="111">VLOOKUP(B38,year2022to23,122,FALSE)</f>
        <v>65.84</v>
      </c>
      <c r="BH38" s="282">
        <f t="shared" ref="BH38:BH74" si="112">VLOOKUP(B38,year2022to23,182,FALSE)</f>
        <v>83.77000000000001</v>
      </c>
      <c r="BI38" s="282">
        <f t="shared" ref="BI38:BI74" si="113">VLOOKUP(B38,year2022to23,242,FALSE)</f>
        <v>103.85</v>
      </c>
      <c r="BJ38" s="283"/>
      <c r="BK38" s="281">
        <f t="shared" ref="BK38:BK74" si="114">VLOOKUP(B38,year2022to23,127,FALSE)</f>
        <v>98.16</v>
      </c>
      <c r="BL38" s="282">
        <f t="shared" ref="BL38:BL74" si="115">VLOOKUP(B38,year2022to23,187,FALSE)</f>
        <v>57.010000000000005</v>
      </c>
      <c r="BM38" s="282">
        <f t="shared" ref="BM38:BM74" si="116">VLOOKUP(B38,year2022to23,247,FALSE)</f>
        <v>82.070000000000007</v>
      </c>
      <c r="BN38" s="599"/>
      <c r="BT38" s="281">
        <f t="shared" ref="BT38:BV61" si="117">T7-S7</f>
        <v>19.699999999999989</v>
      </c>
      <c r="BU38" s="282">
        <f t="shared" si="117"/>
        <v>-76.64</v>
      </c>
      <c r="BV38" s="283">
        <f t="shared" si="117"/>
        <v>80.590000000000018</v>
      </c>
      <c r="BW38" s="281">
        <f t="shared" ref="BW38:BY61" si="118">AJ7-AI7</f>
        <v>-52.69</v>
      </c>
      <c r="BX38" s="281">
        <f t="shared" si="118"/>
        <v>5.1299999999999955</v>
      </c>
      <c r="BY38" s="281">
        <f t="shared" si="118"/>
        <v>72.060000000000031</v>
      </c>
      <c r="BZ38" s="281">
        <f t="shared" ref="BZ38:CB61" si="119">AZ7-AY7</f>
        <v>-16.399999999999977</v>
      </c>
      <c r="CA38" s="281">
        <f t="shared" si="119"/>
        <v>-6.1299999999999955</v>
      </c>
      <c r="CB38" s="281">
        <f t="shared" si="119"/>
        <v>24.96999999999997</v>
      </c>
      <c r="CC38" s="281">
        <f t="shared" ref="CC38:CE61" si="120">BP7-BO7</f>
        <v>-20.840000000000003</v>
      </c>
      <c r="CD38" s="281">
        <f t="shared" si="120"/>
        <v>79.44</v>
      </c>
      <c r="CE38" s="281">
        <f t="shared" si="120"/>
        <v>-294.27</v>
      </c>
    </row>
    <row r="39" spans="1:117" ht="15" hidden="1" customHeight="1" x14ac:dyDescent="0.25">
      <c r="A39" s="521"/>
      <c r="B39" s="55">
        <v>2</v>
      </c>
      <c r="C39" s="368"/>
      <c r="D39" s="368"/>
      <c r="E39" s="368"/>
      <c r="F39" s="368">
        <v>60.4</v>
      </c>
      <c r="G39" s="281">
        <f t="shared" si="73"/>
        <v>51.989999999999995</v>
      </c>
      <c r="H39" s="282">
        <f t="shared" si="74"/>
        <v>60.95</v>
      </c>
      <c r="I39" s="282">
        <f t="shared" si="75"/>
        <v>72.94</v>
      </c>
      <c r="J39" s="283">
        <f t="shared" si="76"/>
        <v>64.36</v>
      </c>
      <c r="K39" s="281">
        <f t="shared" si="77"/>
        <v>43.8</v>
      </c>
      <c r="L39" s="282">
        <f t="shared" si="78"/>
        <v>64.849999999999994</v>
      </c>
      <c r="M39" s="282">
        <f t="shared" si="79"/>
        <v>36.26</v>
      </c>
      <c r="N39" s="283">
        <f t="shared" si="80"/>
        <v>79.91</v>
      </c>
      <c r="O39" s="281">
        <f t="shared" si="81"/>
        <v>65.31</v>
      </c>
      <c r="P39" s="282">
        <f t="shared" si="82"/>
        <v>58.69</v>
      </c>
      <c r="Q39" s="282">
        <f t="shared" si="83"/>
        <v>39.31</v>
      </c>
      <c r="R39" s="283">
        <f t="shared" si="84"/>
        <v>91.039999999999992</v>
      </c>
      <c r="W39" s="281">
        <f t="shared" si="85"/>
        <v>51.57</v>
      </c>
      <c r="X39" s="282">
        <f t="shared" si="86"/>
        <v>40.72</v>
      </c>
      <c r="Y39" s="282">
        <f t="shared" si="87"/>
        <v>55.739999999999995</v>
      </c>
      <c r="Z39" s="283">
        <f t="shared" si="88"/>
        <v>74.37</v>
      </c>
      <c r="AA39" s="281">
        <f t="shared" si="89"/>
        <v>45</v>
      </c>
      <c r="AB39" s="282">
        <f t="shared" si="90"/>
        <v>44.45</v>
      </c>
      <c r="AC39" s="282">
        <f t="shared" si="91"/>
        <v>75.750000000000014</v>
      </c>
      <c r="AD39" s="283">
        <f t="shared" si="92"/>
        <v>93.050000000000011</v>
      </c>
      <c r="AE39" s="281">
        <f t="shared" si="93"/>
        <v>49.9</v>
      </c>
      <c r="AF39" s="282">
        <f t="shared" si="94"/>
        <v>37.950000000000003</v>
      </c>
      <c r="AG39" s="282">
        <f t="shared" si="95"/>
        <v>63.910000000000004</v>
      </c>
      <c r="AH39" s="283">
        <f t="shared" si="96"/>
        <v>39.56</v>
      </c>
      <c r="AM39" s="281">
        <f t="shared" si="97"/>
        <v>40.17</v>
      </c>
      <c r="AN39" s="282">
        <f t="shared" si="98"/>
        <v>46.84</v>
      </c>
      <c r="AO39" s="282">
        <f t="shared" si="99"/>
        <v>51.46</v>
      </c>
      <c r="AP39" s="283">
        <f t="shared" si="100"/>
        <v>57.839999999999996</v>
      </c>
      <c r="AQ39" s="281">
        <f t="shared" si="101"/>
        <v>57.61</v>
      </c>
      <c r="AR39" s="282">
        <f t="shared" si="102"/>
        <v>52.89</v>
      </c>
      <c r="AS39" s="282">
        <f t="shared" si="103"/>
        <v>107.30000000000001</v>
      </c>
      <c r="AT39" s="283">
        <f t="shared" si="104"/>
        <v>51.16</v>
      </c>
      <c r="AU39" s="281">
        <f t="shared" si="105"/>
        <v>45.47</v>
      </c>
      <c r="AV39" s="282">
        <f t="shared" si="106"/>
        <v>63.92</v>
      </c>
      <c r="AW39" s="282">
        <f t="shared" si="107"/>
        <v>75.03</v>
      </c>
      <c r="AX39" s="283"/>
      <c r="BC39" s="281">
        <f t="shared" si="108"/>
        <v>85.67</v>
      </c>
      <c r="BD39" s="282">
        <f t="shared" si="109"/>
        <v>67.58</v>
      </c>
      <c r="BE39" s="282">
        <f t="shared" si="110"/>
        <v>84.31</v>
      </c>
      <c r="BF39" s="283"/>
      <c r="BG39" s="281">
        <f t="shared" si="111"/>
        <v>59.79</v>
      </c>
      <c r="BH39" s="282">
        <f t="shared" si="112"/>
        <v>73.8</v>
      </c>
      <c r="BI39" s="282">
        <f t="shared" si="113"/>
        <v>95.713999999999999</v>
      </c>
      <c r="BJ39" s="283"/>
      <c r="BK39" s="281">
        <f t="shared" si="114"/>
        <v>67.02000000000001</v>
      </c>
      <c r="BL39" s="282">
        <f t="shared" si="115"/>
        <v>89.22</v>
      </c>
      <c r="BM39" s="282">
        <f t="shared" si="116"/>
        <v>70.989999999999995</v>
      </c>
      <c r="BN39" s="599"/>
      <c r="BT39" s="281">
        <f t="shared" si="117"/>
        <v>23.390000000000015</v>
      </c>
      <c r="BU39" s="282">
        <f t="shared" si="117"/>
        <v>-35.980000000000018</v>
      </c>
      <c r="BV39" s="283">
        <f t="shared" si="117"/>
        <v>86.799999999999983</v>
      </c>
      <c r="BW39" s="281">
        <f t="shared" si="118"/>
        <v>-23.349999999999994</v>
      </c>
      <c r="BX39" s="281">
        <f t="shared" si="118"/>
        <v>72.28</v>
      </c>
      <c r="BY39" s="281">
        <f t="shared" si="118"/>
        <v>11.580000000000013</v>
      </c>
      <c r="BZ39" s="281">
        <f t="shared" si="119"/>
        <v>20.400000000000006</v>
      </c>
      <c r="CA39" s="282">
        <f t="shared" si="119"/>
        <v>70.140000000000015</v>
      </c>
      <c r="CB39" s="283">
        <f t="shared" si="119"/>
        <v>-48.54000000000002</v>
      </c>
      <c r="CC39" s="281">
        <f t="shared" si="120"/>
        <v>18.119999999999976</v>
      </c>
      <c r="CD39" s="282">
        <f t="shared" si="120"/>
        <v>20.414000000000016</v>
      </c>
      <c r="CE39" s="283">
        <f t="shared" si="120"/>
        <v>-251.01400000000001</v>
      </c>
    </row>
    <row r="40" spans="1:117" ht="15" hidden="1" customHeight="1" x14ac:dyDescent="0.25">
      <c r="A40" s="521"/>
      <c r="B40" s="55">
        <v>3</v>
      </c>
      <c r="C40" s="368"/>
      <c r="D40" s="368"/>
      <c r="E40" s="368"/>
      <c r="F40" s="368">
        <v>69.2</v>
      </c>
      <c r="G40" s="281">
        <f t="shared" si="73"/>
        <v>47.6</v>
      </c>
      <c r="H40" s="282">
        <f t="shared" si="74"/>
        <v>58.34</v>
      </c>
      <c r="I40" s="282">
        <f t="shared" si="75"/>
        <v>71.239999999999995</v>
      </c>
      <c r="J40" s="283">
        <f t="shared" si="76"/>
        <v>53.85</v>
      </c>
      <c r="K40" s="281">
        <f t="shared" si="77"/>
        <v>40.200000000000003</v>
      </c>
      <c r="L40" s="282">
        <f t="shared" si="78"/>
        <v>61.71</v>
      </c>
      <c r="M40" s="282">
        <f t="shared" si="79"/>
        <v>38.61</v>
      </c>
      <c r="N40" s="283">
        <f t="shared" si="80"/>
        <v>79.23</v>
      </c>
      <c r="O40" s="281">
        <f t="shared" si="81"/>
        <v>76.539999999999992</v>
      </c>
      <c r="P40" s="282">
        <f t="shared" si="82"/>
        <v>79.849999999999994</v>
      </c>
      <c r="Q40" s="282">
        <f t="shared" si="83"/>
        <v>15.600000000000001</v>
      </c>
      <c r="R40" s="283">
        <f t="shared" si="84"/>
        <v>59.150000000000006</v>
      </c>
      <c r="W40" s="281">
        <f t="shared" si="85"/>
        <v>52.65</v>
      </c>
      <c r="X40" s="282">
        <f t="shared" si="86"/>
        <v>32.980000000000004</v>
      </c>
      <c r="Y40" s="282">
        <f t="shared" si="87"/>
        <v>49.739999999999995</v>
      </c>
      <c r="Z40" s="283">
        <f t="shared" si="88"/>
        <v>104.87</v>
      </c>
      <c r="AA40" s="281">
        <f t="shared" si="89"/>
        <v>81.28</v>
      </c>
      <c r="AB40" s="282">
        <f t="shared" si="90"/>
        <v>60.01</v>
      </c>
      <c r="AC40" s="282">
        <f t="shared" si="91"/>
        <v>60.55</v>
      </c>
      <c r="AD40" s="283">
        <f t="shared" si="92"/>
        <v>73.77000000000001</v>
      </c>
      <c r="AE40" s="281">
        <f t="shared" si="93"/>
        <v>62.95</v>
      </c>
      <c r="AF40" s="282">
        <f t="shared" si="94"/>
        <v>57.480000000000004</v>
      </c>
      <c r="AG40" s="282">
        <f t="shared" si="95"/>
        <v>57.660000000000004</v>
      </c>
      <c r="AH40" s="283">
        <f t="shared" si="96"/>
        <v>65.569999999999993</v>
      </c>
      <c r="AM40" s="281">
        <f t="shared" si="97"/>
        <v>56.239999999999995</v>
      </c>
      <c r="AN40" s="282">
        <f t="shared" si="98"/>
        <v>76.739999999999995</v>
      </c>
      <c r="AO40" s="282">
        <f t="shared" si="99"/>
        <v>65.39</v>
      </c>
      <c r="AP40" s="283">
        <f t="shared" si="100"/>
        <v>75.8</v>
      </c>
      <c r="AQ40" s="281">
        <f t="shared" si="101"/>
        <v>95.52000000000001</v>
      </c>
      <c r="AR40" s="282">
        <f t="shared" si="102"/>
        <v>73.83</v>
      </c>
      <c r="AS40" s="282">
        <f t="shared" si="103"/>
        <v>114.25</v>
      </c>
      <c r="AT40" s="283">
        <f t="shared" si="104"/>
        <v>92.330000000000013</v>
      </c>
      <c r="AU40" s="281">
        <f t="shared" si="105"/>
        <v>119.56</v>
      </c>
      <c r="AV40" s="282">
        <f t="shared" si="106"/>
        <v>109.43</v>
      </c>
      <c r="AW40" s="282">
        <f t="shared" si="107"/>
        <v>93.92</v>
      </c>
      <c r="AX40" s="283"/>
      <c r="BC40" s="281">
        <f t="shared" si="108"/>
        <v>166.7</v>
      </c>
      <c r="BD40" s="282">
        <f t="shared" si="109"/>
        <v>113.9</v>
      </c>
      <c r="BE40" s="282">
        <f t="shared" si="110"/>
        <v>146.82</v>
      </c>
      <c r="BF40" s="283"/>
      <c r="BG40" s="281">
        <f t="shared" si="111"/>
        <v>83.02</v>
      </c>
      <c r="BH40" s="282">
        <f t="shared" si="112"/>
        <v>71.92</v>
      </c>
      <c r="BI40" s="282">
        <f t="shared" si="113"/>
        <v>61.61</v>
      </c>
      <c r="BJ40" s="283"/>
      <c r="BK40" s="281">
        <f t="shared" si="114"/>
        <v>106.95</v>
      </c>
      <c r="BL40" s="282">
        <f t="shared" si="115"/>
        <v>53</v>
      </c>
      <c r="BM40" s="282">
        <f t="shared" si="116"/>
        <v>151.68</v>
      </c>
      <c r="BN40" s="599"/>
      <c r="BT40" s="281">
        <f t="shared" si="117"/>
        <v>35.56</v>
      </c>
      <c r="BU40" s="282">
        <f t="shared" si="117"/>
        <v>-74.450000000000017</v>
      </c>
      <c r="BV40" s="283">
        <f t="shared" si="117"/>
        <v>66.78000000000003</v>
      </c>
      <c r="BW40" s="281">
        <f t="shared" si="118"/>
        <v>-46.409999999999968</v>
      </c>
      <c r="BX40" s="281">
        <f t="shared" si="118"/>
        <v>17.479999999999961</v>
      </c>
      <c r="BY40" s="281">
        <f t="shared" si="118"/>
        <v>76.260000000000019</v>
      </c>
      <c r="BZ40" s="281">
        <f t="shared" si="119"/>
        <v>-11.319999999999993</v>
      </c>
      <c r="CA40" s="282">
        <f t="shared" si="119"/>
        <v>13.560000000000002</v>
      </c>
      <c r="CB40" s="283">
        <f t="shared" si="119"/>
        <v>-12.95999999999998</v>
      </c>
      <c r="CC40" s="281">
        <f t="shared" si="120"/>
        <v>-117.84999999999997</v>
      </c>
      <c r="CD40" s="282">
        <f t="shared" si="120"/>
        <v>121.29000000000002</v>
      </c>
      <c r="CE40" s="283">
        <f t="shared" si="120"/>
        <v>-360.11</v>
      </c>
    </row>
    <row r="41" spans="1:117" ht="15" hidden="1" customHeight="1" x14ac:dyDescent="0.25">
      <c r="A41" s="521"/>
      <c r="B41" s="55">
        <v>4</v>
      </c>
      <c r="C41" s="368"/>
      <c r="D41" s="368"/>
      <c r="E41" s="368"/>
      <c r="F41" s="368">
        <v>70.599999999999994</v>
      </c>
      <c r="G41" s="281">
        <f t="shared" si="73"/>
        <v>92.69</v>
      </c>
      <c r="H41" s="282">
        <f t="shared" si="74"/>
        <v>115.94</v>
      </c>
      <c r="I41" s="282">
        <f t="shared" si="75"/>
        <v>76.839999999999989</v>
      </c>
      <c r="J41" s="283">
        <f t="shared" si="76"/>
        <v>106.11</v>
      </c>
      <c r="K41" s="281">
        <f t="shared" si="77"/>
        <v>53.92</v>
      </c>
      <c r="L41" s="282">
        <f t="shared" si="78"/>
        <v>57.12</v>
      </c>
      <c r="M41" s="282">
        <f t="shared" si="79"/>
        <v>55.71</v>
      </c>
      <c r="N41" s="283">
        <f t="shared" si="80"/>
        <v>64.010000000000005</v>
      </c>
      <c r="O41" s="281">
        <f t="shared" si="81"/>
        <v>63.88</v>
      </c>
      <c r="P41" s="282">
        <f t="shared" si="82"/>
        <v>67.13</v>
      </c>
      <c r="Q41" s="282">
        <f t="shared" si="83"/>
        <v>20.3</v>
      </c>
      <c r="R41" s="283">
        <f t="shared" si="84"/>
        <v>111.08000000000001</v>
      </c>
      <c r="W41" s="281">
        <f t="shared" si="85"/>
        <v>103.24</v>
      </c>
      <c r="X41" s="282">
        <f t="shared" si="86"/>
        <v>93.68</v>
      </c>
      <c r="Y41" s="282">
        <f t="shared" si="87"/>
        <v>54.88</v>
      </c>
      <c r="Z41" s="283">
        <f t="shared" si="88"/>
        <v>115.12</v>
      </c>
      <c r="AA41" s="281">
        <f t="shared" si="89"/>
        <v>81.430000000000007</v>
      </c>
      <c r="AB41" s="282">
        <f t="shared" si="90"/>
        <v>51.370000000000005</v>
      </c>
      <c r="AC41" s="282">
        <f t="shared" si="91"/>
        <v>76.83</v>
      </c>
      <c r="AD41" s="283">
        <f t="shared" si="92"/>
        <v>103.83</v>
      </c>
      <c r="AE41" s="281">
        <f t="shared" si="93"/>
        <v>56.7</v>
      </c>
      <c r="AF41" s="282">
        <f t="shared" si="94"/>
        <v>58.230000000000004</v>
      </c>
      <c r="AG41" s="282">
        <f t="shared" si="95"/>
        <v>65.08</v>
      </c>
      <c r="AH41" s="283">
        <f t="shared" si="96"/>
        <v>59.24</v>
      </c>
      <c r="AM41" s="281">
        <f t="shared" si="97"/>
        <v>71.03</v>
      </c>
      <c r="AN41" s="282">
        <f t="shared" si="98"/>
        <v>67.95</v>
      </c>
      <c r="AO41" s="282">
        <f t="shared" si="99"/>
        <v>103.42</v>
      </c>
      <c r="AP41" s="283">
        <f t="shared" si="100"/>
        <v>53.76</v>
      </c>
      <c r="AQ41" s="281">
        <f t="shared" si="101"/>
        <v>78.089999999999989</v>
      </c>
      <c r="AR41" s="282">
        <f t="shared" si="102"/>
        <v>72.509999999999991</v>
      </c>
      <c r="AS41" s="282">
        <f t="shared" si="103"/>
        <v>94.57</v>
      </c>
      <c r="AT41" s="283">
        <f t="shared" si="104"/>
        <v>61.849999999999994</v>
      </c>
      <c r="AU41" s="281">
        <f t="shared" si="105"/>
        <v>172.08999999999997</v>
      </c>
      <c r="AV41" s="282">
        <f t="shared" si="106"/>
        <v>79.75</v>
      </c>
      <c r="AW41" s="282">
        <f t="shared" si="107"/>
        <v>127.55000000000001</v>
      </c>
      <c r="AX41" s="283"/>
      <c r="BC41" s="281">
        <f t="shared" si="108"/>
        <v>115.32</v>
      </c>
      <c r="BD41" s="282">
        <f t="shared" si="109"/>
        <v>89.35</v>
      </c>
      <c r="BE41" s="282">
        <f t="shared" si="110"/>
        <v>143.9</v>
      </c>
      <c r="BF41" s="283"/>
      <c r="BG41" s="281">
        <f t="shared" si="111"/>
        <v>109.25</v>
      </c>
      <c r="BH41" s="282">
        <f t="shared" si="112"/>
        <v>91.68</v>
      </c>
      <c r="BI41" s="282">
        <f t="shared" si="113"/>
        <v>137.82300000000001</v>
      </c>
      <c r="BJ41" s="283"/>
      <c r="BK41" s="281">
        <f t="shared" si="114"/>
        <v>82.56</v>
      </c>
      <c r="BL41" s="282">
        <f t="shared" si="115"/>
        <v>60.49</v>
      </c>
      <c r="BM41" s="282">
        <f t="shared" si="116"/>
        <v>70.53</v>
      </c>
      <c r="BN41" s="599"/>
      <c r="BT41" s="281">
        <f t="shared" si="117"/>
        <v>29.699999999999989</v>
      </c>
      <c r="BU41" s="282">
        <f t="shared" si="117"/>
        <v>-87.34</v>
      </c>
      <c r="BV41" s="283">
        <f t="shared" si="117"/>
        <v>128.35000000000005</v>
      </c>
      <c r="BW41" s="281">
        <f t="shared" si="118"/>
        <v>-38.089999999999975</v>
      </c>
      <c r="BX41" s="281">
        <f t="shared" si="118"/>
        <v>-6.4900000000000091</v>
      </c>
      <c r="BY41" s="281">
        <f t="shared" si="118"/>
        <v>81.399999999999977</v>
      </c>
      <c r="BZ41" s="281">
        <f t="shared" si="119"/>
        <v>-101</v>
      </c>
      <c r="CA41" s="282">
        <f t="shared" si="119"/>
        <v>105.33000000000004</v>
      </c>
      <c r="CB41" s="283">
        <f t="shared" si="119"/>
        <v>-140.25000000000003</v>
      </c>
      <c r="CC41" s="281">
        <f t="shared" si="120"/>
        <v>-65.609999999999985</v>
      </c>
      <c r="CD41" s="282">
        <f t="shared" si="120"/>
        <v>110.73300000000003</v>
      </c>
      <c r="CE41" s="283">
        <f t="shared" si="120"/>
        <v>-352.25300000000004</v>
      </c>
    </row>
    <row r="42" spans="1:117" ht="15" hidden="1" customHeight="1" x14ac:dyDescent="0.25">
      <c r="A42" s="521"/>
      <c r="B42" s="55">
        <v>5</v>
      </c>
      <c r="C42" s="368"/>
      <c r="D42" s="368"/>
      <c r="E42" s="368"/>
      <c r="F42" s="368">
        <v>50.4</v>
      </c>
      <c r="G42" s="281">
        <f t="shared" si="73"/>
        <v>63.64</v>
      </c>
      <c r="H42" s="282">
        <f t="shared" si="74"/>
        <v>39.22</v>
      </c>
      <c r="I42" s="282">
        <f t="shared" si="75"/>
        <v>45.32</v>
      </c>
      <c r="J42" s="283">
        <f t="shared" si="76"/>
        <v>50.88</v>
      </c>
      <c r="K42" s="281">
        <f t="shared" si="77"/>
        <v>32.69</v>
      </c>
      <c r="L42" s="282">
        <f t="shared" si="78"/>
        <v>37.86</v>
      </c>
      <c r="M42" s="282">
        <f t="shared" si="79"/>
        <v>26.16</v>
      </c>
      <c r="N42" s="283">
        <f t="shared" si="80"/>
        <v>51.14</v>
      </c>
      <c r="O42" s="281">
        <f t="shared" si="81"/>
        <v>51.55</v>
      </c>
      <c r="P42" s="282">
        <f t="shared" si="82"/>
        <v>44.35</v>
      </c>
      <c r="Q42" s="282">
        <f t="shared" si="83"/>
        <v>24.85</v>
      </c>
      <c r="R42" s="283">
        <f t="shared" si="84"/>
        <v>57.42</v>
      </c>
      <c r="W42" s="281">
        <f t="shared" si="85"/>
        <v>42.08</v>
      </c>
      <c r="X42" s="282">
        <f t="shared" si="86"/>
        <v>81.83</v>
      </c>
      <c r="Y42" s="282">
        <f t="shared" si="87"/>
        <v>44.879999999999995</v>
      </c>
      <c r="Z42" s="283">
        <f t="shared" si="88"/>
        <v>92.55</v>
      </c>
      <c r="AA42" s="281">
        <f t="shared" si="89"/>
        <v>68.12</v>
      </c>
      <c r="AB42" s="282">
        <f t="shared" si="90"/>
        <v>45.88</v>
      </c>
      <c r="AC42" s="282">
        <f t="shared" si="91"/>
        <v>66.300000000000011</v>
      </c>
      <c r="AD42" s="283">
        <f t="shared" si="92"/>
        <v>69.02</v>
      </c>
      <c r="AE42" s="281">
        <f t="shared" si="93"/>
        <v>55.98</v>
      </c>
      <c r="AF42" s="282">
        <f t="shared" si="94"/>
        <v>53.33</v>
      </c>
      <c r="AG42" s="282">
        <f t="shared" si="95"/>
        <v>36.520000000000003</v>
      </c>
      <c r="AH42" s="283">
        <f t="shared" si="96"/>
        <v>79.069999999999993</v>
      </c>
      <c r="AM42" s="281">
        <f t="shared" si="97"/>
        <v>55.230000000000004</v>
      </c>
      <c r="AN42" s="282">
        <f t="shared" si="98"/>
        <v>68.52</v>
      </c>
      <c r="AO42" s="282">
        <f t="shared" si="99"/>
        <v>84.32</v>
      </c>
      <c r="AP42" s="283">
        <f t="shared" si="100"/>
        <v>58.260000000000005</v>
      </c>
      <c r="AQ42" s="281">
        <f t="shared" si="101"/>
        <v>80.91</v>
      </c>
      <c r="AR42" s="282">
        <f t="shared" si="102"/>
        <v>46.760000000000005</v>
      </c>
      <c r="AS42" s="282">
        <f t="shared" si="103"/>
        <v>63.39</v>
      </c>
      <c r="AT42" s="283">
        <f t="shared" si="104"/>
        <v>66.64</v>
      </c>
      <c r="AU42" s="281">
        <f t="shared" si="105"/>
        <v>69.92</v>
      </c>
      <c r="AV42" s="282">
        <f t="shared" si="106"/>
        <v>74.39</v>
      </c>
      <c r="AW42" s="282">
        <f t="shared" si="107"/>
        <v>114.38</v>
      </c>
      <c r="AX42" s="283"/>
      <c r="BC42" s="281">
        <f t="shared" si="108"/>
        <v>93.72</v>
      </c>
      <c r="BD42" s="282">
        <f t="shared" si="109"/>
        <v>76.599999999999994</v>
      </c>
      <c r="BE42" s="282">
        <f t="shared" si="110"/>
        <v>105.11999999999999</v>
      </c>
      <c r="BF42" s="283"/>
      <c r="BG42" s="281">
        <f t="shared" si="111"/>
        <v>83.75</v>
      </c>
      <c r="BH42" s="282">
        <f t="shared" si="112"/>
        <v>66.23</v>
      </c>
      <c r="BI42" s="282">
        <f t="shared" si="113"/>
        <v>94.22999999999999</v>
      </c>
      <c r="BJ42" s="283"/>
      <c r="BK42" s="281">
        <f t="shared" si="114"/>
        <v>104.35</v>
      </c>
      <c r="BL42" s="282">
        <f t="shared" si="115"/>
        <v>69.58</v>
      </c>
      <c r="BM42" s="282">
        <f t="shared" si="116"/>
        <v>76.289999999999992</v>
      </c>
      <c r="BN42" s="599"/>
      <c r="BT42" s="281">
        <f t="shared" si="117"/>
        <v>-26.449999999999989</v>
      </c>
      <c r="BU42" s="282">
        <f t="shared" si="117"/>
        <v>-25.099999999999994</v>
      </c>
      <c r="BV42" s="283">
        <f t="shared" si="117"/>
        <v>63.109999999999985</v>
      </c>
      <c r="BW42" s="281">
        <f t="shared" si="118"/>
        <v>14.860000000000014</v>
      </c>
      <c r="BX42" s="281">
        <f t="shared" si="118"/>
        <v>-33.340000000000003</v>
      </c>
      <c r="BY42" s="281">
        <f t="shared" si="118"/>
        <v>92.939999999999969</v>
      </c>
      <c r="BZ42" s="281">
        <f t="shared" si="119"/>
        <v>-16.389999999999986</v>
      </c>
      <c r="CA42" s="282">
        <f t="shared" si="119"/>
        <v>72.419999999999959</v>
      </c>
      <c r="CB42" s="283">
        <f t="shared" si="119"/>
        <v>-73.359999999999957</v>
      </c>
      <c r="CC42" s="281">
        <f t="shared" si="120"/>
        <v>-69.410000000000025</v>
      </c>
      <c r="CD42" s="282">
        <f t="shared" si="120"/>
        <v>63.230000000000018</v>
      </c>
      <c r="CE42" s="283">
        <f t="shared" si="120"/>
        <v>-275.64</v>
      </c>
    </row>
    <row r="43" spans="1:117" ht="15" hidden="1" customHeight="1" x14ac:dyDescent="0.25">
      <c r="A43" s="521"/>
      <c r="B43" s="55">
        <v>6</v>
      </c>
      <c r="C43" s="368"/>
      <c r="D43" s="368"/>
      <c r="E43" s="368"/>
      <c r="F43" s="368">
        <v>58.6</v>
      </c>
      <c r="G43" s="281">
        <f t="shared" si="73"/>
        <v>82.14</v>
      </c>
      <c r="H43" s="282">
        <f t="shared" si="74"/>
        <v>62.2</v>
      </c>
      <c r="I43" s="282">
        <f t="shared" si="75"/>
        <v>88.02</v>
      </c>
      <c r="J43" s="283">
        <f t="shared" si="76"/>
        <v>47.81</v>
      </c>
      <c r="K43" s="281">
        <f t="shared" si="77"/>
        <v>33.700000000000003</v>
      </c>
      <c r="L43" s="282">
        <f t="shared" si="78"/>
        <v>58.660000000000004</v>
      </c>
      <c r="M43" s="282">
        <f t="shared" si="79"/>
        <v>39.82</v>
      </c>
      <c r="N43" s="283">
        <f t="shared" si="80"/>
        <v>85.15</v>
      </c>
      <c r="O43" s="281">
        <f t="shared" si="81"/>
        <v>53.980000000000004</v>
      </c>
      <c r="P43" s="282">
        <f t="shared" si="82"/>
        <v>97.28</v>
      </c>
      <c r="Q43" s="282">
        <f t="shared" si="83"/>
        <v>27.39</v>
      </c>
      <c r="R43" s="283">
        <f t="shared" si="84"/>
        <v>43.95</v>
      </c>
      <c r="W43" s="281">
        <f t="shared" si="85"/>
        <v>82.02</v>
      </c>
      <c r="X43" s="282">
        <f t="shared" si="86"/>
        <v>47.78</v>
      </c>
      <c r="Y43" s="282">
        <f t="shared" si="87"/>
        <v>39.629999999999995</v>
      </c>
      <c r="Z43" s="283">
        <f t="shared" si="88"/>
        <v>88.86</v>
      </c>
      <c r="AA43" s="281">
        <f t="shared" si="89"/>
        <v>62.47</v>
      </c>
      <c r="AB43" s="282">
        <f t="shared" si="90"/>
        <v>60.03</v>
      </c>
      <c r="AC43" s="282">
        <f t="shared" si="91"/>
        <v>68.929999999999993</v>
      </c>
      <c r="AD43" s="283">
        <f t="shared" si="92"/>
        <v>56.379999999999995</v>
      </c>
      <c r="AE43" s="281">
        <f t="shared" si="93"/>
        <v>55.129999999999995</v>
      </c>
      <c r="AF43" s="282">
        <f t="shared" si="94"/>
        <v>97.64</v>
      </c>
      <c r="AG43" s="282">
        <f t="shared" si="95"/>
        <v>39.14</v>
      </c>
      <c r="AH43" s="283">
        <f t="shared" si="96"/>
        <v>93.49</v>
      </c>
      <c r="AM43" s="281">
        <f t="shared" si="97"/>
        <v>59.97</v>
      </c>
      <c r="AN43" s="282">
        <f t="shared" si="98"/>
        <v>68.7</v>
      </c>
      <c r="AO43" s="282">
        <f t="shared" si="99"/>
        <v>127.84</v>
      </c>
      <c r="AP43" s="283">
        <f t="shared" si="100"/>
        <v>52.900000000000006</v>
      </c>
      <c r="AQ43" s="281">
        <f t="shared" si="101"/>
        <v>93.3</v>
      </c>
      <c r="AR43" s="282">
        <f t="shared" si="102"/>
        <v>69.800000000000011</v>
      </c>
      <c r="AS43" s="282">
        <f t="shared" si="103"/>
        <v>160.67000000000002</v>
      </c>
      <c r="AT43" s="283">
        <f t="shared" si="104"/>
        <v>80.460000000000008</v>
      </c>
      <c r="AU43" s="281">
        <f t="shared" si="105"/>
        <v>75.150000000000006</v>
      </c>
      <c r="AV43" s="282">
        <f t="shared" si="106"/>
        <v>84.59</v>
      </c>
      <c r="AW43" s="282">
        <f t="shared" si="107"/>
        <v>99.91</v>
      </c>
      <c r="AX43" s="283"/>
      <c r="BC43" s="281">
        <f t="shared" si="108"/>
        <v>124.62</v>
      </c>
      <c r="BD43" s="282">
        <f t="shared" si="109"/>
        <v>86</v>
      </c>
      <c r="BE43" s="282">
        <f t="shared" si="110"/>
        <v>113.91</v>
      </c>
      <c r="BF43" s="283"/>
      <c r="BG43" s="281">
        <f t="shared" si="111"/>
        <v>138.05000000000001</v>
      </c>
      <c r="BH43" s="282">
        <f t="shared" si="112"/>
        <v>72.28</v>
      </c>
      <c r="BI43" s="282">
        <f t="shared" si="113"/>
        <v>101.49000000000001</v>
      </c>
      <c r="BJ43" s="283"/>
      <c r="BK43" s="281">
        <f t="shared" si="114"/>
        <v>72.959999999999994</v>
      </c>
      <c r="BL43" s="282">
        <f t="shared" si="115"/>
        <v>44.85</v>
      </c>
      <c r="BM43" s="282">
        <f t="shared" si="116"/>
        <v>107.57</v>
      </c>
      <c r="BN43" s="599"/>
      <c r="BT43" s="281">
        <f t="shared" si="117"/>
        <v>48.320000000000022</v>
      </c>
      <c r="BU43" s="282">
        <f t="shared" si="117"/>
        <v>-62.91</v>
      </c>
      <c r="BV43" s="283">
        <f t="shared" si="117"/>
        <v>21.680000000000007</v>
      </c>
      <c r="BW43" s="281">
        <f t="shared" si="118"/>
        <v>5.8299999999999841</v>
      </c>
      <c r="BX43" s="281">
        <f t="shared" si="118"/>
        <v>-57.75</v>
      </c>
      <c r="BY43" s="281">
        <f t="shared" si="118"/>
        <v>91.03000000000003</v>
      </c>
      <c r="BZ43" s="281">
        <f t="shared" si="119"/>
        <v>-5.3299999999999841</v>
      </c>
      <c r="CA43" s="282">
        <f t="shared" si="119"/>
        <v>165.32999999999996</v>
      </c>
      <c r="CB43" s="283">
        <f t="shared" si="119"/>
        <v>-175.94999999999993</v>
      </c>
      <c r="CC43" s="281">
        <f t="shared" si="120"/>
        <v>-132.5</v>
      </c>
      <c r="CD43" s="282">
        <f t="shared" si="120"/>
        <v>119.84000000000003</v>
      </c>
      <c r="CE43" s="283">
        <f t="shared" si="120"/>
        <v>-322.97000000000003</v>
      </c>
    </row>
    <row r="44" spans="1:117" ht="15" hidden="1" customHeight="1" x14ac:dyDescent="0.25">
      <c r="A44" s="521"/>
      <c r="B44" s="55">
        <v>7</v>
      </c>
      <c r="C44" s="368"/>
      <c r="D44" s="368"/>
      <c r="E44" s="368"/>
      <c r="F44" s="368">
        <v>23.6</v>
      </c>
      <c r="G44" s="281">
        <f t="shared" si="73"/>
        <v>22.759999999999998</v>
      </c>
      <c r="H44" s="282">
        <f t="shared" si="74"/>
        <v>16.510000000000002</v>
      </c>
      <c r="I44" s="282">
        <f t="shared" si="75"/>
        <v>25.830000000000002</v>
      </c>
      <c r="J44" s="283">
        <f t="shared" si="76"/>
        <v>18.989999999999998</v>
      </c>
      <c r="K44" s="281">
        <f t="shared" si="77"/>
        <v>12.65</v>
      </c>
      <c r="L44" s="282">
        <f t="shared" si="78"/>
        <v>16.84</v>
      </c>
      <c r="M44" s="282">
        <f t="shared" si="79"/>
        <v>11.9</v>
      </c>
      <c r="N44" s="283">
        <f t="shared" si="80"/>
        <v>25.669999999999998</v>
      </c>
      <c r="O44" s="281">
        <f t="shared" si="81"/>
        <v>21.92</v>
      </c>
      <c r="P44" s="282">
        <f t="shared" si="82"/>
        <v>21.41</v>
      </c>
      <c r="Q44" s="282">
        <f t="shared" si="83"/>
        <v>13.7</v>
      </c>
      <c r="R44" s="283">
        <f t="shared" si="84"/>
        <v>21.080000000000002</v>
      </c>
      <c r="W44" s="281">
        <f t="shared" si="85"/>
        <v>18.34</v>
      </c>
      <c r="X44" s="282">
        <f t="shared" si="86"/>
        <v>34.83</v>
      </c>
      <c r="Y44" s="282">
        <f t="shared" si="87"/>
        <v>24.4</v>
      </c>
      <c r="Z44" s="283">
        <f t="shared" si="88"/>
        <v>39.61</v>
      </c>
      <c r="AA44" s="281">
        <f t="shared" si="89"/>
        <v>25.35</v>
      </c>
      <c r="AB44" s="282">
        <f t="shared" si="90"/>
        <v>15.27</v>
      </c>
      <c r="AC44" s="282">
        <f t="shared" si="91"/>
        <v>17.649999999999999</v>
      </c>
      <c r="AD44" s="283">
        <f t="shared" si="92"/>
        <v>27.619999999999997</v>
      </c>
      <c r="AE44" s="281">
        <f t="shared" si="93"/>
        <v>17.48</v>
      </c>
      <c r="AF44" s="282">
        <f t="shared" si="94"/>
        <v>19.27</v>
      </c>
      <c r="AG44" s="282">
        <f t="shared" si="95"/>
        <v>19.5</v>
      </c>
      <c r="AH44" s="283">
        <f t="shared" si="96"/>
        <v>29.53</v>
      </c>
      <c r="AM44" s="281">
        <f t="shared" si="97"/>
        <v>18.63</v>
      </c>
      <c r="AN44" s="282">
        <f t="shared" si="98"/>
        <v>21.53</v>
      </c>
      <c r="AO44" s="282">
        <f t="shared" si="99"/>
        <v>29.25</v>
      </c>
      <c r="AP44" s="283">
        <f t="shared" si="100"/>
        <v>27.06</v>
      </c>
      <c r="AQ44" s="281">
        <f t="shared" si="101"/>
        <v>30.490000000000002</v>
      </c>
      <c r="AR44" s="282">
        <f t="shared" si="102"/>
        <v>24.43</v>
      </c>
      <c r="AS44" s="282">
        <f t="shared" si="103"/>
        <v>29.03</v>
      </c>
      <c r="AT44" s="283">
        <f t="shared" si="104"/>
        <v>26.330000000000002</v>
      </c>
      <c r="AU44" s="281">
        <f t="shared" si="105"/>
        <v>26.76</v>
      </c>
      <c r="AV44" s="282">
        <f t="shared" si="106"/>
        <v>13.77</v>
      </c>
      <c r="AW44" s="282">
        <f t="shared" si="107"/>
        <v>60.980000000000004</v>
      </c>
      <c r="AX44" s="283"/>
      <c r="BC44" s="281">
        <f t="shared" si="108"/>
        <v>35.340000000000003</v>
      </c>
      <c r="BD44" s="282">
        <f t="shared" si="109"/>
        <v>21.21</v>
      </c>
      <c r="BE44" s="282">
        <f t="shared" si="110"/>
        <v>33.08</v>
      </c>
      <c r="BF44" s="283"/>
      <c r="BG44" s="281">
        <f t="shared" si="111"/>
        <v>34.020000000000003</v>
      </c>
      <c r="BH44" s="282">
        <f t="shared" si="112"/>
        <v>23.759999999999998</v>
      </c>
      <c r="BI44" s="282">
        <f t="shared" si="113"/>
        <v>41.293999999999997</v>
      </c>
      <c r="BJ44" s="283"/>
      <c r="BK44" s="281">
        <f t="shared" si="114"/>
        <v>48.28</v>
      </c>
      <c r="BL44" s="282">
        <f t="shared" si="115"/>
        <v>15.62</v>
      </c>
      <c r="BM44" s="282">
        <f t="shared" si="116"/>
        <v>45.37</v>
      </c>
      <c r="BN44" s="599"/>
      <c r="BT44" s="281">
        <f t="shared" si="117"/>
        <v>-2.5699999999999932</v>
      </c>
      <c r="BU44" s="282">
        <f t="shared" si="117"/>
        <v>-3.3299999999999983</v>
      </c>
      <c r="BV44" s="283">
        <f t="shared" si="117"/>
        <v>14.309999999999988</v>
      </c>
      <c r="BW44" s="281">
        <f t="shared" si="118"/>
        <v>8.1999999999999886</v>
      </c>
      <c r="BX44" s="281">
        <f t="shared" si="118"/>
        <v>-7.8199999999999932</v>
      </c>
      <c r="BY44" s="281">
        <f t="shared" si="118"/>
        <v>35.209999999999994</v>
      </c>
      <c r="BZ44" s="281">
        <f t="shared" si="119"/>
        <v>-16.150000000000006</v>
      </c>
      <c r="CA44" s="282">
        <f t="shared" si="119"/>
        <v>59.53</v>
      </c>
      <c r="CB44" s="283">
        <f t="shared" si="119"/>
        <v>-34.120000000000005</v>
      </c>
      <c r="CC44" s="281">
        <f t="shared" si="120"/>
        <v>-57.050000000000018</v>
      </c>
      <c r="CD44" s="282">
        <f t="shared" si="120"/>
        <v>59.154000000000003</v>
      </c>
      <c r="CE44" s="283">
        <f t="shared" si="120"/>
        <v>-119.744</v>
      </c>
    </row>
    <row r="45" spans="1:117" ht="15" hidden="1" customHeight="1" x14ac:dyDescent="0.25">
      <c r="A45" s="521"/>
      <c r="B45" s="55">
        <v>8</v>
      </c>
      <c r="C45" s="368"/>
      <c r="D45" s="368"/>
      <c r="E45" s="368"/>
      <c r="F45" s="368">
        <v>61.6</v>
      </c>
      <c r="G45" s="281">
        <f t="shared" si="73"/>
        <v>50.760000000000005</v>
      </c>
      <c r="H45" s="282">
        <f t="shared" si="74"/>
        <v>68.63</v>
      </c>
      <c r="I45" s="282">
        <f t="shared" si="75"/>
        <v>61.160000000000004</v>
      </c>
      <c r="J45" s="283">
        <f t="shared" si="76"/>
        <v>44.66</v>
      </c>
      <c r="K45" s="281">
        <f t="shared" si="77"/>
        <v>34.92</v>
      </c>
      <c r="L45" s="282">
        <f t="shared" si="78"/>
        <v>53.54</v>
      </c>
      <c r="M45" s="282">
        <f t="shared" si="79"/>
        <v>52.8</v>
      </c>
      <c r="N45" s="283">
        <f t="shared" si="80"/>
        <v>96.6</v>
      </c>
      <c r="O45" s="281">
        <f t="shared" si="81"/>
        <v>54.47</v>
      </c>
      <c r="P45" s="282">
        <f t="shared" si="82"/>
        <v>70.759999999999991</v>
      </c>
      <c r="Q45" s="282">
        <f t="shared" si="83"/>
        <v>41.66</v>
      </c>
      <c r="R45" s="283">
        <f t="shared" si="84"/>
        <v>59.2</v>
      </c>
      <c r="W45" s="281">
        <f t="shared" si="85"/>
        <v>57.42</v>
      </c>
      <c r="X45" s="282">
        <f t="shared" si="86"/>
        <v>55.5</v>
      </c>
      <c r="Y45" s="282">
        <f t="shared" si="87"/>
        <v>39.129999999999995</v>
      </c>
      <c r="Z45" s="283">
        <f t="shared" si="88"/>
        <v>79.03</v>
      </c>
      <c r="AA45" s="281">
        <f t="shared" si="89"/>
        <v>51.88</v>
      </c>
      <c r="AB45" s="282">
        <f t="shared" si="90"/>
        <v>62.94</v>
      </c>
      <c r="AC45" s="282">
        <f t="shared" si="91"/>
        <v>72.48</v>
      </c>
      <c r="AD45" s="283">
        <f t="shared" si="92"/>
        <v>63.73</v>
      </c>
      <c r="AE45" s="281">
        <f t="shared" si="93"/>
        <v>42.86</v>
      </c>
      <c r="AF45" s="282">
        <f t="shared" si="94"/>
        <v>62.16</v>
      </c>
      <c r="AG45" s="282">
        <f t="shared" si="95"/>
        <v>41.769999999999996</v>
      </c>
      <c r="AH45" s="283">
        <f t="shared" si="96"/>
        <v>58.540000000000006</v>
      </c>
      <c r="AM45" s="281">
        <f t="shared" si="97"/>
        <v>68.03</v>
      </c>
      <c r="AN45" s="282">
        <f t="shared" si="98"/>
        <v>62.61</v>
      </c>
      <c r="AO45" s="282">
        <f t="shared" si="99"/>
        <v>52.96</v>
      </c>
      <c r="AP45" s="283">
        <f t="shared" si="100"/>
        <v>56.069999999999993</v>
      </c>
      <c r="AQ45" s="281">
        <f t="shared" si="101"/>
        <v>72.460000000000008</v>
      </c>
      <c r="AR45" s="282">
        <f t="shared" si="102"/>
        <v>105.85</v>
      </c>
      <c r="AS45" s="282">
        <f t="shared" si="103"/>
        <v>114.4</v>
      </c>
      <c r="AT45" s="283">
        <f t="shared" si="104"/>
        <v>68.81</v>
      </c>
      <c r="AU45" s="281">
        <f t="shared" si="105"/>
        <v>78.78</v>
      </c>
      <c r="AV45" s="282">
        <f t="shared" si="106"/>
        <v>54.25</v>
      </c>
      <c r="AW45" s="282">
        <f t="shared" si="107"/>
        <v>78.790000000000006</v>
      </c>
      <c r="AX45" s="283"/>
      <c r="BC45" s="281">
        <f t="shared" si="108"/>
        <v>118.71</v>
      </c>
      <c r="BD45" s="282">
        <f t="shared" si="109"/>
        <v>94.95</v>
      </c>
      <c r="BE45" s="282">
        <f t="shared" si="110"/>
        <v>94.64</v>
      </c>
      <c r="BF45" s="283"/>
      <c r="BG45" s="281">
        <f t="shared" si="111"/>
        <v>111.62</v>
      </c>
      <c r="BH45" s="282">
        <f t="shared" si="112"/>
        <v>75.259999999999991</v>
      </c>
      <c r="BI45" s="282">
        <f t="shared" si="113"/>
        <v>151.48000000000002</v>
      </c>
      <c r="BJ45" s="283"/>
      <c r="BK45" s="281">
        <f t="shared" si="114"/>
        <v>70.260000000000005</v>
      </c>
      <c r="BL45" s="282">
        <f t="shared" si="115"/>
        <v>96.98</v>
      </c>
      <c r="BM45" s="282">
        <f t="shared" si="116"/>
        <v>123.15</v>
      </c>
      <c r="BN45" s="599"/>
      <c r="BT45" s="281">
        <f t="shared" si="117"/>
        <v>52.779999999999973</v>
      </c>
      <c r="BU45" s="282">
        <f t="shared" si="117"/>
        <v>-37.309999999999974</v>
      </c>
      <c r="BV45" s="283">
        <f t="shared" si="117"/>
        <v>44.839999999999975</v>
      </c>
      <c r="BW45" s="281">
        <f t="shared" si="118"/>
        <v>28.439999999999969</v>
      </c>
      <c r="BX45" s="281">
        <f t="shared" si="118"/>
        <v>-27.22</v>
      </c>
      <c r="BY45" s="281">
        <f t="shared" si="118"/>
        <v>47.920000000000016</v>
      </c>
      <c r="BZ45" s="281">
        <f t="shared" si="119"/>
        <v>3.4399999999999693</v>
      </c>
      <c r="CA45" s="282">
        <f t="shared" si="119"/>
        <v>23.440000000000055</v>
      </c>
      <c r="CB45" s="283">
        <f t="shared" si="119"/>
        <v>-39.510000000000048</v>
      </c>
      <c r="CC45" s="281">
        <f t="shared" si="120"/>
        <v>-33.399999999999977</v>
      </c>
      <c r="CD45" s="282">
        <f t="shared" si="120"/>
        <v>102.07999999999998</v>
      </c>
      <c r="CE45" s="283">
        <f t="shared" si="120"/>
        <v>-369.27</v>
      </c>
    </row>
    <row r="46" spans="1:117" ht="15" hidden="1" customHeight="1" x14ac:dyDescent="0.25">
      <c r="A46" s="521"/>
      <c r="B46" s="55">
        <v>9</v>
      </c>
      <c r="C46" s="368"/>
      <c r="D46" s="368"/>
      <c r="E46" s="368"/>
      <c r="F46" s="368">
        <v>38.299999999999997</v>
      </c>
      <c r="G46" s="281">
        <f t="shared" si="73"/>
        <v>27.38</v>
      </c>
      <c r="H46" s="282">
        <f t="shared" si="74"/>
        <v>27.94</v>
      </c>
      <c r="I46" s="282">
        <f t="shared" si="75"/>
        <v>38.049999999999997</v>
      </c>
      <c r="J46" s="283">
        <f t="shared" si="76"/>
        <v>19.18</v>
      </c>
      <c r="K46" s="281">
        <f t="shared" si="77"/>
        <v>25.270000000000003</v>
      </c>
      <c r="L46" s="282">
        <f t="shared" si="78"/>
        <v>33.89</v>
      </c>
      <c r="M46" s="282">
        <f t="shared" si="79"/>
        <v>20.71</v>
      </c>
      <c r="N46" s="283">
        <f t="shared" si="80"/>
        <v>34.56</v>
      </c>
      <c r="O46" s="281">
        <f t="shared" si="81"/>
        <v>19.630000000000003</v>
      </c>
      <c r="P46" s="282">
        <f t="shared" si="82"/>
        <v>46.93</v>
      </c>
      <c r="Q46" s="282">
        <f t="shared" si="83"/>
        <v>22.65</v>
      </c>
      <c r="R46" s="283">
        <f t="shared" si="84"/>
        <v>39.230000000000004</v>
      </c>
      <c r="W46" s="281">
        <f t="shared" si="85"/>
        <v>40.680000000000007</v>
      </c>
      <c r="X46" s="282">
        <f t="shared" si="86"/>
        <v>38.409999999999997</v>
      </c>
      <c r="Y46" s="282">
        <f t="shared" si="87"/>
        <v>21.23</v>
      </c>
      <c r="Z46" s="283">
        <f t="shared" si="88"/>
        <v>16.64</v>
      </c>
      <c r="AA46" s="281">
        <f t="shared" si="89"/>
        <v>32.57</v>
      </c>
      <c r="AB46" s="282">
        <f t="shared" si="90"/>
        <v>31.91</v>
      </c>
      <c r="AC46" s="282">
        <f t="shared" si="91"/>
        <v>28.57</v>
      </c>
      <c r="AD46" s="283">
        <f t="shared" si="92"/>
        <v>47.69</v>
      </c>
      <c r="AE46" s="281">
        <f t="shared" si="93"/>
        <v>20.27</v>
      </c>
      <c r="AF46" s="282">
        <f t="shared" si="94"/>
        <v>32.75</v>
      </c>
      <c r="AG46" s="282">
        <f t="shared" si="95"/>
        <v>29.07</v>
      </c>
      <c r="AH46" s="283">
        <f t="shared" si="96"/>
        <v>48.05</v>
      </c>
      <c r="AM46" s="281">
        <f t="shared" si="97"/>
        <v>18.43</v>
      </c>
      <c r="AN46" s="282">
        <f t="shared" si="98"/>
        <v>35.010000000000005</v>
      </c>
      <c r="AO46" s="282">
        <f t="shared" si="99"/>
        <v>23.439999999999998</v>
      </c>
      <c r="AP46" s="283">
        <f t="shared" si="100"/>
        <v>33.1</v>
      </c>
      <c r="AQ46" s="281">
        <f t="shared" si="101"/>
        <v>75.52000000000001</v>
      </c>
      <c r="AR46" s="282">
        <f t="shared" si="102"/>
        <v>43.31</v>
      </c>
      <c r="AS46" s="282">
        <f t="shared" si="103"/>
        <v>43.71</v>
      </c>
      <c r="AT46" s="283">
        <f t="shared" si="104"/>
        <v>43.36</v>
      </c>
      <c r="AU46" s="281">
        <f t="shared" si="105"/>
        <v>64.02</v>
      </c>
      <c r="AV46" s="282">
        <f t="shared" si="106"/>
        <v>48.209999999999994</v>
      </c>
      <c r="AW46" s="282">
        <f t="shared" si="107"/>
        <v>59.56</v>
      </c>
      <c r="AX46" s="283"/>
      <c r="BC46" s="281">
        <f t="shared" si="108"/>
        <v>72.98</v>
      </c>
      <c r="BD46" s="282">
        <f t="shared" si="109"/>
        <v>71.400000000000006</v>
      </c>
      <c r="BE46" s="282">
        <f t="shared" si="110"/>
        <v>63.760000000000005</v>
      </c>
      <c r="BF46" s="283"/>
      <c r="BG46" s="281">
        <f t="shared" si="111"/>
        <v>43.4</v>
      </c>
      <c r="BH46" s="282">
        <f t="shared" si="112"/>
        <v>49.980000000000004</v>
      </c>
      <c r="BI46" s="282">
        <f t="shared" si="113"/>
        <v>76.490000000000009</v>
      </c>
      <c r="BJ46" s="283"/>
      <c r="BK46" s="281">
        <f t="shared" si="114"/>
        <v>54.92</v>
      </c>
      <c r="BL46" s="282">
        <f t="shared" si="115"/>
        <v>45.25</v>
      </c>
      <c r="BM46" s="282">
        <f t="shared" si="116"/>
        <v>62.45</v>
      </c>
      <c r="BN46" s="599"/>
      <c r="BT46" s="281">
        <f t="shared" si="117"/>
        <v>36.47999999999999</v>
      </c>
      <c r="BU46" s="282">
        <f t="shared" si="117"/>
        <v>-27.349999999999994</v>
      </c>
      <c r="BV46" s="283">
        <f t="shared" si="117"/>
        <v>11.560000000000002</v>
      </c>
      <c r="BW46" s="281">
        <f t="shared" si="118"/>
        <v>9.5499999999999972</v>
      </c>
      <c r="BX46" s="281">
        <f t="shared" si="118"/>
        <v>-24.199999999999989</v>
      </c>
      <c r="BY46" s="281">
        <f t="shared" si="118"/>
        <v>33.509999999999991</v>
      </c>
      <c r="BZ46" s="281">
        <f t="shared" si="119"/>
        <v>-31.440000000000026</v>
      </c>
      <c r="CA46" s="282">
        <f t="shared" si="119"/>
        <v>0.18000000000000682</v>
      </c>
      <c r="CB46" s="283">
        <f t="shared" si="119"/>
        <v>-12.150000000000006</v>
      </c>
      <c r="CC46" s="281">
        <f t="shared" si="120"/>
        <v>-4.6700000000000159</v>
      </c>
      <c r="CD46" s="282">
        <f t="shared" si="120"/>
        <v>36.069999999999993</v>
      </c>
      <c r="CE46" s="283">
        <f t="shared" si="120"/>
        <v>-202.7</v>
      </c>
    </row>
    <row r="47" spans="1:117" ht="15" hidden="1" customHeight="1" x14ac:dyDescent="0.25">
      <c r="A47" s="521"/>
      <c r="B47" s="55">
        <v>11</v>
      </c>
      <c r="C47" s="368"/>
      <c r="D47" s="368"/>
      <c r="E47" s="368"/>
      <c r="F47" s="368">
        <v>44.5</v>
      </c>
      <c r="G47" s="281">
        <f t="shared" si="73"/>
        <v>49.190000000000005</v>
      </c>
      <c r="H47" s="282">
        <f t="shared" si="74"/>
        <v>38.659999999999997</v>
      </c>
      <c r="I47" s="282">
        <f t="shared" si="75"/>
        <v>29.79</v>
      </c>
      <c r="J47" s="283">
        <f t="shared" si="76"/>
        <v>41.08</v>
      </c>
      <c r="K47" s="281">
        <f t="shared" si="77"/>
        <v>20.090000000000003</v>
      </c>
      <c r="L47" s="282">
        <f t="shared" si="78"/>
        <v>32.729999999999997</v>
      </c>
      <c r="M47" s="282">
        <f t="shared" si="79"/>
        <v>31.44</v>
      </c>
      <c r="N47" s="283">
        <f t="shared" si="80"/>
        <v>27.060000000000002</v>
      </c>
      <c r="O47" s="281">
        <f t="shared" si="81"/>
        <v>37.300000000000004</v>
      </c>
      <c r="P47" s="282">
        <f t="shared" si="82"/>
        <v>36.949999999999996</v>
      </c>
      <c r="Q47" s="282">
        <f t="shared" si="83"/>
        <v>30.26</v>
      </c>
      <c r="R47" s="283">
        <f t="shared" si="84"/>
        <v>40.57</v>
      </c>
      <c r="W47" s="281">
        <f t="shared" si="85"/>
        <v>63.84</v>
      </c>
      <c r="X47" s="282">
        <f t="shared" si="86"/>
        <v>82.75</v>
      </c>
      <c r="Y47" s="282">
        <f t="shared" si="87"/>
        <v>37.340000000000003</v>
      </c>
      <c r="Z47" s="283">
        <f t="shared" si="88"/>
        <v>35.96</v>
      </c>
      <c r="AA47" s="281">
        <f t="shared" si="89"/>
        <v>47.269999999999996</v>
      </c>
      <c r="AB47" s="282">
        <f t="shared" si="90"/>
        <v>48.66</v>
      </c>
      <c r="AC47" s="282">
        <f t="shared" si="91"/>
        <v>53.78</v>
      </c>
      <c r="AD47" s="283">
        <f t="shared" si="92"/>
        <v>51.4</v>
      </c>
      <c r="AE47" s="281">
        <f t="shared" si="93"/>
        <v>29.83</v>
      </c>
      <c r="AF47" s="282">
        <f t="shared" si="94"/>
        <v>48.43</v>
      </c>
      <c r="AG47" s="282">
        <f t="shared" si="95"/>
        <v>30.880000000000003</v>
      </c>
      <c r="AH47" s="283">
        <f t="shared" si="96"/>
        <v>44.1</v>
      </c>
      <c r="AM47" s="281">
        <f t="shared" si="97"/>
        <v>22.3</v>
      </c>
      <c r="AN47" s="282">
        <f t="shared" si="98"/>
        <v>54.44</v>
      </c>
      <c r="AO47" s="282">
        <f t="shared" si="99"/>
        <v>24.82</v>
      </c>
      <c r="AP47" s="283">
        <f t="shared" si="100"/>
        <v>47.35</v>
      </c>
      <c r="AQ47" s="281">
        <f t="shared" si="101"/>
        <v>36.81</v>
      </c>
      <c r="AR47" s="282">
        <f t="shared" si="102"/>
        <v>61.24</v>
      </c>
      <c r="AS47" s="282">
        <f t="shared" si="103"/>
        <v>43.08</v>
      </c>
      <c r="AT47" s="283">
        <f t="shared" si="104"/>
        <v>51.099999999999994</v>
      </c>
      <c r="AU47" s="281">
        <f t="shared" si="105"/>
        <v>87.84</v>
      </c>
      <c r="AV47" s="282">
        <f t="shared" si="106"/>
        <v>59.05</v>
      </c>
      <c r="AW47" s="282">
        <f t="shared" si="107"/>
        <v>98.26</v>
      </c>
      <c r="AX47" s="283"/>
      <c r="BC47" s="281">
        <f t="shared" si="108"/>
        <v>59.98</v>
      </c>
      <c r="BD47" s="282">
        <f t="shared" si="109"/>
        <v>59.16</v>
      </c>
      <c r="BE47" s="282">
        <f t="shared" si="110"/>
        <v>45.33</v>
      </c>
      <c r="BF47" s="283"/>
      <c r="BG47" s="281">
        <f t="shared" si="111"/>
        <v>85.12</v>
      </c>
      <c r="BH47" s="282">
        <f t="shared" si="112"/>
        <v>28.49</v>
      </c>
      <c r="BI47" s="282">
        <f t="shared" si="113"/>
        <v>62.233999999999995</v>
      </c>
      <c r="BJ47" s="283"/>
      <c r="BK47" s="281">
        <f t="shared" si="114"/>
        <v>58.31</v>
      </c>
      <c r="BL47" s="282">
        <f t="shared" si="115"/>
        <v>54.529999999999994</v>
      </c>
      <c r="BM47" s="282">
        <f t="shared" si="116"/>
        <v>52</v>
      </c>
      <c r="BN47" s="599"/>
      <c r="BT47" s="281">
        <f t="shared" si="117"/>
        <v>1.7599999999999625</v>
      </c>
      <c r="BU47" s="282">
        <f t="shared" si="117"/>
        <v>-16.849999999999966</v>
      </c>
      <c r="BV47" s="283">
        <f t="shared" si="117"/>
        <v>17.22</v>
      </c>
      <c r="BW47" s="281">
        <f t="shared" si="118"/>
        <v>38.900000000000006</v>
      </c>
      <c r="BX47" s="281">
        <f t="shared" si="118"/>
        <v>-57.84</v>
      </c>
      <c r="BY47" s="281">
        <f t="shared" si="118"/>
        <v>9.460000000000008</v>
      </c>
      <c r="BZ47" s="281">
        <f t="shared" si="119"/>
        <v>27.78000000000003</v>
      </c>
      <c r="CA47" s="282">
        <f t="shared" si="119"/>
        <v>-8.5699999999999932</v>
      </c>
      <c r="CB47" s="283">
        <f t="shared" si="119"/>
        <v>-16.690000000000026</v>
      </c>
      <c r="CC47" s="281">
        <f t="shared" si="120"/>
        <v>-61.230000000000018</v>
      </c>
      <c r="CD47" s="282">
        <f t="shared" si="120"/>
        <v>17.384000000000015</v>
      </c>
      <c r="CE47" s="283">
        <f t="shared" si="120"/>
        <v>-159.56399999999999</v>
      </c>
    </row>
    <row r="48" spans="1:117" ht="15" hidden="1" customHeight="1" x14ac:dyDescent="0.25">
      <c r="A48" s="521"/>
      <c r="B48" s="55">
        <v>12</v>
      </c>
      <c r="C48" s="368"/>
      <c r="D48" s="368"/>
      <c r="E48" s="368"/>
      <c r="F48" s="368">
        <v>71</v>
      </c>
      <c r="G48" s="281">
        <f t="shared" si="73"/>
        <v>103.92</v>
      </c>
      <c r="H48" s="282">
        <f t="shared" si="74"/>
        <v>64.150000000000006</v>
      </c>
      <c r="I48" s="282">
        <f t="shared" si="75"/>
        <v>78.53</v>
      </c>
      <c r="J48" s="283">
        <f t="shared" si="76"/>
        <v>51.83</v>
      </c>
      <c r="K48" s="281">
        <f t="shared" si="77"/>
        <v>41.82</v>
      </c>
      <c r="L48" s="282">
        <f t="shared" si="78"/>
        <v>73.37</v>
      </c>
      <c r="M48" s="282">
        <f t="shared" si="79"/>
        <v>60.73</v>
      </c>
      <c r="N48" s="283">
        <f t="shared" si="80"/>
        <v>82.91</v>
      </c>
      <c r="O48" s="281">
        <f t="shared" si="81"/>
        <v>69.2</v>
      </c>
      <c r="P48" s="282">
        <f t="shared" si="82"/>
        <v>66.05</v>
      </c>
      <c r="Q48" s="282">
        <f t="shared" si="83"/>
        <v>41.84</v>
      </c>
      <c r="R48" s="283">
        <f t="shared" si="84"/>
        <v>61.5</v>
      </c>
      <c r="W48" s="281">
        <f t="shared" si="85"/>
        <v>62.67</v>
      </c>
      <c r="X48" s="282">
        <f t="shared" si="86"/>
        <v>72.349999999999994</v>
      </c>
      <c r="Y48" s="282">
        <f t="shared" si="87"/>
        <v>85.08</v>
      </c>
      <c r="Z48" s="283">
        <f t="shared" si="88"/>
        <v>108.55</v>
      </c>
      <c r="AA48" s="281">
        <f t="shared" si="89"/>
        <v>96.63000000000001</v>
      </c>
      <c r="AB48" s="282">
        <f t="shared" si="90"/>
        <v>69.09</v>
      </c>
      <c r="AC48" s="282">
        <f t="shared" si="91"/>
        <v>60.72</v>
      </c>
      <c r="AD48" s="283">
        <f t="shared" si="92"/>
        <v>69.22999999999999</v>
      </c>
      <c r="AE48" s="281">
        <f t="shared" si="93"/>
        <v>57.239999999999995</v>
      </c>
      <c r="AF48" s="282">
        <f t="shared" si="94"/>
        <v>77.56</v>
      </c>
      <c r="AG48" s="282">
        <f t="shared" si="95"/>
        <v>57.980000000000004</v>
      </c>
      <c r="AH48" s="283">
        <f t="shared" si="96"/>
        <v>72.430000000000007</v>
      </c>
      <c r="AM48" s="281">
        <f t="shared" si="97"/>
        <v>43.55</v>
      </c>
      <c r="AN48" s="282">
        <f t="shared" si="98"/>
        <v>77.760000000000005</v>
      </c>
      <c r="AO48" s="282">
        <f t="shared" si="99"/>
        <v>62.17</v>
      </c>
      <c r="AP48" s="283">
        <f t="shared" si="100"/>
        <v>75.459999999999994</v>
      </c>
      <c r="AQ48" s="281">
        <f t="shared" si="101"/>
        <v>58.84</v>
      </c>
      <c r="AR48" s="282">
        <f t="shared" si="102"/>
        <v>74.569999999999993</v>
      </c>
      <c r="AS48" s="282">
        <f t="shared" si="103"/>
        <v>67.44</v>
      </c>
      <c r="AT48" s="283">
        <f t="shared" si="104"/>
        <v>80.36</v>
      </c>
      <c r="AU48" s="281">
        <f t="shared" si="105"/>
        <v>81.45</v>
      </c>
      <c r="AV48" s="282">
        <f t="shared" si="106"/>
        <v>95.53</v>
      </c>
      <c r="AW48" s="282">
        <f t="shared" si="107"/>
        <v>147.54000000000002</v>
      </c>
      <c r="AX48" s="283"/>
      <c r="BC48" s="281">
        <f t="shared" si="108"/>
        <v>139.88</v>
      </c>
      <c r="BD48" s="282">
        <f t="shared" si="109"/>
        <v>117.32</v>
      </c>
      <c r="BE48" s="282">
        <f t="shared" si="110"/>
        <v>92.97</v>
      </c>
      <c r="BF48" s="283"/>
      <c r="BG48" s="281">
        <f t="shared" si="111"/>
        <v>122.47</v>
      </c>
      <c r="BH48" s="282">
        <f t="shared" si="112"/>
        <v>97.89</v>
      </c>
      <c r="BI48" s="282">
        <f t="shared" si="113"/>
        <v>143.44999999999999</v>
      </c>
      <c r="BJ48" s="283"/>
      <c r="BK48" s="281">
        <f t="shared" si="114"/>
        <v>180.53</v>
      </c>
      <c r="BL48" s="282">
        <f t="shared" si="115"/>
        <v>94.080000000000013</v>
      </c>
      <c r="BM48" s="282">
        <f t="shared" si="116"/>
        <v>98.47</v>
      </c>
      <c r="BN48" s="599"/>
      <c r="BT48" s="281">
        <f t="shared" si="117"/>
        <v>-11.370000000000005</v>
      </c>
      <c r="BU48" s="282">
        <f t="shared" si="117"/>
        <v>-22.47</v>
      </c>
      <c r="BV48" s="283">
        <f t="shared" si="117"/>
        <v>15.140000000000015</v>
      </c>
      <c r="BW48" s="281">
        <f t="shared" si="118"/>
        <v>2.4599999999999795</v>
      </c>
      <c r="BX48" s="281">
        <f t="shared" si="118"/>
        <v>-15.21999999999997</v>
      </c>
      <c r="BY48" s="281">
        <f t="shared" si="118"/>
        <v>46.42999999999995</v>
      </c>
      <c r="BZ48" s="281">
        <f t="shared" si="119"/>
        <v>64.019999999999982</v>
      </c>
      <c r="CA48" s="282">
        <f t="shared" si="119"/>
        <v>29.290000000000049</v>
      </c>
      <c r="CB48" s="283">
        <f t="shared" si="119"/>
        <v>-17.03000000000003</v>
      </c>
      <c r="CC48" s="281">
        <f t="shared" si="120"/>
        <v>-133.59000000000003</v>
      </c>
      <c r="CD48" s="282">
        <f t="shared" si="120"/>
        <v>25.600000000000023</v>
      </c>
      <c r="CE48" s="283">
        <f t="shared" si="120"/>
        <v>-334.89</v>
      </c>
    </row>
    <row r="49" spans="1:83" ht="15.75" hidden="1" customHeight="1" thickBot="1" x14ac:dyDescent="0.3">
      <c r="A49" s="522"/>
      <c r="B49" s="83">
        <v>23</v>
      </c>
      <c r="C49" s="369"/>
      <c r="D49" s="369"/>
      <c r="E49" s="369"/>
      <c r="F49" s="369">
        <v>14.6</v>
      </c>
      <c r="G49" s="281">
        <f t="shared" si="73"/>
        <v>16.240000000000002</v>
      </c>
      <c r="H49" s="282">
        <f t="shared" si="74"/>
        <v>13.39</v>
      </c>
      <c r="I49" s="282">
        <f t="shared" si="75"/>
        <v>20.83</v>
      </c>
      <c r="J49" s="283">
        <f t="shared" si="76"/>
        <v>15.99</v>
      </c>
      <c r="K49" s="281">
        <f t="shared" si="77"/>
        <v>8.74</v>
      </c>
      <c r="L49" s="282">
        <f t="shared" si="78"/>
        <v>23.380000000000003</v>
      </c>
      <c r="M49" s="282">
        <f t="shared" si="79"/>
        <v>15.02</v>
      </c>
      <c r="N49" s="283">
        <f t="shared" si="80"/>
        <v>20.85</v>
      </c>
      <c r="O49" s="281">
        <f t="shared" si="81"/>
        <v>14.7</v>
      </c>
      <c r="P49" s="282">
        <f t="shared" si="82"/>
        <v>14.47</v>
      </c>
      <c r="Q49" s="282">
        <f t="shared" si="83"/>
        <v>7.17</v>
      </c>
      <c r="R49" s="283">
        <f t="shared" si="84"/>
        <v>12.399999999999999</v>
      </c>
      <c r="W49" s="281">
        <f t="shared" si="85"/>
        <v>20.130000000000003</v>
      </c>
      <c r="X49" s="282">
        <f t="shared" si="86"/>
        <v>7.79</v>
      </c>
      <c r="Y49" s="282">
        <f t="shared" si="87"/>
        <v>12.370000000000001</v>
      </c>
      <c r="Z49" s="283">
        <f t="shared" si="88"/>
        <v>31.32</v>
      </c>
      <c r="AA49" s="281">
        <f t="shared" si="89"/>
        <v>18.100000000000001</v>
      </c>
      <c r="AB49" s="282">
        <f t="shared" si="90"/>
        <v>16.48</v>
      </c>
      <c r="AC49" s="282">
        <f t="shared" si="91"/>
        <v>24.14</v>
      </c>
      <c r="AD49" s="283">
        <f t="shared" si="92"/>
        <v>21.55</v>
      </c>
      <c r="AE49" s="281">
        <f t="shared" si="93"/>
        <v>12.600000000000001</v>
      </c>
      <c r="AF49" s="282">
        <f t="shared" si="94"/>
        <v>21.369999999999997</v>
      </c>
      <c r="AG49" s="282">
        <f t="shared" si="95"/>
        <v>15.32</v>
      </c>
      <c r="AH49" s="283">
        <f t="shared" si="96"/>
        <v>21.51</v>
      </c>
      <c r="AM49" s="281">
        <f t="shared" si="97"/>
        <v>13.33</v>
      </c>
      <c r="AN49" s="282">
        <f t="shared" si="98"/>
        <v>21.189999999999998</v>
      </c>
      <c r="AO49" s="282">
        <f t="shared" si="99"/>
        <v>29.12</v>
      </c>
      <c r="AP49" s="283">
        <f t="shared" si="100"/>
        <v>19.11</v>
      </c>
      <c r="AQ49" s="281">
        <f t="shared" si="101"/>
        <v>18.82</v>
      </c>
      <c r="AR49" s="282">
        <f t="shared" si="102"/>
        <v>41.82</v>
      </c>
      <c r="AS49" s="282">
        <f t="shared" si="103"/>
        <v>40.04</v>
      </c>
      <c r="AT49" s="283">
        <f t="shared" si="104"/>
        <v>29.76</v>
      </c>
      <c r="AU49" s="281">
        <f t="shared" si="105"/>
        <v>14.39</v>
      </c>
      <c r="AV49" s="282">
        <f t="shared" si="106"/>
        <v>22.19</v>
      </c>
      <c r="AW49" s="282">
        <f t="shared" si="107"/>
        <v>25.52</v>
      </c>
      <c r="AX49" s="283"/>
      <c r="BC49" s="281">
        <f t="shared" si="108"/>
        <v>42.260000000000005</v>
      </c>
      <c r="BD49" s="282">
        <f t="shared" si="109"/>
        <v>23.86</v>
      </c>
      <c r="BE49" s="282">
        <f t="shared" si="110"/>
        <v>44.03</v>
      </c>
      <c r="BF49" s="283"/>
      <c r="BG49" s="281">
        <f t="shared" si="111"/>
        <v>28.15</v>
      </c>
      <c r="BH49" s="282">
        <f t="shared" si="112"/>
        <v>20.75</v>
      </c>
      <c r="BI49" s="282">
        <f t="shared" si="113"/>
        <v>32.370000000000005</v>
      </c>
      <c r="BJ49" s="283"/>
      <c r="BK49" s="281">
        <f t="shared" si="114"/>
        <v>18.77</v>
      </c>
      <c r="BL49" s="282">
        <f t="shared" si="115"/>
        <v>16.809999999999999</v>
      </c>
      <c r="BM49" s="282">
        <f t="shared" si="116"/>
        <v>21.66</v>
      </c>
      <c r="BN49" s="599"/>
      <c r="BT49" s="281">
        <f t="shared" si="117"/>
        <v>11.559999999999995</v>
      </c>
      <c r="BU49" s="282">
        <f t="shared" si="117"/>
        <v>-8.220000000000006</v>
      </c>
      <c r="BV49" s="283">
        <f t="shared" si="117"/>
        <v>6.220000000000006</v>
      </c>
      <c r="BW49" s="281">
        <f t="shared" si="118"/>
        <v>-5.1900000000000048</v>
      </c>
      <c r="BX49" s="281">
        <f t="shared" si="118"/>
        <v>6.1900000000000048</v>
      </c>
      <c r="BY49" s="281">
        <f t="shared" si="118"/>
        <v>22.550000000000004</v>
      </c>
      <c r="BZ49" s="281">
        <f t="shared" si="119"/>
        <v>38.660000000000004</v>
      </c>
      <c r="CA49" s="282">
        <f t="shared" si="119"/>
        <v>9.4799999999999898</v>
      </c>
      <c r="CB49" s="283">
        <f t="shared" si="119"/>
        <v>-22.34999999999998</v>
      </c>
      <c r="CC49" s="281">
        <f t="shared" si="120"/>
        <v>-27.759999999999991</v>
      </c>
      <c r="CD49" s="282">
        <f t="shared" si="120"/>
        <v>36.64</v>
      </c>
      <c r="CE49" s="283">
        <f t="shared" si="120"/>
        <v>-98.06</v>
      </c>
    </row>
    <row r="50" spans="1:83" ht="15" hidden="1" customHeight="1" x14ac:dyDescent="0.25">
      <c r="A50" s="520" t="s">
        <v>22</v>
      </c>
      <c r="B50" s="85">
        <v>10</v>
      </c>
      <c r="C50" s="370"/>
      <c r="D50" s="370"/>
      <c r="E50" s="370"/>
      <c r="F50" s="370">
        <v>19.100000000000001</v>
      </c>
      <c r="G50" s="281">
        <f t="shared" si="73"/>
        <v>11.7</v>
      </c>
      <c r="H50" s="282">
        <f t="shared" si="74"/>
        <v>16.29</v>
      </c>
      <c r="I50" s="282">
        <f t="shared" si="75"/>
        <v>19.59</v>
      </c>
      <c r="J50" s="283">
        <f t="shared" si="76"/>
        <v>8.8699999999999992</v>
      </c>
      <c r="K50" s="281">
        <f t="shared" si="77"/>
        <v>7.34</v>
      </c>
      <c r="L50" s="282">
        <f t="shared" si="78"/>
        <v>16.53</v>
      </c>
      <c r="M50" s="282">
        <f t="shared" si="79"/>
        <v>10.29</v>
      </c>
      <c r="N50" s="283">
        <f t="shared" si="80"/>
        <v>18.600000000000001</v>
      </c>
      <c r="O50" s="281">
        <f t="shared" si="81"/>
        <v>14.849999999999998</v>
      </c>
      <c r="P50" s="282">
        <f t="shared" si="82"/>
        <v>18.66</v>
      </c>
      <c r="Q50" s="282">
        <f t="shared" si="83"/>
        <v>10.94</v>
      </c>
      <c r="R50" s="283">
        <f t="shared" si="84"/>
        <v>21.950000000000003</v>
      </c>
      <c r="W50" s="281">
        <f t="shared" si="85"/>
        <v>19.18</v>
      </c>
      <c r="X50" s="282">
        <f t="shared" si="86"/>
        <v>15.34</v>
      </c>
      <c r="Y50" s="282">
        <f t="shared" si="87"/>
        <v>7.91</v>
      </c>
      <c r="Z50" s="283">
        <f t="shared" si="88"/>
        <v>17.760000000000002</v>
      </c>
      <c r="AA50" s="281">
        <f t="shared" si="89"/>
        <v>26.41</v>
      </c>
      <c r="AB50" s="282">
        <f t="shared" si="90"/>
        <v>25.56</v>
      </c>
      <c r="AC50" s="282">
        <f t="shared" si="91"/>
        <v>16.59</v>
      </c>
      <c r="AD50" s="283">
        <f t="shared" si="92"/>
        <v>21.09</v>
      </c>
      <c r="AE50" s="281">
        <f t="shared" si="93"/>
        <v>22.54</v>
      </c>
      <c r="AF50" s="282">
        <f t="shared" si="94"/>
        <v>21.5</v>
      </c>
      <c r="AG50" s="282">
        <f t="shared" si="95"/>
        <v>20.95</v>
      </c>
      <c r="AH50" s="283">
        <f t="shared" si="96"/>
        <v>29.669999999999998</v>
      </c>
      <c r="AM50" s="281">
        <f t="shared" si="97"/>
        <v>13.11</v>
      </c>
      <c r="AN50" s="282">
        <f t="shared" si="98"/>
        <v>27.93</v>
      </c>
      <c r="AO50" s="282">
        <f t="shared" si="99"/>
        <v>13.52</v>
      </c>
      <c r="AP50" s="283">
        <f t="shared" si="100"/>
        <v>15.129999999999999</v>
      </c>
      <c r="AQ50" s="281">
        <f t="shared" si="101"/>
        <v>20.47</v>
      </c>
      <c r="AR50" s="282">
        <f t="shared" si="102"/>
        <v>29.2</v>
      </c>
      <c r="AS50" s="282">
        <f t="shared" si="103"/>
        <v>27.61</v>
      </c>
      <c r="AT50" s="283">
        <f t="shared" si="104"/>
        <v>23.62</v>
      </c>
      <c r="AU50" s="281">
        <f t="shared" si="105"/>
        <v>44.04</v>
      </c>
      <c r="AV50" s="282">
        <f t="shared" si="106"/>
        <v>34.06</v>
      </c>
      <c r="AW50" s="282">
        <f t="shared" si="107"/>
        <v>40.57</v>
      </c>
      <c r="AX50" s="283"/>
      <c r="BC50" s="281">
        <f t="shared" si="108"/>
        <v>36.01</v>
      </c>
      <c r="BD50" s="282">
        <f t="shared" si="109"/>
        <v>29.66</v>
      </c>
      <c r="BE50" s="282">
        <f t="shared" si="110"/>
        <v>28.14</v>
      </c>
      <c r="BF50" s="283"/>
      <c r="BG50" s="281">
        <f t="shared" si="111"/>
        <v>0</v>
      </c>
      <c r="BH50" s="282">
        <f t="shared" si="112"/>
        <v>24.72</v>
      </c>
      <c r="BI50" s="282">
        <f t="shared" si="113"/>
        <v>35.380000000000003</v>
      </c>
      <c r="BJ50" s="283"/>
      <c r="BK50" s="281">
        <f t="shared" si="114"/>
        <v>53.05</v>
      </c>
      <c r="BL50" s="282">
        <f t="shared" si="115"/>
        <v>28.05</v>
      </c>
      <c r="BM50" s="282">
        <f t="shared" si="116"/>
        <v>29.310000000000002</v>
      </c>
      <c r="BN50" s="599"/>
      <c r="BT50" s="281">
        <f t="shared" si="117"/>
        <v>17.590000000000003</v>
      </c>
      <c r="BU50" s="282">
        <f t="shared" si="117"/>
        <v>-10.660000000000004</v>
      </c>
      <c r="BV50" s="283">
        <f t="shared" si="117"/>
        <v>8.6000000000000014</v>
      </c>
      <c r="BW50" s="281">
        <f t="shared" si="118"/>
        <v>-5.7299999999999969</v>
      </c>
      <c r="BX50" s="281">
        <f t="shared" si="118"/>
        <v>-16.949999999999996</v>
      </c>
      <c r="BY50" s="281">
        <f t="shared" si="118"/>
        <v>23.069999999999993</v>
      </c>
      <c r="BZ50" s="281">
        <f t="shared" si="119"/>
        <v>13.569999999999993</v>
      </c>
      <c r="CA50" s="282">
        <f t="shared" si="119"/>
        <v>-9.4900000000000091</v>
      </c>
      <c r="CB50" s="283">
        <f t="shared" si="119"/>
        <v>-17.309999999999988</v>
      </c>
      <c r="CC50" s="281">
        <f t="shared" si="120"/>
        <v>-6.6300000000000097</v>
      </c>
      <c r="CD50" s="282">
        <f t="shared" si="120"/>
        <v>10.40000000000002</v>
      </c>
      <c r="CE50" s="283">
        <f t="shared" si="120"/>
        <v>-92.830000000000013</v>
      </c>
    </row>
    <row r="51" spans="1:83" ht="15" hidden="1" customHeight="1" x14ac:dyDescent="0.25">
      <c r="A51" s="521"/>
      <c r="B51" s="55">
        <v>13</v>
      </c>
      <c r="C51" s="368"/>
      <c r="D51" s="368"/>
      <c r="E51" s="368"/>
      <c r="F51" s="368">
        <v>60.8</v>
      </c>
      <c r="G51" s="281">
        <f t="shared" si="73"/>
        <v>55.04</v>
      </c>
      <c r="H51" s="282">
        <f t="shared" si="74"/>
        <v>107.76</v>
      </c>
      <c r="I51" s="282">
        <f t="shared" si="75"/>
        <v>74.92</v>
      </c>
      <c r="J51" s="283">
        <f t="shared" si="76"/>
        <v>91.4</v>
      </c>
      <c r="K51" s="281">
        <f t="shared" si="77"/>
        <v>49.260000000000005</v>
      </c>
      <c r="L51" s="282">
        <f t="shared" si="78"/>
        <v>63.97</v>
      </c>
      <c r="M51" s="282">
        <f t="shared" si="79"/>
        <v>56.88</v>
      </c>
      <c r="N51" s="283">
        <f t="shared" si="80"/>
        <v>74.7</v>
      </c>
      <c r="O51" s="281">
        <f t="shared" si="81"/>
        <v>55.06</v>
      </c>
      <c r="P51" s="282">
        <f t="shared" si="82"/>
        <v>61.980000000000004</v>
      </c>
      <c r="Q51" s="282">
        <f t="shared" si="83"/>
        <v>44.790000000000006</v>
      </c>
      <c r="R51" s="283">
        <f t="shared" si="84"/>
        <v>57.589999999999996</v>
      </c>
      <c r="W51" s="281">
        <f t="shared" si="85"/>
        <v>51.75</v>
      </c>
      <c r="X51" s="282">
        <f t="shared" si="86"/>
        <v>47.14</v>
      </c>
      <c r="Y51" s="282">
        <f t="shared" si="87"/>
        <v>68.010000000000005</v>
      </c>
      <c r="Z51" s="283">
        <f t="shared" si="88"/>
        <v>47.86</v>
      </c>
      <c r="AA51" s="281">
        <f t="shared" si="89"/>
        <v>86.15</v>
      </c>
      <c r="AB51" s="282">
        <f t="shared" si="90"/>
        <v>85.9</v>
      </c>
      <c r="AC51" s="282">
        <f t="shared" si="91"/>
        <v>48.01</v>
      </c>
      <c r="AD51" s="283">
        <f t="shared" si="92"/>
        <v>90.56</v>
      </c>
      <c r="AE51" s="281">
        <f t="shared" si="93"/>
        <v>76.180000000000007</v>
      </c>
      <c r="AF51" s="282">
        <f t="shared" si="94"/>
        <v>77.59</v>
      </c>
      <c r="AG51" s="282">
        <f t="shared" si="95"/>
        <v>53.45</v>
      </c>
      <c r="AH51" s="283">
        <f t="shared" si="96"/>
        <v>56.22</v>
      </c>
      <c r="AM51" s="281">
        <f t="shared" si="97"/>
        <v>84.359999999999985</v>
      </c>
      <c r="AN51" s="282">
        <f t="shared" si="98"/>
        <v>93.78</v>
      </c>
      <c r="AO51" s="282">
        <f t="shared" si="99"/>
        <v>71.09</v>
      </c>
      <c r="AP51" s="283">
        <f t="shared" si="100"/>
        <v>89.53</v>
      </c>
      <c r="AQ51" s="281">
        <f t="shared" si="101"/>
        <v>80.569999999999993</v>
      </c>
      <c r="AR51" s="282">
        <f t="shared" si="102"/>
        <v>85.92</v>
      </c>
      <c r="AS51" s="282">
        <f t="shared" si="103"/>
        <v>96.89</v>
      </c>
      <c r="AT51" s="283">
        <f t="shared" si="104"/>
        <v>66.47</v>
      </c>
      <c r="AU51" s="281">
        <f t="shared" si="105"/>
        <v>96.34</v>
      </c>
      <c r="AV51" s="282">
        <f t="shared" si="106"/>
        <v>109.63999999999999</v>
      </c>
      <c r="AW51" s="282">
        <f t="shared" si="107"/>
        <v>80.66</v>
      </c>
      <c r="AX51" s="283"/>
      <c r="BC51" s="281">
        <f t="shared" si="108"/>
        <v>113.44</v>
      </c>
      <c r="BD51" s="282">
        <f t="shared" si="109"/>
        <v>94.43</v>
      </c>
      <c r="BE51" s="282">
        <f t="shared" si="110"/>
        <v>184.71</v>
      </c>
      <c r="BF51" s="283"/>
      <c r="BG51" s="281">
        <f t="shared" si="111"/>
        <v>119.28</v>
      </c>
      <c r="BH51" s="282">
        <f t="shared" si="112"/>
        <v>112.62</v>
      </c>
      <c r="BI51" s="282">
        <f t="shared" si="113"/>
        <v>139.12900000000002</v>
      </c>
      <c r="BJ51" s="283"/>
      <c r="BK51" s="281">
        <f t="shared" si="114"/>
        <v>97.38</v>
      </c>
      <c r="BL51" s="282">
        <f t="shared" si="115"/>
        <v>98.88</v>
      </c>
      <c r="BM51" s="282">
        <f t="shared" si="116"/>
        <v>80.319999999999993</v>
      </c>
      <c r="BN51" s="599"/>
      <c r="BT51" s="281">
        <f t="shared" si="117"/>
        <v>74.350000000000023</v>
      </c>
      <c r="BU51" s="282">
        <f t="shared" si="117"/>
        <v>-57.120000000000005</v>
      </c>
      <c r="BV51" s="283">
        <f t="shared" si="117"/>
        <v>47.099999999999994</v>
      </c>
      <c r="BW51" s="281">
        <f t="shared" si="118"/>
        <v>-3.4499999999999886</v>
      </c>
      <c r="BX51" s="281">
        <f t="shared" si="118"/>
        <v>-41.16</v>
      </c>
      <c r="BY51" s="281">
        <f t="shared" si="118"/>
        <v>25.169999999999987</v>
      </c>
      <c r="BZ51" s="281">
        <f t="shared" si="119"/>
        <v>28.069999999999993</v>
      </c>
      <c r="CA51" s="282">
        <f t="shared" si="119"/>
        <v>-40.69999999999996</v>
      </c>
      <c r="CB51" s="283">
        <f t="shared" si="119"/>
        <v>-0.75000000000002842</v>
      </c>
      <c r="CC51" s="281">
        <f t="shared" si="120"/>
        <v>-24.170000000000016</v>
      </c>
      <c r="CD51" s="282">
        <f t="shared" si="120"/>
        <v>98.229000000000042</v>
      </c>
      <c r="CE51" s="283">
        <f t="shared" si="120"/>
        <v>-404.15900000000005</v>
      </c>
    </row>
    <row r="52" spans="1:83" ht="15" hidden="1" customHeight="1" x14ac:dyDescent="0.25">
      <c r="A52" s="521"/>
      <c r="B52" s="55">
        <v>14</v>
      </c>
      <c r="C52" s="368"/>
      <c r="D52" s="368"/>
      <c r="E52" s="368"/>
      <c r="F52" s="368">
        <v>41.6</v>
      </c>
      <c r="G52" s="281">
        <f t="shared" si="73"/>
        <v>65.56</v>
      </c>
      <c r="H52" s="282">
        <f t="shared" si="74"/>
        <v>42.41</v>
      </c>
      <c r="I52" s="282">
        <f t="shared" si="75"/>
        <v>52.870000000000005</v>
      </c>
      <c r="J52" s="283">
        <f t="shared" si="76"/>
        <v>46.739999999999995</v>
      </c>
      <c r="K52" s="281">
        <f t="shared" si="77"/>
        <v>34.21</v>
      </c>
      <c r="L52" s="282">
        <f t="shared" si="78"/>
        <v>45.37</v>
      </c>
      <c r="M52" s="282">
        <f t="shared" si="79"/>
        <v>38.82</v>
      </c>
      <c r="N52" s="283">
        <f t="shared" si="80"/>
        <v>39.24</v>
      </c>
      <c r="O52" s="281">
        <f t="shared" si="81"/>
        <v>29.24</v>
      </c>
      <c r="P52" s="282">
        <f t="shared" si="82"/>
        <v>58.05</v>
      </c>
      <c r="Q52" s="282">
        <f t="shared" si="83"/>
        <v>18.579999999999998</v>
      </c>
      <c r="R52" s="283">
        <f t="shared" si="84"/>
        <v>32.08</v>
      </c>
      <c r="W52" s="281">
        <f t="shared" si="85"/>
        <v>28.13</v>
      </c>
      <c r="X52" s="282">
        <f t="shared" si="86"/>
        <v>37.229999999999997</v>
      </c>
      <c r="Y52" s="282">
        <f t="shared" si="87"/>
        <v>48.01</v>
      </c>
      <c r="Z52" s="283">
        <f t="shared" si="88"/>
        <v>61.87</v>
      </c>
      <c r="AA52" s="281">
        <f t="shared" si="89"/>
        <v>86.62</v>
      </c>
      <c r="AB52" s="282">
        <f t="shared" si="90"/>
        <v>59.67</v>
      </c>
      <c r="AC52" s="282">
        <f t="shared" si="91"/>
        <v>71.760000000000005</v>
      </c>
      <c r="AD52" s="283">
        <f t="shared" si="92"/>
        <v>55.48</v>
      </c>
      <c r="AE52" s="281">
        <f t="shared" si="93"/>
        <v>44.92</v>
      </c>
      <c r="AF52" s="282">
        <f t="shared" si="94"/>
        <v>55.47</v>
      </c>
      <c r="AG52" s="282">
        <f t="shared" si="95"/>
        <v>41.28</v>
      </c>
      <c r="AH52" s="283">
        <f t="shared" si="96"/>
        <v>76.95</v>
      </c>
      <c r="AM52" s="281">
        <f t="shared" si="97"/>
        <v>62.59</v>
      </c>
      <c r="AN52" s="282">
        <f t="shared" si="98"/>
        <v>51.68</v>
      </c>
      <c r="AO52" s="282">
        <f t="shared" si="99"/>
        <v>53.03</v>
      </c>
      <c r="AP52" s="283">
        <f t="shared" si="100"/>
        <v>62.519999999999996</v>
      </c>
      <c r="AQ52" s="281">
        <f t="shared" si="101"/>
        <v>49.78</v>
      </c>
      <c r="AR52" s="282">
        <f t="shared" si="102"/>
        <v>58.789999999999992</v>
      </c>
      <c r="AS52" s="282">
        <f t="shared" si="103"/>
        <v>105.18</v>
      </c>
      <c r="AT52" s="283">
        <f t="shared" si="104"/>
        <v>58.45</v>
      </c>
      <c r="AU52" s="281">
        <f t="shared" si="105"/>
        <v>59</v>
      </c>
      <c r="AV52" s="282">
        <f t="shared" si="106"/>
        <v>79.78</v>
      </c>
      <c r="AW52" s="282">
        <f t="shared" si="107"/>
        <v>84.46</v>
      </c>
      <c r="AX52" s="283"/>
      <c r="BC52" s="281">
        <f t="shared" si="108"/>
        <v>61.58</v>
      </c>
      <c r="BD52" s="282">
        <f t="shared" si="109"/>
        <v>57.91</v>
      </c>
      <c r="BE52" s="282">
        <f t="shared" si="110"/>
        <v>96.19</v>
      </c>
      <c r="BF52" s="283"/>
      <c r="BG52" s="281">
        <f t="shared" si="111"/>
        <v>64.37</v>
      </c>
      <c r="BH52" s="282">
        <f t="shared" si="112"/>
        <v>77.38</v>
      </c>
      <c r="BI52" s="282">
        <f t="shared" si="113"/>
        <v>58.596000000000004</v>
      </c>
      <c r="BJ52" s="283"/>
      <c r="BK52" s="281">
        <f t="shared" si="114"/>
        <v>63.52</v>
      </c>
      <c r="BL52" s="282">
        <f t="shared" si="115"/>
        <v>63.4</v>
      </c>
      <c r="BM52" s="282">
        <f t="shared" si="116"/>
        <v>93.91</v>
      </c>
      <c r="BN52" s="599"/>
      <c r="BT52" s="281">
        <f t="shared" si="117"/>
        <v>16.819999999999965</v>
      </c>
      <c r="BU52" s="282">
        <f t="shared" si="117"/>
        <v>-35.559999999999988</v>
      </c>
      <c r="BV52" s="283">
        <f t="shared" si="117"/>
        <v>7.789999999999992</v>
      </c>
      <c r="BW52" s="281">
        <f t="shared" si="118"/>
        <v>-7.3000000000000114</v>
      </c>
      <c r="BX52" s="281">
        <f t="shared" si="118"/>
        <v>8.6800000000000068</v>
      </c>
      <c r="BY52" s="281">
        <f t="shared" si="118"/>
        <v>33.25</v>
      </c>
      <c r="BZ52" s="281">
        <f t="shared" si="119"/>
        <v>18.879999999999995</v>
      </c>
      <c r="CA52" s="282">
        <f t="shared" si="119"/>
        <v>52.420000000000016</v>
      </c>
      <c r="CB52" s="283">
        <f t="shared" si="119"/>
        <v>-45.650000000000034</v>
      </c>
      <c r="CC52" s="281">
        <f t="shared" si="120"/>
        <v>9.2199999999999989</v>
      </c>
      <c r="CD52" s="282">
        <f t="shared" si="120"/>
        <v>50.006</v>
      </c>
      <c r="CE52" s="283">
        <f t="shared" si="120"/>
        <v>-248.696</v>
      </c>
    </row>
    <row r="53" spans="1:83" ht="15" hidden="1" customHeight="1" x14ac:dyDescent="0.25">
      <c r="A53" s="521"/>
      <c r="B53" s="55">
        <v>15</v>
      </c>
      <c r="C53" s="368"/>
      <c r="D53" s="368"/>
      <c r="E53" s="368"/>
      <c r="F53" s="368">
        <v>49.3</v>
      </c>
      <c r="G53" s="281">
        <f t="shared" si="73"/>
        <v>25.64</v>
      </c>
      <c r="H53" s="282">
        <f t="shared" si="74"/>
        <v>69.069999999999993</v>
      </c>
      <c r="I53" s="282">
        <f t="shared" si="75"/>
        <v>37.380000000000003</v>
      </c>
      <c r="J53" s="283">
        <f t="shared" si="76"/>
        <v>58.17</v>
      </c>
      <c r="K53" s="281">
        <f t="shared" si="77"/>
        <v>19.36</v>
      </c>
      <c r="L53" s="282">
        <f t="shared" si="78"/>
        <v>56.76</v>
      </c>
      <c r="M53" s="282">
        <f t="shared" si="79"/>
        <v>16.95</v>
      </c>
      <c r="N53" s="283">
        <f t="shared" si="80"/>
        <v>59.539999999999992</v>
      </c>
      <c r="O53" s="281">
        <f t="shared" si="81"/>
        <v>36.07</v>
      </c>
      <c r="P53" s="282">
        <f t="shared" si="82"/>
        <v>60.91</v>
      </c>
      <c r="Q53" s="282">
        <f t="shared" si="83"/>
        <v>13.440000000000001</v>
      </c>
      <c r="R53" s="283">
        <f t="shared" si="84"/>
        <v>48.32</v>
      </c>
      <c r="W53" s="281">
        <f t="shared" si="85"/>
        <v>37</v>
      </c>
      <c r="X53" s="282">
        <f t="shared" si="86"/>
        <v>45.019999999999996</v>
      </c>
      <c r="Y53" s="282">
        <f t="shared" si="87"/>
        <v>14.53</v>
      </c>
      <c r="Z53" s="283">
        <f t="shared" si="88"/>
        <v>46.6</v>
      </c>
      <c r="AA53" s="281">
        <f t="shared" si="89"/>
        <v>48.989999999999995</v>
      </c>
      <c r="AB53" s="282">
        <f t="shared" si="90"/>
        <v>52.25</v>
      </c>
      <c r="AC53" s="282">
        <f t="shared" si="91"/>
        <v>32.5</v>
      </c>
      <c r="AD53" s="283">
        <f t="shared" si="92"/>
        <v>59.36</v>
      </c>
      <c r="AE53" s="281">
        <f t="shared" si="93"/>
        <v>81.740000000000009</v>
      </c>
      <c r="AF53" s="282">
        <f t="shared" si="94"/>
        <v>59.48</v>
      </c>
      <c r="AG53" s="282">
        <f t="shared" si="95"/>
        <v>49.5</v>
      </c>
      <c r="AH53" s="283">
        <f t="shared" si="96"/>
        <v>54.86</v>
      </c>
      <c r="AM53" s="281">
        <f t="shared" si="97"/>
        <v>60.22</v>
      </c>
      <c r="AN53" s="282">
        <f t="shared" si="98"/>
        <v>69.97999999999999</v>
      </c>
      <c r="AO53" s="282">
        <f t="shared" si="99"/>
        <v>34.08</v>
      </c>
      <c r="AP53" s="283">
        <f t="shared" si="100"/>
        <v>51.02</v>
      </c>
      <c r="AQ53" s="281">
        <f t="shared" si="101"/>
        <v>72.84</v>
      </c>
      <c r="AR53" s="282">
        <f t="shared" si="102"/>
        <v>65.38</v>
      </c>
      <c r="AS53" s="282">
        <f t="shared" si="103"/>
        <v>96.44</v>
      </c>
      <c r="AT53" s="283">
        <f t="shared" si="104"/>
        <v>51.72</v>
      </c>
      <c r="AU53" s="281">
        <f t="shared" si="105"/>
        <v>50.53</v>
      </c>
      <c r="AV53" s="282">
        <f t="shared" si="106"/>
        <v>69.63</v>
      </c>
      <c r="AW53" s="282">
        <f t="shared" si="107"/>
        <v>79.52</v>
      </c>
      <c r="AX53" s="283"/>
      <c r="BC53" s="281">
        <f t="shared" si="108"/>
        <v>110.6</v>
      </c>
      <c r="BD53" s="282">
        <f t="shared" si="109"/>
        <v>75.489999999999995</v>
      </c>
      <c r="BE53" s="282">
        <f t="shared" si="110"/>
        <v>107.01999999999998</v>
      </c>
      <c r="BF53" s="283"/>
      <c r="BG53" s="281">
        <f t="shared" si="111"/>
        <v>61.53</v>
      </c>
      <c r="BH53" s="282">
        <f t="shared" si="112"/>
        <v>71.150000000000006</v>
      </c>
      <c r="BI53" s="282">
        <f t="shared" si="113"/>
        <v>77.91</v>
      </c>
      <c r="BJ53" s="283"/>
      <c r="BK53" s="281">
        <f t="shared" si="114"/>
        <v>82.2</v>
      </c>
      <c r="BL53" s="282">
        <f t="shared" si="115"/>
        <v>58.239999999999995</v>
      </c>
      <c r="BM53" s="282">
        <f t="shared" si="116"/>
        <v>60.49</v>
      </c>
      <c r="BN53" s="599"/>
      <c r="BT53" s="281">
        <f t="shared" si="117"/>
        <v>105.66999999999999</v>
      </c>
      <c r="BU53" s="282">
        <f t="shared" si="117"/>
        <v>-118.96999999999998</v>
      </c>
      <c r="BV53" s="283">
        <f t="shared" si="117"/>
        <v>98.26</v>
      </c>
      <c r="BW53" s="281">
        <f t="shared" si="118"/>
        <v>-10.980000000000018</v>
      </c>
      <c r="BX53" s="281">
        <f t="shared" si="118"/>
        <v>-60.22</v>
      </c>
      <c r="BY53" s="281">
        <f t="shared" si="118"/>
        <v>64.289999999999992</v>
      </c>
      <c r="BZ53" s="281">
        <f t="shared" si="119"/>
        <v>21.399999999999977</v>
      </c>
      <c r="CA53" s="282">
        <f t="shared" si="119"/>
        <v>5.0499999999999829</v>
      </c>
      <c r="CB53" s="283">
        <f t="shared" si="119"/>
        <v>-50.879999999999939</v>
      </c>
      <c r="CC53" s="281">
        <f t="shared" si="120"/>
        <v>-49.449999999999989</v>
      </c>
      <c r="CD53" s="282">
        <f t="shared" si="120"/>
        <v>40.539999999999992</v>
      </c>
      <c r="CE53" s="283">
        <f t="shared" si="120"/>
        <v>-245.42</v>
      </c>
    </row>
    <row r="54" spans="1:83" ht="15" hidden="1" customHeight="1" x14ac:dyDescent="0.25">
      <c r="A54" s="521"/>
      <c r="B54" s="55">
        <v>16</v>
      </c>
      <c r="C54" s="368"/>
      <c r="D54" s="368"/>
      <c r="E54" s="368"/>
      <c r="F54" s="368">
        <v>53.2</v>
      </c>
      <c r="G54" s="281">
        <f t="shared" si="73"/>
        <v>46.480000000000004</v>
      </c>
      <c r="H54" s="282">
        <f t="shared" si="74"/>
        <v>65.75</v>
      </c>
      <c r="I54" s="282">
        <f t="shared" si="75"/>
        <v>48.33</v>
      </c>
      <c r="J54" s="283">
        <f t="shared" si="76"/>
        <v>42.08</v>
      </c>
      <c r="K54" s="281">
        <f t="shared" si="77"/>
        <v>47.370000000000005</v>
      </c>
      <c r="L54" s="282">
        <f t="shared" si="78"/>
        <v>82.25</v>
      </c>
      <c r="M54" s="282">
        <f t="shared" si="79"/>
        <v>34.19</v>
      </c>
      <c r="N54" s="283">
        <f t="shared" si="80"/>
        <v>65.67</v>
      </c>
      <c r="O54" s="281">
        <f t="shared" si="81"/>
        <v>44.989999999999995</v>
      </c>
      <c r="P54" s="282">
        <f t="shared" si="82"/>
        <v>75.31</v>
      </c>
      <c r="Q54" s="282">
        <f t="shared" si="83"/>
        <v>23.630000000000003</v>
      </c>
      <c r="R54" s="283">
        <f t="shared" si="84"/>
        <v>62.629999999999995</v>
      </c>
      <c r="W54" s="281">
        <f t="shared" si="85"/>
        <v>51.67</v>
      </c>
      <c r="X54" s="282">
        <f t="shared" si="86"/>
        <v>49.5</v>
      </c>
      <c r="Y54" s="282">
        <f t="shared" si="87"/>
        <v>55.41</v>
      </c>
      <c r="Z54" s="283">
        <f t="shared" si="88"/>
        <v>59.59</v>
      </c>
      <c r="AA54" s="281">
        <f t="shared" si="89"/>
        <v>71.490000000000009</v>
      </c>
      <c r="AB54" s="282">
        <f t="shared" si="90"/>
        <v>67.050000000000011</v>
      </c>
      <c r="AC54" s="282">
        <f t="shared" si="91"/>
        <v>40.53</v>
      </c>
      <c r="AD54" s="283">
        <f t="shared" si="92"/>
        <v>73.150000000000006</v>
      </c>
      <c r="AE54" s="281">
        <f t="shared" si="93"/>
        <v>112.24000000000001</v>
      </c>
      <c r="AF54" s="282">
        <f t="shared" si="94"/>
        <v>64.47</v>
      </c>
      <c r="AG54" s="282">
        <f t="shared" si="95"/>
        <v>68.680000000000007</v>
      </c>
      <c r="AH54" s="283">
        <f t="shared" si="96"/>
        <v>69.87</v>
      </c>
      <c r="AM54" s="281">
        <f t="shared" si="97"/>
        <v>91.59</v>
      </c>
      <c r="AN54" s="282">
        <f t="shared" si="98"/>
        <v>103.61</v>
      </c>
      <c r="AO54" s="282">
        <f t="shared" si="99"/>
        <v>68.210000000000008</v>
      </c>
      <c r="AP54" s="283">
        <f t="shared" si="100"/>
        <v>76.2</v>
      </c>
      <c r="AQ54" s="281">
        <f t="shared" si="101"/>
        <v>105.17</v>
      </c>
      <c r="AR54" s="282">
        <f t="shared" si="102"/>
        <v>93.17</v>
      </c>
      <c r="AS54" s="282">
        <f t="shared" si="103"/>
        <v>115.72</v>
      </c>
      <c r="AT54" s="283">
        <f t="shared" si="104"/>
        <v>78.81</v>
      </c>
      <c r="AU54" s="281">
        <f t="shared" si="105"/>
        <v>103.51</v>
      </c>
      <c r="AV54" s="282">
        <f t="shared" si="106"/>
        <v>91.37</v>
      </c>
      <c r="AW54" s="282">
        <f t="shared" si="107"/>
        <v>88.25</v>
      </c>
      <c r="AX54" s="283"/>
      <c r="BC54" s="281">
        <f t="shared" si="108"/>
        <v>118.93</v>
      </c>
      <c r="BD54" s="282">
        <f t="shared" si="109"/>
        <v>84.15</v>
      </c>
      <c r="BE54" s="282">
        <f t="shared" si="110"/>
        <v>115.61</v>
      </c>
      <c r="BF54" s="283"/>
      <c r="BG54" s="281">
        <f t="shared" si="111"/>
        <v>81.400000000000006</v>
      </c>
      <c r="BH54" s="282">
        <f t="shared" si="112"/>
        <v>83.330000000000013</v>
      </c>
      <c r="BI54" s="282">
        <f t="shared" si="113"/>
        <v>91.01</v>
      </c>
      <c r="BJ54" s="283"/>
      <c r="BK54" s="281">
        <f t="shared" si="114"/>
        <v>96.32</v>
      </c>
      <c r="BL54" s="282">
        <f t="shared" si="115"/>
        <v>65.490000000000009</v>
      </c>
      <c r="BM54" s="282">
        <f t="shared" si="116"/>
        <v>87.66</v>
      </c>
      <c r="BN54" s="599"/>
      <c r="BT54" s="281">
        <f t="shared" si="117"/>
        <v>84.47</v>
      </c>
      <c r="BU54" s="282">
        <f t="shared" si="117"/>
        <v>-117.16</v>
      </c>
      <c r="BV54" s="283">
        <f t="shared" si="117"/>
        <v>64.22999999999999</v>
      </c>
      <c r="BW54" s="281">
        <f t="shared" si="118"/>
        <v>-54.380000000000024</v>
      </c>
      <c r="BX54" s="281">
        <f t="shared" si="118"/>
        <v>-16.400000000000006</v>
      </c>
      <c r="BY54" s="281">
        <f t="shared" si="118"/>
        <v>37.990000000000009</v>
      </c>
      <c r="BZ54" s="281">
        <f t="shared" si="119"/>
        <v>-12.120000000000005</v>
      </c>
      <c r="CA54" s="282">
        <f t="shared" si="119"/>
        <v>-15.96999999999997</v>
      </c>
      <c r="CB54" s="283">
        <f t="shared" si="119"/>
        <v>-35.760000000000019</v>
      </c>
      <c r="CC54" s="281">
        <f t="shared" si="120"/>
        <v>-63.67999999999995</v>
      </c>
      <c r="CD54" s="282">
        <f t="shared" si="120"/>
        <v>61.309999999999945</v>
      </c>
      <c r="CE54" s="283">
        <f t="shared" si="120"/>
        <v>-294.27999999999997</v>
      </c>
    </row>
    <row r="55" spans="1:83" ht="15" hidden="1" customHeight="1" x14ac:dyDescent="0.25">
      <c r="A55" s="521"/>
      <c r="B55" s="55">
        <v>17</v>
      </c>
      <c r="C55" s="368"/>
      <c r="D55" s="368"/>
      <c r="E55" s="368"/>
      <c r="F55" s="368">
        <v>45.7</v>
      </c>
      <c r="G55" s="281">
        <f t="shared" si="73"/>
        <v>36.549999999999997</v>
      </c>
      <c r="H55" s="282">
        <f t="shared" si="74"/>
        <v>48.370000000000005</v>
      </c>
      <c r="I55" s="282">
        <f t="shared" si="75"/>
        <v>45.769999999999996</v>
      </c>
      <c r="J55" s="283">
        <f t="shared" si="76"/>
        <v>35.18</v>
      </c>
      <c r="K55" s="281">
        <f t="shared" si="77"/>
        <v>44.16</v>
      </c>
      <c r="L55" s="282">
        <f t="shared" si="78"/>
        <v>32.46</v>
      </c>
      <c r="M55" s="282">
        <f t="shared" si="79"/>
        <v>26.55</v>
      </c>
      <c r="N55" s="283">
        <f t="shared" si="80"/>
        <v>78.650000000000006</v>
      </c>
      <c r="O55" s="281">
        <f t="shared" si="81"/>
        <v>40.82</v>
      </c>
      <c r="P55" s="282">
        <f t="shared" si="82"/>
        <v>56.51</v>
      </c>
      <c r="Q55" s="282">
        <f t="shared" si="83"/>
        <v>21.46</v>
      </c>
      <c r="R55" s="283">
        <f t="shared" si="84"/>
        <v>56.2</v>
      </c>
      <c r="W55" s="281">
        <f t="shared" si="85"/>
        <v>51.540000000000006</v>
      </c>
      <c r="X55" s="282">
        <f t="shared" si="86"/>
        <v>46.55</v>
      </c>
      <c r="Y55" s="282">
        <f t="shared" si="87"/>
        <v>57.06</v>
      </c>
      <c r="Z55" s="283">
        <f t="shared" si="88"/>
        <v>48.38</v>
      </c>
      <c r="AA55" s="281">
        <f t="shared" si="89"/>
        <v>74.449999999999989</v>
      </c>
      <c r="AB55" s="282">
        <f t="shared" si="90"/>
        <v>63.730000000000004</v>
      </c>
      <c r="AC55" s="282">
        <f t="shared" si="91"/>
        <v>57.019999999999996</v>
      </c>
      <c r="AD55" s="283">
        <f t="shared" si="92"/>
        <v>62.33</v>
      </c>
      <c r="AE55" s="281">
        <f t="shared" si="93"/>
        <v>102.15</v>
      </c>
      <c r="AF55" s="282">
        <f t="shared" si="94"/>
        <v>63.400000000000006</v>
      </c>
      <c r="AG55" s="282">
        <f t="shared" si="95"/>
        <v>59.54</v>
      </c>
      <c r="AH55" s="283">
        <f t="shared" si="96"/>
        <v>71.84</v>
      </c>
      <c r="AM55" s="281">
        <f t="shared" si="97"/>
        <v>79.64</v>
      </c>
      <c r="AN55" s="282">
        <f t="shared" si="98"/>
        <v>66.400000000000006</v>
      </c>
      <c r="AO55" s="282">
        <f t="shared" si="99"/>
        <v>62.67</v>
      </c>
      <c r="AP55" s="283">
        <f t="shared" si="100"/>
        <v>75.58</v>
      </c>
      <c r="AQ55" s="281">
        <f t="shared" si="101"/>
        <v>130.93</v>
      </c>
      <c r="AR55" s="282">
        <f t="shared" si="102"/>
        <v>80.08</v>
      </c>
      <c r="AS55" s="282">
        <f t="shared" si="103"/>
        <v>114.07000000000001</v>
      </c>
      <c r="AT55" s="283">
        <f t="shared" si="104"/>
        <v>67.88</v>
      </c>
      <c r="AU55" s="281">
        <f t="shared" si="105"/>
        <v>78.13</v>
      </c>
      <c r="AV55" s="282">
        <f t="shared" si="106"/>
        <v>79.959999999999994</v>
      </c>
      <c r="AW55" s="282">
        <f t="shared" si="107"/>
        <v>78.14</v>
      </c>
      <c r="AX55" s="283"/>
      <c r="BC55" s="281">
        <f t="shared" si="108"/>
        <v>89.15</v>
      </c>
      <c r="BD55" s="282">
        <f t="shared" si="109"/>
        <v>77.740000000000009</v>
      </c>
      <c r="BE55" s="282">
        <f t="shared" si="110"/>
        <v>120.67</v>
      </c>
      <c r="BF55" s="283"/>
      <c r="BG55" s="281">
        <f t="shared" si="111"/>
        <v>60.17</v>
      </c>
      <c r="BH55" s="282">
        <f t="shared" si="112"/>
        <v>69.039999999999992</v>
      </c>
      <c r="BI55" s="282">
        <f t="shared" si="113"/>
        <v>74.709999999999994</v>
      </c>
      <c r="BJ55" s="283"/>
      <c r="BK55" s="281">
        <f t="shared" si="114"/>
        <v>83.35</v>
      </c>
      <c r="BL55" s="282">
        <f t="shared" si="115"/>
        <v>52.19</v>
      </c>
      <c r="BM55" s="282">
        <f t="shared" si="116"/>
        <v>96.89</v>
      </c>
      <c r="BN55" s="599"/>
      <c r="BT55" s="281">
        <f t="shared" si="117"/>
        <v>15.810000000000002</v>
      </c>
      <c r="BU55" s="282">
        <f t="shared" si="117"/>
        <v>-43.56</v>
      </c>
      <c r="BV55" s="283">
        <f t="shared" si="117"/>
        <v>76.250000000000028</v>
      </c>
      <c r="BW55" s="281">
        <f t="shared" si="118"/>
        <v>-54.45999999999998</v>
      </c>
      <c r="BX55" s="281">
        <f t="shared" si="118"/>
        <v>-6.0000000000002274E-2</v>
      </c>
      <c r="BY55" s="281">
        <f t="shared" si="118"/>
        <v>8.9300000000000068</v>
      </c>
      <c r="BZ55" s="281">
        <f t="shared" si="119"/>
        <v>-62.259999999999991</v>
      </c>
      <c r="CA55" s="282">
        <f t="shared" si="119"/>
        <v>28.439999999999998</v>
      </c>
      <c r="CB55" s="283">
        <f t="shared" si="119"/>
        <v>-46.610000000000014</v>
      </c>
      <c r="CC55" s="281">
        <f t="shared" si="120"/>
        <v>-33.699999999999989</v>
      </c>
      <c r="CD55" s="282">
        <f t="shared" si="120"/>
        <v>93.299999999999983</v>
      </c>
      <c r="CE55" s="283">
        <f t="shared" si="120"/>
        <v>-292.27</v>
      </c>
    </row>
    <row r="56" spans="1:83" ht="15.75" hidden="1" customHeight="1" thickBot="1" x14ac:dyDescent="0.3">
      <c r="A56" s="522"/>
      <c r="B56" s="88">
        <v>18</v>
      </c>
      <c r="C56" s="371"/>
      <c r="D56" s="371"/>
      <c r="E56" s="371"/>
      <c r="F56" s="369">
        <v>40.799999999999997</v>
      </c>
      <c r="G56" s="281">
        <f t="shared" si="73"/>
        <v>49.489999999999995</v>
      </c>
      <c r="H56" s="282">
        <f t="shared" si="74"/>
        <v>81.759999999999991</v>
      </c>
      <c r="I56" s="282">
        <f t="shared" si="75"/>
        <v>58.010000000000005</v>
      </c>
      <c r="J56" s="283">
        <f t="shared" si="76"/>
        <v>54.83</v>
      </c>
      <c r="K56" s="281">
        <f t="shared" si="77"/>
        <v>30.770000000000003</v>
      </c>
      <c r="L56" s="282">
        <f t="shared" si="78"/>
        <v>49.31</v>
      </c>
      <c r="M56" s="282">
        <f t="shared" si="79"/>
        <v>38.22</v>
      </c>
      <c r="N56" s="283">
        <f t="shared" si="80"/>
        <v>52.43</v>
      </c>
      <c r="O56" s="281">
        <f t="shared" si="81"/>
        <v>41.150000000000006</v>
      </c>
      <c r="P56" s="282">
        <f t="shared" si="82"/>
        <v>30.29</v>
      </c>
      <c r="Q56" s="282">
        <f t="shared" si="83"/>
        <v>30.490000000000002</v>
      </c>
      <c r="R56" s="283">
        <f t="shared" si="84"/>
        <v>45.2</v>
      </c>
      <c r="W56" s="281">
        <f t="shared" si="85"/>
        <v>37.89</v>
      </c>
      <c r="X56" s="282">
        <f t="shared" si="86"/>
        <v>64.37</v>
      </c>
      <c r="Y56" s="282">
        <f t="shared" si="87"/>
        <v>55.14</v>
      </c>
      <c r="Z56" s="283">
        <f t="shared" si="88"/>
        <v>65.709999999999994</v>
      </c>
      <c r="AA56" s="281">
        <f t="shared" si="89"/>
        <v>60.69</v>
      </c>
      <c r="AB56" s="282">
        <f t="shared" si="90"/>
        <v>43.16</v>
      </c>
      <c r="AC56" s="282">
        <f t="shared" si="91"/>
        <v>46.07</v>
      </c>
      <c r="AD56" s="283">
        <f t="shared" si="92"/>
        <v>60.910000000000004</v>
      </c>
      <c r="AE56" s="281">
        <f t="shared" si="93"/>
        <v>81.960000000000008</v>
      </c>
      <c r="AF56" s="282">
        <f t="shared" si="94"/>
        <v>58.78</v>
      </c>
      <c r="AG56" s="282">
        <f t="shared" si="95"/>
        <v>40.53</v>
      </c>
      <c r="AH56" s="283">
        <f t="shared" si="96"/>
        <v>53.150000000000006</v>
      </c>
      <c r="AM56" s="281">
        <f t="shared" si="97"/>
        <v>47.95</v>
      </c>
      <c r="AN56" s="282">
        <f t="shared" si="98"/>
        <v>62.41</v>
      </c>
      <c r="AO56" s="282">
        <f t="shared" si="99"/>
        <v>59.76</v>
      </c>
      <c r="AP56" s="283">
        <f t="shared" si="100"/>
        <v>69.66</v>
      </c>
      <c r="AQ56" s="281">
        <f t="shared" si="101"/>
        <v>65.5</v>
      </c>
      <c r="AR56" s="282">
        <f t="shared" si="102"/>
        <v>55.11</v>
      </c>
      <c r="AS56" s="282">
        <f t="shared" si="103"/>
        <v>64.100000000000009</v>
      </c>
      <c r="AT56" s="283">
        <f t="shared" si="104"/>
        <v>63.809999999999995</v>
      </c>
      <c r="AU56" s="281">
        <f t="shared" si="105"/>
        <v>71.73</v>
      </c>
      <c r="AV56" s="282">
        <f t="shared" si="106"/>
        <v>68.87</v>
      </c>
      <c r="AW56" s="282">
        <f t="shared" si="107"/>
        <v>79.039999999999992</v>
      </c>
      <c r="AX56" s="283"/>
      <c r="BC56" s="281">
        <f t="shared" si="108"/>
        <v>66.47</v>
      </c>
      <c r="BD56" s="282">
        <f t="shared" si="109"/>
        <v>81.789999999999992</v>
      </c>
      <c r="BE56" s="282">
        <f t="shared" si="110"/>
        <v>108.66</v>
      </c>
      <c r="BF56" s="283"/>
      <c r="BG56" s="281">
        <f t="shared" si="111"/>
        <v>87.02</v>
      </c>
      <c r="BH56" s="282">
        <f t="shared" si="112"/>
        <v>58.15</v>
      </c>
      <c r="BI56" s="282">
        <f t="shared" si="113"/>
        <v>54.73</v>
      </c>
      <c r="BJ56" s="283"/>
      <c r="BK56" s="281">
        <f t="shared" si="114"/>
        <v>67.2</v>
      </c>
      <c r="BL56" s="282">
        <f t="shared" si="115"/>
        <v>60.239999999999995</v>
      </c>
      <c r="BM56" s="282">
        <f t="shared" si="116"/>
        <v>102.33</v>
      </c>
      <c r="BN56" s="599"/>
      <c r="BT56" s="281">
        <f t="shared" si="117"/>
        <v>39.949999999999989</v>
      </c>
      <c r="BU56" s="282">
        <f t="shared" si="117"/>
        <v>-34.639999999999986</v>
      </c>
      <c r="BV56" s="283">
        <f t="shared" si="117"/>
        <v>25.739999999999981</v>
      </c>
      <c r="BW56" s="281">
        <f t="shared" si="118"/>
        <v>-14.230000000000018</v>
      </c>
      <c r="BX56" s="281">
        <f t="shared" si="118"/>
        <v>-24.569999999999993</v>
      </c>
      <c r="BY56" s="281">
        <f t="shared" si="118"/>
        <v>38.03</v>
      </c>
      <c r="BZ56" s="281">
        <f t="shared" si="119"/>
        <v>1.2099999999999795</v>
      </c>
      <c r="CA56" s="282">
        <f t="shared" si="119"/>
        <v>16.510000000000019</v>
      </c>
      <c r="CB56" s="283">
        <f t="shared" si="119"/>
        <v>0</v>
      </c>
      <c r="CC56" s="281">
        <f t="shared" si="120"/>
        <v>-20.509999999999991</v>
      </c>
      <c r="CD56" s="282">
        <f t="shared" si="120"/>
        <v>65.539999999999964</v>
      </c>
      <c r="CE56" s="283">
        <f t="shared" si="120"/>
        <v>-265.71999999999997</v>
      </c>
    </row>
    <row r="57" spans="1:83" ht="15" hidden="1" customHeight="1" x14ac:dyDescent="0.25">
      <c r="A57" s="520" t="s">
        <v>23</v>
      </c>
      <c r="B57" s="23">
        <v>19</v>
      </c>
      <c r="C57" s="370"/>
      <c r="D57" s="370"/>
      <c r="E57" s="370"/>
      <c r="F57" s="370">
        <v>50.62</v>
      </c>
      <c r="G57" s="281">
        <f t="shared" si="73"/>
        <v>48.099999999999994</v>
      </c>
      <c r="H57" s="282">
        <f t="shared" si="74"/>
        <v>54.7</v>
      </c>
      <c r="I57" s="282">
        <f t="shared" si="75"/>
        <v>48.26</v>
      </c>
      <c r="J57" s="283">
        <f t="shared" si="76"/>
        <v>55.03</v>
      </c>
      <c r="K57" s="281">
        <f t="shared" si="77"/>
        <v>35.049999999999997</v>
      </c>
      <c r="L57" s="282">
        <f t="shared" si="78"/>
        <v>57.463000000000001</v>
      </c>
      <c r="M57" s="282">
        <f t="shared" si="79"/>
        <v>26.060000000000002</v>
      </c>
      <c r="N57" s="283">
        <f t="shared" si="80"/>
        <v>63.99</v>
      </c>
      <c r="O57" s="281">
        <f t="shared" si="81"/>
        <v>47.3</v>
      </c>
      <c r="P57" s="282">
        <f t="shared" si="82"/>
        <v>42.13</v>
      </c>
      <c r="Q57" s="282">
        <f t="shared" si="83"/>
        <v>27.34</v>
      </c>
      <c r="R57" s="283">
        <f t="shared" si="84"/>
        <v>40.67</v>
      </c>
      <c r="W57" s="281">
        <f t="shared" si="85"/>
        <v>68.430000000000007</v>
      </c>
      <c r="X57" s="282">
        <f t="shared" si="86"/>
        <v>70.790000000000006</v>
      </c>
      <c r="Y57" s="282">
        <f t="shared" si="87"/>
        <v>37.159999999999997</v>
      </c>
      <c r="Z57" s="283">
        <f t="shared" si="88"/>
        <v>91.65</v>
      </c>
      <c r="AA57" s="281">
        <f t="shared" si="89"/>
        <v>54.1</v>
      </c>
      <c r="AB57" s="282">
        <f t="shared" si="90"/>
        <v>94.009999999999991</v>
      </c>
      <c r="AC57" s="282">
        <f t="shared" si="91"/>
        <v>58.52000000000001</v>
      </c>
      <c r="AD57" s="283">
        <f t="shared" si="92"/>
        <v>65.03</v>
      </c>
      <c r="AE57" s="281">
        <f t="shared" si="93"/>
        <v>66</v>
      </c>
      <c r="AF57" s="282">
        <f t="shared" si="94"/>
        <v>74.44</v>
      </c>
      <c r="AG57" s="282">
        <f t="shared" si="95"/>
        <v>51.44</v>
      </c>
      <c r="AH57" s="283">
        <f t="shared" si="96"/>
        <v>52.7</v>
      </c>
      <c r="AM57" s="281">
        <f t="shared" si="97"/>
        <v>88.17</v>
      </c>
      <c r="AN57" s="282">
        <f t="shared" si="98"/>
        <v>87.85</v>
      </c>
      <c r="AO57" s="282">
        <f t="shared" si="99"/>
        <v>40.230000000000004</v>
      </c>
      <c r="AP57" s="283">
        <f t="shared" si="100"/>
        <v>83.75</v>
      </c>
      <c r="AQ57" s="281">
        <f t="shared" si="101"/>
        <v>89.4</v>
      </c>
      <c r="AR57" s="282">
        <f t="shared" si="102"/>
        <v>43.36</v>
      </c>
      <c r="AS57" s="282">
        <f t="shared" si="103"/>
        <v>68.5</v>
      </c>
      <c r="AT57" s="283">
        <f t="shared" si="104"/>
        <v>82.09</v>
      </c>
      <c r="AU57" s="281">
        <f t="shared" si="105"/>
        <v>62.32</v>
      </c>
      <c r="AV57" s="282">
        <f t="shared" si="106"/>
        <v>81.09</v>
      </c>
      <c r="AW57" s="282">
        <f t="shared" si="107"/>
        <v>174.93</v>
      </c>
      <c r="AX57" s="283"/>
      <c r="BC57" s="281">
        <f t="shared" si="108"/>
        <v>109.92</v>
      </c>
      <c r="BD57" s="282">
        <f t="shared" si="109"/>
        <v>76.05</v>
      </c>
      <c r="BE57" s="282">
        <f t="shared" si="110"/>
        <v>89.71</v>
      </c>
      <c r="BF57" s="283"/>
      <c r="BG57" s="281">
        <f t="shared" si="111"/>
        <v>67.989999999999995</v>
      </c>
      <c r="BH57" s="282">
        <f t="shared" si="112"/>
        <v>78.8</v>
      </c>
      <c r="BI57" s="282">
        <f t="shared" si="113"/>
        <v>74.45</v>
      </c>
      <c r="BJ57" s="283"/>
      <c r="BK57" s="281">
        <f t="shared" si="114"/>
        <v>82.53</v>
      </c>
      <c r="BL57" s="282">
        <f t="shared" si="115"/>
        <v>58.84</v>
      </c>
      <c r="BM57" s="282">
        <f t="shared" si="116"/>
        <v>49.21</v>
      </c>
      <c r="BN57" s="599"/>
      <c r="BT57" s="281">
        <f t="shared" si="117"/>
        <v>23.843000000000018</v>
      </c>
      <c r="BU57" s="282">
        <f t="shared" si="117"/>
        <v>-52.63300000000001</v>
      </c>
      <c r="BV57" s="283">
        <f t="shared" si="117"/>
        <v>58.03</v>
      </c>
      <c r="BW57" s="281">
        <f t="shared" si="118"/>
        <v>50.710000000000008</v>
      </c>
      <c r="BX57" s="281">
        <f t="shared" si="118"/>
        <v>-92.12</v>
      </c>
      <c r="BY57" s="281">
        <f t="shared" si="118"/>
        <v>62.259999999999991</v>
      </c>
      <c r="BZ57" s="281">
        <f t="shared" si="119"/>
        <v>-27.590000000000003</v>
      </c>
      <c r="CA57" s="282">
        <f t="shared" si="119"/>
        <v>71.360000000000042</v>
      </c>
      <c r="CB57" s="283">
        <f t="shared" si="119"/>
        <v>-33.610000000000014</v>
      </c>
      <c r="CC57" s="281">
        <f t="shared" si="120"/>
        <v>-46.75</v>
      </c>
      <c r="CD57" s="282">
        <f t="shared" si="120"/>
        <v>-0.31999999999999318</v>
      </c>
      <c r="CE57" s="283">
        <f t="shared" si="120"/>
        <v>-213.37</v>
      </c>
    </row>
    <row r="58" spans="1:83" ht="15" hidden="1" customHeight="1" x14ac:dyDescent="0.25">
      <c r="A58" s="521"/>
      <c r="B58" s="55">
        <v>20</v>
      </c>
      <c r="C58" s="368"/>
      <c r="D58" s="368"/>
      <c r="E58" s="368"/>
      <c r="F58" s="368">
        <v>62.08</v>
      </c>
      <c r="G58" s="281">
        <f t="shared" si="73"/>
        <v>51.910000000000004</v>
      </c>
      <c r="H58" s="282">
        <f t="shared" si="74"/>
        <v>61.47</v>
      </c>
      <c r="I58" s="282">
        <f t="shared" si="75"/>
        <v>49.510000000000005</v>
      </c>
      <c r="J58" s="283">
        <f t="shared" si="76"/>
        <v>70.12</v>
      </c>
      <c r="K58" s="281">
        <f t="shared" si="77"/>
        <v>31.21</v>
      </c>
      <c r="L58" s="282">
        <f t="shared" si="78"/>
        <v>54.67</v>
      </c>
      <c r="M58" s="282">
        <f t="shared" si="79"/>
        <v>24.08</v>
      </c>
      <c r="N58" s="283">
        <f t="shared" si="80"/>
        <v>70.84</v>
      </c>
      <c r="O58" s="281">
        <f t="shared" si="81"/>
        <v>39.92</v>
      </c>
      <c r="P58" s="282">
        <f t="shared" si="82"/>
        <v>52.680000000000007</v>
      </c>
      <c r="Q58" s="282">
        <f t="shared" si="83"/>
        <v>16.55</v>
      </c>
      <c r="R58" s="283">
        <f t="shared" si="84"/>
        <v>34.53</v>
      </c>
      <c r="W58" s="281">
        <f t="shared" si="85"/>
        <v>68.349999999999994</v>
      </c>
      <c r="X58" s="282">
        <f t="shared" si="86"/>
        <v>63.680000000000007</v>
      </c>
      <c r="Y58" s="282">
        <f t="shared" si="87"/>
        <v>22.51</v>
      </c>
      <c r="Z58" s="283">
        <f t="shared" si="88"/>
        <v>116.55000000000001</v>
      </c>
      <c r="AA58" s="281">
        <f t="shared" si="89"/>
        <v>52.46</v>
      </c>
      <c r="AB58" s="282">
        <f t="shared" si="90"/>
        <v>108.25999999999999</v>
      </c>
      <c r="AC58" s="282">
        <f t="shared" si="91"/>
        <v>45.83</v>
      </c>
      <c r="AD58" s="283">
        <f t="shared" si="92"/>
        <v>90.210000000000008</v>
      </c>
      <c r="AE58" s="281">
        <f t="shared" si="93"/>
        <v>50.1</v>
      </c>
      <c r="AF58" s="282">
        <f t="shared" si="94"/>
        <v>74.180000000000007</v>
      </c>
      <c r="AG58" s="282">
        <f t="shared" si="95"/>
        <v>64.81</v>
      </c>
      <c r="AH58" s="283">
        <f t="shared" si="96"/>
        <v>51.129999999999995</v>
      </c>
      <c r="AM58" s="281">
        <f t="shared" si="97"/>
        <v>128.19</v>
      </c>
      <c r="AN58" s="282">
        <f t="shared" si="98"/>
        <v>66.97</v>
      </c>
      <c r="AO58" s="282">
        <f t="shared" si="99"/>
        <v>69.28</v>
      </c>
      <c r="AP58" s="283">
        <f t="shared" si="100"/>
        <v>75.31</v>
      </c>
      <c r="AQ58" s="281">
        <f t="shared" si="101"/>
        <v>99.44</v>
      </c>
      <c r="AR58" s="282">
        <f t="shared" si="102"/>
        <v>75.47</v>
      </c>
      <c r="AS58" s="282">
        <f t="shared" si="103"/>
        <v>70.23</v>
      </c>
      <c r="AT58" s="283">
        <f t="shared" si="104"/>
        <v>101.19999999999999</v>
      </c>
      <c r="AU58" s="281">
        <f t="shared" si="105"/>
        <v>69.430000000000007</v>
      </c>
      <c r="AV58" s="282">
        <f t="shared" si="106"/>
        <v>66.61</v>
      </c>
      <c r="AW58" s="282">
        <f t="shared" si="107"/>
        <v>168.56</v>
      </c>
      <c r="AX58" s="283"/>
      <c r="BC58" s="281">
        <f t="shared" si="108"/>
        <v>109.81</v>
      </c>
      <c r="BD58" s="282">
        <f t="shared" si="109"/>
        <v>92.47999999999999</v>
      </c>
      <c r="BE58" s="282">
        <f t="shared" si="110"/>
        <v>115.34</v>
      </c>
      <c r="BF58" s="283"/>
      <c r="BG58" s="281">
        <f t="shared" si="111"/>
        <v>91.39</v>
      </c>
      <c r="BH58" s="282">
        <f t="shared" si="112"/>
        <v>78.05</v>
      </c>
      <c r="BI58" s="282">
        <f t="shared" si="113"/>
        <v>84.289999999999992</v>
      </c>
      <c r="BJ58" s="283"/>
      <c r="BK58" s="281">
        <f t="shared" si="114"/>
        <v>77.41</v>
      </c>
      <c r="BL58" s="282">
        <f t="shared" si="115"/>
        <v>68.31</v>
      </c>
      <c r="BM58" s="282">
        <f t="shared" si="116"/>
        <v>69</v>
      </c>
      <c r="BN58" s="599"/>
      <c r="BT58" s="281">
        <f t="shared" si="117"/>
        <v>45.779999999999987</v>
      </c>
      <c r="BU58" s="282">
        <f t="shared" si="117"/>
        <v>-78.679999999999993</v>
      </c>
      <c r="BV58" s="283">
        <f t="shared" si="117"/>
        <v>85.350000000000009</v>
      </c>
      <c r="BW58" s="281">
        <f t="shared" si="118"/>
        <v>75.210000000000008</v>
      </c>
      <c r="BX58" s="281">
        <f t="shared" si="118"/>
        <v>-112.97</v>
      </c>
      <c r="BY58" s="281">
        <f t="shared" si="118"/>
        <v>124.73999999999998</v>
      </c>
      <c r="BZ58" s="281">
        <f t="shared" si="119"/>
        <v>-88.009999999999991</v>
      </c>
      <c r="CA58" s="282">
        <f t="shared" si="119"/>
        <v>99.019999999999982</v>
      </c>
      <c r="CB58" s="283">
        <f t="shared" si="119"/>
        <v>-49.45999999999998</v>
      </c>
      <c r="CC58" s="281">
        <f t="shared" si="120"/>
        <v>-39.770000000000039</v>
      </c>
      <c r="CD58" s="282">
        <f t="shared" si="120"/>
        <v>29.79000000000002</v>
      </c>
      <c r="CE58" s="283">
        <f t="shared" si="120"/>
        <v>-268.63</v>
      </c>
    </row>
    <row r="59" spans="1:83" ht="15" hidden="1" customHeight="1" x14ac:dyDescent="0.25">
      <c r="A59" s="521"/>
      <c r="B59" s="55">
        <v>21</v>
      </c>
      <c r="C59" s="368"/>
      <c r="D59" s="368"/>
      <c r="E59" s="368"/>
      <c r="F59" s="368">
        <v>72.2</v>
      </c>
      <c r="G59" s="281">
        <f t="shared" si="73"/>
        <v>86.86</v>
      </c>
      <c r="H59" s="282">
        <f t="shared" si="74"/>
        <v>94.92</v>
      </c>
      <c r="I59" s="282">
        <f t="shared" si="75"/>
        <v>86.449999999999989</v>
      </c>
      <c r="J59" s="283">
        <f t="shared" si="76"/>
        <v>95.460000000000008</v>
      </c>
      <c r="K59" s="281">
        <f t="shared" si="77"/>
        <v>53.870000000000005</v>
      </c>
      <c r="L59" s="282">
        <f t="shared" si="78"/>
        <v>60.31</v>
      </c>
      <c r="M59" s="282">
        <f t="shared" si="79"/>
        <v>50.78</v>
      </c>
      <c r="N59" s="283">
        <f t="shared" si="80"/>
        <v>59.44</v>
      </c>
      <c r="O59" s="281">
        <f t="shared" si="81"/>
        <v>67.97</v>
      </c>
      <c r="P59" s="282">
        <f t="shared" si="82"/>
        <v>119.83</v>
      </c>
      <c r="Q59" s="282">
        <f t="shared" si="83"/>
        <v>46.08</v>
      </c>
      <c r="R59" s="283">
        <f t="shared" si="84"/>
        <v>83.73</v>
      </c>
      <c r="W59" s="281">
        <f t="shared" si="85"/>
        <v>77.02000000000001</v>
      </c>
      <c r="X59" s="282">
        <f t="shared" si="86"/>
        <v>76.39</v>
      </c>
      <c r="Y59" s="282">
        <f t="shared" si="87"/>
        <v>70.38</v>
      </c>
      <c r="Z59" s="283">
        <f t="shared" si="88"/>
        <v>159.93</v>
      </c>
      <c r="AA59" s="281">
        <f t="shared" si="89"/>
        <v>126.65</v>
      </c>
      <c r="AB59" s="282">
        <f t="shared" si="90"/>
        <v>92.749999999999986</v>
      </c>
      <c r="AC59" s="282">
        <f t="shared" si="91"/>
        <v>77.599999999999994</v>
      </c>
      <c r="AD59" s="283">
        <f t="shared" si="92"/>
        <v>112.19</v>
      </c>
      <c r="AE59" s="281">
        <f t="shared" si="93"/>
        <v>78.989999999999995</v>
      </c>
      <c r="AF59" s="282">
        <f t="shared" si="94"/>
        <v>84.47999999999999</v>
      </c>
      <c r="AG59" s="282">
        <f t="shared" si="95"/>
        <v>105.44</v>
      </c>
      <c r="AH59" s="283">
        <f t="shared" si="96"/>
        <v>69.569999999999993</v>
      </c>
      <c r="AM59" s="281">
        <f t="shared" si="97"/>
        <v>140.62</v>
      </c>
      <c r="AN59" s="282">
        <f t="shared" si="98"/>
        <v>117.65</v>
      </c>
      <c r="AO59" s="282">
        <f t="shared" si="99"/>
        <v>160.38</v>
      </c>
      <c r="AP59" s="283">
        <f t="shared" si="100"/>
        <v>95.68</v>
      </c>
      <c r="AQ59" s="281">
        <f t="shared" si="101"/>
        <v>190.25</v>
      </c>
      <c r="AR59" s="282">
        <f t="shared" si="102"/>
        <v>139.73000000000002</v>
      </c>
      <c r="AS59" s="282">
        <f t="shared" si="103"/>
        <v>115.14</v>
      </c>
      <c r="AT59" s="283">
        <f t="shared" si="104"/>
        <v>111.16999999999999</v>
      </c>
      <c r="AU59" s="281">
        <f t="shared" si="105"/>
        <v>137.12</v>
      </c>
      <c r="AV59" s="282">
        <f t="shared" si="106"/>
        <v>137.98000000000002</v>
      </c>
      <c r="AW59" s="282">
        <f t="shared" si="107"/>
        <v>142.54999999999998</v>
      </c>
      <c r="AX59" s="283"/>
      <c r="BC59" s="281">
        <f t="shared" si="108"/>
        <v>161.85000000000002</v>
      </c>
      <c r="BD59" s="282">
        <f t="shared" si="109"/>
        <v>143.07</v>
      </c>
      <c r="BE59" s="282">
        <f t="shared" si="110"/>
        <v>199.91000000000003</v>
      </c>
      <c r="BF59" s="283"/>
      <c r="BG59" s="281">
        <f t="shared" si="111"/>
        <v>152.35</v>
      </c>
      <c r="BH59" s="282">
        <f t="shared" si="112"/>
        <v>148.07</v>
      </c>
      <c r="BI59" s="282">
        <f t="shared" si="113"/>
        <v>154.22999999999999</v>
      </c>
      <c r="BJ59" s="283"/>
      <c r="BK59" s="281">
        <f t="shared" si="114"/>
        <v>139.48000000000002</v>
      </c>
      <c r="BL59" s="282">
        <f t="shared" si="115"/>
        <v>108.66</v>
      </c>
      <c r="BM59" s="282">
        <f t="shared" si="116"/>
        <v>96.05</v>
      </c>
      <c r="BN59" s="599"/>
      <c r="BT59" s="281">
        <f t="shared" si="117"/>
        <v>66.359999999999985</v>
      </c>
      <c r="BU59" s="282">
        <f t="shared" si="117"/>
        <v>-91.75</v>
      </c>
      <c r="BV59" s="283">
        <f t="shared" si="117"/>
        <v>55.319999999999993</v>
      </c>
      <c r="BW59" s="281">
        <f t="shared" si="118"/>
        <v>-29.040000000000049</v>
      </c>
      <c r="BX59" s="281">
        <f t="shared" si="118"/>
        <v>-0.19999999999998863</v>
      </c>
      <c r="BY59" s="281">
        <f t="shared" si="118"/>
        <v>88.27000000000001</v>
      </c>
      <c r="BZ59" s="281">
        <f t="shared" si="119"/>
        <v>-72.63</v>
      </c>
      <c r="CA59" s="282">
        <f t="shared" si="119"/>
        <v>22.709999999999923</v>
      </c>
      <c r="CB59" s="283">
        <f t="shared" si="119"/>
        <v>-65.259999999999934</v>
      </c>
      <c r="CC59" s="281">
        <f t="shared" si="120"/>
        <v>-53.880000000000109</v>
      </c>
      <c r="CD59" s="282">
        <f t="shared" si="120"/>
        <v>50.390000000000043</v>
      </c>
      <c r="CE59" s="283">
        <f t="shared" si="120"/>
        <v>-450.19</v>
      </c>
    </row>
    <row r="60" spans="1:83" ht="15" hidden="1" customHeight="1" x14ac:dyDescent="0.25">
      <c r="A60" s="521"/>
      <c r="B60" s="55">
        <v>22</v>
      </c>
      <c r="C60" s="368"/>
      <c r="D60" s="368"/>
      <c r="E60" s="368"/>
      <c r="F60" s="368">
        <v>52.3</v>
      </c>
      <c r="G60" s="281">
        <f t="shared" si="73"/>
        <v>55.309999999999995</v>
      </c>
      <c r="H60" s="282">
        <f t="shared" si="74"/>
        <v>63.79</v>
      </c>
      <c r="I60" s="282">
        <f t="shared" si="75"/>
        <v>58.67</v>
      </c>
      <c r="J60" s="283">
        <f t="shared" si="76"/>
        <v>30.8</v>
      </c>
      <c r="K60" s="281">
        <f t="shared" si="77"/>
        <v>40.28</v>
      </c>
      <c r="L60" s="282">
        <f t="shared" si="78"/>
        <v>38.15</v>
      </c>
      <c r="M60" s="282">
        <f t="shared" si="79"/>
        <v>36.06</v>
      </c>
      <c r="N60" s="283">
        <f t="shared" si="80"/>
        <v>74.5</v>
      </c>
      <c r="O60" s="281">
        <f t="shared" si="81"/>
        <v>37.519999999999996</v>
      </c>
      <c r="P60" s="282">
        <f t="shared" si="82"/>
        <v>63.980000000000004</v>
      </c>
      <c r="Q60" s="282">
        <f t="shared" si="83"/>
        <v>27.049999999999997</v>
      </c>
      <c r="R60" s="283">
        <f t="shared" si="84"/>
        <v>55.26</v>
      </c>
      <c r="W60" s="281">
        <f t="shared" si="85"/>
        <v>50.19</v>
      </c>
      <c r="X60" s="282">
        <f t="shared" si="86"/>
        <v>44.94</v>
      </c>
      <c r="Y60" s="282">
        <f t="shared" si="87"/>
        <v>43.81</v>
      </c>
      <c r="Z60" s="283">
        <f t="shared" si="88"/>
        <v>78.13</v>
      </c>
      <c r="AA60" s="281">
        <f t="shared" si="89"/>
        <v>78.41</v>
      </c>
      <c r="AB60" s="282">
        <f t="shared" si="90"/>
        <v>55.76</v>
      </c>
      <c r="AC60" s="282">
        <f t="shared" si="91"/>
        <v>38.590000000000003</v>
      </c>
      <c r="AD60" s="283">
        <f t="shared" si="92"/>
        <v>40.56</v>
      </c>
      <c r="AE60" s="281">
        <f t="shared" si="93"/>
        <v>57.33</v>
      </c>
      <c r="AF60" s="282">
        <f t="shared" si="94"/>
        <v>62</v>
      </c>
      <c r="AG60" s="282">
        <f t="shared" si="95"/>
        <v>58.92</v>
      </c>
      <c r="AH60" s="283">
        <f t="shared" si="96"/>
        <v>65</v>
      </c>
      <c r="AM60" s="281">
        <f t="shared" si="97"/>
        <v>77.830000000000013</v>
      </c>
      <c r="AN60" s="282">
        <f t="shared" si="98"/>
        <v>83.44</v>
      </c>
      <c r="AO60" s="282">
        <f t="shared" si="99"/>
        <v>68.87</v>
      </c>
      <c r="AP60" s="283">
        <f t="shared" si="100"/>
        <v>66.36</v>
      </c>
      <c r="AQ60" s="281">
        <f t="shared" si="101"/>
        <v>137.77000000000001</v>
      </c>
      <c r="AR60" s="282">
        <f t="shared" si="102"/>
        <v>91.12</v>
      </c>
      <c r="AS60" s="282">
        <f t="shared" si="103"/>
        <v>100.56</v>
      </c>
      <c r="AT60" s="283">
        <f t="shared" si="104"/>
        <v>66.599999999999994</v>
      </c>
      <c r="AU60" s="281">
        <f t="shared" si="105"/>
        <v>87.65</v>
      </c>
      <c r="AV60" s="282">
        <f t="shared" si="106"/>
        <v>89.7</v>
      </c>
      <c r="AW60" s="282">
        <f t="shared" si="107"/>
        <v>75.260000000000005</v>
      </c>
      <c r="AX60" s="283"/>
      <c r="BC60" s="281">
        <f t="shared" si="108"/>
        <v>103.59</v>
      </c>
      <c r="BD60" s="282">
        <f t="shared" si="109"/>
        <v>100.33</v>
      </c>
      <c r="BE60" s="282">
        <f t="shared" si="110"/>
        <v>133.42000000000002</v>
      </c>
      <c r="BF60" s="283"/>
      <c r="BG60" s="281">
        <f t="shared" si="111"/>
        <v>83.89</v>
      </c>
      <c r="BH60" s="282">
        <f t="shared" si="112"/>
        <v>96.06</v>
      </c>
      <c r="BI60" s="282">
        <f t="shared" si="113"/>
        <v>93.41</v>
      </c>
      <c r="BJ60" s="283"/>
      <c r="BK60" s="281">
        <f t="shared" si="114"/>
        <v>91.81</v>
      </c>
      <c r="BL60" s="282">
        <f t="shared" si="115"/>
        <v>70.740000000000009</v>
      </c>
      <c r="BM60" s="282">
        <f t="shared" si="116"/>
        <v>67.679999999999993</v>
      </c>
      <c r="BN60" s="599"/>
      <c r="BT60" s="281">
        <f t="shared" si="117"/>
        <v>32.81</v>
      </c>
      <c r="BU60" s="282">
        <f t="shared" si="117"/>
        <v>-44.140000000000015</v>
      </c>
      <c r="BV60" s="283">
        <f t="shared" si="117"/>
        <v>38.78</v>
      </c>
      <c r="BW60" s="281">
        <f t="shared" si="118"/>
        <v>-23.230000000000018</v>
      </c>
      <c r="BX60" s="281">
        <f t="shared" si="118"/>
        <v>-21.379999999999995</v>
      </c>
      <c r="BY60" s="281">
        <f t="shared" si="118"/>
        <v>42.370000000000005</v>
      </c>
      <c r="BZ60" s="281">
        <f t="shared" si="119"/>
        <v>-38.990000000000009</v>
      </c>
      <c r="CA60" s="282">
        <f t="shared" si="119"/>
        <v>-19.569999999999993</v>
      </c>
      <c r="CB60" s="283">
        <f t="shared" si="119"/>
        <v>-13.920000000000016</v>
      </c>
      <c r="CC60" s="281">
        <f t="shared" si="120"/>
        <v>-12.160000000000025</v>
      </c>
      <c r="CD60" s="282">
        <f t="shared" si="120"/>
        <v>27.379999999999995</v>
      </c>
      <c r="CE60" s="283">
        <f t="shared" si="120"/>
        <v>-294.51</v>
      </c>
    </row>
    <row r="61" spans="1:83" ht="15.75" hidden="1" customHeight="1" thickBot="1" x14ac:dyDescent="0.3">
      <c r="A61" s="521"/>
      <c r="B61" s="55">
        <v>24</v>
      </c>
      <c r="C61" s="371"/>
      <c r="D61" s="371"/>
      <c r="E61" s="371"/>
      <c r="F61" s="369">
        <v>44.7</v>
      </c>
      <c r="G61" s="281">
        <f t="shared" si="73"/>
        <v>61.879999999999995</v>
      </c>
      <c r="H61" s="282">
        <f t="shared" si="74"/>
        <v>49.75</v>
      </c>
      <c r="I61" s="282">
        <f t="shared" si="75"/>
        <v>52.45</v>
      </c>
      <c r="J61" s="283">
        <f t="shared" si="76"/>
        <v>53.53</v>
      </c>
      <c r="K61" s="281">
        <f t="shared" si="77"/>
        <v>15.52</v>
      </c>
      <c r="L61" s="282">
        <f t="shared" si="78"/>
        <v>34.5</v>
      </c>
      <c r="M61" s="282">
        <f t="shared" si="79"/>
        <v>22.4</v>
      </c>
      <c r="N61" s="283">
        <f t="shared" si="80"/>
        <v>60.35</v>
      </c>
      <c r="O61" s="281">
        <f t="shared" si="81"/>
        <v>25.990000000000002</v>
      </c>
      <c r="P61" s="282">
        <f t="shared" si="82"/>
        <v>29.77</v>
      </c>
      <c r="Q61" s="282">
        <f t="shared" si="83"/>
        <v>13.799999999999999</v>
      </c>
      <c r="R61" s="283">
        <f t="shared" si="84"/>
        <v>48.56</v>
      </c>
      <c r="W61" s="281">
        <f t="shared" si="85"/>
        <v>42.349999999999994</v>
      </c>
      <c r="X61" s="282">
        <f t="shared" si="86"/>
        <v>29.76</v>
      </c>
      <c r="Y61" s="282">
        <f t="shared" si="87"/>
        <v>17.14</v>
      </c>
      <c r="Z61" s="283">
        <f t="shared" si="88"/>
        <v>92.41</v>
      </c>
      <c r="AA61" s="281">
        <f t="shared" si="89"/>
        <v>35.019999999999996</v>
      </c>
      <c r="AB61" s="282">
        <f t="shared" si="90"/>
        <v>47.11</v>
      </c>
      <c r="AC61" s="282">
        <f t="shared" si="91"/>
        <v>65.12</v>
      </c>
      <c r="AD61" s="283">
        <f t="shared" si="92"/>
        <v>32.630000000000003</v>
      </c>
      <c r="AE61" s="281">
        <f t="shared" si="93"/>
        <v>32.69</v>
      </c>
      <c r="AF61" s="282">
        <f t="shared" si="94"/>
        <v>55.39</v>
      </c>
      <c r="AG61" s="282">
        <f t="shared" si="95"/>
        <v>63.070000000000007</v>
      </c>
      <c r="AH61" s="283">
        <f t="shared" si="96"/>
        <v>64.31</v>
      </c>
      <c r="AM61" s="281">
        <f t="shared" si="97"/>
        <v>37.86</v>
      </c>
      <c r="AN61" s="282">
        <f t="shared" si="98"/>
        <v>53.04</v>
      </c>
      <c r="AO61" s="282">
        <f t="shared" si="99"/>
        <v>57.019999999999996</v>
      </c>
      <c r="AP61" s="283">
        <f t="shared" si="100"/>
        <v>49.339999999999996</v>
      </c>
      <c r="AQ61" s="281">
        <f t="shared" si="101"/>
        <v>71.77</v>
      </c>
      <c r="AR61" s="282">
        <f t="shared" si="102"/>
        <v>55.93</v>
      </c>
      <c r="AS61" s="282">
        <f t="shared" si="103"/>
        <v>97.320000000000007</v>
      </c>
      <c r="AT61" s="283">
        <f t="shared" si="104"/>
        <v>77.790000000000006</v>
      </c>
      <c r="AU61" s="281">
        <f t="shared" si="105"/>
        <v>75.08</v>
      </c>
      <c r="AV61" s="282">
        <f t="shared" si="106"/>
        <v>68.63</v>
      </c>
      <c r="AW61" s="282">
        <f t="shared" si="107"/>
        <v>87.79</v>
      </c>
      <c r="AX61" s="283"/>
      <c r="BC61" s="281">
        <f t="shared" si="108"/>
        <v>82.28</v>
      </c>
      <c r="BD61" s="282">
        <f t="shared" si="109"/>
        <v>87.460000000000008</v>
      </c>
      <c r="BE61" s="282">
        <f t="shared" si="110"/>
        <v>131.74</v>
      </c>
      <c r="BF61" s="283"/>
      <c r="BG61" s="281">
        <f t="shared" si="111"/>
        <v>59.83</v>
      </c>
      <c r="BH61" s="282">
        <f t="shared" si="112"/>
        <v>81.02</v>
      </c>
      <c r="BI61" s="282">
        <f t="shared" si="113"/>
        <v>99.53</v>
      </c>
      <c r="BJ61" s="283"/>
      <c r="BK61" s="281">
        <f t="shared" si="114"/>
        <v>46.12</v>
      </c>
      <c r="BL61" s="282">
        <f t="shared" si="115"/>
        <v>61.3</v>
      </c>
      <c r="BM61" s="282">
        <f t="shared" si="116"/>
        <v>87.56</v>
      </c>
      <c r="BN61" s="599"/>
      <c r="BT61" s="281">
        <f t="shared" si="117"/>
        <v>10.63000000000001</v>
      </c>
      <c r="BU61" s="282">
        <f t="shared" si="117"/>
        <v>-25.370000000000005</v>
      </c>
      <c r="BV61" s="283">
        <f t="shared" si="117"/>
        <v>73.790000000000006</v>
      </c>
      <c r="BW61" s="281">
        <f t="shared" si="118"/>
        <v>22.200000000000003</v>
      </c>
      <c r="BX61" s="281">
        <f t="shared" si="118"/>
        <v>13.070000000000022</v>
      </c>
      <c r="BY61" s="281">
        <f t="shared" si="118"/>
        <v>44.019999999999982</v>
      </c>
      <c r="BZ61" s="281">
        <f t="shared" si="119"/>
        <v>-7.1099999999999852</v>
      </c>
      <c r="CA61" s="282">
        <f t="shared" si="119"/>
        <v>64.53</v>
      </c>
      <c r="CB61" s="283">
        <f t="shared" si="119"/>
        <v>-44.110000000000014</v>
      </c>
      <c r="CC61" s="281">
        <f t="shared" si="120"/>
        <v>41.550000000000011</v>
      </c>
      <c r="CD61" s="282">
        <f t="shared" si="120"/>
        <v>89.050000000000011</v>
      </c>
      <c r="CE61" s="283">
        <f t="shared" si="120"/>
        <v>-318.83000000000004</v>
      </c>
    </row>
    <row r="62" spans="1:83" ht="15" hidden="1" customHeight="1" x14ac:dyDescent="0.25">
      <c r="A62" s="91" t="s">
        <v>26</v>
      </c>
      <c r="B62" s="116">
        <v>105</v>
      </c>
      <c r="C62" s="375"/>
      <c r="D62" s="375"/>
      <c r="E62" s="375"/>
      <c r="F62" s="375">
        <v>50</v>
      </c>
      <c r="G62" s="281">
        <f t="shared" si="73"/>
        <v>0</v>
      </c>
      <c r="H62" s="282">
        <f t="shared" si="74"/>
        <v>0</v>
      </c>
      <c r="I62" s="282">
        <f t="shared" si="75"/>
        <v>0</v>
      </c>
      <c r="J62" s="283">
        <f t="shared" si="76"/>
        <v>0</v>
      </c>
      <c r="K62" s="281">
        <f t="shared" si="77"/>
        <v>0</v>
      </c>
      <c r="L62" s="282">
        <f t="shared" si="78"/>
        <v>0</v>
      </c>
      <c r="M62" s="282">
        <f t="shared" si="79"/>
        <v>0</v>
      </c>
      <c r="N62" s="283">
        <f t="shared" si="80"/>
        <v>0</v>
      </c>
      <c r="O62" s="281">
        <f t="shared" si="81"/>
        <v>0</v>
      </c>
      <c r="P62" s="282">
        <f t="shared" si="82"/>
        <v>0</v>
      </c>
      <c r="Q62" s="282">
        <f t="shared" si="83"/>
        <v>0.15</v>
      </c>
      <c r="R62" s="283">
        <f t="shared" si="84"/>
        <v>0</v>
      </c>
      <c r="W62" s="281">
        <f t="shared" si="85"/>
        <v>0</v>
      </c>
      <c r="X62" s="282">
        <f t="shared" si="86"/>
        <v>0</v>
      </c>
      <c r="Y62" s="282">
        <f t="shared" si="87"/>
        <v>0</v>
      </c>
      <c r="Z62" s="283">
        <f t="shared" si="88"/>
        <v>0</v>
      </c>
      <c r="AA62" s="281">
        <f t="shared" si="89"/>
        <v>0</v>
      </c>
      <c r="AB62" s="282">
        <f t="shared" si="90"/>
        <v>0</v>
      </c>
      <c r="AC62" s="282">
        <f t="shared" si="91"/>
        <v>0</v>
      </c>
      <c r="AD62" s="283">
        <f t="shared" si="92"/>
        <v>0</v>
      </c>
      <c r="AE62" s="281">
        <f t="shared" si="93"/>
        <v>0</v>
      </c>
      <c r="AF62" s="282">
        <f t="shared" si="94"/>
        <v>0</v>
      </c>
      <c r="AG62" s="282">
        <f t="shared" si="95"/>
        <v>0</v>
      </c>
      <c r="AH62" s="283">
        <f t="shared" si="96"/>
        <v>0</v>
      </c>
      <c r="AM62" s="281">
        <f t="shared" si="97"/>
        <v>0</v>
      </c>
      <c r="AN62" s="282">
        <f t="shared" si="98"/>
        <v>0</v>
      </c>
      <c r="AO62" s="282">
        <f t="shared" si="99"/>
        <v>0</v>
      </c>
      <c r="AP62" s="283">
        <f t="shared" si="100"/>
        <v>0</v>
      </c>
      <c r="AQ62" s="281">
        <f t="shared" si="101"/>
        <v>0</v>
      </c>
      <c r="AR62" s="282">
        <f t="shared" si="102"/>
        <v>0</v>
      </c>
      <c r="AS62" s="282">
        <f t="shared" si="103"/>
        <v>0</v>
      </c>
      <c r="AT62" s="283">
        <f t="shared" si="104"/>
        <v>0</v>
      </c>
      <c r="AU62" s="281">
        <f t="shared" si="105"/>
        <v>3.05</v>
      </c>
      <c r="AV62" s="282">
        <f t="shared" si="106"/>
        <v>0</v>
      </c>
      <c r="AW62" s="282">
        <f t="shared" si="107"/>
        <v>0</v>
      </c>
      <c r="AX62" s="283"/>
      <c r="BC62" s="281">
        <f t="shared" si="108"/>
        <v>0</v>
      </c>
      <c r="BD62" s="282">
        <f t="shared" si="109"/>
        <v>0</v>
      </c>
      <c r="BE62" s="282">
        <f t="shared" si="110"/>
        <v>0</v>
      </c>
      <c r="BF62" s="283"/>
      <c r="BG62" s="281">
        <f t="shared" si="111"/>
        <v>0</v>
      </c>
      <c r="BH62" s="282">
        <f t="shared" si="112"/>
        <v>0</v>
      </c>
      <c r="BI62" s="282">
        <f t="shared" si="113"/>
        <v>0</v>
      </c>
      <c r="BJ62" s="283"/>
      <c r="BK62" s="281">
        <f t="shared" si="114"/>
        <v>0</v>
      </c>
      <c r="BL62" s="282">
        <f t="shared" si="115"/>
        <v>0</v>
      </c>
      <c r="BM62" s="282">
        <f t="shared" si="116"/>
        <v>0</v>
      </c>
      <c r="BN62" s="599"/>
      <c r="BT62" s="281" t="e">
        <f>#REF!-#REF!</f>
        <v>#REF!</v>
      </c>
      <c r="BU62" s="282" t="e">
        <f>#REF!-#REF!</f>
        <v>#REF!</v>
      </c>
      <c r="BV62" s="283" t="e">
        <f>#REF!-#REF!</f>
        <v>#REF!</v>
      </c>
      <c r="BW62" s="281" t="e">
        <f>#REF!-#REF!</f>
        <v>#REF!</v>
      </c>
      <c r="BX62" s="281" t="e">
        <f>#REF!-#REF!</f>
        <v>#REF!</v>
      </c>
      <c r="BY62" s="281" t="e">
        <f>#REF!-#REF!</f>
        <v>#REF!</v>
      </c>
      <c r="BZ62" s="281" t="e">
        <f>#REF!-#REF!</f>
        <v>#REF!</v>
      </c>
      <c r="CA62" s="282" t="e">
        <f>#REF!-#REF!</f>
        <v>#REF!</v>
      </c>
      <c r="CB62" s="283" t="e">
        <f>#REF!-#REF!</f>
        <v>#REF!</v>
      </c>
      <c r="CC62" s="281" t="e">
        <f>#REF!-#REF!</f>
        <v>#REF!</v>
      </c>
      <c r="CD62" s="282" t="e">
        <f>#REF!-#REF!</f>
        <v>#REF!</v>
      </c>
      <c r="CE62" s="283" t="e">
        <f>#REF!-#REF!</f>
        <v>#REF!</v>
      </c>
    </row>
    <row r="63" spans="1:83" ht="15.75" hidden="1" customHeight="1" thickBot="1" x14ac:dyDescent="0.3">
      <c r="A63" s="123" t="s">
        <v>27</v>
      </c>
      <c r="B63" s="83">
        <v>114</v>
      </c>
      <c r="C63" s="369"/>
      <c r="D63" s="369"/>
      <c r="E63" s="369"/>
      <c r="F63" s="369">
        <v>46</v>
      </c>
      <c r="G63" s="281">
        <f t="shared" si="73"/>
        <v>0</v>
      </c>
      <c r="H63" s="282">
        <f t="shared" si="74"/>
        <v>0</v>
      </c>
      <c r="I63" s="282">
        <f t="shared" si="75"/>
        <v>0</v>
      </c>
      <c r="J63" s="283">
        <f t="shared" si="76"/>
        <v>0</v>
      </c>
      <c r="K63" s="281">
        <f t="shared" si="77"/>
        <v>0</v>
      </c>
      <c r="L63" s="282">
        <f t="shared" si="78"/>
        <v>0</v>
      </c>
      <c r="M63" s="282">
        <f t="shared" si="79"/>
        <v>0</v>
      </c>
      <c r="N63" s="283">
        <f t="shared" si="80"/>
        <v>0</v>
      </c>
      <c r="O63" s="281">
        <f t="shared" si="81"/>
        <v>0</v>
      </c>
      <c r="P63" s="282">
        <f t="shared" si="82"/>
        <v>0</v>
      </c>
      <c r="Q63" s="282">
        <f t="shared" si="83"/>
        <v>0.15</v>
      </c>
      <c r="R63" s="283">
        <f t="shared" si="84"/>
        <v>0</v>
      </c>
      <c r="W63" s="281">
        <f t="shared" si="85"/>
        <v>0</v>
      </c>
      <c r="X63" s="282">
        <f t="shared" si="86"/>
        <v>0</v>
      </c>
      <c r="Y63" s="282">
        <f t="shared" si="87"/>
        <v>0</v>
      </c>
      <c r="Z63" s="283">
        <f t="shared" si="88"/>
        <v>0</v>
      </c>
      <c r="AA63" s="281">
        <f t="shared" si="89"/>
        <v>0</v>
      </c>
      <c r="AB63" s="282">
        <f t="shared" si="90"/>
        <v>0</v>
      </c>
      <c r="AC63" s="282">
        <f t="shared" si="91"/>
        <v>0</v>
      </c>
      <c r="AD63" s="283">
        <f t="shared" si="92"/>
        <v>0</v>
      </c>
      <c r="AE63" s="281">
        <f t="shared" si="93"/>
        <v>0</v>
      </c>
      <c r="AF63" s="282">
        <f t="shared" si="94"/>
        <v>0</v>
      </c>
      <c r="AG63" s="282">
        <f t="shared" si="95"/>
        <v>0</v>
      </c>
      <c r="AH63" s="283">
        <f t="shared" si="96"/>
        <v>0</v>
      </c>
      <c r="AM63" s="281">
        <f t="shared" si="97"/>
        <v>0</v>
      </c>
      <c r="AN63" s="282">
        <f t="shared" si="98"/>
        <v>0</v>
      </c>
      <c r="AO63" s="282">
        <f t="shared" si="99"/>
        <v>0</v>
      </c>
      <c r="AP63" s="283">
        <f t="shared" si="100"/>
        <v>0</v>
      </c>
      <c r="AQ63" s="281">
        <f t="shared" si="101"/>
        <v>0</v>
      </c>
      <c r="AR63" s="282">
        <f t="shared" si="102"/>
        <v>0</v>
      </c>
      <c r="AS63" s="282">
        <f t="shared" si="103"/>
        <v>0</v>
      </c>
      <c r="AT63" s="283">
        <f t="shared" si="104"/>
        <v>0</v>
      </c>
      <c r="AU63" s="281">
        <f t="shared" si="105"/>
        <v>0</v>
      </c>
      <c r="AV63" s="282">
        <f t="shared" si="106"/>
        <v>0</v>
      </c>
      <c r="AW63" s="282">
        <f t="shared" si="107"/>
        <v>0</v>
      </c>
      <c r="AX63" s="283"/>
      <c r="BC63" s="281">
        <f t="shared" si="108"/>
        <v>0</v>
      </c>
      <c r="BD63" s="282">
        <f t="shared" si="109"/>
        <v>0</v>
      </c>
      <c r="BE63" s="282">
        <f t="shared" si="110"/>
        <v>0</v>
      </c>
      <c r="BF63" s="283"/>
      <c r="BG63" s="281">
        <f t="shared" si="111"/>
        <v>0</v>
      </c>
      <c r="BH63" s="282">
        <f t="shared" si="112"/>
        <v>0</v>
      </c>
      <c r="BI63" s="282">
        <f t="shared" si="113"/>
        <v>0</v>
      </c>
      <c r="BJ63" s="283"/>
      <c r="BK63" s="281">
        <f t="shared" si="114"/>
        <v>0</v>
      </c>
      <c r="BL63" s="282">
        <f t="shared" si="115"/>
        <v>0</v>
      </c>
      <c r="BM63" s="282">
        <f t="shared" si="116"/>
        <v>0</v>
      </c>
      <c r="BN63" s="599"/>
      <c r="BT63" s="281" t="e">
        <f>#REF!-#REF!</f>
        <v>#REF!</v>
      </c>
      <c r="BU63" s="282" t="e">
        <f>#REF!-#REF!</f>
        <v>#REF!</v>
      </c>
      <c r="BV63" s="283" t="e">
        <f>#REF!-#REF!</f>
        <v>#REF!</v>
      </c>
      <c r="BW63" s="281" t="e">
        <f>#REF!-#REF!</f>
        <v>#REF!</v>
      </c>
      <c r="BX63" s="281" t="e">
        <f>#REF!-#REF!</f>
        <v>#REF!</v>
      </c>
      <c r="BY63" s="281" t="e">
        <f>#REF!-#REF!</f>
        <v>#REF!</v>
      </c>
      <c r="BZ63" s="281" t="e">
        <f>#REF!-#REF!</f>
        <v>#REF!</v>
      </c>
      <c r="CA63" s="282" t="e">
        <f>#REF!-#REF!</f>
        <v>#REF!</v>
      </c>
      <c r="CB63" s="283" t="e">
        <f>#REF!-#REF!</f>
        <v>#REF!</v>
      </c>
      <c r="CC63" s="281" t="e">
        <f>#REF!-#REF!</f>
        <v>#REF!</v>
      </c>
      <c r="CD63" s="282" t="e">
        <f>#REF!-#REF!</f>
        <v>#REF!</v>
      </c>
      <c r="CE63" s="283" t="e">
        <f>#REF!-#REF!</f>
        <v>#REF!</v>
      </c>
    </row>
    <row r="64" spans="1:83" ht="15" hidden="1" customHeight="1" x14ac:dyDescent="0.25">
      <c r="A64" s="520" t="s">
        <v>28</v>
      </c>
      <c r="B64" s="23">
        <v>25</v>
      </c>
      <c r="C64" s="367"/>
      <c r="D64" s="367"/>
      <c r="E64" s="367"/>
      <c r="F64" s="367">
        <v>38.22</v>
      </c>
      <c r="G64" s="281">
        <f t="shared" si="73"/>
        <v>0</v>
      </c>
      <c r="H64" s="282">
        <f t="shared" si="74"/>
        <v>1.42</v>
      </c>
      <c r="I64" s="282">
        <f t="shared" si="75"/>
        <v>1.02</v>
      </c>
      <c r="J64" s="283">
        <f t="shared" si="76"/>
        <v>18.25</v>
      </c>
      <c r="K64" s="281">
        <f t="shared" si="77"/>
        <v>0</v>
      </c>
      <c r="L64" s="282">
        <f t="shared" si="78"/>
        <v>0.37</v>
      </c>
      <c r="M64" s="282">
        <f t="shared" si="79"/>
        <v>1.02</v>
      </c>
      <c r="N64" s="283">
        <f t="shared" si="80"/>
        <v>21.46</v>
      </c>
      <c r="O64" s="281">
        <f t="shared" si="81"/>
        <v>0</v>
      </c>
      <c r="P64" s="282">
        <f t="shared" si="82"/>
        <v>0.36</v>
      </c>
      <c r="Q64" s="282">
        <f t="shared" si="83"/>
        <v>2.2800000000000002</v>
      </c>
      <c r="R64" s="283">
        <f t="shared" si="84"/>
        <v>18.98</v>
      </c>
      <c r="W64" s="281">
        <f t="shared" si="85"/>
        <v>0</v>
      </c>
      <c r="X64" s="282">
        <f t="shared" si="86"/>
        <v>1.26</v>
      </c>
      <c r="Y64" s="282">
        <f t="shared" si="87"/>
        <v>3.4299999999999997</v>
      </c>
      <c r="Z64" s="283">
        <f t="shared" si="88"/>
        <v>28.92</v>
      </c>
      <c r="AA64" s="281">
        <f t="shared" si="89"/>
        <v>0</v>
      </c>
      <c r="AB64" s="282">
        <f t="shared" si="90"/>
        <v>2.7600000000000002</v>
      </c>
      <c r="AC64" s="282">
        <f t="shared" si="91"/>
        <v>9.34</v>
      </c>
      <c r="AD64" s="283">
        <f t="shared" si="92"/>
        <v>43.78</v>
      </c>
      <c r="AE64" s="281">
        <f t="shared" si="93"/>
        <v>0</v>
      </c>
      <c r="AF64" s="282">
        <f t="shared" si="94"/>
        <v>0.92</v>
      </c>
      <c r="AG64" s="282">
        <f t="shared" si="95"/>
        <v>12.17</v>
      </c>
      <c r="AH64" s="283">
        <f t="shared" si="96"/>
        <v>24.43</v>
      </c>
      <c r="AM64" s="281">
        <f t="shared" si="97"/>
        <v>0</v>
      </c>
      <c r="AN64" s="282">
        <f t="shared" si="98"/>
        <v>1.19</v>
      </c>
      <c r="AO64" s="282">
        <f t="shared" si="99"/>
        <v>8.1</v>
      </c>
      <c r="AP64" s="283">
        <f t="shared" si="100"/>
        <v>23.89</v>
      </c>
      <c r="AQ64" s="281">
        <f t="shared" si="101"/>
        <v>0.28999999999999998</v>
      </c>
      <c r="AR64" s="282">
        <f t="shared" si="102"/>
        <v>2.16</v>
      </c>
      <c r="AS64" s="282">
        <f t="shared" si="103"/>
        <v>10.59</v>
      </c>
      <c r="AT64" s="283">
        <f t="shared" si="104"/>
        <v>30.08</v>
      </c>
      <c r="AU64" s="281">
        <f t="shared" si="105"/>
        <v>0.69</v>
      </c>
      <c r="AV64" s="282">
        <f t="shared" si="106"/>
        <v>0.71</v>
      </c>
      <c r="AW64" s="282">
        <f t="shared" si="107"/>
        <v>14.830000000000002</v>
      </c>
      <c r="AX64" s="283"/>
      <c r="BC64" s="281">
        <f t="shared" si="108"/>
        <v>0.4</v>
      </c>
      <c r="BD64" s="282">
        <f t="shared" si="109"/>
        <v>1.4</v>
      </c>
      <c r="BE64" s="282">
        <f t="shared" si="110"/>
        <v>13.21</v>
      </c>
      <c r="BF64" s="283"/>
      <c r="BG64" s="281">
        <f t="shared" si="111"/>
        <v>0.71</v>
      </c>
      <c r="BH64" s="282">
        <f t="shared" si="112"/>
        <v>1.57</v>
      </c>
      <c r="BI64" s="282">
        <f t="shared" si="113"/>
        <v>24.810000000000002</v>
      </c>
      <c r="BJ64" s="283"/>
      <c r="BK64" s="281">
        <f t="shared" si="114"/>
        <v>0.99</v>
      </c>
      <c r="BL64" s="282">
        <f t="shared" si="115"/>
        <v>1.03</v>
      </c>
      <c r="BM64" s="282">
        <f t="shared" si="116"/>
        <v>9.11</v>
      </c>
      <c r="BN64" s="599"/>
      <c r="BT64" s="281" t="e">
        <f>#REF!-#REF!</f>
        <v>#REF!</v>
      </c>
      <c r="BU64" s="282" t="e">
        <f>#REF!-#REF!</f>
        <v>#REF!</v>
      </c>
      <c r="BV64" s="283" t="e">
        <f>#REF!-#REF!</f>
        <v>#REF!</v>
      </c>
      <c r="BW64" s="281" t="e">
        <f>#REF!-#REF!</f>
        <v>#REF!</v>
      </c>
      <c r="BX64" s="281" t="e">
        <f>#REF!-#REF!</f>
        <v>#REF!</v>
      </c>
      <c r="BY64" s="281" t="e">
        <f>#REF!-#REF!</f>
        <v>#REF!</v>
      </c>
      <c r="BZ64" s="281" t="e">
        <f>#REF!-#REF!</f>
        <v>#REF!</v>
      </c>
      <c r="CA64" s="282" t="e">
        <f>#REF!-#REF!</f>
        <v>#REF!</v>
      </c>
      <c r="CB64" s="283" t="e">
        <f>#REF!-#REF!</f>
        <v>#REF!</v>
      </c>
      <c r="CC64" s="281" t="e">
        <f>#REF!-#REF!</f>
        <v>#REF!</v>
      </c>
      <c r="CD64" s="282" t="e">
        <f>#REF!-#REF!</f>
        <v>#REF!</v>
      </c>
      <c r="CE64" s="283" t="e">
        <f>#REF!-#REF!</f>
        <v>#REF!</v>
      </c>
    </row>
    <row r="65" spans="1:117" ht="15" hidden="1" customHeight="1" x14ac:dyDescent="0.25">
      <c r="A65" s="521"/>
      <c r="B65" s="55" t="s">
        <v>29</v>
      </c>
      <c r="C65" s="376"/>
      <c r="D65" s="376"/>
      <c r="E65" s="376"/>
      <c r="F65" s="377">
        <v>22.72</v>
      </c>
      <c r="G65" s="281">
        <f t="shared" si="73"/>
        <v>1.03</v>
      </c>
      <c r="H65" s="282">
        <f t="shared" si="74"/>
        <v>4.6099999999999994</v>
      </c>
      <c r="I65" s="282">
        <f t="shared" si="75"/>
        <v>5.78</v>
      </c>
      <c r="J65" s="283">
        <f t="shared" si="76"/>
        <v>18.600000000000001</v>
      </c>
      <c r="K65" s="281">
        <f t="shared" si="77"/>
        <v>0.5</v>
      </c>
      <c r="L65" s="282">
        <f t="shared" si="78"/>
        <v>1.23</v>
      </c>
      <c r="M65" s="282">
        <f t="shared" si="79"/>
        <v>4.8100000000000005</v>
      </c>
      <c r="N65" s="283">
        <f t="shared" si="80"/>
        <v>10.9</v>
      </c>
      <c r="O65" s="281">
        <f t="shared" si="81"/>
        <v>0</v>
      </c>
      <c r="P65" s="282">
        <f t="shared" si="82"/>
        <v>2</v>
      </c>
      <c r="Q65" s="282">
        <f t="shared" si="83"/>
        <v>6.07</v>
      </c>
      <c r="R65" s="283">
        <f t="shared" si="84"/>
        <v>23.84</v>
      </c>
      <c r="W65" s="281">
        <f t="shared" si="85"/>
        <v>0</v>
      </c>
      <c r="X65" s="282">
        <f t="shared" si="86"/>
        <v>2.17</v>
      </c>
      <c r="Y65" s="282">
        <f t="shared" si="87"/>
        <v>9.06</v>
      </c>
      <c r="Z65" s="283">
        <f t="shared" si="88"/>
        <v>19.61</v>
      </c>
      <c r="AA65" s="281">
        <f t="shared" si="89"/>
        <v>1.77</v>
      </c>
      <c r="AB65" s="282">
        <f t="shared" si="90"/>
        <v>3.39</v>
      </c>
      <c r="AC65" s="282">
        <f t="shared" si="91"/>
        <v>15.52</v>
      </c>
      <c r="AD65" s="283">
        <f t="shared" si="92"/>
        <v>20.61</v>
      </c>
      <c r="AE65" s="281">
        <f t="shared" si="93"/>
        <v>0.7</v>
      </c>
      <c r="AF65" s="282">
        <f t="shared" si="94"/>
        <v>2.4900000000000002</v>
      </c>
      <c r="AG65" s="282">
        <f t="shared" si="95"/>
        <v>14.17</v>
      </c>
      <c r="AH65" s="283">
        <f t="shared" si="96"/>
        <v>24.740000000000002</v>
      </c>
      <c r="AM65" s="281">
        <f t="shared" si="97"/>
        <v>0.97</v>
      </c>
      <c r="AN65" s="282">
        <f t="shared" si="98"/>
        <v>4.03</v>
      </c>
      <c r="AO65" s="282">
        <f t="shared" si="99"/>
        <v>9.67</v>
      </c>
      <c r="AP65" s="283">
        <f t="shared" si="100"/>
        <v>17.809999999999999</v>
      </c>
      <c r="AQ65" s="281">
        <f t="shared" si="101"/>
        <v>1.75</v>
      </c>
      <c r="AR65" s="282">
        <f t="shared" si="102"/>
        <v>3.1</v>
      </c>
      <c r="AS65" s="282">
        <f t="shared" si="103"/>
        <v>21.14</v>
      </c>
      <c r="AT65" s="283">
        <f t="shared" si="104"/>
        <v>24.36</v>
      </c>
      <c r="AU65" s="281">
        <f t="shared" si="105"/>
        <v>2</v>
      </c>
      <c r="AV65" s="282">
        <f t="shared" si="106"/>
        <v>4.79</v>
      </c>
      <c r="AW65" s="282">
        <f t="shared" si="107"/>
        <v>20.100000000000001</v>
      </c>
      <c r="AX65" s="283"/>
      <c r="BC65" s="281">
        <f t="shared" si="108"/>
        <v>2</v>
      </c>
      <c r="BD65" s="282">
        <f t="shared" si="109"/>
        <v>7.67</v>
      </c>
      <c r="BE65" s="282">
        <f t="shared" si="110"/>
        <v>16.68</v>
      </c>
      <c r="BF65" s="283"/>
      <c r="BG65" s="281">
        <f t="shared" si="111"/>
        <v>3.21</v>
      </c>
      <c r="BH65" s="282">
        <f t="shared" si="112"/>
        <v>8.4699999999999989</v>
      </c>
      <c r="BI65" s="282">
        <f t="shared" si="113"/>
        <v>19.809999999999999</v>
      </c>
      <c r="BJ65" s="283"/>
      <c r="BK65" s="281">
        <f t="shared" si="114"/>
        <v>1.5</v>
      </c>
      <c r="BL65" s="282">
        <f t="shared" si="115"/>
        <v>6.1899999999999995</v>
      </c>
      <c r="BM65" s="282">
        <f t="shared" si="116"/>
        <v>22.05</v>
      </c>
      <c r="BN65" s="599"/>
      <c r="BT65" s="281" t="e">
        <f>#REF!-#REF!</f>
        <v>#REF!</v>
      </c>
      <c r="BU65" s="282" t="e">
        <f>#REF!-#REF!</f>
        <v>#REF!</v>
      </c>
      <c r="BV65" s="283" t="e">
        <f>#REF!-#REF!</f>
        <v>#REF!</v>
      </c>
      <c r="BW65" s="281" t="e">
        <f>#REF!-#REF!</f>
        <v>#REF!</v>
      </c>
      <c r="BX65" s="281" t="e">
        <f>#REF!-#REF!</f>
        <v>#REF!</v>
      </c>
      <c r="BY65" s="281" t="e">
        <f>#REF!-#REF!</f>
        <v>#REF!</v>
      </c>
      <c r="BZ65" s="281" t="e">
        <f>#REF!-#REF!</f>
        <v>#REF!</v>
      </c>
      <c r="CA65" s="282" t="e">
        <f>#REF!-#REF!</f>
        <v>#REF!</v>
      </c>
      <c r="CB65" s="283" t="e">
        <f>#REF!-#REF!</f>
        <v>#REF!</v>
      </c>
      <c r="CC65" s="281" t="e">
        <f>#REF!-#REF!</f>
        <v>#REF!</v>
      </c>
      <c r="CD65" s="282" t="e">
        <f>#REF!-#REF!</f>
        <v>#REF!</v>
      </c>
      <c r="CE65" s="283" t="e">
        <f>#REF!-#REF!</f>
        <v>#REF!</v>
      </c>
    </row>
    <row r="66" spans="1:117" ht="15" hidden="1" customHeight="1" x14ac:dyDescent="0.25">
      <c r="A66" s="521"/>
      <c r="B66" s="55" t="s">
        <v>30</v>
      </c>
      <c r="C66" s="376"/>
      <c r="D66" s="376"/>
      <c r="E66" s="376"/>
      <c r="F66" s="377"/>
      <c r="G66" s="281">
        <f t="shared" si="73"/>
        <v>0</v>
      </c>
      <c r="H66" s="282">
        <f t="shared" si="74"/>
        <v>0</v>
      </c>
      <c r="I66" s="282">
        <f t="shared" si="75"/>
        <v>0</v>
      </c>
      <c r="J66" s="283">
        <f t="shared" si="76"/>
        <v>0</v>
      </c>
      <c r="K66" s="281">
        <f t="shared" si="77"/>
        <v>0</v>
      </c>
      <c r="L66" s="282">
        <f t="shared" si="78"/>
        <v>0</v>
      </c>
      <c r="M66" s="282">
        <f t="shared" si="79"/>
        <v>0</v>
      </c>
      <c r="N66" s="283">
        <f t="shared" si="80"/>
        <v>0</v>
      </c>
      <c r="O66" s="281">
        <f t="shared" si="81"/>
        <v>0</v>
      </c>
      <c r="P66" s="282">
        <f t="shared" si="82"/>
        <v>0</v>
      </c>
      <c r="Q66" s="282">
        <f t="shared" si="83"/>
        <v>0</v>
      </c>
      <c r="R66" s="283">
        <f t="shared" si="84"/>
        <v>0</v>
      </c>
      <c r="W66" s="281">
        <f t="shared" si="85"/>
        <v>0</v>
      </c>
      <c r="X66" s="282">
        <f t="shared" si="86"/>
        <v>0</v>
      </c>
      <c r="Y66" s="282">
        <f t="shared" si="87"/>
        <v>0</v>
      </c>
      <c r="Z66" s="283">
        <f t="shared" si="88"/>
        <v>0</v>
      </c>
      <c r="AA66" s="281">
        <f t="shared" si="89"/>
        <v>0</v>
      </c>
      <c r="AB66" s="282">
        <f t="shared" si="90"/>
        <v>0</v>
      </c>
      <c r="AC66" s="282">
        <f t="shared" si="91"/>
        <v>0</v>
      </c>
      <c r="AD66" s="283">
        <f t="shared" si="92"/>
        <v>0</v>
      </c>
      <c r="AE66" s="281">
        <f t="shared" si="93"/>
        <v>0</v>
      </c>
      <c r="AF66" s="282">
        <f t="shared" si="94"/>
        <v>0</v>
      </c>
      <c r="AG66" s="282">
        <f t="shared" si="95"/>
        <v>0</v>
      </c>
      <c r="AH66" s="283">
        <f t="shared" si="96"/>
        <v>0</v>
      </c>
      <c r="AM66" s="281">
        <f t="shared" si="97"/>
        <v>0</v>
      </c>
      <c r="AN66" s="282">
        <f t="shared" si="98"/>
        <v>0</v>
      </c>
      <c r="AO66" s="282">
        <f t="shared" si="99"/>
        <v>0</v>
      </c>
      <c r="AP66" s="283">
        <f t="shared" si="100"/>
        <v>0</v>
      </c>
      <c r="AQ66" s="281">
        <f t="shared" si="101"/>
        <v>0</v>
      </c>
      <c r="AR66" s="282">
        <f t="shared" si="102"/>
        <v>0</v>
      </c>
      <c r="AS66" s="282">
        <f t="shared" si="103"/>
        <v>0</v>
      </c>
      <c r="AT66" s="283">
        <f t="shared" si="104"/>
        <v>0</v>
      </c>
      <c r="AU66" s="281">
        <f t="shared" si="105"/>
        <v>0</v>
      </c>
      <c r="AV66" s="282">
        <f t="shared" si="106"/>
        <v>0</v>
      </c>
      <c r="AW66" s="282">
        <f t="shared" si="107"/>
        <v>0</v>
      </c>
      <c r="AX66" s="283"/>
      <c r="BC66" s="281">
        <f t="shared" si="108"/>
        <v>0</v>
      </c>
      <c r="BD66" s="282">
        <f t="shared" si="109"/>
        <v>0</v>
      </c>
      <c r="BE66" s="282">
        <f t="shared" si="110"/>
        <v>0</v>
      </c>
      <c r="BF66" s="283"/>
      <c r="BG66" s="281">
        <f t="shared" si="111"/>
        <v>0</v>
      </c>
      <c r="BH66" s="282">
        <f t="shared" si="112"/>
        <v>0</v>
      </c>
      <c r="BI66" s="282">
        <f t="shared" si="113"/>
        <v>0</v>
      </c>
      <c r="BJ66" s="283"/>
      <c r="BK66" s="281">
        <f t="shared" si="114"/>
        <v>0</v>
      </c>
      <c r="BL66" s="282">
        <f t="shared" si="115"/>
        <v>0</v>
      </c>
      <c r="BM66" s="282">
        <f t="shared" si="116"/>
        <v>0</v>
      </c>
      <c r="BN66" s="599"/>
      <c r="BT66" s="281" t="e">
        <f>#REF!-#REF!</f>
        <v>#REF!</v>
      </c>
      <c r="BU66" s="282" t="e">
        <f>#REF!-#REF!</f>
        <v>#REF!</v>
      </c>
      <c r="BV66" s="283" t="e">
        <f>#REF!-#REF!</f>
        <v>#REF!</v>
      </c>
      <c r="BW66" s="281" t="e">
        <f>#REF!-#REF!</f>
        <v>#REF!</v>
      </c>
      <c r="BX66" s="281" t="e">
        <f>#REF!-#REF!</f>
        <v>#REF!</v>
      </c>
      <c r="BY66" s="281" t="e">
        <f>#REF!-#REF!</f>
        <v>#REF!</v>
      </c>
      <c r="BZ66" s="281" t="e">
        <f>#REF!-#REF!</f>
        <v>#REF!</v>
      </c>
      <c r="CA66" s="282" t="e">
        <f>#REF!-#REF!</f>
        <v>#REF!</v>
      </c>
      <c r="CB66" s="283" t="e">
        <f>#REF!-#REF!</f>
        <v>#REF!</v>
      </c>
      <c r="CC66" s="281" t="e">
        <f>#REF!-#REF!</f>
        <v>#REF!</v>
      </c>
      <c r="CD66" s="282" t="e">
        <f>#REF!-#REF!</f>
        <v>#REF!</v>
      </c>
      <c r="CE66" s="283" t="e">
        <f>#REF!-#REF!</f>
        <v>#REF!</v>
      </c>
    </row>
    <row r="67" spans="1:117" ht="15" hidden="1" customHeight="1" x14ac:dyDescent="0.25">
      <c r="A67" s="521"/>
      <c r="B67" s="55">
        <v>27</v>
      </c>
      <c r="C67" s="376"/>
      <c r="D67" s="376"/>
      <c r="E67" s="376"/>
      <c r="F67" s="377">
        <v>18.64</v>
      </c>
      <c r="G67" s="281">
        <f t="shared" si="73"/>
        <v>0.6</v>
      </c>
      <c r="H67" s="282">
        <f t="shared" si="74"/>
        <v>1.81</v>
      </c>
      <c r="I67" s="282">
        <f t="shared" si="75"/>
        <v>2.19</v>
      </c>
      <c r="J67" s="283">
        <f t="shared" si="76"/>
        <v>2.98</v>
      </c>
      <c r="K67" s="281">
        <f t="shared" si="77"/>
        <v>0.33</v>
      </c>
      <c r="L67" s="282">
        <f t="shared" si="78"/>
        <v>0.61</v>
      </c>
      <c r="M67" s="282">
        <f t="shared" si="79"/>
        <v>1.95</v>
      </c>
      <c r="N67" s="283">
        <f t="shared" si="80"/>
        <v>11.959999999999999</v>
      </c>
      <c r="O67" s="281">
        <f t="shared" si="81"/>
        <v>0</v>
      </c>
      <c r="P67" s="282">
        <f t="shared" si="82"/>
        <v>3.33</v>
      </c>
      <c r="Q67" s="282">
        <f t="shared" si="83"/>
        <v>2.97</v>
      </c>
      <c r="R67" s="283">
        <f t="shared" si="84"/>
        <v>9.25</v>
      </c>
      <c r="W67" s="281">
        <f t="shared" si="85"/>
        <v>0</v>
      </c>
      <c r="X67" s="282">
        <f t="shared" si="86"/>
        <v>1.27</v>
      </c>
      <c r="Y67" s="282">
        <f t="shared" si="87"/>
        <v>7.46</v>
      </c>
      <c r="Z67" s="283">
        <f t="shared" si="88"/>
        <v>17.259999999999998</v>
      </c>
      <c r="AA67" s="281">
        <f t="shared" si="89"/>
        <v>1.48</v>
      </c>
      <c r="AB67" s="282">
        <f t="shared" si="90"/>
        <v>5.2299999999999995</v>
      </c>
      <c r="AC67" s="282">
        <f t="shared" si="91"/>
        <v>11.2</v>
      </c>
      <c r="AD67" s="283">
        <f t="shared" si="92"/>
        <v>14.31</v>
      </c>
      <c r="AE67" s="281">
        <f t="shared" si="93"/>
        <v>0.6</v>
      </c>
      <c r="AF67" s="282">
        <f t="shared" si="94"/>
        <v>2.19</v>
      </c>
      <c r="AG67" s="282">
        <f t="shared" si="95"/>
        <v>8.01</v>
      </c>
      <c r="AH67" s="283">
        <f t="shared" si="96"/>
        <v>13.73</v>
      </c>
      <c r="AM67" s="281">
        <f t="shared" si="97"/>
        <v>0.78</v>
      </c>
      <c r="AN67" s="282">
        <f t="shared" si="98"/>
        <v>8.11</v>
      </c>
      <c r="AO67" s="282">
        <f t="shared" si="99"/>
        <v>13.530000000000001</v>
      </c>
      <c r="AP67" s="283">
        <f t="shared" si="100"/>
        <v>16.07</v>
      </c>
      <c r="AQ67" s="281">
        <f t="shared" si="101"/>
        <v>1.35</v>
      </c>
      <c r="AR67" s="282">
        <f t="shared" si="102"/>
        <v>4.33</v>
      </c>
      <c r="AS67" s="282">
        <f t="shared" si="103"/>
        <v>7.8</v>
      </c>
      <c r="AT67" s="283">
        <f t="shared" si="104"/>
        <v>25.27</v>
      </c>
      <c r="AU67" s="281">
        <f t="shared" si="105"/>
        <v>1</v>
      </c>
      <c r="AV67" s="282">
        <f t="shared" si="106"/>
        <v>2.41</v>
      </c>
      <c r="AW67" s="282">
        <f t="shared" si="107"/>
        <v>9.49</v>
      </c>
      <c r="AX67" s="283"/>
      <c r="BC67" s="281">
        <f t="shared" si="108"/>
        <v>0.9</v>
      </c>
      <c r="BD67" s="282">
        <f t="shared" si="109"/>
        <v>3.62</v>
      </c>
      <c r="BE67" s="282">
        <f t="shared" si="110"/>
        <v>15.47</v>
      </c>
      <c r="BF67" s="283"/>
      <c r="BG67" s="281">
        <f t="shared" si="111"/>
        <v>1.21</v>
      </c>
      <c r="BH67" s="282">
        <f t="shared" si="112"/>
        <v>3.48</v>
      </c>
      <c r="BI67" s="282">
        <f t="shared" si="113"/>
        <v>15.31</v>
      </c>
      <c r="BJ67" s="283"/>
      <c r="BK67" s="281">
        <f t="shared" si="114"/>
        <v>0.99</v>
      </c>
      <c r="BL67" s="282">
        <f t="shared" si="115"/>
        <v>2.0699999999999998</v>
      </c>
      <c r="BM67" s="282">
        <f t="shared" si="116"/>
        <v>13.75</v>
      </c>
      <c r="BN67" s="599"/>
      <c r="BT67" s="281" t="e">
        <f>#REF!-#REF!</f>
        <v>#REF!</v>
      </c>
      <c r="BU67" s="282" t="e">
        <f>#REF!-#REF!</f>
        <v>#REF!</v>
      </c>
      <c r="BV67" s="283" t="e">
        <f>#REF!-#REF!</f>
        <v>#REF!</v>
      </c>
      <c r="BW67" s="281" t="e">
        <f>#REF!-#REF!</f>
        <v>#REF!</v>
      </c>
      <c r="BX67" s="281" t="e">
        <f>#REF!-#REF!</f>
        <v>#REF!</v>
      </c>
      <c r="BY67" s="281" t="e">
        <f>#REF!-#REF!</f>
        <v>#REF!</v>
      </c>
      <c r="BZ67" s="281" t="e">
        <f>#REF!-#REF!</f>
        <v>#REF!</v>
      </c>
      <c r="CA67" s="282" t="e">
        <f>#REF!-#REF!</f>
        <v>#REF!</v>
      </c>
      <c r="CB67" s="283" t="e">
        <f>#REF!-#REF!</f>
        <v>#REF!</v>
      </c>
      <c r="CC67" s="281" t="e">
        <f>#REF!-#REF!</f>
        <v>#REF!</v>
      </c>
      <c r="CD67" s="282" t="e">
        <f>#REF!-#REF!</f>
        <v>#REF!</v>
      </c>
      <c r="CE67" s="283" t="e">
        <f>#REF!-#REF!</f>
        <v>#REF!</v>
      </c>
    </row>
    <row r="68" spans="1:117" ht="15" hidden="1" customHeight="1" x14ac:dyDescent="0.25">
      <c r="A68" s="521"/>
      <c r="B68" s="55">
        <v>28</v>
      </c>
      <c r="C68" s="376"/>
      <c r="D68" s="376"/>
      <c r="E68" s="376"/>
      <c r="F68" s="377">
        <v>25.5</v>
      </c>
      <c r="G68" s="281">
        <f t="shared" si="73"/>
        <v>3.6100000000000003</v>
      </c>
      <c r="H68" s="282">
        <f t="shared" si="74"/>
        <v>6.37</v>
      </c>
      <c r="I68" s="282">
        <f t="shared" si="75"/>
        <v>17.89</v>
      </c>
      <c r="J68" s="283">
        <f t="shared" si="76"/>
        <v>26.79</v>
      </c>
      <c r="K68" s="281">
        <f t="shared" si="77"/>
        <v>4.03</v>
      </c>
      <c r="L68" s="282">
        <f t="shared" si="78"/>
        <v>8.07</v>
      </c>
      <c r="M68" s="282">
        <f t="shared" si="79"/>
        <v>15.809999999999999</v>
      </c>
      <c r="N68" s="283">
        <f t="shared" si="80"/>
        <v>16.37</v>
      </c>
      <c r="O68" s="281">
        <f t="shared" si="81"/>
        <v>1.1299999999999999</v>
      </c>
      <c r="P68" s="282">
        <f t="shared" si="82"/>
        <v>11.76</v>
      </c>
      <c r="Q68" s="282">
        <f t="shared" si="83"/>
        <v>18.880000000000003</v>
      </c>
      <c r="R68" s="283">
        <f t="shared" si="84"/>
        <v>27.38</v>
      </c>
      <c r="W68" s="281">
        <f t="shared" si="85"/>
        <v>5.29</v>
      </c>
      <c r="X68" s="282">
        <f t="shared" si="86"/>
        <v>10.65</v>
      </c>
      <c r="Y68" s="282">
        <f t="shared" si="87"/>
        <v>20.740000000000002</v>
      </c>
      <c r="Z68" s="283">
        <f t="shared" si="88"/>
        <v>26.42</v>
      </c>
      <c r="AA68" s="281">
        <f t="shared" si="89"/>
        <v>10.54</v>
      </c>
      <c r="AB68" s="282">
        <f t="shared" si="90"/>
        <v>16.98</v>
      </c>
      <c r="AC68" s="282">
        <f t="shared" si="91"/>
        <v>20.47</v>
      </c>
      <c r="AD68" s="283">
        <f t="shared" si="92"/>
        <v>23.19</v>
      </c>
      <c r="AE68" s="281">
        <f t="shared" si="93"/>
        <v>15.27</v>
      </c>
      <c r="AF68" s="282">
        <f t="shared" si="94"/>
        <v>10.629999999999999</v>
      </c>
      <c r="AG68" s="282">
        <f t="shared" si="95"/>
        <v>23.61</v>
      </c>
      <c r="AH68" s="283">
        <f t="shared" si="96"/>
        <v>37.769999999999996</v>
      </c>
      <c r="AM68" s="281">
        <f t="shared" si="97"/>
        <v>15.45</v>
      </c>
      <c r="AN68" s="282">
        <f t="shared" si="98"/>
        <v>12.780000000000001</v>
      </c>
      <c r="AO68" s="282">
        <f t="shared" si="99"/>
        <v>17.22</v>
      </c>
      <c r="AP68" s="283">
        <f t="shared" si="100"/>
        <v>26.97</v>
      </c>
      <c r="AQ68" s="281">
        <f t="shared" si="101"/>
        <v>15.420000000000002</v>
      </c>
      <c r="AR68" s="282">
        <f t="shared" si="102"/>
        <v>15.89</v>
      </c>
      <c r="AS68" s="282">
        <f t="shared" si="103"/>
        <v>23.95</v>
      </c>
      <c r="AT68" s="283">
        <f t="shared" si="104"/>
        <v>22.040000000000003</v>
      </c>
      <c r="AU68" s="281">
        <f t="shared" si="105"/>
        <v>13.77</v>
      </c>
      <c r="AV68" s="282">
        <f t="shared" si="106"/>
        <v>21.4</v>
      </c>
      <c r="AW68" s="282">
        <f t="shared" si="107"/>
        <v>23.700000000000003</v>
      </c>
      <c r="AX68" s="283"/>
      <c r="BC68" s="281">
        <f t="shared" si="108"/>
        <v>18.03</v>
      </c>
      <c r="BD68" s="282">
        <f t="shared" si="109"/>
        <v>22.880000000000003</v>
      </c>
      <c r="BE68" s="282">
        <f t="shared" si="110"/>
        <v>24.700000000000003</v>
      </c>
      <c r="BF68" s="283"/>
      <c r="BG68" s="281">
        <f t="shared" si="111"/>
        <v>14.1</v>
      </c>
      <c r="BH68" s="282">
        <f t="shared" si="112"/>
        <v>17.14</v>
      </c>
      <c r="BI68" s="282">
        <f t="shared" si="113"/>
        <v>22.85</v>
      </c>
      <c r="BJ68" s="283"/>
      <c r="BK68" s="281">
        <f t="shared" si="114"/>
        <v>23.28</v>
      </c>
      <c r="BL68" s="282">
        <f t="shared" si="115"/>
        <v>16.149999999999999</v>
      </c>
      <c r="BM68" s="282">
        <f t="shared" si="116"/>
        <v>19.61</v>
      </c>
      <c r="BN68" s="599"/>
      <c r="BT68" s="281" t="e">
        <f>#REF!-#REF!</f>
        <v>#REF!</v>
      </c>
      <c r="BU68" s="282" t="e">
        <f>#REF!-#REF!</f>
        <v>#REF!</v>
      </c>
      <c r="BV68" s="283" t="e">
        <f>#REF!-#REF!</f>
        <v>#REF!</v>
      </c>
      <c r="BW68" s="281" t="e">
        <f>#REF!-#REF!</f>
        <v>#REF!</v>
      </c>
      <c r="BX68" s="281" t="e">
        <f>#REF!-#REF!</f>
        <v>#REF!</v>
      </c>
      <c r="BY68" s="281" t="e">
        <f>#REF!-#REF!</f>
        <v>#REF!</v>
      </c>
      <c r="BZ68" s="281" t="e">
        <f>#REF!-#REF!</f>
        <v>#REF!</v>
      </c>
      <c r="CA68" s="282" t="e">
        <f>#REF!-#REF!</f>
        <v>#REF!</v>
      </c>
      <c r="CB68" s="283" t="e">
        <f>#REF!-#REF!</f>
        <v>#REF!</v>
      </c>
      <c r="CC68" s="281" t="e">
        <f>#REF!-#REF!</f>
        <v>#REF!</v>
      </c>
      <c r="CD68" s="282" t="e">
        <f>#REF!-#REF!</f>
        <v>#REF!</v>
      </c>
      <c r="CE68" s="283" t="e">
        <f>#REF!-#REF!</f>
        <v>#REF!</v>
      </c>
    </row>
    <row r="69" spans="1:117" ht="15" hidden="1" customHeight="1" x14ac:dyDescent="0.25">
      <c r="A69" s="521"/>
      <c r="B69" s="55">
        <v>29</v>
      </c>
      <c r="C69" s="376"/>
      <c r="D69" s="376"/>
      <c r="E69" s="376"/>
      <c r="F69" s="377">
        <v>11.38</v>
      </c>
      <c r="G69" s="281">
        <f t="shared" si="73"/>
        <v>0</v>
      </c>
      <c r="H69" s="282">
        <f t="shared" si="74"/>
        <v>0</v>
      </c>
      <c r="I69" s="282">
        <f t="shared" si="75"/>
        <v>0</v>
      </c>
      <c r="J69" s="283">
        <f t="shared" si="76"/>
        <v>1.81</v>
      </c>
      <c r="K69" s="281">
        <f t="shared" si="77"/>
        <v>0</v>
      </c>
      <c r="L69" s="282">
        <f t="shared" si="78"/>
        <v>0</v>
      </c>
      <c r="M69" s="282">
        <f t="shared" si="79"/>
        <v>0</v>
      </c>
      <c r="N69" s="283">
        <f t="shared" si="80"/>
        <v>1.52</v>
      </c>
      <c r="O69" s="281">
        <f t="shared" si="81"/>
        <v>0</v>
      </c>
      <c r="P69" s="282">
        <f t="shared" si="82"/>
        <v>0</v>
      </c>
      <c r="Q69" s="282">
        <f t="shared" si="83"/>
        <v>0</v>
      </c>
      <c r="R69" s="283">
        <f t="shared" si="84"/>
        <v>2.64</v>
      </c>
      <c r="W69" s="281">
        <f t="shared" si="85"/>
        <v>0</v>
      </c>
      <c r="X69" s="282">
        <f t="shared" si="86"/>
        <v>0</v>
      </c>
      <c r="Y69" s="282">
        <f t="shared" si="87"/>
        <v>0</v>
      </c>
      <c r="Z69" s="283">
        <f t="shared" si="88"/>
        <v>3.6399999999999997</v>
      </c>
      <c r="AA69" s="281">
        <f t="shared" si="89"/>
        <v>0</v>
      </c>
      <c r="AB69" s="282">
        <f t="shared" si="90"/>
        <v>0</v>
      </c>
      <c r="AC69" s="282">
        <f t="shared" si="91"/>
        <v>0</v>
      </c>
      <c r="AD69" s="283">
        <f t="shared" si="92"/>
        <v>5.3</v>
      </c>
      <c r="AE69" s="281">
        <f t="shared" si="93"/>
        <v>0</v>
      </c>
      <c r="AF69" s="282">
        <f t="shared" si="94"/>
        <v>0</v>
      </c>
      <c r="AG69" s="282">
        <f t="shared" si="95"/>
        <v>2.5300000000000002</v>
      </c>
      <c r="AH69" s="283">
        <f t="shared" si="96"/>
        <v>9.23</v>
      </c>
      <c r="AM69" s="281">
        <f t="shared" si="97"/>
        <v>0</v>
      </c>
      <c r="AN69" s="282">
        <f t="shared" si="98"/>
        <v>0</v>
      </c>
      <c r="AO69" s="282">
        <f t="shared" si="99"/>
        <v>1.84</v>
      </c>
      <c r="AP69" s="283">
        <f t="shared" si="100"/>
        <v>5.72</v>
      </c>
      <c r="AQ69" s="281">
        <f t="shared" si="101"/>
        <v>0</v>
      </c>
      <c r="AR69" s="282">
        <f t="shared" si="102"/>
        <v>0</v>
      </c>
      <c r="AS69" s="282">
        <f t="shared" si="103"/>
        <v>2.5099999999999998</v>
      </c>
      <c r="AT69" s="283">
        <f t="shared" si="104"/>
        <v>12.66</v>
      </c>
      <c r="AU69" s="281">
        <f t="shared" si="105"/>
        <v>0</v>
      </c>
      <c r="AV69" s="282">
        <f t="shared" si="106"/>
        <v>0</v>
      </c>
      <c r="AW69" s="282">
        <f t="shared" si="107"/>
        <v>0.9</v>
      </c>
      <c r="AX69" s="283"/>
      <c r="BC69" s="281">
        <f t="shared" si="108"/>
        <v>0</v>
      </c>
      <c r="BD69" s="282">
        <f t="shared" si="109"/>
        <v>0</v>
      </c>
      <c r="BE69" s="282">
        <f t="shared" si="110"/>
        <v>1.83</v>
      </c>
      <c r="BF69" s="283"/>
      <c r="BG69" s="281">
        <f t="shared" si="111"/>
        <v>0</v>
      </c>
      <c r="BH69" s="282">
        <f t="shared" si="112"/>
        <v>0</v>
      </c>
      <c r="BI69" s="282">
        <f t="shared" si="113"/>
        <v>4.3100000000000005</v>
      </c>
      <c r="BJ69" s="283"/>
      <c r="BK69" s="281">
        <f t="shared" si="114"/>
        <v>0</v>
      </c>
      <c r="BL69" s="282">
        <f t="shared" si="115"/>
        <v>0</v>
      </c>
      <c r="BM69" s="282">
        <f t="shared" si="116"/>
        <v>2.7</v>
      </c>
      <c r="BN69" s="599"/>
      <c r="BT69" s="281" t="e">
        <f>#REF!-#REF!</f>
        <v>#REF!</v>
      </c>
      <c r="BU69" s="282" t="e">
        <f>#REF!-#REF!</f>
        <v>#REF!</v>
      </c>
      <c r="BV69" s="283" t="e">
        <f>#REF!-#REF!</f>
        <v>#REF!</v>
      </c>
      <c r="BW69" s="281" t="e">
        <f>#REF!-#REF!</f>
        <v>#REF!</v>
      </c>
      <c r="BX69" s="281" t="e">
        <f>#REF!-#REF!</f>
        <v>#REF!</v>
      </c>
      <c r="BY69" s="281" t="e">
        <f>#REF!-#REF!</f>
        <v>#REF!</v>
      </c>
      <c r="BZ69" s="281" t="e">
        <f>#REF!-#REF!</f>
        <v>#REF!</v>
      </c>
      <c r="CA69" s="282" t="e">
        <f>#REF!-#REF!</f>
        <v>#REF!</v>
      </c>
      <c r="CB69" s="283" t="e">
        <f>#REF!-#REF!</f>
        <v>#REF!</v>
      </c>
      <c r="CC69" s="281" t="e">
        <f>#REF!-#REF!</f>
        <v>#REF!</v>
      </c>
      <c r="CD69" s="282" t="e">
        <f>#REF!-#REF!</f>
        <v>#REF!</v>
      </c>
      <c r="CE69" s="283" t="e">
        <f>#REF!-#REF!</f>
        <v>#REF!</v>
      </c>
    </row>
    <row r="70" spans="1:117" ht="15" hidden="1" customHeight="1" x14ac:dyDescent="0.25">
      <c r="A70" s="521"/>
      <c r="B70" s="55">
        <v>30</v>
      </c>
      <c r="C70" s="376"/>
      <c r="D70" s="376"/>
      <c r="E70" s="376"/>
      <c r="F70" s="377">
        <v>24.35</v>
      </c>
      <c r="G70" s="281">
        <f t="shared" si="73"/>
        <v>0</v>
      </c>
      <c r="H70" s="282">
        <f t="shared" si="74"/>
        <v>0</v>
      </c>
      <c r="I70" s="282">
        <f t="shared" si="75"/>
        <v>0</v>
      </c>
      <c r="J70" s="283">
        <f t="shared" si="76"/>
        <v>21.18</v>
      </c>
      <c r="K70" s="281">
        <f t="shared" si="77"/>
        <v>0</v>
      </c>
      <c r="L70" s="282">
        <f t="shared" si="78"/>
        <v>0</v>
      </c>
      <c r="M70" s="282">
        <f t="shared" si="79"/>
        <v>2.44</v>
      </c>
      <c r="N70" s="283">
        <f t="shared" si="80"/>
        <v>11.870000000000001</v>
      </c>
      <c r="O70" s="281">
        <f t="shared" si="81"/>
        <v>0</v>
      </c>
      <c r="P70" s="282">
        <f t="shared" si="82"/>
        <v>0</v>
      </c>
      <c r="Q70" s="282">
        <f t="shared" si="83"/>
        <v>1.8199999999999998</v>
      </c>
      <c r="R70" s="283">
        <f t="shared" si="84"/>
        <v>14.02</v>
      </c>
      <c r="W70" s="281">
        <f t="shared" si="85"/>
        <v>0</v>
      </c>
      <c r="X70" s="282">
        <f t="shared" si="86"/>
        <v>0</v>
      </c>
      <c r="Y70" s="282">
        <f t="shared" si="87"/>
        <v>1.02</v>
      </c>
      <c r="Z70" s="283">
        <f t="shared" si="88"/>
        <v>22.02</v>
      </c>
      <c r="AA70" s="281">
        <f t="shared" si="89"/>
        <v>0</v>
      </c>
      <c r="AB70" s="282">
        <f t="shared" si="90"/>
        <v>0</v>
      </c>
      <c r="AC70" s="282">
        <f t="shared" si="91"/>
        <v>2.59</v>
      </c>
      <c r="AD70" s="283">
        <f t="shared" si="92"/>
        <v>24.98</v>
      </c>
      <c r="AE70" s="281">
        <f t="shared" si="93"/>
        <v>0</v>
      </c>
      <c r="AF70" s="282">
        <f t="shared" si="94"/>
        <v>0</v>
      </c>
      <c r="AG70" s="282">
        <f t="shared" si="95"/>
        <v>2.9</v>
      </c>
      <c r="AH70" s="283">
        <f t="shared" si="96"/>
        <v>19.869999999999997</v>
      </c>
      <c r="AM70" s="281">
        <f t="shared" si="97"/>
        <v>0</v>
      </c>
      <c r="AN70" s="282">
        <f t="shared" si="98"/>
        <v>0</v>
      </c>
      <c r="AO70" s="282">
        <f t="shared" si="99"/>
        <v>1.6099999999999999</v>
      </c>
      <c r="AP70" s="283">
        <f t="shared" si="100"/>
        <v>15.129999999999999</v>
      </c>
      <c r="AQ70" s="281">
        <f t="shared" si="101"/>
        <v>0</v>
      </c>
      <c r="AR70" s="282">
        <f t="shared" si="102"/>
        <v>0</v>
      </c>
      <c r="AS70" s="282">
        <f t="shared" si="103"/>
        <v>5.45</v>
      </c>
      <c r="AT70" s="283">
        <f t="shared" si="104"/>
        <v>15.870000000000001</v>
      </c>
      <c r="AU70" s="281">
        <f t="shared" si="105"/>
        <v>0</v>
      </c>
      <c r="AV70" s="282">
        <f t="shared" si="106"/>
        <v>0</v>
      </c>
      <c r="AW70" s="282">
        <f t="shared" si="107"/>
        <v>4.17</v>
      </c>
      <c r="AX70" s="283"/>
      <c r="BC70" s="281">
        <f t="shared" si="108"/>
        <v>0</v>
      </c>
      <c r="BD70" s="282">
        <f t="shared" si="109"/>
        <v>0</v>
      </c>
      <c r="BE70" s="282">
        <f t="shared" si="110"/>
        <v>4.0999999999999996</v>
      </c>
      <c r="BF70" s="283"/>
      <c r="BG70" s="281">
        <f t="shared" si="111"/>
        <v>0</v>
      </c>
      <c r="BH70" s="282">
        <f t="shared" si="112"/>
        <v>0</v>
      </c>
      <c r="BI70" s="282">
        <f t="shared" si="113"/>
        <v>15.54</v>
      </c>
      <c r="BJ70" s="283"/>
      <c r="BK70" s="281">
        <f t="shared" si="114"/>
        <v>0</v>
      </c>
      <c r="BL70" s="282">
        <f t="shared" si="115"/>
        <v>0</v>
      </c>
      <c r="BM70" s="282">
        <f t="shared" si="116"/>
        <v>2.2400000000000002</v>
      </c>
      <c r="BN70" s="599"/>
      <c r="BT70" s="281" t="e">
        <f>#REF!-#REF!</f>
        <v>#REF!</v>
      </c>
      <c r="BU70" s="282" t="e">
        <f>#REF!-#REF!</f>
        <v>#REF!</v>
      </c>
      <c r="BV70" s="283" t="e">
        <f>#REF!-#REF!</f>
        <v>#REF!</v>
      </c>
      <c r="BW70" s="281" t="e">
        <f>#REF!-#REF!</f>
        <v>#REF!</v>
      </c>
      <c r="BX70" s="281" t="e">
        <f>#REF!-#REF!</f>
        <v>#REF!</v>
      </c>
      <c r="BY70" s="281" t="e">
        <f>#REF!-#REF!</f>
        <v>#REF!</v>
      </c>
      <c r="BZ70" s="281" t="e">
        <f>#REF!-#REF!</f>
        <v>#REF!</v>
      </c>
      <c r="CA70" s="282" t="e">
        <f>#REF!-#REF!</f>
        <v>#REF!</v>
      </c>
      <c r="CB70" s="283" t="e">
        <f>#REF!-#REF!</f>
        <v>#REF!</v>
      </c>
      <c r="CC70" s="281" t="e">
        <f>#REF!-#REF!</f>
        <v>#REF!</v>
      </c>
      <c r="CD70" s="282" t="e">
        <f>#REF!-#REF!</f>
        <v>#REF!</v>
      </c>
      <c r="CE70" s="283" t="e">
        <f>#REF!-#REF!</f>
        <v>#REF!</v>
      </c>
    </row>
    <row r="71" spans="1:117" ht="15" hidden="1" customHeight="1" x14ac:dyDescent="0.25">
      <c r="A71" s="521"/>
      <c r="B71" s="55">
        <v>31</v>
      </c>
      <c r="C71" s="376"/>
      <c r="D71" s="376"/>
      <c r="E71" s="376"/>
      <c r="F71" s="377">
        <v>34.08</v>
      </c>
      <c r="G71" s="281">
        <f t="shared" si="73"/>
        <v>0</v>
      </c>
      <c r="H71" s="282">
        <f t="shared" si="74"/>
        <v>0</v>
      </c>
      <c r="I71" s="282">
        <f t="shared" si="75"/>
        <v>0</v>
      </c>
      <c r="J71" s="283">
        <f t="shared" si="76"/>
        <v>17.89</v>
      </c>
      <c r="K71" s="281">
        <f t="shared" si="77"/>
        <v>0</v>
      </c>
      <c r="L71" s="282">
        <f t="shared" si="78"/>
        <v>0</v>
      </c>
      <c r="M71" s="282">
        <f t="shared" si="79"/>
        <v>0.95</v>
      </c>
      <c r="N71" s="283">
        <f t="shared" si="80"/>
        <v>13.149999999999999</v>
      </c>
      <c r="O71" s="281">
        <f t="shared" si="81"/>
        <v>0</v>
      </c>
      <c r="P71" s="282">
        <f t="shared" si="82"/>
        <v>0</v>
      </c>
      <c r="Q71" s="282">
        <f t="shared" si="83"/>
        <v>1.62</v>
      </c>
      <c r="R71" s="283">
        <f t="shared" si="84"/>
        <v>13.65</v>
      </c>
      <c r="W71" s="281">
        <f t="shared" si="85"/>
        <v>0</v>
      </c>
      <c r="X71" s="282">
        <f t="shared" si="86"/>
        <v>0</v>
      </c>
      <c r="Y71" s="282">
        <f t="shared" si="87"/>
        <v>1.5329999999999999</v>
      </c>
      <c r="Z71" s="283">
        <f t="shared" si="88"/>
        <v>19.29</v>
      </c>
      <c r="AA71" s="281">
        <f t="shared" si="89"/>
        <v>0</v>
      </c>
      <c r="AB71" s="282">
        <f t="shared" si="90"/>
        <v>0</v>
      </c>
      <c r="AC71" s="282">
        <f t="shared" si="91"/>
        <v>2.71</v>
      </c>
      <c r="AD71" s="283">
        <f t="shared" si="92"/>
        <v>29.76</v>
      </c>
      <c r="AE71" s="281">
        <f t="shared" si="93"/>
        <v>0</v>
      </c>
      <c r="AF71" s="282">
        <f t="shared" si="94"/>
        <v>0</v>
      </c>
      <c r="AG71" s="282">
        <f t="shared" si="95"/>
        <v>1.88</v>
      </c>
      <c r="AH71" s="283">
        <f t="shared" si="96"/>
        <v>16.940000000000001</v>
      </c>
      <c r="AM71" s="281">
        <f t="shared" si="97"/>
        <v>0</v>
      </c>
      <c r="AN71" s="282">
        <f t="shared" si="98"/>
        <v>0</v>
      </c>
      <c r="AO71" s="282">
        <f t="shared" si="99"/>
        <v>2.77</v>
      </c>
      <c r="AP71" s="283">
        <f t="shared" si="100"/>
        <v>16.240000000000002</v>
      </c>
      <c r="AQ71" s="281">
        <f t="shared" si="101"/>
        <v>0</v>
      </c>
      <c r="AR71" s="282">
        <f t="shared" si="102"/>
        <v>0</v>
      </c>
      <c r="AS71" s="282">
        <f t="shared" si="103"/>
        <v>8.5399999999999991</v>
      </c>
      <c r="AT71" s="283">
        <f t="shared" si="104"/>
        <v>17.2</v>
      </c>
      <c r="AU71" s="281">
        <f t="shared" si="105"/>
        <v>0</v>
      </c>
      <c r="AV71" s="282">
        <f t="shared" si="106"/>
        <v>0</v>
      </c>
      <c r="AW71" s="282">
        <f t="shared" si="107"/>
        <v>5.76</v>
      </c>
      <c r="AX71" s="283"/>
      <c r="BC71" s="281">
        <f t="shared" si="108"/>
        <v>0</v>
      </c>
      <c r="BD71" s="282">
        <f t="shared" si="109"/>
        <v>0</v>
      </c>
      <c r="BE71" s="282">
        <f t="shared" si="110"/>
        <v>7.72</v>
      </c>
      <c r="BF71" s="283"/>
      <c r="BG71" s="281">
        <f t="shared" si="111"/>
        <v>0</v>
      </c>
      <c r="BH71" s="282">
        <f t="shared" si="112"/>
        <v>0</v>
      </c>
      <c r="BI71" s="282">
        <f t="shared" si="113"/>
        <v>14.52</v>
      </c>
      <c r="BJ71" s="283"/>
      <c r="BK71" s="281">
        <f t="shared" si="114"/>
        <v>0</v>
      </c>
      <c r="BL71" s="282">
        <f t="shared" si="115"/>
        <v>0</v>
      </c>
      <c r="BM71" s="282">
        <f t="shared" si="116"/>
        <v>3.33</v>
      </c>
      <c r="BN71" s="599"/>
      <c r="BT71" s="281" t="e">
        <f>#REF!-#REF!</f>
        <v>#REF!</v>
      </c>
      <c r="BU71" s="282" t="e">
        <f>#REF!-#REF!</f>
        <v>#REF!</v>
      </c>
      <c r="BV71" s="283" t="e">
        <f>#REF!-#REF!</f>
        <v>#REF!</v>
      </c>
      <c r="BW71" s="281" t="e">
        <f>#REF!-#REF!</f>
        <v>#REF!</v>
      </c>
      <c r="BX71" s="281" t="e">
        <f>#REF!-#REF!</f>
        <v>#REF!</v>
      </c>
      <c r="BY71" s="281" t="e">
        <f>#REF!-#REF!</f>
        <v>#REF!</v>
      </c>
      <c r="BZ71" s="281" t="e">
        <f>#REF!-#REF!</f>
        <v>#REF!</v>
      </c>
      <c r="CA71" s="282" t="e">
        <f>#REF!-#REF!</f>
        <v>#REF!</v>
      </c>
      <c r="CB71" s="283" t="e">
        <f>#REF!-#REF!</f>
        <v>#REF!</v>
      </c>
      <c r="CC71" s="281" t="e">
        <f>#REF!-#REF!</f>
        <v>#REF!</v>
      </c>
      <c r="CD71" s="282" t="e">
        <f>#REF!-#REF!</f>
        <v>#REF!</v>
      </c>
      <c r="CE71" s="283" t="e">
        <f>#REF!-#REF!</f>
        <v>#REF!</v>
      </c>
    </row>
    <row r="72" spans="1:117" ht="15.75" hidden="1" customHeight="1" thickBot="1" x14ac:dyDescent="0.3">
      <c r="A72" s="522"/>
      <c r="B72" s="103">
        <v>32</v>
      </c>
      <c r="C72" s="375"/>
      <c r="D72" s="375"/>
      <c r="E72" s="375"/>
      <c r="F72" s="378">
        <v>0</v>
      </c>
      <c r="G72" s="281">
        <f t="shared" si="73"/>
        <v>0</v>
      </c>
      <c r="H72" s="282">
        <f t="shared" si="74"/>
        <v>0</v>
      </c>
      <c r="I72" s="282">
        <f t="shared" si="75"/>
        <v>0</v>
      </c>
      <c r="J72" s="283">
        <f t="shared" si="76"/>
        <v>0</v>
      </c>
      <c r="K72" s="281">
        <f t="shared" si="77"/>
        <v>0</v>
      </c>
      <c r="L72" s="282">
        <f t="shared" si="78"/>
        <v>0</v>
      </c>
      <c r="M72" s="282">
        <f t="shared" si="79"/>
        <v>0</v>
      </c>
      <c r="N72" s="283">
        <f t="shared" si="80"/>
        <v>0</v>
      </c>
      <c r="O72" s="281">
        <f t="shared" si="81"/>
        <v>0</v>
      </c>
      <c r="P72" s="282">
        <f t="shared" si="82"/>
        <v>0</v>
      </c>
      <c r="Q72" s="282">
        <f t="shared" si="83"/>
        <v>0</v>
      </c>
      <c r="R72" s="283">
        <f t="shared" si="84"/>
        <v>0</v>
      </c>
      <c r="W72" s="281">
        <f t="shared" si="85"/>
        <v>0</v>
      </c>
      <c r="X72" s="282">
        <f t="shared" si="86"/>
        <v>0</v>
      </c>
      <c r="Y72" s="282">
        <f t="shared" si="87"/>
        <v>0</v>
      </c>
      <c r="Z72" s="283">
        <f t="shared" si="88"/>
        <v>0</v>
      </c>
      <c r="AA72" s="281">
        <f t="shared" si="89"/>
        <v>0</v>
      </c>
      <c r="AB72" s="282">
        <f t="shared" si="90"/>
        <v>0</v>
      </c>
      <c r="AC72" s="282">
        <f t="shared" si="91"/>
        <v>0</v>
      </c>
      <c r="AD72" s="283">
        <f t="shared" si="92"/>
        <v>0</v>
      </c>
      <c r="AE72" s="281">
        <f t="shared" si="93"/>
        <v>0</v>
      </c>
      <c r="AF72" s="282">
        <f t="shared" si="94"/>
        <v>0</v>
      </c>
      <c r="AG72" s="282">
        <f t="shared" si="95"/>
        <v>0</v>
      </c>
      <c r="AH72" s="283">
        <f t="shared" si="96"/>
        <v>0</v>
      </c>
      <c r="AM72" s="281">
        <f t="shared" si="97"/>
        <v>0</v>
      </c>
      <c r="AN72" s="282">
        <f t="shared" si="98"/>
        <v>0</v>
      </c>
      <c r="AO72" s="282">
        <f t="shared" si="99"/>
        <v>0</v>
      </c>
      <c r="AP72" s="283">
        <f t="shared" si="100"/>
        <v>0</v>
      </c>
      <c r="AQ72" s="281">
        <f t="shared" si="101"/>
        <v>0</v>
      </c>
      <c r="AR72" s="282">
        <f t="shared" si="102"/>
        <v>0</v>
      </c>
      <c r="AS72" s="282">
        <f t="shared" si="103"/>
        <v>0</v>
      </c>
      <c r="AT72" s="283">
        <f t="shared" si="104"/>
        <v>0</v>
      </c>
      <c r="AU72" s="281">
        <f t="shared" si="105"/>
        <v>0</v>
      </c>
      <c r="AV72" s="282">
        <f t="shared" si="106"/>
        <v>0</v>
      </c>
      <c r="AW72" s="282">
        <f t="shared" si="107"/>
        <v>0</v>
      </c>
      <c r="AX72" s="283"/>
      <c r="BC72" s="281">
        <f t="shared" si="108"/>
        <v>0</v>
      </c>
      <c r="BD72" s="282">
        <f t="shared" si="109"/>
        <v>0</v>
      </c>
      <c r="BE72" s="282">
        <f t="shared" si="110"/>
        <v>0</v>
      </c>
      <c r="BF72" s="283"/>
      <c r="BG72" s="281">
        <f t="shared" si="111"/>
        <v>0</v>
      </c>
      <c r="BH72" s="282">
        <f t="shared" si="112"/>
        <v>0</v>
      </c>
      <c r="BI72" s="282">
        <f t="shared" si="113"/>
        <v>0</v>
      </c>
      <c r="BJ72" s="283"/>
      <c r="BK72" s="281">
        <f t="shared" si="114"/>
        <v>0</v>
      </c>
      <c r="BL72" s="282">
        <f t="shared" si="115"/>
        <v>0</v>
      </c>
      <c r="BM72" s="282">
        <f t="shared" si="116"/>
        <v>0</v>
      </c>
      <c r="BN72" s="599"/>
      <c r="BT72" s="281" t="e">
        <f>#REF!-#REF!</f>
        <v>#REF!</v>
      </c>
      <c r="BU72" s="282" t="e">
        <f>#REF!-#REF!</f>
        <v>#REF!</v>
      </c>
      <c r="BV72" s="283" t="e">
        <f>#REF!-#REF!</f>
        <v>#REF!</v>
      </c>
      <c r="BW72" s="281" t="e">
        <f>#REF!-#REF!</f>
        <v>#REF!</v>
      </c>
      <c r="BX72" s="281" t="e">
        <f>#REF!-#REF!</f>
        <v>#REF!</v>
      </c>
      <c r="BY72" s="281" t="e">
        <f>#REF!-#REF!</f>
        <v>#REF!</v>
      </c>
      <c r="BZ72" s="281" t="e">
        <f>#REF!-#REF!</f>
        <v>#REF!</v>
      </c>
      <c r="CA72" s="282" t="e">
        <f>#REF!-#REF!</f>
        <v>#REF!</v>
      </c>
      <c r="CB72" s="283" t="e">
        <f>#REF!-#REF!</f>
        <v>#REF!</v>
      </c>
      <c r="CC72" s="281" t="e">
        <f>#REF!-#REF!</f>
        <v>#REF!</v>
      </c>
      <c r="CD72" s="282" t="e">
        <f>#REF!-#REF!</f>
        <v>#REF!</v>
      </c>
      <c r="CE72" s="283" t="e">
        <f>#REF!-#REF!</f>
        <v>#REF!</v>
      </c>
    </row>
    <row r="73" spans="1:117" ht="15" hidden="1" customHeight="1" x14ac:dyDescent="0.25">
      <c r="A73" s="520" t="s">
        <v>31</v>
      </c>
      <c r="B73" s="23" t="s">
        <v>32</v>
      </c>
      <c r="C73" s="367"/>
      <c r="D73" s="367"/>
      <c r="E73" s="367"/>
      <c r="F73" s="367">
        <v>28.72</v>
      </c>
      <c r="G73" s="281">
        <f t="shared" si="73"/>
        <v>4.3999999999999995</v>
      </c>
      <c r="H73" s="282">
        <f t="shared" si="74"/>
        <v>19.55</v>
      </c>
      <c r="I73" s="282">
        <f t="shared" si="75"/>
        <v>20.66</v>
      </c>
      <c r="J73" s="283">
        <f t="shared" si="76"/>
        <v>31.42</v>
      </c>
      <c r="K73" s="281">
        <f t="shared" si="77"/>
        <v>5.31</v>
      </c>
      <c r="L73" s="282">
        <f t="shared" si="78"/>
        <v>19.47</v>
      </c>
      <c r="M73" s="282">
        <f t="shared" si="79"/>
        <v>15.18</v>
      </c>
      <c r="N73" s="283">
        <f t="shared" si="80"/>
        <v>29.16</v>
      </c>
      <c r="O73" s="281">
        <f t="shared" si="81"/>
        <v>7.9</v>
      </c>
      <c r="P73" s="282">
        <f t="shared" si="82"/>
        <v>11.94</v>
      </c>
      <c r="Q73" s="282">
        <f t="shared" si="83"/>
        <v>13.39</v>
      </c>
      <c r="R73" s="283">
        <f t="shared" si="84"/>
        <v>37.549999999999997</v>
      </c>
      <c r="W73" s="281">
        <f t="shared" si="85"/>
        <v>3.74</v>
      </c>
      <c r="X73" s="282">
        <f t="shared" si="86"/>
        <v>31.75</v>
      </c>
      <c r="Y73" s="282">
        <f t="shared" si="87"/>
        <v>23.73</v>
      </c>
      <c r="Z73" s="283">
        <f t="shared" si="88"/>
        <v>33.54</v>
      </c>
      <c r="AA73" s="281">
        <f t="shared" si="89"/>
        <v>16.18</v>
      </c>
      <c r="AB73" s="282">
        <f t="shared" si="90"/>
        <v>19.45</v>
      </c>
      <c r="AC73" s="282">
        <f t="shared" si="91"/>
        <v>25.97</v>
      </c>
      <c r="AD73" s="283">
        <f t="shared" si="92"/>
        <v>50.2</v>
      </c>
      <c r="AE73" s="281">
        <f t="shared" si="93"/>
        <v>22.7</v>
      </c>
      <c r="AF73" s="282">
        <f t="shared" si="94"/>
        <v>34.459999999999994</v>
      </c>
      <c r="AG73" s="282">
        <f t="shared" si="95"/>
        <v>30.17</v>
      </c>
      <c r="AH73" s="283">
        <f t="shared" si="96"/>
        <v>27.13</v>
      </c>
      <c r="AM73" s="281">
        <f t="shared" si="97"/>
        <v>18.490000000000002</v>
      </c>
      <c r="AN73" s="282">
        <f t="shared" si="98"/>
        <v>21.82</v>
      </c>
      <c r="AO73" s="282">
        <f t="shared" si="99"/>
        <v>23.78</v>
      </c>
      <c r="AP73" s="283">
        <f t="shared" si="100"/>
        <v>34.340000000000003</v>
      </c>
      <c r="AQ73" s="281">
        <f t="shared" si="101"/>
        <v>17.68</v>
      </c>
      <c r="AR73" s="282">
        <f t="shared" si="102"/>
        <v>36.22</v>
      </c>
      <c r="AS73" s="282">
        <f t="shared" si="103"/>
        <v>37.86</v>
      </c>
      <c r="AT73" s="283">
        <f t="shared" si="104"/>
        <v>33.130000000000003</v>
      </c>
      <c r="AU73" s="281">
        <f t="shared" si="105"/>
        <v>21.689999999999998</v>
      </c>
      <c r="AV73" s="282">
        <f t="shared" si="106"/>
        <v>26.79</v>
      </c>
      <c r="AW73" s="282">
        <f t="shared" si="107"/>
        <v>45.85</v>
      </c>
      <c r="AX73" s="283"/>
      <c r="BC73" s="281">
        <f t="shared" si="108"/>
        <v>33.19</v>
      </c>
      <c r="BD73" s="282">
        <f t="shared" si="109"/>
        <v>33.31</v>
      </c>
      <c r="BE73" s="282">
        <f t="shared" si="110"/>
        <v>47.75</v>
      </c>
      <c r="BF73" s="283"/>
      <c r="BG73" s="281">
        <f t="shared" si="111"/>
        <v>20.69</v>
      </c>
      <c r="BH73" s="282">
        <f t="shared" si="112"/>
        <v>35.339999999999996</v>
      </c>
      <c r="BI73" s="282">
        <f t="shared" si="113"/>
        <v>44.07</v>
      </c>
      <c r="BJ73" s="283"/>
      <c r="BK73" s="281">
        <f t="shared" si="114"/>
        <v>20.84</v>
      </c>
      <c r="BL73" s="282">
        <f t="shared" si="115"/>
        <v>25.19</v>
      </c>
      <c r="BM73" s="282">
        <f t="shared" si="116"/>
        <v>30.79</v>
      </c>
      <c r="BN73" s="599"/>
      <c r="BT73" s="281" t="e">
        <f>#REF!-#REF!</f>
        <v>#REF!</v>
      </c>
      <c r="BU73" s="282" t="e">
        <f>#REF!-#REF!</f>
        <v>#REF!</v>
      </c>
      <c r="BV73" s="283" t="e">
        <f>#REF!-#REF!</f>
        <v>#REF!</v>
      </c>
      <c r="BW73" s="281" t="e">
        <f>#REF!-#REF!</f>
        <v>#REF!</v>
      </c>
      <c r="BX73" s="281" t="e">
        <f>#REF!-#REF!</f>
        <v>#REF!</v>
      </c>
      <c r="BY73" s="281" t="e">
        <f>#REF!-#REF!</f>
        <v>#REF!</v>
      </c>
      <c r="BZ73" s="281" t="e">
        <f>#REF!-#REF!</f>
        <v>#REF!</v>
      </c>
      <c r="CA73" s="282" t="e">
        <f>#REF!-#REF!</f>
        <v>#REF!</v>
      </c>
      <c r="CB73" s="283" t="e">
        <f>#REF!-#REF!</f>
        <v>#REF!</v>
      </c>
      <c r="CC73" s="281" t="e">
        <f>#REF!-#REF!</f>
        <v>#REF!</v>
      </c>
      <c r="CD73" s="282" t="e">
        <f>#REF!-#REF!</f>
        <v>#REF!</v>
      </c>
      <c r="CE73" s="283" t="e">
        <f>#REF!-#REF!</f>
        <v>#REF!</v>
      </c>
    </row>
    <row r="74" spans="1:117" ht="15.75" hidden="1" customHeight="1" thickBot="1" x14ac:dyDescent="0.3">
      <c r="A74" s="522"/>
      <c r="B74" s="103">
        <v>39</v>
      </c>
      <c r="C74" s="375"/>
      <c r="D74" s="375"/>
      <c r="E74" s="375"/>
      <c r="F74" s="375">
        <v>4.5</v>
      </c>
      <c r="G74" s="281">
        <f t="shared" si="73"/>
        <v>2.19</v>
      </c>
      <c r="H74" s="282">
        <f t="shared" si="74"/>
        <v>2.0499999999999998</v>
      </c>
      <c r="I74" s="282">
        <f t="shared" si="75"/>
        <v>2.9699999999999998</v>
      </c>
      <c r="J74" s="283">
        <f t="shared" si="76"/>
        <v>2.2599999999999998</v>
      </c>
      <c r="K74" s="281">
        <f t="shared" si="77"/>
        <v>0.74</v>
      </c>
      <c r="L74" s="282">
        <f t="shared" si="78"/>
        <v>0</v>
      </c>
      <c r="M74" s="282">
        <f t="shared" si="79"/>
        <v>0</v>
      </c>
      <c r="N74" s="283">
        <f t="shared" si="80"/>
        <v>3.29</v>
      </c>
      <c r="O74" s="281">
        <f t="shared" si="81"/>
        <v>0</v>
      </c>
      <c r="P74" s="282">
        <f t="shared" si="82"/>
        <v>0</v>
      </c>
      <c r="Q74" s="282">
        <f t="shared" si="83"/>
        <v>2.21</v>
      </c>
      <c r="R74" s="283">
        <f t="shared" si="84"/>
        <v>2.25</v>
      </c>
      <c r="W74" s="281">
        <f t="shared" si="85"/>
        <v>0</v>
      </c>
      <c r="X74" s="282">
        <f t="shared" si="86"/>
        <v>0.98</v>
      </c>
      <c r="Y74" s="282">
        <f t="shared" si="87"/>
        <v>1.5</v>
      </c>
      <c r="Z74" s="283">
        <f t="shared" si="88"/>
        <v>2.7199999999999998</v>
      </c>
      <c r="AA74" s="281">
        <f t="shared" si="89"/>
        <v>2.25</v>
      </c>
      <c r="AB74" s="282">
        <f t="shared" si="90"/>
        <v>1.2</v>
      </c>
      <c r="AC74" s="282">
        <f t="shared" si="91"/>
        <v>2.08</v>
      </c>
      <c r="AD74" s="283">
        <f t="shared" si="92"/>
        <v>2.0299999999999998</v>
      </c>
      <c r="AE74" s="281">
        <f t="shared" si="93"/>
        <v>1.4</v>
      </c>
      <c r="AF74" s="282">
        <f t="shared" si="94"/>
        <v>0.7</v>
      </c>
      <c r="AG74" s="282">
        <f t="shared" si="95"/>
        <v>2.04</v>
      </c>
      <c r="AH74" s="283">
        <f t="shared" si="96"/>
        <v>1.56</v>
      </c>
      <c r="AM74" s="281">
        <f t="shared" si="97"/>
        <v>1.49</v>
      </c>
      <c r="AN74" s="282">
        <f t="shared" si="98"/>
        <v>1.5</v>
      </c>
      <c r="AO74" s="282">
        <f t="shared" si="99"/>
        <v>1.9</v>
      </c>
      <c r="AP74" s="283">
        <f t="shared" si="100"/>
        <v>3.38</v>
      </c>
      <c r="AQ74" s="281">
        <f t="shared" si="101"/>
        <v>1.79</v>
      </c>
      <c r="AR74" s="282">
        <f t="shared" si="102"/>
        <v>1.7000000000000002</v>
      </c>
      <c r="AS74" s="282">
        <f t="shared" si="103"/>
        <v>3.4</v>
      </c>
      <c r="AT74" s="283">
        <f t="shared" si="104"/>
        <v>4.46</v>
      </c>
      <c r="AU74" s="281">
        <f t="shared" si="105"/>
        <v>0</v>
      </c>
      <c r="AV74" s="282">
        <f t="shared" si="106"/>
        <v>1.92</v>
      </c>
      <c r="AW74" s="282">
        <f t="shared" si="107"/>
        <v>4.6899999999999995</v>
      </c>
      <c r="AX74" s="283"/>
      <c r="BC74" s="281">
        <f t="shared" si="108"/>
        <v>1.5</v>
      </c>
      <c r="BD74" s="282">
        <f t="shared" si="109"/>
        <v>1.32</v>
      </c>
      <c r="BE74" s="282">
        <f t="shared" si="110"/>
        <v>1.93</v>
      </c>
      <c r="BF74" s="283"/>
      <c r="BG74" s="281">
        <f t="shared" si="111"/>
        <v>2.56</v>
      </c>
      <c r="BH74" s="282">
        <f t="shared" si="112"/>
        <v>2.91</v>
      </c>
      <c r="BI74" s="282">
        <f t="shared" si="113"/>
        <v>4.3100000000000005</v>
      </c>
      <c r="BJ74" s="283"/>
      <c r="BK74" s="281">
        <f t="shared" si="114"/>
        <v>0</v>
      </c>
      <c r="BL74" s="282">
        <f t="shared" si="115"/>
        <v>3.0300000000000002</v>
      </c>
      <c r="BM74" s="282">
        <f t="shared" si="116"/>
        <v>3.21</v>
      </c>
      <c r="BN74" s="599"/>
      <c r="BT74" s="281" t="e">
        <f>#REF!-#REF!</f>
        <v>#REF!</v>
      </c>
      <c r="BU74" s="282" t="e">
        <f>#REF!-#REF!</f>
        <v>#REF!</v>
      </c>
      <c r="BV74" s="283" t="e">
        <f>#REF!-#REF!</f>
        <v>#REF!</v>
      </c>
      <c r="BW74" s="281" t="e">
        <f>#REF!-#REF!</f>
        <v>#REF!</v>
      </c>
      <c r="BX74" s="281" t="e">
        <f>#REF!-#REF!</f>
        <v>#REF!</v>
      </c>
      <c r="BY74" s="281" t="e">
        <f>#REF!-#REF!</f>
        <v>#REF!</v>
      </c>
      <c r="BZ74" s="281" t="e">
        <f>#REF!-#REF!</f>
        <v>#REF!</v>
      </c>
      <c r="CA74" s="282" t="e">
        <f>#REF!-#REF!</f>
        <v>#REF!</v>
      </c>
      <c r="CB74" s="283" t="e">
        <f>#REF!-#REF!</f>
        <v>#REF!</v>
      </c>
      <c r="CC74" s="281" t="e">
        <f>#REF!-#REF!</f>
        <v>#REF!</v>
      </c>
      <c r="CD74" s="282" t="e">
        <f>#REF!-#REF!</f>
        <v>#REF!</v>
      </c>
      <c r="CE74" s="283" t="e">
        <f>#REF!-#REF!</f>
        <v>#REF!</v>
      </c>
    </row>
    <row r="75" spans="1:117" ht="16.5" hidden="1" customHeight="1" thickBot="1" x14ac:dyDescent="0.3">
      <c r="A75" s="185" t="s">
        <v>6</v>
      </c>
      <c r="B75" s="186"/>
      <c r="C75" s="379"/>
      <c r="D75" s="379"/>
      <c r="E75" s="379"/>
      <c r="F75" s="160">
        <f>SUM(F38:F49,F50:F56,F57:F61,F64:F71,F73:F74)</f>
        <v>1416.5100000000002</v>
      </c>
      <c r="G75" s="294">
        <f t="shared" ref="G75:R75" si="121">SUBTOTAL(9,G38:G74)</f>
        <v>1276.75</v>
      </c>
      <c r="H75" s="295">
        <f t="shared" si="121"/>
        <v>1450.9499999999996</v>
      </c>
      <c r="I75" s="295">
        <f t="shared" si="121"/>
        <v>1328.2100000000003</v>
      </c>
      <c r="J75" s="296">
        <f t="shared" si="121"/>
        <v>1367.55</v>
      </c>
      <c r="K75" s="294">
        <f t="shared" si="121"/>
        <v>822.8299999999997</v>
      </c>
      <c r="L75" s="295">
        <f t="shared" si="121"/>
        <v>1191.723</v>
      </c>
      <c r="M75" s="295">
        <f t="shared" si="121"/>
        <v>852.04</v>
      </c>
      <c r="N75" s="296">
        <f t="shared" si="121"/>
        <v>1527.92</v>
      </c>
      <c r="O75" s="294">
        <f t="shared" si="121"/>
        <v>1061.4500000000003</v>
      </c>
      <c r="P75" s="295">
        <f t="shared" si="121"/>
        <v>1334.4799999999998</v>
      </c>
      <c r="Q75" s="295">
        <f t="shared" si="121"/>
        <v>655.97</v>
      </c>
      <c r="R75" s="296">
        <f t="shared" si="121"/>
        <v>1404.8000000000004</v>
      </c>
      <c r="W75" s="294">
        <f t="shared" ref="W75:AH75" si="122">SUBTOTAL(9,W38:W74)</f>
        <v>1274.5399999999995</v>
      </c>
      <c r="X75" s="295">
        <f t="shared" si="122"/>
        <v>1263.4800000000002</v>
      </c>
      <c r="Y75" s="295">
        <f t="shared" si="122"/>
        <v>1064.0929999999998</v>
      </c>
      <c r="Z75" s="296">
        <f t="shared" si="122"/>
        <v>1929.2300000000002</v>
      </c>
      <c r="AA75" s="294">
        <f t="shared" si="122"/>
        <v>1496.1400000000003</v>
      </c>
      <c r="AB75" s="295">
        <f t="shared" si="122"/>
        <v>1400.8300000000002</v>
      </c>
      <c r="AC75" s="295">
        <f t="shared" si="122"/>
        <v>1352.6299999999999</v>
      </c>
      <c r="AD75" s="296">
        <f t="shared" si="122"/>
        <v>1739.06</v>
      </c>
      <c r="AE75" s="294">
        <f t="shared" si="122"/>
        <v>1363.34</v>
      </c>
      <c r="AF75" s="295">
        <f t="shared" si="122"/>
        <v>1424.1000000000004</v>
      </c>
      <c r="AG75" s="295">
        <f t="shared" si="122"/>
        <v>1285.9600000000003</v>
      </c>
      <c r="AH75" s="296">
        <f t="shared" si="122"/>
        <v>1554.2800000000004</v>
      </c>
      <c r="AM75" s="294">
        <f t="shared" ref="AM75:AX75" si="123">SUBTOTAL(9,AM38:AM74)</f>
        <v>1483.8200000000002</v>
      </c>
      <c r="AN75" s="295">
        <f t="shared" si="123"/>
        <v>1582.2499999999998</v>
      </c>
      <c r="AO75" s="295">
        <f t="shared" si="123"/>
        <v>1537.55</v>
      </c>
      <c r="AP75" s="296">
        <f t="shared" si="123"/>
        <v>1571.88</v>
      </c>
      <c r="AQ75" s="294">
        <f t="shared" si="123"/>
        <v>1896.38</v>
      </c>
      <c r="AR75" s="295">
        <f t="shared" si="123"/>
        <v>1658.3699999999997</v>
      </c>
      <c r="AS75" s="295">
        <f t="shared" si="123"/>
        <v>2136.8200000000002</v>
      </c>
      <c r="AT75" s="296">
        <f t="shared" si="123"/>
        <v>1751.82</v>
      </c>
      <c r="AU75" s="294">
        <f t="shared" si="123"/>
        <v>1883.4599999999998</v>
      </c>
      <c r="AV75" s="295">
        <f t="shared" si="123"/>
        <v>1806.9199999999998</v>
      </c>
      <c r="AW75" s="295">
        <f t="shared" si="123"/>
        <v>2341.7800000000002</v>
      </c>
      <c r="AX75" s="296">
        <f t="shared" si="123"/>
        <v>0</v>
      </c>
      <c r="BC75" s="294">
        <f t="shared" ref="BC75:BN75" si="124">SUBTOTAL(9,BC38:BC74)</f>
        <v>2346.5000000000009</v>
      </c>
      <c r="BD75" s="295">
        <f t="shared" si="124"/>
        <v>1966.14</v>
      </c>
      <c r="BE75" s="295">
        <f t="shared" si="124"/>
        <v>2640.7299999999991</v>
      </c>
      <c r="BF75" s="296">
        <f t="shared" si="124"/>
        <v>0</v>
      </c>
      <c r="BG75" s="294">
        <f t="shared" si="124"/>
        <v>1936.1800000000003</v>
      </c>
      <c r="BH75" s="295">
        <f t="shared" si="124"/>
        <v>1803.11</v>
      </c>
      <c r="BI75" s="295">
        <f t="shared" si="124"/>
        <v>2304.94</v>
      </c>
      <c r="BJ75" s="296">
        <f t="shared" si="124"/>
        <v>0</v>
      </c>
      <c r="BK75" s="294">
        <f t="shared" si="124"/>
        <v>1991.0399999999997</v>
      </c>
      <c r="BL75" s="295">
        <f t="shared" si="124"/>
        <v>1545.4199999999998</v>
      </c>
      <c r="BM75" s="295">
        <f t="shared" si="124"/>
        <v>1989.4299999999998</v>
      </c>
      <c r="BN75" s="600">
        <f t="shared" si="124"/>
        <v>0</v>
      </c>
      <c r="BT75" s="294">
        <f>T31-S31</f>
        <v>752.94300000000067</v>
      </c>
      <c r="BU75" s="295">
        <f>U31-T31</f>
        <v>-1188.1930000000007</v>
      </c>
      <c r="BV75" s="296">
        <f>V31-U31</f>
        <v>1195.8400000000001</v>
      </c>
      <c r="BW75" s="294">
        <f>AJ31-AI31</f>
        <v>-112.16999999999916</v>
      </c>
      <c r="BX75" s="295">
        <f>AK31-AJ31</f>
        <v>-493.08000000000038</v>
      </c>
      <c r="BY75" s="296">
        <f>AL31-AK31</f>
        <v>1212.7400000000002</v>
      </c>
      <c r="BZ75" s="294">
        <f>AZ31-AY31</f>
        <v>-269.31000000000131</v>
      </c>
      <c r="CA75" s="295">
        <f>BA31-AZ31</f>
        <v>808.31000000000131</v>
      </c>
      <c r="CB75" s="296">
        <f>BB31-BA31</f>
        <v>-971.26000000000022</v>
      </c>
      <c r="CC75" s="294">
        <f t="shared" ref="CC75:CE75" si="125">BP31-BO31</f>
        <v>-1005.7200000000003</v>
      </c>
      <c r="CD75" s="295">
        <f t="shared" si="125"/>
        <v>1407.4900000000007</v>
      </c>
      <c r="CE75" s="296">
        <f t="shared" si="125"/>
        <v>-338.44000000000051</v>
      </c>
    </row>
    <row r="76" spans="1:117" ht="15" hidden="1" customHeight="1" x14ac:dyDescent="0.25"/>
    <row r="77" spans="1:117" ht="15" hidden="1" customHeight="1" x14ac:dyDescent="0.25"/>
    <row r="78" spans="1:117" ht="15" hidden="1" customHeight="1" x14ac:dyDescent="0.25">
      <c r="CG78" s="544" t="s">
        <v>60</v>
      </c>
      <c r="CH78" s="545"/>
      <c r="CI78" s="545"/>
      <c r="CJ78" s="546"/>
      <c r="CK78" s="529" t="s">
        <v>57</v>
      </c>
      <c r="CL78" s="530"/>
      <c r="CM78" s="530"/>
      <c r="CN78" s="531"/>
      <c r="CO78" s="529" t="s">
        <v>54</v>
      </c>
      <c r="CP78" s="530"/>
      <c r="CQ78" s="530"/>
      <c r="CR78" s="531"/>
      <c r="CS78" s="529" t="s">
        <v>51</v>
      </c>
      <c r="CT78" s="530"/>
      <c r="CU78" s="530"/>
      <c r="CV78" s="531"/>
      <c r="CX78" s="566" t="s">
        <v>60</v>
      </c>
      <c r="CY78" s="567"/>
      <c r="CZ78" s="567"/>
      <c r="DA78" s="568"/>
      <c r="DB78" s="529" t="s">
        <v>57</v>
      </c>
      <c r="DC78" s="530"/>
      <c r="DD78" s="530"/>
      <c r="DE78" s="531"/>
      <c r="DF78" s="529" t="s">
        <v>54</v>
      </c>
      <c r="DG78" s="530"/>
      <c r="DH78" s="530"/>
      <c r="DI78" s="531"/>
      <c r="DJ78" s="529" t="s">
        <v>51</v>
      </c>
      <c r="DK78" s="530"/>
      <c r="DL78" s="530"/>
      <c r="DM78" s="531"/>
    </row>
    <row r="79" spans="1:117" ht="15" hidden="1" customHeight="1" x14ac:dyDescent="0.25">
      <c r="A79" s="523" t="s">
        <v>3</v>
      </c>
      <c r="B79" s="524"/>
      <c r="C79" s="373"/>
      <c r="D79" s="373"/>
      <c r="E79" s="373"/>
      <c r="F79" s="543" t="s">
        <v>4</v>
      </c>
      <c r="G79" s="498" t="s">
        <v>37</v>
      </c>
      <c r="H79" s="499"/>
      <c r="I79" s="499"/>
      <c r="J79" s="500"/>
      <c r="K79" s="498" t="s">
        <v>38</v>
      </c>
      <c r="L79" s="499"/>
      <c r="M79" s="499"/>
      <c r="N79" s="500"/>
      <c r="O79" s="498" t="s">
        <v>39</v>
      </c>
      <c r="P79" s="499"/>
      <c r="Q79" s="499"/>
      <c r="R79" s="500"/>
      <c r="W79" s="498" t="s">
        <v>40</v>
      </c>
      <c r="X79" s="499"/>
      <c r="Y79" s="499"/>
      <c r="Z79" s="500"/>
      <c r="AA79" s="498" t="s">
        <v>11</v>
      </c>
      <c r="AB79" s="499"/>
      <c r="AC79" s="499"/>
      <c r="AD79" s="500"/>
      <c r="AE79" s="498" t="s">
        <v>41</v>
      </c>
      <c r="AF79" s="499"/>
      <c r="AG79" s="499"/>
      <c r="AH79" s="500"/>
      <c r="AM79" s="498" t="s">
        <v>42</v>
      </c>
      <c r="AN79" s="499"/>
      <c r="AO79" s="499"/>
      <c r="AP79" s="500"/>
      <c r="AQ79" s="498" t="s">
        <v>43</v>
      </c>
      <c r="AR79" s="499"/>
      <c r="AS79" s="499"/>
      <c r="AT79" s="500"/>
      <c r="AU79" s="498" t="s">
        <v>44</v>
      </c>
      <c r="AV79" s="499"/>
      <c r="AW79" s="499"/>
      <c r="AX79" s="500"/>
      <c r="BC79" s="498" t="s">
        <v>45</v>
      </c>
      <c r="BD79" s="499"/>
      <c r="BE79" s="499"/>
      <c r="BF79" s="500"/>
      <c r="BG79" s="498" t="s">
        <v>46</v>
      </c>
      <c r="BH79" s="499"/>
      <c r="BI79" s="499"/>
      <c r="BJ79" s="500"/>
      <c r="BK79" s="498" t="s">
        <v>47</v>
      </c>
      <c r="BL79" s="499"/>
      <c r="BM79" s="499"/>
      <c r="BN79" s="500"/>
      <c r="CG79" s="547"/>
      <c r="CH79" s="548"/>
      <c r="CI79" s="548"/>
      <c r="CJ79" s="549"/>
      <c r="CK79" s="532"/>
      <c r="CL79" s="533"/>
      <c r="CM79" s="533"/>
      <c r="CN79" s="534"/>
      <c r="CO79" s="532"/>
      <c r="CP79" s="533"/>
      <c r="CQ79" s="533"/>
      <c r="CR79" s="534"/>
      <c r="CS79" s="532"/>
      <c r="CT79" s="533"/>
      <c r="CU79" s="533"/>
      <c r="CV79" s="534"/>
      <c r="CX79" s="569"/>
      <c r="CY79" s="570"/>
      <c r="CZ79" s="570"/>
      <c r="DA79" s="571"/>
      <c r="DB79" s="532"/>
      <c r="DC79" s="533"/>
      <c r="DD79" s="533"/>
      <c r="DE79" s="534"/>
      <c r="DF79" s="532"/>
      <c r="DG79" s="533"/>
      <c r="DH79" s="533"/>
      <c r="DI79" s="534"/>
      <c r="DJ79" s="532"/>
      <c r="DK79" s="533"/>
      <c r="DL79" s="533"/>
      <c r="DM79" s="534"/>
    </row>
    <row r="80" spans="1:117" ht="15.75" hidden="1" customHeight="1" thickBot="1" x14ac:dyDescent="0.3">
      <c r="A80" s="525"/>
      <c r="B80" s="526"/>
      <c r="C80" s="374"/>
      <c r="D80" s="374"/>
      <c r="E80" s="374"/>
      <c r="F80" s="536"/>
      <c r="G80" s="288">
        <v>2022</v>
      </c>
      <c r="H80" s="289">
        <v>2023</v>
      </c>
      <c r="I80" s="289">
        <v>2024</v>
      </c>
      <c r="J80" s="290">
        <v>2025</v>
      </c>
      <c r="K80" s="288">
        <v>2022</v>
      </c>
      <c r="L80" s="289">
        <v>2023</v>
      </c>
      <c r="M80" s="289">
        <v>2024</v>
      </c>
      <c r="N80" s="290">
        <v>2025</v>
      </c>
      <c r="O80" s="288">
        <v>2022</v>
      </c>
      <c r="P80" s="289">
        <v>2023</v>
      </c>
      <c r="Q80" s="289">
        <v>2024</v>
      </c>
      <c r="R80" s="290">
        <v>2025</v>
      </c>
      <c r="W80" s="288">
        <v>2022</v>
      </c>
      <c r="X80" s="289">
        <v>2023</v>
      </c>
      <c r="Y80" s="289">
        <v>2024</v>
      </c>
      <c r="Z80" s="290">
        <v>2025</v>
      </c>
      <c r="AA80" s="288">
        <v>2022</v>
      </c>
      <c r="AB80" s="289">
        <v>2023</v>
      </c>
      <c r="AC80" s="289">
        <v>2024</v>
      </c>
      <c r="AD80" s="290">
        <v>2025</v>
      </c>
      <c r="AE80" s="288">
        <v>2022</v>
      </c>
      <c r="AF80" s="289">
        <v>2023</v>
      </c>
      <c r="AG80" s="289">
        <v>2024</v>
      </c>
      <c r="AH80" s="290">
        <v>2025</v>
      </c>
      <c r="AM80" s="288">
        <v>2022</v>
      </c>
      <c r="AN80" s="289">
        <v>2023</v>
      </c>
      <c r="AO80" s="289">
        <v>2024</v>
      </c>
      <c r="AP80" s="290">
        <v>2025</v>
      </c>
      <c r="AQ80" s="288">
        <v>2022</v>
      </c>
      <c r="AR80" s="289">
        <v>2023</v>
      </c>
      <c r="AS80" s="289">
        <v>2024</v>
      </c>
      <c r="AT80" s="290">
        <v>2025</v>
      </c>
      <c r="AU80" s="288">
        <v>2022</v>
      </c>
      <c r="AV80" s="289">
        <v>2023</v>
      </c>
      <c r="AW80" s="289">
        <v>2024</v>
      </c>
      <c r="AX80" s="290">
        <v>2025</v>
      </c>
      <c r="BC80" s="288">
        <v>2022</v>
      </c>
      <c r="BD80" s="289">
        <v>2023</v>
      </c>
      <c r="BE80" s="289">
        <v>2024</v>
      </c>
      <c r="BF80" s="290">
        <v>2025</v>
      </c>
      <c r="BG80" s="288">
        <v>2022</v>
      </c>
      <c r="BH80" s="289">
        <v>2023</v>
      </c>
      <c r="BI80" s="289">
        <v>2024</v>
      </c>
      <c r="BJ80" s="290">
        <v>2025</v>
      </c>
      <c r="BK80" s="288">
        <v>2022</v>
      </c>
      <c r="BL80" s="289">
        <v>2023</v>
      </c>
      <c r="BM80" s="289">
        <v>2024</v>
      </c>
      <c r="BN80" s="598">
        <v>2025</v>
      </c>
      <c r="CG80" s="288">
        <v>2022</v>
      </c>
      <c r="CH80" s="289">
        <v>2023</v>
      </c>
      <c r="CI80" s="289">
        <v>2024</v>
      </c>
      <c r="CJ80" s="290">
        <v>2025</v>
      </c>
      <c r="CK80" s="288">
        <v>2022</v>
      </c>
      <c r="CL80" s="289">
        <v>2023</v>
      </c>
      <c r="CM80" s="289">
        <v>2024</v>
      </c>
      <c r="CN80" s="290">
        <v>2025</v>
      </c>
      <c r="CO80" s="288">
        <v>2022</v>
      </c>
      <c r="CP80" s="289">
        <v>2023</v>
      </c>
      <c r="CQ80" s="289">
        <v>2024</v>
      </c>
      <c r="CR80" s="290">
        <v>2025</v>
      </c>
      <c r="CS80" s="288">
        <v>2022</v>
      </c>
      <c r="CT80" s="289">
        <v>2023</v>
      </c>
      <c r="CU80" s="289">
        <v>2024</v>
      </c>
      <c r="CV80" s="290">
        <v>2025</v>
      </c>
      <c r="CX80" s="313">
        <v>2022</v>
      </c>
      <c r="CY80" s="314">
        <v>2023</v>
      </c>
      <c r="CZ80" s="314">
        <v>2024</v>
      </c>
      <c r="DA80" s="315">
        <v>2025</v>
      </c>
      <c r="DB80" s="288">
        <v>2022</v>
      </c>
      <c r="DC80" s="289">
        <v>2023</v>
      </c>
      <c r="DD80" s="289">
        <v>2024</v>
      </c>
      <c r="DE80" s="290">
        <v>2025</v>
      </c>
      <c r="DF80" s="288">
        <v>2022</v>
      </c>
      <c r="DG80" s="289">
        <v>2023</v>
      </c>
      <c r="DH80" s="289">
        <v>2024</v>
      </c>
      <c r="DI80" s="290">
        <v>2025</v>
      </c>
      <c r="DJ80" s="288">
        <v>2022</v>
      </c>
      <c r="DK80" s="289">
        <v>2023</v>
      </c>
      <c r="DL80" s="289">
        <v>2024</v>
      </c>
      <c r="DM80" s="290">
        <v>2025</v>
      </c>
    </row>
    <row r="81" spans="1:117" ht="15" hidden="1" customHeight="1" x14ac:dyDescent="0.25">
      <c r="A81" s="520" t="s">
        <v>21</v>
      </c>
      <c r="B81" s="23">
        <v>1</v>
      </c>
      <c r="C81" s="367"/>
      <c r="D81" s="367"/>
      <c r="E81" s="367"/>
      <c r="F81" s="367">
        <v>53.2</v>
      </c>
      <c r="G81" s="281">
        <f t="shared" ref="G81:G117" si="126">VLOOKUP(B81,year2022to23,72,FALSE)</f>
        <v>62.09</v>
      </c>
      <c r="H81" s="282">
        <f t="shared" ref="H81:H117" si="127">VLOOKUP(B81,year2022to23,132,FALSE)</f>
        <v>93.17</v>
      </c>
      <c r="I81" s="282">
        <f t="shared" ref="I81:I117" si="128">VLOOKUP(B81,year2022to23,192,FALSE)</f>
        <v>36.94</v>
      </c>
      <c r="J81" s="283">
        <f t="shared" ref="J81:J117" si="129">VLOOKUP(B81,year2022to23,252,FALSE)</f>
        <v>69.42</v>
      </c>
      <c r="K81" s="281">
        <f t="shared" ref="K81:K117" si="130">VLOOKUP(B81,year2022to23,77,FALSE)</f>
        <v>55.72</v>
      </c>
      <c r="L81" s="282">
        <f t="shared" ref="L81:L117" si="131">VLOOKUP(B81,year2022to23,137,FALSE)</f>
        <v>56.28</v>
      </c>
      <c r="M81" s="282">
        <f t="shared" ref="M81:M117" si="132">VLOOKUP(B81,year2022to23,197,FALSE)</f>
        <v>39.44</v>
      </c>
      <c r="N81" s="283">
        <f t="shared" ref="N81:N117" si="133">VLOOKUP(B81,year2022to23,257,FALSE)</f>
        <v>43.2</v>
      </c>
      <c r="O81" s="281">
        <f t="shared" ref="O81:O117" si="134">VLOOKUP(B81,year2022to23,82,FALSE)</f>
        <v>43.06</v>
      </c>
      <c r="P81" s="282">
        <f t="shared" ref="P81:P117" si="135">VLOOKUP(B81,year2022to23,142,FALSE)</f>
        <v>31.12</v>
      </c>
      <c r="Q81" s="282">
        <f t="shared" ref="Q81:Q117" si="136">VLOOKUP(B81,year2022to23,202,FALSE)</f>
        <v>27.55</v>
      </c>
      <c r="R81" s="283">
        <f t="shared" ref="R81:R117" si="137">VLOOKUP(B81,year2022to23,262,FALSE)</f>
        <v>71.900000000000006</v>
      </c>
      <c r="W81" s="281">
        <f t="shared" ref="W81:W117" si="138">VLOOKUP(B81,year2022to23,87,FALSE)</f>
        <v>87.37</v>
      </c>
      <c r="X81" s="282">
        <f t="shared" ref="X81:X117" si="139">VLOOKUP(B81,year2022to23,147,FALSE)</f>
        <v>36.07</v>
      </c>
      <c r="Y81" s="282">
        <f t="shared" ref="Y81:Y117" si="140">VLOOKUP(B81,year2022to23,207,FALSE)</f>
        <v>34.130000000000003</v>
      </c>
      <c r="Z81" s="283">
        <f t="shared" ref="Z81:Z117" si="141">VLOOKUP(B81,year2022to23,267,FALSE)</f>
        <v>82.490000000000009</v>
      </c>
      <c r="AA81" s="281">
        <f t="shared" ref="AA81:AA117" si="142">VLOOKUP(B81,year2022to23,92,FALSE)</f>
        <v>52.38</v>
      </c>
      <c r="AB81" s="282">
        <f t="shared" ref="AB81:AB117" si="143">VLOOKUP(B81,year2022to23,152,FALSE)</f>
        <v>50.52</v>
      </c>
      <c r="AC81" s="282">
        <f t="shared" ref="AC81:AC117" si="144">VLOOKUP(B81,year2022to23,212,FALSE)</f>
        <v>58.91</v>
      </c>
      <c r="AD81" s="283">
        <f t="shared" ref="AD81:AD117" si="145">VLOOKUP(B81,year2022to23,272,FALSE)</f>
        <v>84.13</v>
      </c>
      <c r="AE81" s="281">
        <f t="shared" ref="AE81:AE117" si="146">VLOOKUP(B81,year2022to23,97,FALSE)</f>
        <v>54.89</v>
      </c>
      <c r="AF81" s="282">
        <f t="shared" ref="AF81:AF117" si="147">VLOOKUP(B81,year2022to23,157,FALSE)</f>
        <v>55.36</v>
      </c>
      <c r="AG81" s="282">
        <f t="shared" ref="AG81:AG117" si="148">VLOOKUP(B81,year2022to23,217,FALSE)</f>
        <v>54.04</v>
      </c>
      <c r="AH81" s="283">
        <f t="shared" ref="AH81:AH117" si="149">VLOOKUP(B81,year2022to23,277,FALSE)</f>
        <v>52.52</v>
      </c>
      <c r="AM81" s="281">
        <f t="shared" ref="AM81:AM117" si="150">VLOOKUP(B81,year2022to23,102,FALSE)</f>
        <v>67.599999999999994</v>
      </c>
      <c r="AN81" s="282">
        <f t="shared" ref="AN81:AN117" si="151">VLOOKUP(B81,year2022to23,162,FALSE)</f>
        <v>46.79</v>
      </c>
      <c r="AO81" s="282">
        <f t="shared" ref="AO81:AO117" si="152">VLOOKUP(B81,year2022to23,222,FALSE)</f>
        <v>44.8</v>
      </c>
      <c r="AP81" s="283">
        <f t="shared" ref="AP81:AP117" si="153">VLOOKUP(B81,year2022to23,282,FALSE)</f>
        <v>45.54</v>
      </c>
      <c r="AQ81" s="281">
        <f t="shared" ref="AQ81:AQ117" si="154">VLOOKUP(B81,year2022to23,107,FALSE)</f>
        <v>45.84</v>
      </c>
      <c r="AR81" s="282">
        <f t="shared" ref="AR81:AR117" si="155">VLOOKUP(B81,year2022to23,167,FALSE)</f>
        <v>54.7</v>
      </c>
      <c r="AS81" s="282">
        <f t="shared" ref="AS81:AS117" si="156">VLOOKUP(B81,year2022to23,227,FALSE)</f>
        <v>65.94</v>
      </c>
      <c r="AT81" s="283">
        <f t="shared" ref="AT81:AT117" si="157">IFERROR(VLOOKUP(B81,year2022to23,287,FALSE),0)</f>
        <v>64.97999999999999</v>
      </c>
      <c r="AU81" s="281">
        <f t="shared" ref="AU81:AU117" si="158">VLOOKUP(B81,year2022to23,112,FALSE)</f>
        <v>70.95</v>
      </c>
      <c r="AV81" s="282">
        <f t="shared" ref="AV81:AV117" si="159">VLOOKUP(B81,year2022to23,172,FALSE)</f>
        <v>66.5</v>
      </c>
      <c r="AW81" s="282">
        <f t="shared" ref="AW81:AW117" si="160">VLOOKUP(B81,year2022to23,232,FALSE)</f>
        <v>51.120000000000005</v>
      </c>
      <c r="AX81" s="283"/>
      <c r="BC81" s="281">
        <f t="shared" ref="BC81:BC117" si="161">VLOOKUP(B81,year2022to23,117,FALSE)</f>
        <v>71.67</v>
      </c>
      <c r="BD81" s="282">
        <f t="shared" ref="BD81:BD117" si="162">VLOOKUP(B81,year2022to23,177,FALSE)</f>
        <v>74.05</v>
      </c>
      <c r="BE81" s="282">
        <f t="shared" ref="BE81:BE117" si="163">VLOOKUP(B81,year2022to23,237,FALSE)</f>
        <v>108.35</v>
      </c>
      <c r="BF81" s="283"/>
      <c r="BG81" s="281">
        <f t="shared" ref="BG81:BG117" si="164">VLOOKUP(B81,year2022to23,122,FALSE)</f>
        <v>65.84</v>
      </c>
      <c r="BH81" s="282">
        <f t="shared" ref="BH81:BH117" si="165">VLOOKUP(B81,year2022to23,182,FALSE)</f>
        <v>83.77000000000001</v>
      </c>
      <c r="BI81" s="282">
        <f t="shared" ref="BI81:BI117" si="166">VLOOKUP(B81,year2022to23,242,FALSE)</f>
        <v>103.85</v>
      </c>
      <c r="BJ81" s="283"/>
      <c r="BK81" s="281">
        <f t="shared" ref="BK81:BK117" si="167">VLOOKUP(B81,year2022to23,127,FALSE)</f>
        <v>98.16</v>
      </c>
      <c r="BL81" s="282">
        <f t="shared" ref="BL81:BL117" si="168">VLOOKUP(B81,year2022to23,187,FALSE)</f>
        <v>57.010000000000005</v>
      </c>
      <c r="BM81" s="282">
        <f t="shared" ref="BM81:BM117" si="169">VLOOKUP(B81,year2022to23,247,FALSE)</f>
        <v>82.070000000000007</v>
      </c>
      <c r="BN81" s="599"/>
      <c r="CG81" s="281">
        <f t="shared" ref="CG81:CJ118" si="170">G81+K81+O81</f>
        <v>160.87</v>
      </c>
      <c r="CH81" s="281">
        <f t="shared" si="170"/>
        <v>180.57</v>
      </c>
      <c r="CI81" s="281">
        <f t="shared" si="170"/>
        <v>103.92999999999999</v>
      </c>
      <c r="CJ81" s="293">
        <f t="shared" si="170"/>
        <v>184.52</v>
      </c>
      <c r="CK81" s="281">
        <f t="shared" ref="CK81:CN118" si="171">CG81+W81+AA81+AE81</f>
        <v>355.51</v>
      </c>
      <c r="CL81" s="281">
        <f t="shared" si="171"/>
        <v>322.52</v>
      </c>
      <c r="CM81" s="281">
        <f t="shared" si="171"/>
        <v>251.01</v>
      </c>
      <c r="CN81" s="281">
        <f t="shared" si="171"/>
        <v>403.65999999999997</v>
      </c>
      <c r="CO81" s="281">
        <f t="shared" ref="CO81:CR118" si="172">CK81+AM81+AQ81+AU81</f>
        <v>539.90000000000009</v>
      </c>
      <c r="CP81" s="281">
        <f t="shared" si="172"/>
        <v>490.51</v>
      </c>
      <c r="CQ81" s="281">
        <f t="shared" si="172"/>
        <v>412.87</v>
      </c>
      <c r="CR81" s="281">
        <f t="shared" si="172"/>
        <v>514.17999999999995</v>
      </c>
      <c r="CS81" s="281">
        <f t="shared" ref="CS81:CV118" si="173">CO81+BC81+BG81+BK81</f>
        <v>775.57</v>
      </c>
      <c r="CT81" s="281">
        <f t="shared" si="173"/>
        <v>705.33999999999992</v>
      </c>
      <c r="CU81" s="281">
        <f t="shared" si="173"/>
        <v>707.1400000000001</v>
      </c>
      <c r="CV81" s="281">
        <f t="shared" si="173"/>
        <v>514.17999999999995</v>
      </c>
      <c r="CX81" s="316">
        <f t="shared" ref="CX81:DA118" si="174">X81+AB81+AF81</f>
        <v>141.94999999999999</v>
      </c>
      <c r="CY81" s="316">
        <f t="shared" si="174"/>
        <v>147.07999999999998</v>
      </c>
      <c r="CZ81" s="316">
        <f t="shared" si="174"/>
        <v>219.14000000000001</v>
      </c>
      <c r="DA81" s="318">
        <f t="shared" si="174"/>
        <v>107.27000000000001</v>
      </c>
      <c r="DB81" s="281">
        <f t="shared" ref="DB81:DE118" si="175">CX81+AN81+AR81+AV81</f>
        <v>309.94</v>
      </c>
      <c r="DC81" s="281">
        <f t="shared" si="175"/>
        <v>308.94</v>
      </c>
      <c r="DD81" s="281">
        <f t="shared" si="175"/>
        <v>329.65999999999997</v>
      </c>
      <c r="DE81" s="281">
        <f t="shared" si="175"/>
        <v>224.06</v>
      </c>
      <c r="DF81" s="281">
        <f t="shared" ref="DF81:DI118" si="176">DB81+BD81+BH81+BL81</f>
        <v>524.77</v>
      </c>
      <c r="DG81" s="281">
        <f t="shared" si="176"/>
        <v>603.21</v>
      </c>
      <c r="DH81" s="281">
        <f t="shared" si="176"/>
        <v>329.65999999999997</v>
      </c>
      <c r="DI81" s="281">
        <f t="shared" si="176"/>
        <v>388.05999999999995</v>
      </c>
      <c r="DJ81" s="281">
        <f t="shared" ref="DJ81:DM118" si="177">DF81+BT81+BX81+CB81</f>
        <v>524.77</v>
      </c>
      <c r="DK81" s="281">
        <f t="shared" si="177"/>
        <v>603.21</v>
      </c>
      <c r="DL81" s="281">
        <f t="shared" si="177"/>
        <v>329.65999999999997</v>
      </c>
      <c r="DM81" s="281">
        <f t="shared" si="177"/>
        <v>388.05999999999995</v>
      </c>
    </row>
    <row r="82" spans="1:117" ht="15" hidden="1" customHeight="1" x14ac:dyDescent="0.25">
      <c r="A82" s="521"/>
      <c r="B82" s="55">
        <v>2</v>
      </c>
      <c r="C82" s="368"/>
      <c r="D82" s="368"/>
      <c r="E82" s="368"/>
      <c r="F82" s="368">
        <v>60.4</v>
      </c>
      <c r="G82" s="281">
        <f t="shared" si="126"/>
        <v>51.989999999999995</v>
      </c>
      <c r="H82" s="282">
        <f t="shared" si="127"/>
        <v>60.95</v>
      </c>
      <c r="I82" s="282">
        <f t="shared" si="128"/>
        <v>72.94</v>
      </c>
      <c r="J82" s="283">
        <f t="shared" si="129"/>
        <v>64.36</v>
      </c>
      <c r="K82" s="281">
        <f t="shared" si="130"/>
        <v>43.8</v>
      </c>
      <c r="L82" s="282">
        <f t="shared" si="131"/>
        <v>64.849999999999994</v>
      </c>
      <c r="M82" s="282">
        <f t="shared" si="132"/>
        <v>36.26</v>
      </c>
      <c r="N82" s="283">
        <f t="shared" si="133"/>
        <v>79.91</v>
      </c>
      <c r="O82" s="281">
        <f t="shared" si="134"/>
        <v>65.31</v>
      </c>
      <c r="P82" s="282">
        <f t="shared" si="135"/>
        <v>58.69</v>
      </c>
      <c r="Q82" s="282">
        <f t="shared" si="136"/>
        <v>39.31</v>
      </c>
      <c r="R82" s="283">
        <f t="shared" si="137"/>
        <v>91.039999999999992</v>
      </c>
      <c r="W82" s="281">
        <f t="shared" si="138"/>
        <v>51.57</v>
      </c>
      <c r="X82" s="282">
        <f t="shared" si="139"/>
        <v>40.72</v>
      </c>
      <c r="Y82" s="282">
        <f t="shared" si="140"/>
        <v>55.739999999999995</v>
      </c>
      <c r="Z82" s="283">
        <f t="shared" si="141"/>
        <v>74.37</v>
      </c>
      <c r="AA82" s="281">
        <f t="shared" si="142"/>
        <v>45</v>
      </c>
      <c r="AB82" s="282">
        <f t="shared" si="143"/>
        <v>44.45</v>
      </c>
      <c r="AC82" s="282">
        <f t="shared" si="144"/>
        <v>75.750000000000014</v>
      </c>
      <c r="AD82" s="283">
        <f t="shared" si="145"/>
        <v>93.050000000000011</v>
      </c>
      <c r="AE82" s="281">
        <f t="shared" si="146"/>
        <v>49.9</v>
      </c>
      <c r="AF82" s="282">
        <f t="shared" si="147"/>
        <v>37.950000000000003</v>
      </c>
      <c r="AG82" s="282">
        <f t="shared" si="148"/>
        <v>63.910000000000004</v>
      </c>
      <c r="AH82" s="283">
        <f t="shared" si="149"/>
        <v>39.56</v>
      </c>
      <c r="AM82" s="281">
        <f t="shared" si="150"/>
        <v>40.17</v>
      </c>
      <c r="AN82" s="282">
        <f t="shared" si="151"/>
        <v>46.84</v>
      </c>
      <c r="AO82" s="282">
        <f t="shared" si="152"/>
        <v>51.46</v>
      </c>
      <c r="AP82" s="283">
        <f t="shared" si="153"/>
        <v>57.839999999999996</v>
      </c>
      <c r="AQ82" s="281">
        <f t="shared" si="154"/>
        <v>57.61</v>
      </c>
      <c r="AR82" s="282">
        <f t="shared" si="155"/>
        <v>52.89</v>
      </c>
      <c r="AS82" s="282">
        <f t="shared" si="156"/>
        <v>107.30000000000001</v>
      </c>
      <c r="AT82" s="283">
        <f t="shared" si="157"/>
        <v>51.16</v>
      </c>
      <c r="AU82" s="281">
        <f t="shared" si="158"/>
        <v>45.47</v>
      </c>
      <c r="AV82" s="282">
        <f t="shared" si="159"/>
        <v>63.92</v>
      </c>
      <c r="AW82" s="282">
        <f t="shared" si="160"/>
        <v>75.03</v>
      </c>
      <c r="AX82" s="283"/>
      <c r="BC82" s="281">
        <f t="shared" si="161"/>
        <v>85.67</v>
      </c>
      <c r="BD82" s="282">
        <f t="shared" si="162"/>
        <v>67.58</v>
      </c>
      <c r="BE82" s="282">
        <f t="shared" si="163"/>
        <v>84.31</v>
      </c>
      <c r="BF82" s="283"/>
      <c r="BG82" s="281">
        <f t="shared" si="164"/>
        <v>59.79</v>
      </c>
      <c r="BH82" s="282">
        <f t="shared" si="165"/>
        <v>73.8</v>
      </c>
      <c r="BI82" s="282">
        <f t="shared" si="166"/>
        <v>95.713999999999999</v>
      </c>
      <c r="BJ82" s="283"/>
      <c r="BK82" s="281">
        <f t="shared" si="167"/>
        <v>67.02000000000001</v>
      </c>
      <c r="BL82" s="282">
        <f t="shared" si="168"/>
        <v>89.22</v>
      </c>
      <c r="BM82" s="282">
        <f t="shared" si="169"/>
        <v>70.989999999999995</v>
      </c>
      <c r="BN82" s="599"/>
      <c r="CG82" s="281">
        <f t="shared" si="170"/>
        <v>161.1</v>
      </c>
      <c r="CH82" s="281">
        <f t="shared" si="170"/>
        <v>184.49</v>
      </c>
      <c r="CI82" s="281">
        <f t="shared" si="170"/>
        <v>148.51</v>
      </c>
      <c r="CJ82" s="293">
        <f t="shared" si="170"/>
        <v>235.30999999999997</v>
      </c>
      <c r="CK82" s="281">
        <f t="shared" si="171"/>
        <v>307.56999999999994</v>
      </c>
      <c r="CL82" s="281">
        <f t="shared" si="171"/>
        <v>307.61</v>
      </c>
      <c r="CM82" s="281">
        <f t="shared" si="171"/>
        <v>343.91</v>
      </c>
      <c r="CN82" s="293">
        <f t="shared" si="171"/>
        <v>442.28999999999996</v>
      </c>
      <c r="CO82" s="281">
        <f t="shared" si="172"/>
        <v>450.81999999999994</v>
      </c>
      <c r="CP82" s="281">
        <f t="shared" si="172"/>
        <v>471.26000000000005</v>
      </c>
      <c r="CQ82" s="281">
        <f t="shared" si="172"/>
        <v>577.70000000000005</v>
      </c>
      <c r="CR82" s="293">
        <f t="shared" si="172"/>
        <v>551.29</v>
      </c>
      <c r="CS82" s="281">
        <f t="shared" si="173"/>
        <v>663.29999999999984</v>
      </c>
      <c r="CT82" s="281">
        <f t="shared" si="173"/>
        <v>701.86</v>
      </c>
      <c r="CU82" s="281">
        <f t="shared" si="173"/>
        <v>828.71399999999994</v>
      </c>
      <c r="CV82" s="293">
        <f t="shared" si="173"/>
        <v>551.29</v>
      </c>
      <c r="CX82" s="316">
        <f t="shared" si="174"/>
        <v>123.12</v>
      </c>
      <c r="CY82" s="316">
        <f t="shared" si="174"/>
        <v>195.4</v>
      </c>
      <c r="CZ82" s="316">
        <f t="shared" si="174"/>
        <v>206.98000000000002</v>
      </c>
      <c r="DA82" s="318">
        <f t="shared" si="174"/>
        <v>94.9</v>
      </c>
      <c r="DB82" s="281">
        <f t="shared" si="175"/>
        <v>286.77000000000004</v>
      </c>
      <c r="DC82" s="281">
        <f t="shared" si="175"/>
        <v>429.19000000000005</v>
      </c>
      <c r="DD82" s="281">
        <f t="shared" si="175"/>
        <v>315.98</v>
      </c>
      <c r="DE82" s="293">
        <f t="shared" si="175"/>
        <v>197.98</v>
      </c>
      <c r="DF82" s="281">
        <f t="shared" si="176"/>
        <v>517.37</v>
      </c>
      <c r="DG82" s="281">
        <f t="shared" si="176"/>
        <v>680.20399999999995</v>
      </c>
      <c r="DH82" s="281">
        <f t="shared" si="176"/>
        <v>315.98</v>
      </c>
      <c r="DI82" s="293">
        <f t="shared" si="176"/>
        <v>324.78999999999996</v>
      </c>
      <c r="DJ82" s="281">
        <f t="shared" si="177"/>
        <v>517.37</v>
      </c>
      <c r="DK82" s="281">
        <f t="shared" si="177"/>
        <v>680.20399999999995</v>
      </c>
      <c r="DL82" s="281">
        <f t="shared" si="177"/>
        <v>315.98</v>
      </c>
      <c r="DM82" s="293">
        <f t="shared" si="177"/>
        <v>324.78999999999996</v>
      </c>
    </row>
    <row r="83" spans="1:117" ht="15" hidden="1" customHeight="1" x14ac:dyDescent="0.25">
      <c r="A83" s="521"/>
      <c r="B83" s="55">
        <v>3</v>
      </c>
      <c r="C83" s="368"/>
      <c r="D83" s="368"/>
      <c r="E83" s="368"/>
      <c r="F83" s="368">
        <v>69.2</v>
      </c>
      <c r="G83" s="281">
        <f t="shared" si="126"/>
        <v>47.6</v>
      </c>
      <c r="H83" s="282">
        <f t="shared" si="127"/>
        <v>58.34</v>
      </c>
      <c r="I83" s="282">
        <f t="shared" si="128"/>
        <v>71.239999999999995</v>
      </c>
      <c r="J83" s="283">
        <f t="shared" si="129"/>
        <v>53.85</v>
      </c>
      <c r="K83" s="281">
        <f t="shared" si="130"/>
        <v>40.200000000000003</v>
      </c>
      <c r="L83" s="282">
        <f t="shared" si="131"/>
        <v>61.71</v>
      </c>
      <c r="M83" s="282">
        <f t="shared" si="132"/>
        <v>38.61</v>
      </c>
      <c r="N83" s="283">
        <f t="shared" si="133"/>
        <v>79.23</v>
      </c>
      <c r="O83" s="281">
        <f t="shared" si="134"/>
        <v>76.539999999999992</v>
      </c>
      <c r="P83" s="282">
        <f t="shared" si="135"/>
        <v>79.849999999999994</v>
      </c>
      <c r="Q83" s="282">
        <f t="shared" si="136"/>
        <v>15.600000000000001</v>
      </c>
      <c r="R83" s="283">
        <f t="shared" si="137"/>
        <v>59.150000000000006</v>
      </c>
      <c r="W83" s="281">
        <f t="shared" si="138"/>
        <v>52.65</v>
      </c>
      <c r="X83" s="282">
        <f t="shared" si="139"/>
        <v>32.980000000000004</v>
      </c>
      <c r="Y83" s="282">
        <f t="shared" si="140"/>
        <v>49.739999999999995</v>
      </c>
      <c r="Z83" s="283">
        <f t="shared" si="141"/>
        <v>104.87</v>
      </c>
      <c r="AA83" s="281">
        <f t="shared" si="142"/>
        <v>81.28</v>
      </c>
      <c r="AB83" s="282">
        <f t="shared" si="143"/>
        <v>60.01</v>
      </c>
      <c r="AC83" s="282">
        <f t="shared" si="144"/>
        <v>60.55</v>
      </c>
      <c r="AD83" s="283">
        <f t="shared" si="145"/>
        <v>73.77000000000001</v>
      </c>
      <c r="AE83" s="281">
        <f t="shared" si="146"/>
        <v>62.95</v>
      </c>
      <c r="AF83" s="282">
        <f t="shared" si="147"/>
        <v>57.480000000000004</v>
      </c>
      <c r="AG83" s="282">
        <f t="shared" si="148"/>
        <v>57.660000000000004</v>
      </c>
      <c r="AH83" s="283">
        <f t="shared" si="149"/>
        <v>65.569999999999993</v>
      </c>
      <c r="AM83" s="281">
        <f t="shared" si="150"/>
        <v>56.239999999999995</v>
      </c>
      <c r="AN83" s="282">
        <f t="shared" si="151"/>
        <v>76.739999999999995</v>
      </c>
      <c r="AO83" s="282">
        <f t="shared" si="152"/>
        <v>65.39</v>
      </c>
      <c r="AP83" s="283">
        <f t="shared" si="153"/>
        <v>75.8</v>
      </c>
      <c r="AQ83" s="281">
        <f t="shared" si="154"/>
        <v>95.52000000000001</v>
      </c>
      <c r="AR83" s="282">
        <f t="shared" si="155"/>
        <v>73.83</v>
      </c>
      <c r="AS83" s="282">
        <f t="shared" si="156"/>
        <v>114.25</v>
      </c>
      <c r="AT83" s="283">
        <f t="shared" si="157"/>
        <v>92.330000000000013</v>
      </c>
      <c r="AU83" s="281">
        <f t="shared" si="158"/>
        <v>119.56</v>
      </c>
      <c r="AV83" s="282">
        <f t="shared" si="159"/>
        <v>109.43</v>
      </c>
      <c r="AW83" s="282">
        <f t="shared" si="160"/>
        <v>93.92</v>
      </c>
      <c r="AX83" s="283"/>
      <c r="BC83" s="281">
        <f t="shared" si="161"/>
        <v>166.7</v>
      </c>
      <c r="BD83" s="282">
        <f t="shared" si="162"/>
        <v>113.9</v>
      </c>
      <c r="BE83" s="282">
        <f t="shared" si="163"/>
        <v>146.82</v>
      </c>
      <c r="BF83" s="283"/>
      <c r="BG83" s="281">
        <f t="shared" si="164"/>
        <v>83.02</v>
      </c>
      <c r="BH83" s="282">
        <f t="shared" si="165"/>
        <v>71.92</v>
      </c>
      <c r="BI83" s="282">
        <f t="shared" si="166"/>
        <v>61.61</v>
      </c>
      <c r="BJ83" s="283"/>
      <c r="BK83" s="281">
        <f t="shared" si="167"/>
        <v>106.95</v>
      </c>
      <c r="BL83" s="282">
        <f t="shared" si="168"/>
        <v>53</v>
      </c>
      <c r="BM83" s="282">
        <f t="shared" si="169"/>
        <v>151.68</v>
      </c>
      <c r="BN83" s="599"/>
      <c r="CG83" s="281">
        <f t="shared" si="170"/>
        <v>164.34</v>
      </c>
      <c r="CH83" s="281">
        <f t="shared" si="170"/>
        <v>199.9</v>
      </c>
      <c r="CI83" s="281">
        <f t="shared" si="170"/>
        <v>125.44999999999999</v>
      </c>
      <c r="CJ83" s="293">
        <f t="shared" si="170"/>
        <v>192.23000000000002</v>
      </c>
      <c r="CK83" s="281">
        <f t="shared" si="171"/>
        <v>361.21999999999997</v>
      </c>
      <c r="CL83" s="281">
        <f t="shared" si="171"/>
        <v>350.37</v>
      </c>
      <c r="CM83" s="281">
        <f t="shared" si="171"/>
        <v>293.40000000000003</v>
      </c>
      <c r="CN83" s="293">
        <f t="shared" si="171"/>
        <v>436.44</v>
      </c>
      <c r="CO83" s="281">
        <f t="shared" si="172"/>
        <v>632.54</v>
      </c>
      <c r="CP83" s="281">
        <f t="shared" si="172"/>
        <v>610.37</v>
      </c>
      <c r="CQ83" s="281">
        <f t="shared" si="172"/>
        <v>566.96</v>
      </c>
      <c r="CR83" s="293">
        <f t="shared" si="172"/>
        <v>604.57000000000005</v>
      </c>
      <c r="CS83" s="281">
        <f t="shared" si="173"/>
        <v>989.21</v>
      </c>
      <c r="CT83" s="281">
        <f t="shared" si="173"/>
        <v>849.18999999999994</v>
      </c>
      <c r="CU83" s="281">
        <f t="shared" si="173"/>
        <v>927.06999999999994</v>
      </c>
      <c r="CV83" s="293">
        <f t="shared" si="173"/>
        <v>604.57000000000005</v>
      </c>
      <c r="CX83" s="316">
        <f t="shared" si="174"/>
        <v>150.47000000000003</v>
      </c>
      <c r="CY83" s="316">
        <f t="shared" si="174"/>
        <v>167.95</v>
      </c>
      <c r="CZ83" s="316">
        <f t="shared" si="174"/>
        <v>244.21</v>
      </c>
      <c r="DA83" s="318">
        <f t="shared" si="174"/>
        <v>144.23000000000002</v>
      </c>
      <c r="DB83" s="281">
        <f t="shared" si="175"/>
        <v>410.47</v>
      </c>
      <c r="DC83" s="281">
        <f t="shared" si="175"/>
        <v>441.51</v>
      </c>
      <c r="DD83" s="281">
        <f t="shared" si="175"/>
        <v>412.34000000000003</v>
      </c>
      <c r="DE83" s="293">
        <f t="shared" si="175"/>
        <v>359.31000000000006</v>
      </c>
      <c r="DF83" s="281">
        <f t="shared" si="176"/>
        <v>649.29</v>
      </c>
      <c r="DG83" s="281">
        <f t="shared" si="176"/>
        <v>801.61999999999989</v>
      </c>
      <c r="DH83" s="281">
        <f t="shared" si="176"/>
        <v>412.34000000000003</v>
      </c>
      <c r="DI83" s="293">
        <f t="shared" si="176"/>
        <v>549.28000000000009</v>
      </c>
      <c r="DJ83" s="281">
        <f t="shared" si="177"/>
        <v>649.29</v>
      </c>
      <c r="DK83" s="281">
        <f t="shared" si="177"/>
        <v>801.61999999999989</v>
      </c>
      <c r="DL83" s="281">
        <f t="shared" si="177"/>
        <v>412.34000000000003</v>
      </c>
      <c r="DM83" s="293">
        <f t="shared" si="177"/>
        <v>549.28000000000009</v>
      </c>
    </row>
    <row r="84" spans="1:117" ht="15" hidden="1" customHeight="1" x14ac:dyDescent="0.25">
      <c r="A84" s="521"/>
      <c r="B84" s="55">
        <v>4</v>
      </c>
      <c r="C84" s="368"/>
      <c r="D84" s="368"/>
      <c r="E84" s="368"/>
      <c r="F84" s="368">
        <v>70.599999999999994</v>
      </c>
      <c r="G84" s="281">
        <f t="shared" si="126"/>
        <v>92.69</v>
      </c>
      <c r="H84" s="282">
        <f t="shared" si="127"/>
        <v>115.94</v>
      </c>
      <c r="I84" s="282">
        <f t="shared" si="128"/>
        <v>76.839999999999989</v>
      </c>
      <c r="J84" s="283">
        <f t="shared" si="129"/>
        <v>106.11</v>
      </c>
      <c r="K84" s="281">
        <f t="shared" si="130"/>
        <v>53.92</v>
      </c>
      <c r="L84" s="282">
        <f t="shared" si="131"/>
        <v>57.12</v>
      </c>
      <c r="M84" s="282">
        <f t="shared" si="132"/>
        <v>55.71</v>
      </c>
      <c r="N84" s="283">
        <f t="shared" si="133"/>
        <v>64.010000000000005</v>
      </c>
      <c r="O84" s="281">
        <f t="shared" si="134"/>
        <v>63.88</v>
      </c>
      <c r="P84" s="282">
        <f t="shared" si="135"/>
        <v>67.13</v>
      </c>
      <c r="Q84" s="282">
        <f t="shared" si="136"/>
        <v>20.3</v>
      </c>
      <c r="R84" s="283">
        <f t="shared" si="137"/>
        <v>111.08000000000001</v>
      </c>
      <c r="W84" s="281">
        <f t="shared" si="138"/>
        <v>103.24</v>
      </c>
      <c r="X84" s="282">
        <f t="shared" si="139"/>
        <v>93.68</v>
      </c>
      <c r="Y84" s="282">
        <f t="shared" si="140"/>
        <v>54.88</v>
      </c>
      <c r="Z84" s="283">
        <f t="shared" si="141"/>
        <v>115.12</v>
      </c>
      <c r="AA84" s="281">
        <f t="shared" si="142"/>
        <v>81.430000000000007</v>
      </c>
      <c r="AB84" s="282">
        <f t="shared" si="143"/>
        <v>51.370000000000005</v>
      </c>
      <c r="AC84" s="282">
        <f t="shared" si="144"/>
        <v>76.83</v>
      </c>
      <c r="AD84" s="283">
        <f t="shared" si="145"/>
        <v>103.83</v>
      </c>
      <c r="AE84" s="281">
        <f t="shared" si="146"/>
        <v>56.7</v>
      </c>
      <c r="AF84" s="282">
        <f t="shared" si="147"/>
        <v>58.230000000000004</v>
      </c>
      <c r="AG84" s="282">
        <f t="shared" si="148"/>
        <v>65.08</v>
      </c>
      <c r="AH84" s="283">
        <f t="shared" si="149"/>
        <v>59.24</v>
      </c>
      <c r="AM84" s="281">
        <f t="shared" si="150"/>
        <v>71.03</v>
      </c>
      <c r="AN84" s="282">
        <f t="shared" si="151"/>
        <v>67.95</v>
      </c>
      <c r="AO84" s="282">
        <f t="shared" si="152"/>
        <v>103.42</v>
      </c>
      <c r="AP84" s="283">
        <f t="shared" si="153"/>
        <v>53.76</v>
      </c>
      <c r="AQ84" s="281">
        <f t="shared" si="154"/>
        <v>78.089999999999989</v>
      </c>
      <c r="AR84" s="282">
        <f t="shared" si="155"/>
        <v>72.509999999999991</v>
      </c>
      <c r="AS84" s="282">
        <f t="shared" si="156"/>
        <v>94.57</v>
      </c>
      <c r="AT84" s="283">
        <f t="shared" si="157"/>
        <v>61.849999999999994</v>
      </c>
      <c r="AU84" s="281">
        <f t="shared" si="158"/>
        <v>172.08999999999997</v>
      </c>
      <c r="AV84" s="282">
        <f t="shared" si="159"/>
        <v>79.75</v>
      </c>
      <c r="AW84" s="282">
        <f t="shared" si="160"/>
        <v>127.55000000000001</v>
      </c>
      <c r="AX84" s="283"/>
      <c r="BC84" s="281">
        <f t="shared" si="161"/>
        <v>115.32</v>
      </c>
      <c r="BD84" s="282">
        <f t="shared" si="162"/>
        <v>89.35</v>
      </c>
      <c r="BE84" s="282">
        <f t="shared" si="163"/>
        <v>143.9</v>
      </c>
      <c r="BF84" s="283"/>
      <c r="BG84" s="281">
        <f t="shared" si="164"/>
        <v>109.25</v>
      </c>
      <c r="BH84" s="282">
        <f t="shared" si="165"/>
        <v>91.68</v>
      </c>
      <c r="BI84" s="282">
        <f t="shared" si="166"/>
        <v>137.82300000000001</v>
      </c>
      <c r="BJ84" s="283"/>
      <c r="BK84" s="281">
        <f t="shared" si="167"/>
        <v>82.56</v>
      </c>
      <c r="BL84" s="282">
        <f t="shared" si="168"/>
        <v>60.49</v>
      </c>
      <c r="BM84" s="282">
        <f t="shared" si="169"/>
        <v>70.53</v>
      </c>
      <c r="BN84" s="599"/>
      <c r="CG84" s="281">
        <f t="shared" si="170"/>
        <v>210.49</v>
      </c>
      <c r="CH84" s="281">
        <f t="shared" si="170"/>
        <v>240.19</v>
      </c>
      <c r="CI84" s="281">
        <f t="shared" si="170"/>
        <v>152.85</v>
      </c>
      <c r="CJ84" s="293">
        <f t="shared" si="170"/>
        <v>281.20000000000005</v>
      </c>
      <c r="CK84" s="281">
        <f t="shared" si="171"/>
        <v>451.86</v>
      </c>
      <c r="CL84" s="281">
        <f t="shared" si="171"/>
        <v>443.47</v>
      </c>
      <c r="CM84" s="281">
        <f t="shared" si="171"/>
        <v>349.64</v>
      </c>
      <c r="CN84" s="293">
        <f t="shared" si="171"/>
        <v>559.39</v>
      </c>
      <c r="CO84" s="281">
        <f t="shared" si="172"/>
        <v>773.06999999999994</v>
      </c>
      <c r="CP84" s="281">
        <f t="shared" si="172"/>
        <v>663.68000000000006</v>
      </c>
      <c r="CQ84" s="281">
        <f t="shared" si="172"/>
        <v>675.18000000000006</v>
      </c>
      <c r="CR84" s="293">
        <f t="shared" si="172"/>
        <v>675</v>
      </c>
      <c r="CS84" s="281">
        <f t="shared" si="173"/>
        <v>1080.1999999999998</v>
      </c>
      <c r="CT84" s="281">
        <f t="shared" si="173"/>
        <v>905.2</v>
      </c>
      <c r="CU84" s="281">
        <f t="shared" si="173"/>
        <v>1027.433</v>
      </c>
      <c r="CV84" s="293">
        <f t="shared" si="173"/>
        <v>675</v>
      </c>
      <c r="CX84" s="316">
        <f t="shared" si="174"/>
        <v>203.28000000000003</v>
      </c>
      <c r="CY84" s="316">
        <f t="shared" si="174"/>
        <v>196.79000000000002</v>
      </c>
      <c r="CZ84" s="316">
        <f t="shared" si="174"/>
        <v>278.19</v>
      </c>
      <c r="DA84" s="318">
        <f t="shared" si="174"/>
        <v>138.13</v>
      </c>
      <c r="DB84" s="281">
        <f t="shared" si="175"/>
        <v>423.49</v>
      </c>
      <c r="DC84" s="281">
        <f t="shared" si="175"/>
        <v>522.33000000000004</v>
      </c>
      <c r="DD84" s="281">
        <f t="shared" si="175"/>
        <v>393.79999999999995</v>
      </c>
      <c r="DE84" s="293">
        <f t="shared" si="175"/>
        <v>388.30999999999995</v>
      </c>
      <c r="DF84" s="281">
        <f t="shared" si="176"/>
        <v>665.01</v>
      </c>
      <c r="DG84" s="281">
        <f t="shared" si="176"/>
        <v>874.58299999999997</v>
      </c>
      <c r="DH84" s="281">
        <f t="shared" si="176"/>
        <v>393.79999999999995</v>
      </c>
      <c r="DI84" s="293">
        <f t="shared" si="176"/>
        <v>580.11999999999989</v>
      </c>
      <c r="DJ84" s="281">
        <f t="shared" si="177"/>
        <v>665.01</v>
      </c>
      <c r="DK84" s="281">
        <f t="shared" si="177"/>
        <v>874.58299999999997</v>
      </c>
      <c r="DL84" s="281">
        <f t="shared" si="177"/>
        <v>393.79999999999995</v>
      </c>
      <c r="DM84" s="293">
        <f t="shared" si="177"/>
        <v>580.11999999999989</v>
      </c>
    </row>
    <row r="85" spans="1:117" ht="15" hidden="1" customHeight="1" x14ac:dyDescent="0.25">
      <c r="A85" s="521"/>
      <c r="B85" s="55">
        <v>5</v>
      </c>
      <c r="C85" s="368"/>
      <c r="D85" s="368"/>
      <c r="E85" s="368"/>
      <c r="F85" s="368">
        <v>50.4</v>
      </c>
      <c r="G85" s="281">
        <f t="shared" si="126"/>
        <v>63.64</v>
      </c>
      <c r="H85" s="282">
        <f t="shared" si="127"/>
        <v>39.22</v>
      </c>
      <c r="I85" s="282">
        <f t="shared" si="128"/>
        <v>45.32</v>
      </c>
      <c r="J85" s="283">
        <f t="shared" si="129"/>
        <v>50.88</v>
      </c>
      <c r="K85" s="281">
        <f t="shared" si="130"/>
        <v>32.69</v>
      </c>
      <c r="L85" s="282">
        <f t="shared" si="131"/>
        <v>37.86</v>
      </c>
      <c r="M85" s="282">
        <f t="shared" si="132"/>
        <v>26.16</v>
      </c>
      <c r="N85" s="283">
        <f t="shared" si="133"/>
        <v>51.14</v>
      </c>
      <c r="O85" s="281">
        <f t="shared" si="134"/>
        <v>51.55</v>
      </c>
      <c r="P85" s="282">
        <f t="shared" si="135"/>
        <v>44.35</v>
      </c>
      <c r="Q85" s="282">
        <f t="shared" si="136"/>
        <v>24.85</v>
      </c>
      <c r="R85" s="283">
        <f t="shared" si="137"/>
        <v>57.42</v>
      </c>
      <c r="W85" s="281">
        <f t="shared" si="138"/>
        <v>42.08</v>
      </c>
      <c r="X85" s="282">
        <f t="shared" si="139"/>
        <v>81.83</v>
      </c>
      <c r="Y85" s="282">
        <f t="shared" si="140"/>
        <v>44.879999999999995</v>
      </c>
      <c r="Z85" s="283">
        <f t="shared" si="141"/>
        <v>92.55</v>
      </c>
      <c r="AA85" s="281">
        <f t="shared" si="142"/>
        <v>68.12</v>
      </c>
      <c r="AB85" s="282">
        <f t="shared" si="143"/>
        <v>45.88</v>
      </c>
      <c r="AC85" s="282">
        <f t="shared" si="144"/>
        <v>66.300000000000011</v>
      </c>
      <c r="AD85" s="283">
        <f t="shared" si="145"/>
        <v>69.02</v>
      </c>
      <c r="AE85" s="281">
        <f t="shared" si="146"/>
        <v>55.98</v>
      </c>
      <c r="AF85" s="282">
        <f t="shared" si="147"/>
        <v>53.33</v>
      </c>
      <c r="AG85" s="282">
        <f t="shared" si="148"/>
        <v>36.520000000000003</v>
      </c>
      <c r="AH85" s="283">
        <f t="shared" si="149"/>
        <v>79.069999999999993</v>
      </c>
      <c r="AM85" s="281">
        <f t="shared" si="150"/>
        <v>55.230000000000004</v>
      </c>
      <c r="AN85" s="282">
        <f t="shared" si="151"/>
        <v>68.52</v>
      </c>
      <c r="AO85" s="282">
        <f t="shared" si="152"/>
        <v>84.32</v>
      </c>
      <c r="AP85" s="283">
        <f t="shared" si="153"/>
        <v>58.260000000000005</v>
      </c>
      <c r="AQ85" s="281">
        <f t="shared" si="154"/>
        <v>80.91</v>
      </c>
      <c r="AR85" s="282">
        <f t="shared" si="155"/>
        <v>46.760000000000005</v>
      </c>
      <c r="AS85" s="282">
        <f t="shared" si="156"/>
        <v>63.39</v>
      </c>
      <c r="AT85" s="283">
        <f t="shared" si="157"/>
        <v>66.64</v>
      </c>
      <c r="AU85" s="281">
        <f t="shared" si="158"/>
        <v>69.92</v>
      </c>
      <c r="AV85" s="282">
        <f t="shared" si="159"/>
        <v>74.39</v>
      </c>
      <c r="AW85" s="282">
        <f t="shared" si="160"/>
        <v>114.38</v>
      </c>
      <c r="AX85" s="283"/>
      <c r="BC85" s="281">
        <f t="shared" si="161"/>
        <v>93.72</v>
      </c>
      <c r="BD85" s="282">
        <f t="shared" si="162"/>
        <v>76.599999999999994</v>
      </c>
      <c r="BE85" s="282">
        <f t="shared" si="163"/>
        <v>105.11999999999999</v>
      </c>
      <c r="BF85" s="283"/>
      <c r="BG85" s="281">
        <f t="shared" si="164"/>
        <v>83.75</v>
      </c>
      <c r="BH85" s="282">
        <f t="shared" si="165"/>
        <v>66.23</v>
      </c>
      <c r="BI85" s="282">
        <f t="shared" si="166"/>
        <v>94.22999999999999</v>
      </c>
      <c r="BJ85" s="283"/>
      <c r="BK85" s="281">
        <f t="shared" si="167"/>
        <v>104.35</v>
      </c>
      <c r="BL85" s="282">
        <f t="shared" si="168"/>
        <v>69.58</v>
      </c>
      <c r="BM85" s="282">
        <f t="shared" si="169"/>
        <v>76.289999999999992</v>
      </c>
      <c r="BN85" s="599"/>
      <c r="CG85" s="281">
        <f t="shared" si="170"/>
        <v>147.88</v>
      </c>
      <c r="CH85" s="281">
        <f t="shared" si="170"/>
        <v>121.43</v>
      </c>
      <c r="CI85" s="281">
        <f t="shared" si="170"/>
        <v>96.330000000000013</v>
      </c>
      <c r="CJ85" s="293">
        <f t="shared" si="170"/>
        <v>159.44</v>
      </c>
      <c r="CK85" s="281">
        <f t="shared" si="171"/>
        <v>314.06</v>
      </c>
      <c r="CL85" s="281">
        <f t="shared" si="171"/>
        <v>302.46999999999997</v>
      </c>
      <c r="CM85" s="281">
        <f t="shared" si="171"/>
        <v>244.03000000000003</v>
      </c>
      <c r="CN85" s="293">
        <f t="shared" si="171"/>
        <v>400.08</v>
      </c>
      <c r="CO85" s="281">
        <f t="shared" si="172"/>
        <v>520.12</v>
      </c>
      <c r="CP85" s="281">
        <f t="shared" si="172"/>
        <v>492.13999999999993</v>
      </c>
      <c r="CQ85" s="281">
        <f t="shared" si="172"/>
        <v>506.12</v>
      </c>
      <c r="CR85" s="293">
        <f t="shared" si="172"/>
        <v>524.98</v>
      </c>
      <c r="CS85" s="281">
        <f t="shared" si="173"/>
        <v>801.94</v>
      </c>
      <c r="CT85" s="281">
        <f t="shared" si="173"/>
        <v>704.55</v>
      </c>
      <c r="CU85" s="281">
        <f t="shared" si="173"/>
        <v>781.76</v>
      </c>
      <c r="CV85" s="293">
        <f t="shared" si="173"/>
        <v>524.98</v>
      </c>
      <c r="CX85" s="316">
        <f t="shared" si="174"/>
        <v>181.04000000000002</v>
      </c>
      <c r="CY85" s="316">
        <f t="shared" si="174"/>
        <v>147.70000000000002</v>
      </c>
      <c r="CZ85" s="316">
        <f t="shared" si="174"/>
        <v>240.64</v>
      </c>
      <c r="DA85" s="318">
        <f t="shared" si="174"/>
        <v>124.1</v>
      </c>
      <c r="DB85" s="281">
        <f t="shared" si="175"/>
        <v>370.71</v>
      </c>
      <c r="DC85" s="281">
        <f t="shared" si="175"/>
        <v>409.79</v>
      </c>
      <c r="DD85" s="281">
        <f t="shared" si="175"/>
        <v>365.53999999999996</v>
      </c>
      <c r="DE85" s="293">
        <f t="shared" si="175"/>
        <v>274.93</v>
      </c>
      <c r="DF85" s="281">
        <f t="shared" si="176"/>
        <v>583.12</v>
      </c>
      <c r="DG85" s="281">
        <f t="shared" si="176"/>
        <v>685.43</v>
      </c>
      <c r="DH85" s="281">
        <f t="shared" si="176"/>
        <v>365.53999999999996</v>
      </c>
      <c r="DI85" s="293">
        <f t="shared" si="176"/>
        <v>463.03</v>
      </c>
      <c r="DJ85" s="281">
        <f t="shared" si="177"/>
        <v>583.12</v>
      </c>
      <c r="DK85" s="281">
        <f t="shared" si="177"/>
        <v>685.43</v>
      </c>
      <c r="DL85" s="281">
        <f t="shared" si="177"/>
        <v>365.53999999999996</v>
      </c>
      <c r="DM85" s="293">
        <f t="shared" si="177"/>
        <v>463.03</v>
      </c>
    </row>
    <row r="86" spans="1:117" ht="15" hidden="1" customHeight="1" x14ac:dyDescent="0.25">
      <c r="A86" s="521"/>
      <c r="B86" s="55">
        <v>6</v>
      </c>
      <c r="C86" s="368"/>
      <c r="D86" s="368"/>
      <c r="E86" s="368"/>
      <c r="F86" s="368">
        <v>58.6</v>
      </c>
      <c r="G86" s="281">
        <f t="shared" si="126"/>
        <v>82.14</v>
      </c>
      <c r="H86" s="282">
        <f t="shared" si="127"/>
        <v>62.2</v>
      </c>
      <c r="I86" s="282">
        <f t="shared" si="128"/>
        <v>88.02</v>
      </c>
      <c r="J86" s="283">
        <f t="shared" si="129"/>
        <v>47.81</v>
      </c>
      <c r="K86" s="281">
        <f t="shared" si="130"/>
        <v>33.700000000000003</v>
      </c>
      <c r="L86" s="282">
        <f t="shared" si="131"/>
        <v>58.660000000000004</v>
      </c>
      <c r="M86" s="282">
        <f t="shared" si="132"/>
        <v>39.82</v>
      </c>
      <c r="N86" s="283">
        <f t="shared" si="133"/>
        <v>85.15</v>
      </c>
      <c r="O86" s="281">
        <f t="shared" si="134"/>
        <v>53.980000000000004</v>
      </c>
      <c r="P86" s="282">
        <f t="shared" si="135"/>
        <v>97.28</v>
      </c>
      <c r="Q86" s="282">
        <f t="shared" si="136"/>
        <v>27.39</v>
      </c>
      <c r="R86" s="283">
        <f t="shared" si="137"/>
        <v>43.95</v>
      </c>
      <c r="W86" s="281">
        <f t="shared" si="138"/>
        <v>82.02</v>
      </c>
      <c r="X86" s="282">
        <f t="shared" si="139"/>
        <v>47.78</v>
      </c>
      <c r="Y86" s="282">
        <f t="shared" si="140"/>
        <v>39.629999999999995</v>
      </c>
      <c r="Z86" s="283">
        <f t="shared" si="141"/>
        <v>88.86</v>
      </c>
      <c r="AA86" s="281">
        <f t="shared" si="142"/>
        <v>62.47</v>
      </c>
      <c r="AB86" s="282">
        <f t="shared" si="143"/>
        <v>60.03</v>
      </c>
      <c r="AC86" s="282">
        <f t="shared" si="144"/>
        <v>68.929999999999993</v>
      </c>
      <c r="AD86" s="283">
        <f t="shared" si="145"/>
        <v>56.379999999999995</v>
      </c>
      <c r="AE86" s="281">
        <f t="shared" si="146"/>
        <v>55.129999999999995</v>
      </c>
      <c r="AF86" s="282">
        <f t="shared" si="147"/>
        <v>97.64</v>
      </c>
      <c r="AG86" s="282">
        <f t="shared" si="148"/>
        <v>39.14</v>
      </c>
      <c r="AH86" s="283">
        <f t="shared" si="149"/>
        <v>93.49</v>
      </c>
      <c r="AM86" s="281">
        <f t="shared" si="150"/>
        <v>59.97</v>
      </c>
      <c r="AN86" s="282">
        <f t="shared" si="151"/>
        <v>68.7</v>
      </c>
      <c r="AO86" s="282">
        <f t="shared" si="152"/>
        <v>127.84</v>
      </c>
      <c r="AP86" s="283">
        <f t="shared" si="153"/>
        <v>52.900000000000006</v>
      </c>
      <c r="AQ86" s="281">
        <f t="shared" si="154"/>
        <v>93.3</v>
      </c>
      <c r="AR86" s="282">
        <f t="shared" si="155"/>
        <v>69.800000000000011</v>
      </c>
      <c r="AS86" s="282">
        <f t="shared" si="156"/>
        <v>160.67000000000002</v>
      </c>
      <c r="AT86" s="283">
        <f t="shared" si="157"/>
        <v>80.460000000000008</v>
      </c>
      <c r="AU86" s="281">
        <f t="shared" si="158"/>
        <v>75.150000000000006</v>
      </c>
      <c r="AV86" s="282">
        <f t="shared" si="159"/>
        <v>84.59</v>
      </c>
      <c r="AW86" s="282">
        <f t="shared" si="160"/>
        <v>99.91</v>
      </c>
      <c r="AX86" s="283"/>
      <c r="BC86" s="281">
        <f t="shared" si="161"/>
        <v>124.62</v>
      </c>
      <c r="BD86" s="282">
        <f t="shared" si="162"/>
        <v>86</v>
      </c>
      <c r="BE86" s="282">
        <f t="shared" si="163"/>
        <v>113.91</v>
      </c>
      <c r="BF86" s="283"/>
      <c r="BG86" s="281">
        <f t="shared" si="164"/>
        <v>138.05000000000001</v>
      </c>
      <c r="BH86" s="282">
        <f t="shared" si="165"/>
        <v>72.28</v>
      </c>
      <c r="BI86" s="282">
        <f t="shared" si="166"/>
        <v>101.49000000000001</v>
      </c>
      <c r="BJ86" s="283"/>
      <c r="BK86" s="281">
        <f t="shared" si="167"/>
        <v>72.959999999999994</v>
      </c>
      <c r="BL86" s="282">
        <f t="shared" si="168"/>
        <v>44.85</v>
      </c>
      <c r="BM86" s="282">
        <f t="shared" si="169"/>
        <v>107.57</v>
      </c>
      <c r="BN86" s="599"/>
      <c r="CG86" s="281">
        <f t="shared" si="170"/>
        <v>169.82</v>
      </c>
      <c r="CH86" s="281">
        <f t="shared" si="170"/>
        <v>218.14000000000001</v>
      </c>
      <c r="CI86" s="281">
        <f t="shared" si="170"/>
        <v>155.23000000000002</v>
      </c>
      <c r="CJ86" s="293">
        <f t="shared" si="170"/>
        <v>176.91000000000003</v>
      </c>
      <c r="CK86" s="281">
        <f t="shared" si="171"/>
        <v>369.43999999999994</v>
      </c>
      <c r="CL86" s="281">
        <f t="shared" si="171"/>
        <v>423.59000000000003</v>
      </c>
      <c r="CM86" s="281">
        <f t="shared" si="171"/>
        <v>302.93</v>
      </c>
      <c r="CN86" s="293">
        <f t="shared" si="171"/>
        <v>415.64000000000004</v>
      </c>
      <c r="CO86" s="281">
        <f t="shared" si="172"/>
        <v>597.8599999999999</v>
      </c>
      <c r="CP86" s="281">
        <f t="shared" si="172"/>
        <v>646.68000000000006</v>
      </c>
      <c r="CQ86" s="281">
        <f t="shared" si="172"/>
        <v>691.35</v>
      </c>
      <c r="CR86" s="293">
        <f t="shared" si="172"/>
        <v>549.00000000000011</v>
      </c>
      <c r="CS86" s="281">
        <f t="shared" si="173"/>
        <v>933.49</v>
      </c>
      <c r="CT86" s="281">
        <f t="shared" si="173"/>
        <v>849.81000000000006</v>
      </c>
      <c r="CU86" s="281">
        <f t="shared" si="173"/>
        <v>1014.3199999999999</v>
      </c>
      <c r="CV86" s="293">
        <f t="shared" si="173"/>
        <v>549.00000000000011</v>
      </c>
      <c r="CX86" s="316">
        <f t="shared" si="174"/>
        <v>205.45</v>
      </c>
      <c r="CY86" s="316">
        <f t="shared" si="174"/>
        <v>147.69999999999999</v>
      </c>
      <c r="CZ86" s="316">
        <f t="shared" si="174"/>
        <v>238.73000000000002</v>
      </c>
      <c r="DA86" s="318">
        <f t="shared" si="174"/>
        <v>117.6</v>
      </c>
      <c r="DB86" s="281">
        <f t="shared" si="175"/>
        <v>428.53999999999996</v>
      </c>
      <c r="DC86" s="281">
        <f t="shared" si="175"/>
        <v>536.12</v>
      </c>
      <c r="DD86" s="281">
        <f t="shared" si="175"/>
        <v>372.09000000000003</v>
      </c>
      <c r="DE86" s="293">
        <f t="shared" si="175"/>
        <v>286.04999999999995</v>
      </c>
      <c r="DF86" s="281">
        <f t="shared" si="176"/>
        <v>631.66999999999996</v>
      </c>
      <c r="DG86" s="281">
        <f t="shared" si="176"/>
        <v>859.08999999999992</v>
      </c>
      <c r="DH86" s="281">
        <f t="shared" si="176"/>
        <v>372.09000000000003</v>
      </c>
      <c r="DI86" s="293">
        <f t="shared" si="176"/>
        <v>497.05999999999995</v>
      </c>
      <c r="DJ86" s="281">
        <f t="shared" si="177"/>
        <v>631.66999999999996</v>
      </c>
      <c r="DK86" s="281">
        <f t="shared" si="177"/>
        <v>859.08999999999992</v>
      </c>
      <c r="DL86" s="281">
        <f t="shared" si="177"/>
        <v>372.09000000000003</v>
      </c>
      <c r="DM86" s="293">
        <f t="shared" si="177"/>
        <v>497.05999999999995</v>
      </c>
    </row>
    <row r="87" spans="1:117" ht="15" hidden="1" customHeight="1" x14ac:dyDescent="0.25">
      <c r="A87" s="521"/>
      <c r="B87" s="55">
        <v>7</v>
      </c>
      <c r="C87" s="368"/>
      <c r="D87" s="368"/>
      <c r="E87" s="368"/>
      <c r="F87" s="368">
        <v>23.6</v>
      </c>
      <c r="G87" s="281">
        <f t="shared" si="126"/>
        <v>22.759999999999998</v>
      </c>
      <c r="H87" s="282">
        <f t="shared" si="127"/>
        <v>16.510000000000002</v>
      </c>
      <c r="I87" s="282">
        <f t="shared" si="128"/>
        <v>25.830000000000002</v>
      </c>
      <c r="J87" s="283">
        <f t="shared" si="129"/>
        <v>18.989999999999998</v>
      </c>
      <c r="K87" s="281">
        <f t="shared" si="130"/>
        <v>12.65</v>
      </c>
      <c r="L87" s="282">
        <f t="shared" si="131"/>
        <v>16.84</v>
      </c>
      <c r="M87" s="282">
        <f t="shared" si="132"/>
        <v>11.9</v>
      </c>
      <c r="N87" s="283">
        <f t="shared" si="133"/>
        <v>25.669999999999998</v>
      </c>
      <c r="O87" s="281">
        <f t="shared" si="134"/>
        <v>21.92</v>
      </c>
      <c r="P87" s="282">
        <f t="shared" si="135"/>
        <v>21.41</v>
      </c>
      <c r="Q87" s="282">
        <f t="shared" si="136"/>
        <v>13.7</v>
      </c>
      <c r="R87" s="283">
        <f t="shared" si="137"/>
        <v>21.080000000000002</v>
      </c>
      <c r="W87" s="281">
        <f t="shared" si="138"/>
        <v>18.34</v>
      </c>
      <c r="X87" s="282">
        <f t="shared" si="139"/>
        <v>34.83</v>
      </c>
      <c r="Y87" s="282">
        <f t="shared" si="140"/>
        <v>24.4</v>
      </c>
      <c r="Z87" s="283">
        <f t="shared" si="141"/>
        <v>39.61</v>
      </c>
      <c r="AA87" s="281">
        <f t="shared" si="142"/>
        <v>25.35</v>
      </c>
      <c r="AB87" s="282">
        <f t="shared" si="143"/>
        <v>15.27</v>
      </c>
      <c r="AC87" s="282">
        <f t="shared" si="144"/>
        <v>17.649999999999999</v>
      </c>
      <c r="AD87" s="283">
        <f t="shared" si="145"/>
        <v>27.619999999999997</v>
      </c>
      <c r="AE87" s="281">
        <f t="shared" si="146"/>
        <v>17.48</v>
      </c>
      <c r="AF87" s="282">
        <f t="shared" si="147"/>
        <v>19.27</v>
      </c>
      <c r="AG87" s="282">
        <f t="shared" si="148"/>
        <v>19.5</v>
      </c>
      <c r="AH87" s="283">
        <f t="shared" si="149"/>
        <v>29.53</v>
      </c>
      <c r="AM87" s="281">
        <f t="shared" si="150"/>
        <v>18.63</v>
      </c>
      <c r="AN87" s="282">
        <f t="shared" si="151"/>
        <v>21.53</v>
      </c>
      <c r="AO87" s="282">
        <f t="shared" si="152"/>
        <v>29.25</v>
      </c>
      <c r="AP87" s="283">
        <f t="shared" si="153"/>
        <v>27.06</v>
      </c>
      <c r="AQ87" s="281">
        <f t="shared" si="154"/>
        <v>30.490000000000002</v>
      </c>
      <c r="AR87" s="282">
        <f t="shared" si="155"/>
        <v>24.43</v>
      </c>
      <c r="AS87" s="282">
        <f t="shared" si="156"/>
        <v>29.03</v>
      </c>
      <c r="AT87" s="283">
        <f t="shared" si="157"/>
        <v>26.330000000000002</v>
      </c>
      <c r="AU87" s="281">
        <f t="shared" si="158"/>
        <v>26.76</v>
      </c>
      <c r="AV87" s="282">
        <f t="shared" si="159"/>
        <v>13.77</v>
      </c>
      <c r="AW87" s="282">
        <f t="shared" si="160"/>
        <v>60.980000000000004</v>
      </c>
      <c r="AX87" s="283"/>
      <c r="BC87" s="281">
        <f t="shared" si="161"/>
        <v>35.340000000000003</v>
      </c>
      <c r="BD87" s="282">
        <f t="shared" si="162"/>
        <v>21.21</v>
      </c>
      <c r="BE87" s="282">
        <f t="shared" si="163"/>
        <v>33.08</v>
      </c>
      <c r="BF87" s="283"/>
      <c r="BG87" s="281">
        <f t="shared" si="164"/>
        <v>34.020000000000003</v>
      </c>
      <c r="BH87" s="282">
        <f t="shared" si="165"/>
        <v>23.759999999999998</v>
      </c>
      <c r="BI87" s="282">
        <f t="shared" si="166"/>
        <v>41.293999999999997</v>
      </c>
      <c r="BJ87" s="283"/>
      <c r="BK87" s="281">
        <f t="shared" si="167"/>
        <v>48.28</v>
      </c>
      <c r="BL87" s="282">
        <f t="shared" si="168"/>
        <v>15.62</v>
      </c>
      <c r="BM87" s="282">
        <f t="shared" si="169"/>
        <v>45.37</v>
      </c>
      <c r="BN87" s="599"/>
      <c r="CG87" s="281">
        <f t="shared" si="170"/>
        <v>57.33</v>
      </c>
      <c r="CH87" s="281">
        <f t="shared" si="170"/>
        <v>54.760000000000005</v>
      </c>
      <c r="CI87" s="281">
        <f t="shared" si="170"/>
        <v>51.430000000000007</v>
      </c>
      <c r="CJ87" s="293">
        <f t="shared" si="170"/>
        <v>65.739999999999995</v>
      </c>
      <c r="CK87" s="281">
        <f t="shared" si="171"/>
        <v>118.50000000000001</v>
      </c>
      <c r="CL87" s="281">
        <f t="shared" si="171"/>
        <v>124.13</v>
      </c>
      <c r="CM87" s="281">
        <f t="shared" si="171"/>
        <v>112.98000000000002</v>
      </c>
      <c r="CN87" s="293">
        <f t="shared" si="171"/>
        <v>162.5</v>
      </c>
      <c r="CO87" s="281">
        <f t="shared" si="172"/>
        <v>194.38000000000002</v>
      </c>
      <c r="CP87" s="281">
        <f t="shared" si="172"/>
        <v>183.86</v>
      </c>
      <c r="CQ87" s="281">
        <f t="shared" si="172"/>
        <v>232.24</v>
      </c>
      <c r="CR87" s="293">
        <f t="shared" si="172"/>
        <v>215.89000000000001</v>
      </c>
      <c r="CS87" s="281">
        <f t="shared" si="173"/>
        <v>312.02</v>
      </c>
      <c r="CT87" s="281">
        <f t="shared" si="173"/>
        <v>244.45000000000002</v>
      </c>
      <c r="CU87" s="281">
        <f t="shared" si="173"/>
        <v>351.98399999999998</v>
      </c>
      <c r="CV87" s="293">
        <f t="shared" si="173"/>
        <v>215.89000000000001</v>
      </c>
      <c r="CX87" s="316">
        <f t="shared" si="174"/>
        <v>69.36999999999999</v>
      </c>
      <c r="CY87" s="316">
        <f t="shared" si="174"/>
        <v>61.55</v>
      </c>
      <c r="CZ87" s="316">
        <f t="shared" si="174"/>
        <v>96.759999999999991</v>
      </c>
      <c r="DA87" s="318">
        <f t="shared" si="174"/>
        <v>42.83</v>
      </c>
      <c r="DB87" s="281">
        <f t="shared" si="175"/>
        <v>129.1</v>
      </c>
      <c r="DC87" s="281">
        <f t="shared" si="175"/>
        <v>180.81</v>
      </c>
      <c r="DD87" s="281">
        <f t="shared" si="175"/>
        <v>150.15</v>
      </c>
      <c r="DE87" s="293">
        <f t="shared" si="175"/>
        <v>100.08</v>
      </c>
      <c r="DF87" s="281">
        <f t="shared" si="176"/>
        <v>189.69</v>
      </c>
      <c r="DG87" s="281">
        <f t="shared" si="176"/>
        <v>300.55399999999997</v>
      </c>
      <c r="DH87" s="281">
        <f t="shared" si="176"/>
        <v>150.15</v>
      </c>
      <c r="DI87" s="293">
        <f t="shared" si="176"/>
        <v>182.38</v>
      </c>
      <c r="DJ87" s="281">
        <f t="shared" si="177"/>
        <v>189.69</v>
      </c>
      <c r="DK87" s="281">
        <f t="shared" si="177"/>
        <v>300.55399999999997</v>
      </c>
      <c r="DL87" s="281">
        <f t="shared" si="177"/>
        <v>150.15</v>
      </c>
      <c r="DM87" s="293">
        <f t="shared" si="177"/>
        <v>182.38</v>
      </c>
    </row>
    <row r="88" spans="1:117" ht="15" hidden="1" customHeight="1" x14ac:dyDescent="0.25">
      <c r="A88" s="521"/>
      <c r="B88" s="55">
        <v>8</v>
      </c>
      <c r="C88" s="368"/>
      <c r="D88" s="368"/>
      <c r="E88" s="368"/>
      <c r="F88" s="368">
        <v>61.6</v>
      </c>
      <c r="G88" s="281">
        <f t="shared" si="126"/>
        <v>50.760000000000005</v>
      </c>
      <c r="H88" s="282">
        <f t="shared" si="127"/>
        <v>68.63</v>
      </c>
      <c r="I88" s="282">
        <f t="shared" si="128"/>
        <v>61.160000000000004</v>
      </c>
      <c r="J88" s="283">
        <f t="shared" si="129"/>
        <v>44.66</v>
      </c>
      <c r="K88" s="281">
        <f t="shared" si="130"/>
        <v>34.92</v>
      </c>
      <c r="L88" s="282">
        <f t="shared" si="131"/>
        <v>53.54</v>
      </c>
      <c r="M88" s="282">
        <f t="shared" si="132"/>
        <v>52.8</v>
      </c>
      <c r="N88" s="283">
        <f t="shared" si="133"/>
        <v>96.6</v>
      </c>
      <c r="O88" s="281">
        <f t="shared" si="134"/>
        <v>54.47</v>
      </c>
      <c r="P88" s="282">
        <f t="shared" si="135"/>
        <v>70.759999999999991</v>
      </c>
      <c r="Q88" s="282">
        <f t="shared" si="136"/>
        <v>41.66</v>
      </c>
      <c r="R88" s="283">
        <f t="shared" si="137"/>
        <v>59.2</v>
      </c>
      <c r="W88" s="281">
        <f t="shared" si="138"/>
        <v>57.42</v>
      </c>
      <c r="X88" s="282">
        <f t="shared" si="139"/>
        <v>55.5</v>
      </c>
      <c r="Y88" s="282">
        <f t="shared" si="140"/>
        <v>39.129999999999995</v>
      </c>
      <c r="Z88" s="283">
        <f t="shared" si="141"/>
        <v>79.03</v>
      </c>
      <c r="AA88" s="281">
        <f t="shared" si="142"/>
        <v>51.88</v>
      </c>
      <c r="AB88" s="282">
        <f t="shared" si="143"/>
        <v>62.94</v>
      </c>
      <c r="AC88" s="282">
        <f t="shared" si="144"/>
        <v>72.48</v>
      </c>
      <c r="AD88" s="283">
        <f t="shared" si="145"/>
        <v>63.73</v>
      </c>
      <c r="AE88" s="281">
        <f t="shared" si="146"/>
        <v>42.86</v>
      </c>
      <c r="AF88" s="282">
        <f t="shared" si="147"/>
        <v>62.16</v>
      </c>
      <c r="AG88" s="282">
        <f t="shared" si="148"/>
        <v>41.769999999999996</v>
      </c>
      <c r="AH88" s="283">
        <f t="shared" si="149"/>
        <v>58.540000000000006</v>
      </c>
      <c r="AM88" s="281">
        <f t="shared" si="150"/>
        <v>68.03</v>
      </c>
      <c r="AN88" s="282">
        <f t="shared" si="151"/>
        <v>62.61</v>
      </c>
      <c r="AO88" s="282">
        <f t="shared" si="152"/>
        <v>52.96</v>
      </c>
      <c r="AP88" s="283">
        <f t="shared" si="153"/>
        <v>56.069999999999993</v>
      </c>
      <c r="AQ88" s="281">
        <f t="shared" si="154"/>
        <v>72.460000000000008</v>
      </c>
      <c r="AR88" s="282">
        <f t="shared" si="155"/>
        <v>105.85</v>
      </c>
      <c r="AS88" s="282">
        <f t="shared" si="156"/>
        <v>114.4</v>
      </c>
      <c r="AT88" s="283">
        <f t="shared" si="157"/>
        <v>68.81</v>
      </c>
      <c r="AU88" s="281">
        <f t="shared" si="158"/>
        <v>78.78</v>
      </c>
      <c r="AV88" s="282">
        <f t="shared" si="159"/>
        <v>54.25</v>
      </c>
      <c r="AW88" s="282">
        <f t="shared" si="160"/>
        <v>78.790000000000006</v>
      </c>
      <c r="AX88" s="283"/>
      <c r="BC88" s="281">
        <f t="shared" si="161"/>
        <v>118.71</v>
      </c>
      <c r="BD88" s="282">
        <f t="shared" si="162"/>
        <v>94.95</v>
      </c>
      <c r="BE88" s="282">
        <f t="shared" si="163"/>
        <v>94.64</v>
      </c>
      <c r="BF88" s="283"/>
      <c r="BG88" s="281">
        <f t="shared" si="164"/>
        <v>111.62</v>
      </c>
      <c r="BH88" s="282">
        <f t="shared" si="165"/>
        <v>75.259999999999991</v>
      </c>
      <c r="BI88" s="282">
        <f t="shared" si="166"/>
        <v>151.48000000000002</v>
      </c>
      <c r="BJ88" s="283"/>
      <c r="BK88" s="281">
        <f t="shared" si="167"/>
        <v>70.260000000000005</v>
      </c>
      <c r="BL88" s="282">
        <f t="shared" si="168"/>
        <v>96.98</v>
      </c>
      <c r="BM88" s="282">
        <f t="shared" si="169"/>
        <v>123.15</v>
      </c>
      <c r="BN88" s="599"/>
      <c r="CG88" s="281">
        <f t="shared" si="170"/>
        <v>140.15</v>
      </c>
      <c r="CH88" s="281">
        <f t="shared" si="170"/>
        <v>192.92999999999998</v>
      </c>
      <c r="CI88" s="281">
        <f t="shared" si="170"/>
        <v>155.62</v>
      </c>
      <c r="CJ88" s="293">
        <f t="shared" si="170"/>
        <v>200.45999999999998</v>
      </c>
      <c r="CK88" s="281">
        <f t="shared" si="171"/>
        <v>292.31</v>
      </c>
      <c r="CL88" s="281">
        <f t="shared" si="171"/>
        <v>373.53</v>
      </c>
      <c r="CM88" s="281">
        <f t="shared" si="171"/>
        <v>309</v>
      </c>
      <c r="CN88" s="293">
        <f t="shared" si="171"/>
        <v>401.76000000000005</v>
      </c>
      <c r="CO88" s="281">
        <f t="shared" si="172"/>
        <v>511.58000000000004</v>
      </c>
      <c r="CP88" s="281">
        <f t="shared" si="172"/>
        <v>596.24</v>
      </c>
      <c r="CQ88" s="281">
        <f t="shared" si="172"/>
        <v>555.15</v>
      </c>
      <c r="CR88" s="293">
        <f t="shared" si="172"/>
        <v>526.6400000000001</v>
      </c>
      <c r="CS88" s="281">
        <f t="shared" si="173"/>
        <v>812.17000000000007</v>
      </c>
      <c r="CT88" s="281">
        <f t="shared" si="173"/>
        <v>863.43000000000006</v>
      </c>
      <c r="CU88" s="281">
        <f t="shared" si="173"/>
        <v>924.42</v>
      </c>
      <c r="CV88" s="293">
        <f t="shared" si="173"/>
        <v>526.6400000000001</v>
      </c>
      <c r="CX88" s="316">
        <f t="shared" si="174"/>
        <v>180.6</v>
      </c>
      <c r="CY88" s="316">
        <f t="shared" si="174"/>
        <v>153.38</v>
      </c>
      <c r="CZ88" s="316">
        <f t="shared" si="174"/>
        <v>201.3</v>
      </c>
      <c r="DA88" s="318">
        <f t="shared" si="174"/>
        <v>94.740000000000009</v>
      </c>
      <c r="DB88" s="281">
        <f t="shared" si="175"/>
        <v>403.30999999999995</v>
      </c>
      <c r="DC88" s="281">
        <f t="shared" si="175"/>
        <v>399.53000000000003</v>
      </c>
      <c r="DD88" s="281">
        <f t="shared" si="175"/>
        <v>326.18</v>
      </c>
      <c r="DE88" s="293">
        <f t="shared" si="175"/>
        <v>245.98000000000002</v>
      </c>
      <c r="DF88" s="281">
        <f t="shared" si="176"/>
        <v>670.5</v>
      </c>
      <c r="DG88" s="281">
        <f t="shared" si="176"/>
        <v>768.80000000000007</v>
      </c>
      <c r="DH88" s="281">
        <f t="shared" si="176"/>
        <v>326.18</v>
      </c>
      <c r="DI88" s="293">
        <f t="shared" si="176"/>
        <v>427.86</v>
      </c>
      <c r="DJ88" s="281">
        <f t="shared" si="177"/>
        <v>670.5</v>
      </c>
      <c r="DK88" s="281">
        <f t="shared" si="177"/>
        <v>768.80000000000007</v>
      </c>
      <c r="DL88" s="281">
        <f t="shared" si="177"/>
        <v>326.18</v>
      </c>
      <c r="DM88" s="293">
        <f t="shared" si="177"/>
        <v>427.86</v>
      </c>
    </row>
    <row r="89" spans="1:117" ht="15" hidden="1" customHeight="1" x14ac:dyDescent="0.25">
      <c r="A89" s="521"/>
      <c r="B89" s="55">
        <v>9</v>
      </c>
      <c r="C89" s="368"/>
      <c r="D89" s="368"/>
      <c r="E89" s="368"/>
      <c r="F89" s="368">
        <v>38.299999999999997</v>
      </c>
      <c r="G89" s="281">
        <f t="shared" si="126"/>
        <v>27.38</v>
      </c>
      <c r="H89" s="282">
        <f t="shared" si="127"/>
        <v>27.94</v>
      </c>
      <c r="I89" s="282">
        <f t="shared" si="128"/>
        <v>38.049999999999997</v>
      </c>
      <c r="J89" s="283">
        <f t="shared" si="129"/>
        <v>19.18</v>
      </c>
      <c r="K89" s="281">
        <f t="shared" si="130"/>
        <v>25.270000000000003</v>
      </c>
      <c r="L89" s="282">
        <f t="shared" si="131"/>
        <v>33.89</v>
      </c>
      <c r="M89" s="282">
        <f t="shared" si="132"/>
        <v>20.71</v>
      </c>
      <c r="N89" s="283">
        <f t="shared" si="133"/>
        <v>34.56</v>
      </c>
      <c r="O89" s="281">
        <f t="shared" si="134"/>
        <v>19.630000000000003</v>
      </c>
      <c r="P89" s="282">
        <f t="shared" si="135"/>
        <v>46.93</v>
      </c>
      <c r="Q89" s="282">
        <f t="shared" si="136"/>
        <v>22.65</v>
      </c>
      <c r="R89" s="283">
        <f t="shared" si="137"/>
        <v>39.230000000000004</v>
      </c>
      <c r="W89" s="281">
        <f t="shared" si="138"/>
        <v>40.680000000000007</v>
      </c>
      <c r="X89" s="282">
        <f t="shared" si="139"/>
        <v>38.409999999999997</v>
      </c>
      <c r="Y89" s="282">
        <f t="shared" si="140"/>
        <v>21.23</v>
      </c>
      <c r="Z89" s="283">
        <f t="shared" si="141"/>
        <v>16.64</v>
      </c>
      <c r="AA89" s="281">
        <f t="shared" si="142"/>
        <v>32.57</v>
      </c>
      <c r="AB89" s="282">
        <f t="shared" si="143"/>
        <v>31.91</v>
      </c>
      <c r="AC89" s="282">
        <f t="shared" si="144"/>
        <v>28.57</v>
      </c>
      <c r="AD89" s="283">
        <f t="shared" si="145"/>
        <v>47.69</v>
      </c>
      <c r="AE89" s="281">
        <f t="shared" si="146"/>
        <v>20.27</v>
      </c>
      <c r="AF89" s="282">
        <f t="shared" si="147"/>
        <v>32.75</v>
      </c>
      <c r="AG89" s="282">
        <f t="shared" si="148"/>
        <v>29.07</v>
      </c>
      <c r="AH89" s="283">
        <f t="shared" si="149"/>
        <v>48.05</v>
      </c>
      <c r="AM89" s="281">
        <f t="shared" si="150"/>
        <v>18.43</v>
      </c>
      <c r="AN89" s="282">
        <f t="shared" si="151"/>
        <v>35.010000000000005</v>
      </c>
      <c r="AO89" s="282">
        <f t="shared" si="152"/>
        <v>23.439999999999998</v>
      </c>
      <c r="AP89" s="283">
        <f t="shared" si="153"/>
        <v>33.1</v>
      </c>
      <c r="AQ89" s="281">
        <f t="shared" si="154"/>
        <v>75.52000000000001</v>
      </c>
      <c r="AR89" s="282">
        <f t="shared" si="155"/>
        <v>43.31</v>
      </c>
      <c r="AS89" s="282">
        <f t="shared" si="156"/>
        <v>43.71</v>
      </c>
      <c r="AT89" s="283">
        <f t="shared" si="157"/>
        <v>43.36</v>
      </c>
      <c r="AU89" s="281">
        <f t="shared" si="158"/>
        <v>64.02</v>
      </c>
      <c r="AV89" s="282">
        <f t="shared" si="159"/>
        <v>48.209999999999994</v>
      </c>
      <c r="AW89" s="282">
        <f t="shared" si="160"/>
        <v>59.56</v>
      </c>
      <c r="AX89" s="283"/>
      <c r="BC89" s="281">
        <f t="shared" si="161"/>
        <v>72.98</v>
      </c>
      <c r="BD89" s="282">
        <f t="shared" si="162"/>
        <v>71.400000000000006</v>
      </c>
      <c r="BE89" s="282">
        <f t="shared" si="163"/>
        <v>63.760000000000005</v>
      </c>
      <c r="BF89" s="283"/>
      <c r="BG89" s="281">
        <f t="shared" si="164"/>
        <v>43.4</v>
      </c>
      <c r="BH89" s="282">
        <f t="shared" si="165"/>
        <v>49.980000000000004</v>
      </c>
      <c r="BI89" s="282">
        <f t="shared" si="166"/>
        <v>76.490000000000009</v>
      </c>
      <c r="BJ89" s="283"/>
      <c r="BK89" s="281">
        <f t="shared" si="167"/>
        <v>54.92</v>
      </c>
      <c r="BL89" s="282">
        <f t="shared" si="168"/>
        <v>45.25</v>
      </c>
      <c r="BM89" s="282">
        <f t="shared" si="169"/>
        <v>62.45</v>
      </c>
      <c r="BN89" s="599"/>
      <c r="CG89" s="281">
        <f t="shared" si="170"/>
        <v>72.28</v>
      </c>
      <c r="CH89" s="281">
        <f t="shared" si="170"/>
        <v>108.75999999999999</v>
      </c>
      <c r="CI89" s="281">
        <f t="shared" si="170"/>
        <v>81.41</v>
      </c>
      <c r="CJ89" s="293">
        <f t="shared" si="170"/>
        <v>92.97</v>
      </c>
      <c r="CK89" s="281">
        <f t="shared" si="171"/>
        <v>165.8</v>
      </c>
      <c r="CL89" s="281">
        <f t="shared" si="171"/>
        <v>211.82999999999998</v>
      </c>
      <c r="CM89" s="281">
        <f t="shared" si="171"/>
        <v>160.28</v>
      </c>
      <c r="CN89" s="293">
        <f t="shared" si="171"/>
        <v>205.35000000000002</v>
      </c>
      <c r="CO89" s="281">
        <f t="shared" si="172"/>
        <v>323.77</v>
      </c>
      <c r="CP89" s="281">
        <f t="shared" si="172"/>
        <v>338.35999999999996</v>
      </c>
      <c r="CQ89" s="281">
        <f t="shared" si="172"/>
        <v>286.99</v>
      </c>
      <c r="CR89" s="293">
        <f t="shared" si="172"/>
        <v>281.81</v>
      </c>
      <c r="CS89" s="281">
        <f t="shared" si="173"/>
        <v>495.07</v>
      </c>
      <c r="CT89" s="281">
        <f t="shared" si="173"/>
        <v>504.99</v>
      </c>
      <c r="CU89" s="281">
        <f t="shared" si="173"/>
        <v>489.69</v>
      </c>
      <c r="CV89" s="293">
        <f t="shared" si="173"/>
        <v>281.81</v>
      </c>
      <c r="CX89" s="316">
        <f t="shared" si="174"/>
        <v>103.07</v>
      </c>
      <c r="CY89" s="316">
        <f t="shared" si="174"/>
        <v>78.87</v>
      </c>
      <c r="CZ89" s="316">
        <f t="shared" si="174"/>
        <v>112.38</v>
      </c>
      <c r="DA89" s="318">
        <f t="shared" si="174"/>
        <v>52.84</v>
      </c>
      <c r="DB89" s="281">
        <f t="shared" si="175"/>
        <v>229.59999999999997</v>
      </c>
      <c r="DC89" s="281">
        <f t="shared" si="175"/>
        <v>205.58</v>
      </c>
      <c r="DD89" s="281">
        <f t="shared" si="175"/>
        <v>188.83999999999997</v>
      </c>
      <c r="DE89" s="293">
        <f t="shared" si="175"/>
        <v>192.38</v>
      </c>
      <c r="DF89" s="281">
        <f t="shared" si="176"/>
        <v>396.23</v>
      </c>
      <c r="DG89" s="281">
        <f t="shared" si="176"/>
        <v>408.28000000000003</v>
      </c>
      <c r="DH89" s="281">
        <f t="shared" si="176"/>
        <v>188.83999999999997</v>
      </c>
      <c r="DI89" s="293">
        <f t="shared" si="176"/>
        <v>290.7</v>
      </c>
      <c r="DJ89" s="281">
        <f t="shared" si="177"/>
        <v>396.23</v>
      </c>
      <c r="DK89" s="281">
        <f t="shared" si="177"/>
        <v>408.28000000000003</v>
      </c>
      <c r="DL89" s="281">
        <f t="shared" si="177"/>
        <v>188.83999999999997</v>
      </c>
      <c r="DM89" s="293">
        <f t="shared" si="177"/>
        <v>290.7</v>
      </c>
    </row>
    <row r="90" spans="1:117" ht="15" hidden="1" customHeight="1" x14ac:dyDescent="0.25">
      <c r="A90" s="521"/>
      <c r="B90" s="55">
        <v>11</v>
      </c>
      <c r="C90" s="368"/>
      <c r="D90" s="368"/>
      <c r="E90" s="368"/>
      <c r="F90" s="368">
        <v>44.5</v>
      </c>
      <c r="G90" s="281">
        <f t="shared" si="126"/>
        <v>49.190000000000005</v>
      </c>
      <c r="H90" s="282">
        <f t="shared" si="127"/>
        <v>38.659999999999997</v>
      </c>
      <c r="I90" s="282">
        <f t="shared" si="128"/>
        <v>29.79</v>
      </c>
      <c r="J90" s="283">
        <f t="shared" si="129"/>
        <v>41.08</v>
      </c>
      <c r="K90" s="281">
        <f t="shared" si="130"/>
        <v>20.090000000000003</v>
      </c>
      <c r="L90" s="282">
        <f t="shared" si="131"/>
        <v>32.729999999999997</v>
      </c>
      <c r="M90" s="282">
        <f t="shared" si="132"/>
        <v>31.44</v>
      </c>
      <c r="N90" s="283">
        <f t="shared" si="133"/>
        <v>27.060000000000002</v>
      </c>
      <c r="O90" s="281">
        <f t="shared" si="134"/>
        <v>37.300000000000004</v>
      </c>
      <c r="P90" s="282">
        <f t="shared" si="135"/>
        <v>36.949999999999996</v>
      </c>
      <c r="Q90" s="282">
        <f t="shared" si="136"/>
        <v>30.26</v>
      </c>
      <c r="R90" s="283">
        <f t="shared" si="137"/>
        <v>40.57</v>
      </c>
      <c r="W90" s="281">
        <f t="shared" si="138"/>
        <v>63.84</v>
      </c>
      <c r="X90" s="282">
        <f t="shared" si="139"/>
        <v>82.75</v>
      </c>
      <c r="Y90" s="282">
        <f t="shared" si="140"/>
        <v>37.340000000000003</v>
      </c>
      <c r="Z90" s="283">
        <f t="shared" si="141"/>
        <v>35.96</v>
      </c>
      <c r="AA90" s="281">
        <f t="shared" si="142"/>
        <v>47.269999999999996</v>
      </c>
      <c r="AB90" s="282">
        <f t="shared" si="143"/>
        <v>48.66</v>
      </c>
      <c r="AC90" s="282">
        <f t="shared" si="144"/>
        <v>53.78</v>
      </c>
      <c r="AD90" s="283">
        <f t="shared" si="145"/>
        <v>51.4</v>
      </c>
      <c r="AE90" s="281">
        <f t="shared" si="146"/>
        <v>29.83</v>
      </c>
      <c r="AF90" s="282">
        <f t="shared" si="147"/>
        <v>48.43</v>
      </c>
      <c r="AG90" s="282">
        <f t="shared" si="148"/>
        <v>30.880000000000003</v>
      </c>
      <c r="AH90" s="283">
        <f t="shared" si="149"/>
        <v>44.1</v>
      </c>
      <c r="AM90" s="281">
        <f t="shared" si="150"/>
        <v>22.3</v>
      </c>
      <c r="AN90" s="282">
        <f t="shared" si="151"/>
        <v>54.44</v>
      </c>
      <c r="AO90" s="282">
        <f t="shared" si="152"/>
        <v>24.82</v>
      </c>
      <c r="AP90" s="283">
        <f t="shared" si="153"/>
        <v>47.35</v>
      </c>
      <c r="AQ90" s="281">
        <f t="shared" si="154"/>
        <v>36.81</v>
      </c>
      <c r="AR90" s="282">
        <f t="shared" si="155"/>
        <v>61.24</v>
      </c>
      <c r="AS90" s="282">
        <f t="shared" si="156"/>
        <v>43.08</v>
      </c>
      <c r="AT90" s="283">
        <f t="shared" si="157"/>
        <v>51.099999999999994</v>
      </c>
      <c r="AU90" s="281">
        <f t="shared" si="158"/>
        <v>87.84</v>
      </c>
      <c r="AV90" s="282">
        <f t="shared" si="159"/>
        <v>59.05</v>
      </c>
      <c r="AW90" s="282">
        <f t="shared" si="160"/>
        <v>98.26</v>
      </c>
      <c r="AX90" s="283"/>
      <c r="BC90" s="281">
        <f t="shared" si="161"/>
        <v>59.98</v>
      </c>
      <c r="BD90" s="282">
        <f t="shared" si="162"/>
        <v>59.16</v>
      </c>
      <c r="BE90" s="282">
        <f t="shared" si="163"/>
        <v>45.33</v>
      </c>
      <c r="BF90" s="283"/>
      <c r="BG90" s="281">
        <f t="shared" si="164"/>
        <v>85.12</v>
      </c>
      <c r="BH90" s="282">
        <f t="shared" si="165"/>
        <v>28.49</v>
      </c>
      <c r="BI90" s="282">
        <f t="shared" si="166"/>
        <v>62.233999999999995</v>
      </c>
      <c r="BJ90" s="283"/>
      <c r="BK90" s="281">
        <f t="shared" si="167"/>
        <v>58.31</v>
      </c>
      <c r="BL90" s="282">
        <f t="shared" si="168"/>
        <v>54.529999999999994</v>
      </c>
      <c r="BM90" s="282">
        <f t="shared" si="169"/>
        <v>52</v>
      </c>
      <c r="BN90" s="599"/>
      <c r="CG90" s="281">
        <f t="shared" si="170"/>
        <v>106.58000000000001</v>
      </c>
      <c r="CH90" s="281">
        <f t="shared" si="170"/>
        <v>108.33999999999997</v>
      </c>
      <c r="CI90" s="281">
        <f t="shared" si="170"/>
        <v>91.490000000000009</v>
      </c>
      <c r="CJ90" s="293">
        <f t="shared" si="170"/>
        <v>108.71000000000001</v>
      </c>
      <c r="CK90" s="281">
        <f t="shared" si="171"/>
        <v>247.51999999999998</v>
      </c>
      <c r="CL90" s="281">
        <f t="shared" si="171"/>
        <v>288.17999999999995</v>
      </c>
      <c r="CM90" s="281">
        <f t="shared" si="171"/>
        <v>213.49</v>
      </c>
      <c r="CN90" s="293">
        <f t="shared" si="171"/>
        <v>240.17000000000002</v>
      </c>
      <c r="CO90" s="281">
        <f t="shared" si="172"/>
        <v>394.47</v>
      </c>
      <c r="CP90" s="281">
        <f t="shared" si="172"/>
        <v>462.90999999999997</v>
      </c>
      <c r="CQ90" s="281">
        <f t="shared" si="172"/>
        <v>379.65</v>
      </c>
      <c r="CR90" s="293">
        <f t="shared" si="172"/>
        <v>338.62</v>
      </c>
      <c r="CS90" s="281">
        <f t="shared" si="173"/>
        <v>597.88000000000011</v>
      </c>
      <c r="CT90" s="281">
        <f t="shared" si="173"/>
        <v>605.08999999999992</v>
      </c>
      <c r="CU90" s="281">
        <f t="shared" si="173"/>
        <v>539.21399999999994</v>
      </c>
      <c r="CV90" s="293">
        <f t="shared" si="173"/>
        <v>338.62</v>
      </c>
      <c r="CX90" s="316">
        <f t="shared" si="174"/>
        <v>179.84</v>
      </c>
      <c r="CY90" s="316">
        <f t="shared" si="174"/>
        <v>122</v>
      </c>
      <c r="CZ90" s="316">
        <f t="shared" si="174"/>
        <v>131.46</v>
      </c>
      <c r="DA90" s="318">
        <f t="shared" si="174"/>
        <v>77.099999999999994</v>
      </c>
      <c r="DB90" s="281">
        <f t="shared" si="175"/>
        <v>354.57</v>
      </c>
      <c r="DC90" s="281">
        <f t="shared" si="175"/>
        <v>288.15999999999997</v>
      </c>
      <c r="DD90" s="281">
        <f t="shared" si="175"/>
        <v>229.91</v>
      </c>
      <c r="DE90" s="293">
        <f t="shared" si="175"/>
        <v>201.75</v>
      </c>
      <c r="DF90" s="281">
        <f t="shared" si="176"/>
        <v>496.75</v>
      </c>
      <c r="DG90" s="281">
        <f t="shared" si="176"/>
        <v>447.72399999999993</v>
      </c>
      <c r="DH90" s="281">
        <f t="shared" si="176"/>
        <v>229.91</v>
      </c>
      <c r="DI90" s="293">
        <f t="shared" si="176"/>
        <v>345.18</v>
      </c>
      <c r="DJ90" s="281">
        <f t="shared" si="177"/>
        <v>496.75</v>
      </c>
      <c r="DK90" s="281">
        <f t="shared" si="177"/>
        <v>447.72399999999993</v>
      </c>
      <c r="DL90" s="281">
        <f t="shared" si="177"/>
        <v>229.91</v>
      </c>
      <c r="DM90" s="293">
        <f t="shared" si="177"/>
        <v>345.18</v>
      </c>
    </row>
    <row r="91" spans="1:117" ht="15" hidden="1" customHeight="1" x14ac:dyDescent="0.25">
      <c r="A91" s="521"/>
      <c r="B91" s="55">
        <v>12</v>
      </c>
      <c r="C91" s="368"/>
      <c r="D91" s="368"/>
      <c r="E91" s="368"/>
      <c r="F91" s="368">
        <v>71</v>
      </c>
      <c r="G91" s="281">
        <f t="shared" si="126"/>
        <v>103.92</v>
      </c>
      <c r="H91" s="282">
        <f t="shared" si="127"/>
        <v>64.150000000000006</v>
      </c>
      <c r="I91" s="282">
        <f t="shared" si="128"/>
        <v>78.53</v>
      </c>
      <c r="J91" s="283">
        <f t="shared" si="129"/>
        <v>51.83</v>
      </c>
      <c r="K91" s="281">
        <f t="shared" si="130"/>
        <v>41.82</v>
      </c>
      <c r="L91" s="282">
        <f t="shared" si="131"/>
        <v>73.37</v>
      </c>
      <c r="M91" s="282">
        <f t="shared" si="132"/>
        <v>60.73</v>
      </c>
      <c r="N91" s="283">
        <f t="shared" si="133"/>
        <v>82.91</v>
      </c>
      <c r="O91" s="281">
        <f t="shared" si="134"/>
        <v>69.2</v>
      </c>
      <c r="P91" s="282">
        <f t="shared" si="135"/>
        <v>66.05</v>
      </c>
      <c r="Q91" s="282">
        <f t="shared" si="136"/>
        <v>41.84</v>
      </c>
      <c r="R91" s="283">
        <f t="shared" si="137"/>
        <v>61.5</v>
      </c>
      <c r="W91" s="281">
        <f t="shared" si="138"/>
        <v>62.67</v>
      </c>
      <c r="X91" s="282">
        <f t="shared" si="139"/>
        <v>72.349999999999994</v>
      </c>
      <c r="Y91" s="282">
        <f t="shared" si="140"/>
        <v>85.08</v>
      </c>
      <c r="Z91" s="283">
        <f t="shared" si="141"/>
        <v>108.55</v>
      </c>
      <c r="AA91" s="281">
        <f t="shared" si="142"/>
        <v>96.63000000000001</v>
      </c>
      <c r="AB91" s="282">
        <f t="shared" si="143"/>
        <v>69.09</v>
      </c>
      <c r="AC91" s="282">
        <f t="shared" si="144"/>
        <v>60.72</v>
      </c>
      <c r="AD91" s="283">
        <f t="shared" si="145"/>
        <v>69.22999999999999</v>
      </c>
      <c r="AE91" s="281">
        <f t="shared" si="146"/>
        <v>57.239999999999995</v>
      </c>
      <c r="AF91" s="282">
        <f t="shared" si="147"/>
        <v>77.56</v>
      </c>
      <c r="AG91" s="282">
        <f t="shared" si="148"/>
        <v>57.980000000000004</v>
      </c>
      <c r="AH91" s="283">
        <f t="shared" si="149"/>
        <v>72.430000000000007</v>
      </c>
      <c r="AM91" s="281">
        <f t="shared" si="150"/>
        <v>43.55</v>
      </c>
      <c r="AN91" s="282">
        <f t="shared" si="151"/>
        <v>77.760000000000005</v>
      </c>
      <c r="AO91" s="282">
        <f t="shared" si="152"/>
        <v>62.17</v>
      </c>
      <c r="AP91" s="283">
        <f t="shared" si="153"/>
        <v>75.459999999999994</v>
      </c>
      <c r="AQ91" s="281">
        <f t="shared" si="154"/>
        <v>58.84</v>
      </c>
      <c r="AR91" s="282">
        <f t="shared" si="155"/>
        <v>74.569999999999993</v>
      </c>
      <c r="AS91" s="282">
        <f t="shared" si="156"/>
        <v>67.44</v>
      </c>
      <c r="AT91" s="283">
        <f t="shared" si="157"/>
        <v>80.36</v>
      </c>
      <c r="AU91" s="281">
        <f t="shared" si="158"/>
        <v>81.45</v>
      </c>
      <c r="AV91" s="282">
        <f t="shared" si="159"/>
        <v>95.53</v>
      </c>
      <c r="AW91" s="282">
        <f t="shared" si="160"/>
        <v>147.54000000000002</v>
      </c>
      <c r="AX91" s="283"/>
      <c r="BC91" s="281">
        <f t="shared" si="161"/>
        <v>139.88</v>
      </c>
      <c r="BD91" s="282">
        <f t="shared" si="162"/>
        <v>117.32</v>
      </c>
      <c r="BE91" s="282">
        <f t="shared" si="163"/>
        <v>92.97</v>
      </c>
      <c r="BF91" s="283"/>
      <c r="BG91" s="281">
        <f t="shared" si="164"/>
        <v>122.47</v>
      </c>
      <c r="BH91" s="282">
        <f t="shared" si="165"/>
        <v>97.89</v>
      </c>
      <c r="BI91" s="282">
        <f t="shared" si="166"/>
        <v>143.44999999999999</v>
      </c>
      <c r="BJ91" s="283"/>
      <c r="BK91" s="281">
        <f t="shared" si="167"/>
        <v>180.53</v>
      </c>
      <c r="BL91" s="282">
        <f t="shared" si="168"/>
        <v>94.080000000000013</v>
      </c>
      <c r="BM91" s="282">
        <f t="shared" si="169"/>
        <v>98.47</v>
      </c>
      <c r="BN91" s="599"/>
      <c r="CG91" s="281">
        <f t="shared" si="170"/>
        <v>214.94</v>
      </c>
      <c r="CH91" s="281">
        <f t="shared" si="170"/>
        <v>203.57</v>
      </c>
      <c r="CI91" s="281">
        <f t="shared" si="170"/>
        <v>181.1</v>
      </c>
      <c r="CJ91" s="293">
        <f t="shared" si="170"/>
        <v>196.24</v>
      </c>
      <c r="CK91" s="281">
        <f t="shared" si="171"/>
        <v>431.48</v>
      </c>
      <c r="CL91" s="281">
        <f t="shared" si="171"/>
        <v>422.57</v>
      </c>
      <c r="CM91" s="281">
        <f t="shared" si="171"/>
        <v>384.88</v>
      </c>
      <c r="CN91" s="293">
        <f t="shared" si="171"/>
        <v>446.45</v>
      </c>
      <c r="CO91" s="281">
        <f t="shared" si="172"/>
        <v>615.32000000000005</v>
      </c>
      <c r="CP91" s="281">
        <f t="shared" si="172"/>
        <v>670.43</v>
      </c>
      <c r="CQ91" s="281">
        <f t="shared" si="172"/>
        <v>662.03</v>
      </c>
      <c r="CR91" s="293">
        <f t="shared" si="172"/>
        <v>602.27</v>
      </c>
      <c r="CS91" s="281">
        <f t="shared" si="173"/>
        <v>1058.2</v>
      </c>
      <c r="CT91" s="281">
        <f t="shared" si="173"/>
        <v>979.72</v>
      </c>
      <c r="CU91" s="281">
        <f t="shared" si="173"/>
        <v>996.92000000000007</v>
      </c>
      <c r="CV91" s="293">
        <f t="shared" si="173"/>
        <v>602.27</v>
      </c>
      <c r="CX91" s="316">
        <f t="shared" si="174"/>
        <v>219</v>
      </c>
      <c r="CY91" s="316">
        <f t="shared" si="174"/>
        <v>203.78000000000003</v>
      </c>
      <c r="CZ91" s="316">
        <f t="shared" si="174"/>
        <v>250.20999999999998</v>
      </c>
      <c r="DA91" s="318">
        <f t="shared" si="174"/>
        <v>153.87</v>
      </c>
      <c r="DB91" s="281">
        <f t="shared" si="175"/>
        <v>466.86</v>
      </c>
      <c r="DC91" s="281">
        <f t="shared" si="175"/>
        <v>480.93000000000006</v>
      </c>
      <c r="DD91" s="281">
        <f t="shared" si="175"/>
        <v>406.03</v>
      </c>
      <c r="DE91" s="293">
        <f t="shared" si="175"/>
        <v>294.16000000000003</v>
      </c>
      <c r="DF91" s="281">
        <f t="shared" si="176"/>
        <v>776.15000000000009</v>
      </c>
      <c r="DG91" s="281">
        <f t="shared" si="176"/>
        <v>815.82000000000016</v>
      </c>
      <c r="DH91" s="281">
        <f t="shared" si="176"/>
        <v>406.03</v>
      </c>
      <c r="DI91" s="293">
        <f t="shared" si="176"/>
        <v>597.16</v>
      </c>
      <c r="DJ91" s="281">
        <f t="shared" si="177"/>
        <v>776.15000000000009</v>
      </c>
      <c r="DK91" s="281">
        <f t="shared" si="177"/>
        <v>815.82000000000016</v>
      </c>
      <c r="DL91" s="281">
        <f t="shared" si="177"/>
        <v>406.03</v>
      </c>
      <c r="DM91" s="293">
        <f t="shared" si="177"/>
        <v>597.16</v>
      </c>
    </row>
    <row r="92" spans="1:117" ht="15.75" hidden="1" customHeight="1" thickBot="1" x14ac:dyDescent="0.3">
      <c r="A92" s="522"/>
      <c r="B92" s="83">
        <v>23</v>
      </c>
      <c r="C92" s="369"/>
      <c r="D92" s="369"/>
      <c r="E92" s="369"/>
      <c r="F92" s="369">
        <v>14.6</v>
      </c>
      <c r="G92" s="281">
        <f t="shared" si="126"/>
        <v>16.240000000000002</v>
      </c>
      <c r="H92" s="282">
        <f t="shared" si="127"/>
        <v>13.39</v>
      </c>
      <c r="I92" s="282">
        <f t="shared" si="128"/>
        <v>20.83</v>
      </c>
      <c r="J92" s="283">
        <f t="shared" si="129"/>
        <v>15.99</v>
      </c>
      <c r="K92" s="281">
        <f t="shared" si="130"/>
        <v>8.74</v>
      </c>
      <c r="L92" s="282">
        <f t="shared" si="131"/>
        <v>23.380000000000003</v>
      </c>
      <c r="M92" s="282">
        <f t="shared" si="132"/>
        <v>15.02</v>
      </c>
      <c r="N92" s="283">
        <f t="shared" si="133"/>
        <v>20.85</v>
      </c>
      <c r="O92" s="281">
        <f t="shared" si="134"/>
        <v>14.7</v>
      </c>
      <c r="P92" s="282">
        <f t="shared" si="135"/>
        <v>14.47</v>
      </c>
      <c r="Q92" s="282">
        <f t="shared" si="136"/>
        <v>7.17</v>
      </c>
      <c r="R92" s="283">
        <f t="shared" si="137"/>
        <v>12.399999999999999</v>
      </c>
      <c r="W92" s="281">
        <f t="shared" si="138"/>
        <v>20.130000000000003</v>
      </c>
      <c r="X92" s="282">
        <f t="shared" si="139"/>
        <v>7.79</v>
      </c>
      <c r="Y92" s="282">
        <f t="shared" si="140"/>
        <v>12.370000000000001</v>
      </c>
      <c r="Z92" s="283">
        <f t="shared" si="141"/>
        <v>31.32</v>
      </c>
      <c r="AA92" s="281">
        <f t="shared" si="142"/>
        <v>18.100000000000001</v>
      </c>
      <c r="AB92" s="282">
        <f t="shared" si="143"/>
        <v>16.48</v>
      </c>
      <c r="AC92" s="282">
        <f t="shared" si="144"/>
        <v>24.14</v>
      </c>
      <c r="AD92" s="283">
        <f t="shared" si="145"/>
        <v>21.55</v>
      </c>
      <c r="AE92" s="281">
        <f t="shared" si="146"/>
        <v>12.600000000000001</v>
      </c>
      <c r="AF92" s="282">
        <f t="shared" si="147"/>
        <v>21.369999999999997</v>
      </c>
      <c r="AG92" s="282">
        <f t="shared" si="148"/>
        <v>15.32</v>
      </c>
      <c r="AH92" s="283">
        <f t="shared" si="149"/>
        <v>21.51</v>
      </c>
      <c r="AM92" s="281">
        <f t="shared" si="150"/>
        <v>13.33</v>
      </c>
      <c r="AN92" s="282">
        <f t="shared" si="151"/>
        <v>21.189999999999998</v>
      </c>
      <c r="AO92" s="282">
        <f t="shared" si="152"/>
        <v>29.12</v>
      </c>
      <c r="AP92" s="283">
        <f t="shared" si="153"/>
        <v>19.11</v>
      </c>
      <c r="AQ92" s="281">
        <f t="shared" si="154"/>
        <v>18.82</v>
      </c>
      <c r="AR92" s="282">
        <f t="shared" si="155"/>
        <v>41.82</v>
      </c>
      <c r="AS92" s="282">
        <f t="shared" si="156"/>
        <v>40.04</v>
      </c>
      <c r="AT92" s="283">
        <f t="shared" si="157"/>
        <v>29.76</v>
      </c>
      <c r="AU92" s="281">
        <f t="shared" si="158"/>
        <v>14.39</v>
      </c>
      <c r="AV92" s="282">
        <f t="shared" si="159"/>
        <v>22.19</v>
      </c>
      <c r="AW92" s="282">
        <f t="shared" si="160"/>
        <v>25.52</v>
      </c>
      <c r="AX92" s="283"/>
      <c r="BC92" s="281">
        <f t="shared" si="161"/>
        <v>42.260000000000005</v>
      </c>
      <c r="BD92" s="282">
        <f t="shared" si="162"/>
        <v>23.86</v>
      </c>
      <c r="BE92" s="282">
        <f t="shared" si="163"/>
        <v>44.03</v>
      </c>
      <c r="BF92" s="283"/>
      <c r="BG92" s="281">
        <f t="shared" si="164"/>
        <v>28.15</v>
      </c>
      <c r="BH92" s="282">
        <f t="shared" si="165"/>
        <v>20.75</v>
      </c>
      <c r="BI92" s="282">
        <f t="shared" si="166"/>
        <v>32.370000000000005</v>
      </c>
      <c r="BJ92" s="283"/>
      <c r="BK92" s="281">
        <f t="shared" si="167"/>
        <v>18.77</v>
      </c>
      <c r="BL92" s="282">
        <f t="shared" si="168"/>
        <v>16.809999999999999</v>
      </c>
      <c r="BM92" s="282">
        <f t="shared" si="169"/>
        <v>21.66</v>
      </c>
      <c r="BN92" s="599"/>
      <c r="CG92" s="281">
        <f t="shared" si="170"/>
        <v>39.680000000000007</v>
      </c>
      <c r="CH92" s="281">
        <f t="shared" si="170"/>
        <v>51.24</v>
      </c>
      <c r="CI92" s="281">
        <f t="shared" si="170"/>
        <v>43.019999999999996</v>
      </c>
      <c r="CJ92" s="293">
        <f t="shared" si="170"/>
        <v>49.24</v>
      </c>
      <c r="CK92" s="281">
        <f t="shared" si="171"/>
        <v>90.510000000000019</v>
      </c>
      <c r="CL92" s="281">
        <f t="shared" si="171"/>
        <v>96.88</v>
      </c>
      <c r="CM92" s="281">
        <f t="shared" si="171"/>
        <v>94.85</v>
      </c>
      <c r="CN92" s="293">
        <f t="shared" si="171"/>
        <v>123.62</v>
      </c>
      <c r="CO92" s="281">
        <f t="shared" si="172"/>
        <v>137.05000000000001</v>
      </c>
      <c r="CP92" s="281">
        <f t="shared" si="172"/>
        <v>182.07999999999998</v>
      </c>
      <c r="CQ92" s="281">
        <f t="shared" si="172"/>
        <v>189.53</v>
      </c>
      <c r="CR92" s="293">
        <f t="shared" si="172"/>
        <v>172.49</v>
      </c>
      <c r="CS92" s="281">
        <f t="shared" si="173"/>
        <v>226.23000000000002</v>
      </c>
      <c r="CT92" s="281">
        <f t="shared" si="173"/>
        <v>243.5</v>
      </c>
      <c r="CU92" s="281">
        <f t="shared" si="173"/>
        <v>287.59000000000003</v>
      </c>
      <c r="CV92" s="293">
        <f t="shared" si="173"/>
        <v>172.49</v>
      </c>
      <c r="CX92" s="316">
        <f t="shared" si="174"/>
        <v>45.64</v>
      </c>
      <c r="CY92" s="316">
        <f t="shared" si="174"/>
        <v>51.830000000000005</v>
      </c>
      <c r="CZ92" s="316">
        <f t="shared" si="174"/>
        <v>74.38000000000001</v>
      </c>
      <c r="DA92" s="318">
        <f t="shared" si="174"/>
        <v>30.700000000000003</v>
      </c>
      <c r="DB92" s="281">
        <f t="shared" si="175"/>
        <v>130.84</v>
      </c>
      <c r="DC92" s="281">
        <f t="shared" si="175"/>
        <v>146.51000000000002</v>
      </c>
      <c r="DD92" s="281">
        <f t="shared" si="175"/>
        <v>123.25000000000001</v>
      </c>
      <c r="DE92" s="293">
        <f t="shared" si="175"/>
        <v>63.910000000000004</v>
      </c>
      <c r="DF92" s="281">
        <f t="shared" si="176"/>
        <v>192.26</v>
      </c>
      <c r="DG92" s="281">
        <f t="shared" si="176"/>
        <v>244.57000000000002</v>
      </c>
      <c r="DH92" s="281">
        <f t="shared" si="176"/>
        <v>123.25000000000001</v>
      </c>
      <c r="DI92" s="293">
        <f t="shared" si="176"/>
        <v>110.83</v>
      </c>
      <c r="DJ92" s="281">
        <f t="shared" si="177"/>
        <v>192.26</v>
      </c>
      <c r="DK92" s="281">
        <f t="shared" si="177"/>
        <v>244.57000000000002</v>
      </c>
      <c r="DL92" s="281">
        <f t="shared" si="177"/>
        <v>123.25000000000001</v>
      </c>
      <c r="DM92" s="293">
        <f t="shared" si="177"/>
        <v>110.83</v>
      </c>
    </row>
    <row r="93" spans="1:117" ht="15" hidden="1" customHeight="1" x14ac:dyDescent="0.25">
      <c r="A93" s="520" t="s">
        <v>22</v>
      </c>
      <c r="B93" s="85">
        <v>10</v>
      </c>
      <c r="C93" s="370"/>
      <c r="D93" s="370"/>
      <c r="E93" s="370"/>
      <c r="F93" s="370">
        <v>19.100000000000001</v>
      </c>
      <c r="G93" s="281">
        <f t="shared" si="126"/>
        <v>11.7</v>
      </c>
      <c r="H93" s="282">
        <f t="shared" si="127"/>
        <v>16.29</v>
      </c>
      <c r="I93" s="282">
        <f t="shared" si="128"/>
        <v>19.59</v>
      </c>
      <c r="J93" s="283">
        <f t="shared" si="129"/>
        <v>8.8699999999999992</v>
      </c>
      <c r="K93" s="281">
        <f t="shared" si="130"/>
        <v>7.34</v>
      </c>
      <c r="L93" s="282">
        <f t="shared" si="131"/>
        <v>16.53</v>
      </c>
      <c r="M93" s="282">
        <f t="shared" si="132"/>
        <v>10.29</v>
      </c>
      <c r="N93" s="283">
        <f t="shared" si="133"/>
        <v>18.600000000000001</v>
      </c>
      <c r="O93" s="281">
        <f t="shared" si="134"/>
        <v>14.849999999999998</v>
      </c>
      <c r="P93" s="282">
        <f t="shared" si="135"/>
        <v>18.66</v>
      </c>
      <c r="Q93" s="282">
        <f t="shared" si="136"/>
        <v>10.94</v>
      </c>
      <c r="R93" s="283">
        <f t="shared" si="137"/>
        <v>21.950000000000003</v>
      </c>
      <c r="W93" s="281">
        <f t="shared" si="138"/>
        <v>19.18</v>
      </c>
      <c r="X93" s="282">
        <f t="shared" si="139"/>
        <v>15.34</v>
      </c>
      <c r="Y93" s="282">
        <f t="shared" si="140"/>
        <v>7.91</v>
      </c>
      <c r="Z93" s="283">
        <f t="shared" si="141"/>
        <v>17.760000000000002</v>
      </c>
      <c r="AA93" s="281">
        <f t="shared" si="142"/>
        <v>26.41</v>
      </c>
      <c r="AB93" s="282">
        <f t="shared" si="143"/>
        <v>25.56</v>
      </c>
      <c r="AC93" s="282">
        <f t="shared" si="144"/>
        <v>16.59</v>
      </c>
      <c r="AD93" s="283">
        <f t="shared" si="145"/>
        <v>21.09</v>
      </c>
      <c r="AE93" s="281">
        <f t="shared" si="146"/>
        <v>22.54</v>
      </c>
      <c r="AF93" s="282">
        <f t="shared" si="147"/>
        <v>21.5</v>
      </c>
      <c r="AG93" s="282">
        <f t="shared" si="148"/>
        <v>20.95</v>
      </c>
      <c r="AH93" s="283">
        <f t="shared" si="149"/>
        <v>29.669999999999998</v>
      </c>
      <c r="AM93" s="281">
        <f t="shared" si="150"/>
        <v>13.11</v>
      </c>
      <c r="AN93" s="282">
        <f t="shared" si="151"/>
        <v>27.93</v>
      </c>
      <c r="AO93" s="282">
        <f t="shared" si="152"/>
        <v>13.52</v>
      </c>
      <c r="AP93" s="283">
        <f t="shared" si="153"/>
        <v>15.129999999999999</v>
      </c>
      <c r="AQ93" s="281">
        <f t="shared" si="154"/>
        <v>20.47</v>
      </c>
      <c r="AR93" s="282">
        <f t="shared" si="155"/>
        <v>29.2</v>
      </c>
      <c r="AS93" s="282">
        <f t="shared" si="156"/>
        <v>27.61</v>
      </c>
      <c r="AT93" s="283">
        <f t="shared" si="157"/>
        <v>23.62</v>
      </c>
      <c r="AU93" s="281">
        <f t="shared" si="158"/>
        <v>44.04</v>
      </c>
      <c r="AV93" s="282">
        <f t="shared" si="159"/>
        <v>34.06</v>
      </c>
      <c r="AW93" s="282">
        <f t="shared" si="160"/>
        <v>40.57</v>
      </c>
      <c r="AX93" s="283"/>
      <c r="BC93" s="281">
        <f t="shared" si="161"/>
        <v>36.01</v>
      </c>
      <c r="BD93" s="282">
        <f t="shared" si="162"/>
        <v>29.66</v>
      </c>
      <c r="BE93" s="282">
        <f t="shared" si="163"/>
        <v>28.14</v>
      </c>
      <c r="BF93" s="283"/>
      <c r="BG93" s="281">
        <f t="shared" si="164"/>
        <v>0</v>
      </c>
      <c r="BH93" s="282">
        <f t="shared" si="165"/>
        <v>24.72</v>
      </c>
      <c r="BI93" s="282">
        <f t="shared" si="166"/>
        <v>35.380000000000003</v>
      </c>
      <c r="BJ93" s="283"/>
      <c r="BK93" s="281">
        <f t="shared" si="167"/>
        <v>53.05</v>
      </c>
      <c r="BL93" s="282">
        <f t="shared" si="168"/>
        <v>28.05</v>
      </c>
      <c r="BM93" s="282">
        <f t="shared" si="169"/>
        <v>29.310000000000002</v>
      </c>
      <c r="BN93" s="599"/>
      <c r="CG93" s="281">
        <f t="shared" si="170"/>
        <v>33.89</v>
      </c>
      <c r="CH93" s="281">
        <f t="shared" si="170"/>
        <v>51.480000000000004</v>
      </c>
      <c r="CI93" s="281">
        <f t="shared" si="170"/>
        <v>40.82</v>
      </c>
      <c r="CJ93" s="293">
        <f t="shared" si="170"/>
        <v>49.42</v>
      </c>
      <c r="CK93" s="281">
        <f t="shared" si="171"/>
        <v>102.02000000000001</v>
      </c>
      <c r="CL93" s="281">
        <f t="shared" si="171"/>
        <v>113.88000000000001</v>
      </c>
      <c r="CM93" s="281">
        <f t="shared" si="171"/>
        <v>86.27000000000001</v>
      </c>
      <c r="CN93" s="293">
        <f t="shared" si="171"/>
        <v>117.94000000000001</v>
      </c>
      <c r="CO93" s="281">
        <f t="shared" si="172"/>
        <v>179.64000000000001</v>
      </c>
      <c r="CP93" s="281">
        <f t="shared" si="172"/>
        <v>205.07</v>
      </c>
      <c r="CQ93" s="281">
        <f t="shared" si="172"/>
        <v>167.97</v>
      </c>
      <c r="CR93" s="293">
        <f t="shared" si="172"/>
        <v>156.69000000000003</v>
      </c>
      <c r="CS93" s="281">
        <f t="shared" si="173"/>
        <v>268.7</v>
      </c>
      <c r="CT93" s="281">
        <f t="shared" si="173"/>
        <v>287.5</v>
      </c>
      <c r="CU93" s="281">
        <f t="shared" si="173"/>
        <v>260.8</v>
      </c>
      <c r="CV93" s="293">
        <f t="shared" si="173"/>
        <v>156.69000000000003</v>
      </c>
      <c r="CX93" s="316">
        <f t="shared" si="174"/>
        <v>62.4</v>
      </c>
      <c r="CY93" s="316">
        <f t="shared" si="174"/>
        <v>45.45</v>
      </c>
      <c r="CZ93" s="316">
        <f t="shared" si="174"/>
        <v>68.52</v>
      </c>
      <c r="DA93" s="318">
        <f t="shared" si="174"/>
        <v>48.95</v>
      </c>
      <c r="DB93" s="281">
        <f t="shared" si="175"/>
        <v>153.59</v>
      </c>
      <c r="DC93" s="281">
        <f t="shared" si="175"/>
        <v>127.15</v>
      </c>
      <c r="DD93" s="281">
        <f t="shared" si="175"/>
        <v>107.27</v>
      </c>
      <c r="DE93" s="293">
        <f t="shared" si="175"/>
        <v>113.46000000000001</v>
      </c>
      <c r="DF93" s="281">
        <f t="shared" si="176"/>
        <v>236.02</v>
      </c>
      <c r="DG93" s="281">
        <f t="shared" si="176"/>
        <v>219.98000000000002</v>
      </c>
      <c r="DH93" s="281">
        <f t="shared" si="176"/>
        <v>107.27</v>
      </c>
      <c r="DI93" s="293">
        <f t="shared" si="176"/>
        <v>166.51</v>
      </c>
      <c r="DJ93" s="281">
        <f t="shared" si="177"/>
        <v>236.02</v>
      </c>
      <c r="DK93" s="281">
        <f t="shared" si="177"/>
        <v>219.98000000000002</v>
      </c>
      <c r="DL93" s="281">
        <f t="shared" si="177"/>
        <v>107.27</v>
      </c>
      <c r="DM93" s="293">
        <f t="shared" si="177"/>
        <v>166.51</v>
      </c>
    </row>
    <row r="94" spans="1:117" ht="15" hidden="1" customHeight="1" x14ac:dyDescent="0.25">
      <c r="A94" s="521"/>
      <c r="B94" s="55">
        <v>13</v>
      </c>
      <c r="C94" s="368"/>
      <c r="D94" s="368"/>
      <c r="E94" s="368"/>
      <c r="F94" s="368">
        <v>60.8</v>
      </c>
      <c r="G94" s="281">
        <f t="shared" si="126"/>
        <v>55.04</v>
      </c>
      <c r="H94" s="282">
        <f t="shared" si="127"/>
        <v>107.76</v>
      </c>
      <c r="I94" s="282">
        <f t="shared" si="128"/>
        <v>74.92</v>
      </c>
      <c r="J94" s="283">
        <f t="shared" si="129"/>
        <v>91.4</v>
      </c>
      <c r="K94" s="281">
        <f t="shared" si="130"/>
        <v>49.260000000000005</v>
      </c>
      <c r="L94" s="282">
        <f t="shared" si="131"/>
        <v>63.97</v>
      </c>
      <c r="M94" s="282">
        <f t="shared" si="132"/>
        <v>56.88</v>
      </c>
      <c r="N94" s="283">
        <f t="shared" si="133"/>
        <v>74.7</v>
      </c>
      <c r="O94" s="281">
        <f t="shared" si="134"/>
        <v>55.06</v>
      </c>
      <c r="P94" s="282">
        <f t="shared" si="135"/>
        <v>61.980000000000004</v>
      </c>
      <c r="Q94" s="282">
        <f t="shared" si="136"/>
        <v>44.790000000000006</v>
      </c>
      <c r="R94" s="283">
        <f t="shared" si="137"/>
        <v>57.589999999999996</v>
      </c>
      <c r="W94" s="281">
        <f t="shared" si="138"/>
        <v>51.75</v>
      </c>
      <c r="X94" s="282">
        <f t="shared" si="139"/>
        <v>47.14</v>
      </c>
      <c r="Y94" s="282">
        <f t="shared" si="140"/>
        <v>68.010000000000005</v>
      </c>
      <c r="Z94" s="283">
        <f t="shared" si="141"/>
        <v>47.86</v>
      </c>
      <c r="AA94" s="281">
        <f t="shared" si="142"/>
        <v>86.15</v>
      </c>
      <c r="AB94" s="282">
        <f t="shared" si="143"/>
        <v>85.9</v>
      </c>
      <c r="AC94" s="282">
        <f t="shared" si="144"/>
        <v>48.01</v>
      </c>
      <c r="AD94" s="283">
        <f t="shared" si="145"/>
        <v>90.56</v>
      </c>
      <c r="AE94" s="281">
        <f t="shared" si="146"/>
        <v>76.180000000000007</v>
      </c>
      <c r="AF94" s="282">
        <f t="shared" si="147"/>
        <v>77.59</v>
      </c>
      <c r="AG94" s="282">
        <f t="shared" si="148"/>
        <v>53.45</v>
      </c>
      <c r="AH94" s="283">
        <f t="shared" si="149"/>
        <v>56.22</v>
      </c>
      <c r="AM94" s="281">
        <f t="shared" si="150"/>
        <v>84.359999999999985</v>
      </c>
      <c r="AN94" s="282">
        <f t="shared" si="151"/>
        <v>93.78</v>
      </c>
      <c r="AO94" s="282">
        <f t="shared" si="152"/>
        <v>71.09</v>
      </c>
      <c r="AP94" s="283">
        <f t="shared" si="153"/>
        <v>89.53</v>
      </c>
      <c r="AQ94" s="281">
        <f t="shared" si="154"/>
        <v>80.569999999999993</v>
      </c>
      <c r="AR94" s="282">
        <f t="shared" si="155"/>
        <v>85.92</v>
      </c>
      <c r="AS94" s="282">
        <f t="shared" si="156"/>
        <v>96.89</v>
      </c>
      <c r="AT94" s="283">
        <f t="shared" si="157"/>
        <v>66.47</v>
      </c>
      <c r="AU94" s="281">
        <f t="shared" si="158"/>
        <v>96.34</v>
      </c>
      <c r="AV94" s="282">
        <f t="shared" si="159"/>
        <v>109.63999999999999</v>
      </c>
      <c r="AW94" s="282">
        <f t="shared" si="160"/>
        <v>80.66</v>
      </c>
      <c r="AX94" s="283"/>
      <c r="BC94" s="281">
        <f t="shared" si="161"/>
        <v>113.44</v>
      </c>
      <c r="BD94" s="282">
        <f t="shared" si="162"/>
        <v>94.43</v>
      </c>
      <c r="BE94" s="282">
        <f t="shared" si="163"/>
        <v>184.71</v>
      </c>
      <c r="BF94" s="283"/>
      <c r="BG94" s="281">
        <f t="shared" si="164"/>
        <v>119.28</v>
      </c>
      <c r="BH94" s="282">
        <f t="shared" si="165"/>
        <v>112.62</v>
      </c>
      <c r="BI94" s="282">
        <f t="shared" si="166"/>
        <v>139.12900000000002</v>
      </c>
      <c r="BJ94" s="283"/>
      <c r="BK94" s="281">
        <f t="shared" si="167"/>
        <v>97.38</v>
      </c>
      <c r="BL94" s="282">
        <f t="shared" si="168"/>
        <v>98.88</v>
      </c>
      <c r="BM94" s="282">
        <f t="shared" si="169"/>
        <v>80.319999999999993</v>
      </c>
      <c r="BN94" s="599"/>
      <c r="CG94" s="281">
        <f t="shared" si="170"/>
        <v>159.36000000000001</v>
      </c>
      <c r="CH94" s="281">
        <f t="shared" si="170"/>
        <v>233.71000000000004</v>
      </c>
      <c r="CI94" s="281">
        <f t="shared" si="170"/>
        <v>176.59000000000003</v>
      </c>
      <c r="CJ94" s="293">
        <f t="shared" si="170"/>
        <v>223.69000000000003</v>
      </c>
      <c r="CK94" s="281">
        <f t="shared" si="171"/>
        <v>373.44</v>
      </c>
      <c r="CL94" s="281">
        <f t="shared" si="171"/>
        <v>444.34000000000003</v>
      </c>
      <c r="CM94" s="281">
        <f t="shared" si="171"/>
        <v>346.06</v>
      </c>
      <c r="CN94" s="293">
        <f t="shared" si="171"/>
        <v>418.33000000000004</v>
      </c>
      <c r="CO94" s="281">
        <f t="shared" si="172"/>
        <v>634.70999999999992</v>
      </c>
      <c r="CP94" s="281">
        <f t="shared" si="172"/>
        <v>733.68</v>
      </c>
      <c r="CQ94" s="281">
        <f t="shared" si="172"/>
        <v>594.69999999999993</v>
      </c>
      <c r="CR94" s="293">
        <f t="shared" si="172"/>
        <v>574.33000000000004</v>
      </c>
      <c r="CS94" s="281">
        <f t="shared" si="173"/>
        <v>964.80999999999983</v>
      </c>
      <c r="CT94" s="281">
        <f t="shared" si="173"/>
        <v>1039.6099999999999</v>
      </c>
      <c r="CU94" s="281">
        <f t="shared" si="173"/>
        <v>998.85899999999992</v>
      </c>
      <c r="CV94" s="293">
        <f t="shared" si="173"/>
        <v>574.33000000000004</v>
      </c>
      <c r="CX94" s="316">
        <f t="shared" si="174"/>
        <v>210.63000000000002</v>
      </c>
      <c r="CY94" s="316">
        <f t="shared" si="174"/>
        <v>169.47000000000003</v>
      </c>
      <c r="CZ94" s="316">
        <f t="shared" si="174"/>
        <v>194.64000000000001</v>
      </c>
      <c r="DA94" s="318">
        <f t="shared" si="174"/>
        <v>162.33000000000001</v>
      </c>
      <c r="DB94" s="281">
        <f t="shared" si="175"/>
        <v>499.97</v>
      </c>
      <c r="DC94" s="281">
        <f t="shared" si="175"/>
        <v>418.11</v>
      </c>
      <c r="DD94" s="281">
        <f t="shared" si="175"/>
        <v>350.64</v>
      </c>
      <c r="DE94" s="293">
        <f t="shared" si="175"/>
        <v>339.24</v>
      </c>
      <c r="DF94" s="281">
        <f t="shared" si="176"/>
        <v>805.90000000000009</v>
      </c>
      <c r="DG94" s="281">
        <f t="shared" si="176"/>
        <v>822.26900000000001</v>
      </c>
      <c r="DH94" s="281">
        <f t="shared" si="176"/>
        <v>350.64</v>
      </c>
      <c r="DI94" s="293">
        <f t="shared" si="176"/>
        <v>555.9</v>
      </c>
      <c r="DJ94" s="281">
        <f t="shared" si="177"/>
        <v>805.90000000000009</v>
      </c>
      <c r="DK94" s="281">
        <f t="shared" si="177"/>
        <v>822.26900000000001</v>
      </c>
      <c r="DL94" s="281">
        <f t="shared" si="177"/>
        <v>350.64</v>
      </c>
      <c r="DM94" s="293">
        <f t="shared" si="177"/>
        <v>555.9</v>
      </c>
    </row>
    <row r="95" spans="1:117" ht="15" hidden="1" customHeight="1" x14ac:dyDescent="0.25">
      <c r="A95" s="521"/>
      <c r="B95" s="55">
        <v>14</v>
      </c>
      <c r="C95" s="368"/>
      <c r="D95" s="368"/>
      <c r="E95" s="368"/>
      <c r="F95" s="368">
        <v>41.6</v>
      </c>
      <c r="G95" s="281">
        <f t="shared" si="126"/>
        <v>65.56</v>
      </c>
      <c r="H95" s="282">
        <f t="shared" si="127"/>
        <v>42.41</v>
      </c>
      <c r="I95" s="282">
        <f t="shared" si="128"/>
        <v>52.870000000000005</v>
      </c>
      <c r="J95" s="283">
        <f t="shared" si="129"/>
        <v>46.739999999999995</v>
      </c>
      <c r="K95" s="281">
        <f t="shared" si="130"/>
        <v>34.21</v>
      </c>
      <c r="L95" s="282">
        <f t="shared" si="131"/>
        <v>45.37</v>
      </c>
      <c r="M95" s="282">
        <f t="shared" si="132"/>
        <v>38.82</v>
      </c>
      <c r="N95" s="283">
        <f t="shared" si="133"/>
        <v>39.24</v>
      </c>
      <c r="O95" s="281">
        <f t="shared" si="134"/>
        <v>29.24</v>
      </c>
      <c r="P95" s="282">
        <f t="shared" si="135"/>
        <v>58.05</v>
      </c>
      <c r="Q95" s="282">
        <f t="shared" si="136"/>
        <v>18.579999999999998</v>
      </c>
      <c r="R95" s="283">
        <f t="shared" si="137"/>
        <v>32.08</v>
      </c>
      <c r="W95" s="281">
        <f t="shared" si="138"/>
        <v>28.13</v>
      </c>
      <c r="X95" s="282">
        <f t="shared" si="139"/>
        <v>37.229999999999997</v>
      </c>
      <c r="Y95" s="282">
        <f t="shared" si="140"/>
        <v>48.01</v>
      </c>
      <c r="Z95" s="283">
        <f t="shared" si="141"/>
        <v>61.87</v>
      </c>
      <c r="AA95" s="281">
        <f t="shared" si="142"/>
        <v>86.62</v>
      </c>
      <c r="AB95" s="282">
        <f t="shared" si="143"/>
        <v>59.67</v>
      </c>
      <c r="AC95" s="282">
        <f t="shared" si="144"/>
        <v>71.760000000000005</v>
      </c>
      <c r="AD95" s="283">
        <f t="shared" si="145"/>
        <v>55.48</v>
      </c>
      <c r="AE95" s="281">
        <f t="shared" si="146"/>
        <v>44.92</v>
      </c>
      <c r="AF95" s="282">
        <f t="shared" si="147"/>
        <v>55.47</v>
      </c>
      <c r="AG95" s="282">
        <f t="shared" si="148"/>
        <v>41.28</v>
      </c>
      <c r="AH95" s="283">
        <f t="shared" si="149"/>
        <v>76.95</v>
      </c>
      <c r="AM95" s="281">
        <f t="shared" si="150"/>
        <v>62.59</v>
      </c>
      <c r="AN95" s="282">
        <f t="shared" si="151"/>
        <v>51.68</v>
      </c>
      <c r="AO95" s="282">
        <f t="shared" si="152"/>
        <v>53.03</v>
      </c>
      <c r="AP95" s="283">
        <f t="shared" si="153"/>
        <v>62.519999999999996</v>
      </c>
      <c r="AQ95" s="281">
        <f t="shared" si="154"/>
        <v>49.78</v>
      </c>
      <c r="AR95" s="282">
        <f t="shared" si="155"/>
        <v>58.789999999999992</v>
      </c>
      <c r="AS95" s="282">
        <f t="shared" si="156"/>
        <v>105.18</v>
      </c>
      <c r="AT95" s="283">
        <f t="shared" si="157"/>
        <v>58.45</v>
      </c>
      <c r="AU95" s="281">
        <f t="shared" si="158"/>
        <v>59</v>
      </c>
      <c r="AV95" s="282">
        <f t="shared" si="159"/>
        <v>79.78</v>
      </c>
      <c r="AW95" s="282">
        <f t="shared" si="160"/>
        <v>84.46</v>
      </c>
      <c r="AX95" s="283"/>
      <c r="BC95" s="281">
        <f t="shared" si="161"/>
        <v>61.58</v>
      </c>
      <c r="BD95" s="282">
        <f t="shared" si="162"/>
        <v>57.91</v>
      </c>
      <c r="BE95" s="282">
        <f t="shared" si="163"/>
        <v>96.19</v>
      </c>
      <c r="BF95" s="283"/>
      <c r="BG95" s="281">
        <f t="shared" si="164"/>
        <v>64.37</v>
      </c>
      <c r="BH95" s="282">
        <f t="shared" si="165"/>
        <v>77.38</v>
      </c>
      <c r="BI95" s="282">
        <f t="shared" si="166"/>
        <v>58.596000000000004</v>
      </c>
      <c r="BJ95" s="283"/>
      <c r="BK95" s="281">
        <f t="shared" si="167"/>
        <v>63.52</v>
      </c>
      <c r="BL95" s="282">
        <f t="shared" si="168"/>
        <v>63.4</v>
      </c>
      <c r="BM95" s="282">
        <f t="shared" si="169"/>
        <v>93.91</v>
      </c>
      <c r="BN95" s="599"/>
      <c r="CG95" s="281">
        <f t="shared" si="170"/>
        <v>129.01000000000002</v>
      </c>
      <c r="CH95" s="281">
        <f t="shared" si="170"/>
        <v>145.82999999999998</v>
      </c>
      <c r="CI95" s="281">
        <f t="shared" si="170"/>
        <v>110.27</v>
      </c>
      <c r="CJ95" s="293">
        <f t="shared" si="170"/>
        <v>118.05999999999999</v>
      </c>
      <c r="CK95" s="281">
        <f t="shared" si="171"/>
        <v>288.68</v>
      </c>
      <c r="CL95" s="281">
        <f t="shared" si="171"/>
        <v>298.19999999999993</v>
      </c>
      <c r="CM95" s="281">
        <f t="shared" si="171"/>
        <v>271.32000000000005</v>
      </c>
      <c r="CN95" s="293">
        <f t="shared" si="171"/>
        <v>312.35999999999996</v>
      </c>
      <c r="CO95" s="281">
        <f t="shared" si="172"/>
        <v>460.04999999999995</v>
      </c>
      <c r="CP95" s="281">
        <f t="shared" si="172"/>
        <v>488.44999999999993</v>
      </c>
      <c r="CQ95" s="281">
        <f t="shared" si="172"/>
        <v>513.99</v>
      </c>
      <c r="CR95" s="293">
        <f t="shared" si="172"/>
        <v>433.32999999999993</v>
      </c>
      <c r="CS95" s="281">
        <f t="shared" si="173"/>
        <v>649.52</v>
      </c>
      <c r="CT95" s="281">
        <f t="shared" si="173"/>
        <v>687.13999999999987</v>
      </c>
      <c r="CU95" s="281">
        <f t="shared" si="173"/>
        <v>762.68600000000004</v>
      </c>
      <c r="CV95" s="293">
        <f t="shared" si="173"/>
        <v>433.32999999999993</v>
      </c>
      <c r="CX95" s="316">
        <f t="shared" si="174"/>
        <v>152.37</v>
      </c>
      <c r="CY95" s="316">
        <f t="shared" si="174"/>
        <v>161.05000000000001</v>
      </c>
      <c r="CZ95" s="316">
        <f t="shared" si="174"/>
        <v>194.3</v>
      </c>
      <c r="DA95" s="318">
        <f t="shared" si="174"/>
        <v>131.54000000000002</v>
      </c>
      <c r="DB95" s="281">
        <f t="shared" si="175"/>
        <v>342.62</v>
      </c>
      <c r="DC95" s="281">
        <f t="shared" si="175"/>
        <v>403.71999999999997</v>
      </c>
      <c r="DD95" s="281">
        <f t="shared" si="175"/>
        <v>315.27</v>
      </c>
      <c r="DE95" s="293">
        <f t="shared" si="175"/>
        <v>240.32000000000002</v>
      </c>
      <c r="DF95" s="281">
        <f t="shared" si="176"/>
        <v>541.30999999999995</v>
      </c>
      <c r="DG95" s="281">
        <f t="shared" si="176"/>
        <v>652.41599999999994</v>
      </c>
      <c r="DH95" s="281">
        <f t="shared" si="176"/>
        <v>315.27</v>
      </c>
      <c r="DI95" s="293">
        <f t="shared" si="176"/>
        <v>368.21000000000004</v>
      </c>
      <c r="DJ95" s="281">
        <f t="shared" si="177"/>
        <v>541.30999999999995</v>
      </c>
      <c r="DK95" s="281">
        <f t="shared" si="177"/>
        <v>652.41599999999994</v>
      </c>
      <c r="DL95" s="281">
        <f t="shared" si="177"/>
        <v>315.27</v>
      </c>
      <c r="DM95" s="293">
        <f t="shared" si="177"/>
        <v>368.21000000000004</v>
      </c>
    </row>
    <row r="96" spans="1:117" ht="15" hidden="1" customHeight="1" x14ac:dyDescent="0.25">
      <c r="A96" s="521"/>
      <c r="B96" s="55">
        <v>15</v>
      </c>
      <c r="C96" s="368"/>
      <c r="D96" s="368"/>
      <c r="E96" s="368"/>
      <c r="F96" s="368">
        <v>49.3</v>
      </c>
      <c r="G96" s="281">
        <f t="shared" si="126"/>
        <v>25.64</v>
      </c>
      <c r="H96" s="282">
        <f t="shared" si="127"/>
        <v>69.069999999999993</v>
      </c>
      <c r="I96" s="282">
        <f t="shared" si="128"/>
        <v>37.380000000000003</v>
      </c>
      <c r="J96" s="283">
        <f t="shared" si="129"/>
        <v>58.17</v>
      </c>
      <c r="K96" s="281">
        <f t="shared" si="130"/>
        <v>19.36</v>
      </c>
      <c r="L96" s="282">
        <f t="shared" si="131"/>
        <v>56.76</v>
      </c>
      <c r="M96" s="282">
        <f t="shared" si="132"/>
        <v>16.95</v>
      </c>
      <c r="N96" s="283">
        <f t="shared" si="133"/>
        <v>59.539999999999992</v>
      </c>
      <c r="O96" s="281">
        <f t="shared" si="134"/>
        <v>36.07</v>
      </c>
      <c r="P96" s="282">
        <f t="shared" si="135"/>
        <v>60.91</v>
      </c>
      <c r="Q96" s="282">
        <f t="shared" si="136"/>
        <v>13.440000000000001</v>
      </c>
      <c r="R96" s="283">
        <f t="shared" si="137"/>
        <v>48.32</v>
      </c>
      <c r="W96" s="281">
        <f t="shared" si="138"/>
        <v>37</v>
      </c>
      <c r="X96" s="282">
        <f t="shared" si="139"/>
        <v>45.019999999999996</v>
      </c>
      <c r="Y96" s="282">
        <f t="shared" si="140"/>
        <v>14.53</v>
      </c>
      <c r="Z96" s="283">
        <f t="shared" si="141"/>
        <v>46.6</v>
      </c>
      <c r="AA96" s="281">
        <f t="shared" si="142"/>
        <v>48.989999999999995</v>
      </c>
      <c r="AB96" s="282">
        <f t="shared" si="143"/>
        <v>52.25</v>
      </c>
      <c r="AC96" s="282">
        <f t="shared" si="144"/>
        <v>32.5</v>
      </c>
      <c r="AD96" s="283">
        <f t="shared" si="145"/>
        <v>59.36</v>
      </c>
      <c r="AE96" s="281">
        <f t="shared" si="146"/>
        <v>81.740000000000009</v>
      </c>
      <c r="AF96" s="282">
        <f t="shared" si="147"/>
        <v>59.48</v>
      </c>
      <c r="AG96" s="282">
        <f t="shared" si="148"/>
        <v>49.5</v>
      </c>
      <c r="AH96" s="283">
        <f t="shared" si="149"/>
        <v>54.86</v>
      </c>
      <c r="AM96" s="281">
        <f t="shared" si="150"/>
        <v>60.22</v>
      </c>
      <c r="AN96" s="282">
        <f t="shared" si="151"/>
        <v>69.97999999999999</v>
      </c>
      <c r="AO96" s="282">
        <f t="shared" si="152"/>
        <v>34.08</v>
      </c>
      <c r="AP96" s="283">
        <f t="shared" si="153"/>
        <v>51.02</v>
      </c>
      <c r="AQ96" s="281">
        <f t="shared" si="154"/>
        <v>72.84</v>
      </c>
      <c r="AR96" s="282">
        <f t="shared" si="155"/>
        <v>65.38</v>
      </c>
      <c r="AS96" s="282">
        <f t="shared" si="156"/>
        <v>96.44</v>
      </c>
      <c r="AT96" s="283">
        <f t="shared" si="157"/>
        <v>51.72</v>
      </c>
      <c r="AU96" s="281">
        <f t="shared" si="158"/>
        <v>50.53</v>
      </c>
      <c r="AV96" s="282">
        <f t="shared" si="159"/>
        <v>69.63</v>
      </c>
      <c r="AW96" s="282">
        <f t="shared" si="160"/>
        <v>79.52</v>
      </c>
      <c r="AX96" s="283"/>
      <c r="BC96" s="281">
        <f t="shared" si="161"/>
        <v>110.6</v>
      </c>
      <c r="BD96" s="282">
        <f t="shared" si="162"/>
        <v>75.489999999999995</v>
      </c>
      <c r="BE96" s="282">
        <f t="shared" si="163"/>
        <v>107.01999999999998</v>
      </c>
      <c r="BF96" s="283"/>
      <c r="BG96" s="281">
        <f t="shared" si="164"/>
        <v>61.53</v>
      </c>
      <c r="BH96" s="282">
        <f t="shared" si="165"/>
        <v>71.150000000000006</v>
      </c>
      <c r="BI96" s="282">
        <f t="shared" si="166"/>
        <v>77.91</v>
      </c>
      <c r="BJ96" s="283"/>
      <c r="BK96" s="281">
        <f t="shared" si="167"/>
        <v>82.2</v>
      </c>
      <c r="BL96" s="282">
        <f t="shared" si="168"/>
        <v>58.239999999999995</v>
      </c>
      <c r="BM96" s="282">
        <f t="shared" si="169"/>
        <v>60.49</v>
      </c>
      <c r="BN96" s="599"/>
      <c r="CG96" s="281">
        <f t="shared" si="170"/>
        <v>81.069999999999993</v>
      </c>
      <c r="CH96" s="281">
        <f t="shared" si="170"/>
        <v>186.73999999999998</v>
      </c>
      <c r="CI96" s="281">
        <f t="shared" si="170"/>
        <v>67.77</v>
      </c>
      <c r="CJ96" s="293">
        <f t="shared" si="170"/>
        <v>166.03</v>
      </c>
      <c r="CK96" s="281">
        <f t="shared" si="171"/>
        <v>248.8</v>
      </c>
      <c r="CL96" s="281">
        <f t="shared" si="171"/>
        <v>343.49</v>
      </c>
      <c r="CM96" s="281">
        <f t="shared" si="171"/>
        <v>164.3</v>
      </c>
      <c r="CN96" s="293">
        <f t="shared" si="171"/>
        <v>326.85000000000002</v>
      </c>
      <c r="CO96" s="281">
        <f t="shared" si="172"/>
        <v>432.39</v>
      </c>
      <c r="CP96" s="281">
        <f t="shared" si="172"/>
        <v>548.48</v>
      </c>
      <c r="CQ96" s="281">
        <f t="shared" si="172"/>
        <v>374.34</v>
      </c>
      <c r="CR96" s="293">
        <f t="shared" si="172"/>
        <v>429.59000000000003</v>
      </c>
      <c r="CS96" s="281">
        <f t="shared" si="173"/>
        <v>686.72</v>
      </c>
      <c r="CT96" s="281">
        <f t="shared" si="173"/>
        <v>753.36</v>
      </c>
      <c r="CU96" s="281">
        <f t="shared" si="173"/>
        <v>619.76</v>
      </c>
      <c r="CV96" s="293">
        <f t="shared" si="173"/>
        <v>429.59000000000003</v>
      </c>
      <c r="CX96" s="316">
        <f t="shared" si="174"/>
        <v>156.75</v>
      </c>
      <c r="CY96" s="316">
        <f t="shared" si="174"/>
        <v>96.53</v>
      </c>
      <c r="CZ96" s="316">
        <f t="shared" si="174"/>
        <v>160.82</v>
      </c>
      <c r="DA96" s="318">
        <f t="shared" si="174"/>
        <v>130.73000000000002</v>
      </c>
      <c r="DB96" s="281">
        <f t="shared" si="175"/>
        <v>361.74</v>
      </c>
      <c r="DC96" s="281">
        <f t="shared" si="175"/>
        <v>306.57</v>
      </c>
      <c r="DD96" s="281">
        <f t="shared" si="175"/>
        <v>263.56</v>
      </c>
      <c r="DE96" s="293">
        <f t="shared" si="175"/>
        <v>254.10000000000002</v>
      </c>
      <c r="DF96" s="281">
        <f t="shared" si="176"/>
        <v>566.62</v>
      </c>
      <c r="DG96" s="281">
        <f t="shared" si="176"/>
        <v>551.99</v>
      </c>
      <c r="DH96" s="281">
        <f t="shared" si="176"/>
        <v>263.56</v>
      </c>
      <c r="DI96" s="293">
        <f t="shared" si="176"/>
        <v>397.83</v>
      </c>
      <c r="DJ96" s="281">
        <f t="shared" si="177"/>
        <v>566.62</v>
      </c>
      <c r="DK96" s="281">
        <f t="shared" si="177"/>
        <v>551.99</v>
      </c>
      <c r="DL96" s="281">
        <f t="shared" si="177"/>
        <v>263.56</v>
      </c>
      <c r="DM96" s="293">
        <f t="shared" si="177"/>
        <v>397.83</v>
      </c>
    </row>
    <row r="97" spans="1:117" ht="15" hidden="1" customHeight="1" x14ac:dyDescent="0.25">
      <c r="A97" s="521"/>
      <c r="B97" s="55">
        <v>16</v>
      </c>
      <c r="C97" s="368"/>
      <c r="D97" s="368"/>
      <c r="E97" s="368"/>
      <c r="F97" s="368">
        <v>53.2</v>
      </c>
      <c r="G97" s="281">
        <f t="shared" si="126"/>
        <v>46.480000000000004</v>
      </c>
      <c r="H97" s="282">
        <f t="shared" si="127"/>
        <v>65.75</v>
      </c>
      <c r="I97" s="282">
        <f t="shared" si="128"/>
        <v>48.33</v>
      </c>
      <c r="J97" s="283">
        <f t="shared" si="129"/>
        <v>42.08</v>
      </c>
      <c r="K97" s="281">
        <f t="shared" si="130"/>
        <v>47.370000000000005</v>
      </c>
      <c r="L97" s="282">
        <f t="shared" si="131"/>
        <v>82.25</v>
      </c>
      <c r="M97" s="282">
        <f t="shared" si="132"/>
        <v>34.19</v>
      </c>
      <c r="N97" s="283">
        <f t="shared" si="133"/>
        <v>65.67</v>
      </c>
      <c r="O97" s="281">
        <f t="shared" si="134"/>
        <v>44.989999999999995</v>
      </c>
      <c r="P97" s="282">
        <f t="shared" si="135"/>
        <v>75.31</v>
      </c>
      <c r="Q97" s="282">
        <f t="shared" si="136"/>
        <v>23.630000000000003</v>
      </c>
      <c r="R97" s="283">
        <f t="shared" si="137"/>
        <v>62.629999999999995</v>
      </c>
      <c r="W97" s="281">
        <f t="shared" si="138"/>
        <v>51.67</v>
      </c>
      <c r="X97" s="282">
        <f t="shared" si="139"/>
        <v>49.5</v>
      </c>
      <c r="Y97" s="282">
        <f t="shared" si="140"/>
        <v>55.41</v>
      </c>
      <c r="Z97" s="283">
        <f t="shared" si="141"/>
        <v>59.59</v>
      </c>
      <c r="AA97" s="281">
        <f t="shared" si="142"/>
        <v>71.490000000000009</v>
      </c>
      <c r="AB97" s="282">
        <f t="shared" si="143"/>
        <v>67.050000000000011</v>
      </c>
      <c r="AC97" s="282">
        <f t="shared" si="144"/>
        <v>40.53</v>
      </c>
      <c r="AD97" s="283">
        <f t="shared" si="145"/>
        <v>73.150000000000006</v>
      </c>
      <c r="AE97" s="281">
        <f t="shared" si="146"/>
        <v>112.24000000000001</v>
      </c>
      <c r="AF97" s="282">
        <f t="shared" si="147"/>
        <v>64.47</v>
      </c>
      <c r="AG97" s="282">
        <f t="shared" si="148"/>
        <v>68.680000000000007</v>
      </c>
      <c r="AH97" s="283">
        <f t="shared" si="149"/>
        <v>69.87</v>
      </c>
      <c r="AM97" s="281">
        <f t="shared" si="150"/>
        <v>91.59</v>
      </c>
      <c r="AN97" s="282">
        <f t="shared" si="151"/>
        <v>103.61</v>
      </c>
      <c r="AO97" s="282">
        <f t="shared" si="152"/>
        <v>68.210000000000008</v>
      </c>
      <c r="AP97" s="283">
        <f t="shared" si="153"/>
        <v>76.2</v>
      </c>
      <c r="AQ97" s="281">
        <f t="shared" si="154"/>
        <v>105.17</v>
      </c>
      <c r="AR97" s="282">
        <f t="shared" si="155"/>
        <v>93.17</v>
      </c>
      <c r="AS97" s="282">
        <f t="shared" si="156"/>
        <v>115.72</v>
      </c>
      <c r="AT97" s="283">
        <f t="shared" si="157"/>
        <v>78.81</v>
      </c>
      <c r="AU97" s="281">
        <f t="shared" si="158"/>
        <v>103.51</v>
      </c>
      <c r="AV97" s="282">
        <f t="shared" si="159"/>
        <v>91.37</v>
      </c>
      <c r="AW97" s="282">
        <f t="shared" si="160"/>
        <v>88.25</v>
      </c>
      <c r="AX97" s="283"/>
      <c r="BC97" s="281">
        <f t="shared" si="161"/>
        <v>118.93</v>
      </c>
      <c r="BD97" s="282">
        <f t="shared" si="162"/>
        <v>84.15</v>
      </c>
      <c r="BE97" s="282">
        <f t="shared" si="163"/>
        <v>115.61</v>
      </c>
      <c r="BF97" s="283"/>
      <c r="BG97" s="281">
        <f t="shared" si="164"/>
        <v>81.400000000000006</v>
      </c>
      <c r="BH97" s="282">
        <f t="shared" si="165"/>
        <v>83.330000000000013</v>
      </c>
      <c r="BI97" s="282">
        <f t="shared" si="166"/>
        <v>91.01</v>
      </c>
      <c r="BJ97" s="283"/>
      <c r="BK97" s="281">
        <f t="shared" si="167"/>
        <v>96.32</v>
      </c>
      <c r="BL97" s="282">
        <f t="shared" si="168"/>
        <v>65.490000000000009</v>
      </c>
      <c r="BM97" s="282">
        <f t="shared" si="169"/>
        <v>87.66</v>
      </c>
      <c r="BN97" s="599"/>
      <c r="CG97" s="281">
        <f t="shared" si="170"/>
        <v>138.84</v>
      </c>
      <c r="CH97" s="281">
        <f t="shared" si="170"/>
        <v>223.31</v>
      </c>
      <c r="CI97" s="281">
        <f t="shared" si="170"/>
        <v>106.15</v>
      </c>
      <c r="CJ97" s="293">
        <f t="shared" si="170"/>
        <v>170.38</v>
      </c>
      <c r="CK97" s="281">
        <f t="shared" si="171"/>
        <v>374.24</v>
      </c>
      <c r="CL97" s="281">
        <f t="shared" si="171"/>
        <v>404.33000000000004</v>
      </c>
      <c r="CM97" s="281">
        <f t="shared" si="171"/>
        <v>270.77</v>
      </c>
      <c r="CN97" s="293">
        <f t="shared" si="171"/>
        <v>372.99</v>
      </c>
      <c r="CO97" s="281">
        <f t="shared" si="172"/>
        <v>674.51</v>
      </c>
      <c r="CP97" s="281">
        <f t="shared" si="172"/>
        <v>692.48</v>
      </c>
      <c r="CQ97" s="281">
        <f t="shared" si="172"/>
        <v>542.95000000000005</v>
      </c>
      <c r="CR97" s="293">
        <f t="shared" si="172"/>
        <v>528</v>
      </c>
      <c r="CS97" s="281">
        <f t="shared" si="173"/>
        <v>971.16000000000008</v>
      </c>
      <c r="CT97" s="281">
        <f t="shared" si="173"/>
        <v>925.45</v>
      </c>
      <c r="CU97" s="281">
        <f t="shared" si="173"/>
        <v>837.23</v>
      </c>
      <c r="CV97" s="293">
        <f t="shared" si="173"/>
        <v>528</v>
      </c>
      <c r="CX97" s="316">
        <f t="shared" si="174"/>
        <v>181.02</v>
      </c>
      <c r="CY97" s="316">
        <f t="shared" si="174"/>
        <v>164.62</v>
      </c>
      <c r="CZ97" s="316">
        <f t="shared" si="174"/>
        <v>202.61</v>
      </c>
      <c r="DA97" s="318">
        <f t="shared" si="174"/>
        <v>183.73000000000002</v>
      </c>
      <c r="DB97" s="281">
        <f t="shared" si="175"/>
        <v>469.17</v>
      </c>
      <c r="DC97" s="281">
        <f t="shared" si="175"/>
        <v>436.8</v>
      </c>
      <c r="DD97" s="281">
        <f t="shared" si="175"/>
        <v>357.62</v>
      </c>
      <c r="DE97" s="293">
        <f t="shared" si="175"/>
        <v>392.41</v>
      </c>
      <c r="DF97" s="281">
        <f t="shared" si="176"/>
        <v>702.1400000000001</v>
      </c>
      <c r="DG97" s="281">
        <f t="shared" si="176"/>
        <v>731.07999999999993</v>
      </c>
      <c r="DH97" s="281">
        <f t="shared" si="176"/>
        <v>357.62</v>
      </c>
      <c r="DI97" s="293">
        <f t="shared" si="176"/>
        <v>570.13000000000011</v>
      </c>
      <c r="DJ97" s="281">
        <f t="shared" si="177"/>
        <v>702.1400000000001</v>
      </c>
      <c r="DK97" s="281">
        <f t="shared" si="177"/>
        <v>731.07999999999993</v>
      </c>
      <c r="DL97" s="281">
        <f t="shared" si="177"/>
        <v>357.62</v>
      </c>
      <c r="DM97" s="293">
        <f t="shared" si="177"/>
        <v>570.13000000000011</v>
      </c>
    </row>
    <row r="98" spans="1:117" ht="15" hidden="1" customHeight="1" x14ac:dyDescent="0.25">
      <c r="A98" s="521"/>
      <c r="B98" s="55">
        <v>17</v>
      </c>
      <c r="C98" s="368"/>
      <c r="D98" s="368"/>
      <c r="E98" s="368"/>
      <c r="F98" s="368">
        <v>45.7</v>
      </c>
      <c r="G98" s="281">
        <f t="shared" si="126"/>
        <v>36.549999999999997</v>
      </c>
      <c r="H98" s="282">
        <f t="shared" si="127"/>
        <v>48.370000000000005</v>
      </c>
      <c r="I98" s="282">
        <f t="shared" si="128"/>
        <v>45.769999999999996</v>
      </c>
      <c r="J98" s="283">
        <f t="shared" si="129"/>
        <v>35.18</v>
      </c>
      <c r="K98" s="281">
        <f t="shared" si="130"/>
        <v>44.16</v>
      </c>
      <c r="L98" s="282">
        <f t="shared" si="131"/>
        <v>32.46</v>
      </c>
      <c r="M98" s="282">
        <f t="shared" si="132"/>
        <v>26.55</v>
      </c>
      <c r="N98" s="283">
        <f t="shared" si="133"/>
        <v>78.650000000000006</v>
      </c>
      <c r="O98" s="281">
        <f t="shared" si="134"/>
        <v>40.82</v>
      </c>
      <c r="P98" s="282">
        <f t="shared" si="135"/>
        <v>56.51</v>
      </c>
      <c r="Q98" s="282">
        <f t="shared" si="136"/>
        <v>21.46</v>
      </c>
      <c r="R98" s="283">
        <f t="shared" si="137"/>
        <v>56.2</v>
      </c>
      <c r="W98" s="281">
        <f t="shared" si="138"/>
        <v>51.540000000000006</v>
      </c>
      <c r="X98" s="282">
        <f t="shared" si="139"/>
        <v>46.55</v>
      </c>
      <c r="Y98" s="282">
        <f t="shared" si="140"/>
        <v>57.06</v>
      </c>
      <c r="Z98" s="283">
        <f t="shared" si="141"/>
        <v>48.38</v>
      </c>
      <c r="AA98" s="281">
        <f t="shared" si="142"/>
        <v>74.449999999999989</v>
      </c>
      <c r="AB98" s="282">
        <f t="shared" si="143"/>
        <v>63.730000000000004</v>
      </c>
      <c r="AC98" s="282">
        <f t="shared" si="144"/>
        <v>57.019999999999996</v>
      </c>
      <c r="AD98" s="283">
        <f t="shared" si="145"/>
        <v>62.33</v>
      </c>
      <c r="AE98" s="281">
        <f t="shared" si="146"/>
        <v>102.15</v>
      </c>
      <c r="AF98" s="282">
        <f t="shared" si="147"/>
        <v>63.400000000000006</v>
      </c>
      <c r="AG98" s="282">
        <f t="shared" si="148"/>
        <v>59.54</v>
      </c>
      <c r="AH98" s="283">
        <f t="shared" si="149"/>
        <v>71.84</v>
      </c>
      <c r="AM98" s="281">
        <f t="shared" si="150"/>
        <v>79.64</v>
      </c>
      <c r="AN98" s="282">
        <f t="shared" si="151"/>
        <v>66.400000000000006</v>
      </c>
      <c r="AO98" s="282">
        <f t="shared" si="152"/>
        <v>62.67</v>
      </c>
      <c r="AP98" s="283">
        <f t="shared" si="153"/>
        <v>75.58</v>
      </c>
      <c r="AQ98" s="281">
        <f t="shared" si="154"/>
        <v>130.93</v>
      </c>
      <c r="AR98" s="282">
        <f t="shared" si="155"/>
        <v>80.08</v>
      </c>
      <c r="AS98" s="282">
        <f t="shared" si="156"/>
        <v>114.07000000000001</v>
      </c>
      <c r="AT98" s="283">
        <f t="shared" si="157"/>
        <v>67.88</v>
      </c>
      <c r="AU98" s="281">
        <f t="shared" si="158"/>
        <v>78.13</v>
      </c>
      <c r="AV98" s="282">
        <f t="shared" si="159"/>
        <v>79.959999999999994</v>
      </c>
      <c r="AW98" s="282">
        <f t="shared" si="160"/>
        <v>78.14</v>
      </c>
      <c r="AX98" s="283"/>
      <c r="BC98" s="281">
        <f t="shared" si="161"/>
        <v>89.15</v>
      </c>
      <c r="BD98" s="282">
        <f t="shared" si="162"/>
        <v>77.740000000000009</v>
      </c>
      <c r="BE98" s="282">
        <f t="shared" si="163"/>
        <v>120.67</v>
      </c>
      <c r="BF98" s="283"/>
      <c r="BG98" s="281">
        <f t="shared" si="164"/>
        <v>60.17</v>
      </c>
      <c r="BH98" s="282">
        <f t="shared" si="165"/>
        <v>69.039999999999992</v>
      </c>
      <c r="BI98" s="282">
        <f t="shared" si="166"/>
        <v>74.709999999999994</v>
      </c>
      <c r="BJ98" s="283"/>
      <c r="BK98" s="281">
        <f t="shared" si="167"/>
        <v>83.35</v>
      </c>
      <c r="BL98" s="282">
        <f t="shared" si="168"/>
        <v>52.19</v>
      </c>
      <c r="BM98" s="282">
        <f t="shared" si="169"/>
        <v>96.89</v>
      </c>
      <c r="BN98" s="599"/>
      <c r="CG98" s="281">
        <f t="shared" si="170"/>
        <v>121.53</v>
      </c>
      <c r="CH98" s="281">
        <f t="shared" si="170"/>
        <v>137.34</v>
      </c>
      <c r="CI98" s="281">
        <f t="shared" si="170"/>
        <v>93.78</v>
      </c>
      <c r="CJ98" s="293">
        <f t="shared" si="170"/>
        <v>170.03000000000003</v>
      </c>
      <c r="CK98" s="281">
        <f t="shared" si="171"/>
        <v>349.66999999999996</v>
      </c>
      <c r="CL98" s="281">
        <f t="shared" si="171"/>
        <v>311.02</v>
      </c>
      <c r="CM98" s="281">
        <f t="shared" si="171"/>
        <v>267.40000000000003</v>
      </c>
      <c r="CN98" s="293">
        <f t="shared" si="171"/>
        <v>352.58000000000004</v>
      </c>
      <c r="CO98" s="281">
        <f t="shared" si="172"/>
        <v>638.37</v>
      </c>
      <c r="CP98" s="281">
        <f t="shared" si="172"/>
        <v>537.45999999999992</v>
      </c>
      <c r="CQ98" s="281">
        <f t="shared" si="172"/>
        <v>522.28000000000009</v>
      </c>
      <c r="CR98" s="293">
        <f t="shared" si="172"/>
        <v>496.04</v>
      </c>
      <c r="CS98" s="281">
        <f t="shared" si="173"/>
        <v>871.04</v>
      </c>
      <c r="CT98" s="281">
        <f t="shared" si="173"/>
        <v>736.42999999999984</v>
      </c>
      <c r="CU98" s="281">
        <f t="shared" si="173"/>
        <v>814.55000000000007</v>
      </c>
      <c r="CV98" s="293">
        <f t="shared" si="173"/>
        <v>496.04</v>
      </c>
      <c r="CX98" s="316">
        <f t="shared" si="174"/>
        <v>173.68</v>
      </c>
      <c r="CY98" s="316">
        <f t="shared" si="174"/>
        <v>173.62</v>
      </c>
      <c r="CZ98" s="316">
        <f t="shared" si="174"/>
        <v>182.55</v>
      </c>
      <c r="DA98" s="318">
        <f t="shared" si="174"/>
        <v>176.6</v>
      </c>
      <c r="DB98" s="281">
        <f t="shared" si="175"/>
        <v>400.12</v>
      </c>
      <c r="DC98" s="281">
        <f t="shared" si="175"/>
        <v>428.5</v>
      </c>
      <c r="DD98" s="281">
        <f t="shared" si="175"/>
        <v>326.01</v>
      </c>
      <c r="DE98" s="293">
        <f t="shared" si="175"/>
        <v>385.65999999999997</v>
      </c>
      <c r="DF98" s="281">
        <f t="shared" si="176"/>
        <v>599.08999999999992</v>
      </c>
      <c r="DG98" s="281">
        <f t="shared" si="176"/>
        <v>720.77</v>
      </c>
      <c r="DH98" s="281">
        <f t="shared" si="176"/>
        <v>326.01</v>
      </c>
      <c r="DI98" s="293">
        <f t="shared" si="176"/>
        <v>529.17999999999995</v>
      </c>
      <c r="DJ98" s="281">
        <f t="shared" si="177"/>
        <v>599.08999999999992</v>
      </c>
      <c r="DK98" s="281">
        <f t="shared" si="177"/>
        <v>720.77</v>
      </c>
      <c r="DL98" s="281">
        <f t="shared" si="177"/>
        <v>326.01</v>
      </c>
      <c r="DM98" s="293">
        <f t="shared" si="177"/>
        <v>529.17999999999995</v>
      </c>
    </row>
    <row r="99" spans="1:117" ht="15.75" hidden="1" customHeight="1" thickBot="1" x14ac:dyDescent="0.3">
      <c r="A99" s="522"/>
      <c r="B99" s="88">
        <v>18</v>
      </c>
      <c r="C99" s="371"/>
      <c r="D99" s="371"/>
      <c r="E99" s="371"/>
      <c r="F99" s="369">
        <v>40.799999999999997</v>
      </c>
      <c r="G99" s="281">
        <f t="shared" si="126"/>
        <v>49.489999999999995</v>
      </c>
      <c r="H99" s="282">
        <f t="shared" si="127"/>
        <v>81.759999999999991</v>
      </c>
      <c r="I99" s="282">
        <f t="shared" si="128"/>
        <v>58.010000000000005</v>
      </c>
      <c r="J99" s="283">
        <f t="shared" si="129"/>
        <v>54.83</v>
      </c>
      <c r="K99" s="281">
        <f t="shared" si="130"/>
        <v>30.770000000000003</v>
      </c>
      <c r="L99" s="282">
        <f t="shared" si="131"/>
        <v>49.31</v>
      </c>
      <c r="M99" s="282">
        <f t="shared" si="132"/>
        <v>38.22</v>
      </c>
      <c r="N99" s="283">
        <f t="shared" si="133"/>
        <v>52.43</v>
      </c>
      <c r="O99" s="281">
        <f t="shared" si="134"/>
        <v>41.150000000000006</v>
      </c>
      <c r="P99" s="282">
        <f t="shared" si="135"/>
        <v>30.29</v>
      </c>
      <c r="Q99" s="282">
        <f t="shared" si="136"/>
        <v>30.490000000000002</v>
      </c>
      <c r="R99" s="283">
        <f t="shared" si="137"/>
        <v>45.2</v>
      </c>
      <c r="W99" s="281">
        <f t="shared" si="138"/>
        <v>37.89</v>
      </c>
      <c r="X99" s="282">
        <f t="shared" si="139"/>
        <v>64.37</v>
      </c>
      <c r="Y99" s="282">
        <f t="shared" si="140"/>
        <v>55.14</v>
      </c>
      <c r="Z99" s="283">
        <f t="shared" si="141"/>
        <v>65.709999999999994</v>
      </c>
      <c r="AA99" s="281">
        <f t="shared" si="142"/>
        <v>60.69</v>
      </c>
      <c r="AB99" s="282">
        <f t="shared" si="143"/>
        <v>43.16</v>
      </c>
      <c r="AC99" s="282">
        <f t="shared" si="144"/>
        <v>46.07</v>
      </c>
      <c r="AD99" s="283">
        <f t="shared" si="145"/>
        <v>60.910000000000004</v>
      </c>
      <c r="AE99" s="281">
        <f t="shared" si="146"/>
        <v>81.960000000000008</v>
      </c>
      <c r="AF99" s="282">
        <f t="shared" si="147"/>
        <v>58.78</v>
      </c>
      <c r="AG99" s="282">
        <f t="shared" si="148"/>
        <v>40.53</v>
      </c>
      <c r="AH99" s="283">
        <f t="shared" si="149"/>
        <v>53.150000000000006</v>
      </c>
      <c r="AM99" s="281">
        <f t="shared" si="150"/>
        <v>47.95</v>
      </c>
      <c r="AN99" s="282">
        <f t="shared" si="151"/>
        <v>62.41</v>
      </c>
      <c r="AO99" s="282">
        <f t="shared" si="152"/>
        <v>59.76</v>
      </c>
      <c r="AP99" s="283">
        <f t="shared" si="153"/>
        <v>69.66</v>
      </c>
      <c r="AQ99" s="281">
        <f t="shared" si="154"/>
        <v>65.5</v>
      </c>
      <c r="AR99" s="282">
        <f t="shared" si="155"/>
        <v>55.11</v>
      </c>
      <c r="AS99" s="282">
        <f t="shared" si="156"/>
        <v>64.100000000000009</v>
      </c>
      <c r="AT99" s="283">
        <f t="shared" si="157"/>
        <v>63.809999999999995</v>
      </c>
      <c r="AU99" s="281">
        <f t="shared" si="158"/>
        <v>71.73</v>
      </c>
      <c r="AV99" s="282">
        <f t="shared" si="159"/>
        <v>68.87</v>
      </c>
      <c r="AW99" s="282">
        <f t="shared" si="160"/>
        <v>79.039999999999992</v>
      </c>
      <c r="AX99" s="283"/>
      <c r="BC99" s="281">
        <f t="shared" si="161"/>
        <v>66.47</v>
      </c>
      <c r="BD99" s="282">
        <f t="shared" si="162"/>
        <v>81.789999999999992</v>
      </c>
      <c r="BE99" s="282">
        <f t="shared" si="163"/>
        <v>108.66</v>
      </c>
      <c r="BF99" s="283"/>
      <c r="BG99" s="281">
        <f t="shared" si="164"/>
        <v>87.02</v>
      </c>
      <c r="BH99" s="282">
        <f t="shared" si="165"/>
        <v>58.15</v>
      </c>
      <c r="BI99" s="282">
        <f t="shared" si="166"/>
        <v>54.73</v>
      </c>
      <c r="BJ99" s="283"/>
      <c r="BK99" s="281">
        <f t="shared" si="167"/>
        <v>67.2</v>
      </c>
      <c r="BL99" s="282">
        <f t="shared" si="168"/>
        <v>60.239999999999995</v>
      </c>
      <c r="BM99" s="282">
        <f t="shared" si="169"/>
        <v>102.33</v>
      </c>
      <c r="BN99" s="599"/>
      <c r="CG99" s="281">
        <f t="shared" si="170"/>
        <v>121.41</v>
      </c>
      <c r="CH99" s="281">
        <f t="shared" si="170"/>
        <v>161.35999999999999</v>
      </c>
      <c r="CI99" s="281">
        <f t="shared" si="170"/>
        <v>126.72</v>
      </c>
      <c r="CJ99" s="293">
        <f t="shared" si="170"/>
        <v>152.45999999999998</v>
      </c>
      <c r="CK99" s="281">
        <f t="shared" si="171"/>
        <v>301.95000000000005</v>
      </c>
      <c r="CL99" s="281">
        <f t="shared" si="171"/>
        <v>327.66999999999996</v>
      </c>
      <c r="CM99" s="281">
        <f t="shared" si="171"/>
        <v>268.46000000000004</v>
      </c>
      <c r="CN99" s="293">
        <f t="shared" si="171"/>
        <v>332.23</v>
      </c>
      <c r="CO99" s="281">
        <f t="shared" si="172"/>
        <v>487.13000000000005</v>
      </c>
      <c r="CP99" s="281">
        <f t="shared" si="172"/>
        <v>514.05999999999995</v>
      </c>
      <c r="CQ99" s="281">
        <f t="shared" si="172"/>
        <v>471.36</v>
      </c>
      <c r="CR99" s="293">
        <f t="shared" si="172"/>
        <v>465.7</v>
      </c>
      <c r="CS99" s="281">
        <f t="shared" si="173"/>
        <v>707.82</v>
      </c>
      <c r="CT99" s="281">
        <f t="shared" si="173"/>
        <v>714.2399999999999</v>
      </c>
      <c r="CU99" s="281">
        <f t="shared" si="173"/>
        <v>737.08</v>
      </c>
      <c r="CV99" s="293">
        <f t="shared" si="173"/>
        <v>465.7</v>
      </c>
      <c r="CX99" s="316">
        <f t="shared" si="174"/>
        <v>166.31</v>
      </c>
      <c r="CY99" s="316">
        <f t="shared" si="174"/>
        <v>141.74</v>
      </c>
      <c r="CZ99" s="316">
        <f t="shared" si="174"/>
        <v>179.77</v>
      </c>
      <c r="DA99" s="318">
        <f t="shared" si="174"/>
        <v>142.65</v>
      </c>
      <c r="DB99" s="281">
        <f t="shared" si="175"/>
        <v>352.7</v>
      </c>
      <c r="DC99" s="281">
        <f t="shared" si="175"/>
        <v>344.64</v>
      </c>
      <c r="DD99" s="281">
        <f t="shared" si="175"/>
        <v>313.24</v>
      </c>
      <c r="DE99" s="293">
        <f t="shared" si="175"/>
        <v>279.88</v>
      </c>
      <c r="DF99" s="281">
        <f t="shared" si="176"/>
        <v>552.88</v>
      </c>
      <c r="DG99" s="281">
        <f t="shared" si="176"/>
        <v>610.36</v>
      </c>
      <c r="DH99" s="281">
        <f t="shared" si="176"/>
        <v>313.24</v>
      </c>
      <c r="DI99" s="293">
        <f t="shared" si="176"/>
        <v>434.09999999999997</v>
      </c>
      <c r="DJ99" s="281">
        <f t="shared" si="177"/>
        <v>552.88</v>
      </c>
      <c r="DK99" s="281">
        <f t="shared" si="177"/>
        <v>610.36</v>
      </c>
      <c r="DL99" s="281">
        <f t="shared" si="177"/>
        <v>313.24</v>
      </c>
      <c r="DM99" s="293">
        <f t="shared" si="177"/>
        <v>434.09999999999997</v>
      </c>
    </row>
    <row r="100" spans="1:117" ht="15" hidden="1" customHeight="1" x14ac:dyDescent="0.25">
      <c r="A100" s="520" t="s">
        <v>23</v>
      </c>
      <c r="B100" s="23">
        <v>19</v>
      </c>
      <c r="C100" s="370"/>
      <c r="D100" s="370"/>
      <c r="E100" s="370"/>
      <c r="F100" s="370">
        <v>50.62</v>
      </c>
      <c r="G100" s="281">
        <f t="shared" si="126"/>
        <v>48.099999999999994</v>
      </c>
      <c r="H100" s="282">
        <f t="shared" si="127"/>
        <v>54.7</v>
      </c>
      <c r="I100" s="282">
        <f t="shared" si="128"/>
        <v>48.26</v>
      </c>
      <c r="J100" s="283">
        <f t="shared" si="129"/>
        <v>55.03</v>
      </c>
      <c r="K100" s="281">
        <f t="shared" si="130"/>
        <v>35.049999999999997</v>
      </c>
      <c r="L100" s="282">
        <f t="shared" si="131"/>
        <v>57.463000000000001</v>
      </c>
      <c r="M100" s="282">
        <f t="shared" si="132"/>
        <v>26.060000000000002</v>
      </c>
      <c r="N100" s="283">
        <f t="shared" si="133"/>
        <v>63.99</v>
      </c>
      <c r="O100" s="281">
        <f t="shared" si="134"/>
        <v>47.3</v>
      </c>
      <c r="P100" s="282">
        <f t="shared" si="135"/>
        <v>42.13</v>
      </c>
      <c r="Q100" s="282">
        <f t="shared" si="136"/>
        <v>27.34</v>
      </c>
      <c r="R100" s="283">
        <f t="shared" si="137"/>
        <v>40.67</v>
      </c>
      <c r="W100" s="281">
        <f t="shared" si="138"/>
        <v>68.430000000000007</v>
      </c>
      <c r="X100" s="282">
        <f t="shared" si="139"/>
        <v>70.790000000000006</v>
      </c>
      <c r="Y100" s="282">
        <f t="shared" si="140"/>
        <v>37.159999999999997</v>
      </c>
      <c r="Z100" s="283">
        <f t="shared" si="141"/>
        <v>91.65</v>
      </c>
      <c r="AA100" s="281">
        <f t="shared" si="142"/>
        <v>54.1</v>
      </c>
      <c r="AB100" s="282">
        <f t="shared" si="143"/>
        <v>94.009999999999991</v>
      </c>
      <c r="AC100" s="282">
        <f t="shared" si="144"/>
        <v>58.52000000000001</v>
      </c>
      <c r="AD100" s="283">
        <f t="shared" si="145"/>
        <v>65.03</v>
      </c>
      <c r="AE100" s="281">
        <f t="shared" si="146"/>
        <v>66</v>
      </c>
      <c r="AF100" s="282">
        <f t="shared" si="147"/>
        <v>74.44</v>
      </c>
      <c r="AG100" s="282">
        <f t="shared" si="148"/>
        <v>51.44</v>
      </c>
      <c r="AH100" s="283">
        <f t="shared" si="149"/>
        <v>52.7</v>
      </c>
      <c r="AM100" s="281">
        <f t="shared" si="150"/>
        <v>88.17</v>
      </c>
      <c r="AN100" s="282">
        <f t="shared" si="151"/>
        <v>87.85</v>
      </c>
      <c r="AO100" s="282">
        <f t="shared" si="152"/>
        <v>40.230000000000004</v>
      </c>
      <c r="AP100" s="283">
        <f t="shared" si="153"/>
        <v>83.75</v>
      </c>
      <c r="AQ100" s="281">
        <f t="shared" si="154"/>
        <v>89.4</v>
      </c>
      <c r="AR100" s="282">
        <f t="shared" si="155"/>
        <v>43.36</v>
      </c>
      <c r="AS100" s="282">
        <f t="shared" si="156"/>
        <v>68.5</v>
      </c>
      <c r="AT100" s="283">
        <f t="shared" si="157"/>
        <v>82.09</v>
      </c>
      <c r="AU100" s="281">
        <f t="shared" si="158"/>
        <v>62.32</v>
      </c>
      <c r="AV100" s="282">
        <f t="shared" si="159"/>
        <v>81.09</v>
      </c>
      <c r="AW100" s="282">
        <f t="shared" si="160"/>
        <v>174.93</v>
      </c>
      <c r="AX100" s="283"/>
      <c r="BC100" s="281">
        <f t="shared" si="161"/>
        <v>109.92</v>
      </c>
      <c r="BD100" s="282">
        <f t="shared" si="162"/>
        <v>76.05</v>
      </c>
      <c r="BE100" s="282">
        <f t="shared" si="163"/>
        <v>89.71</v>
      </c>
      <c r="BF100" s="283"/>
      <c r="BG100" s="281">
        <f t="shared" si="164"/>
        <v>67.989999999999995</v>
      </c>
      <c r="BH100" s="282">
        <f t="shared" si="165"/>
        <v>78.8</v>
      </c>
      <c r="BI100" s="282">
        <f t="shared" si="166"/>
        <v>74.45</v>
      </c>
      <c r="BJ100" s="283"/>
      <c r="BK100" s="281">
        <f t="shared" si="167"/>
        <v>82.53</v>
      </c>
      <c r="BL100" s="282">
        <f t="shared" si="168"/>
        <v>58.84</v>
      </c>
      <c r="BM100" s="282">
        <f t="shared" si="169"/>
        <v>49.21</v>
      </c>
      <c r="BN100" s="599"/>
      <c r="CG100" s="281">
        <f t="shared" si="170"/>
        <v>130.44999999999999</v>
      </c>
      <c r="CH100" s="281">
        <f t="shared" si="170"/>
        <v>154.29300000000001</v>
      </c>
      <c r="CI100" s="281">
        <f t="shared" si="170"/>
        <v>101.66</v>
      </c>
      <c r="CJ100" s="293">
        <f t="shared" si="170"/>
        <v>159.69</v>
      </c>
      <c r="CK100" s="281">
        <f t="shared" si="171"/>
        <v>318.98</v>
      </c>
      <c r="CL100" s="281">
        <f t="shared" si="171"/>
        <v>393.53300000000002</v>
      </c>
      <c r="CM100" s="281">
        <f t="shared" si="171"/>
        <v>248.78</v>
      </c>
      <c r="CN100" s="293">
        <f t="shared" si="171"/>
        <v>369.07</v>
      </c>
      <c r="CO100" s="281">
        <f t="shared" si="172"/>
        <v>558.87000000000012</v>
      </c>
      <c r="CP100" s="281">
        <f t="shared" si="172"/>
        <v>605.83300000000008</v>
      </c>
      <c r="CQ100" s="281">
        <f t="shared" si="172"/>
        <v>532.44000000000005</v>
      </c>
      <c r="CR100" s="293">
        <f t="shared" si="172"/>
        <v>534.91</v>
      </c>
      <c r="CS100" s="281">
        <f t="shared" si="173"/>
        <v>819.31000000000006</v>
      </c>
      <c r="CT100" s="281">
        <f t="shared" si="173"/>
        <v>819.52300000000002</v>
      </c>
      <c r="CU100" s="281">
        <f t="shared" si="173"/>
        <v>745.81000000000017</v>
      </c>
      <c r="CV100" s="293">
        <f t="shared" si="173"/>
        <v>534.91</v>
      </c>
      <c r="CX100" s="316">
        <f t="shared" si="174"/>
        <v>239.24</v>
      </c>
      <c r="CY100" s="316">
        <f t="shared" si="174"/>
        <v>147.12</v>
      </c>
      <c r="CZ100" s="316">
        <f t="shared" si="174"/>
        <v>209.38</v>
      </c>
      <c r="DA100" s="318">
        <f t="shared" si="174"/>
        <v>120.1</v>
      </c>
      <c r="DB100" s="281">
        <f t="shared" si="175"/>
        <v>451.54000000000008</v>
      </c>
      <c r="DC100" s="281">
        <f t="shared" si="175"/>
        <v>430.78000000000003</v>
      </c>
      <c r="DD100" s="281">
        <f t="shared" si="175"/>
        <v>375.22</v>
      </c>
      <c r="DE100" s="293">
        <f t="shared" si="175"/>
        <v>271.82</v>
      </c>
      <c r="DF100" s="281">
        <f t="shared" si="176"/>
        <v>665.23</v>
      </c>
      <c r="DG100" s="281">
        <f t="shared" si="176"/>
        <v>644.15000000000009</v>
      </c>
      <c r="DH100" s="281">
        <f t="shared" si="176"/>
        <v>375.22</v>
      </c>
      <c r="DI100" s="293">
        <f t="shared" si="176"/>
        <v>422.34000000000003</v>
      </c>
      <c r="DJ100" s="281">
        <f t="shared" si="177"/>
        <v>665.23</v>
      </c>
      <c r="DK100" s="281">
        <f t="shared" si="177"/>
        <v>644.15000000000009</v>
      </c>
      <c r="DL100" s="281">
        <f t="shared" si="177"/>
        <v>375.22</v>
      </c>
      <c r="DM100" s="293">
        <f t="shared" si="177"/>
        <v>422.34000000000003</v>
      </c>
    </row>
    <row r="101" spans="1:117" ht="15" hidden="1" customHeight="1" x14ac:dyDescent="0.25">
      <c r="A101" s="521"/>
      <c r="B101" s="55">
        <v>20</v>
      </c>
      <c r="C101" s="368"/>
      <c r="D101" s="368"/>
      <c r="E101" s="368"/>
      <c r="F101" s="368">
        <v>62.08</v>
      </c>
      <c r="G101" s="281">
        <f t="shared" si="126"/>
        <v>51.910000000000004</v>
      </c>
      <c r="H101" s="282">
        <f t="shared" si="127"/>
        <v>61.47</v>
      </c>
      <c r="I101" s="282">
        <f t="shared" si="128"/>
        <v>49.510000000000005</v>
      </c>
      <c r="J101" s="283">
        <f t="shared" si="129"/>
        <v>70.12</v>
      </c>
      <c r="K101" s="281">
        <f t="shared" si="130"/>
        <v>31.21</v>
      </c>
      <c r="L101" s="282">
        <f t="shared" si="131"/>
        <v>54.67</v>
      </c>
      <c r="M101" s="282">
        <f t="shared" si="132"/>
        <v>24.08</v>
      </c>
      <c r="N101" s="283">
        <f t="shared" si="133"/>
        <v>70.84</v>
      </c>
      <c r="O101" s="281">
        <f t="shared" si="134"/>
        <v>39.92</v>
      </c>
      <c r="P101" s="282">
        <f t="shared" si="135"/>
        <v>52.680000000000007</v>
      </c>
      <c r="Q101" s="282">
        <f t="shared" si="136"/>
        <v>16.55</v>
      </c>
      <c r="R101" s="283">
        <f t="shared" si="137"/>
        <v>34.53</v>
      </c>
      <c r="W101" s="281">
        <f t="shared" si="138"/>
        <v>68.349999999999994</v>
      </c>
      <c r="X101" s="282">
        <f t="shared" si="139"/>
        <v>63.680000000000007</v>
      </c>
      <c r="Y101" s="282">
        <f t="shared" si="140"/>
        <v>22.51</v>
      </c>
      <c r="Z101" s="283">
        <f t="shared" si="141"/>
        <v>116.55000000000001</v>
      </c>
      <c r="AA101" s="281">
        <f t="shared" si="142"/>
        <v>52.46</v>
      </c>
      <c r="AB101" s="282">
        <f t="shared" si="143"/>
        <v>108.25999999999999</v>
      </c>
      <c r="AC101" s="282">
        <f t="shared" si="144"/>
        <v>45.83</v>
      </c>
      <c r="AD101" s="283">
        <f t="shared" si="145"/>
        <v>90.210000000000008</v>
      </c>
      <c r="AE101" s="281">
        <f t="shared" si="146"/>
        <v>50.1</v>
      </c>
      <c r="AF101" s="282">
        <f t="shared" si="147"/>
        <v>74.180000000000007</v>
      </c>
      <c r="AG101" s="282">
        <f t="shared" si="148"/>
        <v>64.81</v>
      </c>
      <c r="AH101" s="283">
        <f t="shared" si="149"/>
        <v>51.129999999999995</v>
      </c>
      <c r="AM101" s="281">
        <f t="shared" si="150"/>
        <v>128.19</v>
      </c>
      <c r="AN101" s="282">
        <f t="shared" si="151"/>
        <v>66.97</v>
      </c>
      <c r="AO101" s="282">
        <f t="shared" si="152"/>
        <v>69.28</v>
      </c>
      <c r="AP101" s="283">
        <f t="shared" si="153"/>
        <v>75.31</v>
      </c>
      <c r="AQ101" s="281">
        <f t="shared" si="154"/>
        <v>99.44</v>
      </c>
      <c r="AR101" s="282">
        <f t="shared" si="155"/>
        <v>75.47</v>
      </c>
      <c r="AS101" s="282">
        <f t="shared" si="156"/>
        <v>70.23</v>
      </c>
      <c r="AT101" s="283">
        <f t="shared" si="157"/>
        <v>101.19999999999999</v>
      </c>
      <c r="AU101" s="281">
        <f t="shared" si="158"/>
        <v>69.430000000000007</v>
      </c>
      <c r="AV101" s="282">
        <f t="shared" si="159"/>
        <v>66.61</v>
      </c>
      <c r="AW101" s="282">
        <f t="shared" si="160"/>
        <v>168.56</v>
      </c>
      <c r="AX101" s="283"/>
      <c r="BC101" s="281">
        <f t="shared" si="161"/>
        <v>109.81</v>
      </c>
      <c r="BD101" s="282">
        <f t="shared" si="162"/>
        <v>92.47999999999999</v>
      </c>
      <c r="BE101" s="282">
        <f t="shared" si="163"/>
        <v>115.34</v>
      </c>
      <c r="BF101" s="283"/>
      <c r="BG101" s="281">
        <f t="shared" si="164"/>
        <v>91.39</v>
      </c>
      <c r="BH101" s="282">
        <f t="shared" si="165"/>
        <v>78.05</v>
      </c>
      <c r="BI101" s="282">
        <f t="shared" si="166"/>
        <v>84.289999999999992</v>
      </c>
      <c r="BJ101" s="283"/>
      <c r="BK101" s="281">
        <f t="shared" si="167"/>
        <v>77.41</v>
      </c>
      <c r="BL101" s="282">
        <f t="shared" si="168"/>
        <v>68.31</v>
      </c>
      <c r="BM101" s="282">
        <f t="shared" si="169"/>
        <v>69</v>
      </c>
      <c r="BN101" s="599"/>
      <c r="CG101" s="281">
        <f t="shared" si="170"/>
        <v>123.04</v>
      </c>
      <c r="CH101" s="281">
        <f t="shared" si="170"/>
        <v>168.82</v>
      </c>
      <c r="CI101" s="281">
        <f t="shared" si="170"/>
        <v>90.14</v>
      </c>
      <c r="CJ101" s="293">
        <f t="shared" si="170"/>
        <v>175.49</v>
      </c>
      <c r="CK101" s="281">
        <f t="shared" si="171"/>
        <v>293.95</v>
      </c>
      <c r="CL101" s="281">
        <f t="shared" si="171"/>
        <v>414.94</v>
      </c>
      <c r="CM101" s="281">
        <f t="shared" si="171"/>
        <v>223.29000000000002</v>
      </c>
      <c r="CN101" s="293">
        <f t="shared" si="171"/>
        <v>433.38</v>
      </c>
      <c r="CO101" s="281">
        <f t="shared" si="172"/>
        <v>591.01</v>
      </c>
      <c r="CP101" s="281">
        <f t="shared" si="172"/>
        <v>623.99</v>
      </c>
      <c r="CQ101" s="281">
        <f t="shared" si="172"/>
        <v>531.36000000000013</v>
      </c>
      <c r="CR101" s="293">
        <f t="shared" si="172"/>
        <v>609.89</v>
      </c>
      <c r="CS101" s="281">
        <f t="shared" si="173"/>
        <v>869.61999999999989</v>
      </c>
      <c r="CT101" s="281">
        <f t="shared" si="173"/>
        <v>862.82999999999993</v>
      </c>
      <c r="CU101" s="281">
        <f t="shared" si="173"/>
        <v>799.99000000000012</v>
      </c>
      <c r="CV101" s="293">
        <f t="shared" si="173"/>
        <v>609.89</v>
      </c>
      <c r="CX101" s="316">
        <f t="shared" si="174"/>
        <v>246.12</v>
      </c>
      <c r="CY101" s="316">
        <f t="shared" si="174"/>
        <v>133.15</v>
      </c>
      <c r="CZ101" s="316">
        <f t="shared" si="174"/>
        <v>257.89</v>
      </c>
      <c r="DA101" s="318">
        <f t="shared" si="174"/>
        <v>102.56</v>
      </c>
      <c r="DB101" s="281">
        <f t="shared" si="175"/>
        <v>455.17000000000007</v>
      </c>
      <c r="DC101" s="281">
        <f t="shared" si="175"/>
        <v>441.22</v>
      </c>
      <c r="DD101" s="281">
        <f t="shared" si="175"/>
        <v>434.4</v>
      </c>
      <c r="DE101" s="293">
        <f t="shared" si="175"/>
        <v>271.43</v>
      </c>
      <c r="DF101" s="281">
        <f t="shared" si="176"/>
        <v>694.01</v>
      </c>
      <c r="DG101" s="281">
        <f t="shared" si="176"/>
        <v>709.85</v>
      </c>
      <c r="DH101" s="281">
        <f t="shared" si="176"/>
        <v>434.4</v>
      </c>
      <c r="DI101" s="293">
        <f t="shared" si="176"/>
        <v>440.23</v>
      </c>
      <c r="DJ101" s="281">
        <f t="shared" si="177"/>
        <v>694.01</v>
      </c>
      <c r="DK101" s="281">
        <f t="shared" si="177"/>
        <v>709.85</v>
      </c>
      <c r="DL101" s="281">
        <f t="shared" si="177"/>
        <v>434.4</v>
      </c>
      <c r="DM101" s="293">
        <f t="shared" si="177"/>
        <v>440.23</v>
      </c>
    </row>
    <row r="102" spans="1:117" ht="15" hidden="1" customHeight="1" x14ac:dyDescent="0.25">
      <c r="A102" s="521"/>
      <c r="B102" s="55">
        <v>21</v>
      </c>
      <c r="C102" s="368"/>
      <c r="D102" s="368"/>
      <c r="E102" s="368"/>
      <c r="F102" s="368">
        <v>72.2</v>
      </c>
      <c r="G102" s="281">
        <f t="shared" si="126"/>
        <v>86.86</v>
      </c>
      <c r="H102" s="282">
        <f t="shared" si="127"/>
        <v>94.92</v>
      </c>
      <c r="I102" s="282">
        <f t="shared" si="128"/>
        <v>86.449999999999989</v>
      </c>
      <c r="J102" s="283">
        <f t="shared" si="129"/>
        <v>95.460000000000008</v>
      </c>
      <c r="K102" s="281">
        <f t="shared" si="130"/>
        <v>53.870000000000005</v>
      </c>
      <c r="L102" s="282">
        <f t="shared" si="131"/>
        <v>60.31</v>
      </c>
      <c r="M102" s="282">
        <f t="shared" si="132"/>
        <v>50.78</v>
      </c>
      <c r="N102" s="283">
        <f t="shared" si="133"/>
        <v>59.44</v>
      </c>
      <c r="O102" s="281">
        <f t="shared" si="134"/>
        <v>67.97</v>
      </c>
      <c r="P102" s="282">
        <f t="shared" si="135"/>
        <v>119.83</v>
      </c>
      <c r="Q102" s="282">
        <f t="shared" si="136"/>
        <v>46.08</v>
      </c>
      <c r="R102" s="283">
        <f t="shared" si="137"/>
        <v>83.73</v>
      </c>
      <c r="W102" s="281">
        <f t="shared" si="138"/>
        <v>77.02000000000001</v>
      </c>
      <c r="X102" s="282">
        <f t="shared" si="139"/>
        <v>76.39</v>
      </c>
      <c r="Y102" s="282">
        <f t="shared" si="140"/>
        <v>70.38</v>
      </c>
      <c r="Z102" s="283">
        <f t="shared" si="141"/>
        <v>159.93</v>
      </c>
      <c r="AA102" s="281">
        <f t="shared" si="142"/>
        <v>126.65</v>
      </c>
      <c r="AB102" s="282">
        <f t="shared" si="143"/>
        <v>92.749999999999986</v>
      </c>
      <c r="AC102" s="282">
        <f t="shared" si="144"/>
        <v>77.599999999999994</v>
      </c>
      <c r="AD102" s="283">
        <f t="shared" si="145"/>
        <v>112.19</v>
      </c>
      <c r="AE102" s="281">
        <f t="shared" si="146"/>
        <v>78.989999999999995</v>
      </c>
      <c r="AF102" s="282">
        <f t="shared" si="147"/>
        <v>84.47999999999999</v>
      </c>
      <c r="AG102" s="282">
        <f t="shared" si="148"/>
        <v>105.44</v>
      </c>
      <c r="AH102" s="283">
        <f t="shared" si="149"/>
        <v>69.569999999999993</v>
      </c>
      <c r="AM102" s="281">
        <f t="shared" si="150"/>
        <v>140.62</v>
      </c>
      <c r="AN102" s="282">
        <f t="shared" si="151"/>
        <v>117.65</v>
      </c>
      <c r="AO102" s="282">
        <f t="shared" si="152"/>
        <v>160.38</v>
      </c>
      <c r="AP102" s="283">
        <f t="shared" si="153"/>
        <v>95.68</v>
      </c>
      <c r="AQ102" s="281">
        <f t="shared" si="154"/>
        <v>190.25</v>
      </c>
      <c r="AR102" s="282">
        <f t="shared" si="155"/>
        <v>139.73000000000002</v>
      </c>
      <c r="AS102" s="282">
        <f t="shared" si="156"/>
        <v>115.14</v>
      </c>
      <c r="AT102" s="283">
        <f t="shared" si="157"/>
        <v>111.16999999999999</v>
      </c>
      <c r="AU102" s="281">
        <f t="shared" si="158"/>
        <v>137.12</v>
      </c>
      <c r="AV102" s="282">
        <f t="shared" si="159"/>
        <v>137.98000000000002</v>
      </c>
      <c r="AW102" s="282">
        <f t="shared" si="160"/>
        <v>142.54999999999998</v>
      </c>
      <c r="AX102" s="283"/>
      <c r="BC102" s="281">
        <f t="shared" si="161"/>
        <v>161.85000000000002</v>
      </c>
      <c r="BD102" s="282">
        <f t="shared" si="162"/>
        <v>143.07</v>
      </c>
      <c r="BE102" s="282">
        <f t="shared" si="163"/>
        <v>199.91000000000003</v>
      </c>
      <c r="BF102" s="283"/>
      <c r="BG102" s="281">
        <f t="shared" si="164"/>
        <v>152.35</v>
      </c>
      <c r="BH102" s="282">
        <f t="shared" si="165"/>
        <v>148.07</v>
      </c>
      <c r="BI102" s="282">
        <f t="shared" si="166"/>
        <v>154.22999999999999</v>
      </c>
      <c r="BJ102" s="283"/>
      <c r="BK102" s="281">
        <f t="shared" si="167"/>
        <v>139.48000000000002</v>
      </c>
      <c r="BL102" s="282">
        <f t="shared" si="168"/>
        <v>108.66</v>
      </c>
      <c r="BM102" s="282">
        <f t="shared" si="169"/>
        <v>96.05</v>
      </c>
      <c r="BN102" s="599"/>
      <c r="CG102" s="281">
        <f t="shared" si="170"/>
        <v>208.70000000000002</v>
      </c>
      <c r="CH102" s="281">
        <f t="shared" si="170"/>
        <v>275.06</v>
      </c>
      <c r="CI102" s="281">
        <f t="shared" si="170"/>
        <v>183.31</v>
      </c>
      <c r="CJ102" s="293">
        <f t="shared" si="170"/>
        <v>238.63</v>
      </c>
      <c r="CK102" s="281">
        <f t="shared" si="171"/>
        <v>491.36</v>
      </c>
      <c r="CL102" s="281">
        <f t="shared" si="171"/>
        <v>528.67999999999995</v>
      </c>
      <c r="CM102" s="281">
        <f t="shared" si="171"/>
        <v>436.72999999999996</v>
      </c>
      <c r="CN102" s="293">
        <f t="shared" si="171"/>
        <v>580.31999999999994</v>
      </c>
      <c r="CO102" s="281">
        <f t="shared" si="172"/>
        <v>959.35</v>
      </c>
      <c r="CP102" s="281">
        <f t="shared" si="172"/>
        <v>924.04</v>
      </c>
      <c r="CQ102" s="281">
        <f t="shared" si="172"/>
        <v>854.79999999999984</v>
      </c>
      <c r="CR102" s="293">
        <f t="shared" si="172"/>
        <v>787.17</v>
      </c>
      <c r="CS102" s="281">
        <f t="shared" si="173"/>
        <v>1413.03</v>
      </c>
      <c r="CT102" s="281">
        <f t="shared" si="173"/>
        <v>1323.84</v>
      </c>
      <c r="CU102" s="281">
        <f t="shared" si="173"/>
        <v>1304.9899999999998</v>
      </c>
      <c r="CV102" s="293">
        <f t="shared" si="173"/>
        <v>787.17</v>
      </c>
      <c r="CX102" s="316">
        <f t="shared" si="174"/>
        <v>253.61999999999998</v>
      </c>
      <c r="CY102" s="316">
        <f t="shared" si="174"/>
        <v>253.42</v>
      </c>
      <c r="CZ102" s="316">
        <f t="shared" si="174"/>
        <v>341.69</v>
      </c>
      <c r="DA102" s="318">
        <f t="shared" si="174"/>
        <v>205.64</v>
      </c>
      <c r="DB102" s="281">
        <f t="shared" si="175"/>
        <v>648.98</v>
      </c>
      <c r="DC102" s="281">
        <f t="shared" si="175"/>
        <v>671.4899999999999</v>
      </c>
      <c r="DD102" s="281">
        <f t="shared" si="175"/>
        <v>548.54</v>
      </c>
      <c r="DE102" s="293">
        <f t="shared" si="175"/>
        <v>533.01</v>
      </c>
      <c r="DF102" s="281">
        <f t="shared" si="176"/>
        <v>1048.78</v>
      </c>
      <c r="DG102" s="281">
        <f t="shared" si="176"/>
        <v>1121.6799999999998</v>
      </c>
      <c r="DH102" s="281">
        <f t="shared" si="176"/>
        <v>548.54</v>
      </c>
      <c r="DI102" s="293">
        <f t="shared" si="176"/>
        <v>824.84</v>
      </c>
      <c r="DJ102" s="281">
        <f t="shared" si="177"/>
        <v>1048.78</v>
      </c>
      <c r="DK102" s="281">
        <f t="shared" si="177"/>
        <v>1121.6799999999998</v>
      </c>
      <c r="DL102" s="281">
        <f t="shared" si="177"/>
        <v>548.54</v>
      </c>
      <c r="DM102" s="293">
        <f t="shared" si="177"/>
        <v>824.84</v>
      </c>
    </row>
    <row r="103" spans="1:117" ht="15" hidden="1" customHeight="1" x14ac:dyDescent="0.25">
      <c r="A103" s="521"/>
      <c r="B103" s="55">
        <v>22</v>
      </c>
      <c r="C103" s="368"/>
      <c r="D103" s="368"/>
      <c r="E103" s="368"/>
      <c r="F103" s="368">
        <v>52.3</v>
      </c>
      <c r="G103" s="281">
        <f t="shared" si="126"/>
        <v>55.309999999999995</v>
      </c>
      <c r="H103" s="282">
        <f t="shared" si="127"/>
        <v>63.79</v>
      </c>
      <c r="I103" s="282">
        <f t="shared" si="128"/>
        <v>58.67</v>
      </c>
      <c r="J103" s="283">
        <f t="shared" si="129"/>
        <v>30.8</v>
      </c>
      <c r="K103" s="281">
        <f t="shared" si="130"/>
        <v>40.28</v>
      </c>
      <c r="L103" s="282">
        <f t="shared" si="131"/>
        <v>38.15</v>
      </c>
      <c r="M103" s="282">
        <f t="shared" si="132"/>
        <v>36.06</v>
      </c>
      <c r="N103" s="283">
        <f t="shared" si="133"/>
        <v>74.5</v>
      </c>
      <c r="O103" s="281">
        <f t="shared" si="134"/>
        <v>37.519999999999996</v>
      </c>
      <c r="P103" s="282">
        <f t="shared" si="135"/>
        <v>63.980000000000004</v>
      </c>
      <c r="Q103" s="282">
        <f t="shared" si="136"/>
        <v>27.049999999999997</v>
      </c>
      <c r="R103" s="283">
        <f t="shared" si="137"/>
        <v>55.26</v>
      </c>
      <c r="W103" s="281">
        <f t="shared" si="138"/>
        <v>50.19</v>
      </c>
      <c r="X103" s="282">
        <f t="shared" si="139"/>
        <v>44.94</v>
      </c>
      <c r="Y103" s="282">
        <f t="shared" si="140"/>
        <v>43.81</v>
      </c>
      <c r="Z103" s="283">
        <f t="shared" si="141"/>
        <v>78.13</v>
      </c>
      <c r="AA103" s="281">
        <f t="shared" si="142"/>
        <v>78.41</v>
      </c>
      <c r="AB103" s="282">
        <f t="shared" si="143"/>
        <v>55.76</v>
      </c>
      <c r="AC103" s="282">
        <f t="shared" si="144"/>
        <v>38.590000000000003</v>
      </c>
      <c r="AD103" s="283">
        <f t="shared" si="145"/>
        <v>40.56</v>
      </c>
      <c r="AE103" s="281">
        <f t="shared" si="146"/>
        <v>57.33</v>
      </c>
      <c r="AF103" s="282">
        <f t="shared" si="147"/>
        <v>62</v>
      </c>
      <c r="AG103" s="282">
        <f t="shared" si="148"/>
        <v>58.92</v>
      </c>
      <c r="AH103" s="283">
        <f t="shared" si="149"/>
        <v>65</v>
      </c>
      <c r="AM103" s="281">
        <f t="shared" si="150"/>
        <v>77.830000000000013</v>
      </c>
      <c r="AN103" s="282">
        <f t="shared" si="151"/>
        <v>83.44</v>
      </c>
      <c r="AO103" s="282">
        <f t="shared" si="152"/>
        <v>68.87</v>
      </c>
      <c r="AP103" s="283">
        <f t="shared" si="153"/>
        <v>66.36</v>
      </c>
      <c r="AQ103" s="281">
        <f t="shared" si="154"/>
        <v>137.77000000000001</v>
      </c>
      <c r="AR103" s="282">
        <f t="shared" si="155"/>
        <v>91.12</v>
      </c>
      <c r="AS103" s="282">
        <f t="shared" si="156"/>
        <v>100.56</v>
      </c>
      <c r="AT103" s="283">
        <f t="shared" si="157"/>
        <v>66.599999999999994</v>
      </c>
      <c r="AU103" s="281">
        <f t="shared" si="158"/>
        <v>87.65</v>
      </c>
      <c r="AV103" s="282">
        <f t="shared" si="159"/>
        <v>89.7</v>
      </c>
      <c r="AW103" s="282">
        <f t="shared" si="160"/>
        <v>75.260000000000005</v>
      </c>
      <c r="AX103" s="283"/>
      <c r="BC103" s="281">
        <f t="shared" si="161"/>
        <v>103.59</v>
      </c>
      <c r="BD103" s="282">
        <f t="shared" si="162"/>
        <v>100.33</v>
      </c>
      <c r="BE103" s="282">
        <f t="shared" si="163"/>
        <v>133.42000000000002</v>
      </c>
      <c r="BF103" s="283"/>
      <c r="BG103" s="281">
        <f t="shared" si="164"/>
        <v>83.89</v>
      </c>
      <c r="BH103" s="282">
        <f t="shared" si="165"/>
        <v>96.06</v>
      </c>
      <c r="BI103" s="282">
        <f t="shared" si="166"/>
        <v>93.41</v>
      </c>
      <c r="BJ103" s="283"/>
      <c r="BK103" s="281">
        <f t="shared" si="167"/>
        <v>91.81</v>
      </c>
      <c r="BL103" s="282">
        <f t="shared" si="168"/>
        <v>70.740000000000009</v>
      </c>
      <c r="BM103" s="282">
        <f t="shared" si="169"/>
        <v>67.679999999999993</v>
      </c>
      <c r="BN103" s="599"/>
      <c r="CG103" s="281">
        <f t="shared" si="170"/>
        <v>133.11000000000001</v>
      </c>
      <c r="CH103" s="281">
        <f t="shared" si="170"/>
        <v>165.92000000000002</v>
      </c>
      <c r="CI103" s="281">
        <f t="shared" si="170"/>
        <v>121.78</v>
      </c>
      <c r="CJ103" s="293">
        <f t="shared" si="170"/>
        <v>160.56</v>
      </c>
      <c r="CK103" s="281">
        <f t="shared" si="171"/>
        <v>319.04000000000002</v>
      </c>
      <c r="CL103" s="281">
        <f t="shared" si="171"/>
        <v>328.62</v>
      </c>
      <c r="CM103" s="281">
        <f t="shared" si="171"/>
        <v>263.10000000000002</v>
      </c>
      <c r="CN103" s="293">
        <f t="shared" si="171"/>
        <v>344.25</v>
      </c>
      <c r="CO103" s="281">
        <f t="shared" si="172"/>
        <v>622.29</v>
      </c>
      <c r="CP103" s="281">
        <f t="shared" si="172"/>
        <v>592.88</v>
      </c>
      <c r="CQ103" s="281">
        <f t="shared" si="172"/>
        <v>507.79</v>
      </c>
      <c r="CR103" s="293">
        <f t="shared" si="172"/>
        <v>477.21000000000004</v>
      </c>
      <c r="CS103" s="281">
        <f t="shared" si="173"/>
        <v>901.57999999999993</v>
      </c>
      <c r="CT103" s="281">
        <f t="shared" si="173"/>
        <v>860.01</v>
      </c>
      <c r="CU103" s="281">
        <f t="shared" si="173"/>
        <v>802.3</v>
      </c>
      <c r="CV103" s="293">
        <f t="shared" si="173"/>
        <v>477.21000000000004</v>
      </c>
      <c r="CX103" s="316">
        <f t="shared" si="174"/>
        <v>162.69999999999999</v>
      </c>
      <c r="CY103" s="316">
        <f t="shared" si="174"/>
        <v>141.32</v>
      </c>
      <c r="CZ103" s="316">
        <f t="shared" si="174"/>
        <v>183.69</v>
      </c>
      <c r="DA103" s="318">
        <f t="shared" si="174"/>
        <v>135.74</v>
      </c>
      <c r="DB103" s="281">
        <f t="shared" si="175"/>
        <v>426.96</v>
      </c>
      <c r="DC103" s="281">
        <f t="shared" si="175"/>
        <v>386.01</v>
      </c>
      <c r="DD103" s="281">
        <f t="shared" si="175"/>
        <v>316.64999999999998</v>
      </c>
      <c r="DE103" s="293">
        <f t="shared" si="175"/>
        <v>361.15999999999997</v>
      </c>
      <c r="DF103" s="281">
        <f t="shared" si="176"/>
        <v>694.08999999999992</v>
      </c>
      <c r="DG103" s="281">
        <f t="shared" si="176"/>
        <v>680.52</v>
      </c>
      <c r="DH103" s="281">
        <f t="shared" si="176"/>
        <v>316.64999999999998</v>
      </c>
      <c r="DI103" s="293">
        <f t="shared" si="176"/>
        <v>536.8599999999999</v>
      </c>
      <c r="DJ103" s="281">
        <f t="shared" si="177"/>
        <v>694.08999999999992</v>
      </c>
      <c r="DK103" s="281">
        <f t="shared" si="177"/>
        <v>680.52</v>
      </c>
      <c r="DL103" s="281">
        <f t="shared" si="177"/>
        <v>316.64999999999998</v>
      </c>
      <c r="DM103" s="293">
        <f t="shared" si="177"/>
        <v>536.8599999999999</v>
      </c>
    </row>
    <row r="104" spans="1:117" ht="15.75" hidden="1" customHeight="1" thickBot="1" x14ac:dyDescent="0.3">
      <c r="A104" s="521"/>
      <c r="B104" s="55">
        <v>24</v>
      </c>
      <c r="C104" s="371"/>
      <c r="D104" s="371"/>
      <c r="E104" s="371"/>
      <c r="F104" s="369">
        <v>44.7</v>
      </c>
      <c r="G104" s="281">
        <f t="shared" si="126"/>
        <v>61.879999999999995</v>
      </c>
      <c r="H104" s="282">
        <f t="shared" si="127"/>
        <v>49.75</v>
      </c>
      <c r="I104" s="282">
        <f t="shared" si="128"/>
        <v>52.45</v>
      </c>
      <c r="J104" s="283">
        <f t="shared" si="129"/>
        <v>53.53</v>
      </c>
      <c r="K104" s="281">
        <f t="shared" si="130"/>
        <v>15.52</v>
      </c>
      <c r="L104" s="282">
        <f t="shared" si="131"/>
        <v>34.5</v>
      </c>
      <c r="M104" s="282">
        <f t="shared" si="132"/>
        <v>22.4</v>
      </c>
      <c r="N104" s="283">
        <f t="shared" si="133"/>
        <v>60.35</v>
      </c>
      <c r="O104" s="281">
        <f t="shared" si="134"/>
        <v>25.990000000000002</v>
      </c>
      <c r="P104" s="282">
        <f t="shared" si="135"/>
        <v>29.77</v>
      </c>
      <c r="Q104" s="282">
        <f t="shared" si="136"/>
        <v>13.799999999999999</v>
      </c>
      <c r="R104" s="283">
        <f t="shared" si="137"/>
        <v>48.56</v>
      </c>
      <c r="W104" s="281">
        <f t="shared" si="138"/>
        <v>42.349999999999994</v>
      </c>
      <c r="X104" s="282">
        <f t="shared" si="139"/>
        <v>29.76</v>
      </c>
      <c r="Y104" s="282">
        <f t="shared" si="140"/>
        <v>17.14</v>
      </c>
      <c r="Z104" s="283">
        <f t="shared" si="141"/>
        <v>92.41</v>
      </c>
      <c r="AA104" s="281">
        <f t="shared" si="142"/>
        <v>35.019999999999996</v>
      </c>
      <c r="AB104" s="282">
        <f t="shared" si="143"/>
        <v>47.11</v>
      </c>
      <c r="AC104" s="282">
        <f t="shared" si="144"/>
        <v>65.12</v>
      </c>
      <c r="AD104" s="283">
        <f t="shared" si="145"/>
        <v>32.630000000000003</v>
      </c>
      <c r="AE104" s="281">
        <f t="shared" si="146"/>
        <v>32.69</v>
      </c>
      <c r="AF104" s="282">
        <f t="shared" si="147"/>
        <v>55.39</v>
      </c>
      <c r="AG104" s="282">
        <f t="shared" si="148"/>
        <v>63.070000000000007</v>
      </c>
      <c r="AH104" s="283">
        <f t="shared" si="149"/>
        <v>64.31</v>
      </c>
      <c r="AM104" s="281">
        <f t="shared" si="150"/>
        <v>37.86</v>
      </c>
      <c r="AN104" s="282">
        <f t="shared" si="151"/>
        <v>53.04</v>
      </c>
      <c r="AO104" s="282">
        <f t="shared" si="152"/>
        <v>57.019999999999996</v>
      </c>
      <c r="AP104" s="283">
        <f t="shared" si="153"/>
        <v>49.339999999999996</v>
      </c>
      <c r="AQ104" s="281">
        <f t="shared" si="154"/>
        <v>71.77</v>
      </c>
      <c r="AR104" s="282">
        <f t="shared" si="155"/>
        <v>55.93</v>
      </c>
      <c r="AS104" s="282">
        <f t="shared" si="156"/>
        <v>97.320000000000007</v>
      </c>
      <c r="AT104" s="283">
        <f t="shared" si="157"/>
        <v>77.790000000000006</v>
      </c>
      <c r="AU104" s="281">
        <f t="shared" si="158"/>
        <v>75.08</v>
      </c>
      <c r="AV104" s="282">
        <f t="shared" si="159"/>
        <v>68.63</v>
      </c>
      <c r="AW104" s="282">
        <f t="shared" si="160"/>
        <v>87.79</v>
      </c>
      <c r="AX104" s="283"/>
      <c r="BC104" s="281">
        <f t="shared" si="161"/>
        <v>82.28</v>
      </c>
      <c r="BD104" s="282">
        <f t="shared" si="162"/>
        <v>87.460000000000008</v>
      </c>
      <c r="BE104" s="282">
        <f t="shared" si="163"/>
        <v>131.74</v>
      </c>
      <c r="BF104" s="283"/>
      <c r="BG104" s="281">
        <f t="shared" si="164"/>
        <v>59.83</v>
      </c>
      <c r="BH104" s="282">
        <f t="shared" si="165"/>
        <v>81.02</v>
      </c>
      <c r="BI104" s="282">
        <f t="shared" si="166"/>
        <v>99.53</v>
      </c>
      <c r="BJ104" s="283"/>
      <c r="BK104" s="281">
        <f t="shared" si="167"/>
        <v>46.12</v>
      </c>
      <c r="BL104" s="282">
        <f t="shared" si="168"/>
        <v>61.3</v>
      </c>
      <c r="BM104" s="282">
        <f t="shared" si="169"/>
        <v>87.56</v>
      </c>
      <c r="BN104" s="599"/>
      <c r="CG104" s="281">
        <f t="shared" si="170"/>
        <v>103.38999999999999</v>
      </c>
      <c r="CH104" s="281">
        <f t="shared" si="170"/>
        <v>114.02</v>
      </c>
      <c r="CI104" s="281">
        <f t="shared" si="170"/>
        <v>88.649999999999991</v>
      </c>
      <c r="CJ104" s="293">
        <f t="shared" si="170"/>
        <v>162.44</v>
      </c>
      <c r="CK104" s="281">
        <f t="shared" si="171"/>
        <v>213.45</v>
      </c>
      <c r="CL104" s="281">
        <f t="shared" si="171"/>
        <v>246.27999999999997</v>
      </c>
      <c r="CM104" s="281">
        <f t="shared" si="171"/>
        <v>233.98000000000002</v>
      </c>
      <c r="CN104" s="293">
        <f t="shared" si="171"/>
        <v>351.79</v>
      </c>
      <c r="CO104" s="281">
        <f t="shared" si="172"/>
        <v>398.15999999999997</v>
      </c>
      <c r="CP104" s="281">
        <f t="shared" si="172"/>
        <v>423.88</v>
      </c>
      <c r="CQ104" s="281">
        <f t="shared" si="172"/>
        <v>476.11</v>
      </c>
      <c r="CR104" s="293">
        <f t="shared" si="172"/>
        <v>478.92</v>
      </c>
      <c r="CS104" s="281">
        <f t="shared" si="173"/>
        <v>586.39</v>
      </c>
      <c r="CT104" s="281">
        <f t="shared" si="173"/>
        <v>653.66</v>
      </c>
      <c r="CU104" s="281">
        <f t="shared" si="173"/>
        <v>794.94</v>
      </c>
      <c r="CV104" s="293">
        <f t="shared" si="173"/>
        <v>478.92</v>
      </c>
      <c r="CX104" s="316">
        <f t="shared" si="174"/>
        <v>132.26</v>
      </c>
      <c r="CY104" s="316">
        <f t="shared" si="174"/>
        <v>145.33000000000001</v>
      </c>
      <c r="CZ104" s="316">
        <f t="shared" si="174"/>
        <v>189.35</v>
      </c>
      <c r="DA104" s="318">
        <f t="shared" si="174"/>
        <v>67.709999999999994</v>
      </c>
      <c r="DB104" s="281">
        <f t="shared" si="175"/>
        <v>309.86</v>
      </c>
      <c r="DC104" s="281">
        <f t="shared" si="175"/>
        <v>387.46000000000004</v>
      </c>
      <c r="DD104" s="281">
        <f t="shared" si="175"/>
        <v>316.48</v>
      </c>
      <c r="DE104" s="293">
        <f t="shared" si="175"/>
        <v>214.56</v>
      </c>
      <c r="DF104" s="281">
        <f t="shared" si="176"/>
        <v>539.64</v>
      </c>
      <c r="DG104" s="281">
        <f t="shared" si="176"/>
        <v>706.29</v>
      </c>
      <c r="DH104" s="281">
        <f t="shared" si="176"/>
        <v>316.48</v>
      </c>
      <c r="DI104" s="293">
        <f t="shared" si="176"/>
        <v>320.51</v>
      </c>
      <c r="DJ104" s="281">
        <f t="shared" si="177"/>
        <v>539.64</v>
      </c>
      <c r="DK104" s="281">
        <f t="shared" si="177"/>
        <v>706.29</v>
      </c>
      <c r="DL104" s="281">
        <f t="shared" si="177"/>
        <v>316.48</v>
      </c>
      <c r="DM104" s="293">
        <f t="shared" si="177"/>
        <v>320.51</v>
      </c>
    </row>
    <row r="105" spans="1:117" ht="15" hidden="1" customHeight="1" x14ac:dyDescent="0.25">
      <c r="A105" s="91" t="s">
        <v>26</v>
      </c>
      <c r="B105" s="116">
        <v>105</v>
      </c>
      <c r="C105" s="375"/>
      <c r="D105" s="375"/>
      <c r="E105" s="375"/>
      <c r="F105" s="375">
        <v>50</v>
      </c>
      <c r="G105" s="281">
        <f t="shared" si="126"/>
        <v>0</v>
      </c>
      <c r="H105" s="282">
        <f t="shared" si="127"/>
        <v>0</v>
      </c>
      <c r="I105" s="282">
        <f t="shared" si="128"/>
        <v>0</v>
      </c>
      <c r="J105" s="283">
        <f t="shared" si="129"/>
        <v>0</v>
      </c>
      <c r="K105" s="281">
        <f t="shared" si="130"/>
        <v>0</v>
      </c>
      <c r="L105" s="282">
        <f t="shared" si="131"/>
        <v>0</v>
      </c>
      <c r="M105" s="282">
        <f t="shared" si="132"/>
        <v>0</v>
      </c>
      <c r="N105" s="283">
        <f t="shared" si="133"/>
        <v>0</v>
      </c>
      <c r="O105" s="281">
        <f t="shared" si="134"/>
        <v>0</v>
      </c>
      <c r="P105" s="282">
        <f t="shared" si="135"/>
        <v>0</v>
      </c>
      <c r="Q105" s="282">
        <f t="shared" si="136"/>
        <v>0.15</v>
      </c>
      <c r="R105" s="283">
        <f t="shared" si="137"/>
        <v>0</v>
      </c>
      <c r="W105" s="281">
        <f t="shared" si="138"/>
        <v>0</v>
      </c>
      <c r="X105" s="282">
        <f t="shared" si="139"/>
        <v>0</v>
      </c>
      <c r="Y105" s="282">
        <f t="shared" si="140"/>
        <v>0</v>
      </c>
      <c r="Z105" s="283">
        <f t="shared" si="141"/>
        <v>0</v>
      </c>
      <c r="AA105" s="281">
        <f t="shared" si="142"/>
        <v>0</v>
      </c>
      <c r="AB105" s="282">
        <f t="shared" si="143"/>
        <v>0</v>
      </c>
      <c r="AC105" s="282">
        <f t="shared" si="144"/>
        <v>0</v>
      </c>
      <c r="AD105" s="283">
        <f t="shared" si="145"/>
        <v>0</v>
      </c>
      <c r="AE105" s="281">
        <f t="shared" si="146"/>
        <v>0</v>
      </c>
      <c r="AF105" s="282">
        <f t="shared" si="147"/>
        <v>0</v>
      </c>
      <c r="AG105" s="282">
        <f t="shared" si="148"/>
        <v>0</v>
      </c>
      <c r="AH105" s="283">
        <f t="shared" si="149"/>
        <v>0</v>
      </c>
      <c r="AM105" s="281">
        <f t="shared" si="150"/>
        <v>0</v>
      </c>
      <c r="AN105" s="282">
        <f t="shared" si="151"/>
        <v>0</v>
      </c>
      <c r="AO105" s="282">
        <f t="shared" si="152"/>
        <v>0</v>
      </c>
      <c r="AP105" s="283">
        <f t="shared" si="153"/>
        <v>0</v>
      </c>
      <c r="AQ105" s="281">
        <f t="shared" si="154"/>
        <v>0</v>
      </c>
      <c r="AR105" s="282">
        <f t="shared" si="155"/>
        <v>0</v>
      </c>
      <c r="AS105" s="282">
        <f t="shared" si="156"/>
        <v>0</v>
      </c>
      <c r="AT105" s="283">
        <f t="shared" si="157"/>
        <v>0</v>
      </c>
      <c r="AU105" s="281">
        <f t="shared" si="158"/>
        <v>3.05</v>
      </c>
      <c r="AV105" s="282">
        <f t="shared" si="159"/>
        <v>0</v>
      </c>
      <c r="AW105" s="282">
        <f t="shared" si="160"/>
        <v>0</v>
      </c>
      <c r="AX105" s="283"/>
      <c r="BC105" s="281">
        <f t="shared" si="161"/>
        <v>0</v>
      </c>
      <c r="BD105" s="282">
        <f t="shared" si="162"/>
        <v>0</v>
      </c>
      <c r="BE105" s="282">
        <f t="shared" si="163"/>
        <v>0</v>
      </c>
      <c r="BF105" s="283"/>
      <c r="BG105" s="281">
        <f t="shared" si="164"/>
        <v>0</v>
      </c>
      <c r="BH105" s="282">
        <f t="shared" si="165"/>
        <v>0</v>
      </c>
      <c r="BI105" s="282">
        <f t="shared" si="166"/>
        <v>0</v>
      </c>
      <c r="BJ105" s="283"/>
      <c r="BK105" s="281">
        <f t="shared" si="167"/>
        <v>0</v>
      </c>
      <c r="BL105" s="282">
        <f t="shared" si="168"/>
        <v>0</v>
      </c>
      <c r="BM105" s="282">
        <f t="shared" si="169"/>
        <v>0</v>
      </c>
      <c r="BN105" s="599"/>
      <c r="CG105" s="281">
        <f t="shared" si="170"/>
        <v>0</v>
      </c>
      <c r="CH105" s="281">
        <f t="shared" si="170"/>
        <v>0</v>
      </c>
      <c r="CI105" s="281">
        <f t="shared" si="170"/>
        <v>0.15</v>
      </c>
      <c r="CJ105" s="293">
        <f t="shared" si="170"/>
        <v>0</v>
      </c>
      <c r="CK105" s="281">
        <f t="shared" si="171"/>
        <v>0</v>
      </c>
      <c r="CL105" s="281">
        <f t="shared" si="171"/>
        <v>0</v>
      </c>
      <c r="CM105" s="281">
        <f t="shared" si="171"/>
        <v>0.15</v>
      </c>
      <c r="CN105" s="293">
        <f t="shared" si="171"/>
        <v>0</v>
      </c>
      <c r="CO105" s="281">
        <f t="shared" si="172"/>
        <v>3.05</v>
      </c>
      <c r="CP105" s="281">
        <f t="shared" si="172"/>
        <v>0</v>
      </c>
      <c r="CQ105" s="281">
        <f t="shared" si="172"/>
        <v>0.15</v>
      </c>
      <c r="CR105" s="293">
        <f t="shared" si="172"/>
        <v>0</v>
      </c>
      <c r="CS105" s="281">
        <f t="shared" si="173"/>
        <v>3.05</v>
      </c>
      <c r="CT105" s="281">
        <f t="shared" si="173"/>
        <v>0</v>
      </c>
      <c r="CU105" s="281">
        <f t="shared" si="173"/>
        <v>0.15</v>
      </c>
      <c r="CV105" s="293">
        <f t="shared" si="173"/>
        <v>0</v>
      </c>
      <c r="CX105" s="316">
        <f t="shared" si="174"/>
        <v>0</v>
      </c>
      <c r="CY105" s="316">
        <f t="shared" si="174"/>
        <v>0</v>
      </c>
      <c r="CZ105" s="316">
        <f t="shared" si="174"/>
        <v>0</v>
      </c>
      <c r="DA105" s="318">
        <f t="shared" si="174"/>
        <v>0</v>
      </c>
      <c r="DB105" s="281">
        <f t="shared" si="175"/>
        <v>0</v>
      </c>
      <c r="DC105" s="281">
        <f t="shared" si="175"/>
        <v>0</v>
      </c>
      <c r="DD105" s="281">
        <f t="shared" si="175"/>
        <v>0</v>
      </c>
      <c r="DE105" s="293">
        <f t="shared" si="175"/>
        <v>3.05</v>
      </c>
      <c r="DF105" s="281">
        <f t="shared" si="176"/>
        <v>0</v>
      </c>
      <c r="DG105" s="281">
        <f t="shared" si="176"/>
        <v>0</v>
      </c>
      <c r="DH105" s="281">
        <f t="shared" si="176"/>
        <v>0</v>
      </c>
      <c r="DI105" s="293">
        <f t="shared" si="176"/>
        <v>3.05</v>
      </c>
      <c r="DJ105" s="281">
        <f t="shared" si="177"/>
        <v>0</v>
      </c>
      <c r="DK105" s="281">
        <f t="shared" si="177"/>
        <v>0</v>
      </c>
      <c r="DL105" s="281">
        <f t="shared" si="177"/>
        <v>0</v>
      </c>
      <c r="DM105" s="293">
        <f t="shared" si="177"/>
        <v>3.05</v>
      </c>
    </row>
    <row r="106" spans="1:117" ht="15.75" hidden="1" customHeight="1" thickBot="1" x14ac:dyDescent="0.3">
      <c r="A106" s="123" t="s">
        <v>27</v>
      </c>
      <c r="B106" s="83">
        <v>114</v>
      </c>
      <c r="C106" s="369"/>
      <c r="D106" s="369"/>
      <c r="E106" s="369"/>
      <c r="F106" s="369">
        <v>46</v>
      </c>
      <c r="G106" s="281">
        <f t="shared" si="126"/>
        <v>0</v>
      </c>
      <c r="H106" s="282">
        <f t="shared" si="127"/>
        <v>0</v>
      </c>
      <c r="I106" s="282">
        <f t="shared" si="128"/>
        <v>0</v>
      </c>
      <c r="J106" s="283">
        <f t="shared" si="129"/>
        <v>0</v>
      </c>
      <c r="K106" s="281">
        <f t="shared" si="130"/>
        <v>0</v>
      </c>
      <c r="L106" s="282">
        <f t="shared" si="131"/>
        <v>0</v>
      </c>
      <c r="M106" s="282">
        <f t="shared" si="132"/>
        <v>0</v>
      </c>
      <c r="N106" s="283">
        <f t="shared" si="133"/>
        <v>0</v>
      </c>
      <c r="O106" s="281">
        <f t="shared" si="134"/>
        <v>0</v>
      </c>
      <c r="P106" s="282">
        <f t="shared" si="135"/>
        <v>0</v>
      </c>
      <c r="Q106" s="282">
        <f t="shared" si="136"/>
        <v>0.15</v>
      </c>
      <c r="R106" s="283">
        <f t="shared" si="137"/>
        <v>0</v>
      </c>
      <c r="W106" s="281">
        <f t="shared" si="138"/>
        <v>0</v>
      </c>
      <c r="X106" s="282">
        <f t="shared" si="139"/>
        <v>0</v>
      </c>
      <c r="Y106" s="282">
        <f t="shared" si="140"/>
        <v>0</v>
      </c>
      <c r="Z106" s="283">
        <f t="shared" si="141"/>
        <v>0</v>
      </c>
      <c r="AA106" s="281">
        <f t="shared" si="142"/>
        <v>0</v>
      </c>
      <c r="AB106" s="282">
        <f t="shared" si="143"/>
        <v>0</v>
      </c>
      <c r="AC106" s="282">
        <f t="shared" si="144"/>
        <v>0</v>
      </c>
      <c r="AD106" s="283">
        <f t="shared" si="145"/>
        <v>0</v>
      </c>
      <c r="AE106" s="281">
        <f t="shared" si="146"/>
        <v>0</v>
      </c>
      <c r="AF106" s="282">
        <f t="shared" si="147"/>
        <v>0</v>
      </c>
      <c r="AG106" s="282">
        <f t="shared" si="148"/>
        <v>0</v>
      </c>
      <c r="AH106" s="283">
        <f t="shared" si="149"/>
        <v>0</v>
      </c>
      <c r="AM106" s="281">
        <f t="shared" si="150"/>
        <v>0</v>
      </c>
      <c r="AN106" s="282">
        <f t="shared" si="151"/>
        <v>0</v>
      </c>
      <c r="AO106" s="282">
        <f t="shared" si="152"/>
        <v>0</v>
      </c>
      <c r="AP106" s="283">
        <f t="shared" si="153"/>
        <v>0</v>
      </c>
      <c r="AQ106" s="281">
        <f t="shared" si="154"/>
        <v>0</v>
      </c>
      <c r="AR106" s="282">
        <f t="shared" si="155"/>
        <v>0</v>
      </c>
      <c r="AS106" s="282">
        <f t="shared" si="156"/>
        <v>0</v>
      </c>
      <c r="AT106" s="283">
        <f t="shared" si="157"/>
        <v>0</v>
      </c>
      <c r="AU106" s="281">
        <f t="shared" si="158"/>
        <v>0</v>
      </c>
      <c r="AV106" s="282">
        <f t="shared" si="159"/>
        <v>0</v>
      </c>
      <c r="AW106" s="282">
        <f t="shared" si="160"/>
        <v>0</v>
      </c>
      <c r="AX106" s="283"/>
      <c r="BC106" s="281">
        <f t="shared" si="161"/>
        <v>0</v>
      </c>
      <c r="BD106" s="282">
        <f t="shared" si="162"/>
        <v>0</v>
      </c>
      <c r="BE106" s="282">
        <f t="shared" si="163"/>
        <v>0</v>
      </c>
      <c r="BF106" s="283"/>
      <c r="BG106" s="281">
        <f t="shared" si="164"/>
        <v>0</v>
      </c>
      <c r="BH106" s="282">
        <f t="shared" si="165"/>
        <v>0</v>
      </c>
      <c r="BI106" s="282">
        <f t="shared" si="166"/>
        <v>0</v>
      </c>
      <c r="BJ106" s="283"/>
      <c r="BK106" s="281">
        <f t="shared" si="167"/>
        <v>0</v>
      </c>
      <c r="BL106" s="282">
        <f t="shared" si="168"/>
        <v>0</v>
      </c>
      <c r="BM106" s="282">
        <f t="shared" si="169"/>
        <v>0</v>
      </c>
      <c r="BN106" s="599"/>
      <c r="CG106" s="281">
        <f t="shared" si="170"/>
        <v>0</v>
      </c>
      <c r="CH106" s="281">
        <f t="shared" si="170"/>
        <v>0</v>
      </c>
      <c r="CI106" s="281">
        <f t="shared" si="170"/>
        <v>0.15</v>
      </c>
      <c r="CJ106" s="293">
        <f t="shared" si="170"/>
        <v>0</v>
      </c>
      <c r="CK106" s="281">
        <f t="shared" si="171"/>
        <v>0</v>
      </c>
      <c r="CL106" s="281">
        <f t="shared" si="171"/>
        <v>0</v>
      </c>
      <c r="CM106" s="281">
        <f t="shared" si="171"/>
        <v>0.15</v>
      </c>
      <c r="CN106" s="293">
        <f t="shared" si="171"/>
        <v>0</v>
      </c>
      <c r="CO106" s="281">
        <f t="shared" si="172"/>
        <v>0</v>
      </c>
      <c r="CP106" s="281">
        <f t="shared" si="172"/>
        <v>0</v>
      </c>
      <c r="CQ106" s="281">
        <f t="shared" si="172"/>
        <v>0.15</v>
      </c>
      <c r="CR106" s="293">
        <f t="shared" si="172"/>
        <v>0</v>
      </c>
      <c r="CS106" s="281">
        <f t="shared" si="173"/>
        <v>0</v>
      </c>
      <c r="CT106" s="281">
        <f t="shared" si="173"/>
        <v>0</v>
      </c>
      <c r="CU106" s="281">
        <f t="shared" si="173"/>
        <v>0.15</v>
      </c>
      <c r="CV106" s="293">
        <f t="shared" si="173"/>
        <v>0</v>
      </c>
      <c r="CX106" s="316">
        <f t="shared" si="174"/>
        <v>0</v>
      </c>
      <c r="CY106" s="316">
        <f t="shared" si="174"/>
        <v>0</v>
      </c>
      <c r="CZ106" s="316">
        <f t="shared" si="174"/>
        <v>0</v>
      </c>
      <c r="DA106" s="318">
        <f t="shared" si="174"/>
        <v>0</v>
      </c>
      <c r="DB106" s="281">
        <f t="shared" si="175"/>
        <v>0</v>
      </c>
      <c r="DC106" s="281">
        <f t="shared" si="175"/>
        <v>0</v>
      </c>
      <c r="DD106" s="281">
        <f t="shared" si="175"/>
        <v>0</v>
      </c>
      <c r="DE106" s="293">
        <f t="shared" si="175"/>
        <v>0</v>
      </c>
      <c r="DF106" s="281">
        <f t="shared" si="176"/>
        <v>0</v>
      </c>
      <c r="DG106" s="281">
        <f t="shared" si="176"/>
        <v>0</v>
      </c>
      <c r="DH106" s="281">
        <f t="shared" si="176"/>
        <v>0</v>
      </c>
      <c r="DI106" s="293">
        <f t="shared" si="176"/>
        <v>0</v>
      </c>
      <c r="DJ106" s="281">
        <f t="shared" si="177"/>
        <v>0</v>
      </c>
      <c r="DK106" s="281">
        <f t="shared" si="177"/>
        <v>0</v>
      </c>
      <c r="DL106" s="281">
        <f t="shared" si="177"/>
        <v>0</v>
      </c>
      <c r="DM106" s="293">
        <f t="shared" si="177"/>
        <v>0</v>
      </c>
    </row>
    <row r="107" spans="1:117" ht="15" hidden="1" customHeight="1" x14ac:dyDescent="0.25">
      <c r="A107" s="520" t="s">
        <v>28</v>
      </c>
      <c r="B107" s="23">
        <v>25</v>
      </c>
      <c r="C107" s="367"/>
      <c r="D107" s="367"/>
      <c r="E107" s="367"/>
      <c r="F107" s="367">
        <v>38.22</v>
      </c>
      <c r="G107" s="281">
        <f t="shared" si="126"/>
        <v>0</v>
      </c>
      <c r="H107" s="282">
        <f t="shared" si="127"/>
        <v>1.42</v>
      </c>
      <c r="I107" s="282">
        <f t="shared" si="128"/>
        <v>1.02</v>
      </c>
      <c r="J107" s="283">
        <f t="shared" si="129"/>
        <v>18.25</v>
      </c>
      <c r="K107" s="281">
        <f t="shared" si="130"/>
        <v>0</v>
      </c>
      <c r="L107" s="282">
        <f t="shared" si="131"/>
        <v>0.37</v>
      </c>
      <c r="M107" s="282">
        <f t="shared" si="132"/>
        <v>1.02</v>
      </c>
      <c r="N107" s="283">
        <f t="shared" si="133"/>
        <v>21.46</v>
      </c>
      <c r="O107" s="281">
        <f t="shared" si="134"/>
        <v>0</v>
      </c>
      <c r="P107" s="282">
        <f t="shared" si="135"/>
        <v>0.36</v>
      </c>
      <c r="Q107" s="282">
        <f t="shared" si="136"/>
        <v>2.2800000000000002</v>
      </c>
      <c r="R107" s="283">
        <f t="shared" si="137"/>
        <v>18.98</v>
      </c>
      <c r="W107" s="281">
        <f t="shared" si="138"/>
        <v>0</v>
      </c>
      <c r="X107" s="282">
        <f t="shared" si="139"/>
        <v>1.26</v>
      </c>
      <c r="Y107" s="282">
        <f t="shared" si="140"/>
        <v>3.4299999999999997</v>
      </c>
      <c r="Z107" s="283">
        <f t="shared" si="141"/>
        <v>28.92</v>
      </c>
      <c r="AA107" s="281">
        <f t="shared" si="142"/>
        <v>0</v>
      </c>
      <c r="AB107" s="282">
        <f t="shared" si="143"/>
        <v>2.7600000000000002</v>
      </c>
      <c r="AC107" s="282">
        <f t="shared" si="144"/>
        <v>9.34</v>
      </c>
      <c r="AD107" s="283">
        <f t="shared" si="145"/>
        <v>43.78</v>
      </c>
      <c r="AE107" s="281">
        <f t="shared" si="146"/>
        <v>0</v>
      </c>
      <c r="AF107" s="282">
        <f t="shared" si="147"/>
        <v>0.92</v>
      </c>
      <c r="AG107" s="282">
        <f t="shared" si="148"/>
        <v>12.17</v>
      </c>
      <c r="AH107" s="283">
        <f t="shared" si="149"/>
        <v>24.43</v>
      </c>
      <c r="AM107" s="281">
        <f t="shared" si="150"/>
        <v>0</v>
      </c>
      <c r="AN107" s="282">
        <f t="shared" si="151"/>
        <v>1.19</v>
      </c>
      <c r="AO107" s="282">
        <f t="shared" si="152"/>
        <v>8.1</v>
      </c>
      <c r="AP107" s="283">
        <f t="shared" si="153"/>
        <v>23.89</v>
      </c>
      <c r="AQ107" s="281">
        <f t="shared" si="154"/>
        <v>0.28999999999999998</v>
      </c>
      <c r="AR107" s="282">
        <f t="shared" si="155"/>
        <v>2.16</v>
      </c>
      <c r="AS107" s="282">
        <f t="shared" si="156"/>
        <v>10.59</v>
      </c>
      <c r="AT107" s="283">
        <f t="shared" si="157"/>
        <v>30.08</v>
      </c>
      <c r="AU107" s="281">
        <f t="shared" si="158"/>
        <v>0.69</v>
      </c>
      <c r="AV107" s="282">
        <f t="shared" si="159"/>
        <v>0.71</v>
      </c>
      <c r="AW107" s="282">
        <f t="shared" si="160"/>
        <v>14.830000000000002</v>
      </c>
      <c r="AX107" s="283"/>
      <c r="BC107" s="281">
        <f t="shared" si="161"/>
        <v>0.4</v>
      </c>
      <c r="BD107" s="282">
        <f t="shared" si="162"/>
        <v>1.4</v>
      </c>
      <c r="BE107" s="282">
        <f t="shared" si="163"/>
        <v>13.21</v>
      </c>
      <c r="BF107" s="283"/>
      <c r="BG107" s="281">
        <f t="shared" si="164"/>
        <v>0.71</v>
      </c>
      <c r="BH107" s="282">
        <f t="shared" si="165"/>
        <v>1.57</v>
      </c>
      <c r="BI107" s="282">
        <f t="shared" si="166"/>
        <v>24.810000000000002</v>
      </c>
      <c r="BJ107" s="283"/>
      <c r="BK107" s="281">
        <f t="shared" si="167"/>
        <v>0.99</v>
      </c>
      <c r="BL107" s="282">
        <f t="shared" si="168"/>
        <v>1.03</v>
      </c>
      <c r="BM107" s="282">
        <f t="shared" si="169"/>
        <v>9.11</v>
      </c>
      <c r="BN107" s="599"/>
      <c r="CG107" s="281">
        <f t="shared" si="170"/>
        <v>0</v>
      </c>
      <c r="CH107" s="281">
        <f t="shared" si="170"/>
        <v>2.15</v>
      </c>
      <c r="CI107" s="281">
        <f t="shared" si="170"/>
        <v>4.32</v>
      </c>
      <c r="CJ107" s="293">
        <f t="shared" si="170"/>
        <v>58.69</v>
      </c>
      <c r="CK107" s="281">
        <f t="shared" si="171"/>
        <v>0</v>
      </c>
      <c r="CL107" s="281">
        <f t="shared" si="171"/>
        <v>7.09</v>
      </c>
      <c r="CM107" s="281">
        <f t="shared" si="171"/>
        <v>29.259999999999998</v>
      </c>
      <c r="CN107" s="293">
        <f t="shared" si="171"/>
        <v>155.82</v>
      </c>
      <c r="CO107" s="281">
        <f t="shared" si="172"/>
        <v>0.98</v>
      </c>
      <c r="CP107" s="281">
        <f t="shared" si="172"/>
        <v>11.149999999999999</v>
      </c>
      <c r="CQ107" s="281">
        <f t="shared" si="172"/>
        <v>62.78</v>
      </c>
      <c r="CR107" s="293">
        <f t="shared" si="172"/>
        <v>209.78999999999996</v>
      </c>
      <c r="CS107" s="281">
        <f t="shared" si="173"/>
        <v>3.08</v>
      </c>
      <c r="CT107" s="281">
        <f t="shared" si="173"/>
        <v>15.149999999999999</v>
      </c>
      <c r="CU107" s="281">
        <f t="shared" si="173"/>
        <v>109.91000000000001</v>
      </c>
      <c r="CV107" s="293">
        <f t="shared" si="173"/>
        <v>209.78999999999996</v>
      </c>
      <c r="CX107" s="316">
        <f t="shared" si="174"/>
        <v>4.9400000000000004</v>
      </c>
      <c r="CY107" s="316">
        <f t="shared" si="174"/>
        <v>24.939999999999998</v>
      </c>
      <c r="CZ107" s="316">
        <f t="shared" si="174"/>
        <v>97.13</v>
      </c>
      <c r="DA107" s="318">
        <f t="shared" si="174"/>
        <v>0</v>
      </c>
      <c r="DB107" s="281">
        <f t="shared" si="175"/>
        <v>9</v>
      </c>
      <c r="DC107" s="281">
        <f t="shared" si="175"/>
        <v>58.459999999999994</v>
      </c>
      <c r="DD107" s="281">
        <f t="shared" si="175"/>
        <v>151.1</v>
      </c>
      <c r="DE107" s="293">
        <f t="shared" si="175"/>
        <v>0.98</v>
      </c>
      <c r="DF107" s="281">
        <f t="shared" si="176"/>
        <v>13</v>
      </c>
      <c r="DG107" s="281">
        <f t="shared" si="176"/>
        <v>105.58999999999999</v>
      </c>
      <c r="DH107" s="281">
        <f t="shared" si="176"/>
        <v>151.1</v>
      </c>
      <c r="DI107" s="293">
        <f t="shared" si="176"/>
        <v>2.6799999999999997</v>
      </c>
      <c r="DJ107" s="281">
        <f t="shared" si="177"/>
        <v>13</v>
      </c>
      <c r="DK107" s="281">
        <f t="shared" si="177"/>
        <v>105.58999999999999</v>
      </c>
      <c r="DL107" s="281">
        <f t="shared" si="177"/>
        <v>151.1</v>
      </c>
      <c r="DM107" s="293">
        <f t="shared" si="177"/>
        <v>2.6799999999999997</v>
      </c>
    </row>
    <row r="108" spans="1:117" ht="15" hidden="1" customHeight="1" x14ac:dyDescent="0.25">
      <c r="A108" s="521"/>
      <c r="B108" s="55" t="s">
        <v>29</v>
      </c>
      <c r="C108" s="376"/>
      <c r="D108" s="376"/>
      <c r="E108" s="376"/>
      <c r="F108" s="377">
        <v>22.72</v>
      </c>
      <c r="G108" s="281">
        <f t="shared" si="126"/>
        <v>1.03</v>
      </c>
      <c r="H108" s="282">
        <f t="shared" si="127"/>
        <v>4.6099999999999994</v>
      </c>
      <c r="I108" s="282">
        <f t="shared" si="128"/>
        <v>5.78</v>
      </c>
      <c r="J108" s="283">
        <f t="shared" si="129"/>
        <v>18.600000000000001</v>
      </c>
      <c r="K108" s="281">
        <f t="shared" si="130"/>
        <v>0.5</v>
      </c>
      <c r="L108" s="282">
        <f t="shared" si="131"/>
        <v>1.23</v>
      </c>
      <c r="M108" s="282">
        <f t="shared" si="132"/>
        <v>4.8100000000000005</v>
      </c>
      <c r="N108" s="283">
        <f t="shared" si="133"/>
        <v>10.9</v>
      </c>
      <c r="O108" s="281">
        <f t="shared" si="134"/>
        <v>0</v>
      </c>
      <c r="P108" s="282">
        <f t="shared" si="135"/>
        <v>2</v>
      </c>
      <c r="Q108" s="282">
        <f t="shared" si="136"/>
        <v>6.07</v>
      </c>
      <c r="R108" s="283">
        <f t="shared" si="137"/>
        <v>23.84</v>
      </c>
      <c r="W108" s="281">
        <f t="shared" si="138"/>
        <v>0</v>
      </c>
      <c r="X108" s="282">
        <f t="shared" si="139"/>
        <v>2.17</v>
      </c>
      <c r="Y108" s="282">
        <f t="shared" si="140"/>
        <v>9.06</v>
      </c>
      <c r="Z108" s="283">
        <f t="shared" si="141"/>
        <v>19.61</v>
      </c>
      <c r="AA108" s="281">
        <f t="shared" si="142"/>
        <v>1.77</v>
      </c>
      <c r="AB108" s="282">
        <f t="shared" si="143"/>
        <v>3.39</v>
      </c>
      <c r="AC108" s="282">
        <f t="shared" si="144"/>
        <v>15.52</v>
      </c>
      <c r="AD108" s="283">
        <f t="shared" si="145"/>
        <v>20.61</v>
      </c>
      <c r="AE108" s="281">
        <f t="shared" si="146"/>
        <v>0.7</v>
      </c>
      <c r="AF108" s="282">
        <f t="shared" si="147"/>
        <v>2.4900000000000002</v>
      </c>
      <c r="AG108" s="282">
        <f t="shared" si="148"/>
        <v>14.17</v>
      </c>
      <c r="AH108" s="283">
        <f t="shared" si="149"/>
        <v>24.740000000000002</v>
      </c>
      <c r="AM108" s="281">
        <f t="shared" si="150"/>
        <v>0.97</v>
      </c>
      <c r="AN108" s="282">
        <f t="shared" si="151"/>
        <v>4.03</v>
      </c>
      <c r="AO108" s="282">
        <f t="shared" si="152"/>
        <v>9.67</v>
      </c>
      <c r="AP108" s="283">
        <f t="shared" si="153"/>
        <v>17.809999999999999</v>
      </c>
      <c r="AQ108" s="281">
        <f t="shared" si="154"/>
        <v>1.75</v>
      </c>
      <c r="AR108" s="282">
        <f t="shared" si="155"/>
        <v>3.1</v>
      </c>
      <c r="AS108" s="282">
        <f t="shared" si="156"/>
        <v>21.14</v>
      </c>
      <c r="AT108" s="283">
        <f t="shared" si="157"/>
        <v>24.36</v>
      </c>
      <c r="AU108" s="281">
        <f t="shared" si="158"/>
        <v>2</v>
      </c>
      <c r="AV108" s="282">
        <f t="shared" si="159"/>
        <v>4.79</v>
      </c>
      <c r="AW108" s="282">
        <f t="shared" si="160"/>
        <v>20.100000000000001</v>
      </c>
      <c r="AX108" s="283"/>
      <c r="BC108" s="281">
        <f t="shared" si="161"/>
        <v>2</v>
      </c>
      <c r="BD108" s="282">
        <f t="shared" si="162"/>
        <v>7.67</v>
      </c>
      <c r="BE108" s="282">
        <f t="shared" si="163"/>
        <v>16.68</v>
      </c>
      <c r="BF108" s="283"/>
      <c r="BG108" s="281">
        <f t="shared" si="164"/>
        <v>3.21</v>
      </c>
      <c r="BH108" s="282">
        <f t="shared" si="165"/>
        <v>8.4699999999999989</v>
      </c>
      <c r="BI108" s="282">
        <f t="shared" si="166"/>
        <v>19.809999999999999</v>
      </c>
      <c r="BJ108" s="283"/>
      <c r="BK108" s="281">
        <f t="shared" si="167"/>
        <v>1.5</v>
      </c>
      <c r="BL108" s="282">
        <f t="shared" si="168"/>
        <v>6.1899999999999995</v>
      </c>
      <c r="BM108" s="282">
        <f t="shared" si="169"/>
        <v>22.05</v>
      </c>
      <c r="BN108" s="599"/>
      <c r="CG108" s="281">
        <f t="shared" si="170"/>
        <v>1.53</v>
      </c>
      <c r="CH108" s="281">
        <f t="shared" si="170"/>
        <v>7.84</v>
      </c>
      <c r="CI108" s="281">
        <f t="shared" si="170"/>
        <v>16.66</v>
      </c>
      <c r="CJ108" s="293">
        <f t="shared" si="170"/>
        <v>53.34</v>
      </c>
      <c r="CK108" s="281">
        <f t="shared" si="171"/>
        <v>4</v>
      </c>
      <c r="CL108" s="281">
        <f t="shared" si="171"/>
        <v>15.89</v>
      </c>
      <c r="CM108" s="281">
        <f t="shared" si="171"/>
        <v>55.41</v>
      </c>
      <c r="CN108" s="293">
        <f t="shared" si="171"/>
        <v>118.30000000000001</v>
      </c>
      <c r="CO108" s="281">
        <f t="shared" si="172"/>
        <v>8.7199999999999989</v>
      </c>
      <c r="CP108" s="281">
        <f t="shared" si="172"/>
        <v>27.810000000000002</v>
      </c>
      <c r="CQ108" s="281">
        <f t="shared" si="172"/>
        <v>106.32</v>
      </c>
      <c r="CR108" s="293">
        <f t="shared" si="172"/>
        <v>160.47000000000003</v>
      </c>
      <c r="CS108" s="281">
        <f t="shared" si="173"/>
        <v>15.43</v>
      </c>
      <c r="CT108" s="281">
        <f t="shared" si="173"/>
        <v>50.14</v>
      </c>
      <c r="CU108" s="281">
        <f t="shared" si="173"/>
        <v>164.86</v>
      </c>
      <c r="CV108" s="293">
        <f t="shared" si="173"/>
        <v>160.47000000000003</v>
      </c>
      <c r="CX108" s="316">
        <f t="shared" si="174"/>
        <v>8.0500000000000007</v>
      </c>
      <c r="CY108" s="316">
        <f t="shared" si="174"/>
        <v>38.75</v>
      </c>
      <c r="CZ108" s="316">
        <f t="shared" si="174"/>
        <v>64.960000000000008</v>
      </c>
      <c r="DA108" s="318">
        <f t="shared" si="174"/>
        <v>2.4699999999999998</v>
      </c>
      <c r="DB108" s="281">
        <f t="shared" si="175"/>
        <v>19.970000000000002</v>
      </c>
      <c r="DC108" s="281">
        <f t="shared" si="175"/>
        <v>89.66</v>
      </c>
      <c r="DD108" s="281">
        <f t="shared" si="175"/>
        <v>107.13000000000001</v>
      </c>
      <c r="DE108" s="293">
        <f t="shared" si="175"/>
        <v>6.22</v>
      </c>
      <c r="DF108" s="281">
        <f t="shared" si="176"/>
        <v>42.3</v>
      </c>
      <c r="DG108" s="281">
        <f t="shared" si="176"/>
        <v>148.20000000000002</v>
      </c>
      <c r="DH108" s="281">
        <f t="shared" si="176"/>
        <v>107.13000000000001</v>
      </c>
      <c r="DI108" s="293">
        <f t="shared" si="176"/>
        <v>10.93</v>
      </c>
      <c r="DJ108" s="281">
        <f t="shared" si="177"/>
        <v>42.3</v>
      </c>
      <c r="DK108" s="281">
        <f t="shared" si="177"/>
        <v>148.20000000000002</v>
      </c>
      <c r="DL108" s="281">
        <f t="shared" si="177"/>
        <v>107.13000000000001</v>
      </c>
      <c r="DM108" s="293">
        <f t="shared" si="177"/>
        <v>10.93</v>
      </c>
    </row>
    <row r="109" spans="1:117" ht="15" hidden="1" customHeight="1" x14ac:dyDescent="0.25">
      <c r="A109" s="521"/>
      <c r="B109" s="55" t="s">
        <v>30</v>
      </c>
      <c r="C109" s="376"/>
      <c r="D109" s="376"/>
      <c r="E109" s="376"/>
      <c r="F109" s="377"/>
      <c r="G109" s="281">
        <f t="shared" si="126"/>
        <v>0</v>
      </c>
      <c r="H109" s="282">
        <f t="shared" si="127"/>
        <v>0</v>
      </c>
      <c r="I109" s="282">
        <f t="shared" si="128"/>
        <v>0</v>
      </c>
      <c r="J109" s="283">
        <f t="shared" si="129"/>
        <v>0</v>
      </c>
      <c r="K109" s="281">
        <f t="shared" si="130"/>
        <v>0</v>
      </c>
      <c r="L109" s="282">
        <f t="shared" si="131"/>
        <v>0</v>
      </c>
      <c r="M109" s="282">
        <f t="shared" si="132"/>
        <v>0</v>
      </c>
      <c r="N109" s="283">
        <f t="shared" si="133"/>
        <v>0</v>
      </c>
      <c r="O109" s="281">
        <f t="shared" si="134"/>
        <v>0</v>
      </c>
      <c r="P109" s="282">
        <f t="shared" si="135"/>
        <v>0</v>
      </c>
      <c r="Q109" s="282">
        <f t="shared" si="136"/>
        <v>0</v>
      </c>
      <c r="R109" s="283">
        <f t="shared" si="137"/>
        <v>0</v>
      </c>
      <c r="W109" s="281">
        <f t="shared" si="138"/>
        <v>0</v>
      </c>
      <c r="X109" s="282">
        <f t="shared" si="139"/>
        <v>0</v>
      </c>
      <c r="Y109" s="282">
        <f t="shared" si="140"/>
        <v>0</v>
      </c>
      <c r="Z109" s="283">
        <f t="shared" si="141"/>
        <v>0</v>
      </c>
      <c r="AA109" s="281">
        <f t="shared" si="142"/>
        <v>0</v>
      </c>
      <c r="AB109" s="282">
        <f t="shared" si="143"/>
        <v>0</v>
      </c>
      <c r="AC109" s="282">
        <f t="shared" si="144"/>
        <v>0</v>
      </c>
      <c r="AD109" s="283">
        <f t="shared" si="145"/>
        <v>0</v>
      </c>
      <c r="AE109" s="281">
        <f t="shared" si="146"/>
        <v>0</v>
      </c>
      <c r="AF109" s="282">
        <f t="shared" si="147"/>
        <v>0</v>
      </c>
      <c r="AG109" s="282">
        <f t="shared" si="148"/>
        <v>0</v>
      </c>
      <c r="AH109" s="283">
        <f t="shared" si="149"/>
        <v>0</v>
      </c>
      <c r="AM109" s="281">
        <f t="shared" si="150"/>
        <v>0</v>
      </c>
      <c r="AN109" s="282">
        <f t="shared" si="151"/>
        <v>0</v>
      </c>
      <c r="AO109" s="282">
        <f t="shared" si="152"/>
        <v>0</v>
      </c>
      <c r="AP109" s="283">
        <f t="shared" si="153"/>
        <v>0</v>
      </c>
      <c r="AQ109" s="281">
        <f t="shared" si="154"/>
        <v>0</v>
      </c>
      <c r="AR109" s="282">
        <f t="shared" si="155"/>
        <v>0</v>
      </c>
      <c r="AS109" s="282">
        <f t="shared" si="156"/>
        <v>0</v>
      </c>
      <c r="AT109" s="283">
        <f t="shared" si="157"/>
        <v>0</v>
      </c>
      <c r="AU109" s="281">
        <f t="shared" si="158"/>
        <v>0</v>
      </c>
      <c r="AV109" s="282">
        <f t="shared" si="159"/>
        <v>0</v>
      </c>
      <c r="AW109" s="282">
        <f t="shared" si="160"/>
        <v>0</v>
      </c>
      <c r="AX109" s="283"/>
      <c r="BC109" s="281">
        <f t="shared" si="161"/>
        <v>0</v>
      </c>
      <c r="BD109" s="282">
        <f t="shared" si="162"/>
        <v>0</v>
      </c>
      <c r="BE109" s="282">
        <f t="shared" si="163"/>
        <v>0</v>
      </c>
      <c r="BF109" s="283"/>
      <c r="BG109" s="281">
        <f t="shared" si="164"/>
        <v>0</v>
      </c>
      <c r="BH109" s="282">
        <f t="shared" si="165"/>
        <v>0</v>
      </c>
      <c r="BI109" s="282">
        <f t="shared" si="166"/>
        <v>0</v>
      </c>
      <c r="BJ109" s="283"/>
      <c r="BK109" s="281">
        <f t="shared" si="167"/>
        <v>0</v>
      </c>
      <c r="BL109" s="282">
        <f t="shared" si="168"/>
        <v>0</v>
      </c>
      <c r="BM109" s="282">
        <f t="shared" si="169"/>
        <v>0</v>
      </c>
      <c r="BN109" s="599"/>
      <c r="CG109" s="281">
        <f t="shared" si="170"/>
        <v>0</v>
      </c>
      <c r="CH109" s="281">
        <f t="shared" si="170"/>
        <v>0</v>
      </c>
      <c r="CI109" s="281">
        <f t="shared" si="170"/>
        <v>0</v>
      </c>
      <c r="CJ109" s="293">
        <f t="shared" si="170"/>
        <v>0</v>
      </c>
      <c r="CK109" s="281">
        <f t="shared" si="171"/>
        <v>0</v>
      </c>
      <c r="CL109" s="281">
        <f t="shared" si="171"/>
        <v>0</v>
      </c>
      <c r="CM109" s="281">
        <f t="shared" si="171"/>
        <v>0</v>
      </c>
      <c r="CN109" s="293">
        <f t="shared" si="171"/>
        <v>0</v>
      </c>
      <c r="CO109" s="281">
        <f t="shared" si="172"/>
        <v>0</v>
      </c>
      <c r="CP109" s="281">
        <f t="shared" si="172"/>
        <v>0</v>
      </c>
      <c r="CQ109" s="281">
        <f t="shared" si="172"/>
        <v>0</v>
      </c>
      <c r="CR109" s="293">
        <f t="shared" si="172"/>
        <v>0</v>
      </c>
      <c r="CS109" s="281">
        <f t="shared" si="173"/>
        <v>0</v>
      </c>
      <c r="CT109" s="281">
        <f t="shared" si="173"/>
        <v>0</v>
      </c>
      <c r="CU109" s="281">
        <f t="shared" si="173"/>
        <v>0</v>
      </c>
      <c r="CV109" s="293">
        <f t="shared" si="173"/>
        <v>0</v>
      </c>
      <c r="CX109" s="316">
        <f t="shared" si="174"/>
        <v>0</v>
      </c>
      <c r="CY109" s="316">
        <f t="shared" si="174"/>
        <v>0</v>
      </c>
      <c r="CZ109" s="316">
        <f t="shared" si="174"/>
        <v>0</v>
      </c>
      <c r="DA109" s="318">
        <f t="shared" si="174"/>
        <v>0</v>
      </c>
      <c r="DB109" s="281">
        <f t="shared" si="175"/>
        <v>0</v>
      </c>
      <c r="DC109" s="281">
        <f t="shared" si="175"/>
        <v>0</v>
      </c>
      <c r="DD109" s="281">
        <f t="shared" si="175"/>
        <v>0</v>
      </c>
      <c r="DE109" s="293">
        <f t="shared" si="175"/>
        <v>0</v>
      </c>
      <c r="DF109" s="281">
        <f t="shared" si="176"/>
        <v>0</v>
      </c>
      <c r="DG109" s="281">
        <f t="shared" si="176"/>
        <v>0</v>
      </c>
      <c r="DH109" s="281">
        <f t="shared" si="176"/>
        <v>0</v>
      </c>
      <c r="DI109" s="293">
        <f t="shared" si="176"/>
        <v>0</v>
      </c>
      <c r="DJ109" s="281">
        <f t="shared" si="177"/>
        <v>0</v>
      </c>
      <c r="DK109" s="281">
        <f t="shared" si="177"/>
        <v>0</v>
      </c>
      <c r="DL109" s="281">
        <f t="shared" si="177"/>
        <v>0</v>
      </c>
      <c r="DM109" s="293">
        <f t="shared" si="177"/>
        <v>0</v>
      </c>
    </row>
    <row r="110" spans="1:117" ht="15" hidden="1" customHeight="1" x14ac:dyDescent="0.25">
      <c r="A110" s="521"/>
      <c r="B110" s="55">
        <v>27</v>
      </c>
      <c r="C110" s="376"/>
      <c r="D110" s="376"/>
      <c r="E110" s="376"/>
      <c r="F110" s="377">
        <v>18.64</v>
      </c>
      <c r="G110" s="281">
        <f t="shared" si="126"/>
        <v>0.6</v>
      </c>
      <c r="H110" s="282">
        <f t="shared" si="127"/>
        <v>1.81</v>
      </c>
      <c r="I110" s="282">
        <f t="shared" si="128"/>
        <v>2.19</v>
      </c>
      <c r="J110" s="283">
        <f t="shared" si="129"/>
        <v>2.98</v>
      </c>
      <c r="K110" s="281">
        <f t="shared" si="130"/>
        <v>0.33</v>
      </c>
      <c r="L110" s="282">
        <f t="shared" si="131"/>
        <v>0.61</v>
      </c>
      <c r="M110" s="282">
        <f t="shared" si="132"/>
        <v>1.95</v>
      </c>
      <c r="N110" s="283">
        <f t="shared" si="133"/>
        <v>11.959999999999999</v>
      </c>
      <c r="O110" s="281">
        <f t="shared" si="134"/>
        <v>0</v>
      </c>
      <c r="P110" s="282">
        <f t="shared" si="135"/>
        <v>3.33</v>
      </c>
      <c r="Q110" s="282">
        <f t="shared" si="136"/>
        <v>2.97</v>
      </c>
      <c r="R110" s="283">
        <f t="shared" si="137"/>
        <v>9.25</v>
      </c>
      <c r="W110" s="281">
        <f t="shared" si="138"/>
        <v>0</v>
      </c>
      <c r="X110" s="282">
        <f t="shared" si="139"/>
        <v>1.27</v>
      </c>
      <c r="Y110" s="282">
        <f t="shared" si="140"/>
        <v>7.46</v>
      </c>
      <c r="Z110" s="283">
        <f t="shared" si="141"/>
        <v>17.259999999999998</v>
      </c>
      <c r="AA110" s="281">
        <f t="shared" si="142"/>
        <v>1.48</v>
      </c>
      <c r="AB110" s="282">
        <f t="shared" si="143"/>
        <v>5.2299999999999995</v>
      </c>
      <c r="AC110" s="282">
        <f t="shared" si="144"/>
        <v>11.2</v>
      </c>
      <c r="AD110" s="283">
        <f t="shared" si="145"/>
        <v>14.31</v>
      </c>
      <c r="AE110" s="281">
        <f t="shared" si="146"/>
        <v>0.6</v>
      </c>
      <c r="AF110" s="282">
        <f t="shared" si="147"/>
        <v>2.19</v>
      </c>
      <c r="AG110" s="282">
        <f t="shared" si="148"/>
        <v>8.01</v>
      </c>
      <c r="AH110" s="283">
        <f t="shared" si="149"/>
        <v>13.73</v>
      </c>
      <c r="AM110" s="281">
        <f t="shared" si="150"/>
        <v>0.78</v>
      </c>
      <c r="AN110" s="282">
        <f t="shared" si="151"/>
        <v>8.11</v>
      </c>
      <c r="AO110" s="282">
        <f t="shared" si="152"/>
        <v>13.530000000000001</v>
      </c>
      <c r="AP110" s="283">
        <f t="shared" si="153"/>
        <v>16.07</v>
      </c>
      <c r="AQ110" s="281">
        <f t="shared" si="154"/>
        <v>1.35</v>
      </c>
      <c r="AR110" s="282">
        <f t="shared" si="155"/>
        <v>4.33</v>
      </c>
      <c r="AS110" s="282">
        <f t="shared" si="156"/>
        <v>7.8</v>
      </c>
      <c r="AT110" s="283">
        <f t="shared" si="157"/>
        <v>25.27</v>
      </c>
      <c r="AU110" s="281">
        <f t="shared" si="158"/>
        <v>1</v>
      </c>
      <c r="AV110" s="282">
        <f t="shared" si="159"/>
        <v>2.41</v>
      </c>
      <c r="AW110" s="282">
        <f t="shared" si="160"/>
        <v>9.49</v>
      </c>
      <c r="AX110" s="283"/>
      <c r="BC110" s="281">
        <f t="shared" si="161"/>
        <v>0.9</v>
      </c>
      <c r="BD110" s="282">
        <f t="shared" si="162"/>
        <v>3.62</v>
      </c>
      <c r="BE110" s="282">
        <f t="shared" si="163"/>
        <v>15.47</v>
      </c>
      <c r="BF110" s="283"/>
      <c r="BG110" s="281">
        <f t="shared" si="164"/>
        <v>1.21</v>
      </c>
      <c r="BH110" s="282">
        <f t="shared" si="165"/>
        <v>3.48</v>
      </c>
      <c r="BI110" s="282">
        <f t="shared" si="166"/>
        <v>15.31</v>
      </c>
      <c r="BJ110" s="283"/>
      <c r="BK110" s="281">
        <f t="shared" si="167"/>
        <v>0.99</v>
      </c>
      <c r="BL110" s="282">
        <f t="shared" si="168"/>
        <v>2.0699999999999998</v>
      </c>
      <c r="BM110" s="282">
        <f t="shared" si="169"/>
        <v>13.75</v>
      </c>
      <c r="BN110" s="599"/>
      <c r="CG110" s="281">
        <f t="shared" si="170"/>
        <v>0.92999999999999994</v>
      </c>
      <c r="CH110" s="281">
        <f t="shared" si="170"/>
        <v>5.75</v>
      </c>
      <c r="CI110" s="281">
        <f t="shared" si="170"/>
        <v>7.1099999999999994</v>
      </c>
      <c r="CJ110" s="293">
        <f t="shared" si="170"/>
        <v>24.189999999999998</v>
      </c>
      <c r="CK110" s="281">
        <f t="shared" si="171"/>
        <v>3.0100000000000002</v>
      </c>
      <c r="CL110" s="281">
        <f t="shared" si="171"/>
        <v>14.44</v>
      </c>
      <c r="CM110" s="281">
        <f t="shared" si="171"/>
        <v>33.78</v>
      </c>
      <c r="CN110" s="293">
        <f t="shared" si="171"/>
        <v>69.489999999999995</v>
      </c>
      <c r="CO110" s="281">
        <f t="shared" si="172"/>
        <v>6.1400000000000006</v>
      </c>
      <c r="CP110" s="281">
        <f t="shared" si="172"/>
        <v>29.289999999999996</v>
      </c>
      <c r="CQ110" s="281">
        <f t="shared" si="172"/>
        <v>64.599999999999994</v>
      </c>
      <c r="CR110" s="293">
        <f t="shared" si="172"/>
        <v>110.83</v>
      </c>
      <c r="CS110" s="281">
        <f t="shared" si="173"/>
        <v>9.24</v>
      </c>
      <c r="CT110" s="281">
        <f t="shared" si="173"/>
        <v>38.459999999999994</v>
      </c>
      <c r="CU110" s="281">
        <f t="shared" si="173"/>
        <v>109.13</v>
      </c>
      <c r="CV110" s="293">
        <f t="shared" si="173"/>
        <v>110.83</v>
      </c>
      <c r="CX110" s="316">
        <f t="shared" si="174"/>
        <v>8.69</v>
      </c>
      <c r="CY110" s="316">
        <f t="shared" si="174"/>
        <v>26.67</v>
      </c>
      <c r="CZ110" s="316">
        <f t="shared" si="174"/>
        <v>45.3</v>
      </c>
      <c r="DA110" s="318">
        <f t="shared" si="174"/>
        <v>2.08</v>
      </c>
      <c r="DB110" s="281">
        <f t="shared" si="175"/>
        <v>23.539999999999996</v>
      </c>
      <c r="DC110" s="281">
        <f t="shared" si="175"/>
        <v>57.49</v>
      </c>
      <c r="DD110" s="281">
        <f t="shared" si="175"/>
        <v>86.64</v>
      </c>
      <c r="DE110" s="293">
        <f t="shared" si="175"/>
        <v>4.43</v>
      </c>
      <c r="DF110" s="281">
        <f t="shared" si="176"/>
        <v>32.709999999999994</v>
      </c>
      <c r="DG110" s="281">
        <f t="shared" si="176"/>
        <v>102.02000000000001</v>
      </c>
      <c r="DH110" s="281">
        <f t="shared" si="176"/>
        <v>86.64</v>
      </c>
      <c r="DI110" s="293">
        <f t="shared" si="176"/>
        <v>6.63</v>
      </c>
      <c r="DJ110" s="281">
        <f t="shared" si="177"/>
        <v>32.709999999999994</v>
      </c>
      <c r="DK110" s="281">
        <f t="shared" si="177"/>
        <v>102.02000000000001</v>
      </c>
      <c r="DL110" s="281">
        <f t="shared" si="177"/>
        <v>86.64</v>
      </c>
      <c r="DM110" s="293">
        <f t="shared" si="177"/>
        <v>6.63</v>
      </c>
    </row>
    <row r="111" spans="1:117" ht="15" hidden="1" customHeight="1" x14ac:dyDescent="0.25">
      <c r="A111" s="521"/>
      <c r="B111" s="55">
        <v>28</v>
      </c>
      <c r="C111" s="376"/>
      <c r="D111" s="376"/>
      <c r="E111" s="376"/>
      <c r="F111" s="377">
        <v>25.5</v>
      </c>
      <c r="G111" s="281">
        <f t="shared" si="126"/>
        <v>3.6100000000000003</v>
      </c>
      <c r="H111" s="282">
        <f t="shared" si="127"/>
        <v>6.37</v>
      </c>
      <c r="I111" s="282">
        <f t="shared" si="128"/>
        <v>17.89</v>
      </c>
      <c r="J111" s="283">
        <f t="shared" si="129"/>
        <v>26.79</v>
      </c>
      <c r="K111" s="281">
        <f t="shared" si="130"/>
        <v>4.03</v>
      </c>
      <c r="L111" s="282">
        <f t="shared" si="131"/>
        <v>8.07</v>
      </c>
      <c r="M111" s="282">
        <f t="shared" si="132"/>
        <v>15.809999999999999</v>
      </c>
      <c r="N111" s="283">
        <f t="shared" si="133"/>
        <v>16.37</v>
      </c>
      <c r="O111" s="281">
        <f t="shared" si="134"/>
        <v>1.1299999999999999</v>
      </c>
      <c r="P111" s="282">
        <f t="shared" si="135"/>
        <v>11.76</v>
      </c>
      <c r="Q111" s="282">
        <f t="shared" si="136"/>
        <v>18.880000000000003</v>
      </c>
      <c r="R111" s="283">
        <f t="shared" si="137"/>
        <v>27.38</v>
      </c>
      <c r="W111" s="281">
        <f t="shared" si="138"/>
        <v>5.29</v>
      </c>
      <c r="X111" s="282">
        <f t="shared" si="139"/>
        <v>10.65</v>
      </c>
      <c r="Y111" s="282">
        <f t="shared" si="140"/>
        <v>20.740000000000002</v>
      </c>
      <c r="Z111" s="283">
        <f t="shared" si="141"/>
        <v>26.42</v>
      </c>
      <c r="AA111" s="281">
        <f t="shared" si="142"/>
        <v>10.54</v>
      </c>
      <c r="AB111" s="282">
        <f t="shared" si="143"/>
        <v>16.98</v>
      </c>
      <c r="AC111" s="282">
        <f t="shared" si="144"/>
        <v>20.47</v>
      </c>
      <c r="AD111" s="283">
        <f t="shared" si="145"/>
        <v>23.19</v>
      </c>
      <c r="AE111" s="281">
        <f t="shared" si="146"/>
        <v>15.27</v>
      </c>
      <c r="AF111" s="282">
        <f t="shared" si="147"/>
        <v>10.629999999999999</v>
      </c>
      <c r="AG111" s="282">
        <f t="shared" si="148"/>
        <v>23.61</v>
      </c>
      <c r="AH111" s="283">
        <f t="shared" si="149"/>
        <v>37.769999999999996</v>
      </c>
      <c r="AM111" s="281">
        <f t="shared" si="150"/>
        <v>15.45</v>
      </c>
      <c r="AN111" s="282">
        <f t="shared" si="151"/>
        <v>12.780000000000001</v>
      </c>
      <c r="AO111" s="282">
        <f t="shared" si="152"/>
        <v>17.22</v>
      </c>
      <c r="AP111" s="283">
        <f t="shared" si="153"/>
        <v>26.97</v>
      </c>
      <c r="AQ111" s="281">
        <f t="shared" si="154"/>
        <v>15.420000000000002</v>
      </c>
      <c r="AR111" s="282">
        <f t="shared" si="155"/>
        <v>15.89</v>
      </c>
      <c r="AS111" s="282">
        <f t="shared" si="156"/>
        <v>23.95</v>
      </c>
      <c r="AT111" s="283">
        <f t="shared" si="157"/>
        <v>22.040000000000003</v>
      </c>
      <c r="AU111" s="281">
        <f t="shared" si="158"/>
        <v>13.77</v>
      </c>
      <c r="AV111" s="282">
        <f t="shared" si="159"/>
        <v>21.4</v>
      </c>
      <c r="AW111" s="282">
        <f t="shared" si="160"/>
        <v>23.700000000000003</v>
      </c>
      <c r="AX111" s="283"/>
      <c r="BC111" s="281">
        <f t="shared" si="161"/>
        <v>18.03</v>
      </c>
      <c r="BD111" s="282">
        <f t="shared" si="162"/>
        <v>22.880000000000003</v>
      </c>
      <c r="BE111" s="282">
        <f t="shared" si="163"/>
        <v>24.700000000000003</v>
      </c>
      <c r="BF111" s="283"/>
      <c r="BG111" s="281">
        <f t="shared" si="164"/>
        <v>14.1</v>
      </c>
      <c r="BH111" s="282">
        <f t="shared" si="165"/>
        <v>17.14</v>
      </c>
      <c r="BI111" s="282">
        <f t="shared" si="166"/>
        <v>22.85</v>
      </c>
      <c r="BJ111" s="283"/>
      <c r="BK111" s="281">
        <f t="shared" si="167"/>
        <v>23.28</v>
      </c>
      <c r="BL111" s="282">
        <f t="shared" si="168"/>
        <v>16.149999999999999</v>
      </c>
      <c r="BM111" s="282">
        <f t="shared" si="169"/>
        <v>19.61</v>
      </c>
      <c r="BN111" s="599"/>
      <c r="CG111" s="281">
        <f t="shared" si="170"/>
        <v>8.77</v>
      </c>
      <c r="CH111" s="281">
        <f t="shared" si="170"/>
        <v>26.200000000000003</v>
      </c>
      <c r="CI111" s="281">
        <f t="shared" si="170"/>
        <v>52.580000000000005</v>
      </c>
      <c r="CJ111" s="293">
        <f t="shared" si="170"/>
        <v>70.539999999999992</v>
      </c>
      <c r="CK111" s="281">
        <f t="shared" si="171"/>
        <v>39.869999999999997</v>
      </c>
      <c r="CL111" s="281">
        <f t="shared" si="171"/>
        <v>64.459999999999994</v>
      </c>
      <c r="CM111" s="281">
        <f t="shared" si="171"/>
        <v>117.4</v>
      </c>
      <c r="CN111" s="293">
        <f t="shared" si="171"/>
        <v>157.91999999999999</v>
      </c>
      <c r="CO111" s="281">
        <f t="shared" si="172"/>
        <v>84.509999999999991</v>
      </c>
      <c r="CP111" s="281">
        <f t="shared" si="172"/>
        <v>114.53</v>
      </c>
      <c r="CQ111" s="281">
        <f t="shared" si="172"/>
        <v>182.26999999999998</v>
      </c>
      <c r="CR111" s="293">
        <f t="shared" si="172"/>
        <v>206.92999999999998</v>
      </c>
      <c r="CS111" s="281">
        <f t="shared" si="173"/>
        <v>139.91999999999999</v>
      </c>
      <c r="CT111" s="281">
        <f t="shared" si="173"/>
        <v>170.70000000000002</v>
      </c>
      <c r="CU111" s="281">
        <f t="shared" si="173"/>
        <v>249.42999999999995</v>
      </c>
      <c r="CV111" s="293">
        <f t="shared" si="173"/>
        <v>206.92999999999998</v>
      </c>
      <c r="CX111" s="316">
        <f t="shared" si="174"/>
        <v>38.260000000000005</v>
      </c>
      <c r="CY111" s="316">
        <f t="shared" si="174"/>
        <v>64.819999999999993</v>
      </c>
      <c r="CZ111" s="316">
        <f t="shared" si="174"/>
        <v>87.38</v>
      </c>
      <c r="DA111" s="318">
        <f t="shared" si="174"/>
        <v>25.81</v>
      </c>
      <c r="DB111" s="281">
        <f t="shared" si="175"/>
        <v>88.330000000000013</v>
      </c>
      <c r="DC111" s="281">
        <f t="shared" si="175"/>
        <v>129.69</v>
      </c>
      <c r="DD111" s="281">
        <f t="shared" si="175"/>
        <v>136.38999999999999</v>
      </c>
      <c r="DE111" s="293">
        <f t="shared" si="175"/>
        <v>55</v>
      </c>
      <c r="DF111" s="281">
        <f t="shared" si="176"/>
        <v>144.50000000000003</v>
      </c>
      <c r="DG111" s="281">
        <f t="shared" si="176"/>
        <v>196.84999999999997</v>
      </c>
      <c r="DH111" s="281">
        <f t="shared" si="176"/>
        <v>136.38999999999999</v>
      </c>
      <c r="DI111" s="293">
        <f t="shared" si="176"/>
        <v>92.38</v>
      </c>
      <c r="DJ111" s="281">
        <f t="shared" si="177"/>
        <v>144.50000000000003</v>
      </c>
      <c r="DK111" s="281">
        <f t="shared" si="177"/>
        <v>196.84999999999997</v>
      </c>
      <c r="DL111" s="281">
        <f t="shared" si="177"/>
        <v>136.38999999999999</v>
      </c>
      <c r="DM111" s="293">
        <f t="shared" si="177"/>
        <v>92.38</v>
      </c>
    </row>
    <row r="112" spans="1:117" ht="15" hidden="1" customHeight="1" x14ac:dyDescent="0.25">
      <c r="A112" s="521"/>
      <c r="B112" s="55">
        <v>29</v>
      </c>
      <c r="C112" s="376"/>
      <c r="D112" s="376"/>
      <c r="E112" s="376"/>
      <c r="F112" s="377">
        <v>11.38</v>
      </c>
      <c r="G112" s="281">
        <f t="shared" si="126"/>
        <v>0</v>
      </c>
      <c r="H112" s="282">
        <f t="shared" si="127"/>
        <v>0</v>
      </c>
      <c r="I112" s="282">
        <f t="shared" si="128"/>
        <v>0</v>
      </c>
      <c r="J112" s="283">
        <f t="shared" si="129"/>
        <v>1.81</v>
      </c>
      <c r="K112" s="281">
        <f t="shared" si="130"/>
        <v>0</v>
      </c>
      <c r="L112" s="282">
        <f t="shared" si="131"/>
        <v>0</v>
      </c>
      <c r="M112" s="282">
        <f t="shared" si="132"/>
        <v>0</v>
      </c>
      <c r="N112" s="283">
        <f t="shared" si="133"/>
        <v>1.52</v>
      </c>
      <c r="O112" s="281">
        <f t="shared" si="134"/>
        <v>0</v>
      </c>
      <c r="P112" s="282">
        <f t="shared" si="135"/>
        <v>0</v>
      </c>
      <c r="Q112" s="282">
        <f t="shared" si="136"/>
        <v>0</v>
      </c>
      <c r="R112" s="283">
        <f t="shared" si="137"/>
        <v>2.64</v>
      </c>
      <c r="W112" s="281">
        <f t="shared" si="138"/>
        <v>0</v>
      </c>
      <c r="X112" s="282">
        <f t="shared" si="139"/>
        <v>0</v>
      </c>
      <c r="Y112" s="282">
        <f t="shared" si="140"/>
        <v>0</v>
      </c>
      <c r="Z112" s="283">
        <f t="shared" si="141"/>
        <v>3.6399999999999997</v>
      </c>
      <c r="AA112" s="281">
        <f t="shared" si="142"/>
        <v>0</v>
      </c>
      <c r="AB112" s="282">
        <f t="shared" si="143"/>
        <v>0</v>
      </c>
      <c r="AC112" s="282">
        <f t="shared" si="144"/>
        <v>0</v>
      </c>
      <c r="AD112" s="283">
        <f t="shared" si="145"/>
        <v>5.3</v>
      </c>
      <c r="AE112" s="281">
        <f t="shared" si="146"/>
        <v>0</v>
      </c>
      <c r="AF112" s="282">
        <f t="shared" si="147"/>
        <v>0</v>
      </c>
      <c r="AG112" s="282">
        <f t="shared" si="148"/>
        <v>2.5300000000000002</v>
      </c>
      <c r="AH112" s="283">
        <f t="shared" si="149"/>
        <v>9.23</v>
      </c>
      <c r="AM112" s="281">
        <f t="shared" si="150"/>
        <v>0</v>
      </c>
      <c r="AN112" s="282">
        <f t="shared" si="151"/>
        <v>0</v>
      </c>
      <c r="AO112" s="282">
        <f t="shared" si="152"/>
        <v>1.84</v>
      </c>
      <c r="AP112" s="283">
        <f t="shared" si="153"/>
        <v>5.72</v>
      </c>
      <c r="AQ112" s="281">
        <f t="shared" si="154"/>
        <v>0</v>
      </c>
      <c r="AR112" s="282">
        <f t="shared" si="155"/>
        <v>0</v>
      </c>
      <c r="AS112" s="282">
        <f t="shared" si="156"/>
        <v>2.5099999999999998</v>
      </c>
      <c r="AT112" s="283">
        <f t="shared" si="157"/>
        <v>12.66</v>
      </c>
      <c r="AU112" s="281">
        <f t="shared" si="158"/>
        <v>0</v>
      </c>
      <c r="AV112" s="282">
        <f t="shared" si="159"/>
        <v>0</v>
      </c>
      <c r="AW112" s="282">
        <f t="shared" si="160"/>
        <v>0.9</v>
      </c>
      <c r="AX112" s="283"/>
      <c r="BC112" s="281">
        <f t="shared" si="161"/>
        <v>0</v>
      </c>
      <c r="BD112" s="282">
        <f t="shared" si="162"/>
        <v>0</v>
      </c>
      <c r="BE112" s="282">
        <f t="shared" si="163"/>
        <v>1.83</v>
      </c>
      <c r="BF112" s="283"/>
      <c r="BG112" s="281">
        <f t="shared" si="164"/>
        <v>0</v>
      </c>
      <c r="BH112" s="282">
        <f t="shared" si="165"/>
        <v>0</v>
      </c>
      <c r="BI112" s="282">
        <f t="shared" si="166"/>
        <v>4.3100000000000005</v>
      </c>
      <c r="BJ112" s="283"/>
      <c r="BK112" s="281">
        <f t="shared" si="167"/>
        <v>0</v>
      </c>
      <c r="BL112" s="282">
        <f t="shared" si="168"/>
        <v>0</v>
      </c>
      <c r="BM112" s="282">
        <f t="shared" si="169"/>
        <v>2.7</v>
      </c>
      <c r="BN112" s="599"/>
      <c r="CG112" s="281">
        <f t="shared" si="170"/>
        <v>0</v>
      </c>
      <c r="CH112" s="281">
        <f t="shared" si="170"/>
        <v>0</v>
      </c>
      <c r="CI112" s="281">
        <f t="shared" si="170"/>
        <v>0</v>
      </c>
      <c r="CJ112" s="293">
        <f t="shared" si="170"/>
        <v>5.9700000000000006</v>
      </c>
      <c r="CK112" s="281">
        <f t="shared" si="171"/>
        <v>0</v>
      </c>
      <c r="CL112" s="281">
        <f t="shared" si="171"/>
        <v>0</v>
      </c>
      <c r="CM112" s="281">
        <f t="shared" si="171"/>
        <v>2.5300000000000002</v>
      </c>
      <c r="CN112" s="293">
        <f t="shared" si="171"/>
        <v>24.14</v>
      </c>
      <c r="CO112" s="281">
        <f t="shared" si="172"/>
        <v>0</v>
      </c>
      <c r="CP112" s="281">
        <f t="shared" si="172"/>
        <v>0</v>
      </c>
      <c r="CQ112" s="281">
        <f t="shared" si="172"/>
        <v>7.78</v>
      </c>
      <c r="CR112" s="293">
        <f t="shared" si="172"/>
        <v>42.519999999999996</v>
      </c>
      <c r="CS112" s="281">
        <f t="shared" si="173"/>
        <v>0</v>
      </c>
      <c r="CT112" s="281">
        <f t="shared" si="173"/>
        <v>0</v>
      </c>
      <c r="CU112" s="281">
        <f t="shared" si="173"/>
        <v>16.62</v>
      </c>
      <c r="CV112" s="293">
        <f t="shared" si="173"/>
        <v>42.519999999999996</v>
      </c>
      <c r="CX112" s="316">
        <f t="shared" si="174"/>
        <v>0</v>
      </c>
      <c r="CY112" s="316">
        <f t="shared" si="174"/>
        <v>2.5300000000000002</v>
      </c>
      <c r="CZ112" s="316">
        <f t="shared" si="174"/>
        <v>18.170000000000002</v>
      </c>
      <c r="DA112" s="318">
        <f t="shared" si="174"/>
        <v>0</v>
      </c>
      <c r="DB112" s="281">
        <f t="shared" si="175"/>
        <v>0</v>
      </c>
      <c r="DC112" s="281">
        <f t="shared" si="175"/>
        <v>7.78</v>
      </c>
      <c r="DD112" s="281">
        <f t="shared" si="175"/>
        <v>36.549999999999997</v>
      </c>
      <c r="DE112" s="293">
        <f t="shared" si="175"/>
        <v>0</v>
      </c>
      <c r="DF112" s="281">
        <f t="shared" si="176"/>
        <v>0</v>
      </c>
      <c r="DG112" s="281">
        <f t="shared" si="176"/>
        <v>16.62</v>
      </c>
      <c r="DH112" s="281">
        <f t="shared" si="176"/>
        <v>36.549999999999997</v>
      </c>
      <c r="DI112" s="293">
        <f t="shared" si="176"/>
        <v>0</v>
      </c>
      <c r="DJ112" s="281">
        <f t="shared" si="177"/>
        <v>0</v>
      </c>
      <c r="DK112" s="281">
        <f t="shared" si="177"/>
        <v>16.62</v>
      </c>
      <c r="DL112" s="281">
        <f t="shared" si="177"/>
        <v>36.549999999999997</v>
      </c>
      <c r="DM112" s="293">
        <f t="shared" si="177"/>
        <v>0</v>
      </c>
    </row>
    <row r="113" spans="1:123" ht="15" hidden="1" customHeight="1" x14ac:dyDescent="0.25">
      <c r="A113" s="521"/>
      <c r="B113" s="55">
        <v>30</v>
      </c>
      <c r="C113" s="376"/>
      <c r="D113" s="376"/>
      <c r="E113" s="376"/>
      <c r="F113" s="377">
        <v>24.35</v>
      </c>
      <c r="G113" s="281">
        <f t="shared" si="126"/>
        <v>0</v>
      </c>
      <c r="H113" s="282">
        <f t="shared" si="127"/>
        <v>0</v>
      </c>
      <c r="I113" s="282">
        <f t="shared" si="128"/>
        <v>0</v>
      </c>
      <c r="J113" s="283">
        <f t="shared" si="129"/>
        <v>21.18</v>
      </c>
      <c r="K113" s="281">
        <f t="shared" si="130"/>
        <v>0</v>
      </c>
      <c r="L113" s="282">
        <f t="shared" si="131"/>
        <v>0</v>
      </c>
      <c r="M113" s="282">
        <f t="shared" si="132"/>
        <v>2.44</v>
      </c>
      <c r="N113" s="283">
        <f t="shared" si="133"/>
        <v>11.870000000000001</v>
      </c>
      <c r="O113" s="281">
        <f t="shared" si="134"/>
        <v>0</v>
      </c>
      <c r="P113" s="282">
        <f t="shared" si="135"/>
        <v>0</v>
      </c>
      <c r="Q113" s="282">
        <f t="shared" si="136"/>
        <v>1.8199999999999998</v>
      </c>
      <c r="R113" s="283">
        <f t="shared" si="137"/>
        <v>14.02</v>
      </c>
      <c r="W113" s="281">
        <f t="shared" si="138"/>
        <v>0</v>
      </c>
      <c r="X113" s="282">
        <f t="shared" si="139"/>
        <v>0</v>
      </c>
      <c r="Y113" s="282">
        <f t="shared" si="140"/>
        <v>1.02</v>
      </c>
      <c r="Z113" s="283">
        <f t="shared" si="141"/>
        <v>22.02</v>
      </c>
      <c r="AA113" s="281">
        <f t="shared" si="142"/>
        <v>0</v>
      </c>
      <c r="AB113" s="282">
        <f t="shared" si="143"/>
        <v>0</v>
      </c>
      <c r="AC113" s="282">
        <f t="shared" si="144"/>
        <v>2.59</v>
      </c>
      <c r="AD113" s="283">
        <f t="shared" si="145"/>
        <v>24.98</v>
      </c>
      <c r="AE113" s="281">
        <f t="shared" si="146"/>
        <v>0</v>
      </c>
      <c r="AF113" s="282">
        <f t="shared" si="147"/>
        <v>0</v>
      </c>
      <c r="AG113" s="282">
        <f t="shared" si="148"/>
        <v>2.9</v>
      </c>
      <c r="AH113" s="283">
        <f t="shared" si="149"/>
        <v>19.869999999999997</v>
      </c>
      <c r="AM113" s="281">
        <f t="shared" si="150"/>
        <v>0</v>
      </c>
      <c r="AN113" s="282">
        <f t="shared" si="151"/>
        <v>0</v>
      </c>
      <c r="AO113" s="282">
        <f t="shared" si="152"/>
        <v>1.6099999999999999</v>
      </c>
      <c r="AP113" s="283">
        <f t="shared" si="153"/>
        <v>15.129999999999999</v>
      </c>
      <c r="AQ113" s="281">
        <f t="shared" si="154"/>
        <v>0</v>
      </c>
      <c r="AR113" s="282">
        <f t="shared" si="155"/>
        <v>0</v>
      </c>
      <c r="AS113" s="282">
        <f t="shared" si="156"/>
        <v>5.45</v>
      </c>
      <c r="AT113" s="283">
        <f t="shared" si="157"/>
        <v>15.870000000000001</v>
      </c>
      <c r="AU113" s="281">
        <f t="shared" si="158"/>
        <v>0</v>
      </c>
      <c r="AV113" s="282">
        <f t="shared" si="159"/>
        <v>0</v>
      </c>
      <c r="AW113" s="282">
        <f t="shared" si="160"/>
        <v>4.17</v>
      </c>
      <c r="AX113" s="283"/>
      <c r="BC113" s="281">
        <f t="shared" si="161"/>
        <v>0</v>
      </c>
      <c r="BD113" s="282">
        <f t="shared" si="162"/>
        <v>0</v>
      </c>
      <c r="BE113" s="282">
        <f t="shared" si="163"/>
        <v>4.0999999999999996</v>
      </c>
      <c r="BF113" s="283"/>
      <c r="BG113" s="281">
        <f t="shared" si="164"/>
        <v>0</v>
      </c>
      <c r="BH113" s="282">
        <f t="shared" si="165"/>
        <v>0</v>
      </c>
      <c r="BI113" s="282">
        <f t="shared" si="166"/>
        <v>15.54</v>
      </c>
      <c r="BJ113" s="283"/>
      <c r="BK113" s="281">
        <f t="shared" si="167"/>
        <v>0</v>
      </c>
      <c r="BL113" s="282">
        <f t="shared" si="168"/>
        <v>0</v>
      </c>
      <c r="BM113" s="282">
        <f t="shared" si="169"/>
        <v>2.2400000000000002</v>
      </c>
      <c r="BN113" s="599"/>
      <c r="CG113" s="281">
        <f t="shared" si="170"/>
        <v>0</v>
      </c>
      <c r="CH113" s="281">
        <f t="shared" si="170"/>
        <v>0</v>
      </c>
      <c r="CI113" s="281">
        <f t="shared" si="170"/>
        <v>4.26</v>
      </c>
      <c r="CJ113" s="293">
        <f t="shared" si="170"/>
        <v>47.069999999999993</v>
      </c>
      <c r="CK113" s="281">
        <f t="shared" si="171"/>
        <v>0</v>
      </c>
      <c r="CL113" s="281">
        <f t="shared" si="171"/>
        <v>0</v>
      </c>
      <c r="CM113" s="281">
        <f t="shared" si="171"/>
        <v>10.77</v>
      </c>
      <c r="CN113" s="293">
        <f t="shared" si="171"/>
        <v>113.94</v>
      </c>
      <c r="CO113" s="281">
        <f t="shared" si="172"/>
        <v>0</v>
      </c>
      <c r="CP113" s="281">
        <f t="shared" si="172"/>
        <v>0</v>
      </c>
      <c r="CQ113" s="281">
        <f t="shared" si="172"/>
        <v>22</v>
      </c>
      <c r="CR113" s="293">
        <f t="shared" si="172"/>
        <v>144.94</v>
      </c>
      <c r="CS113" s="281">
        <f t="shared" si="173"/>
        <v>0</v>
      </c>
      <c r="CT113" s="281">
        <f t="shared" si="173"/>
        <v>0</v>
      </c>
      <c r="CU113" s="281">
        <f t="shared" si="173"/>
        <v>43.88</v>
      </c>
      <c r="CV113" s="293">
        <f t="shared" si="173"/>
        <v>144.94</v>
      </c>
      <c r="CX113" s="316">
        <f t="shared" si="174"/>
        <v>0</v>
      </c>
      <c r="CY113" s="316">
        <f t="shared" si="174"/>
        <v>6.51</v>
      </c>
      <c r="CZ113" s="316">
        <f t="shared" si="174"/>
        <v>66.87</v>
      </c>
      <c r="DA113" s="318">
        <f t="shared" si="174"/>
        <v>0</v>
      </c>
      <c r="DB113" s="281">
        <f t="shared" si="175"/>
        <v>0</v>
      </c>
      <c r="DC113" s="281">
        <f t="shared" si="175"/>
        <v>17.740000000000002</v>
      </c>
      <c r="DD113" s="281">
        <f t="shared" si="175"/>
        <v>97.87</v>
      </c>
      <c r="DE113" s="293">
        <f t="shared" si="175"/>
        <v>0</v>
      </c>
      <c r="DF113" s="281">
        <f t="shared" si="176"/>
        <v>0</v>
      </c>
      <c r="DG113" s="281">
        <f t="shared" si="176"/>
        <v>39.620000000000005</v>
      </c>
      <c r="DH113" s="281">
        <f t="shared" si="176"/>
        <v>97.87</v>
      </c>
      <c r="DI113" s="293">
        <f t="shared" si="176"/>
        <v>0</v>
      </c>
      <c r="DJ113" s="281">
        <f t="shared" si="177"/>
        <v>0</v>
      </c>
      <c r="DK113" s="281">
        <f t="shared" si="177"/>
        <v>39.620000000000005</v>
      </c>
      <c r="DL113" s="281">
        <f t="shared" si="177"/>
        <v>97.87</v>
      </c>
      <c r="DM113" s="293">
        <f t="shared" si="177"/>
        <v>0</v>
      </c>
    </row>
    <row r="114" spans="1:123" ht="15" hidden="1" customHeight="1" x14ac:dyDescent="0.25">
      <c r="A114" s="521"/>
      <c r="B114" s="55">
        <v>31</v>
      </c>
      <c r="C114" s="376"/>
      <c r="D114" s="376"/>
      <c r="E114" s="376"/>
      <c r="F114" s="377">
        <v>34.08</v>
      </c>
      <c r="G114" s="281">
        <f t="shared" si="126"/>
        <v>0</v>
      </c>
      <c r="H114" s="282">
        <f t="shared" si="127"/>
        <v>0</v>
      </c>
      <c r="I114" s="282">
        <f t="shared" si="128"/>
        <v>0</v>
      </c>
      <c r="J114" s="283">
        <f t="shared" si="129"/>
        <v>17.89</v>
      </c>
      <c r="K114" s="281">
        <f t="shared" si="130"/>
        <v>0</v>
      </c>
      <c r="L114" s="282">
        <f t="shared" si="131"/>
        <v>0</v>
      </c>
      <c r="M114" s="282">
        <f t="shared" si="132"/>
        <v>0.95</v>
      </c>
      <c r="N114" s="283">
        <f t="shared" si="133"/>
        <v>13.149999999999999</v>
      </c>
      <c r="O114" s="281">
        <f t="shared" si="134"/>
        <v>0</v>
      </c>
      <c r="P114" s="282">
        <f t="shared" si="135"/>
        <v>0</v>
      </c>
      <c r="Q114" s="282">
        <f t="shared" si="136"/>
        <v>1.62</v>
      </c>
      <c r="R114" s="283">
        <f t="shared" si="137"/>
        <v>13.65</v>
      </c>
      <c r="W114" s="281">
        <f t="shared" si="138"/>
        <v>0</v>
      </c>
      <c r="X114" s="282">
        <f t="shared" si="139"/>
        <v>0</v>
      </c>
      <c r="Y114" s="282">
        <f t="shared" si="140"/>
        <v>1.5329999999999999</v>
      </c>
      <c r="Z114" s="283">
        <f t="shared" si="141"/>
        <v>19.29</v>
      </c>
      <c r="AA114" s="281">
        <f t="shared" si="142"/>
        <v>0</v>
      </c>
      <c r="AB114" s="282">
        <f t="shared" si="143"/>
        <v>0</v>
      </c>
      <c r="AC114" s="282">
        <f t="shared" si="144"/>
        <v>2.71</v>
      </c>
      <c r="AD114" s="283">
        <f t="shared" si="145"/>
        <v>29.76</v>
      </c>
      <c r="AE114" s="281">
        <f t="shared" si="146"/>
        <v>0</v>
      </c>
      <c r="AF114" s="282">
        <f t="shared" si="147"/>
        <v>0</v>
      </c>
      <c r="AG114" s="282">
        <f t="shared" si="148"/>
        <v>1.88</v>
      </c>
      <c r="AH114" s="283">
        <f t="shared" si="149"/>
        <v>16.940000000000001</v>
      </c>
      <c r="AM114" s="281">
        <f t="shared" si="150"/>
        <v>0</v>
      </c>
      <c r="AN114" s="282">
        <f t="shared" si="151"/>
        <v>0</v>
      </c>
      <c r="AO114" s="282">
        <f t="shared" si="152"/>
        <v>2.77</v>
      </c>
      <c r="AP114" s="283">
        <f t="shared" si="153"/>
        <v>16.240000000000002</v>
      </c>
      <c r="AQ114" s="281">
        <f t="shared" si="154"/>
        <v>0</v>
      </c>
      <c r="AR114" s="282">
        <f t="shared" si="155"/>
        <v>0</v>
      </c>
      <c r="AS114" s="282">
        <f t="shared" si="156"/>
        <v>8.5399999999999991</v>
      </c>
      <c r="AT114" s="283">
        <f t="shared" si="157"/>
        <v>17.2</v>
      </c>
      <c r="AU114" s="281">
        <f t="shared" si="158"/>
        <v>0</v>
      </c>
      <c r="AV114" s="282">
        <f t="shared" si="159"/>
        <v>0</v>
      </c>
      <c r="AW114" s="282">
        <f t="shared" si="160"/>
        <v>5.76</v>
      </c>
      <c r="AX114" s="283"/>
      <c r="BC114" s="281">
        <f t="shared" si="161"/>
        <v>0</v>
      </c>
      <c r="BD114" s="282">
        <f t="shared" si="162"/>
        <v>0</v>
      </c>
      <c r="BE114" s="282">
        <f t="shared" si="163"/>
        <v>7.72</v>
      </c>
      <c r="BF114" s="283"/>
      <c r="BG114" s="281">
        <f t="shared" si="164"/>
        <v>0</v>
      </c>
      <c r="BH114" s="282">
        <f t="shared" si="165"/>
        <v>0</v>
      </c>
      <c r="BI114" s="282">
        <f t="shared" si="166"/>
        <v>14.52</v>
      </c>
      <c r="BJ114" s="283"/>
      <c r="BK114" s="281">
        <f t="shared" si="167"/>
        <v>0</v>
      </c>
      <c r="BL114" s="282">
        <f t="shared" si="168"/>
        <v>0</v>
      </c>
      <c r="BM114" s="282">
        <f t="shared" si="169"/>
        <v>3.33</v>
      </c>
      <c r="BN114" s="599"/>
      <c r="CG114" s="281">
        <f t="shared" si="170"/>
        <v>0</v>
      </c>
      <c r="CH114" s="281">
        <f t="shared" si="170"/>
        <v>0</v>
      </c>
      <c r="CI114" s="281">
        <f t="shared" si="170"/>
        <v>2.5700000000000003</v>
      </c>
      <c r="CJ114" s="293">
        <f t="shared" si="170"/>
        <v>44.69</v>
      </c>
      <c r="CK114" s="281">
        <f t="shared" si="171"/>
        <v>0</v>
      </c>
      <c r="CL114" s="281">
        <f t="shared" si="171"/>
        <v>0</v>
      </c>
      <c r="CM114" s="281">
        <f t="shared" si="171"/>
        <v>8.6929999999999996</v>
      </c>
      <c r="CN114" s="293">
        <f t="shared" si="171"/>
        <v>110.67999999999999</v>
      </c>
      <c r="CO114" s="281">
        <f t="shared" si="172"/>
        <v>0</v>
      </c>
      <c r="CP114" s="281">
        <f t="shared" si="172"/>
        <v>0</v>
      </c>
      <c r="CQ114" s="281">
        <f t="shared" si="172"/>
        <v>25.762999999999998</v>
      </c>
      <c r="CR114" s="293">
        <f t="shared" si="172"/>
        <v>144.11999999999998</v>
      </c>
      <c r="CS114" s="281">
        <f t="shared" si="173"/>
        <v>0</v>
      </c>
      <c r="CT114" s="281">
        <f t="shared" si="173"/>
        <v>0</v>
      </c>
      <c r="CU114" s="281">
        <f t="shared" si="173"/>
        <v>51.332999999999998</v>
      </c>
      <c r="CV114" s="293">
        <f t="shared" si="173"/>
        <v>144.11999999999998</v>
      </c>
      <c r="CX114" s="316">
        <f t="shared" si="174"/>
        <v>0</v>
      </c>
      <c r="CY114" s="316">
        <f t="shared" si="174"/>
        <v>6.1230000000000002</v>
      </c>
      <c r="CZ114" s="316">
        <f t="shared" si="174"/>
        <v>65.989999999999995</v>
      </c>
      <c r="DA114" s="318">
        <f t="shared" si="174"/>
        <v>0</v>
      </c>
      <c r="DB114" s="281">
        <f t="shared" si="175"/>
        <v>0</v>
      </c>
      <c r="DC114" s="281">
        <f t="shared" si="175"/>
        <v>23.192999999999998</v>
      </c>
      <c r="DD114" s="281">
        <f t="shared" si="175"/>
        <v>99.429999999999993</v>
      </c>
      <c r="DE114" s="293">
        <f t="shared" si="175"/>
        <v>0</v>
      </c>
      <c r="DF114" s="281">
        <f t="shared" si="176"/>
        <v>0</v>
      </c>
      <c r="DG114" s="281">
        <f t="shared" si="176"/>
        <v>48.762999999999991</v>
      </c>
      <c r="DH114" s="281">
        <f t="shared" si="176"/>
        <v>99.429999999999993</v>
      </c>
      <c r="DI114" s="293">
        <f t="shared" si="176"/>
        <v>0</v>
      </c>
      <c r="DJ114" s="281">
        <f t="shared" si="177"/>
        <v>0</v>
      </c>
      <c r="DK114" s="281">
        <f t="shared" si="177"/>
        <v>48.762999999999991</v>
      </c>
      <c r="DL114" s="281">
        <f t="shared" si="177"/>
        <v>99.429999999999993</v>
      </c>
      <c r="DM114" s="293">
        <f t="shared" si="177"/>
        <v>0</v>
      </c>
    </row>
    <row r="115" spans="1:123" ht="15.75" hidden="1" customHeight="1" thickBot="1" x14ac:dyDescent="0.3">
      <c r="A115" s="522"/>
      <c r="B115" s="103">
        <v>32</v>
      </c>
      <c r="C115" s="375"/>
      <c r="D115" s="375"/>
      <c r="E115" s="375"/>
      <c r="F115" s="378">
        <v>0</v>
      </c>
      <c r="G115" s="281">
        <f t="shared" si="126"/>
        <v>0</v>
      </c>
      <c r="H115" s="282">
        <f t="shared" si="127"/>
        <v>0</v>
      </c>
      <c r="I115" s="282">
        <f t="shared" si="128"/>
        <v>0</v>
      </c>
      <c r="J115" s="283">
        <f t="shared" si="129"/>
        <v>0</v>
      </c>
      <c r="K115" s="281">
        <f t="shared" si="130"/>
        <v>0</v>
      </c>
      <c r="L115" s="282">
        <f t="shared" si="131"/>
        <v>0</v>
      </c>
      <c r="M115" s="282">
        <f t="shared" si="132"/>
        <v>0</v>
      </c>
      <c r="N115" s="283">
        <f t="shared" si="133"/>
        <v>0</v>
      </c>
      <c r="O115" s="281">
        <f t="shared" si="134"/>
        <v>0</v>
      </c>
      <c r="P115" s="282">
        <f t="shared" si="135"/>
        <v>0</v>
      </c>
      <c r="Q115" s="282">
        <f t="shared" si="136"/>
        <v>0</v>
      </c>
      <c r="R115" s="283">
        <f t="shared" si="137"/>
        <v>0</v>
      </c>
      <c r="W115" s="281">
        <f t="shared" si="138"/>
        <v>0</v>
      </c>
      <c r="X115" s="282">
        <f t="shared" si="139"/>
        <v>0</v>
      </c>
      <c r="Y115" s="282">
        <f t="shared" si="140"/>
        <v>0</v>
      </c>
      <c r="Z115" s="283">
        <f t="shared" si="141"/>
        <v>0</v>
      </c>
      <c r="AA115" s="281">
        <f t="shared" si="142"/>
        <v>0</v>
      </c>
      <c r="AB115" s="282">
        <f t="shared" si="143"/>
        <v>0</v>
      </c>
      <c r="AC115" s="282">
        <f t="shared" si="144"/>
        <v>0</v>
      </c>
      <c r="AD115" s="283">
        <f t="shared" si="145"/>
        <v>0</v>
      </c>
      <c r="AE115" s="281">
        <f t="shared" si="146"/>
        <v>0</v>
      </c>
      <c r="AF115" s="282">
        <f t="shared" si="147"/>
        <v>0</v>
      </c>
      <c r="AG115" s="282">
        <f t="shared" si="148"/>
        <v>0</v>
      </c>
      <c r="AH115" s="283">
        <f t="shared" si="149"/>
        <v>0</v>
      </c>
      <c r="AM115" s="281">
        <f t="shared" si="150"/>
        <v>0</v>
      </c>
      <c r="AN115" s="282">
        <f t="shared" si="151"/>
        <v>0</v>
      </c>
      <c r="AO115" s="282">
        <f t="shared" si="152"/>
        <v>0</v>
      </c>
      <c r="AP115" s="283">
        <f t="shared" si="153"/>
        <v>0</v>
      </c>
      <c r="AQ115" s="281">
        <f t="shared" si="154"/>
        <v>0</v>
      </c>
      <c r="AR115" s="282">
        <f t="shared" si="155"/>
        <v>0</v>
      </c>
      <c r="AS115" s="282">
        <f t="shared" si="156"/>
        <v>0</v>
      </c>
      <c r="AT115" s="283">
        <f t="shared" si="157"/>
        <v>0</v>
      </c>
      <c r="AU115" s="281">
        <f t="shared" si="158"/>
        <v>0</v>
      </c>
      <c r="AV115" s="282">
        <f t="shared" si="159"/>
        <v>0</v>
      </c>
      <c r="AW115" s="282">
        <f t="shared" si="160"/>
        <v>0</v>
      </c>
      <c r="AX115" s="283"/>
      <c r="BC115" s="281">
        <f t="shared" si="161"/>
        <v>0</v>
      </c>
      <c r="BD115" s="282">
        <f t="shared" si="162"/>
        <v>0</v>
      </c>
      <c r="BE115" s="282">
        <f t="shared" si="163"/>
        <v>0</v>
      </c>
      <c r="BF115" s="283"/>
      <c r="BG115" s="281">
        <f t="shared" si="164"/>
        <v>0</v>
      </c>
      <c r="BH115" s="282">
        <f t="shared" si="165"/>
        <v>0</v>
      </c>
      <c r="BI115" s="282">
        <f t="shared" si="166"/>
        <v>0</v>
      </c>
      <c r="BJ115" s="283"/>
      <c r="BK115" s="281">
        <f t="shared" si="167"/>
        <v>0</v>
      </c>
      <c r="BL115" s="282">
        <f t="shared" si="168"/>
        <v>0</v>
      </c>
      <c r="BM115" s="282">
        <f t="shared" si="169"/>
        <v>0</v>
      </c>
      <c r="BN115" s="599"/>
      <c r="CG115" s="281">
        <f t="shared" si="170"/>
        <v>0</v>
      </c>
      <c r="CH115" s="281">
        <f t="shared" si="170"/>
        <v>0</v>
      </c>
      <c r="CI115" s="281">
        <f t="shared" si="170"/>
        <v>0</v>
      </c>
      <c r="CJ115" s="293">
        <f t="shared" si="170"/>
        <v>0</v>
      </c>
      <c r="CK115" s="281">
        <f t="shared" si="171"/>
        <v>0</v>
      </c>
      <c r="CL115" s="281">
        <f t="shared" si="171"/>
        <v>0</v>
      </c>
      <c r="CM115" s="281">
        <f t="shared" si="171"/>
        <v>0</v>
      </c>
      <c r="CN115" s="293">
        <f t="shared" si="171"/>
        <v>0</v>
      </c>
      <c r="CO115" s="281">
        <f t="shared" si="172"/>
        <v>0</v>
      </c>
      <c r="CP115" s="281">
        <f t="shared" si="172"/>
        <v>0</v>
      </c>
      <c r="CQ115" s="281">
        <f t="shared" si="172"/>
        <v>0</v>
      </c>
      <c r="CR115" s="293">
        <f t="shared" si="172"/>
        <v>0</v>
      </c>
      <c r="CS115" s="281">
        <f t="shared" si="173"/>
        <v>0</v>
      </c>
      <c r="CT115" s="281">
        <f t="shared" si="173"/>
        <v>0</v>
      </c>
      <c r="CU115" s="281">
        <f t="shared" si="173"/>
        <v>0</v>
      </c>
      <c r="CV115" s="293">
        <f t="shared" si="173"/>
        <v>0</v>
      </c>
      <c r="CX115" s="316">
        <f t="shared" si="174"/>
        <v>0</v>
      </c>
      <c r="CY115" s="316">
        <f t="shared" si="174"/>
        <v>0</v>
      </c>
      <c r="CZ115" s="316">
        <f t="shared" si="174"/>
        <v>0</v>
      </c>
      <c r="DA115" s="318">
        <f t="shared" si="174"/>
        <v>0</v>
      </c>
      <c r="DB115" s="281">
        <f t="shared" si="175"/>
        <v>0</v>
      </c>
      <c r="DC115" s="281">
        <f t="shared" si="175"/>
        <v>0</v>
      </c>
      <c r="DD115" s="281">
        <f t="shared" si="175"/>
        <v>0</v>
      </c>
      <c r="DE115" s="293">
        <f t="shared" si="175"/>
        <v>0</v>
      </c>
      <c r="DF115" s="281">
        <f t="shared" si="176"/>
        <v>0</v>
      </c>
      <c r="DG115" s="281">
        <f t="shared" si="176"/>
        <v>0</v>
      </c>
      <c r="DH115" s="281">
        <f t="shared" si="176"/>
        <v>0</v>
      </c>
      <c r="DI115" s="293">
        <f t="shared" si="176"/>
        <v>0</v>
      </c>
      <c r="DJ115" s="281">
        <f t="shared" si="177"/>
        <v>0</v>
      </c>
      <c r="DK115" s="281">
        <f t="shared" si="177"/>
        <v>0</v>
      </c>
      <c r="DL115" s="281">
        <f t="shared" si="177"/>
        <v>0</v>
      </c>
      <c r="DM115" s="293">
        <f t="shared" si="177"/>
        <v>0</v>
      </c>
    </row>
    <row r="116" spans="1:123" ht="15" hidden="1" customHeight="1" x14ac:dyDescent="0.25">
      <c r="A116" s="520" t="s">
        <v>31</v>
      </c>
      <c r="B116" s="23" t="s">
        <v>32</v>
      </c>
      <c r="C116" s="367"/>
      <c r="D116" s="367"/>
      <c r="E116" s="367"/>
      <c r="F116" s="367">
        <v>28.72</v>
      </c>
      <c r="G116" s="281">
        <f t="shared" si="126"/>
        <v>4.3999999999999995</v>
      </c>
      <c r="H116" s="282">
        <f t="shared" si="127"/>
        <v>19.55</v>
      </c>
      <c r="I116" s="282">
        <f t="shared" si="128"/>
        <v>20.66</v>
      </c>
      <c r="J116" s="283">
        <f t="shared" si="129"/>
        <v>31.42</v>
      </c>
      <c r="K116" s="281">
        <f t="shared" si="130"/>
        <v>5.31</v>
      </c>
      <c r="L116" s="282">
        <f t="shared" si="131"/>
        <v>19.47</v>
      </c>
      <c r="M116" s="282">
        <f t="shared" si="132"/>
        <v>15.18</v>
      </c>
      <c r="N116" s="283">
        <f t="shared" si="133"/>
        <v>29.16</v>
      </c>
      <c r="O116" s="281">
        <f t="shared" si="134"/>
        <v>7.9</v>
      </c>
      <c r="P116" s="282">
        <f t="shared" si="135"/>
        <v>11.94</v>
      </c>
      <c r="Q116" s="282">
        <f t="shared" si="136"/>
        <v>13.39</v>
      </c>
      <c r="R116" s="283">
        <f t="shared" si="137"/>
        <v>37.549999999999997</v>
      </c>
      <c r="W116" s="281">
        <f t="shared" si="138"/>
        <v>3.74</v>
      </c>
      <c r="X116" s="282">
        <f t="shared" si="139"/>
        <v>31.75</v>
      </c>
      <c r="Y116" s="282">
        <f t="shared" si="140"/>
        <v>23.73</v>
      </c>
      <c r="Z116" s="283">
        <f t="shared" si="141"/>
        <v>33.54</v>
      </c>
      <c r="AA116" s="281">
        <f t="shared" si="142"/>
        <v>16.18</v>
      </c>
      <c r="AB116" s="282">
        <f t="shared" si="143"/>
        <v>19.45</v>
      </c>
      <c r="AC116" s="282">
        <f t="shared" si="144"/>
        <v>25.97</v>
      </c>
      <c r="AD116" s="283">
        <f t="shared" si="145"/>
        <v>50.2</v>
      </c>
      <c r="AE116" s="281">
        <f t="shared" si="146"/>
        <v>22.7</v>
      </c>
      <c r="AF116" s="282">
        <f t="shared" si="147"/>
        <v>34.459999999999994</v>
      </c>
      <c r="AG116" s="282">
        <f t="shared" si="148"/>
        <v>30.17</v>
      </c>
      <c r="AH116" s="283">
        <f t="shared" si="149"/>
        <v>27.13</v>
      </c>
      <c r="AM116" s="281">
        <f t="shared" si="150"/>
        <v>18.490000000000002</v>
      </c>
      <c r="AN116" s="282">
        <f t="shared" si="151"/>
        <v>21.82</v>
      </c>
      <c r="AO116" s="282">
        <f t="shared" si="152"/>
        <v>23.78</v>
      </c>
      <c r="AP116" s="283">
        <f t="shared" si="153"/>
        <v>34.340000000000003</v>
      </c>
      <c r="AQ116" s="281">
        <f t="shared" si="154"/>
        <v>17.68</v>
      </c>
      <c r="AR116" s="282">
        <f t="shared" si="155"/>
        <v>36.22</v>
      </c>
      <c r="AS116" s="282">
        <f t="shared" si="156"/>
        <v>37.86</v>
      </c>
      <c r="AT116" s="283">
        <f t="shared" si="157"/>
        <v>33.130000000000003</v>
      </c>
      <c r="AU116" s="281">
        <f t="shared" si="158"/>
        <v>21.689999999999998</v>
      </c>
      <c r="AV116" s="282">
        <f t="shared" si="159"/>
        <v>26.79</v>
      </c>
      <c r="AW116" s="282">
        <f t="shared" si="160"/>
        <v>45.85</v>
      </c>
      <c r="AX116" s="283"/>
      <c r="BC116" s="281">
        <f t="shared" si="161"/>
        <v>33.19</v>
      </c>
      <c r="BD116" s="282">
        <f t="shared" si="162"/>
        <v>33.31</v>
      </c>
      <c r="BE116" s="282">
        <f t="shared" si="163"/>
        <v>47.75</v>
      </c>
      <c r="BF116" s="283"/>
      <c r="BG116" s="281">
        <f t="shared" si="164"/>
        <v>20.69</v>
      </c>
      <c r="BH116" s="282">
        <f t="shared" si="165"/>
        <v>35.339999999999996</v>
      </c>
      <c r="BI116" s="282">
        <f t="shared" si="166"/>
        <v>44.07</v>
      </c>
      <c r="BJ116" s="283"/>
      <c r="BK116" s="281">
        <f t="shared" si="167"/>
        <v>20.84</v>
      </c>
      <c r="BL116" s="282">
        <f t="shared" si="168"/>
        <v>25.19</v>
      </c>
      <c r="BM116" s="282">
        <f t="shared" si="169"/>
        <v>30.79</v>
      </c>
      <c r="BN116" s="599"/>
      <c r="CG116" s="281">
        <f t="shared" si="170"/>
        <v>17.61</v>
      </c>
      <c r="CH116" s="281">
        <f t="shared" si="170"/>
        <v>50.959999999999994</v>
      </c>
      <c r="CI116" s="281">
        <f t="shared" si="170"/>
        <v>49.230000000000004</v>
      </c>
      <c r="CJ116" s="293">
        <f t="shared" si="170"/>
        <v>98.13</v>
      </c>
      <c r="CK116" s="281">
        <f t="shared" si="171"/>
        <v>60.230000000000004</v>
      </c>
      <c r="CL116" s="281">
        <f t="shared" si="171"/>
        <v>136.62</v>
      </c>
      <c r="CM116" s="281">
        <f t="shared" si="171"/>
        <v>129.10000000000002</v>
      </c>
      <c r="CN116" s="293">
        <f t="shared" si="171"/>
        <v>209</v>
      </c>
      <c r="CO116" s="281">
        <f t="shared" si="172"/>
        <v>118.09</v>
      </c>
      <c r="CP116" s="281">
        <f t="shared" si="172"/>
        <v>221.45</v>
      </c>
      <c r="CQ116" s="281">
        <f t="shared" si="172"/>
        <v>236.59</v>
      </c>
      <c r="CR116" s="293">
        <f t="shared" si="172"/>
        <v>276.47000000000003</v>
      </c>
      <c r="CS116" s="281">
        <f t="shared" si="173"/>
        <v>192.81</v>
      </c>
      <c r="CT116" s="281">
        <f t="shared" si="173"/>
        <v>315.28999999999996</v>
      </c>
      <c r="CU116" s="281">
        <f t="shared" si="173"/>
        <v>359.20000000000005</v>
      </c>
      <c r="CV116" s="293">
        <f t="shared" si="173"/>
        <v>276.47000000000003</v>
      </c>
      <c r="CX116" s="316">
        <f t="shared" si="174"/>
        <v>85.66</v>
      </c>
      <c r="CY116" s="316">
        <f t="shared" si="174"/>
        <v>79.87</v>
      </c>
      <c r="CZ116" s="316">
        <f t="shared" si="174"/>
        <v>110.87</v>
      </c>
      <c r="DA116" s="318">
        <f t="shared" si="174"/>
        <v>38.879999999999995</v>
      </c>
      <c r="DB116" s="281">
        <f t="shared" si="175"/>
        <v>170.48999999999998</v>
      </c>
      <c r="DC116" s="281">
        <f t="shared" si="175"/>
        <v>187.35999999999999</v>
      </c>
      <c r="DD116" s="281">
        <f t="shared" si="175"/>
        <v>178.34</v>
      </c>
      <c r="DE116" s="293">
        <f t="shared" si="175"/>
        <v>78.25</v>
      </c>
      <c r="DF116" s="281">
        <f t="shared" si="176"/>
        <v>264.33</v>
      </c>
      <c r="DG116" s="281">
        <f t="shared" si="176"/>
        <v>309.97000000000003</v>
      </c>
      <c r="DH116" s="281">
        <f t="shared" si="176"/>
        <v>178.34</v>
      </c>
      <c r="DI116" s="293">
        <f t="shared" si="176"/>
        <v>119.78</v>
      </c>
      <c r="DJ116" s="281">
        <f t="shared" si="177"/>
        <v>264.33</v>
      </c>
      <c r="DK116" s="281">
        <f t="shared" si="177"/>
        <v>309.97000000000003</v>
      </c>
      <c r="DL116" s="281">
        <f t="shared" si="177"/>
        <v>178.34</v>
      </c>
      <c r="DM116" s="293">
        <f t="shared" si="177"/>
        <v>119.78</v>
      </c>
    </row>
    <row r="117" spans="1:123" ht="15.75" hidden="1" customHeight="1" thickBot="1" x14ac:dyDescent="0.3">
      <c r="A117" s="522"/>
      <c r="B117" s="103">
        <v>39</v>
      </c>
      <c r="C117" s="375"/>
      <c r="D117" s="375"/>
      <c r="E117" s="375"/>
      <c r="F117" s="375">
        <v>4.5</v>
      </c>
      <c r="G117" s="281">
        <f t="shared" si="126"/>
        <v>2.19</v>
      </c>
      <c r="H117" s="282">
        <f t="shared" si="127"/>
        <v>2.0499999999999998</v>
      </c>
      <c r="I117" s="282">
        <f t="shared" si="128"/>
        <v>2.9699999999999998</v>
      </c>
      <c r="J117" s="283">
        <f t="shared" si="129"/>
        <v>2.2599999999999998</v>
      </c>
      <c r="K117" s="281">
        <f t="shared" si="130"/>
        <v>0.74</v>
      </c>
      <c r="L117" s="282">
        <f t="shared" si="131"/>
        <v>0</v>
      </c>
      <c r="M117" s="282">
        <f t="shared" si="132"/>
        <v>0</v>
      </c>
      <c r="N117" s="283">
        <f t="shared" si="133"/>
        <v>3.29</v>
      </c>
      <c r="O117" s="281">
        <f t="shared" si="134"/>
        <v>0</v>
      </c>
      <c r="P117" s="282">
        <f t="shared" si="135"/>
        <v>0</v>
      </c>
      <c r="Q117" s="282">
        <f t="shared" si="136"/>
        <v>2.21</v>
      </c>
      <c r="R117" s="283">
        <f t="shared" si="137"/>
        <v>2.25</v>
      </c>
      <c r="W117" s="281">
        <f t="shared" si="138"/>
        <v>0</v>
      </c>
      <c r="X117" s="282">
        <f t="shared" si="139"/>
        <v>0.98</v>
      </c>
      <c r="Y117" s="282">
        <f t="shared" si="140"/>
        <v>1.5</v>
      </c>
      <c r="Z117" s="283">
        <f t="shared" si="141"/>
        <v>2.7199999999999998</v>
      </c>
      <c r="AA117" s="281">
        <f t="shared" si="142"/>
        <v>2.25</v>
      </c>
      <c r="AB117" s="282">
        <f t="shared" si="143"/>
        <v>1.2</v>
      </c>
      <c r="AC117" s="282">
        <f t="shared" si="144"/>
        <v>2.08</v>
      </c>
      <c r="AD117" s="283">
        <f t="shared" si="145"/>
        <v>2.0299999999999998</v>
      </c>
      <c r="AE117" s="281">
        <f t="shared" si="146"/>
        <v>1.4</v>
      </c>
      <c r="AF117" s="282">
        <f t="shared" si="147"/>
        <v>0.7</v>
      </c>
      <c r="AG117" s="282">
        <f t="shared" si="148"/>
        <v>2.04</v>
      </c>
      <c r="AH117" s="283">
        <f t="shared" si="149"/>
        <v>1.56</v>
      </c>
      <c r="AM117" s="281">
        <f t="shared" si="150"/>
        <v>1.49</v>
      </c>
      <c r="AN117" s="282">
        <f t="shared" si="151"/>
        <v>1.5</v>
      </c>
      <c r="AO117" s="282">
        <f t="shared" si="152"/>
        <v>1.9</v>
      </c>
      <c r="AP117" s="283">
        <f t="shared" si="153"/>
        <v>3.38</v>
      </c>
      <c r="AQ117" s="281">
        <f t="shared" si="154"/>
        <v>1.79</v>
      </c>
      <c r="AR117" s="282">
        <f t="shared" si="155"/>
        <v>1.7000000000000002</v>
      </c>
      <c r="AS117" s="282">
        <f t="shared" si="156"/>
        <v>3.4</v>
      </c>
      <c r="AT117" s="283">
        <f t="shared" si="157"/>
        <v>4.46</v>
      </c>
      <c r="AU117" s="281">
        <f t="shared" si="158"/>
        <v>0</v>
      </c>
      <c r="AV117" s="282">
        <f t="shared" si="159"/>
        <v>1.92</v>
      </c>
      <c r="AW117" s="282">
        <f t="shared" si="160"/>
        <v>4.6899999999999995</v>
      </c>
      <c r="AX117" s="283"/>
      <c r="BC117" s="281">
        <f t="shared" si="161"/>
        <v>1.5</v>
      </c>
      <c r="BD117" s="282">
        <f t="shared" si="162"/>
        <v>1.32</v>
      </c>
      <c r="BE117" s="282">
        <f t="shared" si="163"/>
        <v>1.93</v>
      </c>
      <c r="BF117" s="283"/>
      <c r="BG117" s="281">
        <f t="shared" si="164"/>
        <v>2.56</v>
      </c>
      <c r="BH117" s="282">
        <f t="shared" si="165"/>
        <v>2.91</v>
      </c>
      <c r="BI117" s="282">
        <f t="shared" si="166"/>
        <v>4.3100000000000005</v>
      </c>
      <c r="BJ117" s="283"/>
      <c r="BK117" s="281">
        <f t="shared" si="167"/>
        <v>0</v>
      </c>
      <c r="BL117" s="282">
        <f t="shared" si="168"/>
        <v>3.0300000000000002</v>
      </c>
      <c r="BM117" s="282">
        <f t="shared" si="169"/>
        <v>3.21</v>
      </c>
      <c r="BN117" s="599"/>
      <c r="CG117" s="281">
        <f t="shared" si="170"/>
        <v>2.9299999999999997</v>
      </c>
      <c r="CH117" s="281">
        <f t="shared" si="170"/>
        <v>2.0499999999999998</v>
      </c>
      <c r="CI117" s="281">
        <f t="shared" si="170"/>
        <v>5.18</v>
      </c>
      <c r="CJ117" s="293">
        <f t="shared" si="170"/>
        <v>7.8</v>
      </c>
      <c r="CK117" s="281">
        <f t="shared" si="171"/>
        <v>6.58</v>
      </c>
      <c r="CL117" s="281">
        <f t="shared" si="171"/>
        <v>4.93</v>
      </c>
      <c r="CM117" s="281">
        <f t="shared" si="171"/>
        <v>10.8</v>
      </c>
      <c r="CN117" s="293">
        <f t="shared" si="171"/>
        <v>14.11</v>
      </c>
      <c r="CO117" s="281">
        <f t="shared" si="172"/>
        <v>9.86</v>
      </c>
      <c r="CP117" s="281">
        <f t="shared" si="172"/>
        <v>10.049999999999999</v>
      </c>
      <c r="CQ117" s="281">
        <f t="shared" si="172"/>
        <v>20.79</v>
      </c>
      <c r="CR117" s="293">
        <f t="shared" si="172"/>
        <v>21.95</v>
      </c>
      <c r="CS117" s="281">
        <f t="shared" si="173"/>
        <v>13.92</v>
      </c>
      <c r="CT117" s="281">
        <f t="shared" si="173"/>
        <v>17.309999999999999</v>
      </c>
      <c r="CU117" s="281">
        <f t="shared" si="173"/>
        <v>30.240000000000002</v>
      </c>
      <c r="CV117" s="293">
        <f t="shared" si="173"/>
        <v>21.95</v>
      </c>
      <c r="CX117" s="316">
        <f t="shared" si="174"/>
        <v>2.88</v>
      </c>
      <c r="CY117" s="316">
        <f t="shared" si="174"/>
        <v>5.62</v>
      </c>
      <c r="CZ117" s="316">
        <f t="shared" si="174"/>
        <v>6.3100000000000005</v>
      </c>
      <c r="DA117" s="318">
        <f t="shared" si="174"/>
        <v>3.65</v>
      </c>
      <c r="DB117" s="281">
        <f t="shared" si="175"/>
        <v>8</v>
      </c>
      <c r="DC117" s="281">
        <f t="shared" si="175"/>
        <v>15.61</v>
      </c>
      <c r="DD117" s="281">
        <f t="shared" si="175"/>
        <v>14.150000000000002</v>
      </c>
      <c r="DE117" s="293">
        <f t="shared" si="175"/>
        <v>5.4399999999999995</v>
      </c>
      <c r="DF117" s="281">
        <f t="shared" si="176"/>
        <v>15.260000000000002</v>
      </c>
      <c r="DG117" s="281">
        <f t="shared" si="176"/>
        <v>25.060000000000002</v>
      </c>
      <c r="DH117" s="281">
        <f t="shared" si="176"/>
        <v>14.150000000000002</v>
      </c>
      <c r="DI117" s="293">
        <f t="shared" si="176"/>
        <v>8</v>
      </c>
      <c r="DJ117" s="281">
        <f t="shared" si="177"/>
        <v>15.260000000000002</v>
      </c>
      <c r="DK117" s="281">
        <f t="shared" si="177"/>
        <v>25.060000000000002</v>
      </c>
      <c r="DL117" s="281">
        <f t="shared" si="177"/>
        <v>14.150000000000002</v>
      </c>
      <c r="DM117" s="293">
        <f t="shared" si="177"/>
        <v>8</v>
      </c>
    </row>
    <row r="118" spans="1:123" ht="16.5" hidden="1" customHeight="1" thickBot="1" x14ac:dyDescent="0.3">
      <c r="A118" s="185" t="s">
        <v>6</v>
      </c>
      <c r="B118" s="186"/>
      <c r="C118" s="379"/>
      <c r="D118" s="379"/>
      <c r="E118" s="379"/>
      <c r="F118" s="160">
        <f>SUM(F81:F92,F93:F99,F100:F104,F107:F114,F116:F117)</f>
        <v>1416.5100000000002</v>
      </c>
      <c r="G118" s="294">
        <f t="shared" ref="G118:R118" si="178">SUBTOTAL(9,G81:G117)</f>
        <v>1276.75</v>
      </c>
      <c r="H118" s="295">
        <f t="shared" si="178"/>
        <v>1450.9499999999996</v>
      </c>
      <c r="I118" s="295">
        <f t="shared" si="178"/>
        <v>1328.2100000000003</v>
      </c>
      <c r="J118" s="296">
        <f t="shared" si="178"/>
        <v>1367.55</v>
      </c>
      <c r="K118" s="294">
        <f t="shared" si="178"/>
        <v>822.8299999999997</v>
      </c>
      <c r="L118" s="295">
        <f t="shared" si="178"/>
        <v>1191.723</v>
      </c>
      <c r="M118" s="295">
        <f t="shared" si="178"/>
        <v>852.04</v>
      </c>
      <c r="N118" s="296">
        <f t="shared" si="178"/>
        <v>1527.92</v>
      </c>
      <c r="O118" s="294">
        <f t="shared" si="178"/>
        <v>1061.4500000000003</v>
      </c>
      <c r="P118" s="295">
        <f t="shared" si="178"/>
        <v>1334.4799999999998</v>
      </c>
      <c r="Q118" s="295">
        <f t="shared" si="178"/>
        <v>655.97</v>
      </c>
      <c r="R118" s="296">
        <f t="shared" si="178"/>
        <v>1404.8000000000004</v>
      </c>
      <c r="W118" s="294">
        <f t="shared" ref="W118:AH118" si="179">SUBTOTAL(9,W81:W117)</f>
        <v>1274.5399999999995</v>
      </c>
      <c r="X118" s="295">
        <f t="shared" si="179"/>
        <v>1263.4800000000002</v>
      </c>
      <c r="Y118" s="295">
        <f t="shared" si="179"/>
        <v>1064.0929999999998</v>
      </c>
      <c r="Z118" s="296">
        <f t="shared" si="179"/>
        <v>1929.2300000000002</v>
      </c>
      <c r="AA118" s="294">
        <f t="shared" si="179"/>
        <v>1496.1400000000003</v>
      </c>
      <c r="AB118" s="295">
        <f t="shared" si="179"/>
        <v>1400.8300000000002</v>
      </c>
      <c r="AC118" s="295">
        <f t="shared" si="179"/>
        <v>1352.6299999999999</v>
      </c>
      <c r="AD118" s="296">
        <f t="shared" si="179"/>
        <v>1739.06</v>
      </c>
      <c r="AE118" s="294">
        <f t="shared" si="179"/>
        <v>1363.34</v>
      </c>
      <c r="AF118" s="295">
        <f t="shared" si="179"/>
        <v>1424.1000000000004</v>
      </c>
      <c r="AG118" s="295">
        <f t="shared" si="179"/>
        <v>1285.9600000000003</v>
      </c>
      <c r="AH118" s="296">
        <f t="shared" si="179"/>
        <v>1554.2800000000004</v>
      </c>
      <c r="AM118" s="294">
        <f t="shared" ref="AM118:AX118" si="180">SUBTOTAL(9,AM81:AM117)</f>
        <v>1483.8200000000002</v>
      </c>
      <c r="AN118" s="295">
        <f t="shared" si="180"/>
        <v>1582.2499999999998</v>
      </c>
      <c r="AO118" s="295">
        <f t="shared" si="180"/>
        <v>1537.55</v>
      </c>
      <c r="AP118" s="296">
        <f t="shared" si="180"/>
        <v>1571.88</v>
      </c>
      <c r="AQ118" s="294">
        <f t="shared" si="180"/>
        <v>1896.38</v>
      </c>
      <c r="AR118" s="295">
        <f t="shared" si="180"/>
        <v>1658.3699999999997</v>
      </c>
      <c r="AS118" s="295">
        <f t="shared" si="180"/>
        <v>2136.8200000000002</v>
      </c>
      <c r="AT118" s="296">
        <f t="shared" si="180"/>
        <v>1751.82</v>
      </c>
      <c r="AU118" s="294">
        <f t="shared" si="180"/>
        <v>1883.4599999999998</v>
      </c>
      <c r="AV118" s="295">
        <f t="shared" si="180"/>
        <v>1806.9199999999998</v>
      </c>
      <c r="AW118" s="295">
        <f t="shared" si="180"/>
        <v>2341.7800000000002</v>
      </c>
      <c r="AX118" s="296">
        <f t="shared" si="180"/>
        <v>0</v>
      </c>
      <c r="BC118" s="294">
        <f t="shared" ref="BC118:BN118" si="181">SUBTOTAL(9,BC81:BC117)</f>
        <v>2346.5000000000009</v>
      </c>
      <c r="BD118" s="295">
        <f t="shared" si="181"/>
        <v>1966.14</v>
      </c>
      <c r="BE118" s="295">
        <f t="shared" si="181"/>
        <v>2640.7299999999991</v>
      </c>
      <c r="BF118" s="296">
        <f t="shared" si="181"/>
        <v>0</v>
      </c>
      <c r="BG118" s="294">
        <f t="shared" si="181"/>
        <v>1936.1800000000003</v>
      </c>
      <c r="BH118" s="295">
        <f t="shared" si="181"/>
        <v>1803.11</v>
      </c>
      <c r="BI118" s="295">
        <f t="shared" si="181"/>
        <v>2304.94</v>
      </c>
      <c r="BJ118" s="296">
        <f t="shared" si="181"/>
        <v>0</v>
      </c>
      <c r="BK118" s="294">
        <f t="shared" si="181"/>
        <v>1991.0399999999997</v>
      </c>
      <c r="BL118" s="295">
        <f t="shared" si="181"/>
        <v>1545.4199999999998</v>
      </c>
      <c r="BM118" s="295">
        <f t="shared" si="181"/>
        <v>1989.4299999999998</v>
      </c>
      <c r="BN118" s="600">
        <f t="shared" si="181"/>
        <v>0</v>
      </c>
      <c r="CG118" s="294">
        <f t="shared" si="170"/>
        <v>3161.03</v>
      </c>
      <c r="CH118" s="294">
        <f t="shared" si="170"/>
        <v>3977.1529999999993</v>
      </c>
      <c r="CI118" s="294">
        <f t="shared" si="170"/>
        <v>2836.2200000000003</v>
      </c>
      <c r="CJ118" s="297">
        <f t="shared" si="170"/>
        <v>4300.2700000000004</v>
      </c>
      <c r="CK118" s="294">
        <f t="shared" si="171"/>
        <v>7295.05</v>
      </c>
      <c r="CL118" s="294">
        <f t="shared" si="171"/>
        <v>8065.5630000000001</v>
      </c>
      <c r="CM118" s="294">
        <f t="shared" si="171"/>
        <v>6538.9030000000002</v>
      </c>
      <c r="CN118" s="297">
        <f t="shared" si="171"/>
        <v>9522.840000000002</v>
      </c>
      <c r="CO118" s="294">
        <f t="shared" si="172"/>
        <v>12558.71</v>
      </c>
      <c r="CP118" s="294">
        <f t="shared" si="172"/>
        <v>13113.102999999999</v>
      </c>
      <c r="CQ118" s="294">
        <f t="shared" si="172"/>
        <v>12555.053000000002</v>
      </c>
      <c r="CR118" s="297">
        <f t="shared" si="172"/>
        <v>12846.54</v>
      </c>
      <c r="CS118" s="294">
        <f t="shared" si="173"/>
        <v>18832.43</v>
      </c>
      <c r="CT118" s="294">
        <f t="shared" si="173"/>
        <v>18427.772999999997</v>
      </c>
      <c r="CU118" s="294">
        <f t="shared" si="173"/>
        <v>19490.153000000002</v>
      </c>
      <c r="CV118" s="297">
        <f t="shared" si="173"/>
        <v>12846.54</v>
      </c>
      <c r="CX118" s="319">
        <f t="shared" si="174"/>
        <v>4088.4100000000008</v>
      </c>
      <c r="CY118" s="319">
        <f t="shared" si="174"/>
        <v>3702.683</v>
      </c>
      <c r="CZ118" s="319">
        <f t="shared" si="174"/>
        <v>5222.5700000000006</v>
      </c>
      <c r="DA118" s="320">
        <f t="shared" si="174"/>
        <v>2859.4800000000005</v>
      </c>
      <c r="DB118" s="294">
        <f t="shared" si="175"/>
        <v>9135.9500000000007</v>
      </c>
      <c r="DC118" s="294">
        <f t="shared" si="175"/>
        <v>9718.8330000000005</v>
      </c>
      <c r="DD118" s="294">
        <f t="shared" si="175"/>
        <v>8546.27</v>
      </c>
      <c r="DE118" s="297">
        <f t="shared" si="175"/>
        <v>6639.3200000000006</v>
      </c>
      <c r="DF118" s="294">
        <f t="shared" si="176"/>
        <v>14450.62</v>
      </c>
      <c r="DG118" s="294">
        <f t="shared" si="176"/>
        <v>16653.933000000001</v>
      </c>
      <c r="DH118" s="294">
        <f t="shared" si="176"/>
        <v>8546.27</v>
      </c>
      <c r="DI118" s="297">
        <f t="shared" si="176"/>
        <v>10566.539999999999</v>
      </c>
      <c r="DJ118" s="294">
        <f t="shared" si="177"/>
        <v>14450.62</v>
      </c>
      <c r="DK118" s="294">
        <f t="shared" si="177"/>
        <v>16653.933000000001</v>
      </c>
      <c r="DL118" s="294">
        <f t="shared" si="177"/>
        <v>8546.27</v>
      </c>
      <c r="DM118" s="297">
        <f t="shared" si="177"/>
        <v>10566.539999999999</v>
      </c>
    </row>
    <row r="119" spans="1:123" ht="15" hidden="1" customHeight="1" x14ac:dyDescent="0.25"/>
    <row r="120" spans="1:123" ht="15" hidden="1" customHeight="1" x14ac:dyDescent="0.25"/>
    <row r="121" spans="1:123" ht="15" hidden="1" customHeight="1" x14ac:dyDescent="0.25"/>
    <row r="122" spans="1:123" ht="15.75" thickBot="1" x14ac:dyDescent="0.3">
      <c r="A122" s="285" t="s">
        <v>76</v>
      </c>
      <c r="BM122" s="280" t="s">
        <v>103</v>
      </c>
    </row>
    <row r="123" spans="1:123" s="285" customFormat="1" ht="15.75" customHeight="1" thickBot="1" x14ac:dyDescent="0.3">
      <c r="A123" s="287"/>
      <c r="B123" s="287"/>
      <c r="C123" s="366"/>
      <c r="D123" s="366"/>
      <c r="E123" s="366"/>
      <c r="F123" s="366"/>
      <c r="S123" s="501" t="s">
        <v>62</v>
      </c>
      <c r="T123" s="502"/>
      <c r="U123" s="502"/>
      <c r="V123" s="503"/>
      <c r="AI123" s="501" t="s">
        <v>59</v>
      </c>
      <c r="AJ123" s="502"/>
      <c r="AK123" s="502"/>
      <c r="AL123" s="503"/>
      <c r="AY123" s="501" t="s">
        <v>56</v>
      </c>
      <c r="AZ123" s="502"/>
      <c r="BA123" s="502"/>
      <c r="BB123" s="503"/>
      <c r="BN123" s="592"/>
      <c r="BO123" s="501" t="s">
        <v>53</v>
      </c>
      <c r="BP123" s="502"/>
      <c r="BQ123" s="502"/>
      <c r="BR123" s="503"/>
      <c r="BS123" s="292"/>
      <c r="BT123" s="507" t="s">
        <v>61</v>
      </c>
      <c r="BU123" s="508"/>
      <c r="BV123" s="509"/>
      <c r="BW123" s="507" t="s">
        <v>58</v>
      </c>
      <c r="BX123" s="508"/>
      <c r="BY123" s="509"/>
      <c r="BZ123" s="507" t="s">
        <v>55</v>
      </c>
      <c r="CA123" s="508"/>
      <c r="CB123" s="509"/>
      <c r="CC123" s="507" t="s">
        <v>52</v>
      </c>
      <c r="CD123" s="508"/>
      <c r="CE123" s="509"/>
      <c r="CF123" s="292"/>
      <c r="CG123" s="537" t="s">
        <v>60</v>
      </c>
      <c r="CH123" s="538"/>
      <c r="CI123" s="538"/>
      <c r="CJ123" s="539"/>
      <c r="CK123" s="513" t="s">
        <v>57</v>
      </c>
      <c r="CL123" s="514"/>
      <c r="CM123" s="514"/>
      <c r="CN123" s="515"/>
      <c r="CO123" s="513" t="s">
        <v>54</v>
      </c>
      <c r="CP123" s="514"/>
      <c r="CQ123" s="514"/>
      <c r="CR123" s="515"/>
      <c r="CS123" s="513" t="s">
        <v>51</v>
      </c>
      <c r="CT123" s="514"/>
      <c r="CU123" s="514"/>
      <c r="CV123" s="515"/>
      <c r="CW123" s="292"/>
      <c r="CX123" s="554" t="s">
        <v>63</v>
      </c>
      <c r="CY123" s="555"/>
      <c r="CZ123" s="555"/>
      <c r="DA123" s="556"/>
      <c r="DB123" s="574" t="s">
        <v>66</v>
      </c>
      <c r="DC123" s="561"/>
      <c r="DD123" s="561"/>
      <c r="DE123" s="562"/>
      <c r="DF123" s="560" t="s">
        <v>65</v>
      </c>
      <c r="DG123" s="561"/>
      <c r="DH123" s="561"/>
      <c r="DI123" s="562"/>
      <c r="DJ123" s="560" t="s">
        <v>64</v>
      </c>
      <c r="DK123" s="561"/>
      <c r="DL123" s="561"/>
      <c r="DM123" s="562"/>
      <c r="DO123" s="365"/>
      <c r="DP123" s="365"/>
      <c r="DR123" s="365"/>
      <c r="DS123" s="365"/>
    </row>
    <row r="124" spans="1:123" s="286" customFormat="1" x14ac:dyDescent="0.25">
      <c r="A124" s="523" t="s">
        <v>3</v>
      </c>
      <c r="B124" s="524"/>
      <c r="C124" s="535" t="s">
        <v>68</v>
      </c>
      <c r="D124" s="535" t="s">
        <v>69</v>
      </c>
      <c r="E124" s="535" t="s">
        <v>70</v>
      </c>
      <c r="F124" s="535" t="s">
        <v>67</v>
      </c>
      <c r="G124" s="498" t="s">
        <v>37</v>
      </c>
      <c r="H124" s="499"/>
      <c r="I124" s="499"/>
      <c r="J124" s="500"/>
      <c r="K124" s="498" t="s">
        <v>38</v>
      </c>
      <c r="L124" s="499"/>
      <c r="M124" s="499"/>
      <c r="N124" s="500"/>
      <c r="O124" s="498" t="s">
        <v>39</v>
      </c>
      <c r="P124" s="499"/>
      <c r="Q124" s="499"/>
      <c r="R124" s="519"/>
      <c r="S124" s="504"/>
      <c r="T124" s="505"/>
      <c r="U124" s="505"/>
      <c r="V124" s="506"/>
      <c r="W124" s="498" t="s">
        <v>40</v>
      </c>
      <c r="X124" s="499"/>
      <c r="Y124" s="499"/>
      <c r="Z124" s="500"/>
      <c r="AA124" s="498" t="s">
        <v>11</v>
      </c>
      <c r="AB124" s="499"/>
      <c r="AC124" s="499"/>
      <c r="AD124" s="500"/>
      <c r="AE124" s="498" t="s">
        <v>41</v>
      </c>
      <c r="AF124" s="499"/>
      <c r="AG124" s="499"/>
      <c r="AH124" s="500"/>
      <c r="AI124" s="504"/>
      <c r="AJ124" s="505"/>
      <c r="AK124" s="505"/>
      <c r="AL124" s="506"/>
      <c r="AM124" s="498" t="s">
        <v>42</v>
      </c>
      <c r="AN124" s="499"/>
      <c r="AO124" s="499"/>
      <c r="AP124" s="500"/>
      <c r="AQ124" s="498" t="s">
        <v>43</v>
      </c>
      <c r="AR124" s="499"/>
      <c r="AS124" s="499"/>
      <c r="AT124" s="500"/>
      <c r="AU124" s="498" t="s">
        <v>44</v>
      </c>
      <c r="AV124" s="499"/>
      <c r="AW124" s="499"/>
      <c r="AX124" s="500"/>
      <c r="AY124" s="504"/>
      <c r="AZ124" s="505"/>
      <c r="BA124" s="505"/>
      <c r="BB124" s="506"/>
      <c r="BC124" s="498" t="s">
        <v>45</v>
      </c>
      <c r="BD124" s="499"/>
      <c r="BE124" s="499"/>
      <c r="BF124" s="500"/>
      <c r="BG124" s="498" t="s">
        <v>46</v>
      </c>
      <c r="BH124" s="499"/>
      <c r="BI124" s="499"/>
      <c r="BJ124" s="500"/>
      <c r="BK124" s="498" t="s">
        <v>47</v>
      </c>
      <c r="BL124" s="499"/>
      <c r="BM124" s="499"/>
      <c r="BN124" s="500"/>
      <c r="BO124" s="504"/>
      <c r="BP124" s="505"/>
      <c r="BQ124" s="505"/>
      <c r="BR124" s="506"/>
      <c r="BS124" s="292"/>
      <c r="BT124" s="510"/>
      <c r="BU124" s="511"/>
      <c r="BV124" s="512"/>
      <c r="BW124" s="510"/>
      <c r="BX124" s="511"/>
      <c r="BY124" s="512"/>
      <c r="BZ124" s="510"/>
      <c r="CA124" s="511"/>
      <c r="CB124" s="512"/>
      <c r="CC124" s="510"/>
      <c r="CD124" s="511"/>
      <c r="CE124" s="512"/>
      <c r="CF124" s="292"/>
      <c r="CG124" s="540"/>
      <c r="CH124" s="541"/>
      <c r="CI124" s="541"/>
      <c r="CJ124" s="542"/>
      <c r="CK124" s="516"/>
      <c r="CL124" s="517"/>
      <c r="CM124" s="517"/>
      <c r="CN124" s="518"/>
      <c r="CO124" s="516"/>
      <c r="CP124" s="517"/>
      <c r="CQ124" s="517"/>
      <c r="CR124" s="518"/>
      <c r="CS124" s="516"/>
      <c r="CT124" s="517"/>
      <c r="CU124" s="517"/>
      <c r="CV124" s="518"/>
      <c r="CW124" s="292"/>
      <c r="CX124" s="557"/>
      <c r="CY124" s="558"/>
      <c r="CZ124" s="558"/>
      <c r="DA124" s="559"/>
      <c r="DB124" s="575"/>
      <c r="DC124" s="564"/>
      <c r="DD124" s="564"/>
      <c r="DE124" s="565"/>
      <c r="DF124" s="563"/>
      <c r="DG124" s="564"/>
      <c r="DH124" s="564"/>
      <c r="DI124" s="565"/>
      <c r="DJ124" s="563"/>
      <c r="DK124" s="564"/>
      <c r="DL124" s="564"/>
      <c r="DM124" s="565"/>
      <c r="DO124" s="587">
        <v>2024</v>
      </c>
      <c r="DP124" s="588"/>
      <c r="DQ124" s="285"/>
      <c r="DR124" s="587">
        <v>2025</v>
      </c>
      <c r="DS124" s="588"/>
    </row>
    <row r="125" spans="1:123" s="286" customFormat="1" ht="30.75" thickBot="1" x14ac:dyDescent="0.3">
      <c r="A125" s="582"/>
      <c r="B125" s="583"/>
      <c r="C125" s="584"/>
      <c r="D125" s="584"/>
      <c r="E125" s="584"/>
      <c r="F125" s="584"/>
      <c r="G125" s="424">
        <v>2022</v>
      </c>
      <c r="H125" s="425">
        <v>2023</v>
      </c>
      <c r="I125" s="425">
        <v>2024</v>
      </c>
      <c r="J125" s="426">
        <v>2025</v>
      </c>
      <c r="K125" s="424">
        <v>2022</v>
      </c>
      <c r="L125" s="425">
        <v>2023</v>
      </c>
      <c r="M125" s="425">
        <v>2024</v>
      </c>
      <c r="N125" s="426">
        <v>2025</v>
      </c>
      <c r="O125" s="424">
        <v>2022</v>
      </c>
      <c r="P125" s="425">
        <v>2023</v>
      </c>
      <c r="Q125" s="425">
        <v>2024</v>
      </c>
      <c r="R125" s="427">
        <v>2025</v>
      </c>
      <c r="S125" s="424">
        <v>2022</v>
      </c>
      <c r="T125" s="425">
        <v>2023</v>
      </c>
      <c r="U125" s="425">
        <v>2024</v>
      </c>
      <c r="V125" s="426">
        <v>2025</v>
      </c>
      <c r="W125" s="424">
        <v>2022</v>
      </c>
      <c r="X125" s="425">
        <v>2023</v>
      </c>
      <c r="Y125" s="425">
        <v>2024</v>
      </c>
      <c r="Z125" s="426">
        <v>2025</v>
      </c>
      <c r="AA125" s="424">
        <v>2022</v>
      </c>
      <c r="AB125" s="425">
        <v>2023</v>
      </c>
      <c r="AC125" s="425">
        <v>2024</v>
      </c>
      <c r="AD125" s="426">
        <v>2025</v>
      </c>
      <c r="AE125" s="424">
        <v>2022</v>
      </c>
      <c r="AF125" s="425">
        <v>2023</v>
      </c>
      <c r="AG125" s="425">
        <v>2024</v>
      </c>
      <c r="AH125" s="426">
        <v>2025</v>
      </c>
      <c r="AI125" s="424">
        <v>2022</v>
      </c>
      <c r="AJ125" s="425">
        <v>2023</v>
      </c>
      <c r="AK125" s="425">
        <v>2024</v>
      </c>
      <c r="AL125" s="426">
        <v>2025</v>
      </c>
      <c r="AM125" s="424">
        <v>2022</v>
      </c>
      <c r="AN125" s="425">
        <v>2023</v>
      </c>
      <c r="AO125" s="425">
        <v>2024</v>
      </c>
      <c r="AP125" s="426">
        <v>2025</v>
      </c>
      <c r="AQ125" s="424">
        <v>2022</v>
      </c>
      <c r="AR125" s="425">
        <v>2023</v>
      </c>
      <c r="AS125" s="425">
        <v>2024</v>
      </c>
      <c r="AT125" s="426">
        <v>2025</v>
      </c>
      <c r="AU125" s="424">
        <v>2022</v>
      </c>
      <c r="AV125" s="425">
        <v>2023</v>
      </c>
      <c r="AW125" s="425">
        <v>2024</v>
      </c>
      <c r="AX125" s="426">
        <v>2025</v>
      </c>
      <c r="AY125" s="424">
        <v>2022</v>
      </c>
      <c r="AZ125" s="425">
        <v>2023</v>
      </c>
      <c r="BA125" s="425">
        <v>2024</v>
      </c>
      <c r="BB125" s="426">
        <v>2025</v>
      </c>
      <c r="BC125" s="424">
        <v>2022</v>
      </c>
      <c r="BD125" s="425">
        <v>2023</v>
      </c>
      <c r="BE125" s="425">
        <v>2024</v>
      </c>
      <c r="BF125" s="426">
        <v>2025</v>
      </c>
      <c r="BG125" s="424">
        <v>2022</v>
      </c>
      <c r="BH125" s="425">
        <v>2023</v>
      </c>
      <c r="BI125" s="425">
        <v>2024</v>
      </c>
      <c r="BJ125" s="426">
        <v>2025</v>
      </c>
      <c r="BK125" s="424">
        <v>2022</v>
      </c>
      <c r="BL125" s="425">
        <v>2023</v>
      </c>
      <c r="BM125" s="425">
        <v>2024</v>
      </c>
      <c r="BN125" s="593">
        <v>2025</v>
      </c>
      <c r="BO125" s="424">
        <v>2022</v>
      </c>
      <c r="BP125" s="425">
        <v>2023</v>
      </c>
      <c r="BQ125" s="425">
        <v>2024</v>
      </c>
      <c r="BR125" s="426">
        <v>2025</v>
      </c>
      <c r="BT125" s="424" t="s">
        <v>48</v>
      </c>
      <c r="BU125" s="425" t="s">
        <v>49</v>
      </c>
      <c r="BV125" s="426" t="s">
        <v>50</v>
      </c>
      <c r="BW125" s="424" t="s">
        <v>48</v>
      </c>
      <c r="BX125" s="425" t="s">
        <v>49</v>
      </c>
      <c r="BY125" s="426" t="s">
        <v>50</v>
      </c>
      <c r="BZ125" s="424" t="s">
        <v>48</v>
      </c>
      <c r="CA125" s="425" t="s">
        <v>49</v>
      </c>
      <c r="CB125" s="426" t="s">
        <v>50</v>
      </c>
      <c r="CC125" s="424" t="s">
        <v>48</v>
      </c>
      <c r="CD125" s="425" t="s">
        <v>49</v>
      </c>
      <c r="CE125" s="426" t="s">
        <v>50</v>
      </c>
      <c r="CG125" s="424">
        <v>2022</v>
      </c>
      <c r="CH125" s="425">
        <v>2023</v>
      </c>
      <c r="CI125" s="425">
        <v>2024</v>
      </c>
      <c r="CJ125" s="426">
        <v>2025</v>
      </c>
      <c r="CK125" s="424">
        <v>2022</v>
      </c>
      <c r="CL125" s="425">
        <v>2023</v>
      </c>
      <c r="CM125" s="425">
        <v>2024</v>
      </c>
      <c r="CN125" s="426">
        <v>2025</v>
      </c>
      <c r="CO125" s="424">
        <v>2022</v>
      </c>
      <c r="CP125" s="425">
        <v>2023</v>
      </c>
      <c r="CQ125" s="425">
        <v>2024</v>
      </c>
      <c r="CR125" s="426">
        <v>2025</v>
      </c>
      <c r="CS125" s="424">
        <v>2022</v>
      </c>
      <c r="CT125" s="425">
        <v>2023</v>
      </c>
      <c r="CU125" s="425">
        <v>2024</v>
      </c>
      <c r="CV125" s="426">
        <v>2025</v>
      </c>
      <c r="CX125" s="424">
        <v>2022</v>
      </c>
      <c r="CY125" s="425">
        <v>2023</v>
      </c>
      <c r="CZ125" s="425">
        <v>2024</v>
      </c>
      <c r="DA125" s="426">
        <v>2025</v>
      </c>
      <c r="DB125" s="455">
        <v>2022</v>
      </c>
      <c r="DC125" s="425">
        <v>2023</v>
      </c>
      <c r="DD125" s="425">
        <v>2024</v>
      </c>
      <c r="DE125" s="426">
        <v>2025</v>
      </c>
      <c r="DF125" s="424">
        <v>2022</v>
      </c>
      <c r="DG125" s="425">
        <v>2023</v>
      </c>
      <c r="DH125" s="425">
        <v>2024</v>
      </c>
      <c r="DI125" s="426">
        <v>2025</v>
      </c>
      <c r="DJ125" s="424">
        <v>2022</v>
      </c>
      <c r="DK125" s="425">
        <v>2023</v>
      </c>
      <c r="DL125" s="425">
        <v>2024</v>
      </c>
      <c r="DM125" s="426">
        <v>2025</v>
      </c>
      <c r="DO125" s="470" t="s">
        <v>98</v>
      </c>
      <c r="DP125" s="471" t="s">
        <v>99</v>
      </c>
      <c r="DQ125" s="469"/>
      <c r="DR125" s="470" t="s">
        <v>98</v>
      </c>
      <c r="DS125" s="471" t="s">
        <v>99</v>
      </c>
    </row>
    <row r="126" spans="1:123" x14ac:dyDescent="0.25">
      <c r="A126" s="520" t="s">
        <v>28</v>
      </c>
      <c r="B126" s="23">
        <v>25</v>
      </c>
      <c r="C126" s="367">
        <v>38.22</v>
      </c>
      <c r="D126" s="367">
        <v>38.22</v>
      </c>
      <c r="E126" s="367">
        <v>38.22</v>
      </c>
      <c r="F126" s="367">
        <v>38.22</v>
      </c>
      <c r="G126" s="456">
        <f t="shared" ref="G126:G134" si="182">VLOOKUP(B126,year2022to23,72,FALSE)</f>
        <v>0</v>
      </c>
      <c r="H126" s="457">
        <f t="shared" ref="H126:H134" si="183">VLOOKUP(B126,year2022to23,132,FALSE)</f>
        <v>1.42</v>
      </c>
      <c r="I126" s="457">
        <f t="shared" ref="I126:I134" si="184">VLOOKUP(B126,year2022to23,192,FALSE)</f>
        <v>1.02</v>
      </c>
      <c r="J126" s="458">
        <f t="shared" ref="J126:J134" si="185">VLOOKUP(B126,year2022to23,252,FALSE)</f>
        <v>18.25</v>
      </c>
      <c r="K126" s="456">
        <f t="shared" ref="K126:K134" si="186">VLOOKUP(B126,year2022to23,77,FALSE)</f>
        <v>0</v>
      </c>
      <c r="L126" s="457">
        <f t="shared" ref="L126:L134" si="187">VLOOKUP(B126,year2022to23,137,FALSE)</f>
        <v>0.37</v>
      </c>
      <c r="M126" s="457">
        <f t="shared" ref="M126:M134" si="188">VLOOKUP(B126,year2022to23,197,FALSE)</f>
        <v>1.02</v>
      </c>
      <c r="N126" s="458">
        <f t="shared" ref="N126:N134" si="189">VLOOKUP(B126,year2022to23,257,FALSE)</f>
        <v>21.46</v>
      </c>
      <c r="O126" s="456">
        <f t="shared" ref="O126:O134" si="190">VLOOKUP(B126,year2022to23,82,FALSE)</f>
        <v>0</v>
      </c>
      <c r="P126" s="457">
        <f t="shared" ref="P126:P134" si="191">VLOOKUP(B126,year2022to23,142,FALSE)</f>
        <v>0.36</v>
      </c>
      <c r="Q126" s="457">
        <f t="shared" ref="Q126:Q134" si="192">VLOOKUP(B126,year2022to23,202,FALSE)</f>
        <v>2.2800000000000002</v>
      </c>
      <c r="R126" s="459">
        <f t="shared" ref="R126:R134" si="193">VLOOKUP(B126,year2022to23,262,FALSE)</f>
        <v>18.98</v>
      </c>
      <c r="S126" s="456">
        <f t="shared" ref="S126:V135" si="194">G126+K126+O126</f>
        <v>0</v>
      </c>
      <c r="T126" s="457">
        <f t="shared" si="194"/>
        <v>2.15</v>
      </c>
      <c r="U126" s="457">
        <f t="shared" si="194"/>
        <v>4.32</v>
      </c>
      <c r="V126" s="458">
        <f t="shared" si="194"/>
        <v>58.69</v>
      </c>
      <c r="W126" s="456">
        <f t="shared" ref="W126:W134" si="195">VLOOKUP(B126,year2022to23,87,FALSE)</f>
        <v>0</v>
      </c>
      <c r="X126" s="457">
        <f t="shared" ref="X126:X134" si="196">VLOOKUP(B126,year2022to23,147,FALSE)</f>
        <v>1.26</v>
      </c>
      <c r="Y126" s="457">
        <f t="shared" ref="Y126:Y134" si="197">VLOOKUP(B126,year2022to23,207,FALSE)</f>
        <v>3.4299999999999997</v>
      </c>
      <c r="Z126" s="458">
        <f t="shared" ref="Z126:Z134" si="198">VLOOKUP(B126,year2022to23,267,FALSE)</f>
        <v>28.92</v>
      </c>
      <c r="AA126" s="456">
        <f t="shared" ref="AA126:AA134" si="199">VLOOKUP(B126,year2022to23,92,FALSE)</f>
        <v>0</v>
      </c>
      <c r="AB126" s="457">
        <f t="shared" ref="AB126:AB134" si="200">VLOOKUP(B126,year2022to23,152,FALSE)</f>
        <v>2.7600000000000002</v>
      </c>
      <c r="AC126" s="457">
        <f t="shared" ref="AC126:AC134" si="201">VLOOKUP(B126,year2022to23,212,FALSE)</f>
        <v>9.34</v>
      </c>
      <c r="AD126" s="458">
        <f t="shared" ref="AD126:AD134" si="202">VLOOKUP(B126,year2022to23,272,FALSE)</f>
        <v>43.78</v>
      </c>
      <c r="AE126" s="456">
        <f t="shared" ref="AE126:AE134" si="203">VLOOKUP(B126,year2022to23,97,FALSE)</f>
        <v>0</v>
      </c>
      <c r="AF126" s="457">
        <f t="shared" ref="AF126:AF134" si="204">VLOOKUP(B126,year2022to23,157,FALSE)</f>
        <v>0.92</v>
      </c>
      <c r="AG126" s="457">
        <f t="shared" ref="AG126:AG134" si="205">VLOOKUP(B126,year2022to23,217,FALSE)</f>
        <v>12.17</v>
      </c>
      <c r="AH126" s="458">
        <f t="shared" ref="AH126:AH134" si="206">VLOOKUP(B126,year2022to23,277,FALSE)</f>
        <v>24.43</v>
      </c>
      <c r="AI126" s="456">
        <f t="shared" ref="AI126:AL135" si="207">W126+AA126+AE126</f>
        <v>0</v>
      </c>
      <c r="AJ126" s="457">
        <f t="shared" si="207"/>
        <v>4.9400000000000004</v>
      </c>
      <c r="AK126" s="457">
        <f t="shared" si="207"/>
        <v>24.939999999999998</v>
      </c>
      <c r="AL126" s="458">
        <f t="shared" si="207"/>
        <v>97.13</v>
      </c>
      <c r="AM126" s="456">
        <f t="shared" ref="AM126:AM134" si="208">VLOOKUP(B126,year2022to23,102,FALSE)</f>
        <v>0</v>
      </c>
      <c r="AN126" s="457">
        <f t="shared" ref="AN126:AN134" si="209">VLOOKUP(B126,year2022to23,162,FALSE)</f>
        <v>1.19</v>
      </c>
      <c r="AO126" s="457">
        <f t="shared" ref="AO126:AO134" si="210">VLOOKUP(B126,year2022to23,222,FALSE)</f>
        <v>8.1</v>
      </c>
      <c r="AP126" s="458">
        <f t="shared" ref="AP126:AP134" si="211">VLOOKUP(B126,year2022to23,282,FALSE)</f>
        <v>23.89</v>
      </c>
      <c r="AQ126" s="456">
        <f t="shared" ref="AQ126:AQ134" si="212">VLOOKUP(B126,year2022to23,107,FALSE)</f>
        <v>0.28999999999999998</v>
      </c>
      <c r="AR126" s="457">
        <f t="shared" ref="AR126:AR134" si="213">VLOOKUP(B126,year2022to23,167,FALSE)</f>
        <v>2.16</v>
      </c>
      <c r="AS126" s="457">
        <f t="shared" ref="AS126:AS134" si="214">VLOOKUP(B126,year2022to23,227,FALSE)</f>
        <v>10.59</v>
      </c>
      <c r="AT126" s="441">
        <f t="shared" ref="AT126:AT134" si="215">VLOOKUP(B126,year2022to23,287,FALSE)</f>
        <v>30.08</v>
      </c>
      <c r="AU126" s="456">
        <f t="shared" ref="AU126:AU134" si="216">VLOOKUP(B126,year2022to23,112,FALSE)</f>
        <v>0.69</v>
      </c>
      <c r="AV126" s="457">
        <f t="shared" ref="AV126:AV134" si="217">VLOOKUP(B126,year2022to23,172,FALSE)</f>
        <v>0.71</v>
      </c>
      <c r="AW126" s="457">
        <f t="shared" ref="AW126:AW134" si="218">VLOOKUP(B126,year2022to23,232,FALSE)</f>
        <v>14.830000000000002</v>
      </c>
      <c r="AX126" s="458">
        <f t="shared" ref="AX126:AX134" si="219">VLOOKUP(B126,year2022to23,292,FALSE)</f>
        <v>30.05</v>
      </c>
      <c r="AY126" s="456">
        <f t="shared" ref="AY126:BB135" si="220">AM126+AQ126+AU126</f>
        <v>0.98</v>
      </c>
      <c r="AZ126" s="457">
        <f t="shared" si="220"/>
        <v>4.0600000000000005</v>
      </c>
      <c r="BA126" s="457">
        <f t="shared" si="220"/>
        <v>33.519999999999996</v>
      </c>
      <c r="BB126" s="458">
        <f t="shared" si="220"/>
        <v>84.02</v>
      </c>
      <c r="BC126" s="456">
        <f t="shared" ref="BC126:BC134" si="221">VLOOKUP(B126,year2022to23,117,FALSE)</f>
        <v>0.4</v>
      </c>
      <c r="BD126" s="457">
        <f t="shared" ref="BD126:BD134" si="222">VLOOKUP(B126,year2022to23,177,FALSE)</f>
        <v>1.4</v>
      </c>
      <c r="BE126" s="457">
        <f t="shared" ref="BE126:BE134" si="223">VLOOKUP(B126,year2022to23,237,FALSE)</f>
        <v>13.21</v>
      </c>
      <c r="BF126" s="441">
        <f t="shared" ref="BF126:BF134" si="224">VLOOKUP(B126,year2022to23,297,FALSE)</f>
        <v>40</v>
      </c>
      <c r="BG126" s="456">
        <f t="shared" ref="BG126:BG134" si="225">VLOOKUP(B126,year2022to23,122,FALSE)</f>
        <v>0.71</v>
      </c>
      <c r="BH126" s="457">
        <f t="shared" ref="BH126:BH134" si="226">VLOOKUP(B126,year2022to23,182,FALSE)</f>
        <v>1.57</v>
      </c>
      <c r="BI126" s="457">
        <f t="shared" ref="BI126:BI134" si="227">VLOOKUP(B126,year2022to23,242,FALSE)</f>
        <v>24.810000000000002</v>
      </c>
      <c r="BJ126" s="458">
        <f t="shared" ref="BJ126:BJ134" si="228">VLOOKUP(B126,year2022to23,302,FALSE)</f>
        <v>28.770000000000003</v>
      </c>
      <c r="BK126" s="456">
        <f t="shared" ref="BK126:BK134" si="229">VLOOKUP(B126,year2022to23,127,FALSE)</f>
        <v>0.99</v>
      </c>
      <c r="BL126" s="457">
        <f t="shared" ref="BL126:BL134" si="230">VLOOKUP(B126,year2022to23,187,FALSE)</f>
        <v>1.03</v>
      </c>
      <c r="BM126" s="457">
        <f t="shared" ref="BM126:BM134" si="231">VLOOKUP(B126,year2022to23,247,FALSE)</f>
        <v>9.11</v>
      </c>
      <c r="BN126" s="601">
        <f>VLOOKUP(B126,year2022to23,307,FALSE)</f>
        <v>21.7</v>
      </c>
      <c r="BO126" s="456">
        <f t="shared" ref="BO126:BR135" si="232">BC126+BG126+BK126</f>
        <v>2.0999999999999996</v>
      </c>
      <c r="BP126" s="457">
        <f t="shared" si="232"/>
        <v>4</v>
      </c>
      <c r="BQ126" s="457">
        <f t="shared" si="232"/>
        <v>47.13</v>
      </c>
      <c r="BR126" s="445"/>
      <c r="BS126" s="446"/>
      <c r="BT126" s="456">
        <f t="shared" ref="BT126:BV135" si="233">T126-S126</f>
        <v>2.15</v>
      </c>
      <c r="BU126" s="457">
        <f t="shared" si="233"/>
        <v>2.1700000000000004</v>
      </c>
      <c r="BV126" s="458">
        <f t="shared" si="233"/>
        <v>54.37</v>
      </c>
      <c r="BW126" s="456">
        <f t="shared" ref="BW126:BY135" si="234">AJ126-AI126</f>
        <v>4.9400000000000004</v>
      </c>
      <c r="BX126" s="457">
        <f t="shared" si="234"/>
        <v>19.999999999999996</v>
      </c>
      <c r="BY126" s="458">
        <f t="shared" si="234"/>
        <v>72.19</v>
      </c>
      <c r="BZ126" s="456">
        <f t="shared" ref="BZ126:CB135" si="235">AZ126-AY126</f>
        <v>3.0800000000000005</v>
      </c>
      <c r="CA126" s="457">
        <f t="shared" si="235"/>
        <v>29.459999999999994</v>
      </c>
      <c r="CB126" s="458">
        <f t="shared" si="235"/>
        <v>50.5</v>
      </c>
      <c r="CC126" s="456">
        <f t="shared" ref="CC126:CE135" si="236">BP126-BO126</f>
        <v>1.9000000000000004</v>
      </c>
      <c r="CD126" s="457">
        <f t="shared" si="236"/>
        <v>43.13</v>
      </c>
      <c r="CE126" s="445"/>
      <c r="CF126" s="446"/>
      <c r="CG126" s="456">
        <f t="shared" ref="CG126:CJ135" si="237">G126+K126+O126</f>
        <v>0</v>
      </c>
      <c r="CH126" s="457">
        <f t="shared" si="237"/>
        <v>2.15</v>
      </c>
      <c r="CI126" s="457">
        <f t="shared" si="237"/>
        <v>4.32</v>
      </c>
      <c r="CJ126" s="458">
        <f t="shared" si="237"/>
        <v>58.69</v>
      </c>
      <c r="CK126" s="456">
        <f t="shared" ref="CK126:CN135" si="238">CG126+W126+AA126+AE126</f>
        <v>0</v>
      </c>
      <c r="CL126" s="457">
        <f t="shared" si="238"/>
        <v>7.09</v>
      </c>
      <c r="CM126" s="457">
        <f t="shared" si="238"/>
        <v>29.259999999999998</v>
      </c>
      <c r="CN126" s="458">
        <f t="shared" si="238"/>
        <v>155.82</v>
      </c>
      <c r="CO126" s="456">
        <f t="shared" ref="CO126:CR135" si="239">CK126+AM126+AQ126+AU126</f>
        <v>0.98</v>
      </c>
      <c r="CP126" s="457">
        <f t="shared" si="239"/>
        <v>11.149999999999999</v>
      </c>
      <c r="CQ126" s="457">
        <f t="shared" si="239"/>
        <v>62.78</v>
      </c>
      <c r="CR126" s="458">
        <f t="shared" si="239"/>
        <v>239.83999999999997</v>
      </c>
      <c r="CS126" s="456">
        <f t="shared" ref="CS126:CV135" si="240">CO126+BC126+BG126+BK126</f>
        <v>3.08</v>
      </c>
      <c r="CT126" s="457">
        <f t="shared" si="240"/>
        <v>15.149999999999999</v>
      </c>
      <c r="CU126" s="457">
        <f t="shared" si="240"/>
        <v>109.91000000000001</v>
      </c>
      <c r="CV126" s="458">
        <f t="shared" si="240"/>
        <v>330.30999999999995</v>
      </c>
      <c r="CW126" s="446"/>
      <c r="CX126" s="439">
        <f t="shared" ref="CX126:DA135" si="241">CG126/C126</f>
        <v>0</v>
      </c>
      <c r="CY126" s="440">
        <f t="shared" si="241"/>
        <v>5.6253270538984823E-2</v>
      </c>
      <c r="CZ126" s="440">
        <f t="shared" si="241"/>
        <v>0.11302982731554161</v>
      </c>
      <c r="DA126" s="441">
        <f t="shared" si="241"/>
        <v>1.5355834641548927</v>
      </c>
      <c r="DB126" s="460">
        <f t="shared" ref="DB126:DE135" si="242">CK126/C126</f>
        <v>0</v>
      </c>
      <c r="DC126" s="440">
        <f t="shared" si="242"/>
        <v>0.18550497121925694</v>
      </c>
      <c r="DD126" s="440">
        <f t="shared" si="242"/>
        <v>0.76556776556776551</v>
      </c>
      <c r="DE126" s="441">
        <f t="shared" si="242"/>
        <v>4.0769230769230766</v>
      </c>
      <c r="DF126" s="439">
        <f t="shared" ref="DF126:DI135" si="243">CO126/C126</f>
        <v>2.564102564102564E-2</v>
      </c>
      <c r="DG126" s="440">
        <f t="shared" si="243"/>
        <v>0.29173207744636315</v>
      </c>
      <c r="DH126" s="440">
        <f t="shared" si="243"/>
        <v>1.6425954997383569</v>
      </c>
      <c r="DI126" s="441">
        <f t="shared" si="243"/>
        <v>6.2752485609628463</v>
      </c>
      <c r="DJ126" s="439">
        <f t="shared" ref="DJ126:DL135" si="244">CS126/C126</f>
        <v>8.0586080586080591E-2</v>
      </c>
      <c r="DK126" s="440">
        <f t="shared" si="244"/>
        <v>0.39638932496075352</v>
      </c>
      <c r="DL126" s="440">
        <f t="shared" si="244"/>
        <v>2.8757195185766617</v>
      </c>
      <c r="DM126" s="445"/>
      <c r="DN126" s="446"/>
      <c r="DO126" s="439">
        <v>109.91000000000001</v>
      </c>
      <c r="DP126" s="441">
        <v>2.8757195185766617</v>
      </c>
      <c r="DQ126" s="446"/>
      <c r="DR126" s="439">
        <f t="shared" ref="DR126:DR135" si="245">CV126</f>
        <v>330.30999999999995</v>
      </c>
      <c r="DS126" s="441">
        <f t="shared" ref="DS126:DS135" si="246">DR126/F126</f>
        <v>8.6423338566195689</v>
      </c>
    </row>
    <row r="127" spans="1:123" x14ac:dyDescent="0.25">
      <c r="A127" s="521"/>
      <c r="B127" s="55" t="s">
        <v>29</v>
      </c>
      <c r="C127" s="376">
        <v>22.72</v>
      </c>
      <c r="D127" s="376">
        <v>22.72</v>
      </c>
      <c r="E127" s="376">
        <v>22.72</v>
      </c>
      <c r="F127" s="368">
        <v>22.72</v>
      </c>
      <c r="G127" s="281">
        <f t="shared" si="182"/>
        <v>1.03</v>
      </c>
      <c r="H127" s="282">
        <f t="shared" si="183"/>
        <v>4.6099999999999994</v>
      </c>
      <c r="I127" s="282">
        <f t="shared" si="184"/>
        <v>5.78</v>
      </c>
      <c r="J127" s="283">
        <f t="shared" si="185"/>
        <v>18.600000000000001</v>
      </c>
      <c r="K127" s="281">
        <f t="shared" si="186"/>
        <v>0.5</v>
      </c>
      <c r="L127" s="282">
        <f t="shared" si="187"/>
        <v>1.23</v>
      </c>
      <c r="M127" s="282">
        <f t="shared" si="188"/>
        <v>4.8100000000000005</v>
      </c>
      <c r="N127" s="283">
        <f t="shared" si="189"/>
        <v>10.9</v>
      </c>
      <c r="O127" s="281">
        <f t="shared" si="190"/>
        <v>0</v>
      </c>
      <c r="P127" s="282">
        <f t="shared" si="191"/>
        <v>2</v>
      </c>
      <c r="Q127" s="282">
        <f t="shared" si="192"/>
        <v>6.07</v>
      </c>
      <c r="R127" s="284">
        <f t="shared" si="193"/>
        <v>23.84</v>
      </c>
      <c r="S127" s="281">
        <f t="shared" si="194"/>
        <v>1.53</v>
      </c>
      <c r="T127" s="282">
        <f t="shared" si="194"/>
        <v>7.84</v>
      </c>
      <c r="U127" s="282">
        <f t="shared" si="194"/>
        <v>16.66</v>
      </c>
      <c r="V127" s="283">
        <f t="shared" si="194"/>
        <v>53.34</v>
      </c>
      <c r="W127" s="281">
        <f t="shared" si="195"/>
        <v>0</v>
      </c>
      <c r="X127" s="282">
        <f t="shared" si="196"/>
        <v>2.17</v>
      </c>
      <c r="Y127" s="282">
        <f t="shared" si="197"/>
        <v>9.06</v>
      </c>
      <c r="Z127" s="283">
        <f t="shared" si="198"/>
        <v>19.61</v>
      </c>
      <c r="AA127" s="281">
        <f t="shared" si="199"/>
        <v>1.77</v>
      </c>
      <c r="AB127" s="282">
        <f t="shared" si="200"/>
        <v>3.39</v>
      </c>
      <c r="AC127" s="282">
        <f t="shared" si="201"/>
        <v>15.52</v>
      </c>
      <c r="AD127" s="283">
        <f t="shared" si="202"/>
        <v>20.61</v>
      </c>
      <c r="AE127" s="281">
        <f t="shared" si="203"/>
        <v>0.7</v>
      </c>
      <c r="AF127" s="282">
        <f t="shared" si="204"/>
        <v>2.4900000000000002</v>
      </c>
      <c r="AG127" s="282">
        <f t="shared" si="205"/>
        <v>14.17</v>
      </c>
      <c r="AH127" s="283">
        <f t="shared" si="206"/>
        <v>24.740000000000002</v>
      </c>
      <c r="AI127" s="281">
        <f t="shared" si="207"/>
        <v>2.4699999999999998</v>
      </c>
      <c r="AJ127" s="282">
        <f t="shared" si="207"/>
        <v>8.0500000000000007</v>
      </c>
      <c r="AK127" s="282">
        <f t="shared" si="207"/>
        <v>38.75</v>
      </c>
      <c r="AL127" s="283">
        <f t="shared" si="207"/>
        <v>64.960000000000008</v>
      </c>
      <c r="AM127" s="281">
        <f t="shared" si="208"/>
        <v>0.97</v>
      </c>
      <c r="AN127" s="282">
        <f t="shared" si="209"/>
        <v>4.03</v>
      </c>
      <c r="AO127" s="282">
        <f t="shared" si="210"/>
        <v>9.67</v>
      </c>
      <c r="AP127" s="283">
        <f t="shared" si="211"/>
        <v>17.809999999999999</v>
      </c>
      <c r="AQ127" s="281">
        <f t="shared" si="212"/>
        <v>1.75</v>
      </c>
      <c r="AR127" s="282">
        <f t="shared" si="213"/>
        <v>3.1</v>
      </c>
      <c r="AS127" s="282">
        <f t="shared" si="214"/>
        <v>21.14</v>
      </c>
      <c r="AT127" s="328">
        <f t="shared" si="215"/>
        <v>24.36</v>
      </c>
      <c r="AU127" s="281">
        <f t="shared" si="216"/>
        <v>2</v>
      </c>
      <c r="AV127" s="282">
        <f t="shared" si="217"/>
        <v>4.79</v>
      </c>
      <c r="AW127" s="282">
        <f t="shared" si="218"/>
        <v>20.100000000000001</v>
      </c>
      <c r="AX127" s="283">
        <f t="shared" si="219"/>
        <v>28.22</v>
      </c>
      <c r="AY127" s="281">
        <f t="shared" si="220"/>
        <v>4.72</v>
      </c>
      <c r="AZ127" s="282">
        <f t="shared" si="220"/>
        <v>11.920000000000002</v>
      </c>
      <c r="BA127" s="282">
        <f t="shared" si="220"/>
        <v>50.910000000000004</v>
      </c>
      <c r="BB127" s="283">
        <f t="shared" si="220"/>
        <v>70.39</v>
      </c>
      <c r="BC127" s="281">
        <f t="shared" si="221"/>
        <v>2</v>
      </c>
      <c r="BD127" s="282">
        <f t="shared" si="222"/>
        <v>7.67</v>
      </c>
      <c r="BE127" s="282">
        <f t="shared" si="223"/>
        <v>16.68</v>
      </c>
      <c r="BF127" s="328">
        <f t="shared" si="224"/>
        <v>33.9</v>
      </c>
      <c r="BG127" s="281">
        <f t="shared" si="225"/>
        <v>3.21</v>
      </c>
      <c r="BH127" s="282">
        <f t="shared" si="226"/>
        <v>8.4699999999999989</v>
      </c>
      <c r="BI127" s="282">
        <f t="shared" si="227"/>
        <v>19.809999999999999</v>
      </c>
      <c r="BJ127" s="283">
        <f t="shared" si="228"/>
        <v>30.4</v>
      </c>
      <c r="BK127" s="281">
        <f t="shared" si="229"/>
        <v>1.5</v>
      </c>
      <c r="BL127" s="282">
        <f t="shared" si="230"/>
        <v>6.1899999999999995</v>
      </c>
      <c r="BM127" s="282">
        <f t="shared" si="231"/>
        <v>22.05</v>
      </c>
      <c r="BN127" s="599">
        <f>VLOOKUP(B127,year2022to23,307,FALSE)</f>
        <v>28.249999999999996</v>
      </c>
      <c r="BO127" s="281">
        <f t="shared" si="232"/>
        <v>6.71</v>
      </c>
      <c r="BP127" s="282">
        <f t="shared" si="232"/>
        <v>22.33</v>
      </c>
      <c r="BQ127" s="282">
        <f t="shared" si="232"/>
        <v>58.539999999999992</v>
      </c>
      <c r="BR127" s="324"/>
      <c r="BT127" s="281">
        <f t="shared" si="233"/>
        <v>6.31</v>
      </c>
      <c r="BU127" s="282">
        <f t="shared" si="233"/>
        <v>8.82</v>
      </c>
      <c r="BV127" s="283">
        <f t="shared" si="233"/>
        <v>36.680000000000007</v>
      </c>
      <c r="BW127" s="281">
        <f t="shared" si="234"/>
        <v>5.580000000000001</v>
      </c>
      <c r="BX127" s="282">
        <f t="shared" si="234"/>
        <v>30.7</v>
      </c>
      <c r="BY127" s="283">
        <f t="shared" si="234"/>
        <v>26.210000000000008</v>
      </c>
      <c r="BZ127" s="281">
        <f t="shared" si="235"/>
        <v>7.200000000000002</v>
      </c>
      <c r="CA127" s="282">
        <f t="shared" si="235"/>
        <v>38.99</v>
      </c>
      <c r="CB127" s="283">
        <f t="shared" si="235"/>
        <v>19.479999999999997</v>
      </c>
      <c r="CC127" s="281">
        <f t="shared" si="236"/>
        <v>15.619999999999997</v>
      </c>
      <c r="CD127" s="282">
        <f t="shared" si="236"/>
        <v>36.209999999999994</v>
      </c>
      <c r="CE127" s="324"/>
      <c r="CG127" s="281">
        <f t="shared" si="237"/>
        <v>1.53</v>
      </c>
      <c r="CH127" s="282">
        <f t="shared" si="237"/>
        <v>7.84</v>
      </c>
      <c r="CI127" s="282">
        <f t="shared" si="237"/>
        <v>16.66</v>
      </c>
      <c r="CJ127" s="283">
        <f t="shared" si="237"/>
        <v>53.34</v>
      </c>
      <c r="CK127" s="281">
        <f t="shared" si="238"/>
        <v>4</v>
      </c>
      <c r="CL127" s="282">
        <f t="shared" si="238"/>
        <v>15.89</v>
      </c>
      <c r="CM127" s="282">
        <f t="shared" si="238"/>
        <v>55.41</v>
      </c>
      <c r="CN127" s="283">
        <f t="shared" si="238"/>
        <v>118.30000000000001</v>
      </c>
      <c r="CO127" s="281">
        <f t="shared" si="239"/>
        <v>8.7199999999999989</v>
      </c>
      <c r="CP127" s="282">
        <f t="shared" si="239"/>
        <v>27.810000000000002</v>
      </c>
      <c r="CQ127" s="282">
        <f t="shared" si="239"/>
        <v>106.32</v>
      </c>
      <c r="CR127" s="283">
        <f t="shared" si="239"/>
        <v>188.69000000000003</v>
      </c>
      <c r="CS127" s="281">
        <f t="shared" si="240"/>
        <v>15.43</v>
      </c>
      <c r="CT127" s="282">
        <f t="shared" si="240"/>
        <v>50.14</v>
      </c>
      <c r="CU127" s="282">
        <f t="shared" si="240"/>
        <v>164.86</v>
      </c>
      <c r="CV127" s="283">
        <f t="shared" si="240"/>
        <v>281.24</v>
      </c>
      <c r="CX127" s="326">
        <f t="shared" si="241"/>
        <v>6.7341549295774655E-2</v>
      </c>
      <c r="CY127" s="327">
        <f t="shared" si="241"/>
        <v>0.34507042253521125</v>
      </c>
      <c r="CZ127" s="327">
        <f t="shared" si="241"/>
        <v>0.73327464788732399</v>
      </c>
      <c r="DA127" s="328">
        <f t="shared" si="241"/>
        <v>2.347711267605634</v>
      </c>
      <c r="DB127" s="339">
        <f t="shared" si="242"/>
        <v>0.17605633802816903</v>
      </c>
      <c r="DC127" s="327">
        <f t="shared" si="242"/>
        <v>0.69938380281690149</v>
      </c>
      <c r="DD127" s="327">
        <f t="shared" si="242"/>
        <v>2.438820422535211</v>
      </c>
      <c r="DE127" s="328">
        <f t="shared" si="242"/>
        <v>5.206866197183099</v>
      </c>
      <c r="DF127" s="326">
        <f t="shared" si="243"/>
        <v>0.38380281690140844</v>
      </c>
      <c r="DG127" s="327">
        <f t="shared" si="243"/>
        <v>1.2240316901408452</v>
      </c>
      <c r="DH127" s="327">
        <f t="shared" si="243"/>
        <v>4.679577464788732</v>
      </c>
      <c r="DI127" s="328">
        <f t="shared" si="243"/>
        <v>8.3050176056338039</v>
      </c>
      <c r="DJ127" s="326">
        <f t="shared" si="244"/>
        <v>0.679137323943662</v>
      </c>
      <c r="DK127" s="327">
        <f t="shared" si="244"/>
        <v>2.2068661971830985</v>
      </c>
      <c r="DL127" s="327">
        <f t="shared" si="244"/>
        <v>7.2561619718309869</v>
      </c>
      <c r="DM127" s="324"/>
      <c r="DO127" s="326">
        <v>164.86</v>
      </c>
      <c r="DP127" s="328">
        <v>7.2561619718309869</v>
      </c>
      <c r="DR127" s="326">
        <f t="shared" si="245"/>
        <v>281.24</v>
      </c>
      <c r="DS127" s="328">
        <f t="shared" si="246"/>
        <v>12.378521126760564</v>
      </c>
    </row>
    <row r="128" spans="1:123" x14ac:dyDescent="0.25">
      <c r="A128" s="521"/>
      <c r="B128" s="55">
        <v>27</v>
      </c>
      <c r="C128" s="376">
        <v>18.64</v>
      </c>
      <c r="D128" s="376">
        <v>18.64</v>
      </c>
      <c r="E128" s="376">
        <v>18.64</v>
      </c>
      <c r="F128" s="368">
        <v>18.64</v>
      </c>
      <c r="G128" s="281">
        <f t="shared" si="182"/>
        <v>0.6</v>
      </c>
      <c r="H128" s="282">
        <f t="shared" si="183"/>
        <v>1.81</v>
      </c>
      <c r="I128" s="282">
        <f t="shared" si="184"/>
        <v>2.19</v>
      </c>
      <c r="J128" s="283">
        <f t="shared" si="185"/>
        <v>2.98</v>
      </c>
      <c r="K128" s="281">
        <f t="shared" si="186"/>
        <v>0.33</v>
      </c>
      <c r="L128" s="282">
        <f t="shared" si="187"/>
        <v>0.61</v>
      </c>
      <c r="M128" s="282">
        <f t="shared" si="188"/>
        <v>1.95</v>
      </c>
      <c r="N128" s="283">
        <f t="shared" si="189"/>
        <v>11.959999999999999</v>
      </c>
      <c r="O128" s="281">
        <f t="shared" si="190"/>
        <v>0</v>
      </c>
      <c r="P128" s="282">
        <f t="shared" si="191"/>
        <v>3.33</v>
      </c>
      <c r="Q128" s="282">
        <f t="shared" si="192"/>
        <v>2.97</v>
      </c>
      <c r="R128" s="284">
        <f t="shared" si="193"/>
        <v>9.25</v>
      </c>
      <c r="S128" s="281">
        <f t="shared" si="194"/>
        <v>0.92999999999999994</v>
      </c>
      <c r="T128" s="282">
        <f t="shared" si="194"/>
        <v>5.75</v>
      </c>
      <c r="U128" s="282">
        <f t="shared" si="194"/>
        <v>7.1099999999999994</v>
      </c>
      <c r="V128" s="283">
        <f t="shared" si="194"/>
        <v>24.189999999999998</v>
      </c>
      <c r="W128" s="281">
        <f t="shared" si="195"/>
        <v>0</v>
      </c>
      <c r="X128" s="282">
        <f t="shared" si="196"/>
        <v>1.27</v>
      </c>
      <c r="Y128" s="282">
        <f t="shared" si="197"/>
        <v>7.46</v>
      </c>
      <c r="Z128" s="283">
        <f t="shared" si="198"/>
        <v>17.259999999999998</v>
      </c>
      <c r="AA128" s="281">
        <f t="shared" si="199"/>
        <v>1.48</v>
      </c>
      <c r="AB128" s="282">
        <f t="shared" si="200"/>
        <v>5.2299999999999995</v>
      </c>
      <c r="AC128" s="282">
        <f t="shared" si="201"/>
        <v>11.2</v>
      </c>
      <c r="AD128" s="283">
        <f t="shared" si="202"/>
        <v>14.31</v>
      </c>
      <c r="AE128" s="281">
        <f t="shared" si="203"/>
        <v>0.6</v>
      </c>
      <c r="AF128" s="282">
        <f t="shared" si="204"/>
        <v>2.19</v>
      </c>
      <c r="AG128" s="282">
        <f t="shared" si="205"/>
        <v>8.01</v>
      </c>
      <c r="AH128" s="283">
        <f t="shared" si="206"/>
        <v>13.73</v>
      </c>
      <c r="AI128" s="281">
        <f t="shared" si="207"/>
        <v>2.08</v>
      </c>
      <c r="AJ128" s="282">
        <f t="shared" si="207"/>
        <v>8.69</v>
      </c>
      <c r="AK128" s="282">
        <f t="shared" si="207"/>
        <v>26.67</v>
      </c>
      <c r="AL128" s="283">
        <f t="shared" si="207"/>
        <v>45.3</v>
      </c>
      <c r="AM128" s="281">
        <f t="shared" si="208"/>
        <v>0.78</v>
      </c>
      <c r="AN128" s="282">
        <f t="shared" si="209"/>
        <v>8.11</v>
      </c>
      <c r="AO128" s="282">
        <f t="shared" si="210"/>
        <v>13.530000000000001</v>
      </c>
      <c r="AP128" s="283">
        <f t="shared" si="211"/>
        <v>16.07</v>
      </c>
      <c r="AQ128" s="281">
        <f t="shared" si="212"/>
        <v>1.35</v>
      </c>
      <c r="AR128" s="282">
        <f t="shared" si="213"/>
        <v>4.33</v>
      </c>
      <c r="AS128" s="282">
        <f t="shared" si="214"/>
        <v>7.8</v>
      </c>
      <c r="AT128" s="328">
        <f t="shared" si="215"/>
        <v>25.27</v>
      </c>
      <c r="AU128" s="281">
        <f t="shared" si="216"/>
        <v>1</v>
      </c>
      <c r="AV128" s="282">
        <f t="shared" si="217"/>
        <v>2.41</v>
      </c>
      <c r="AW128" s="282">
        <f t="shared" si="218"/>
        <v>9.49</v>
      </c>
      <c r="AX128" s="283">
        <f t="shared" si="219"/>
        <v>16.95</v>
      </c>
      <c r="AY128" s="281">
        <f t="shared" si="220"/>
        <v>3.13</v>
      </c>
      <c r="AZ128" s="282">
        <f t="shared" si="220"/>
        <v>14.85</v>
      </c>
      <c r="BA128" s="282">
        <f t="shared" si="220"/>
        <v>30.82</v>
      </c>
      <c r="BB128" s="283">
        <f t="shared" si="220"/>
        <v>58.290000000000006</v>
      </c>
      <c r="BC128" s="281">
        <f t="shared" si="221"/>
        <v>0.9</v>
      </c>
      <c r="BD128" s="282">
        <f t="shared" si="222"/>
        <v>3.62</v>
      </c>
      <c r="BE128" s="282">
        <f t="shared" si="223"/>
        <v>15.47</v>
      </c>
      <c r="BF128" s="328">
        <f t="shared" si="224"/>
        <v>20.62</v>
      </c>
      <c r="BG128" s="281">
        <f t="shared" si="225"/>
        <v>1.21</v>
      </c>
      <c r="BH128" s="282">
        <f t="shared" si="226"/>
        <v>3.48</v>
      </c>
      <c r="BI128" s="282">
        <f t="shared" si="227"/>
        <v>15.31</v>
      </c>
      <c r="BJ128" s="283">
        <f t="shared" si="228"/>
        <v>24.24</v>
      </c>
      <c r="BK128" s="281">
        <f t="shared" si="229"/>
        <v>0.99</v>
      </c>
      <c r="BL128" s="282">
        <f t="shared" si="230"/>
        <v>2.0699999999999998</v>
      </c>
      <c r="BM128" s="282">
        <f t="shared" si="231"/>
        <v>13.75</v>
      </c>
      <c r="BN128" s="599">
        <f>VLOOKUP(B128,year2022to23,307,FALSE)</f>
        <v>19</v>
      </c>
      <c r="BO128" s="281">
        <f t="shared" si="232"/>
        <v>3.0999999999999996</v>
      </c>
      <c r="BP128" s="282">
        <f t="shared" si="232"/>
        <v>9.17</v>
      </c>
      <c r="BQ128" s="282">
        <f t="shared" si="232"/>
        <v>44.53</v>
      </c>
      <c r="BR128" s="324"/>
      <c r="BT128" s="281">
        <f t="shared" si="233"/>
        <v>4.82</v>
      </c>
      <c r="BU128" s="282">
        <f t="shared" si="233"/>
        <v>1.3599999999999994</v>
      </c>
      <c r="BV128" s="283">
        <f t="shared" si="233"/>
        <v>17.079999999999998</v>
      </c>
      <c r="BW128" s="281">
        <f t="shared" si="234"/>
        <v>6.6099999999999994</v>
      </c>
      <c r="BX128" s="282">
        <f t="shared" si="234"/>
        <v>17.980000000000004</v>
      </c>
      <c r="BY128" s="283">
        <f t="shared" si="234"/>
        <v>18.629999999999995</v>
      </c>
      <c r="BZ128" s="281">
        <f t="shared" si="235"/>
        <v>11.719999999999999</v>
      </c>
      <c r="CA128" s="282">
        <f t="shared" si="235"/>
        <v>15.97</v>
      </c>
      <c r="CB128" s="283">
        <f t="shared" si="235"/>
        <v>27.470000000000006</v>
      </c>
      <c r="CC128" s="281">
        <f t="shared" si="236"/>
        <v>6.07</v>
      </c>
      <c r="CD128" s="282">
        <f t="shared" si="236"/>
        <v>35.36</v>
      </c>
      <c r="CE128" s="324"/>
      <c r="CG128" s="281">
        <f t="shared" si="237"/>
        <v>0.92999999999999994</v>
      </c>
      <c r="CH128" s="282">
        <f t="shared" si="237"/>
        <v>5.75</v>
      </c>
      <c r="CI128" s="282">
        <f t="shared" si="237"/>
        <v>7.1099999999999994</v>
      </c>
      <c r="CJ128" s="283">
        <f t="shared" si="237"/>
        <v>24.189999999999998</v>
      </c>
      <c r="CK128" s="281">
        <f t="shared" si="238"/>
        <v>3.0100000000000002</v>
      </c>
      <c r="CL128" s="282">
        <f t="shared" si="238"/>
        <v>14.44</v>
      </c>
      <c r="CM128" s="282">
        <f t="shared" si="238"/>
        <v>33.78</v>
      </c>
      <c r="CN128" s="283">
        <f t="shared" si="238"/>
        <v>69.489999999999995</v>
      </c>
      <c r="CO128" s="281">
        <f t="shared" si="239"/>
        <v>6.1400000000000006</v>
      </c>
      <c r="CP128" s="282">
        <f t="shared" si="239"/>
        <v>29.289999999999996</v>
      </c>
      <c r="CQ128" s="282">
        <f t="shared" si="239"/>
        <v>64.599999999999994</v>
      </c>
      <c r="CR128" s="283">
        <f t="shared" si="239"/>
        <v>127.78</v>
      </c>
      <c r="CS128" s="281">
        <f t="shared" si="240"/>
        <v>9.24</v>
      </c>
      <c r="CT128" s="282">
        <f t="shared" si="240"/>
        <v>38.459999999999994</v>
      </c>
      <c r="CU128" s="282">
        <f t="shared" si="240"/>
        <v>109.13</v>
      </c>
      <c r="CV128" s="283">
        <f t="shared" si="240"/>
        <v>191.64000000000001</v>
      </c>
      <c r="CX128" s="326">
        <f t="shared" si="241"/>
        <v>4.9892703862660939E-2</v>
      </c>
      <c r="CY128" s="327">
        <f t="shared" si="241"/>
        <v>0.3084763948497854</v>
      </c>
      <c r="CZ128" s="327">
        <f t="shared" si="241"/>
        <v>0.38143776824034331</v>
      </c>
      <c r="DA128" s="328">
        <f t="shared" si="241"/>
        <v>1.2977467811158796</v>
      </c>
      <c r="DB128" s="339">
        <f t="shared" si="242"/>
        <v>0.16148068669527899</v>
      </c>
      <c r="DC128" s="327">
        <f t="shared" si="242"/>
        <v>0.77467811158798283</v>
      </c>
      <c r="DD128" s="327">
        <f t="shared" si="242"/>
        <v>1.8122317596566524</v>
      </c>
      <c r="DE128" s="328">
        <f t="shared" si="242"/>
        <v>3.728004291845493</v>
      </c>
      <c r="DF128" s="326">
        <f t="shared" si="243"/>
        <v>0.32939914163090128</v>
      </c>
      <c r="DG128" s="327">
        <f t="shared" si="243"/>
        <v>1.5713519313304718</v>
      </c>
      <c r="DH128" s="327">
        <f t="shared" si="243"/>
        <v>3.4656652360515019</v>
      </c>
      <c r="DI128" s="328">
        <f t="shared" si="243"/>
        <v>6.8551502145922747</v>
      </c>
      <c r="DJ128" s="326">
        <f t="shared" si="244"/>
        <v>0.49570815450643774</v>
      </c>
      <c r="DK128" s="327">
        <f t="shared" si="244"/>
        <v>2.0633047210300424</v>
      </c>
      <c r="DL128" s="327">
        <f t="shared" si="244"/>
        <v>5.8546137339055786</v>
      </c>
      <c r="DM128" s="324"/>
      <c r="DO128" s="326">
        <v>109.13</v>
      </c>
      <c r="DP128" s="328">
        <v>5.8546137339055786</v>
      </c>
      <c r="DR128" s="326">
        <f t="shared" si="245"/>
        <v>191.64000000000001</v>
      </c>
      <c r="DS128" s="328">
        <f t="shared" si="246"/>
        <v>10.281115879828327</v>
      </c>
    </row>
    <row r="129" spans="1:123" x14ac:dyDescent="0.25">
      <c r="A129" s="521"/>
      <c r="B129" s="55">
        <v>28</v>
      </c>
      <c r="C129" s="376">
        <v>25.5</v>
      </c>
      <c r="D129" s="376">
        <v>25.5</v>
      </c>
      <c r="E129" s="376">
        <v>25.5</v>
      </c>
      <c r="F129" s="368">
        <v>25.5</v>
      </c>
      <c r="G129" s="281">
        <f t="shared" si="182"/>
        <v>3.6100000000000003</v>
      </c>
      <c r="H129" s="282">
        <f t="shared" si="183"/>
        <v>6.37</v>
      </c>
      <c r="I129" s="282">
        <f t="shared" si="184"/>
        <v>17.89</v>
      </c>
      <c r="J129" s="283">
        <f t="shared" si="185"/>
        <v>26.79</v>
      </c>
      <c r="K129" s="281">
        <f t="shared" si="186"/>
        <v>4.03</v>
      </c>
      <c r="L129" s="282">
        <f t="shared" si="187"/>
        <v>8.07</v>
      </c>
      <c r="M129" s="282">
        <f t="shared" si="188"/>
        <v>15.809999999999999</v>
      </c>
      <c r="N129" s="283">
        <f t="shared" si="189"/>
        <v>16.37</v>
      </c>
      <c r="O129" s="281">
        <f t="shared" si="190"/>
        <v>1.1299999999999999</v>
      </c>
      <c r="P129" s="282">
        <f t="shared" si="191"/>
        <v>11.76</v>
      </c>
      <c r="Q129" s="282">
        <f t="shared" si="192"/>
        <v>18.880000000000003</v>
      </c>
      <c r="R129" s="284">
        <f t="shared" si="193"/>
        <v>27.38</v>
      </c>
      <c r="S129" s="281">
        <f t="shared" si="194"/>
        <v>8.77</v>
      </c>
      <c r="T129" s="282">
        <f t="shared" si="194"/>
        <v>26.200000000000003</v>
      </c>
      <c r="U129" s="282">
        <f t="shared" si="194"/>
        <v>52.580000000000005</v>
      </c>
      <c r="V129" s="283">
        <f t="shared" si="194"/>
        <v>70.539999999999992</v>
      </c>
      <c r="W129" s="281">
        <f t="shared" si="195"/>
        <v>5.29</v>
      </c>
      <c r="X129" s="282">
        <f t="shared" si="196"/>
        <v>10.65</v>
      </c>
      <c r="Y129" s="282">
        <f t="shared" si="197"/>
        <v>20.740000000000002</v>
      </c>
      <c r="Z129" s="283">
        <f t="shared" si="198"/>
        <v>26.42</v>
      </c>
      <c r="AA129" s="281">
        <f t="shared" si="199"/>
        <v>10.54</v>
      </c>
      <c r="AB129" s="282">
        <f t="shared" si="200"/>
        <v>16.98</v>
      </c>
      <c r="AC129" s="282">
        <f t="shared" si="201"/>
        <v>20.47</v>
      </c>
      <c r="AD129" s="283">
        <f t="shared" si="202"/>
        <v>23.19</v>
      </c>
      <c r="AE129" s="281">
        <f t="shared" si="203"/>
        <v>15.27</v>
      </c>
      <c r="AF129" s="282">
        <f t="shared" si="204"/>
        <v>10.629999999999999</v>
      </c>
      <c r="AG129" s="282">
        <f t="shared" si="205"/>
        <v>23.61</v>
      </c>
      <c r="AH129" s="283">
        <f t="shared" si="206"/>
        <v>37.769999999999996</v>
      </c>
      <c r="AI129" s="281">
        <f t="shared" si="207"/>
        <v>31.099999999999998</v>
      </c>
      <c r="AJ129" s="282">
        <f t="shared" si="207"/>
        <v>38.260000000000005</v>
      </c>
      <c r="AK129" s="282">
        <f t="shared" si="207"/>
        <v>64.819999999999993</v>
      </c>
      <c r="AL129" s="283">
        <f t="shared" si="207"/>
        <v>87.38</v>
      </c>
      <c r="AM129" s="281">
        <f t="shared" si="208"/>
        <v>15.45</v>
      </c>
      <c r="AN129" s="282">
        <f t="shared" si="209"/>
        <v>12.780000000000001</v>
      </c>
      <c r="AO129" s="282">
        <f t="shared" si="210"/>
        <v>17.22</v>
      </c>
      <c r="AP129" s="283">
        <f t="shared" si="211"/>
        <v>26.97</v>
      </c>
      <c r="AQ129" s="281">
        <f t="shared" si="212"/>
        <v>15.420000000000002</v>
      </c>
      <c r="AR129" s="282">
        <f t="shared" si="213"/>
        <v>15.89</v>
      </c>
      <c r="AS129" s="282">
        <f t="shared" si="214"/>
        <v>23.95</v>
      </c>
      <c r="AT129" s="328">
        <f t="shared" si="215"/>
        <v>22.040000000000003</v>
      </c>
      <c r="AU129" s="281">
        <f t="shared" si="216"/>
        <v>13.77</v>
      </c>
      <c r="AV129" s="282">
        <f t="shared" si="217"/>
        <v>21.4</v>
      </c>
      <c r="AW129" s="282">
        <f t="shared" si="218"/>
        <v>23.700000000000003</v>
      </c>
      <c r="AX129" s="283">
        <f t="shared" si="219"/>
        <v>30.3</v>
      </c>
      <c r="AY129" s="281">
        <f t="shared" si="220"/>
        <v>44.64</v>
      </c>
      <c r="AZ129" s="282">
        <f t="shared" si="220"/>
        <v>50.07</v>
      </c>
      <c r="BA129" s="282">
        <f t="shared" si="220"/>
        <v>64.87</v>
      </c>
      <c r="BB129" s="283">
        <f t="shared" si="220"/>
        <v>79.31</v>
      </c>
      <c r="BC129" s="281">
        <f t="shared" si="221"/>
        <v>18.03</v>
      </c>
      <c r="BD129" s="282">
        <f t="shared" si="222"/>
        <v>22.880000000000003</v>
      </c>
      <c r="BE129" s="282">
        <f t="shared" si="223"/>
        <v>24.700000000000003</v>
      </c>
      <c r="BF129" s="328">
        <f t="shared" si="224"/>
        <v>33.619999999999997</v>
      </c>
      <c r="BG129" s="281">
        <f t="shared" si="225"/>
        <v>14.1</v>
      </c>
      <c r="BH129" s="282">
        <f t="shared" si="226"/>
        <v>17.14</v>
      </c>
      <c r="BI129" s="282">
        <f t="shared" si="227"/>
        <v>22.85</v>
      </c>
      <c r="BJ129" s="283">
        <f t="shared" si="228"/>
        <v>36.97</v>
      </c>
      <c r="BK129" s="281">
        <f t="shared" si="229"/>
        <v>23.28</v>
      </c>
      <c r="BL129" s="282">
        <f t="shared" si="230"/>
        <v>16.149999999999999</v>
      </c>
      <c r="BM129" s="282">
        <f t="shared" si="231"/>
        <v>19.61</v>
      </c>
      <c r="BN129" s="599">
        <f>VLOOKUP(B129,year2022to23,307,FALSE)</f>
        <v>23.75</v>
      </c>
      <c r="BO129" s="281">
        <f t="shared" si="232"/>
        <v>55.410000000000004</v>
      </c>
      <c r="BP129" s="282">
        <f t="shared" si="232"/>
        <v>56.17</v>
      </c>
      <c r="BQ129" s="282">
        <f t="shared" si="232"/>
        <v>67.16</v>
      </c>
      <c r="BR129" s="324"/>
      <c r="BT129" s="281">
        <f t="shared" si="233"/>
        <v>17.430000000000003</v>
      </c>
      <c r="BU129" s="282">
        <f t="shared" si="233"/>
        <v>26.380000000000003</v>
      </c>
      <c r="BV129" s="283">
        <f t="shared" si="233"/>
        <v>17.959999999999987</v>
      </c>
      <c r="BW129" s="281">
        <f t="shared" si="234"/>
        <v>7.1600000000000072</v>
      </c>
      <c r="BX129" s="282">
        <f t="shared" si="234"/>
        <v>26.559999999999988</v>
      </c>
      <c r="BY129" s="283">
        <f t="shared" si="234"/>
        <v>22.560000000000002</v>
      </c>
      <c r="BZ129" s="281">
        <f t="shared" si="235"/>
        <v>5.43</v>
      </c>
      <c r="CA129" s="282">
        <f t="shared" si="235"/>
        <v>14.800000000000004</v>
      </c>
      <c r="CB129" s="283">
        <f t="shared" si="235"/>
        <v>14.439999999999998</v>
      </c>
      <c r="CC129" s="281">
        <f t="shared" si="236"/>
        <v>0.75999999999999801</v>
      </c>
      <c r="CD129" s="282">
        <f t="shared" si="236"/>
        <v>10.989999999999995</v>
      </c>
      <c r="CE129" s="324"/>
      <c r="CG129" s="281">
        <f t="shared" si="237"/>
        <v>8.77</v>
      </c>
      <c r="CH129" s="282">
        <f t="shared" si="237"/>
        <v>26.200000000000003</v>
      </c>
      <c r="CI129" s="282">
        <f t="shared" si="237"/>
        <v>52.580000000000005</v>
      </c>
      <c r="CJ129" s="283">
        <f t="shared" si="237"/>
        <v>70.539999999999992</v>
      </c>
      <c r="CK129" s="281">
        <f t="shared" si="238"/>
        <v>39.869999999999997</v>
      </c>
      <c r="CL129" s="282">
        <f t="shared" si="238"/>
        <v>64.459999999999994</v>
      </c>
      <c r="CM129" s="282">
        <f t="shared" si="238"/>
        <v>117.4</v>
      </c>
      <c r="CN129" s="283">
        <f t="shared" si="238"/>
        <v>157.91999999999999</v>
      </c>
      <c r="CO129" s="281">
        <f t="shared" si="239"/>
        <v>84.509999999999991</v>
      </c>
      <c r="CP129" s="282">
        <f t="shared" si="239"/>
        <v>114.53</v>
      </c>
      <c r="CQ129" s="282">
        <f t="shared" si="239"/>
        <v>182.26999999999998</v>
      </c>
      <c r="CR129" s="283">
        <f t="shared" si="239"/>
        <v>237.23</v>
      </c>
      <c r="CS129" s="281">
        <f t="shared" si="240"/>
        <v>139.91999999999999</v>
      </c>
      <c r="CT129" s="282">
        <f t="shared" si="240"/>
        <v>170.70000000000002</v>
      </c>
      <c r="CU129" s="282">
        <f t="shared" si="240"/>
        <v>249.42999999999995</v>
      </c>
      <c r="CV129" s="283">
        <f t="shared" si="240"/>
        <v>331.56999999999994</v>
      </c>
      <c r="CX129" s="326">
        <f t="shared" si="241"/>
        <v>0.34392156862745099</v>
      </c>
      <c r="CY129" s="327">
        <f t="shared" si="241"/>
        <v>1.027450980392157</v>
      </c>
      <c r="CZ129" s="327">
        <f t="shared" si="241"/>
        <v>2.0619607843137255</v>
      </c>
      <c r="DA129" s="328">
        <f t="shared" si="241"/>
        <v>2.7662745098039214</v>
      </c>
      <c r="DB129" s="339">
        <f t="shared" si="242"/>
        <v>1.5635294117647058</v>
      </c>
      <c r="DC129" s="327">
        <f t="shared" si="242"/>
        <v>2.5278431372549015</v>
      </c>
      <c r="DD129" s="327">
        <f t="shared" si="242"/>
        <v>4.6039215686274515</v>
      </c>
      <c r="DE129" s="328">
        <f t="shared" si="242"/>
        <v>6.1929411764705877</v>
      </c>
      <c r="DF129" s="326">
        <f t="shared" si="243"/>
        <v>3.3141176470588234</v>
      </c>
      <c r="DG129" s="327">
        <f t="shared" si="243"/>
        <v>4.4913725490196077</v>
      </c>
      <c r="DH129" s="327">
        <f t="shared" si="243"/>
        <v>7.1478431372549016</v>
      </c>
      <c r="DI129" s="328">
        <f t="shared" si="243"/>
        <v>9.3031372549019604</v>
      </c>
      <c r="DJ129" s="326">
        <f t="shared" si="244"/>
        <v>5.4870588235294111</v>
      </c>
      <c r="DK129" s="327">
        <f t="shared" si="244"/>
        <v>6.6941176470588246</v>
      </c>
      <c r="DL129" s="327">
        <f t="shared" si="244"/>
        <v>9.7815686274509783</v>
      </c>
      <c r="DM129" s="324"/>
      <c r="DO129" s="326">
        <v>249.42999999999995</v>
      </c>
      <c r="DP129" s="328">
        <v>9.7815686274509783</v>
      </c>
      <c r="DR129" s="326">
        <f t="shared" si="245"/>
        <v>331.56999999999994</v>
      </c>
      <c r="DS129" s="328">
        <f t="shared" si="246"/>
        <v>13.002745098039213</v>
      </c>
    </row>
    <row r="130" spans="1:123" x14ac:dyDescent="0.25">
      <c r="A130" s="521"/>
      <c r="B130" s="55">
        <v>29</v>
      </c>
      <c r="C130" s="376">
        <v>11.38</v>
      </c>
      <c r="D130" s="376">
        <v>11.38</v>
      </c>
      <c r="E130" s="376">
        <v>11.38</v>
      </c>
      <c r="F130" s="368">
        <v>11.38</v>
      </c>
      <c r="G130" s="281">
        <f t="shared" si="182"/>
        <v>0</v>
      </c>
      <c r="H130" s="282">
        <f t="shared" si="183"/>
        <v>0</v>
      </c>
      <c r="I130" s="282">
        <f t="shared" si="184"/>
        <v>0</v>
      </c>
      <c r="J130" s="283">
        <f t="shared" si="185"/>
        <v>1.81</v>
      </c>
      <c r="K130" s="281">
        <f t="shared" si="186"/>
        <v>0</v>
      </c>
      <c r="L130" s="282">
        <f t="shared" si="187"/>
        <v>0</v>
      </c>
      <c r="M130" s="282">
        <f t="shared" si="188"/>
        <v>0</v>
      </c>
      <c r="N130" s="283">
        <f t="shared" si="189"/>
        <v>1.52</v>
      </c>
      <c r="O130" s="281">
        <f t="shared" si="190"/>
        <v>0</v>
      </c>
      <c r="P130" s="282">
        <f t="shared" si="191"/>
        <v>0</v>
      </c>
      <c r="Q130" s="282">
        <f t="shared" si="192"/>
        <v>0</v>
      </c>
      <c r="R130" s="284">
        <f t="shared" si="193"/>
        <v>2.64</v>
      </c>
      <c r="S130" s="281">
        <f t="shared" si="194"/>
        <v>0</v>
      </c>
      <c r="T130" s="282">
        <f t="shared" si="194"/>
        <v>0</v>
      </c>
      <c r="U130" s="282">
        <f t="shared" si="194"/>
        <v>0</v>
      </c>
      <c r="V130" s="283">
        <f t="shared" si="194"/>
        <v>5.9700000000000006</v>
      </c>
      <c r="W130" s="281">
        <f t="shared" si="195"/>
        <v>0</v>
      </c>
      <c r="X130" s="282">
        <f t="shared" si="196"/>
        <v>0</v>
      </c>
      <c r="Y130" s="282">
        <f t="shared" si="197"/>
        <v>0</v>
      </c>
      <c r="Z130" s="283">
        <f t="shared" si="198"/>
        <v>3.6399999999999997</v>
      </c>
      <c r="AA130" s="281">
        <f t="shared" si="199"/>
        <v>0</v>
      </c>
      <c r="AB130" s="282">
        <f t="shared" si="200"/>
        <v>0</v>
      </c>
      <c r="AC130" s="282">
        <f t="shared" si="201"/>
        <v>0</v>
      </c>
      <c r="AD130" s="283">
        <f t="shared" si="202"/>
        <v>5.3</v>
      </c>
      <c r="AE130" s="281">
        <f t="shared" si="203"/>
        <v>0</v>
      </c>
      <c r="AF130" s="282">
        <f t="shared" si="204"/>
        <v>0</v>
      </c>
      <c r="AG130" s="282">
        <f t="shared" si="205"/>
        <v>2.5300000000000002</v>
      </c>
      <c r="AH130" s="283">
        <f t="shared" si="206"/>
        <v>9.23</v>
      </c>
      <c r="AI130" s="281">
        <f t="shared" si="207"/>
        <v>0</v>
      </c>
      <c r="AJ130" s="282">
        <f t="shared" si="207"/>
        <v>0</v>
      </c>
      <c r="AK130" s="282">
        <f t="shared" si="207"/>
        <v>2.5300000000000002</v>
      </c>
      <c r="AL130" s="283">
        <f t="shared" si="207"/>
        <v>18.170000000000002</v>
      </c>
      <c r="AM130" s="281">
        <f t="shared" si="208"/>
        <v>0</v>
      </c>
      <c r="AN130" s="282">
        <f t="shared" si="209"/>
        <v>0</v>
      </c>
      <c r="AO130" s="282">
        <f t="shared" si="210"/>
        <v>1.84</v>
      </c>
      <c r="AP130" s="283">
        <f t="shared" si="211"/>
        <v>5.72</v>
      </c>
      <c r="AQ130" s="281">
        <f t="shared" si="212"/>
        <v>0</v>
      </c>
      <c r="AR130" s="282">
        <f t="shared" si="213"/>
        <v>0</v>
      </c>
      <c r="AS130" s="282">
        <f t="shared" si="214"/>
        <v>2.5099999999999998</v>
      </c>
      <c r="AT130" s="328">
        <f t="shared" si="215"/>
        <v>12.66</v>
      </c>
      <c r="AU130" s="281">
        <f t="shared" si="216"/>
        <v>0</v>
      </c>
      <c r="AV130" s="282">
        <f t="shared" si="217"/>
        <v>0</v>
      </c>
      <c r="AW130" s="282">
        <f t="shared" si="218"/>
        <v>0.9</v>
      </c>
      <c r="AX130" s="283">
        <f t="shared" si="219"/>
        <v>12.09</v>
      </c>
      <c r="AY130" s="281">
        <f t="shared" si="220"/>
        <v>0</v>
      </c>
      <c r="AZ130" s="282">
        <f t="shared" si="220"/>
        <v>0</v>
      </c>
      <c r="BA130" s="282">
        <f t="shared" si="220"/>
        <v>5.25</v>
      </c>
      <c r="BB130" s="283">
        <f t="shared" si="220"/>
        <v>30.47</v>
      </c>
      <c r="BC130" s="281">
        <f t="shared" si="221"/>
        <v>0</v>
      </c>
      <c r="BD130" s="282">
        <f t="shared" si="222"/>
        <v>0</v>
      </c>
      <c r="BE130" s="282">
        <f t="shared" si="223"/>
        <v>1.83</v>
      </c>
      <c r="BF130" s="328">
        <f t="shared" si="224"/>
        <v>15.809999999999999</v>
      </c>
      <c r="BG130" s="281">
        <f t="shared" si="225"/>
        <v>0</v>
      </c>
      <c r="BH130" s="282">
        <f t="shared" si="226"/>
        <v>0</v>
      </c>
      <c r="BI130" s="282">
        <f t="shared" si="227"/>
        <v>4.3100000000000005</v>
      </c>
      <c r="BJ130" s="283">
        <f t="shared" si="228"/>
        <v>12</v>
      </c>
      <c r="BK130" s="281">
        <f t="shared" si="229"/>
        <v>0</v>
      </c>
      <c r="BL130" s="282">
        <f t="shared" si="230"/>
        <v>0</v>
      </c>
      <c r="BM130" s="282">
        <f t="shared" si="231"/>
        <v>2.7</v>
      </c>
      <c r="BN130" s="599">
        <f>VLOOKUP(B130,year2022to23,307,FALSE)</f>
        <v>15.12</v>
      </c>
      <c r="BO130" s="281">
        <f t="shared" si="232"/>
        <v>0</v>
      </c>
      <c r="BP130" s="282">
        <f t="shared" si="232"/>
        <v>0</v>
      </c>
      <c r="BQ130" s="282">
        <f t="shared" si="232"/>
        <v>8.84</v>
      </c>
      <c r="BR130" s="324"/>
      <c r="BT130" s="281">
        <f t="shared" si="233"/>
        <v>0</v>
      </c>
      <c r="BU130" s="282">
        <f t="shared" si="233"/>
        <v>0</v>
      </c>
      <c r="BV130" s="283">
        <f t="shared" si="233"/>
        <v>5.9700000000000006</v>
      </c>
      <c r="BW130" s="281">
        <f t="shared" si="234"/>
        <v>0</v>
      </c>
      <c r="BX130" s="282">
        <f t="shared" si="234"/>
        <v>2.5300000000000002</v>
      </c>
      <c r="BY130" s="283">
        <f t="shared" si="234"/>
        <v>15.64</v>
      </c>
      <c r="BZ130" s="281">
        <f t="shared" si="235"/>
        <v>0</v>
      </c>
      <c r="CA130" s="282">
        <f t="shared" si="235"/>
        <v>5.25</v>
      </c>
      <c r="CB130" s="283">
        <f t="shared" si="235"/>
        <v>25.22</v>
      </c>
      <c r="CC130" s="281">
        <f t="shared" si="236"/>
        <v>0</v>
      </c>
      <c r="CD130" s="282">
        <f t="shared" si="236"/>
        <v>8.84</v>
      </c>
      <c r="CE130" s="324"/>
      <c r="CG130" s="281">
        <f t="shared" si="237"/>
        <v>0</v>
      </c>
      <c r="CH130" s="282">
        <f t="shared" si="237"/>
        <v>0</v>
      </c>
      <c r="CI130" s="282">
        <f t="shared" si="237"/>
        <v>0</v>
      </c>
      <c r="CJ130" s="283">
        <f t="shared" si="237"/>
        <v>5.9700000000000006</v>
      </c>
      <c r="CK130" s="281">
        <f t="shared" si="238"/>
        <v>0</v>
      </c>
      <c r="CL130" s="282">
        <f t="shared" si="238"/>
        <v>0</v>
      </c>
      <c r="CM130" s="282">
        <f t="shared" si="238"/>
        <v>2.5300000000000002</v>
      </c>
      <c r="CN130" s="283">
        <f t="shared" si="238"/>
        <v>24.14</v>
      </c>
      <c r="CO130" s="281">
        <f t="shared" si="239"/>
        <v>0</v>
      </c>
      <c r="CP130" s="282">
        <f t="shared" si="239"/>
        <v>0</v>
      </c>
      <c r="CQ130" s="282">
        <f t="shared" si="239"/>
        <v>7.78</v>
      </c>
      <c r="CR130" s="283">
        <f t="shared" si="239"/>
        <v>54.61</v>
      </c>
      <c r="CS130" s="281">
        <f t="shared" si="240"/>
        <v>0</v>
      </c>
      <c r="CT130" s="282">
        <f t="shared" si="240"/>
        <v>0</v>
      </c>
      <c r="CU130" s="282">
        <f t="shared" si="240"/>
        <v>16.62</v>
      </c>
      <c r="CV130" s="283">
        <f t="shared" si="240"/>
        <v>97.54</v>
      </c>
      <c r="CX130" s="326">
        <f t="shared" si="241"/>
        <v>0</v>
      </c>
      <c r="CY130" s="327">
        <f t="shared" si="241"/>
        <v>0</v>
      </c>
      <c r="CZ130" s="327">
        <f t="shared" si="241"/>
        <v>0</v>
      </c>
      <c r="DA130" s="328">
        <f t="shared" si="241"/>
        <v>0.52460456942003519</v>
      </c>
      <c r="DB130" s="339">
        <f t="shared" si="242"/>
        <v>0</v>
      </c>
      <c r="DC130" s="327">
        <f t="shared" si="242"/>
        <v>0</v>
      </c>
      <c r="DD130" s="327">
        <f t="shared" si="242"/>
        <v>0.22231985940246046</v>
      </c>
      <c r="DE130" s="328">
        <f t="shared" si="242"/>
        <v>2.1212653778558876</v>
      </c>
      <c r="DF130" s="326">
        <f t="shared" si="243"/>
        <v>0</v>
      </c>
      <c r="DG130" s="327">
        <f t="shared" si="243"/>
        <v>0</v>
      </c>
      <c r="DH130" s="327">
        <f t="shared" si="243"/>
        <v>0.68365553602811946</v>
      </c>
      <c r="DI130" s="328">
        <f t="shared" si="243"/>
        <v>4.7987697715289981</v>
      </c>
      <c r="DJ130" s="326">
        <f t="shared" si="244"/>
        <v>0</v>
      </c>
      <c r="DK130" s="327">
        <f t="shared" si="244"/>
        <v>0</v>
      </c>
      <c r="DL130" s="327">
        <f t="shared" si="244"/>
        <v>1.4604569420035149</v>
      </c>
      <c r="DM130" s="324"/>
      <c r="DO130" s="326">
        <v>16.62</v>
      </c>
      <c r="DP130" s="328">
        <v>1.4604569420035149</v>
      </c>
      <c r="DR130" s="326">
        <f t="shared" si="245"/>
        <v>97.54</v>
      </c>
      <c r="DS130" s="328">
        <f t="shared" si="246"/>
        <v>8.5711775043936722</v>
      </c>
    </row>
    <row r="131" spans="1:123" x14ac:dyDescent="0.25">
      <c r="A131" s="521"/>
      <c r="B131" s="55">
        <v>30</v>
      </c>
      <c r="C131" s="383">
        <v>0</v>
      </c>
      <c r="D131" s="376">
        <v>24.35</v>
      </c>
      <c r="E131" s="376">
        <v>24.35</v>
      </c>
      <c r="F131" s="368">
        <v>24.35</v>
      </c>
      <c r="G131" s="281">
        <f t="shared" si="182"/>
        <v>0</v>
      </c>
      <c r="H131" s="282">
        <f t="shared" si="183"/>
        <v>0</v>
      </c>
      <c r="I131" s="282">
        <f t="shared" si="184"/>
        <v>0</v>
      </c>
      <c r="J131" s="283">
        <f t="shared" si="185"/>
        <v>21.18</v>
      </c>
      <c r="K131" s="281">
        <f t="shared" si="186"/>
        <v>0</v>
      </c>
      <c r="L131" s="282">
        <f t="shared" si="187"/>
        <v>0</v>
      </c>
      <c r="M131" s="282">
        <f t="shared" si="188"/>
        <v>2.44</v>
      </c>
      <c r="N131" s="283">
        <f t="shared" si="189"/>
        <v>11.870000000000001</v>
      </c>
      <c r="O131" s="281">
        <f t="shared" si="190"/>
        <v>0</v>
      </c>
      <c r="P131" s="282">
        <f t="shared" si="191"/>
        <v>0</v>
      </c>
      <c r="Q131" s="282">
        <f t="shared" si="192"/>
        <v>1.8199999999999998</v>
      </c>
      <c r="R131" s="284">
        <f t="shared" si="193"/>
        <v>14.02</v>
      </c>
      <c r="S131" s="281">
        <f t="shared" si="194"/>
        <v>0</v>
      </c>
      <c r="T131" s="282">
        <f t="shared" si="194"/>
        <v>0</v>
      </c>
      <c r="U131" s="282">
        <f t="shared" si="194"/>
        <v>4.26</v>
      </c>
      <c r="V131" s="283">
        <f t="shared" si="194"/>
        <v>47.069999999999993</v>
      </c>
      <c r="W131" s="281">
        <f t="shared" si="195"/>
        <v>0</v>
      </c>
      <c r="X131" s="282">
        <f t="shared" si="196"/>
        <v>0</v>
      </c>
      <c r="Y131" s="282">
        <f t="shared" si="197"/>
        <v>1.02</v>
      </c>
      <c r="Z131" s="283">
        <f t="shared" si="198"/>
        <v>22.02</v>
      </c>
      <c r="AA131" s="281">
        <f t="shared" si="199"/>
        <v>0</v>
      </c>
      <c r="AB131" s="282">
        <f t="shared" si="200"/>
        <v>0</v>
      </c>
      <c r="AC131" s="282">
        <f t="shared" si="201"/>
        <v>2.59</v>
      </c>
      <c r="AD131" s="283">
        <f t="shared" si="202"/>
        <v>24.98</v>
      </c>
      <c r="AE131" s="281">
        <f t="shared" si="203"/>
        <v>0</v>
      </c>
      <c r="AF131" s="282">
        <f t="shared" si="204"/>
        <v>0</v>
      </c>
      <c r="AG131" s="282">
        <f t="shared" si="205"/>
        <v>2.9</v>
      </c>
      <c r="AH131" s="283">
        <f t="shared" si="206"/>
        <v>19.869999999999997</v>
      </c>
      <c r="AI131" s="281">
        <f t="shared" si="207"/>
        <v>0</v>
      </c>
      <c r="AJ131" s="282">
        <f t="shared" si="207"/>
        <v>0</v>
      </c>
      <c r="AK131" s="282">
        <f t="shared" si="207"/>
        <v>6.51</v>
      </c>
      <c r="AL131" s="283">
        <f t="shared" si="207"/>
        <v>66.87</v>
      </c>
      <c r="AM131" s="281">
        <f t="shared" si="208"/>
        <v>0</v>
      </c>
      <c r="AN131" s="282">
        <f t="shared" si="209"/>
        <v>0</v>
      </c>
      <c r="AO131" s="282">
        <f t="shared" si="210"/>
        <v>1.6099999999999999</v>
      </c>
      <c r="AP131" s="283">
        <f t="shared" si="211"/>
        <v>15.129999999999999</v>
      </c>
      <c r="AQ131" s="281">
        <f t="shared" si="212"/>
        <v>0</v>
      </c>
      <c r="AR131" s="282">
        <f t="shared" si="213"/>
        <v>0</v>
      </c>
      <c r="AS131" s="282">
        <f t="shared" si="214"/>
        <v>5.45</v>
      </c>
      <c r="AT131" s="328">
        <f t="shared" si="215"/>
        <v>15.870000000000001</v>
      </c>
      <c r="AU131" s="281">
        <f t="shared" si="216"/>
        <v>0</v>
      </c>
      <c r="AV131" s="282">
        <f t="shared" si="217"/>
        <v>0</v>
      </c>
      <c r="AW131" s="282">
        <f t="shared" si="218"/>
        <v>4.17</v>
      </c>
      <c r="AX131" s="283">
        <f t="shared" si="219"/>
        <v>18.079999999999998</v>
      </c>
      <c r="AY131" s="281">
        <f t="shared" si="220"/>
        <v>0</v>
      </c>
      <c r="AZ131" s="282">
        <f t="shared" si="220"/>
        <v>0</v>
      </c>
      <c r="BA131" s="282">
        <f t="shared" si="220"/>
        <v>11.23</v>
      </c>
      <c r="BB131" s="283">
        <f t="shared" si="220"/>
        <v>49.08</v>
      </c>
      <c r="BC131" s="281">
        <f t="shared" si="221"/>
        <v>0</v>
      </c>
      <c r="BD131" s="282">
        <f t="shared" si="222"/>
        <v>0</v>
      </c>
      <c r="BE131" s="282">
        <f t="shared" si="223"/>
        <v>4.0999999999999996</v>
      </c>
      <c r="BF131" s="328">
        <f t="shared" si="224"/>
        <v>22.43</v>
      </c>
      <c r="BG131" s="281">
        <f t="shared" si="225"/>
        <v>0</v>
      </c>
      <c r="BH131" s="282">
        <f t="shared" si="226"/>
        <v>0</v>
      </c>
      <c r="BI131" s="282">
        <f t="shared" si="227"/>
        <v>15.54</v>
      </c>
      <c r="BJ131" s="283">
        <f t="shared" si="228"/>
        <v>25.03</v>
      </c>
      <c r="BK131" s="281">
        <f t="shared" si="229"/>
        <v>0</v>
      </c>
      <c r="BL131" s="282">
        <f t="shared" si="230"/>
        <v>0</v>
      </c>
      <c r="BM131" s="282">
        <f t="shared" si="231"/>
        <v>2.2400000000000002</v>
      </c>
      <c r="BN131" s="599">
        <f>VLOOKUP(B131,year2022to23,307,FALSE)</f>
        <v>12.309999999999999</v>
      </c>
      <c r="BO131" s="281">
        <f t="shared" si="232"/>
        <v>0</v>
      </c>
      <c r="BP131" s="282">
        <f t="shared" si="232"/>
        <v>0</v>
      </c>
      <c r="BQ131" s="282">
        <f t="shared" si="232"/>
        <v>21.880000000000003</v>
      </c>
      <c r="BR131" s="324"/>
      <c r="BT131" s="281">
        <f t="shared" si="233"/>
        <v>0</v>
      </c>
      <c r="BU131" s="282">
        <f t="shared" si="233"/>
        <v>4.26</v>
      </c>
      <c r="BV131" s="283">
        <f t="shared" si="233"/>
        <v>42.809999999999995</v>
      </c>
      <c r="BW131" s="281">
        <f t="shared" si="234"/>
        <v>0</v>
      </c>
      <c r="BX131" s="282">
        <f t="shared" si="234"/>
        <v>6.51</v>
      </c>
      <c r="BY131" s="283">
        <f t="shared" si="234"/>
        <v>60.360000000000007</v>
      </c>
      <c r="BZ131" s="281">
        <f t="shared" si="235"/>
        <v>0</v>
      </c>
      <c r="CA131" s="282">
        <f t="shared" si="235"/>
        <v>11.23</v>
      </c>
      <c r="CB131" s="283">
        <f t="shared" si="235"/>
        <v>37.849999999999994</v>
      </c>
      <c r="CC131" s="281">
        <f t="shared" si="236"/>
        <v>0</v>
      </c>
      <c r="CD131" s="282">
        <f t="shared" si="236"/>
        <v>21.880000000000003</v>
      </c>
      <c r="CE131" s="324"/>
      <c r="CG131" s="281">
        <f t="shared" si="237"/>
        <v>0</v>
      </c>
      <c r="CH131" s="282">
        <f t="shared" si="237"/>
        <v>0</v>
      </c>
      <c r="CI131" s="282">
        <f t="shared" si="237"/>
        <v>4.26</v>
      </c>
      <c r="CJ131" s="283">
        <f t="shared" si="237"/>
        <v>47.069999999999993</v>
      </c>
      <c r="CK131" s="281">
        <f t="shared" si="238"/>
        <v>0</v>
      </c>
      <c r="CL131" s="282">
        <f t="shared" si="238"/>
        <v>0</v>
      </c>
      <c r="CM131" s="282">
        <f t="shared" si="238"/>
        <v>10.77</v>
      </c>
      <c r="CN131" s="283">
        <f t="shared" si="238"/>
        <v>113.94</v>
      </c>
      <c r="CO131" s="281">
        <f t="shared" si="239"/>
        <v>0</v>
      </c>
      <c r="CP131" s="282">
        <f t="shared" si="239"/>
        <v>0</v>
      </c>
      <c r="CQ131" s="282">
        <f t="shared" si="239"/>
        <v>22</v>
      </c>
      <c r="CR131" s="283">
        <f t="shared" si="239"/>
        <v>163.01999999999998</v>
      </c>
      <c r="CS131" s="281">
        <f t="shared" si="240"/>
        <v>0</v>
      </c>
      <c r="CT131" s="282">
        <f t="shared" si="240"/>
        <v>0</v>
      </c>
      <c r="CU131" s="282">
        <f t="shared" si="240"/>
        <v>43.88</v>
      </c>
      <c r="CV131" s="283">
        <f t="shared" si="240"/>
        <v>222.79</v>
      </c>
      <c r="CX131" s="392"/>
      <c r="CY131" s="327">
        <f t="shared" si="241"/>
        <v>0</v>
      </c>
      <c r="CZ131" s="327">
        <f t="shared" si="241"/>
        <v>0.17494866529774125</v>
      </c>
      <c r="DA131" s="328">
        <f t="shared" si="241"/>
        <v>1.9330595482546198</v>
      </c>
      <c r="DB131" s="393"/>
      <c r="DC131" s="327">
        <f t="shared" si="242"/>
        <v>0</v>
      </c>
      <c r="DD131" s="327">
        <f t="shared" si="242"/>
        <v>0.4422997946611909</v>
      </c>
      <c r="DE131" s="328">
        <f t="shared" si="242"/>
        <v>4.6792607802874739</v>
      </c>
      <c r="DF131" s="392"/>
      <c r="DG131" s="327">
        <f t="shared" si="243"/>
        <v>0</v>
      </c>
      <c r="DH131" s="327">
        <f t="shared" si="243"/>
        <v>0.90349075975359339</v>
      </c>
      <c r="DI131" s="328">
        <f t="shared" si="243"/>
        <v>6.6948665297741261</v>
      </c>
      <c r="DJ131" s="392"/>
      <c r="DK131" s="327">
        <f t="shared" si="244"/>
        <v>0</v>
      </c>
      <c r="DL131" s="327">
        <f t="shared" si="244"/>
        <v>1.8020533880903491</v>
      </c>
      <c r="DM131" s="324"/>
      <c r="DO131" s="326">
        <v>43.88</v>
      </c>
      <c r="DP131" s="328">
        <v>1.8020533880903491</v>
      </c>
      <c r="DR131" s="326">
        <f t="shared" si="245"/>
        <v>222.79</v>
      </c>
      <c r="DS131" s="328">
        <f t="shared" si="246"/>
        <v>9.1494866529774121</v>
      </c>
    </row>
    <row r="132" spans="1:123" ht="15.75" thickBot="1" x14ac:dyDescent="0.3">
      <c r="A132" s="522"/>
      <c r="B132" s="83">
        <v>31</v>
      </c>
      <c r="C132" s="384">
        <v>0</v>
      </c>
      <c r="D132" s="385">
        <v>34.08</v>
      </c>
      <c r="E132" s="385">
        <v>34.08</v>
      </c>
      <c r="F132" s="369">
        <v>34.08</v>
      </c>
      <c r="G132" s="461">
        <f t="shared" si="182"/>
        <v>0</v>
      </c>
      <c r="H132" s="462">
        <f t="shared" si="183"/>
        <v>0</v>
      </c>
      <c r="I132" s="462">
        <f t="shared" si="184"/>
        <v>0</v>
      </c>
      <c r="J132" s="421">
        <f t="shared" si="185"/>
        <v>17.89</v>
      </c>
      <c r="K132" s="461">
        <f t="shared" si="186"/>
        <v>0</v>
      </c>
      <c r="L132" s="462">
        <f t="shared" si="187"/>
        <v>0</v>
      </c>
      <c r="M132" s="462">
        <f t="shared" si="188"/>
        <v>0.95</v>
      </c>
      <c r="N132" s="421">
        <f t="shared" si="189"/>
        <v>13.149999999999999</v>
      </c>
      <c r="O132" s="461">
        <f t="shared" si="190"/>
        <v>0</v>
      </c>
      <c r="P132" s="462">
        <f t="shared" si="191"/>
        <v>0</v>
      </c>
      <c r="Q132" s="462">
        <f t="shared" si="192"/>
        <v>1.62</v>
      </c>
      <c r="R132" s="463">
        <f t="shared" si="193"/>
        <v>13.65</v>
      </c>
      <c r="S132" s="461">
        <f t="shared" si="194"/>
        <v>0</v>
      </c>
      <c r="T132" s="462">
        <f t="shared" si="194"/>
        <v>0</v>
      </c>
      <c r="U132" s="462">
        <f t="shared" si="194"/>
        <v>2.5700000000000003</v>
      </c>
      <c r="V132" s="421">
        <f t="shared" si="194"/>
        <v>44.69</v>
      </c>
      <c r="W132" s="461">
        <f t="shared" si="195"/>
        <v>0</v>
      </c>
      <c r="X132" s="462">
        <f t="shared" si="196"/>
        <v>0</v>
      </c>
      <c r="Y132" s="462">
        <f t="shared" si="197"/>
        <v>1.5329999999999999</v>
      </c>
      <c r="Z132" s="421">
        <f t="shared" si="198"/>
        <v>19.29</v>
      </c>
      <c r="AA132" s="461">
        <f t="shared" si="199"/>
        <v>0</v>
      </c>
      <c r="AB132" s="462">
        <f t="shared" si="200"/>
        <v>0</v>
      </c>
      <c r="AC132" s="462">
        <f t="shared" si="201"/>
        <v>2.71</v>
      </c>
      <c r="AD132" s="421">
        <f t="shared" si="202"/>
        <v>29.76</v>
      </c>
      <c r="AE132" s="461">
        <f t="shared" si="203"/>
        <v>0</v>
      </c>
      <c r="AF132" s="462">
        <f t="shared" si="204"/>
        <v>0</v>
      </c>
      <c r="AG132" s="462">
        <f t="shared" si="205"/>
        <v>1.88</v>
      </c>
      <c r="AH132" s="421">
        <f t="shared" si="206"/>
        <v>16.940000000000001</v>
      </c>
      <c r="AI132" s="461">
        <f t="shared" si="207"/>
        <v>0</v>
      </c>
      <c r="AJ132" s="462">
        <f t="shared" si="207"/>
        <v>0</v>
      </c>
      <c r="AK132" s="462">
        <f t="shared" si="207"/>
        <v>6.1230000000000002</v>
      </c>
      <c r="AL132" s="421">
        <f t="shared" si="207"/>
        <v>65.989999999999995</v>
      </c>
      <c r="AM132" s="461">
        <f t="shared" si="208"/>
        <v>0</v>
      </c>
      <c r="AN132" s="462">
        <f t="shared" si="209"/>
        <v>0</v>
      </c>
      <c r="AO132" s="462">
        <f t="shared" si="210"/>
        <v>2.77</v>
      </c>
      <c r="AP132" s="421">
        <f t="shared" si="211"/>
        <v>16.240000000000002</v>
      </c>
      <c r="AQ132" s="461">
        <f t="shared" si="212"/>
        <v>0</v>
      </c>
      <c r="AR132" s="462">
        <f t="shared" si="213"/>
        <v>0</v>
      </c>
      <c r="AS132" s="462">
        <f t="shared" si="214"/>
        <v>8.5399999999999991</v>
      </c>
      <c r="AT132" s="449">
        <f t="shared" si="215"/>
        <v>17.2</v>
      </c>
      <c r="AU132" s="461">
        <f t="shared" si="216"/>
        <v>0</v>
      </c>
      <c r="AV132" s="462">
        <f t="shared" si="217"/>
        <v>0</v>
      </c>
      <c r="AW132" s="462">
        <f t="shared" si="218"/>
        <v>5.76</v>
      </c>
      <c r="AX132" s="421">
        <f t="shared" si="219"/>
        <v>25.29</v>
      </c>
      <c r="AY132" s="461">
        <f t="shared" si="220"/>
        <v>0</v>
      </c>
      <c r="AZ132" s="462">
        <f t="shared" si="220"/>
        <v>0</v>
      </c>
      <c r="BA132" s="462">
        <f t="shared" si="220"/>
        <v>17.07</v>
      </c>
      <c r="BB132" s="421">
        <f t="shared" si="220"/>
        <v>58.73</v>
      </c>
      <c r="BC132" s="461">
        <f t="shared" si="221"/>
        <v>0</v>
      </c>
      <c r="BD132" s="462">
        <f t="shared" si="222"/>
        <v>0</v>
      </c>
      <c r="BE132" s="462">
        <f t="shared" si="223"/>
        <v>7.72</v>
      </c>
      <c r="BF132" s="449">
        <f t="shared" si="224"/>
        <v>28.56</v>
      </c>
      <c r="BG132" s="461">
        <f t="shared" si="225"/>
        <v>0</v>
      </c>
      <c r="BH132" s="462">
        <f t="shared" si="226"/>
        <v>0</v>
      </c>
      <c r="BI132" s="462">
        <f t="shared" si="227"/>
        <v>14.52</v>
      </c>
      <c r="BJ132" s="421">
        <f t="shared" si="228"/>
        <v>21.2</v>
      </c>
      <c r="BK132" s="461">
        <f t="shared" si="229"/>
        <v>0</v>
      </c>
      <c r="BL132" s="462">
        <f t="shared" si="230"/>
        <v>0</v>
      </c>
      <c r="BM132" s="462">
        <f t="shared" si="231"/>
        <v>3.33</v>
      </c>
      <c r="BN132" s="602">
        <f>VLOOKUP(B132,year2022to23,307,FALSE)</f>
        <v>14.02</v>
      </c>
      <c r="BO132" s="461">
        <f t="shared" si="232"/>
        <v>0</v>
      </c>
      <c r="BP132" s="462">
        <f t="shared" si="232"/>
        <v>0</v>
      </c>
      <c r="BQ132" s="462">
        <f t="shared" si="232"/>
        <v>25.57</v>
      </c>
      <c r="BR132" s="453"/>
      <c r="BS132" s="454"/>
      <c r="BT132" s="461">
        <f t="shared" si="233"/>
        <v>0</v>
      </c>
      <c r="BU132" s="462">
        <f t="shared" si="233"/>
        <v>2.5700000000000003</v>
      </c>
      <c r="BV132" s="421">
        <f t="shared" si="233"/>
        <v>42.12</v>
      </c>
      <c r="BW132" s="461">
        <f t="shared" si="234"/>
        <v>0</v>
      </c>
      <c r="BX132" s="462">
        <f t="shared" si="234"/>
        <v>6.1230000000000002</v>
      </c>
      <c r="BY132" s="421">
        <f t="shared" si="234"/>
        <v>59.866999999999997</v>
      </c>
      <c r="BZ132" s="461">
        <f t="shared" si="235"/>
        <v>0</v>
      </c>
      <c r="CA132" s="462">
        <f t="shared" si="235"/>
        <v>17.07</v>
      </c>
      <c r="CB132" s="421">
        <f t="shared" si="235"/>
        <v>41.66</v>
      </c>
      <c r="CC132" s="461">
        <f t="shared" si="236"/>
        <v>0</v>
      </c>
      <c r="CD132" s="462">
        <f t="shared" si="236"/>
        <v>25.57</v>
      </c>
      <c r="CE132" s="453"/>
      <c r="CF132" s="454"/>
      <c r="CG132" s="461">
        <f t="shared" si="237"/>
        <v>0</v>
      </c>
      <c r="CH132" s="462">
        <f t="shared" si="237"/>
        <v>0</v>
      </c>
      <c r="CI132" s="462">
        <f t="shared" si="237"/>
        <v>2.5700000000000003</v>
      </c>
      <c r="CJ132" s="421">
        <f t="shared" si="237"/>
        <v>44.69</v>
      </c>
      <c r="CK132" s="461">
        <f t="shared" si="238"/>
        <v>0</v>
      </c>
      <c r="CL132" s="462">
        <f t="shared" si="238"/>
        <v>0</v>
      </c>
      <c r="CM132" s="462">
        <f t="shared" si="238"/>
        <v>8.6929999999999996</v>
      </c>
      <c r="CN132" s="421">
        <f t="shared" si="238"/>
        <v>110.67999999999999</v>
      </c>
      <c r="CO132" s="461">
        <f t="shared" si="239"/>
        <v>0</v>
      </c>
      <c r="CP132" s="462">
        <f t="shared" si="239"/>
        <v>0</v>
      </c>
      <c r="CQ132" s="462">
        <f t="shared" si="239"/>
        <v>25.762999999999998</v>
      </c>
      <c r="CR132" s="421">
        <f t="shared" si="239"/>
        <v>169.40999999999997</v>
      </c>
      <c r="CS132" s="461">
        <f t="shared" si="240"/>
        <v>0</v>
      </c>
      <c r="CT132" s="462">
        <f t="shared" si="240"/>
        <v>0</v>
      </c>
      <c r="CU132" s="462">
        <f t="shared" si="240"/>
        <v>51.332999999999998</v>
      </c>
      <c r="CV132" s="421">
        <f t="shared" si="240"/>
        <v>233.18999999999997</v>
      </c>
      <c r="CW132" s="454"/>
      <c r="CX132" s="464"/>
      <c r="CY132" s="448">
        <f t="shared" si="241"/>
        <v>0</v>
      </c>
      <c r="CZ132" s="448">
        <f t="shared" si="241"/>
        <v>7.5410798122065734E-2</v>
      </c>
      <c r="DA132" s="449">
        <f t="shared" si="241"/>
        <v>1.3113262910798122</v>
      </c>
      <c r="DB132" s="465"/>
      <c r="DC132" s="448">
        <f t="shared" si="242"/>
        <v>0</v>
      </c>
      <c r="DD132" s="448">
        <f t="shared" si="242"/>
        <v>0.25507629107981222</v>
      </c>
      <c r="DE132" s="449">
        <f t="shared" si="242"/>
        <v>3.2476525821596245</v>
      </c>
      <c r="DF132" s="464"/>
      <c r="DG132" s="448">
        <f t="shared" si="243"/>
        <v>0</v>
      </c>
      <c r="DH132" s="448">
        <f t="shared" si="243"/>
        <v>0.75595657276995298</v>
      </c>
      <c r="DI132" s="449">
        <f t="shared" si="243"/>
        <v>4.9709507042253511</v>
      </c>
      <c r="DJ132" s="464"/>
      <c r="DK132" s="448">
        <f t="shared" si="244"/>
        <v>0</v>
      </c>
      <c r="DL132" s="448">
        <f t="shared" si="244"/>
        <v>1.5062500000000001</v>
      </c>
      <c r="DM132" s="453"/>
      <c r="DN132" s="454"/>
      <c r="DO132" s="447">
        <v>51.332999999999998</v>
      </c>
      <c r="DP132" s="449">
        <v>1.5062500000000001</v>
      </c>
      <c r="DQ132" s="454"/>
      <c r="DR132" s="447">
        <f t="shared" si="245"/>
        <v>233.18999999999997</v>
      </c>
      <c r="DS132" s="449">
        <f t="shared" si="246"/>
        <v>6.8424295774647881</v>
      </c>
    </row>
    <row r="133" spans="1:123" x14ac:dyDescent="0.25">
      <c r="A133" s="520" t="s">
        <v>31</v>
      </c>
      <c r="B133" s="23" t="s">
        <v>32</v>
      </c>
      <c r="C133" s="367">
        <v>28.72</v>
      </c>
      <c r="D133" s="367">
        <v>28.72</v>
      </c>
      <c r="E133" s="367">
        <v>28.72</v>
      </c>
      <c r="F133" s="367">
        <v>28.72</v>
      </c>
      <c r="G133" s="456">
        <f t="shared" si="182"/>
        <v>4.3999999999999995</v>
      </c>
      <c r="H133" s="457">
        <f t="shared" si="183"/>
        <v>19.55</v>
      </c>
      <c r="I133" s="457">
        <f t="shared" si="184"/>
        <v>20.66</v>
      </c>
      <c r="J133" s="458">
        <f t="shared" si="185"/>
        <v>31.42</v>
      </c>
      <c r="K133" s="456">
        <f t="shared" si="186"/>
        <v>5.31</v>
      </c>
      <c r="L133" s="457">
        <f t="shared" si="187"/>
        <v>19.47</v>
      </c>
      <c r="M133" s="457">
        <f t="shared" si="188"/>
        <v>15.18</v>
      </c>
      <c r="N133" s="458">
        <f t="shared" si="189"/>
        <v>29.16</v>
      </c>
      <c r="O133" s="456">
        <f t="shared" si="190"/>
        <v>7.9</v>
      </c>
      <c r="P133" s="457">
        <f t="shared" si="191"/>
        <v>11.94</v>
      </c>
      <c r="Q133" s="457">
        <f t="shared" si="192"/>
        <v>13.39</v>
      </c>
      <c r="R133" s="459">
        <f t="shared" si="193"/>
        <v>37.549999999999997</v>
      </c>
      <c r="S133" s="456">
        <f t="shared" si="194"/>
        <v>17.61</v>
      </c>
      <c r="T133" s="457">
        <f t="shared" si="194"/>
        <v>50.959999999999994</v>
      </c>
      <c r="U133" s="457">
        <f t="shared" si="194"/>
        <v>49.230000000000004</v>
      </c>
      <c r="V133" s="458">
        <f t="shared" si="194"/>
        <v>98.13</v>
      </c>
      <c r="W133" s="456">
        <f t="shared" si="195"/>
        <v>3.74</v>
      </c>
      <c r="X133" s="457">
        <f t="shared" si="196"/>
        <v>31.75</v>
      </c>
      <c r="Y133" s="457">
        <f t="shared" si="197"/>
        <v>23.73</v>
      </c>
      <c r="Z133" s="458">
        <f t="shared" si="198"/>
        <v>33.54</v>
      </c>
      <c r="AA133" s="456">
        <f t="shared" si="199"/>
        <v>16.18</v>
      </c>
      <c r="AB133" s="457">
        <f t="shared" si="200"/>
        <v>19.45</v>
      </c>
      <c r="AC133" s="457">
        <f t="shared" si="201"/>
        <v>25.97</v>
      </c>
      <c r="AD133" s="458">
        <f t="shared" si="202"/>
        <v>50.2</v>
      </c>
      <c r="AE133" s="456">
        <f t="shared" si="203"/>
        <v>22.7</v>
      </c>
      <c r="AF133" s="457">
        <f t="shared" si="204"/>
        <v>34.459999999999994</v>
      </c>
      <c r="AG133" s="457">
        <f t="shared" si="205"/>
        <v>30.17</v>
      </c>
      <c r="AH133" s="458">
        <f t="shared" si="206"/>
        <v>27.13</v>
      </c>
      <c r="AI133" s="456">
        <f t="shared" si="207"/>
        <v>42.620000000000005</v>
      </c>
      <c r="AJ133" s="457">
        <f t="shared" si="207"/>
        <v>85.66</v>
      </c>
      <c r="AK133" s="457">
        <f t="shared" si="207"/>
        <v>79.87</v>
      </c>
      <c r="AL133" s="458">
        <f t="shared" si="207"/>
        <v>110.87</v>
      </c>
      <c r="AM133" s="456">
        <f t="shared" si="208"/>
        <v>18.490000000000002</v>
      </c>
      <c r="AN133" s="457">
        <f t="shared" si="209"/>
        <v>21.82</v>
      </c>
      <c r="AO133" s="457">
        <f t="shared" si="210"/>
        <v>23.78</v>
      </c>
      <c r="AP133" s="458">
        <f t="shared" si="211"/>
        <v>34.340000000000003</v>
      </c>
      <c r="AQ133" s="456">
        <f t="shared" si="212"/>
        <v>17.68</v>
      </c>
      <c r="AR133" s="457">
        <f t="shared" si="213"/>
        <v>36.22</v>
      </c>
      <c r="AS133" s="457">
        <f t="shared" si="214"/>
        <v>37.86</v>
      </c>
      <c r="AT133" s="441">
        <f t="shared" si="215"/>
        <v>33.130000000000003</v>
      </c>
      <c r="AU133" s="456">
        <f t="shared" si="216"/>
        <v>21.689999999999998</v>
      </c>
      <c r="AV133" s="457">
        <f t="shared" si="217"/>
        <v>26.79</v>
      </c>
      <c r="AW133" s="457">
        <f t="shared" si="218"/>
        <v>45.85</v>
      </c>
      <c r="AX133" s="458">
        <f t="shared" si="219"/>
        <v>40.94</v>
      </c>
      <c r="AY133" s="456">
        <f t="shared" si="220"/>
        <v>57.86</v>
      </c>
      <c r="AZ133" s="457">
        <f t="shared" si="220"/>
        <v>84.83</v>
      </c>
      <c r="BA133" s="457">
        <f t="shared" si="220"/>
        <v>107.49000000000001</v>
      </c>
      <c r="BB133" s="458">
        <f t="shared" si="220"/>
        <v>108.41</v>
      </c>
      <c r="BC133" s="456">
        <f t="shared" si="221"/>
        <v>33.19</v>
      </c>
      <c r="BD133" s="457">
        <f t="shared" si="222"/>
        <v>33.31</v>
      </c>
      <c r="BE133" s="457">
        <f t="shared" si="223"/>
        <v>47.75</v>
      </c>
      <c r="BF133" s="441">
        <f t="shared" si="224"/>
        <v>54.39</v>
      </c>
      <c r="BG133" s="456">
        <f t="shared" si="225"/>
        <v>20.69</v>
      </c>
      <c r="BH133" s="457">
        <f t="shared" si="226"/>
        <v>35.339999999999996</v>
      </c>
      <c r="BI133" s="457">
        <f t="shared" si="227"/>
        <v>44.07</v>
      </c>
      <c r="BJ133" s="458">
        <f t="shared" si="228"/>
        <v>56.28</v>
      </c>
      <c r="BK133" s="456">
        <f t="shared" si="229"/>
        <v>20.84</v>
      </c>
      <c r="BL133" s="457">
        <f t="shared" si="230"/>
        <v>25.19</v>
      </c>
      <c r="BM133" s="457">
        <f t="shared" si="231"/>
        <v>30.79</v>
      </c>
      <c r="BN133" s="601">
        <f>VLOOKUP(B133,year2022to23,307,FALSE)</f>
        <v>50.019999999999996</v>
      </c>
      <c r="BO133" s="456">
        <f t="shared" si="232"/>
        <v>74.72</v>
      </c>
      <c r="BP133" s="457">
        <f t="shared" si="232"/>
        <v>93.84</v>
      </c>
      <c r="BQ133" s="457">
        <f t="shared" si="232"/>
        <v>122.60999999999999</v>
      </c>
      <c r="BR133" s="445"/>
      <c r="BS133" s="446"/>
      <c r="BT133" s="456">
        <f t="shared" si="233"/>
        <v>33.349999999999994</v>
      </c>
      <c r="BU133" s="457">
        <f t="shared" si="233"/>
        <v>-1.7299999999999898</v>
      </c>
      <c r="BV133" s="458">
        <f t="shared" si="233"/>
        <v>48.899999999999991</v>
      </c>
      <c r="BW133" s="456">
        <f t="shared" si="234"/>
        <v>43.039999999999992</v>
      </c>
      <c r="BX133" s="457">
        <f t="shared" si="234"/>
        <v>-5.789999999999992</v>
      </c>
      <c r="BY133" s="458">
        <f t="shared" si="234"/>
        <v>31</v>
      </c>
      <c r="BZ133" s="456">
        <f t="shared" si="235"/>
        <v>26.97</v>
      </c>
      <c r="CA133" s="457">
        <f t="shared" si="235"/>
        <v>22.660000000000011</v>
      </c>
      <c r="CB133" s="458">
        <f t="shared" si="235"/>
        <v>0.91999999999998749</v>
      </c>
      <c r="CC133" s="456">
        <f t="shared" si="236"/>
        <v>19.120000000000005</v>
      </c>
      <c r="CD133" s="457">
        <f t="shared" si="236"/>
        <v>28.769999999999982</v>
      </c>
      <c r="CE133" s="445"/>
      <c r="CF133" s="446"/>
      <c r="CG133" s="456">
        <f t="shared" si="237"/>
        <v>17.61</v>
      </c>
      <c r="CH133" s="457">
        <f t="shared" si="237"/>
        <v>50.959999999999994</v>
      </c>
      <c r="CI133" s="457">
        <f t="shared" si="237"/>
        <v>49.230000000000004</v>
      </c>
      <c r="CJ133" s="458">
        <f t="shared" si="237"/>
        <v>98.13</v>
      </c>
      <c r="CK133" s="456">
        <f t="shared" si="238"/>
        <v>60.230000000000004</v>
      </c>
      <c r="CL133" s="457">
        <f t="shared" si="238"/>
        <v>136.62</v>
      </c>
      <c r="CM133" s="457">
        <f t="shared" si="238"/>
        <v>129.10000000000002</v>
      </c>
      <c r="CN133" s="458">
        <f t="shared" si="238"/>
        <v>209</v>
      </c>
      <c r="CO133" s="456">
        <f t="shared" si="239"/>
        <v>118.09</v>
      </c>
      <c r="CP133" s="457">
        <f t="shared" si="239"/>
        <v>221.45</v>
      </c>
      <c r="CQ133" s="457">
        <f t="shared" si="239"/>
        <v>236.59</v>
      </c>
      <c r="CR133" s="458">
        <f t="shared" si="239"/>
        <v>317.41000000000003</v>
      </c>
      <c r="CS133" s="456">
        <f t="shared" si="240"/>
        <v>192.81</v>
      </c>
      <c r="CT133" s="457">
        <f t="shared" si="240"/>
        <v>315.28999999999996</v>
      </c>
      <c r="CU133" s="457">
        <f t="shared" si="240"/>
        <v>359.20000000000005</v>
      </c>
      <c r="CV133" s="458">
        <f t="shared" si="240"/>
        <v>478.1</v>
      </c>
      <c r="CW133" s="446"/>
      <c r="CX133" s="439">
        <f t="shared" si="241"/>
        <v>0.61316155988857934</v>
      </c>
      <c r="CY133" s="440">
        <f t="shared" si="241"/>
        <v>1.7743732590529246</v>
      </c>
      <c r="CZ133" s="440">
        <f t="shared" si="241"/>
        <v>1.7141364902506966</v>
      </c>
      <c r="DA133" s="441">
        <f t="shared" si="241"/>
        <v>3.4167827298050137</v>
      </c>
      <c r="DB133" s="460">
        <f t="shared" si="242"/>
        <v>2.0971448467966578</v>
      </c>
      <c r="DC133" s="440">
        <f t="shared" si="242"/>
        <v>4.756963788300836</v>
      </c>
      <c r="DD133" s="440">
        <f t="shared" si="242"/>
        <v>4.4951253481894158</v>
      </c>
      <c r="DE133" s="441">
        <f t="shared" si="242"/>
        <v>7.2771587743732598</v>
      </c>
      <c r="DF133" s="439">
        <f t="shared" si="243"/>
        <v>4.1117688022284122</v>
      </c>
      <c r="DG133" s="440">
        <f t="shared" si="243"/>
        <v>7.7106545961002784</v>
      </c>
      <c r="DH133" s="440">
        <f t="shared" si="243"/>
        <v>8.2378133704735372</v>
      </c>
      <c r="DI133" s="441">
        <f t="shared" si="243"/>
        <v>11.051880222841227</v>
      </c>
      <c r="DJ133" s="439">
        <f t="shared" si="244"/>
        <v>6.7134401114206135</v>
      </c>
      <c r="DK133" s="440">
        <f t="shared" si="244"/>
        <v>10.978064066852367</v>
      </c>
      <c r="DL133" s="440">
        <f t="shared" si="244"/>
        <v>12.506963788300837</v>
      </c>
      <c r="DM133" s="445"/>
      <c r="DN133" s="446"/>
      <c r="DO133" s="439">
        <v>359.20000000000005</v>
      </c>
      <c r="DP133" s="441">
        <v>12.506963788300837</v>
      </c>
      <c r="DQ133" s="446"/>
      <c r="DR133" s="439">
        <f t="shared" si="245"/>
        <v>478.1</v>
      </c>
      <c r="DS133" s="441">
        <f t="shared" si="246"/>
        <v>16.646935933147635</v>
      </c>
    </row>
    <row r="134" spans="1:123" ht="15.75" thickBot="1" x14ac:dyDescent="0.3">
      <c r="A134" s="521"/>
      <c r="B134" s="103">
        <v>39</v>
      </c>
      <c r="C134" s="375">
        <v>4.5</v>
      </c>
      <c r="D134" s="375">
        <v>4.5</v>
      </c>
      <c r="E134" s="375">
        <v>4.5</v>
      </c>
      <c r="F134" s="375">
        <v>4.5</v>
      </c>
      <c r="G134" s="298">
        <f t="shared" si="182"/>
        <v>2.19</v>
      </c>
      <c r="H134" s="299">
        <f t="shared" si="183"/>
        <v>2.0499999999999998</v>
      </c>
      <c r="I134" s="299">
        <f t="shared" si="184"/>
        <v>2.9699999999999998</v>
      </c>
      <c r="J134" s="300">
        <f t="shared" si="185"/>
        <v>2.2599999999999998</v>
      </c>
      <c r="K134" s="298">
        <f t="shared" si="186"/>
        <v>0.74</v>
      </c>
      <c r="L134" s="299">
        <f t="shared" si="187"/>
        <v>0</v>
      </c>
      <c r="M134" s="299">
        <f t="shared" si="188"/>
        <v>0</v>
      </c>
      <c r="N134" s="300">
        <f t="shared" si="189"/>
        <v>3.29</v>
      </c>
      <c r="O134" s="298">
        <f t="shared" si="190"/>
        <v>0</v>
      </c>
      <c r="P134" s="299">
        <f t="shared" si="191"/>
        <v>0</v>
      </c>
      <c r="Q134" s="299">
        <f t="shared" si="192"/>
        <v>2.21</v>
      </c>
      <c r="R134" s="301">
        <f t="shared" si="193"/>
        <v>2.25</v>
      </c>
      <c r="S134" s="298">
        <f t="shared" si="194"/>
        <v>2.9299999999999997</v>
      </c>
      <c r="T134" s="299">
        <f t="shared" si="194"/>
        <v>2.0499999999999998</v>
      </c>
      <c r="U134" s="299">
        <f t="shared" si="194"/>
        <v>5.18</v>
      </c>
      <c r="V134" s="300">
        <f t="shared" si="194"/>
        <v>7.8</v>
      </c>
      <c r="W134" s="298">
        <f t="shared" si="195"/>
        <v>0</v>
      </c>
      <c r="X134" s="299">
        <f t="shared" si="196"/>
        <v>0.98</v>
      </c>
      <c r="Y134" s="299">
        <f t="shared" si="197"/>
        <v>1.5</v>
      </c>
      <c r="Z134" s="300">
        <f t="shared" si="198"/>
        <v>2.7199999999999998</v>
      </c>
      <c r="AA134" s="298">
        <f t="shared" si="199"/>
        <v>2.25</v>
      </c>
      <c r="AB134" s="299">
        <f t="shared" si="200"/>
        <v>1.2</v>
      </c>
      <c r="AC134" s="299">
        <f t="shared" si="201"/>
        <v>2.08</v>
      </c>
      <c r="AD134" s="300">
        <f t="shared" si="202"/>
        <v>2.0299999999999998</v>
      </c>
      <c r="AE134" s="298">
        <f t="shared" si="203"/>
        <v>1.4</v>
      </c>
      <c r="AF134" s="299">
        <f t="shared" si="204"/>
        <v>0.7</v>
      </c>
      <c r="AG134" s="299">
        <f t="shared" si="205"/>
        <v>2.04</v>
      </c>
      <c r="AH134" s="300">
        <f t="shared" si="206"/>
        <v>1.56</v>
      </c>
      <c r="AI134" s="298">
        <f t="shared" si="207"/>
        <v>3.65</v>
      </c>
      <c r="AJ134" s="299">
        <f t="shared" si="207"/>
        <v>2.88</v>
      </c>
      <c r="AK134" s="299">
        <f t="shared" si="207"/>
        <v>5.62</v>
      </c>
      <c r="AL134" s="300">
        <f t="shared" si="207"/>
        <v>6.3100000000000005</v>
      </c>
      <c r="AM134" s="298">
        <f t="shared" si="208"/>
        <v>1.49</v>
      </c>
      <c r="AN134" s="299">
        <f t="shared" si="209"/>
        <v>1.5</v>
      </c>
      <c r="AO134" s="299">
        <f t="shared" si="210"/>
        <v>1.9</v>
      </c>
      <c r="AP134" s="300">
        <f t="shared" si="211"/>
        <v>3.38</v>
      </c>
      <c r="AQ134" s="298">
        <f t="shared" si="212"/>
        <v>1.79</v>
      </c>
      <c r="AR134" s="299">
        <f t="shared" si="213"/>
        <v>1.7000000000000002</v>
      </c>
      <c r="AS134" s="299">
        <f t="shared" si="214"/>
        <v>3.4</v>
      </c>
      <c r="AT134" s="343">
        <f t="shared" si="215"/>
        <v>4.46</v>
      </c>
      <c r="AU134" s="298">
        <f t="shared" si="216"/>
        <v>0</v>
      </c>
      <c r="AV134" s="299">
        <f t="shared" si="217"/>
        <v>1.92</v>
      </c>
      <c r="AW134" s="299">
        <f t="shared" si="218"/>
        <v>4.6899999999999995</v>
      </c>
      <c r="AX134" s="300">
        <f t="shared" si="219"/>
        <v>4.5</v>
      </c>
      <c r="AY134" s="298">
        <f t="shared" si="220"/>
        <v>3.2800000000000002</v>
      </c>
      <c r="AZ134" s="299">
        <f t="shared" si="220"/>
        <v>5.12</v>
      </c>
      <c r="BA134" s="299">
        <f t="shared" si="220"/>
        <v>9.9899999999999984</v>
      </c>
      <c r="BB134" s="300">
        <f t="shared" si="220"/>
        <v>12.34</v>
      </c>
      <c r="BC134" s="298">
        <f t="shared" si="221"/>
        <v>1.5</v>
      </c>
      <c r="BD134" s="299">
        <f t="shared" si="222"/>
        <v>1.32</v>
      </c>
      <c r="BE134" s="299">
        <f t="shared" si="223"/>
        <v>1.93</v>
      </c>
      <c r="BF134" s="343">
        <f t="shared" si="224"/>
        <v>6.3900000000000006</v>
      </c>
      <c r="BG134" s="298">
        <f t="shared" si="225"/>
        <v>2.56</v>
      </c>
      <c r="BH134" s="299">
        <f t="shared" si="226"/>
        <v>2.91</v>
      </c>
      <c r="BI134" s="299">
        <f t="shared" si="227"/>
        <v>4.3100000000000005</v>
      </c>
      <c r="BJ134" s="300">
        <f t="shared" si="228"/>
        <v>4.4000000000000004</v>
      </c>
      <c r="BK134" s="298">
        <f t="shared" si="229"/>
        <v>0</v>
      </c>
      <c r="BL134" s="299">
        <f t="shared" si="230"/>
        <v>3.0300000000000002</v>
      </c>
      <c r="BM134" s="299">
        <f t="shared" si="231"/>
        <v>3.21</v>
      </c>
      <c r="BN134" s="603">
        <f>VLOOKUP(B134,year2022to23,307,FALSE)</f>
        <v>2.39</v>
      </c>
      <c r="BO134" s="298">
        <f t="shared" si="232"/>
        <v>4.0600000000000005</v>
      </c>
      <c r="BP134" s="299">
        <f t="shared" si="232"/>
        <v>7.2600000000000007</v>
      </c>
      <c r="BQ134" s="299">
        <f t="shared" si="232"/>
        <v>9.4499999999999993</v>
      </c>
      <c r="BR134" s="338"/>
      <c r="BT134" s="298">
        <f t="shared" si="233"/>
        <v>-0.87999999999999989</v>
      </c>
      <c r="BU134" s="299">
        <f t="shared" si="233"/>
        <v>3.13</v>
      </c>
      <c r="BV134" s="300">
        <f t="shared" si="233"/>
        <v>2.62</v>
      </c>
      <c r="BW134" s="298">
        <f t="shared" si="234"/>
        <v>-0.77</v>
      </c>
      <c r="BX134" s="299">
        <f t="shared" si="234"/>
        <v>2.74</v>
      </c>
      <c r="BY134" s="300">
        <f t="shared" si="234"/>
        <v>0.69000000000000039</v>
      </c>
      <c r="BZ134" s="298">
        <f t="shared" si="235"/>
        <v>1.8399999999999999</v>
      </c>
      <c r="CA134" s="299">
        <f t="shared" si="235"/>
        <v>4.8699999999999983</v>
      </c>
      <c r="CB134" s="300">
        <f t="shared" si="235"/>
        <v>2.3500000000000014</v>
      </c>
      <c r="CC134" s="298">
        <f t="shared" si="236"/>
        <v>3.2</v>
      </c>
      <c r="CD134" s="299">
        <f t="shared" si="236"/>
        <v>2.1899999999999986</v>
      </c>
      <c r="CE134" s="338"/>
      <c r="CG134" s="298">
        <f t="shared" si="237"/>
        <v>2.9299999999999997</v>
      </c>
      <c r="CH134" s="299">
        <f t="shared" si="237"/>
        <v>2.0499999999999998</v>
      </c>
      <c r="CI134" s="299">
        <f t="shared" si="237"/>
        <v>5.18</v>
      </c>
      <c r="CJ134" s="300">
        <f t="shared" si="237"/>
        <v>7.8</v>
      </c>
      <c r="CK134" s="298">
        <f t="shared" si="238"/>
        <v>6.58</v>
      </c>
      <c r="CL134" s="299">
        <f t="shared" si="238"/>
        <v>4.93</v>
      </c>
      <c r="CM134" s="299">
        <f t="shared" si="238"/>
        <v>10.8</v>
      </c>
      <c r="CN134" s="300">
        <f t="shared" si="238"/>
        <v>14.11</v>
      </c>
      <c r="CO134" s="298">
        <f t="shared" si="239"/>
        <v>9.86</v>
      </c>
      <c r="CP134" s="299">
        <f t="shared" si="239"/>
        <v>10.049999999999999</v>
      </c>
      <c r="CQ134" s="299">
        <f t="shared" si="239"/>
        <v>20.79</v>
      </c>
      <c r="CR134" s="300">
        <f t="shared" si="239"/>
        <v>26.45</v>
      </c>
      <c r="CS134" s="298">
        <f t="shared" si="240"/>
        <v>13.92</v>
      </c>
      <c r="CT134" s="299">
        <f t="shared" si="240"/>
        <v>17.309999999999999</v>
      </c>
      <c r="CU134" s="299">
        <f t="shared" si="240"/>
        <v>30.240000000000002</v>
      </c>
      <c r="CV134" s="300">
        <f t="shared" si="240"/>
        <v>39.630000000000003</v>
      </c>
      <c r="CX134" s="341">
        <f t="shared" si="241"/>
        <v>0.65111111111111108</v>
      </c>
      <c r="CY134" s="342">
        <f t="shared" si="241"/>
        <v>0.45555555555555549</v>
      </c>
      <c r="CZ134" s="342">
        <f t="shared" si="241"/>
        <v>1.151111111111111</v>
      </c>
      <c r="DA134" s="343">
        <f t="shared" si="241"/>
        <v>1.7333333333333334</v>
      </c>
      <c r="DB134" s="344">
        <f t="shared" si="242"/>
        <v>1.4622222222222223</v>
      </c>
      <c r="DC134" s="342">
        <f t="shared" si="242"/>
        <v>1.0955555555555554</v>
      </c>
      <c r="DD134" s="342">
        <f t="shared" si="242"/>
        <v>2.4000000000000004</v>
      </c>
      <c r="DE134" s="343">
        <f t="shared" si="242"/>
        <v>3.1355555555555554</v>
      </c>
      <c r="DF134" s="341">
        <f t="shared" si="243"/>
        <v>2.1911111111111108</v>
      </c>
      <c r="DG134" s="342">
        <f t="shared" si="243"/>
        <v>2.2333333333333329</v>
      </c>
      <c r="DH134" s="342">
        <f t="shared" si="243"/>
        <v>4.62</v>
      </c>
      <c r="DI134" s="343">
        <f t="shared" si="243"/>
        <v>5.8777777777777773</v>
      </c>
      <c r="DJ134" s="341">
        <f t="shared" si="244"/>
        <v>3.0933333333333333</v>
      </c>
      <c r="DK134" s="342">
        <f t="shared" si="244"/>
        <v>3.8466666666666662</v>
      </c>
      <c r="DL134" s="342">
        <f t="shared" si="244"/>
        <v>6.7200000000000006</v>
      </c>
      <c r="DM134" s="338"/>
      <c r="DO134" s="341">
        <v>30.240000000000002</v>
      </c>
      <c r="DP134" s="343">
        <v>6.7200000000000006</v>
      </c>
      <c r="DR134" s="341">
        <f t="shared" si="245"/>
        <v>39.630000000000003</v>
      </c>
      <c r="DS134" s="343">
        <f t="shared" si="246"/>
        <v>8.8066666666666666</v>
      </c>
    </row>
    <row r="135" spans="1:123" s="285" customFormat="1" ht="16.5" thickBot="1" x14ac:dyDescent="0.3">
      <c r="A135" s="552" t="s">
        <v>6</v>
      </c>
      <c r="B135" s="553"/>
      <c r="C135" s="160">
        <f>SUM(C126:C134)</f>
        <v>149.68</v>
      </c>
      <c r="D135" s="160">
        <f>SUM(D126:D134)</f>
        <v>208.10999999999999</v>
      </c>
      <c r="E135" s="160">
        <f>SUM(E126:E134)</f>
        <v>208.10999999999999</v>
      </c>
      <c r="F135" s="160">
        <f>SUM(F126:F134)</f>
        <v>208.10999999999999</v>
      </c>
      <c r="G135" s="303">
        <f t="shared" ref="G135:R135" si="247">SUBTOTAL(9,G126:G134)</f>
        <v>11.83</v>
      </c>
      <c r="H135" s="304">
        <f t="shared" si="247"/>
        <v>35.81</v>
      </c>
      <c r="I135" s="304">
        <f t="shared" si="247"/>
        <v>50.510000000000005</v>
      </c>
      <c r="J135" s="305">
        <f t="shared" si="247"/>
        <v>141.18</v>
      </c>
      <c r="K135" s="303">
        <f t="shared" si="247"/>
        <v>10.91</v>
      </c>
      <c r="L135" s="304">
        <f t="shared" si="247"/>
        <v>29.75</v>
      </c>
      <c r="M135" s="304">
        <f t="shared" si="247"/>
        <v>42.16</v>
      </c>
      <c r="N135" s="305">
        <f t="shared" si="247"/>
        <v>119.67999999999999</v>
      </c>
      <c r="O135" s="303">
        <f t="shared" si="247"/>
        <v>9.0300000000000011</v>
      </c>
      <c r="P135" s="304">
        <f t="shared" si="247"/>
        <v>29.39</v>
      </c>
      <c r="Q135" s="304">
        <f t="shared" si="247"/>
        <v>49.24</v>
      </c>
      <c r="R135" s="306">
        <f t="shared" si="247"/>
        <v>149.56</v>
      </c>
      <c r="S135" s="303">
        <f>G135+K135+O135</f>
        <v>31.770000000000003</v>
      </c>
      <c r="T135" s="304">
        <f t="shared" si="194"/>
        <v>94.95</v>
      </c>
      <c r="U135" s="304">
        <f t="shared" si="194"/>
        <v>141.91</v>
      </c>
      <c r="V135" s="305">
        <f t="shared" si="194"/>
        <v>410.42</v>
      </c>
      <c r="W135" s="303">
        <f t="shared" ref="W135:AH135" si="248">SUBTOTAL(9,W126:W134)</f>
        <v>9.0300000000000011</v>
      </c>
      <c r="X135" s="304">
        <f t="shared" si="248"/>
        <v>48.08</v>
      </c>
      <c r="Y135" s="304">
        <f t="shared" si="248"/>
        <v>68.472999999999999</v>
      </c>
      <c r="Z135" s="305">
        <f t="shared" si="248"/>
        <v>173.42</v>
      </c>
      <c r="AA135" s="303">
        <f t="shared" si="248"/>
        <v>32.22</v>
      </c>
      <c r="AB135" s="304">
        <f t="shared" si="248"/>
        <v>49.010000000000005</v>
      </c>
      <c r="AC135" s="304">
        <f t="shared" si="248"/>
        <v>89.88000000000001</v>
      </c>
      <c r="AD135" s="305">
        <f t="shared" si="248"/>
        <v>214.16</v>
      </c>
      <c r="AE135" s="303">
        <f t="shared" si="248"/>
        <v>40.669999999999995</v>
      </c>
      <c r="AF135" s="304">
        <f t="shared" si="248"/>
        <v>51.389999999999993</v>
      </c>
      <c r="AG135" s="304">
        <f t="shared" si="248"/>
        <v>97.48</v>
      </c>
      <c r="AH135" s="305">
        <f t="shared" si="248"/>
        <v>175.4</v>
      </c>
      <c r="AI135" s="303">
        <f>W135+AA135+AE135</f>
        <v>81.919999999999987</v>
      </c>
      <c r="AJ135" s="304">
        <f t="shared" si="207"/>
        <v>148.47999999999999</v>
      </c>
      <c r="AK135" s="304">
        <f t="shared" si="207"/>
        <v>255.83300000000003</v>
      </c>
      <c r="AL135" s="305">
        <f t="shared" si="207"/>
        <v>562.98</v>
      </c>
      <c r="AM135" s="303">
        <f t="shared" ref="AM135:AX135" si="249">SUBTOTAL(9,AM126:AM134)</f>
        <v>37.18</v>
      </c>
      <c r="AN135" s="304">
        <f t="shared" si="249"/>
        <v>49.43</v>
      </c>
      <c r="AO135" s="304">
        <f t="shared" si="249"/>
        <v>80.420000000000016</v>
      </c>
      <c r="AP135" s="305">
        <f t="shared" si="249"/>
        <v>159.55000000000001</v>
      </c>
      <c r="AQ135" s="303">
        <f t="shared" si="249"/>
        <v>38.28</v>
      </c>
      <c r="AR135" s="304">
        <f t="shared" si="249"/>
        <v>63.400000000000006</v>
      </c>
      <c r="AS135" s="304">
        <f t="shared" si="249"/>
        <v>121.24000000000002</v>
      </c>
      <c r="AT135" s="304">
        <f>SUBTOTAL(9,AT126:AT134)</f>
        <v>185.07</v>
      </c>
      <c r="AU135" s="303">
        <f t="shared" si="249"/>
        <v>39.15</v>
      </c>
      <c r="AV135" s="304">
        <f t="shared" si="249"/>
        <v>58.019999999999996</v>
      </c>
      <c r="AW135" s="304">
        <f t="shared" si="249"/>
        <v>129.49</v>
      </c>
      <c r="AX135" s="305">
        <f t="shared" si="249"/>
        <v>206.42</v>
      </c>
      <c r="AY135" s="303">
        <f>AM135+AQ135+AU135</f>
        <v>114.61000000000001</v>
      </c>
      <c r="AZ135" s="304">
        <f t="shared" si="220"/>
        <v>170.85000000000002</v>
      </c>
      <c r="BA135" s="304">
        <f t="shared" si="220"/>
        <v>331.15000000000003</v>
      </c>
      <c r="BB135" s="305">
        <f>AP135+AT135+AX135</f>
        <v>551.04</v>
      </c>
      <c r="BC135" s="303">
        <f t="shared" ref="BC135:BN135" si="250">SUBTOTAL(9,BC126:BC134)</f>
        <v>56.019999999999996</v>
      </c>
      <c r="BD135" s="304">
        <f t="shared" si="250"/>
        <v>70.2</v>
      </c>
      <c r="BE135" s="304">
        <f t="shared" si="250"/>
        <v>133.38999999999999</v>
      </c>
      <c r="BF135" s="305">
        <f t="shared" si="250"/>
        <v>255.72000000000003</v>
      </c>
      <c r="BG135" s="303">
        <f t="shared" si="250"/>
        <v>42.480000000000004</v>
      </c>
      <c r="BH135" s="304">
        <f t="shared" si="250"/>
        <v>68.91</v>
      </c>
      <c r="BI135" s="304">
        <f t="shared" si="250"/>
        <v>165.53</v>
      </c>
      <c r="BJ135" s="305">
        <f t="shared" si="250"/>
        <v>239.29</v>
      </c>
      <c r="BK135" s="303">
        <f t="shared" si="250"/>
        <v>47.6</v>
      </c>
      <c r="BL135" s="304">
        <f t="shared" si="250"/>
        <v>53.66</v>
      </c>
      <c r="BM135" s="304">
        <f t="shared" si="250"/>
        <v>106.78999999999998</v>
      </c>
      <c r="BN135" s="604">
        <f t="shared" si="250"/>
        <v>186.56</v>
      </c>
      <c r="BO135" s="303">
        <f>BC135+BG135+BK135</f>
        <v>146.1</v>
      </c>
      <c r="BP135" s="304">
        <f t="shared" si="232"/>
        <v>192.77</v>
      </c>
      <c r="BQ135" s="304">
        <f t="shared" si="232"/>
        <v>405.70999999999992</v>
      </c>
      <c r="BR135" s="325">
        <f t="shared" si="232"/>
        <v>681.56999999999994</v>
      </c>
      <c r="BS135" s="307"/>
      <c r="BT135" s="303">
        <f t="shared" si="233"/>
        <v>63.18</v>
      </c>
      <c r="BU135" s="304">
        <f t="shared" si="233"/>
        <v>46.959999999999994</v>
      </c>
      <c r="BV135" s="305">
        <f t="shared" si="233"/>
        <v>268.51</v>
      </c>
      <c r="BW135" s="303">
        <f t="shared" si="234"/>
        <v>66.56</v>
      </c>
      <c r="BX135" s="304">
        <f t="shared" si="234"/>
        <v>107.35300000000004</v>
      </c>
      <c r="BY135" s="305">
        <f t="shared" si="234"/>
        <v>307.14699999999999</v>
      </c>
      <c r="BZ135" s="303">
        <f t="shared" si="235"/>
        <v>56.240000000000009</v>
      </c>
      <c r="CA135" s="304">
        <f t="shared" si="235"/>
        <v>160.30000000000001</v>
      </c>
      <c r="CB135" s="305">
        <f>BB135-BA135</f>
        <v>219.88999999999993</v>
      </c>
      <c r="CC135" s="303">
        <f t="shared" si="236"/>
        <v>46.670000000000016</v>
      </c>
      <c r="CD135" s="304">
        <f t="shared" si="236"/>
        <v>212.93999999999991</v>
      </c>
      <c r="CE135" s="325">
        <f t="shared" si="236"/>
        <v>275.86</v>
      </c>
      <c r="CF135" s="307"/>
      <c r="CG135" s="303">
        <f t="shared" si="237"/>
        <v>31.770000000000003</v>
      </c>
      <c r="CH135" s="304">
        <f t="shared" si="237"/>
        <v>94.95</v>
      </c>
      <c r="CI135" s="304">
        <f t="shared" si="237"/>
        <v>141.91</v>
      </c>
      <c r="CJ135" s="305">
        <f t="shared" si="237"/>
        <v>410.42</v>
      </c>
      <c r="CK135" s="303">
        <f t="shared" si="238"/>
        <v>113.69</v>
      </c>
      <c r="CL135" s="304">
        <f t="shared" si="238"/>
        <v>243.43</v>
      </c>
      <c r="CM135" s="304">
        <f t="shared" si="238"/>
        <v>397.74299999999999</v>
      </c>
      <c r="CN135" s="305">
        <f t="shared" si="238"/>
        <v>973.4</v>
      </c>
      <c r="CO135" s="303">
        <f t="shared" si="239"/>
        <v>228.3</v>
      </c>
      <c r="CP135" s="304">
        <f t="shared" si="239"/>
        <v>414.28</v>
      </c>
      <c r="CQ135" s="304">
        <f t="shared" si="239"/>
        <v>728.89300000000003</v>
      </c>
      <c r="CR135" s="304">
        <f>CN135+AP135+AT135+AX135</f>
        <v>1524.44</v>
      </c>
      <c r="CS135" s="303">
        <f t="shared" si="240"/>
        <v>374.40000000000003</v>
      </c>
      <c r="CT135" s="304">
        <f t="shared" si="240"/>
        <v>607.04999999999995</v>
      </c>
      <c r="CU135" s="304">
        <f>CQ135+BE135+BI135+BM135</f>
        <v>1134.6030000000001</v>
      </c>
      <c r="CV135" s="304">
        <f>CR135+BF135+BJ135+BN135</f>
        <v>2206.0100000000002</v>
      </c>
      <c r="CW135" s="307"/>
      <c r="CX135" s="330">
        <f t="shared" si="241"/>
        <v>0.21225280598610369</v>
      </c>
      <c r="CY135" s="331">
        <f>CH135/D135</f>
        <v>0.45624909903416466</v>
      </c>
      <c r="CZ135" s="331">
        <f t="shared" si="241"/>
        <v>0.6818989957234155</v>
      </c>
      <c r="DA135" s="332">
        <f t="shared" si="241"/>
        <v>1.972130123492384</v>
      </c>
      <c r="DB135" s="345">
        <f t="shared" si="242"/>
        <v>0.75955371459112764</v>
      </c>
      <c r="DC135" s="331">
        <f t="shared" si="242"/>
        <v>1.1697179376291384</v>
      </c>
      <c r="DD135" s="331">
        <f t="shared" si="242"/>
        <v>1.9112152227187547</v>
      </c>
      <c r="DE135" s="332">
        <f t="shared" si="242"/>
        <v>4.6773341021575128</v>
      </c>
      <c r="DF135" s="330">
        <f t="shared" si="243"/>
        <v>1.5252538749331908</v>
      </c>
      <c r="DG135" s="331">
        <f t="shared" si="243"/>
        <v>1.9906780068233145</v>
      </c>
      <c r="DH135" s="331">
        <f t="shared" si="243"/>
        <v>3.502441016769978</v>
      </c>
      <c r="DI135" s="332">
        <f t="shared" si="243"/>
        <v>7.3251645764259292</v>
      </c>
      <c r="DJ135" s="330">
        <f t="shared" si="244"/>
        <v>2.501336183858899</v>
      </c>
      <c r="DK135" s="331">
        <f t="shared" si="244"/>
        <v>2.9169669886117919</v>
      </c>
      <c r="DL135" s="331">
        <f t="shared" si="244"/>
        <v>5.451938878477729</v>
      </c>
      <c r="DM135" s="325"/>
      <c r="DN135" s="307"/>
      <c r="DO135" s="330">
        <v>1134.6030000000001</v>
      </c>
      <c r="DP135" s="332">
        <v>5.451938878477729</v>
      </c>
      <c r="DQ135" s="307"/>
      <c r="DR135" s="330">
        <f t="shared" si="245"/>
        <v>2206.0100000000002</v>
      </c>
      <c r="DS135" s="332">
        <f t="shared" si="246"/>
        <v>10.60021142664937</v>
      </c>
    </row>
    <row r="136" spans="1:123" s="285" customFormat="1" ht="15.75" x14ac:dyDescent="0.25">
      <c r="A136" s="310"/>
      <c r="B136" s="310"/>
      <c r="C136" s="372"/>
      <c r="D136" s="372"/>
      <c r="E136" s="372"/>
      <c r="F136" s="311"/>
      <c r="BN136" s="592"/>
      <c r="CX136" s="312"/>
      <c r="CY136" s="312"/>
      <c r="CZ136" s="312"/>
      <c r="DA136" s="312"/>
      <c r="DO136" s="365"/>
      <c r="DP136" s="365"/>
      <c r="DR136" s="365"/>
      <c r="DS136" s="365"/>
    </row>
    <row r="137" spans="1:123" s="285" customFormat="1" ht="15.75" hidden="1" x14ac:dyDescent="0.25">
      <c r="A137" s="310"/>
      <c r="B137" s="310"/>
      <c r="C137" s="372"/>
      <c r="D137" s="372"/>
      <c r="E137" s="372"/>
      <c r="F137" s="311"/>
      <c r="BN137" s="592"/>
      <c r="CX137" s="312"/>
      <c r="CY137" s="312"/>
      <c r="CZ137" s="312"/>
      <c r="DA137" s="312"/>
      <c r="DO137" s="365"/>
      <c r="DP137" s="365"/>
      <c r="DR137" s="365"/>
      <c r="DS137" s="365"/>
    </row>
    <row r="138" spans="1:123" s="285" customFormat="1" ht="15.75" hidden="1" thickBot="1" x14ac:dyDescent="0.3">
      <c r="A138" s="285" t="s">
        <v>77</v>
      </c>
      <c r="C138" s="365"/>
      <c r="D138" s="365"/>
      <c r="E138" s="365"/>
      <c r="F138" s="365"/>
      <c r="BN138" s="592"/>
      <c r="CX138" s="312"/>
      <c r="CY138" s="312"/>
      <c r="CZ138" s="312"/>
      <c r="DA138" s="312"/>
      <c r="DO138" s="365"/>
      <c r="DP138" s="365"/>
      <c r="DR138" s="365"/>
      <c r="DS138" s="365"/>
    </row>
    <row r="139" spans="1:123" s="285" customFormat="1" ht="15.75" hidden="1" customHeight="1" thickBot="1" x14ac:dyDescent="0.3">
      <c r="A139" s="287"/>
      <c r="B139" s="287"/>
      <c r="C139" s="366"/>
      <c r="D139" s="366"/>
      <c r="E139" s="366"/>
      <c r="F139" s="366"/>
      <c r="S139" s="501" t="s">
        <v>62</v>
      </c>
      <c r="T139" s="502"/>
      <c r="U139" s="502"/>
      <c r="V139" s="503"/>
      <c r="AI139" s="501" t="s">
        <v>59</v>
      </c>
      <c r="AJ139" s="502"/>
      <c r="AK139" s="502"/>
      <c r="AL139" s="503"/>
      <c r="AY139" s="501" t="s">
        <v>56</v>
      </c>
      <c r="AZ139" s="502"/>
      <c r="BA139" s="502"/>
      <c r="BB139" s="503"/>
      <c r="BN139" s="592"/>
      <c r="BO139" s="501" t="s">
        <v>53</v>
      </c>
      <c r="BP139" s="502"/>
      <c r="BQ139" s="502"/>
      <c r="BR139" s="503"/>
      <c r="BS139" s="292"/>
      <c r="BT139" s="507" t="s">
        <v>61</v>
      </c>
      <c r="BU139" s="508"/>
      <c r="BV139" s="509"/>
      <c r="BW139" s="507" t="s">
        <v>58</v>
      </c>
      <c r="BX139" s="508"/>
      <c r="BY139" s="509"/>
      <c r="BZ139" s="507" t="s">
        <v>55</v>
      </c>
      <c r="CA139" s="508"/>
      <c r="CB139" s="509"/>
      <c r="CC139" s="507" t="s">
        <v>52</v>
      </c>
      <c r="CD139" s="508"/>
      <c r="CE139" s="509"/>
      <c r="CF139" s="292"/>
      <c r="CG139" s="537" t="s">
        <v>60</v>
      </c>
      <c r="CH139" s="538"/>
      <c r="CI139" s="538"/>
      <c r="CJ139" s="539"/>
      <c r="CK139" s="513" t="s">
        <v>57</v>
      </c>
      <c r="CL139" s="514"/>
      <c r="CM139" s="514"/>
      <c r="CN139" s="515"/>
      <c r="CO139" s="513" t="s">
        <v>54</v>
      </c>
      <c r="CP139" s="514"/>
      <c r="CQ139" s="514"/>
      <c r="CR139" s="515"/>
      <c r="CS139" s="513" t="s">
        <v>51</v>
      </c>
      <c r="CT139" s="514"/>
      <c r="CU139" s="514"/>
      <c r="CV139" s="515"/>
      <c r="CW139" s="292"/>
      <c r="CX139" s="554" t="s">
        <v>63</v>
      </c>
      <c r="CY139" s="555"/>
      <c r="CZ139" s="555"/>
      <c r="DA139" s="556"/>
      <c r="DB139" s="560" t="s">
        <v>66</v>
      </c>
      <c r="DC139" s="561"/>
      <c r="DD139" s="561"/>
      <c r="DE139" s="562"/>
      <c r="DF139" s="560" t="s">
        <v>65</v>
      </c>
      <c r="DG139" s="561"/>
      <c r="DH139" s="561"/>
      <c r="DI139" s="562"/>
      <c r="DJ139" s="560" t="s">
        <v>64</v>
      </c>
      <c r="DK139" s="561"/>
      <c r="DL139" s="561"/>
      <c r="DM139" s="562"/>
      <c r="DO139" s="365"/>
      <c r="DP139" s="365"/>
      <c r="DR139" s="365"/>
      <c r="DS139" s="365"/>
    </row>
    <row r="140" spans="1:123" s="286" customFormat="1" hidden="1" x14ac:dyDescent="0.25">
      <c r="A140" s="523" t="s">
        <v>3</v>
      </c>
      <c r="B140" s="524"/>
      <c r="C140" s="535" t="s">
        <v>68</v>
      </c>
      <c r="D140" s="535" t="s">
        <v>69</v>
      </c>
      <c r="E140" s="535" t="s">
        <v>70</v>
      </c>
      <c r="F140" s="535" t="s">
        <v>67</v>
      </c>
      <c r="G140" s="498" t="s">
        <v>37</v>
      </c>
      <c r="H140" s="499"/>
      <c r="I140" s="499"/>
      <c r="J140" s="500"/>
      <c r="K140" s="498" t="s">
        <v>38</v>
      </c>
      <c r="L140" s="499"/>
      <c r="M140" s="499"/>
      <c r="N140" s="500"/>
      <c r="O140" s="498" t="s">
        <v>39</v>
      </c>
      <c r="P140" s="499"/>
      <c r="Q140" s="499"/>
      <c r="R140" s="519"/>
      <c r="S140" s="504"/>
      <c r="T140" s="505"/>
      <c r="U140" s="505"/>
      <c r="V140" s="506"/>
      <c r="W140" s="498" t="s">
        <v>40</v>
      </c>
      <c r="X140" s="499"/>
      <c r="Y140" s="499"/>
      <c r="Z140" s="500"/>
      <c r="AA140" s="498" t="s">
        <v>11</v>
      </c>
      <c r="AB140" s="499"/>
      <c r="AC140" s="499"/>
      <c r="AD140" s="500"/>
      <c r="AE140" s="498" t="s">
        <v>41</v>
      </c>
      <c r="AF140" s="499"/>
      <c r="AG140" s="499"/>
      <c r="AH140" s="500"/>
      <c r="AI140" s="504"/>
      <c r="AJ140" s="505"/>
      <c r="AK140" s="505"/>
      <c r="AL140" s="506"/>
      <c r="AM140" s="498" t="s">
        <v>42</v>
      </c>
      <c r="AN140" s="499"/>
      <c r="AO140" s="499"/>
      <c r="AP140" s="500"/>
      <c r="AQ140" s="498" t="s">
        <v>43</v>
      </c>
      <c r="AR140" s="499"/>
      <c r="AS140" s="499"/>
      <c r="AT140" s="500"/>
      <c r="AU140" s="498" t="s">
        <v>44</v>
      </c>
      <c r="AV140" s="499"/>
      <c r="AW140" s="499"/>
      <c r="AX140" s="500"/>
      <c r="AY140" s="504"/>
      <c r="AZ140" s="505"/>
      <c r="BA140" s="505"/>
      <c r="BB140" s="506"/>
      <c r="BC140" s="498" t="s">
        <v>45</v>
      </c>
      <c r="BD140" s="499"/>
      <c r="BE140" s="499"/>
      <c r="BF140" s="500"/>
      <c r="BG140" s="498" t="s">
        <v>46</v>
      </c>
      <c r="BH140" s="499"/>
      <c r="BI140" s="499"/>
      <c r="BJ140" s="500"/>
      <c r="BK140" s="498" t="s">
        <v>47</v>
      </c>
      <c r="BL140" s="499"/>
      <c r="BM140" s="499"/>
      <c r="BN140" s="500"/>
      <c r="BO140" s="504"/>
      <c r="BP140" s="505"/>
      <c r="BQ140" s="505"/>
      <c r="BR140" s="506"/>
      <c r="BS140" s="292"/>
      <c r="BT140" s="510"/>
      <c r="BU140" s="511"/>
      <c r="BV140" s="512"/>
      <c r="BW140" s="510"/>
      <c r="BX140" s="511"/>
      <c r="BY140" s="512"/>
      <c r="BZ140" s="510"/>
      <c r="CA140" s="511"/>
      <c r="CB140" s="512"/>
      <c r="CC140" s="510"/>
      <c r="CD140" s="511"/>
      <c r="CE140" s="512"/>
      <c r="CF140" s="292"/>
      <c r="CG140" s="540"/>
      <c r="CH140" s="541"/>
      <c r="CI140" s="541"/>
      <c r="CJ140" s="542"/>
      <c r="CK140" s="516"/>
      <c r="CL140" s="517"/>
      <c r="CM140" s="517"/>
      <c r="CN140" s="518"/>
      <c r="CO140" s="516"/>
      <c r="CP140" s="517"/>
      <c r="CQ140" s="517"/>
      <c r="CR140" s="518"/>
      <c r="CS140" s="516"/>
      <c r="CT140" s="517"/>
      <c r="CU140" s="517"/>
      <c r="CV140" s="518"/>
      <c r="CW140" s="292"/>
      <c r="CX140" s="557"/>
      <c r="CY140" s="558"/>
      <c r="CZ140" s="558"/>
      <c r="DA140" s="559"/>
      <c r="DB140" s="563"/>
      <c r="DC140" s="564"/>
      <c r="DD140" s="564"/>
      <c r="DE140" s="565"/>
      <c r="DF140" s="563"/>
      <c r="DG140" s="564"/>
      <c r="DH140" s="564"/>
      <c r="DI140" s="565"/>
      <c r="DJ140" s="563"/>
      <c r="DK140" s="564"/>
      <c r="DL140" s="564"/>
      <c r="DM140" s="565"/>
      <c r="DO140" s="466"/>
      <c r="DP140" s="466"/>
      <c r="DR140" s="466"/>
      <c r="DS140" s="466"/>
    </row>
    <row r="141" spans="1:123" s="286" customFormat="1" ht="15.75" hidden="1" thickBot="1" x14ac:dyDescent="0.3">
      <c r="A141" s="525"/>
      <c r="B141" s="526"/>
      <c r="C141" s="536"/>
      <c r="D141" s="536"/>
      <c r="E141" s="536"/>
      <c r="F141" s="536"/>
      <c r="G141" s="288">
        <v>2022</v>
      </c>
      <c r="H141" s="289">
        <v>2023</v>
      </c>
      <c r="I141" s="289">
        <v>2024</v>
      </c>
      <c r="J141" s="290">
        <v>2025</v>
      </c>
      <c r="K141" s="288">
        <v>2022</v>
      </c>
      <c r="L141" s="289">
        <v>2023</v>
      </c>
      <c r="M141" s="289">
        <v>2024</v>
      </c>
      <c r="N141" s="290">
        <v>2025</v>
      </c>
      <c r="O141" s="288">
        <v>2022</v>
      </c>
      <c r="P141" s="289">
        <v>2023</v>
      </c>
      <c r="Q141" s="289">
        <v>2024</v>
      </c>
      <c r="R141" s="291">
        <v>2025</v>
      </c>
      <c r="S141" s="288">
        <v>2022</v>
      </c>
      <c r="T141" s="289">
        <v>2023</v>
      </c>
      <c r="U141" s="289">
        <v>2024</v>
      </c>
      <c r="V141" s="290">
        <v>2025</v>
      </c>
      <c r="W141" s="288">
        <v>2022</v>
      </c>
      <c r="X141" s="289">
        <v>2023</v>
      </c>
      <c r="Y141" s="289">
        <v>2024</v>
      </c>
      <c r="Z141" s="290">
        <v>2025</v>
      </c>
      <c r="AA141" s="288">
        <v>2022</v>
      </c>
      <c r="AB141" s="289">
        <v>2023</v>
      </c>
      <c r="AC141" s="289">
        <v>2024</v>
      </c>
      <c r="AD141" s="290">
        <v>2025</v>
      </c>
      <c r="AE141" s="288">
        <v>2022</v>
      </c>
      <c r="AF141" s="289">
        <v>2023</v>
      </c>
      <c r="AG141" s="289">
        <v>2024</v>
      </c>
      <c r="AH141" s="290">
        <v>2025</v>
      </c>
      <c r="AI141" s="288">
        <v>2022</v>
      </c>
      <c r="AJ141" s="289">
        <v>2023</v>
      </c>
      <c r="AK141" s="289">
        <v>2024</v>
      </c>
      <c r="AL141" s="290">
        <v>2025</v>
      </c>
      <c r="AM141" s="288">
        <v>2022</v>
      </c>
      <c r="AN141" s="289">
        <v>2023</v>
      </c>
      <c r="AO141" s="289">
        <v>2024</v>
      </c>
      <c r="AP141" s="290">
        <v>2025</v>
      </c>
      <c r="AQ141" s="288">
        <v>2022</v>
      </c>
      <c r="AR141" s="289">
        <v>2023</v>
      </c>
      <c r="AS141" s="289">
        <v>2024</v>
      </c>
      <c r="AT141" s="290">
        <v>2025</v>
      </c>
      <c r="AU141" s="288">
        <v>2022</v>
      </c>
      <c r="AV141" s="289">
        <v>2023</v>
      </c>
      <c r="AW141" s="289">
        <v>2024</v>
      </c>
      <c r="AX141" s="290">
        <v>2025</v>
      </c>
      <c r="AY141" s="288">
        <v>2022</v>
      </c>
      <c r="AZ141" s="289">
        <v>2023</v>
      </c>
      <c r="BA141" s="289">
        <v>2024</v>
      </c>
      <c r="BB141" s="290">
        <v>2025</v>
      </c>
      <c r="BC141" s="288">
        <v>2022</v>
      </c>
      <c r="BD141" s="289">
        <v>2023</v>
      </c>
      <c r="BE141" s="289">
        <v>2024</v>
      </c>
      <c r="BF141" s="290">
        <v>2025</v>
      </c>
      <c r="BG141" s="288">
        <v>2022</v>
      </c>
      <c r="BH141" s="289">
        <v>2023</v>
      </c>
      <c r="BI141" s="289">
        <v>2024</v>
      </c>
      <c r="BJ141" s="290">
        <v>2025</v>
      </c>
      <c r="BK141" s="288">
        <v>2022</v>
      </c>
      <c r="BL141" s="289">
        <v>2023</v>
      </c>
      <c r="BM141" s="289">
        <v>2024</v>
      </c>
      <c r="BN141" s="598">
        <v>2025</v>
      </c>
      <c r="BO141" s="288">
        <v>2022</v>
      </c>
      <c r="BP141" s="289">
        <v>2023</v>
      </c>
      <c r="BQ141" s="289">
        <v>2024</v>
      </c>
      <c r="BR141" s="290">
        <v>2025</v>
      </c>
      <c r="BT141" s="288" t="s">
        <v>48</v>
      </c>
      <c r="BU141" s="289" t="s">
        <v>49</v>
      </c>
      <c r="BV141" s="290" t="s">
        <v>50</v>
      </c>
      <c r="BW141" s="288" t="s">
        <v>48</v>
      </c>
      <c r="BX141" s="289" t="s">
        <v>49</v>
      </c>
      <c r="BY141" s="290" t="s">
        <v>50</v>
      </c>
      <c r="BZ141" s="288" t="s">
        <v>48</v>
      </c>
      <c r="CA141" s="289" t="s">
        <v>49</v>
      </c>
      <c r="CB141" s="290" t="s">
        <v>50</v>
      </c>
      <c r="CC141" s="288" t="s">
        <v>48</v>
      </c>
      <c r="CD141" s="289" t="s">
        <v>49</v>
      </c>
      <c r="CE141" s="290" t="s">
        <v>50</v>
      </c>
      <c r="CG141" s="288">
        <v>2022</v>
      </c>
      <c r="CH141" s="289">
        <v>2023</v>
      </c>
      <c r="CI141" s="289">
        <v>2024</v>
      </c>
      <c r="CJ141" s="290">
        <v>2025</v>
      </c>
      <c r="CK141" s="288">
        <v>2022</v>
      </c>
      <c r="CL141" s="289">
        <v>2023</v>
      </c>
      <c r="CM141" s="289">
        <v>2024</v>
      </c>
      <c r="CN141" s="290">
        <v>2025</v>
      </c>
      <c r="CO141" s="288">
        <v>2022</v>
      </c>
      <c r="CP141" s="289">
        <v>2023</v>
      </c>
      <c r="CQ141" s="289">
        <v>2024</v>
      </c>
      <c r="CR141" s="290">
        <v>2025</v>
      </c>
      <c r="CS141" s="288">
        <v>2022</v>
      </c>
      <c r="CT141" s="289">
        <v>2023</v>
      </c>
      <c r="CU141" s="289">
        <v>2024</v>
      </c>
      <c r="CV141" s="290">
        <v>2025</v>
      </c>
      <c r="CX141" s="288">
        <v>2022</v>
      </c>
      <c r="CY141" s="289">
        <v>2023</v>
      </c>
      <c r="CZ141" s="289">
        <v>2024</v>
      </c>
      <c r="DA141" s="290">
        <v>2025</v>
      </c>
      <c r="DB141" s="288">
        <v>2022</v>
      </c>
      <c r="DC141" s="289">
        <v>2023</v>
      </c>
      <c r="DD141" s="289">
        <v>2024</v>
      </c>
      <c r="DE141" s="290">
        <v>2025</v>
      </c>
      <c r="DF141" s="288">
        <v>2022</v>
      </c>
      <c r="DG141" s="289">
        <v>2023</v>
      </c>
      <c r="DH141" s="289">
        <v>2024</v>
      </c>
      <c r="DI141" s="290">
        <v>2025</v>
      </c>
      <c r="DJ141" s="288">
        <v>2022</v>
      </c>
      <c r="DK141" s="289">
        <v>2023</v>
      </c>
      <c r="DL141" s="289">
        <v>2024</v>
      </c>
      <c r="DM141" s="290">
        <v>2025</v>
      </c>
      <c r="DO141" s="466"/>
      <c r="DP141" s="466"/>
      <c r="DR141" s="466"/>
      <c r="DS141" s="466"/>
    </row>
    <row r="142" spans="1:123" ht="15.75" hidden="1" thickBot="1" x14ac:dyDescent="0.3">
      <c r="A142" s="347" t="s">
        <v>26</v>
      </c>
      <c r="B142" s="348">
        <v>105</v>
      </c>
      <c r="C142" s="386">
        <v>50</v>
      </c>
      <c r="D142" s="386">
        <v>50</v>
      </c>
      <c r="E142" s="381">
        <v>50</v>
      </c>
      <c r="F142" s="381">
        <v>50</v>
      </c>
      <c r="G142" s="349">
        <f>VLOOKUP(B142,year2022to23,72,FALSE)</f>
        <v>0</v>
      </c>
      <c r="H142" s="350">
        <f>VLOOKUP(B142,year2022to23,132,FALSE)</f>
        <v>0</v>
      </c>
      <c r="I142" s="350">
        <f>VLOOKUP(B142,year2022to23,192,FALSE)</f>
        <v>0</v>
      </c>
      <c r="J142" s="351">
        <f>VLOOKUP(B142,year2022to23,252,FALSE)</f>
        <v>0</v>
      </c>
      <c r="K142" s="349">
        <f>VLOOKUP(B142,year2022to23,77,FALSE)</f>
        <v>0</v>
      </c>
      <c r="L142" s="350">
        <f>VLOOKUP(B142,year2022to23,137,FALSE)</f>
        <v>0</v>
      </c>
      <c r="M142" s="350">
        <f>VLOOKUP(B142,year2022to23,197,FALSE)</f>
        <v>0</v>
      </c>
      <c r="N142" s="351">
        <f>VLOOKUP(B142,year2022to23,257,FALSE)</f>
        <v>0</v>
      </c>
      <c r="O142" s="349">
        <f>VLOOKUP(B142,year2022to23,82,FALSE)</f>
        <v>0</v>
      </c>
      <c r="P142" s="350">
        <f>VLOOKUP(B142,year2022to23,142,FALSE)</f>
        <v>0</v>
      </c>
      <c r="Q142" s="350">
        <f>VLOOKUP(B142,year2022to23,202,FALSE)</f>
        <v>0.15</v>
      </c>
      <c r="R142" s="352">
        <f>VLOOKUP(B142,year2022to23,262,FALSE)</f>
        <v>0</v>
      </c>
      <c r="S142" s="349">
        <f t="shared" ref="S142:V144" si="251">G142+K142+O142</f>
        <v>0</v>
      </c>
      <c r="T142" s="350">
        <f t="shared" si="251"/>
        <v>0</v>
      </c>
      <c r="U142" s="350">
        <f t="shared" si="251"/>
        <v>0.15</v>
      </c>
      <c r="V142" s="351">
        <f t="shared" si="251"/>
        <v>0</v>
      </c>
      <c r="W142" s="349">
        <f>VLOOKUP(B142,year2022to23,87,FALSE)</f>
        <v>0</v>
      </c>
      <c r="X142" s="350">
        <f>VLOOKUP(B142,year2022to23,147,FALSE)</f>
        <v>0</v>
      </c>
      <c r="Y142" s="350">
        <f>VLOOKUP(B142,year2022to23,207,FALSE)</f>
        <v>0</v>
      </c>
      <c r="Z142" s="351">
        <f>VLOOKUP(B142,year2022to23,267,FALSE)</f>
        <v>0</v>
      </c>
      <c r="AA142" s="349">
        <f>VLOOKUP(B142,year2022to23,92,FALSE)</f>
        <v>0</v>
      </c>
      <c r="AB142" s="350">
        <f>VLOOKUP(B142,year2022to23,152,FALSE)</f>
        <v>0</v>
      </c>
      <c r="AC142" s="350">
        <f>VLOOKUP(B142,year2022to23,212,FALSE)</f>
        <v>0</v>
      </c>
      <c r="AD142" s="351">
        <f>VLOOKUP(B142,year2022to23,272,FALSE)</f>
        <v>0</v>
      </c>
      <c r="AE142" s="349">
        <f>VLOOKUP(B142,year2022to23,97,FALSE)</f>
        <v>0</v>
      </c>
      <c r="AF142" s="350">
        <f>VLOOKUP(B142,year2022to23,157,FALSE)</f>
        <v>0</v>
      </c>
      <c r="AG142" s="350">
        <f>VLOOKUP(B142,year2022to23,217,FALSE)</f>
        <v>0</v>
      </c>
      <c r="AH142" s="351">
        <f>VLOOKUP(B142,year2022to23,277,FALSE)</f>
        <v>0</v>
      </c>
      <c r="AI142" s="349">
        <f t="shared" ref="AI142:AL144" si="252">W142+AA142+AE142</f>
        <v>0</v>
      </c>
      <c r="AJ142" s="350">
        <f t="shared" si="252"/>
        <v>0</v>
      </c>
      <c r="AK142" s="350">
        <f t="shared" si="252"/>
        <v>0</v>
      </c>
      <c r="AL142" s="351">
        <f t="shared" si="252"/>
        <v>0</v>
      </c>
      <c r="AM142" s="349">
        <f>VLOOKUP(B142,year2022to23,102,FALSE)</f>
        <v>0</v>
      </c>
      <c r="AN142" s="350">
        <f>VLOOKUP(B142,year2022to23,162,FALSE)</f>
        <v>0</v>
      </c>
      <c r="AO142" s="350">
        <f>VLOOKUP(B142,year2022to23,222,FALSE)</f>
        <v>0</v>
      </c>
      <c r="AP142" s="351">
        <f>VLOOKUP(B142,year2022to23,282,FALSE)</f>
        <v>0</v>
      </c>
      <c r="AQ142" s="349">
        <f>VLOOKUP(B142,year2022to23,107,FALSE)</f>
        <v>0</v>
      </c>
      <c r="AR142" s="350">
        <f>VLOOKUP(B142,year2022to23,167,FALSE)</f>
        <v>0</v>
      </c>
      <c r="AS142" s="350">
        <f>VLOOKUP(B142,year2022to23,227,FALSE)</f>
        <v>0</v>
      </c>
      <c r="AT142" s="351">
        <f>VLOOKUP(B142,year2022to23,287,FALSE)</f>
        <v>0</v>
      </c>
      <c r="AU142" s="349">
        <f>VLOOKUP(B142,year2022to23,112,FALSE)</f>
        <v>3.05</v>
      </c>
      <c r="AV142" s="350">
        <f>VLOOKUP(B142,year2022to23,172,FALSE)</f>
        <v>0</v>
      </c>
      <c r="AW142" s="350">
        <f>VLOOKUP(B142,year2022to23,232,FALSE)</f>
        <v>0</v>
      </c>
      <c r="AX142" s="283"/>
      <c r="AY142" s="349">
        <f t="shared" ref="AY142:BB144" si="253">AM142+AQ142+AU142</f>
        <v>3.05</v>
      </c>
      <c r="AZ142" s="350">
        <f t="shared" si="253"/>
        <v>0</v>
      </c>
      <c r="BA142" s="350">
        <f t="shared" si="253"/>
        <v>0</v>
      </c>
      <c r="BB142" s="283">
        <f t="shared" si="253"/>
        <v>0</v>
      </c>
      <c r="BC142" s="349">
        <f>VLOOKUP(B142,year2022to23,117,FALSE)</f>
        <v>0</v>
      </c>
      <c r="BD142" s="350">
        <f>VLOOKUP(B142,year2022to23,177,FALSE)</f>
        <v>0</v>
      </c>
      <c r="BE142" s="350">
        <f>VLOOKUP(B142,year2022to23,237,FALSE)</f>
        <v>0</v>
      </c>
      <c r="BF142" s="283"/>
      <c r="BG142" s="349">
        <f>VLOOKUP(B142,year2022to23,122,FALSE)</f>
        <v>0</v>
      </c>
      <c r="BH142" s="350">
        <f>VLOOKUP(B142,year2022to23,182,FALSE)</f>
        <v>0</v>
      </c>
      <c r="BI142" s="350">
        <f>VLOOKUP(B142,year2022to23,242,FALSE)</f>
        <v>0</v>
      </c>
      <c r="BJ142" s="283"/>
      <c r="BK142" s="349">
        <f>VLOOKUP(B142,year2022to23,127,FALSE)</f>
        <v>0</v>
      </c>
      <c r="BL142" s="350">
        <f>VLOOKUP(B142,year2022to23,187,FALSE)</f>
        <v>0</v>
      </c>
      <c r="BM142" s="350">
        <f>VLOOKUP(B142,year2022to23,247,FALSE)</f>
        <v>0</v>
      </c>
      <c r="BN142" s="599"/>
      <c r="BO142" s="349">
        <f t="shared" ref="BO142:BR144" si="254">BC142+BG142+BK142</f>
        <v>0</v>
      </c>
      <c r="BP142" s="350">
        <f t="shared" si="254"/>
        <v>0</v>
      </c>
      <c r="BQ142" s="350">
        <f t="shared" si="254"/>
        <v>0</v>
      </c>
      <c r="BR142" s="283">
        <f t="shared" si="254"/>
        <v>0</v>
      </c>
      <c r="BS142" s="353"/>
      <c r="BT142" s="349">
        <f t="shared" ref="BT142:BV144" si="255">T142-S142</f>
        <v>0</v>
      </c>
      <c r="BU142" s="350">
        <f t="shared" si="255"/>
        <v>0.15</v>
      </c>
      <c r="BV142" s="351">
        <f t="shared" si="255"/>
        <v>-0.15</v>
      </c>
      <c r="BW142" s="349">
        <f t="shared" ref="BW142:BY144" si="256">AJ142-AI142</f>
        <v>0</v>
      </c>
      <c r="BX142" s="350">
        <f t="shared" si="256"/>
        <v>0</v>
      </c>
      <c r="BY142" s="351">
        <f t="shared" si="256"/>
        <v>0</v>
      </c>
      <c r="BZ142" s="349">
        <f t="shared" ref="BZ142:CB144" si="257">AZ142-AY142</f>
        <v>-3.05</v>
      </c>
      <c r="CA142" s="350">
        <f t="shared" si="257"/>
        <v>0</v>
      </c>
      <c r="CB142" s="283">
        <f t="shared" si="257"/>
        <v>0</v>
      </c>
      <c r="CC142" s="349">
        <f t="shared" ref="CC142:CE144" si="258">BP142-BO142</f>
        <v>0</v>
      </c>
      <c r="CD142" s="350">
        <f t="shared" si="258"/>
        <v>0</v>
      </c>
      <c r="CE142" s="324">
        <f t="shared" si="258"/>
        <v>0</v>
      </c>
      <c r="CF142" s="353"/>
      <c r="CG142" s="349">
        <f t="shared" ref="CG142:CJ144" si="259">G142+K142+O142</f>
        <v>0</v>
      </c>
      <c r="CH142" s="350">
        <f t="shared" si="259"/>
        <v>0</v>
      </c>
      <c r="CI142" s="350">
        <f t="shared" si="259"/>
        <v>0.15</v>
      </c>
      <c r="CJ142" s="351">
        <f t="shared" si="259"/>
        <v>0</v>
      </c>
      <c r="CK142" s="349">
        <f t="shared" ref="CK142:CN144" si="260">CG142+W142+AA142+AE142</f>
        <v>0</v>
      </c>
      <c r="CL142" s="350">
        <f t="shared" si="260"/>
        <v>0</v>
      </c>
      <c r="CM142" s="350">
        <f t="shared" si="260"/>
        <v>0.15</v>
      </c>
      <c r="CN142" s="351">
        <f t="shared" si="260"/>
        <v>0</v>
      </c>
      <c r="CO142" s="349">
        <f t="shared" ref="CO142:CR144" si="261">CK142+AM142+AQ142+AU142</f>
        <v>3.05</v>
      </c>
      <c r="CP142" s="350">
        <f t="shared" si="261"/>
        <v>0</v>
      </c>
      <c r="CQ142" s="350">
        <f t="shared" si="261"/>
        <v>0.15</v>
      </c>
      <c r="CR142" s="283">
        <f t="shared" si="261"/>
        <v>0</v>
      </c>
      <c r="CS142" s="349">
        <f t="shared" ref="CS142:CV144" si="262">CO142+BC142+BG142+BK142</f>
        <v>3.05</v>
      </c>
      <c r="CT142" s="350">
        <f t="shared" si="262"/>
        <v>0</v>
      </c>
      <c r="CU142" s="350">
        <f t="shared" si="262"/>
        <v>0.15</v>
      </c>
      <c r="CV142" s="283">
        <f t="shared" si="262"/>
        <v>0</v>
      </c>
      <c r="CW142" s="353"/>
      <c r="CX142" s="354">
        <f t="shared" ref="CX142:DA144" si="263">CG142/C142</f>
        <v>0</v>
      </c>
      <c r="CY142" s="355">
        <f t="shared" si="263"/>
        <v>0</v>
      </c>
      <c r="CZ142" s="355">
        <f t="shared" si="263"/>
        <v>3.0000000000000001E-3</v>
      </c>
      <c r="DA142" s="356">
        <f t="shared" si="263"/>
        <v>0</v>
      </c>
      <c r="DB142" s="354">
        <f t="shared" ref="DB142:DE144" si="264">CK142/C142</f>
        <v>0</v>
      </c>
      <c r="DC142" s="355">
        <f t="shared" si="264"/>
        <v>0</v>
      </c>
      <c r="DD142" s="355">
        <f t="shared" si="264"/>
        <v>3.0000000000000001E-3</v>
      </c>
      <c r="DE142" s="356">
        <f t="shared" si="264"/>
        <v>0</v>
      </c>
      <c r="DF142" s="354">
        <f t="shared" ref="DF142:DI144" si="265">CO142/C142</f>
        <v>6.0999999999999999E-2</v>
      </c>
      <c r="DG142" s="355">
        <f t="shared" si="265"/>
        <v>0</v>
      </c>
      <c r="DH142" s="355">
        <f t="shared" si="265"/>
        <v>3.0000000000000001E-3</v>
      </c>
      <c r="DI142" s="328">
        <f t="shared" si="265"/>
        <v>0</v>
      </c>
      <c r="DJ142" s="354">
        <f t="shared" ref="DJ142:DL144" si="266">CS142/C142</f>
        <v>6.0999999999999999E-2</v>
      </c>
      <c r="DK142" s="355">
        <f t="shared" si="266"/>
        <v>0</v>
      </c>
      <c r="DL142" s="355">
        <f t="shared" si="266"/>
        <v>3.0000000000000001E-3</v>
      </c>
      <c r="DM142" s="329"/>
    </row>
    <row r="143" spans="1:123" ht="15.75" hidden="1" thickBot="1" x14ac:dyDescent="0.3">
      <c r="A143" s="347" t="s">
        <v>27</v>
      </c>
      <c r="B143" s="357">
        <v>114</v>
      </c>
      <c r="C143" s="387">
        <v>46</v>
      </c>
      <c r="D143" s="387">
        <v>46</v>
      </c>
      <c r="E143" s="382">
        <v>46</v>
      </c>
      <c r="F143" s="382">
        <v>46</v>
      </c>
      <c r="G143" s="358">
        <f>VLOOKUP(B143,year2022to23,72,FALSE)</f>
        <v>0</v>
      </c>
      <c r="H143" s="359">
        <f>VLOOKUP(B143,year2022to23,132,FALSE)</f>
        <v>0</v>
      </c>
      <c r="I143" s="359">
        <f>VLOOKUP(B143,year2022to23,192,FALSE)</f>
        <v>0</v>
      </c>
      <c r="J143" s="360">
        <f>VLOOKUP(B143,year2022to23,252,FALSE)</f>
        <v>0</v>
      </c>
      <c r="K143" s="358">
        <f>VLOOKUP(B143,year2022to23,77,FALSE)</f>
        <v>0</v>
      </c>
      <c r="L143" s="359">
        <f>VLOOKUP(B143,year2022to23,137,FALSE)</f>
        <v>0</v>
      </c>
      <c r="M143" s="359">
        <f>VLOOKUP(B143,year2022to23,197,FALSE)</f>
        <v>0</v>
      </c>
      <c r="N143" s="360">
        <f>VLOOKUP(B143,year2022to23,257,FALSE)</f>
        <v>0</v>
      </c>
      <c r="O143" s="358">
        <f>VLOOKUP(B143,year2022to23,82,FALSE)</f>
        <v>0</v>
      </c>
      <c r="P143" s="359">
        <f>VLOOKUP(B143,year2022to23,142,FALSE)</f>
        <v>0</v>
      </c>
      <c r="Q143" s="359">
        <f>VLOOKUP(B143,year2022to23,202,FALSE)</f>
        <v>0.15</v>
      </c>
      <c r="R143" s="361">
        <f>VLOOKUP(B143,year2022to23,262,FALSE)</f>
        <v>0</v>
      </c>
      <c r="S143" s="358">
        <f t="shared" si="251"/>
        <v>0</v>
      </c>
      <c r="T143" s="359">
        <f t="shared" si="251"/>
        <v>0</v>
      </c>
      <c r="U143" s="359">
        <f t="shared" si="251"/>
        <v>0.15</v>
      </c>
      <c r="V143" s="360">
        <f t="shared" si="251"/>
        <v>0</v>
      </c>
      <c r="W143" s="358">
        <f>VLOOKUP(B143,year2022to23,87,FALSE)</f>
        <v>0</v>
      </c>
      <c r="X143" s="359">
        <f>VLOOKUP(B143,year2022to23,147,FALSE)</f>
        <v>0</v>
      </c>
      <c r="Y143" s="359">
        <f>VLOOKUP(B143,year2022to23,207,FALSE)</f>
        <v>0</v>
      </c>
      <c r="Z143" s="360">
        <f>VLOOKUP(B143,year2022to23,267,FALSE)</f>
        <v>0</v>
      </c>
      <c r="AA143" s="358">
        <f>VLOOKUP(B143,year2022to23,92,FALSE)</f>
        <v>0</v>
      </c>
      <c r="AB143" s="359">
        <f>VLOOKUP(B143,year2022to23,152,FALSE)</f>
        <v>0</v>
      </c>
      <c r="AC143" s="359">
        <f>VLOOKUP(B143,year2022to23,212,FALSE)</f>
        <v>0</v>
      </c>
      <c r="AD143" s="360">
        <f>VLOOKUP(B143,year2022to23,272,FALSE)</f>
        <v>0</v>
      </c>
      <c r="AE143" s="358">
        <f>VLOOKUP(B143,year2022to23,97,FALSE)</f>
        <v>0</v>
      </c>
      <c r="AF143" s="359">
        <f>VLOOKUP(B143,year2022to23,157,FALSE)</f>
        <v>0</v>
      </c>
      <c r="AG143" s="359">
        <f>VLOOKUP(B143,year2022to23,217,FALSE)</f>
        <v>0</v>
      </c>
      <c r="AH143" s="360">
        <f>VLOOKUP(B143,year2022to23,277,FALSE)</f>
        <v>0</v>
      </c>
      <c r="AI143" s="358">
        <f t="shared" si="252"/>
        <v>0</v>
      </c>
      <c r="AJ143" s="359">
        <f t="shared" si="252"/>
        <v>0</v>
      </c>
      <c r="AK143" s="359">
        <f t="shared" si="252"/>
        <v>0</v>
      </c>
      <c r="AL143" s="360">
        <f t="shared" si="252"/>
        <v>0</v>
      </c>
      <c r="AM143" s="358">
        <f>VLOOKUP(B143,year2022to23,102,FALSE)</f>
        <v>0</v>
      </c>
      <c r="AN143" s="359">
        <f>VLOOKUP(B143,year2022to23,162,FALSE)</f>
        <v>0</v>
      </c>
      <c r="AO143" s="359">
        <f>VLOOKUP(B143,year2022to23,222,FALSE)</f>
        <v>0</v>
      </c>
      <c r="AP143" s="360">
        <f>VLOOKUP(B143,year2022to23,282,FALSE)</f>
        <v>0</v>
      </c>
      <c r="AQ143" s="358">
        <f>VLOOKUP(B143,year2022to23,107,FALSE)</f>
        <v>0</v>
      </c>
      <c r="AR143" s="359">
        <f>VLOOKUP(B143,year2022to23,167,FALSE)</f>
        <v>0</v>
      </c>
      <c r="AS143" s="359">
        <f>VLOOKUP(B143,year2022to23,227,FALSE)</f>
        <v>0</v>
      </c>
      <c r="AT143" s="360">
        <f>VLOOKUP(B143,year2022to23,287,FALSE)</f>
        <v>0</v>
      </c>
      <c r="AU143" s="358">
        <f>VLOOKUP(B143,year2022to23,112,FALSE)</f>
        <v>0</v>
      </c>
      <c r="AV143" s="359">
        <f>VLOOKUP(B143,year2022to23,172,FALSE)</f>
        <v>0</v>
      </c>
      <c r="AW143" s="359">
        <f>VLOOKUP(B143,year2022to23,232,FALSE)</f>
        <v>0</v>
      </c>
      <c r="AX143" s="300"/>
      <c r="AY143" s="358">
        <f t="shared" si="253"/>
        <v>0</v>
      </c>
      <c r="AZ143" s="359">
        <f t="shared" si="253"/>
        <v>0</v>
      </c>
      <c r="BA143" s="359">
        <f t="shared" si="253"/>
        <v>0</v>
      </c>
      <c r="BB143" s="300">
        <f t="shared" si="253"/>
        <v>0</v>
      </c>
      <c r="BC143" s="358">
        <f>VLOOKUP(B143,year2022to23,117,FALSE)</f>
        <v>0</v>
      </c>
      <c r="BD143" s="359">
        <f>VLOOKUP(B143,year2022to23,177,FALSE)</f>
        <v>0</v>
      </c>
      <c r="BE143" s="359">
        <f>VLOOKUP(B143,year2022to23,237,FALSE)</f>
        <v>0</v>
      </c>
      <c r="BF143" s="300"/>
      <c r="BG143" s="358">
        <f>VLOOKUP(B143,year2022to23,122,FALSE)</f>
        <v>0</v>
      </c>
      <c r="BH143" s="359">
        <f>VLOOKUP(B143,year2022to23,182,FALSE)</f>
        <v>0</v>
      </c>
      <c r="BI143" s="359">
        <f>VLOOKUP(B143,year2022to23,242,FALSE)</f>
        <v>0</v>
      </c>
      <c r="BJ143" s="300"/>
      <c r="BK143" s="358">
        <f>VLOOKUP(B143,year2022to23,127,FALSE)</f>
        <v>0</v>
      </c>
      <c r="BL143" s="359">
        <f>VLOOKUP(B143,year2022to23,187,FALSE)</f>
        <v>0</v>
      </c>
      <c r="BM143" s="359">
        <f>VLOOKUP(B143,year2022to23,247,FALSE)</f>
        <v>0</v>
      </c>
      <c r="BN143" s="603"/>
      <c r="BO143" s="358">
        <f t="shared" si="254"/>
        <v>0</v>
      </c>
      <c r="BP143" s="359">
        <f t="shared" si="254"/>
        <v>0</v>
      </c>
      <c r="BQ143" s="359">
        <f t="shared" si="254"/>
        <v>0</v>
      </c>
      <c r="BR143" s="300">
        <f t="shared" si="254"/>
        <v>0</v>
      </c>
      <c r="BS143" s="353"/>
      <c r="BT143" s="358">
        <f t="shared" si="255"/>
        <v>0</v>
      </c>
      <c r="BU143" s="359">
        <f t="shared" si="255"/>
        <v>0.15</v>
      </c>
      <c r="BV143" s="360">
        <f t="shared" si="255"/>
        <v>-0.15</v>
      </c>
      <c r="BW143" s="358">
        <f t="shared" si="256"/>
        <v>0</v>
      </c>
      <c r="BX143" s="359">
        <f t="shared" si="256"/>
        <v>0</v>
      </c>
      <c r="BY143" s="360">
        <f t="shared" si="256"/>
        <v>0</v>
      </c>
      <c r="BZ143" s="358">
        <f t="shared" si="257"/>
        <v>0</v>
      </c>
      <c r="CA143" s="359">
        <f t="shared" si="257"/>
        <v>0</v>
      </c>
      <c r="CB143" s="300">
        <f t="shared" si="257"/>
        <v>0</v>
      </c>
      <c r="CC143" s="358">
        <f t="shared" si="258"/>
        <v>0</v>
      </c>
      <c r="CD143" s="359">
        <f t="shared" si="258"/>
        <v>0</v>
      </c>
      <c r="CE143" s="338">
        <f t="shared" si="258"/>
        <v>0</v>
      </c>
      <c r="CF143" s="353"/>
      <c r="CG143" s="358">
        <f t="shared" si="259"/>
        <v>0</v>
      </c>
      <c r="CH143" s="359">
        <f t="shared" si="259"/>
        <v>0</v>
      </c>
      <c r="CI143" s="359">
        <f t="shared" si="259"/>
        <v>0.15</v>
      </c>
      <c r="CJ143" s="360">
        <f t="shared" si="259"/>
        <v>0</v>
      </c>
      <c r="CK143" s="358">
        <f t="shared" si="260"/>
        <v>0</v>
      </c>
      <c r="CL143" s="359">
        <f t="shared" si="260"/>
        <v>0</v>
      </c>
      <c r="CM143" s="359">
        <f t="shared" si="260"/>
        <v>0.15</v>
      </c>
      <c r="CN143" s="360">
        <f t="shared" si="260"/>
        <v>0</v>
      </c>
      <c r="CO143" s="358">
        <f t="shared" si="261"/>
        <v>0</v>
      </c>
      <c r="CP143" s="359">
        <f t="shared" si="261"/>
        <v>0</v>
      </c>
      <c r="CQ143" s="359">
        <f t="shared" si="261"/>
        <v>0.15</v>
      </c>
      <c r="CR143" s="300">
        <f t="shared" si="261"/>
        <v>0</v>
      </c>
      <c r="CS143" s="358">
        <f t="shared" si="262"/>
        <v>0</v>
      </c>
      <c r="CT143" s="359">
        <f t="shared" si="262"/>
        <v>0</v>
      </c>
      <c r="CU143" s="359">
        <f t="shared" si="262"/>
        <v>0.15</v>
      </c>
      <c r="CV143" s="300">
        <f t="shared" si="262"/>
        <v>0</v>
      </c>
      <c r="CW143" s="353"/>
      <c r="CX143" s="362">
        <f t="shared" si="263"/>
        <v>0</v>
      </c>
      <c r="CY143" s="363">
        <f t="shared" si="263"/>
        <v>0</v>
      </c>
      <c r="CZ143" s="363">
        <f t="shared" si="263"/>
        <v>3.2608695652173911E-3</v>
      </c>
      <c r="DA143" s="364">
        <f t="shared" si="263"/>
        <v>0</v>
      </c>
      <c r="DB143" s="362">
        <f t="shared" si="264"/>
        <v>0</v>
      </c>
      <c r="DC143" s="363">
        <f t="shared" si="264"/>
        <v>0</v>
      </c>
      <c r="DD143" s="363">
        <f t="shared" si="264"/>
        <v>3.2608695652173911E-3</v>
      </c>
      <c r="DE143" s="364">
        <f t="shared" si="264"/>
        <v>0</v>
      </c>
      <c r="DF143" s="362">
        <f t="shared" si="265"/>
        <v>0</v>
      </c>
      <c r="DG143" s="363">
        <f t="shared" si="265"/>
        <v>0</v>
      </c>
      <c r="DH143" s="363">
        <f t="shared" si="265"/>
        <v>3.2608695652173911E-3</v>
      </c>
      <c r="DI143" s="343">
        <f t="shared" si="265"/>
        <v>0</v>
      </c>
      <c r="DJ143" s="362">
        <f t="shared" si="266"/>
        <v>0</v>
      </c>
      <c r="DK143" s="363">
        <f t="shared" si="266"/>
        <v>0</v>
      </c>
      <c r="DL143" s="363">
        <f t="shared" si="266"/>
        <v>3.2608695652173911E-3</v>
      </c>
      <c r="DM143" s="399"/>
    </row>
    <row r="144" spans="1:123" s="365" customFormat="1" ht="16.5" hidden="1" thickBot="1" x14ac:dyDescent="0.3">
      <c r="A144" s="550" t="s">
        <v>6</v>
      </c>
      <c r="B144" s="551"/>
      <c r="C144" s="380">
        <v>0</v>
      </c>
      <c r="D144" s="380">
        <v>0</v>
      </c>
      <c r="E144" s="160">
        <f>SUM(E142:E143)</f>
        <v>96</v>
      </c>
      <c r="F144" s="160">
        <f>SUM(F142:F143)</f>
        <v>96</v>
      </c>
      <c r="G144" s="330">
        <f t="shared" ref="G144:R144" si="267">SUBTOTAL(9,G142:G143)</f>
        <v>0</v>
      </c>
      <c r="H144" s="331">
        <f t="shared" si="267"/>
        <v>0</v>
      </c>
      <c r="I144" s="331">
        <f t="shared" si="267"/>
        <v>0</v>
      </c>
      <c r="J144" s="332">
        <f t="shared" si="267"/>
        <v>0</v>
      </c>
      <c r="K144" s="330">
        <f t="shared" si="267"/>
        <v>0</v>
      </c>
      <c r="L144" s="331">
        <f t="shared" si="267"/>
        <v>0</v>
      </c>
      <c r="M144" s="331">
        <f t="shared" si="267"/>
        <v>0</v>
      </c>
      <c r="N144" s="332">
        <f t="shared" si="267"/>
        <v>0</v>
      </c>
      <c r="O144" s="330">
        <f t="shared" si="267"/>
        <v>0</v>
      </c>
      <c r="P144" s="331">
        <f t="shared" si="267"/>
        <v>0</v>
      </c>
      <c r="Q144" s="331">
        <f t="shared" si="267"/>
        <v>0.3</v>
      </c>
      <c r="R144" s="336">
        <f t="shared" si="267"/>
        <v>0</v>
      </c>
      <c r="S144" s="330">
        <f>G144+K144+O144</f>
        <v>0</v>
      </c>
      <c r="T144" s="331">
        <f t="shared" si="251"/>
        <v>0</v>
      </c>
      <c r="U144" s="331">
        <f t="shared" si="251"/>
        <v>0.3</v>
      </c>
      <c r="V144" s="332">
        <f t="shared" si="251"/>
        <v>0</v>
      </c>
      <c r="W144" s="330">
        <f t="shared" ref="W144:AH144" si="268">SUBTOTAL(9,W142:W143)</f>
        <v>0</v>
      </c>
      <c r="X144" s="331">
        <f t="shared" si="268"/>
        <v>0</v>
      </c>
      <c r="Y144" s="331">
        <f t="shared" si="268"/>
        <v>0</v>
      </c>
      <c r="Z144" s="332">
        <f t="shared" si="268"/>
        <v>0</v>
      </c>
      <c r="AA144" s="330">
        <f t="shared" si="268"/>
        <v>0</v>
      </c>
      <c r="AB144" s="331">
        <f t="shared" si="268"/>
        <v>0</v>
      </c>
      <c r="AC144" s="331">
        <f t="shared" si="268"/>
        <v>0</v>
      </c>
      <c r="AD144" s="332">
        <f t="shared" si="268"/>
        <v>0</v>
      </c>
      <c r="AE144" s="330">
        <f t="shared" si="268"/>
        <v>0</v>
      </c>
      <c r="AF144" s="331">
        <f t="shared" si="268"/>
        <v>0</v>
      </c>
      <c r="AG144" s="331">
        <f t="shared" si="268"/>
        <v>0</v>
      </c>
      <c r="AH144" s="332">
        <f t="shared" si="268"/>
        <v>0</v>
      </c>
      <c r="AI144" s="330">
        <f>W144+AA144+AE144</f>
        <v>0</v>
      </c>
      <c r="AJ144" s="331">
        <f t="shared" si="252"/>
        <v>0</v>
      </c>
      <c r="AK144" s="331">
        <f t="shared" si="252"/>
        <v>0</v>
      </c>
      <c r="AL144" s="332">
        <f t="shared" si="252"/>
        <v>0</v>
      </c>
      <c r="AM144" s="330">
        <f t="shared" ref="AM144:AX144" si="269">SUBTOTAL(9,AM142:AM143)</f>
        <v>0</v>
      </c>
      <c r="AN144" s="331">
        <f t="shared" si="269"/>
        <v>0</v>
      </c>
      <c r="AO144" s="331">
        <f t="shared" si="269"/>
        <v>0</v>
      </c>
      <c r="AP144" s="332">
        <f t="shared" si="269"/>
        <v>0</v>
      </c>
      <c r="AQ144" s="330">
        <f t="shared" si="269"/>
        <v>0</v>
      </c>
      <c r="AR144" s="331">
        <f t="shared" si="269"/>
        <v>0</v>
      </c>
      <c r="AS144" s="331">
        <f t="shared" si="269"/>
        <v>0</v>
      </c>
      <c r="AT144" s="332">
        <f t="shared" si="269"/>
        <v>0</v>
      </c>
      <c r="AU144" s="330">
        <f t="shared" si="269"/>
        <v>3.05</v>
      </c>
      <c r="AV144" s="331">
        <f t="shared" si="269"/>
        <v>0</v>
      </c>
      <c r="AW144" s="331">
        <f t="shared" si="269"/>
        <v>0</v>
      </c>
      <c r="AX144" s="332">
        <f t="shared" si="269"/>
        <v>0</v>
      </c>
      <c r="AY144" s="330">
        <f>AM144+AQ144+AU144</f>
        <v>3.05</v>
      </c>
      <c r="AZ144" s="331">
        <f t="shared" si="253"/>
        <v>0</v>
      </c>
      <c r="BA144" s="331">
        <f t="shared" si="253"/>
        <v>0</v>
      </c>
      <c r="BB144" s="332">
        <f t="shared" si="253"/>
        <v>0</v>
      </c>
      <c r="BC144" s="330">
        <f t="shared" ref="BC144:BN144" si="270">SUBTOTAL(9,BC142:BC143)</f>
        <v>0</v>
      </c>
      <c r="BD144" s="331">
        <f t="shared" si="270"/>
        <v>0</v>
      </c>
      <c r="BE144" s="331">
        <f t="shared" si="270"/>
        <v>0</v>
      </c>
      <c r="BF144" s="332">
        <f t="shared" si="270"/>
        <v>0</v>
      </c>
      <c r="BG144" s="330">
        <f t="shared" si="270"/>
        <v>0</v>
      </c>
      <c r="BH144" s="331">
        <f t="shared" si="270"/>
        <v>0</v>
      </c>
      <c r="BI144" s="331">
        <f t="shared" si="270"/>
        <v>0</v>
      </c>
      <c r="BJ144" s="332">
        <f t="shared" si="270"/>
        <v>0</v>
      </c>
      <c r="BK144" s="330">
        <f t="shared" si="270"/>
        <v>0</v>
      </c>
      <c r="BL144" s="331">
        <f t="shared" si="270"/>
        <v>0</v>
      </c>
      <c r="BM144" s="331">
        <f t="shared" si="270"/>
        <v>0</v>
      </c>
      <c r="BN144" s="605">
        <f t="shared" si="270"/>
        <v>0</v>
      </c>
      <c r="BO144" s="330">
        <f>BC144+BG144+BK144</f>
        <v>0</v>
      </c>
      <c r="BP144" s="331">
        <f t="shared" si="254"/>
        <v>0</v>
      </c>
      <c r="BQ144" s="331">
        <f t="shared" si="254"/>
        <v>0</v>
      </c>
      <c r="BR144" s="332">
        <f t="shared" si="254"/>
        <v>0</v>
      </c>
      <c r="BS144" s="337"/>
      <c r="BT144" s="330">
        <f t="shared" si="255"/>
        <v>0</v>
      </c>
      <c r="BU144" s="331">
        <f t="shared" si="255"/>
        <v>0.3</v>
      </c>
      <c r="BV144" s="332">
        <f t="shared" si="255"/>
        <v>-0.3</v>
      </c>
      <c r="BW144" s="330">
        <f t="shared" si="256"/>
        <v>0</v>
      </c>
      <c r="BX144" s="331">
        <f t="shared" si="256"/>
        <v>0</v>
      </c>
      <c r="BY144" s="332">
        <f t="shared" si="256"/>
        <v>0</v>
      </c>
      <c r="BZ144" s="330">
        <f t="shared" si="257"/>
        <v>-3.05</v>
      </c>
      <c r="CA144" s="331">
        <f t="shared" si="257"/>
        <v>0</v>
      </c>
      <c r="CB144" s="332">
        <f t="shared" si="257"/>
        <v>0</v>
      </c>
      <c r="CC144" s="330">
        <f t="shared" si="258"/>
        <v>0</v>
      </c>
      <c r="CD144" s="331">
        <f t="shared" si="258"/>
        <v>0</v>
      </c>
      <c r="CE144" s="333">
        <f t="shared" si="258"/>
        <v>0</v>
      </c>
      <c r="CF144" s="337"/>
      <c r="CG144" s="330">
        <f t="shared" si="259"/>
        <v>0</v>
      </c>
      <c r="CH144" s="330">
        <f t="shared" si="259"/>
        <v>0</v>
      </c>
      <c r="CI144" s="330">
        <f t="shared" si="259"/>
        <v>0.3</v>
      </c>
      <c r="CJ144" s="346">
        <f t="shared" si="259"/>
        <v>0</v>
      </c>
      <c r="CK144" s="330">
        <f t="shared" si="260"/>
        <v>0</v>
      </c>
      <c r="CL144" s="330">
        <f t="shared" si="260"/>
        <v>0</v>
      </c>
      <c r="CM144" s="330">
        <f t="shared" si="260"/>
        <v>0.3</v>
      </c>
      <c r="CN144" s="346">
        <f t="shared" si="260"/>
        <v>0</v>
      </c>
      <c r="CO144" s="330">
        <f t="shared" si="261"/>
        <v>3.05</v>
      </c>
      <c r="CP144" s="330">
        <f t="shared" si="261"/>
        <v>0</v>
      </c>
      <c r="CQ144" s="330">
        <f t="shared" si="261"/>
        <v>0.3</v>
      </c>
      <c r="CR144" s="346">
        <f t="shared" si="261"/>
        <v>0</v>
      </c>
      <c r="CS144" s="330">
        <f t="shared" si="262"/>
        <v>3.05</v>
      </c>
      <c r="CT144" s="330">
        <f t="shared" si="262"/>
        <v>0</v>
      </c>
      <c r="CU144" s="330">
        <f t="shared" si="262"/>
        <v>0.3</v>
      </c>
      <c r="CV144" s="346">
        <f t="shared" si="262"/>
        <v>0</v>
      </c>
      <c r="CW144" s="337"/>
      <c r="CX144" s="330">
        <f>IFERROR(CG144/C144,0)</f>
        <v>0</v>
      </c>
      <c r="CY144" s="330">
        <f>IFERROR(CH144/D144,0)</f>
        <v>0</v>
      </c>
      <c r="CZ144" s="330">
        <f t="shared" si="263"/>
        <v>3.1249999999999997E-3</v>
      </c>
      <c r="DA144" s="346">
        <f t="shared" si="263"/>
        <v>0</v>
      </c>
      <c r="DB144" s="330">
        <f>IFERROR(CK144/C144,0)</f>
        <v>0</v>
      </c>
      <c r="DC144" s="330">
        <f>IFERROR(CL144/D144,0)</f>
        <v>0</v>
      </c>
      <c r="DD144" s="330">
        <f t="shared" si="264"/>
        <v>3.1249999999999997E-3</v>
      </c>
      <c r="DE144" s="346">
        <f t="shared" si="264"/>
        <v>0</v>
      </c>
      <c r="DF144" s="330">
        <f>IFERROR(CO144/C144,0)</f>
        <v>0</v>
      </c>
      <c r="DG144" s="330">
        <f>IFERROR(CP144/D144,0)</f>
        <v>0</v>
      </c>
      <c r="DH144" s="330">
        <f t="shared" si="265"/>
        <v>3.1249999999999997E-3</v>
      </c>
      <c r="DI144" s="346">
        <f t="shared" si="265"/>
        <v>0</v>
      </c>
      <c r="DJ144" s="330">
        <f>IFERROR(CS144/C144,0)</f>
        <v>0</v>
      </c>
      <c r="DK144" s="330">
        <f>IFERROR(CT144/D144,0)</f>
        <v>0</v>
      </c>
      <c r="DL144" s="330">
        <f t="shared" si="266"/>
        <v>3.1249999999999997E-3</v>
      </c>
      <c r="DM144" s="400"/>
    </row>
    <row r="145" spans="1:137" ht="15.75" hidden="1" thickBot="1" x14ac:dyDescent="0.3">
      <c r="A145" s="285" t="s">
        <v>80</v>
      </c>
      <c r="DN145" s="365"/>
    </row>
    <row r="146" spans="1:137" s="285" customFormat="1" ht="15" hidden="1" customHeight="1" thickBot="1" x14ac:dyDescent="0.3">
      <c r="BN146" s="592"/>
      <c r="CG146" s="537" t="s">
        <v>60</v>
      </c>
      <c r="CH146" s="538"/>
      <c r="CI146" s="538"/>
      <c r="CJ146" s="539"/>
      <c r="CK146" s="513" t="s">
        <v>57</v>
      </c>
      <c r="CL146" s="514"/>
      <c r="CM146" s="514"/>
      <c r="CN146" s="515"/>
      <c r="CO146" s="513" t="s">
        <v>54</v>
      </c>
      <c r="CP146" s="514"/>
      <c r="CQ146" s="514"/>
      <c r="CR146" s="572"/>
      <c r="CS146" s="513" t="s">
        <v>51</v>
      </c>
      <c r="CT146" s="514"/>
      <c r="CU146" s="514"/>
      <c r="CV146" s="515"/>
      <c r="CW146" s="292"/>
      <c r="CX146" s="554" t="s">
        <v>63</v>
      </c>
      <c r="CY146" s="555"/>
      <c r="CZ146" s="555"/>
      <c r="DA146" s="556"/>
      <c r="DB146" s="560" t="s">
        <v>66</v>
      </c>
      <c r="DC146" s="561"/>
      <c r="DD146" s="561"/>
      <c r="DE146" s="562"/>
      <c r="DF146" s="560" t="s">
        <v>65</v>
      </c>
      <c r="DG146" s="561"/>
      <c r="DH146" s="561"/>
      <c r="DI146" s="562"/>
      <c r="DJ146" s="560" t="s">
        <v>64</v>
      </c>
      <c r="DK146" s="561"/>
      <c r="DL146" s="561"/>
      <c r="DM146" s="562"/>
      <c r="DN146" s="365"/>
      <c r="DO146" s="365"/>
      <c r="DP146" s="365"/>
      <c r="DR146" s="365"/>
      <c r="DS146" s="365"/>
    </row>
    <row r="147" spans="1:137" s="285" customFormat="1" hidden="1" x14ac:dyDescent="0.25">
      <c r="A147" s="578" t="s">
        <v>81</v>
      </c>
      <c r="B147" s="579"/>
      <c r="C147" s="535" t="s">
        <v>68</v>
      </c>
      <c r="D147" s="535" t="s">
        <v>69</v>
      </c>
      <c r="E147" s="535" t="s">
        <v>70</v>
      </c>
      <c r="F147" s="535" t="s">
        <v>67</v>
      </c>
      <c r="BN147" s="592"/>
      <c r="CG147" s="540"/>
      <c r="CH147" s="541"/>
      <c r="CI147" s="541"/>
      <c r="CJ147" s="542"/>
      <c r="CK147" s="516"/>
      <c r="CL147" s="517"/>
      <c r="CM147" s="517"/>
      <c r="CN147" s="518"/>
      <c r="CO147" s="516"/>
      <c r="CP147" s="517"/>
      <c r="CQ147" s="517"/>
      <c r="CR147" s="573"/>
      <c r="CS147" s="516"/>
      <c r="CT147" s="517"/>
      <c r="CU147" s="517"/>
      <c r="CV147" s="518"/>
      <c r="CW147" s="292"/>
      <c r="CX147" s="557"/>
      <c r="CY147" s="558"/>
      <c r="CZ147" s="558"/>
      <c r="DA147" s="559"/>
      <c r="DB147" s="563"/>
      <c r="DC147" s="564"/>
      <c r="DD147" s="564"/>
      <c r="DE147" s="565"/>
      <c r="DF147" s="563"/>
      <c r="DG147" s="564"/>
      <c r="DH147" s="564"/>
      <c r="DI147" s="565"/>
      <c r="DJ147" s="563"/>
      <c r="DK147" s="564"/>
      <c r="DL147" s="564"/>
      <c r="DM147" s="565"/>
      <c r="DN147" s="365"/>
      <c r="DO147" s="365"/>
      <c r="DP147" s="365"/>
      <c r="DR147" s="365"/>
      <c r="DS147" s="365"/>
    </row>
    <row r="148" spans="1:137" s="285" customFormat="1" ht="15.75" hidden="1" thickBot="1" x14ac:dyDescent="0.3">
      <c r="A148" s="580"/>
      <c r="B148" s="581"/>
      <c r="C148" s="536"/>
      <c r="D148" s="536"/>
      <c r="E148" s="536"/>
      <c r="F148" s="536"/>
      <c r="BN148" s="592"/>
      <c r="CG148" s="289">
        <v>2022</v>
      </c>
      <c r="CH148" s="289">
        <v>2023</v>
      </c>
      <c r="CI148" s="289">
        <v>2024</v>
      </c>
      <c r="CJ148" s="289">
        <v>2025</v>
      </c>
      <c r="CK148" s="289">
        <v>2022</v>
      </c>
      <c r="CL148" s="289">
        <v>2023</v>
      </c>
      <c r="CM148" s="289">
        <v>2024</v>
      </c>
      <c r="CN148" s="289">
        <v>2025</v>
      </c>
      <c r="CO148" s="289">
        <v>2022</v>
      </c>
      <c r="CP148" s="289">
        <v>2023</v>
      </c>
      <c r="CQ148" s="289">
        <v>2024</v>
      </c>
      <c r="CR148" s="291">
        <v>2025</v>
      </c>
      <c r="CS148" s="288">
        <v>2022</v>
      </c>
      <c r="CT148" s="289">
        <v>2023</v>
      </c>
      <c r="CU148" s="289">
        <v>2024</v>
      </c>
      <c r="CV148" s="290">
        <v>2025</v>
      </c>
      <c r="CW148" s="286"/>
      <c r="CX148" s="288">
        <v>2022</v>
      </c>
      <c r="CY148" s="289">
        <v>2023</v>
      </c>
      <c r="CZ148" s="289">
        <v>2024</v>
      </c>
      <c r="DA148" s="290">
        <v>2025</v>
      </c>
      <c r="DB148" s="288">
        <v>2022</v>
      </c>
      <c r="DC148" s="289">
        <v>2023</v>
      </c>
      <c r="DD148" s="289">
        <v>2024</v>
      </c>
      <c r="DE148" s="290">
        <v>2025</v>
      </c>
      <c r="DF148" s="288">
        <v>2022</v>
      </c>
      <c r="DG148" s="289">
        <v>2023</v>
      </c>
      <c r="DH148" s="289">
        <v>2024</v>
      </c>
      <c r="DI148" s="290">
        <v>2025</v>
      </c>
      <c r="DJ148" s="288">
        <v>2022</v>
      </c>
      <c r="DK148" s="289">
        <v>2023</v>
      </c>
      <c r="DL148" s="289">
        <v>2024</v>
      </c>
      <c r="DM148" s="290">
        <v>2025</v>
      </c>
      <c r="DN148" s="365"/>
      <c r="DO148" s="365"/>
      <c r="DP148" s="365"/>
      <c r="DR148" s="365"/>
      <c r="DS148" s="365"/>
    </row>
    <row r="149" spans="1:137" s="285" customFormat="1" ht="16.5" thickBot="1" x14ac:dyDescent="0.3">
      <c r="A149" s="552" t="s">
        <v>6</v>
      </c>
      <c r="B149" s="553"/>
      <c r="C149" s="160">
        <f t="shared" ref="C149:E149" si="271">C135+C31</f>
        <v>1363.2800000000002</v>
      </c>
      <c r="D149" s="160">
        <f t="shared" si="271"/>
        <v>1421.71</v>
      </c>
      <c r="E149" s="160">
        <f t="shared" si="271"/>
        <v>1416.51</v>
      </c>
      <c r="F149" s="160">
        <f>F135+F31</f>
        <v>1416.51</v>
      </c>
      <c r="BN149" s="592"/>
      <c r="CG149" s="331">
        <f>CG135+CG31</f>
        <v>3161.0299999999997</v>
      </c>
      <c r="CH149" s="304">
        <f t="shared" ref="CH149:CS149" si="272">CH135+CH31+CH144</f>
        <v>3977.1530000000002</v>
      </c>
      <c r="CI149" s="331">
        <f>CI135+CI31+CI144</f>
        <v>2836.22</v>
      </c>
      <c r="CJ149" s="305">
        <f t="shared" si="272"/>
        <v>4300.2699999999995</v>
      </c>
      <c r="CK149" s="303">
        <f t="shared" si="272"/>
        <v>7295.0499999999993</v>
      </c>
      <c r="CL149" s="304">
        <f t="shared" si="272"/>
        <v>8065.563000000001</v>
      </c>
      <c r="CM149" s="304">
        <f t="shared" si="272"/>
        <v>6538.9029999999993</v>
      </c>
      <c r="CN149" s="305">
        <f t="shared" si="272"/>
        <v>9522.84</v>
      </c>
      <c r="CO149" s="303">
        <f t="shared" si="272"/>
        <v>12558.71</v>
      </c>
      <c r="CP149" s="304">
        <f t="shared" si="272"/>
        <v>13113.103000000001</v>
      </c>
      <c r="CQ149" s="304">
        <f t="shared" si="272"/>
        <v>12555.053</v>
      </c>
      <c r="CR149" s="304">
        <f t="shared" si="272"/>
        <v>14787.62</v>
      </c>
      <c r="CS149" s="303">
        <f t="shared" si="272"/>
        <v>18832.43</v>
      </c>
      <c r="CT149" s="331">
        <f>CT135+CT31+CT144</f>
        <v>18427.772999999997</v>
      </c>
      <c r="CU149" s="331">
        <f>CU135+CU31+CU144</f>
        <v>19490.152999999998</v>
      </c>
      <c r="CV149" s="331">
        <f>CV135+CV31</f>
        <v>21660.14</v>
      </c>
      <c r="CW149" s="307"/>
      <c r="CX149" s="331">
        <f>CG149/C149</f>
        <v>2.3186946188603952</v>
      </c>
      <c r="CY149" s="331">
        <f>CH149/D149</f>
        <v>2.7974432197846255</v>
      </c>
      <c r="CZ149" s="331">
        <f>CI149/E149</f>
        <v>2.0022590733563477</v>
      </c>
      <c r="DA149" s="332">
        <f>CJ149/F149</f>
        <v>3.0358204319065871</v>
      </c>
      <c r="DB149" s="345"/>
      <c r="DC149" s="331">
        <f>CL149/D149</f>
        <v>5.6731422019961881</v>
      </c>
      <c r="DD149" s="331">
        <f>CM149/E149</f>
        <v>4.6162067334505226</v>
      </c>
      <c r="DE149" s="332">
        <f>CN149/F149</f>
        <v>6.7227481627379975</v>
      </c>
      <c r="DF149" s="330"/>
      <c r="DG149" s="331">
        <f t="shared" ref="DG149:DI149" si="273">CP149/D149</f>
        <v>9.223472438120293</v>
      </c>
      <c r="DH149" s="331">
        <f t="shared" si="273"/>
        <v>8.8633705374476701</v>
      </c>
      <c r="DI149" s="332">
        <f t="shared" si="273"/>
        <v>10.439474483060481</v>
      </c>
      <c r="DJ149" s="330"/>
      <c r="DK149" s="331">
        <f t="shared" ref="DK149" si="274">CT149/D149</f>
        <v>12.961696126495555</v>
      </c>
      <c r="DL149" s="331">
        <f>CU149/E149</f>
        <v>13.759276672949714</v>
      </c>
      <c r="DM149" s="325"/>
      <c r="DO149" s="160">
        <f>DO135+DO31</f>
        <v>19489.852999999999</v>
      </c>
      <c r="DP149" s="160">
        <f>DO149/F149</f>
        <v>13.759064884822557</v>
      </c>
      <c r="DR149" s="160">
        <f>DR135+DR31</f>
        <v>21660.14</v>
      </c>
      <c r="DS149" s="160">
        <f>DR149/F149</f>
        <v>15.291201615237449</v>
      </c>
    </row>
    <row r="150" spans="1:137" s="285" customFormat="1" x14ac:dyDescent="0.25">
      <c r="BN150" s="592"/>
      <c r="CD150" s="395"/>
      <c r="CE150" s="395"/>
      <c r="CF150" s="395"/>
      <c r="CX150" s="312"/>
      <c r="CY150" s="312"/>
      <c r="CZ150" s="312"/>
      <c r="DA150" s="312"/>
      <c r="DO150" s="589" t="s">
        <v>100</v>
      </c>
      <c r="DP150" s="365"/>
      <c r="DR150" s="365"/>
      <c r="DS150" s="365"/>
    </row>
    <row r="151" spans="1:137" s="285" customFormat="1" ht="15" hidden="1" customHeight="1" x14ac:dyDescent="0.25">
      <c r="BN151" s="592"/>
      <c r="CD151" s="395"/>
      <c r="CE151" s="395"/>
      <c r="CF151" s="395"/>
      <c r="CX151" s="312"/>
      <c r="CY151" s="312"/>
      <c r="CZ151" s="312"/>
      <c r="DA151" s="312"/>
      <c r="DO151" s="590"/>
      <c r="DP151" s="365"/>
      <c r="DR151" s="365"/>
      <c r="DS151" s="365"/>
    </row>
    <row r="152" spans="1:137" s="285" customFormat="1" ht="15" hidden="1" customHeight="1" thickBot="1" x14ac:dyDescent="0.3">
      <c r="A152" s="285" t="s">
        <v>82</v>
      </c>
      <c r="BN152" s="592"/>
      <c r="CD152" s="395"/>
      <c r="CE152" s="395"/>
      <c r="CF152" s="395"/>
      <c r="CX152" s="312"/>
      <c r="CY152" s="312"/>
      <c r="CZ152" s="312"/>
      <c r="DA152" s="312"/>
      <c r="DO152" s="590"/>
      <c r="DP152" s="365"/>
      <c r="DR152" s="365"/>
      <c r="DS152" s="365"/>
    </row>
    <row r="153" spans="1:137" s="414" customFormat="1" ht="30" hidden="1" customHeight="1" thickBot="1" x14ac:dyDescent="0.3">
      <c r="C153" s="415" t="str">
        <f>C147</f>
        <v>HA
(2022)</v>
      </c>
      <c r="D153" s="415" t="str">
        <f>D147</f>
        <v>HA
(2023)</v>
      </c>
      <c r="E153" s="416" t="str">
        <f>E147</f>
        <v>HA
(2024)</v>
      </c>
      <c r="F153" s="417" t="str">
        <f>F147</f>
        <v>HA
(2025)</v>
      </c>
      <c r="G153" s="418"/>
      <c r="H153" s="418"/>
      <c r="I153" s="418"/>
      <c r="J153" s="418"/>
      <c r="K153" s="418"/>
      <c r="L153" s="418"/>
      <c r="M153" s="418"/>
      <c r="N153" s="418"/>
      <c r="O153" s="418"/>
      <c r="P153" s="418"/>
      <c r="Q153" s="418"/>
      <c r="R153" s="418"/>
      <c r="S153" s="418"/>
      <c r="T153" s="418"/>
      <c r="U153" s="418"/>
      <c r="V153" s="418"/>
      <c r="W153" s="41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  <c r="AO153" s="418"/>
      <c r="AP153" s="418"/>
      <c r="AQ153" s="418"/>
      <c r="AR153" s="418"/>
      <c r="AS153" s="418"/>
      <c r="AT153" s="418"/>
      <c r="AU153" s="418"/>
      <c r="AV153" s="418"/>
      <c r="AW153" s="418"/>
      <c r="AX153" s="418"/>
      <c r="AY153" s="418"/>
      <c r="AZ153" s="418"/>
      <c r="BA153" s="418"/>
      <c r="BB153" s="418"/>
      <c r="BC153" s="418"/>
      <c r="BD153" s="418"/>
      <c r="BE153" s="418"/>
      <c r="BF153" s="418"/>
      <c r="BG153" s="418"/>
      <c r="BH153" s="418"/>
      <c r="BI153" s="418"/>
      <c r="BJ153" s="418"/>
      <c r="BK153" s="418"/>
      <c r="BL153" s="418"/>
      <c r="BM153" s="418"/>
      <c r="BN153" s="606"/>
      <c r="BO153" s="418"/>
      <c r="BP153" s="418"/>
      <c r="BQ153" s="418"/>
      <c r="BR153" s="418"/>
      <c r="BS153" s="418"/>
      <c r="BT153" s="418"/>
      <c r="BU153" s="418"/>
      <c r="BV153" s="418"/>
      <c r="BW153" s="418"/>
      <c r="BX153" s="418"/>
      <c r="BY153" s="418"/>
      <c r="BZ153" s="418"/>
      <c r="CA153" s="418"/>
      <c r="CB153" s="418"/>
      <c r="CC153" s="418"/>
      <c r="CD153" s="418"/>
      <c r="CE153" s="418"/>
      <c r="CF153" s="418"/>
      <c r="CH153" s="409" t="s">
        <v>83</v>
      </c>
      <c r="CI153" s="419">
        <v>2023</v>
      </c>
      <c r="CJ153" s="409">
        <v>2024</v>
      </c>
      <c r="CL153" s="409">
        <v>2025</v>
      </c>
      <c r="CW153" s="420"/>
      <c r="DO153" s="590"/>
      <c r="DP153" s="467"/>
      <c r="DR153" s="467"/>
      <c r="DS153" s="467"/>
    </row>
    <row r="154" spans="1:137" s="285" customFormat="1" ht="15" hidden="1" customHeight="1" x14ac:dyDescent="0.25">
      <c r="C154" s="402">
        <f>C149</f>
        <v>1363.2800000000002</v>
      </c>
      <c r="D154" s="402">
        <f t="shared" ref="D154:F154" si="275">D149</f>
        <v>1421.71</v>
      </c>
      <c r="E154" s="405">
        <f t="shared" si="275"/>
        <v>1416.51</v>
      </c>
      <c r="F154" s="576">
        <f t="shared" si="275"/>
        <v>1416.51</v>
      </c>
      <c r="G154" s="395"/>
      <c r="H154" s="395"/>
      <c r="I154" s="395"/>
      <c r="J154" s="395"/>
      <c r="K154" s="395"/>
      <c r="L154" s="395"/>
      <c r="M154" s="395"/>
      <c r="N154" s="395"/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  <c r="AA154" s="395"/>
      <c r="AB154" s="395"/>
      <c r="AC154" s="395"/>
      <c r="AD154" s="395"/>
      <c r="AE154" s="395"/>
      <c r="AF154" s="395"/>
      <c r="AG154" s="395"/>
      <c r="AH154" s="395"/>
      <c r="AI154" s="395"/>
      <c r="AJ154" s="395"/>
      <c r="AK154" s="395"/>
      <c r="AL154" s="395"/>
      <c r="AM154" s="395"/>
      <c r="AN154" s="395"/>
      <c r="AO154" s="395"/>
      <c r="AP154" s="395"/>
      <c r="AQ154" s="395"/>
      <c r="AR154" s="395"/>
      <c r="AS154" s="395"/>
      <c r="AT154" s="395"/>
      <c r="AU154" s="395"/>
      <c r="AV154" s="395"/>
      <c r="AW154" s="395"/>
      <c r="AX154" s="395"/>
      <c r="AY154" s="395"/>
      <c r="AZ154" s="395"/>
      <c r="BA154" s="395"/>
      <c r="BB154" s="395"/>
      <c r="BC154" s="395"/>
      <c r="BD154" s="395"/>
      <c r="BE154" s="395"/>
      <c r="BF154" s="395"/>
      <c r="BG154" s="395"/>
      <c r="BH154" s="395"/>
      <c r="BI154" s="395"/>
      <c r="BJ154" s="395"/>
      <c r="BK154" s="395"/>
      <c r="BL154" s="395"/>
      <c r="BM154" s="395"/>
      <c r="BN154" s="607"/>
      <c r="BO154" s="395"/>
      <c r="BP154" s="395"/>
      <c r="BQ154" s="395"/>
      <c r="BR154" s="395"/>
      <c r="BS154" s="395"/>
      <c r="BT154" s="395"/>
      <c r="BU154" s="395"/>
      <c r="BV154" s="395"/>
      <c r="BW154" s="395"/>
      <c r="BX154" s="395"/>
      <c r="BY154" s="395"/>
      <c r="BZ154" s="395"/>
      <c r="CA154" s="395"/>
      <c r="CB154" s="395"/>
      <c r="CC154" s="395"/>
      <c r="CD154" s="395"/>
      <c r="CE154" s="395"/>
      <c r="CF154" s="395"/>
      <c r="CH154" s="410" t="s">
        <v>84</v>
      </c>
      <c r="CI154" s="407">
        <f>CT149</f>
        <v>18427.772999999997</v>
      </c>
      <c r="CJ154" s="407">
        <f>CU149</f>
        <v>19490.152999999998</v>
      </c>
      <c r="CL154" s="413">
        <f>CV149</f>
        <v>21660.14</v>
      </c>
      <c r="CW154" s="312"/>
      <c r="DO154" s="590"/>
      <c r="DP154" s="365"/>
      <c r="DR154" s="365"/>
      <c r="DS154" s="365"/>
    </row>
    <row r="155" spans="1:137" s="401" customFormat="1" ht="30.75" hidden="1" customHeight="1" thickBot="1" x14ac:dyDescent="0.3">
      <c r="C155" s="398"/>
      <c r="D155" s="398"/>
      <c r="E155" s="406"/>
      <c r="F155" s="577"/>
      <c r="G155" s="395"/>
      <c r="H155" s="395"/>
      <c r="I155" s="395"/>
      <c r="J155" s="395"/>
      <c r="K155" s="395"/>
      <c r="L155" s="395"/>
      <c r="M155" s="395"/>
      <c r="N155" s="395"/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  <c r="AA155" s="395"/>
      <c r="AB155" s="395"/>
      <c r="AC155" s="395"/>
      <c r="AD155" s="395"/>
      <c r="AE155" s="395"/>
      <c r="AF155" s="395"/>
      <c r="AG155" s="395"/>
      <c r="AH155" s="395"/>
      <c r="AI155" s="395"/>
      <c r="AJ155" s="395"/>
      <c r="AK155" s="395"/>
      <c r="AL155" s="395"/>
      <c r="AM155" s="395"/>
      <c r="AN155" s="395"/>
      <c r="AO155" s="395"/>
      <c r="AP155" s="395"/>
      <c r="AQ155" s="395"/>
      <c r="AR155" s="395"/>
      <c r="AS155" s="395"/>
      <c r="AT155" s="395"/>
      <c r="AU155" s="395"/>
      <c r="AV155" s="395"/>
      <c r="AW155" s="395"/>
      <c r="AX155" s="395"/>
      <c r="AY155" s="395"/>
      <c r="AZ155" s="395"/>
      <c r="BA155" s="395"/>
      <c r="BB155" s="395"/>
      <c r="BC155" s="395"/>
      <c r="BD155" s="395"/>
      <c r="BE155" s="395"/>
      <c r="BF155" s="395"/>
      <c r="BG155" s="395"/>
      <c r="BH155" s="395"/>
      <c r="BI155" s="395"/>
      <c r="BJ155" s="395"/>
      <c r="BK155" s="395"/>
      <c r="BL155" s="395"/>
      <c r="BM155" s="395"/>
      <c r="BN155" s="607"/>
      <c r="BO155" s="395"/>
      <c r="BP155" s="395"/>
      <c r="BQ155" s="395"/>
      <c r="BR155" s="395"/>
      <c r="BS155" s="395"/>
      <c r="BT155" s="395"/>
      <c r="BU155" s="395"/>
      <c r="BV155" s="395"/>
      <c r="BW155" s="395"/>
      <c r="BX155" s="395"/>
      <c r="BY155" s="395"/>
      <c r="BZ155" s="395"/>
      <c r="CA155" s="395"/>
      <c r="CB155" s="395"/>
      <c r="CC155" s="395"/>
      <c r="CD155" s="395"/>
      <c r="CE155" s="395"/>
      <c r="CF155" s="395"/>
      <c r="CH155" s="411" t="s">
        <v>85</v>
      </c>
      <c r="CI155" s="408">
        <f>CI154/D154</f>
        <v>12.961696126495555</v>
      </c>
      <c r="CJ155" s="404">
        <f>CJ154/E154</f>
        <v>13.759276672949714</v>
      </c>
      <c r="CL155" s="412">
        <f>CL154/F154</f>
        <v>15.291201615237449</v>
      </c>
      <c r="CN155" s="285"/>
      <c r="CW155" s="403"/>
      <c r="DO155" s="590"/>
      <c r="DP155" s="397"/>
      <c r="DR155" s="397"/>
      <c r="DS155" s="397"/>
    </row>
    <row r="156" spans="1:137" s="285" customFormat="1" ht="15" hidden="1" customHeight="1" x14ac:dyDescent="0.25">
      <c r="G156" s="395"/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  <c r="AA156" s="395"/>
      <c r="AB156" s="395"/>
      <c r="AC156" s="395"/>
      <c r="AD156" s="395"/>
      <c r="AE156" s="395"/>
      <c r="AF156" s="395"/>
      <c r="AG156" s="395"/>
      <c r="AH156" s="395"/>
      <c r="AI156" s="395"/>
      <c r="AJ156" s="395"/>
      <c r="AK156" s="395"/>
      <c r="AL156" s="395"/>
      <c r="AM156" s="395"/>
      <c r="AN156" s="395"/>
      <c r="AO156" s="395"/>
      <c r="AP156" s="395"/>
      <c r="AQ156" s="395"/>
      <c r="AR156" s="395"/>
      <c r="AS156" s="395"/>
      <c r="AT156" s="395"/>
      <c r="AU156" s="395"/>
      <c r="AV156" s="395"/>
      <c r="AW156" s="395"/>
      <c r="AX156" s="395"/>
      <c r="AY156" s="395"/>
      <c r="AZ156" s="395"/>
      <c r="BA156" s="395"/>
      <c r="BB156" s="395"/>
      <c r="BC156" s="395"/>
      <c r="BD156" s="395"/>
      <c r="BE156" s="395"/>
      <c r="BF156" s="395"/>
      <c r="BG156" s="395"/>
      <c r="BH156" s="395"/>
      <c r="BI156" s="395"/>
      <c r="BJ156" s="395"/>
      <c r="BK156" s="395"/>
      <c r="BL156" s="395"/>
      <c r="BM156" s="395"/>
      <c r="BN156" s="607"/>
      <c r="BO156" s="395"/>
      <c r="BP156" s="395"/>
      <c r="BQ156" s="395"/>
      <c r="BR156" s="395"/>
      <c r="BS156" s="395"/>
      <c r="BT156" s="395"/>
      <c r="BU156" s="395"/>
      <c r="BV156" s="395"/>
      <c r="BW156" s="395"/>
      <c r="BX156" s="395"/>
      <c r="BY156" s="395"/>
      <c r="BZ156" s="395"/>
      <c r="CA156" s="395"/>
      <c r="CB156" s="395"/>
      <c r="CC156" s="395"/>
      <c r="CD156" s="395"/>
      <c r="CE156" s="395"/>
      <c r="CF156" s="395"/>
      <c r="DO156" s="590"/>
      <c r="DP156" s="365"/>
      <c r="DR156" s="365"/>
      <c r="DS156" s="365"/>
    </row>
    <row r="157" spans="1:137" ht="15" hidden="1" customHeight="1" x14ac:dyDescent="0.25">
      <c r="G157" s="395"/>
      <c r="H157" s="395"/>
      <c r="I157" s="395"/>
      <c r="J157" s="395"/>
      <c r="K157" s="395"/>
      <c r="L157" s="395"/>
      <c r="M157" s="395"/>
      <c r="N157" s="395"/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  <c r="AA157" s="395"/>
      <c r="AB157" s="395"/>
      <c r="AC157" s="395"/>
      <c r="AD157" s="395"/>
      <c r="AE157" s="395"/>
      <c r="AF157" s="395"/>
      <c r="AG157" s="395"/>
      <c r="AH157" s="395"/>
      <c r="AI157" s="395"/>
      <c r="AJ157" s="395"/>
      <c r="AK157" s="395"/>
      <c r="AL157" s="395"/>
      <c r="AM157" s="395"/>
      <c r="AN157" s="395"/>
      <c r="AO157" s="395"/>
      <c r="AP157" s="395"/>
      <c r="AQ157" s="395"/>
      <c r="AR157" s="395"/>
      <c r="AS157" s="395"/>
      <c r="AT157" s="395"/>
      <c r="AU157" s="395"/>
      <c r="AV157" s="395"/>
      <c r="AW157" s="395"/>
      <c r="AX157" s="395"/>
      <c r="AY157" s="395"/>
      <c r="AZ157" s="395"/>
      <c r="BA157" s="395"/>
      <c r="BB157" s="395"/>
      <c r="BC157" s="395"/>
      <c r="BD157" s="395"/>
      <c r="BE157" s="395"/>
      <c r="BF157" s="395"/>
      <c r="BG157" s="395"/>
      <c r="BH157" s="395"/>
      <c r="BI157" s="395"/>
      <c r="BJ157" s="395"/>
      <c r="BK157" s="395"/>
      <c r="BL157" s="395"/>
      <c r="BM157" s="395"/>
      <c r="BN157" s="607"/>
      <c r="BO157" s="395"/>
      <c r="BP157" s="395"/>
      <c r="BQ157" s="395"/>
      <c r="BR157" s="395"/>
      <c r="BS157" s="395"/>
      <c r="BT157" s="395"/>
      <c r="BU157" s="395"/>
      <c r="BV157" s="395"/>
      <c r="BW157" s="395"/>
      <c r="BX157" s="395"/>
      <c r="BY157" s="395"/>
      <c r="BZ157" s="395"/>
      <c r="CA157" s="395"/>
      <c r="CB157" s="395"/>
      <c r="CC157" s="395"/>
      <c r="CD157" s="395"/>
      <c r="CE157" s="395"/>
      <c r="CF157" s="395"/>
      <c r="CN157" s="285"/>
      <c r="CY157" s="280"/>
      <c r="CZ157" s="280"/>
      <c r="DA157" s="280"/>
      <c r="DO157" s="590"/>
    </row>
    <row r="158" spans="1:137" ht="15" customHeight="1" x14ac:dyDescent="0.25"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607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  <c r="CF158" s="395"/>
      <c r="CY158" s="280"/>
      <c r="CZ158" s="280"/>
      <c r="DA158" s="280"/>
      <c r="DI158" s="365"/>
      <c r="DJ158" s="365"/>
      <c r="DK158" s="365"/>
      <c r="DL158" s="365"/>
      <c r="DM158" s="365"/>
      <c r="DN158" s="365"/>
      <c r="DO158" s="590"/>
      <c r="DP158" s="365"/>
      <c r="DQ158" s="365"/>
      <c r="DR158" s="365"/>
      <c r="DS158" s="365"/>
      <c r="DT158" s="365"/>
      <c r="DU158" s="365"/>
      <c r="DV158" s="365"/>
      <c r="DW158" s="365"/>
      <c r="DX158" s="365"/>
      <c r="DY158" s="365"/>
      <c r="DZ158" s="365"/>
      <c r="EA158" s="365"/>
      <c r="EB158" s="365"/>
      <c r="EC158" s="365"/>
      <c r="ED158" s="365"/>
      <c r="EE158" s="365"/>
      <c r="EF158" s="365"/>
      <c r="EG158" s="365"/>
    </row>
    <row r="159" spans="1:137" s="395" customFormat="1" ht="33" customHeight="1" x14ac:dyDescent="0.25">
      <c r="C159" s="396"/>
      <c r="D159" s="396"/>
      <c r="E159" s="396"/>
      <c r="F159" s="396"/>
      <c r="BN159" s="607"/>
      <c r="CX159" s="394" t="s">
        <v>71</v>
      </c>
      <c r="CY159" s="280"/>
      <c r="CZ159" s="280"/>
      <c r="DA159" s="280"/>
      <c r="DB159" s="280"/>
      <c r="DC159" s="280"/>
      <c r="DD159" s="280"/>
      <c r="DE159" s="280"/>
      <c r="DF159" s="280"/>
      <c r="DG159" s="280"/>
      <c r="DH159" s="280"/>
      <c r="DI159" s="397"/>
      <c r="DJ159" s="397"/>
      <c r="DK159" s="397"/>
      <c r="DL159" s="397"/>
      <c r="DM159" s="397"/>
      <c r="DN159" s="397"/>
      <c r="DO159" s="590"/>
      <c r="DP159" s="397"/>
      <c r="DQ159" s="397"/>
      <c r="DR159" s="397"/>
      <c r="DS159" s="397"/>
      <c r="DT159" s="397"/>
      <c r="DU159" s="397"/>
      <c r="DV159" s="397"/>
      <c r="DW159" s="397"/>
      <c r="DX159" s="397"/>
      <c r="DY159" s="397"/>
      <c r="DZ159" s="397"/>
      <c r="EA159" s="397"/>
      <c r="EB159" s="397"/>
      <c r="EC159" s="397"/>
      <c r="ED159" s="397"/>
      <c r="EE159" s="397"/>
      <c r="EF159" s="397"/>
      <c r="EG159" s="397"/>
    </row>
    <row r="160" spans="1:137" s="395" customFormat="1" ht="45" x14ac:dyDescent="0.25">
      <c r="E160" s="396"/>
      <c r="F160" s="396"/>
      <c r="BN160" s="607"/>
      <c r="CX160" s="398" t="s">
        <v>72</v>
      </c>
      <c r="CY160" s="280"/>
      <c r="CZ160" s="280"/>
      <c r="DA160" s="280"/>
      <c r="DB160" s="280"/>
      <c r="DC160" s="280"/>
      <c r="DD160" s="280"/>
      <c r="DE160" s="280"/>
      <c r="DF160" s="280"/>
      <c r="DG160" s="280"/>
      <c r="DH160" s="280"/>
      <c r="DI160" s="396"/>
      <c r="DJ160" s="396"/>
      <c r="DK160" s="396"/>
      <c r="DL160" s="396"/>
      <c r="DM160" s="396"/>
      <c r="DN160" s="396"/>
      <c r="DO160" s="396"/>
      <c r="DP160" s="396"/>
      <c r="DQ160" s="396"/>
      <c r="DR160" s="396"/>
      <c r="DS160" s="396"/>
      <c r="DT160" s="396"/>
      <c r="DU160" s="396"/>
      <c r="DV160" s="396"/>
      <c r="DW160" s="396"/>
      <c r="DX160" s="396"/>
      <c r="DY160" s="396"/>
      <c r="DZ160" s="396"/>
      <c r="EA160" s="396"/>
      <c r="EB160" s="396"/>
      <c r="EC160" s="396"/>
      <c r="ED160" s="396"/>
      <c r="EE160" s="396"/>
      <c r="EF160" s="396"/>
      <c r="EG160" s="396"/>
    </row>
    <row r="161" spans="3:137" s="395" customFormat="1" ht="15" customHeight="1" x14ac:dyDescent="0.25">
      <c r="C161" s="396"/>
      <c r="D161" s="396"/>
      <c r="E161" s="396"/>
      <c r="F161" s="396"/>
      <c r="BN161" s="607"/>
      <c r="CX161" s="398" t="s">
        <v>74</v>
      </c>
      <c r="CY161" s="280"/>
      <c r="CZ161" s="280"/>
      <c r="DA161" s="280"/>
      <c r="DB161" s="280"/>
      <c r="DC161" s="280"/>
      <c r="DD161" s="280"/>
      <c r="DE161" s="280"/>
      <c r="DF161" s="280"/>
      <c r="DG161" s="280"/>
      <c r="DH161" s="280"/>
      <c r="DI161" s="396"/>
      <c r="DJ161" s="396"/>
      <c r="DK161" s="396"/>
      <c r="DL161" s="396"/>
      <c r="DM161" s="396"/>
      <c r="DN161" s="396"/>
      <c r="DO161" s="396"/>
      <c r="DP161" s="396"/>
      <c r="DQ161" s="396"/>
      <c r="DR161" s="396"/>
      <c r="DS161" s="396"/>
      <c r="DT161" s="396"/>
      <c r="DU161" s="396"/>
      <c r="DV161" s="396"/>
      <c r="DW161" s="396"/>
      <c r="DX161" s="396"/>
      <c r="DY161" s="396"/>
      <c r="DZ161" s="396"/>
      <c r="EA161" s="396"/>
      <c r="EB161" s="396"/>
      <c r="EC161" s="396"/>
      <c r="ED161" s="396"/>
      <c r="EE161" s="396"/>
      <c r="EF161" s="396"/>
      <c r="EG161" s="396"/>
    </row>
    <row r="162" spans="3:137" x14ac:dyDescent="0.25">
      <c r="CX162" s="398" t="s">
        <v>73</v>
      </c>
      <c r="CY162" s="280"/>
      <c r="CZ162" s="280"/>
      <c r="DA162" s="280"/>
      <c r="DI162" s="335"/>
      <c r="DJ162" s="335"/>
      <c r="DK162" s="335"/>
      <c r="DL162" s="335"/>
      <c r="DM162" s="335"/>
      <c r="DN162" s="335"/>
      <c r="DQ162" s="335"/>
      <c r="DT162" s="335"/>
      <c r="DU162" s="335"/>
      <c r="DV162" s="335"/>
      <c r="DW162" s="335"/>
      <c r="DX162" s="335"/>
      <c r="DY162" s="335"/>
      <c r="DZ162" s="335"/>
      <c r="EA162" s="335"/>
      <c r="EB162" s="335"/>
      <c r="EC162" s="335"/>
      <c r="ED162" s="335"/>
      <c r="EE162" s="335"/>
      <c r="EF162" s="335"/>
      <c r="EG162" s="335"/>
    </row>
    <row r="163" spans="3:137" x14ac:dyDescent="0.25">
      <c r="CY163" s="280"/>
      <c r="CZ163" s="280"/>
      <c r="DA163" s="280"/>
    </row>
    <row r="164" spans="3:137" x14ac:dyDescent="0.25">
      <c r="CY164" s="280"/>
      <c r="CZ164" s="280"/>
      <c r="DA164" s="280"/>
    </row>
    <row r="165" spans="3:137" x14ac:dyDescent="0.25">
      <c r="CY165" s="280"/>
      <c r="CZ165" s="280"/>
      <c r="DA165" s="280"/>
    </row>
  </sheetData>
  <mergeCells count="177">
    <mergeCell ref="DR5:DS5"/>
    <mergeCell ref="DO124:DP124"/>
    <mergeCell ref="DR124:DS124"/>
    <mergeCell ref="DO150:DO159"/>
    <mergeCell ref="A149:B149"/>
    <mergeCell ref="F154:F155"/>
    <mergeCell ref="DO5:DP5"/>
    <mergeCell ref="CS146:CV147"/>
    <mergeCell ref="CX146:DA147"/>
    <mergeCell ref="DB146:DE147"/>
    <mergeCell ref="DF146:DI147"/>
    <mergeCell ref="DJ146:DM147"/>
    <mergeCell ref="A147:B148"/>
    <mergeCell ref="C147:C148"/>
    <mergeCell ref="D147:D148"/>
    <mergeCell ref="E147:E148"/>
    <mergeCell ref="F147:F148"/>
    <mergeCell ref="BG140:BJ140"/>
    <mergeCell ref="BK140:BN140"/>
    <mergeCell ref="A144:B144"/>
    <mergeCell ref="CG146:CJ147"/>
    <mergeCell ref="CK146:CN147"/>
    <mergeCell ref="CO146:CR147"/>
    <mergeCell ref="AA140:AD140"/>
    <mergeCell ref="DJ139:DM140"/>
    <mergeCell ref="A140:B141"/>
    <mergeCell ref="C140:C141"/>
    <mergeCell ref="D140:D141"/>
    <mergeCell ref="E140:E141"/>
    <mergeCell ref="F140:F141"/>
    <mergeCell ref="BW139:BY140"/>
    <mergeCell ref="BZ139:CB140"/>
    <mergeCell ref="CC139:CE140"/>
    <mergeCell ref="CG139:CJ140"/>
    <mergeCell ref="CK139:CN140"/>
    <mergeCell ref="CO139:CR140"/>
    <mergeCell ref="AE140:AH140"/>
    <mergeCell ref="AM140:AP140"/>
    <mergeCell ref="AQ140:AT140"/>
    <mergeCell ref="AU140:AX140"/>
    <mergeCell ref="BC140:BF140"/>
    <mergeCell ref="CS139:CV140"/>
    <mergeCell ref="CX139:DA140"/>
    <mergeCell ref="DB139:DE140"/>
    <mergeCell ref="DF139:DI140"/>
    <mergeCell ref="A135:B135"/>
    <mergeCell ref="S139:V140"/>
    <mergeCell ref="AI139:AL140"/>
    <mergeCell ref="AY139:BB140"/>
    <mergeCell ref="BO139:BR140"/>
    <mergeCell ref="BT139:BV140"/>
    <mergeCell ref="G140:J140"/>
    <mergeCell ref="K140:N140"/>
    <mergeCell ref="O140:R140"/>
    <mergeCell ref="W140:Z140"/>
    <mergeCell ref="A126:A132"/>
    <mergeCell ref="A133:A134"/>
    <mergeCell ref="DJ123:DM124"/>
    <mergeCell ref="A124:B125"/>
    <mergeCell ref="C124:C125"/>
    <mergeCell ref="D124:D125"/>
    <mergeCell ref="E124:E125"/>
    <mergeCell ref="F124:F125"/>
    <mergeCell ref="G124:J124"/>
    <mergeCell ref="K124:N124"/>
    <mergeCell ref="O124:R124"/>
    <mergeCell ref="W124:Z124"/>
    <mergeCell ref="CK123:CN124"/>
    <mergeCell ref="CO123:CR124"/>
    <mergeCell ref="CS123:CV124"/>
    <mergeCell ref="CX123:DA124"/>
    <mergeCell ref="DB123:DE124"/>
    <mergeCell ref="DF123:DI124"/>
    <mergeCell ref="BO123:BR124"/>
    <mergeCell ref="BT123:BV124"/>
    <mergeCell ref="A81:A92"/>
    <mergeCell ref="A93:A99"/>
    <mergeCell ref="CX78:DA79"/>
    <mergeCell ref="DB78:DE79"/>
    <mergeCell ref="DF78:DI79"/>
    <mergeCell ref="BW123:BY124"/>
    <mergeCell ref="BZ123:CB124"/>
    <mergeCell ref="CC123:CE124"/>
    <mergeCell ref="CG123:CJ124"/>
    <mergeCell ref="A100:A104"/>
    <mergeCell ref="A107:A115"/>
    <mergeCell ref="A116:A117"/>
    <mergeCell ref="S123:V124"/>
    <mergeCell ref="AI123:AL124"/>
    <mergeCell ref="AY123:BB124"/>
    <mergeCell ref="AA124:AD124"/>
    <mergeCell ref="AE124:AH124"/>
    <mergeCell ref="AM124:AP124"/>
    <mergeCell ref="AQ124:AT124"/>
    <mergeCell ref="AU124:AX124"/>
    <mergeCell ref="BC124:BF124"/>
    <mergeCell ref="BG124:BJ124"/>
    <mergeCell ref="BK124:BN124"/>
    <mergeCell ref="DJ78:DM79"/>
    <mergeCell ref="A79:B80"/>
    <mergeCell ref="F79:F80"/>
    <mergeCell ref="G79:J79"/>
    <mergeCell ref="K79:N79"/>
    <mergeCell ref="O79:R79"/>
    <mergeCell ref="W79:Z79"/>
    <mergeCell ref="A64:A72"/>
    <mergeCell ref="A73:A74"/>
    <mergeCell ref="CG78:CJ79"/>
    <mergeCell ref="CK78:CN79"/>
    <mergeCell ref="CO78:CR79"/>
    <mergeCell ref="CS78:CV79"/>
    <mergeCell ref="AA79:AD79"/>
    <mergeCell ref="AE79:AH79"/>
    <mergeCell ref="AM79:AP79"/>
    <mergeCell ref="AQ79:AT79"/>
    <mergeCell ref="AU79:AX79"/>
    <mergeCell ref="BC79:BF79"/>
    <mergeCell ref="BG79:BJ79"/>
    <mergeCell ref="BK79:BN79"/>
    <mergeCell ref="A38:A49"/>
    <mergeCell ref="A50:A56"/>
    <mergeCell ref="A57:A61"/>
    <mergeCell ref="BW35:BY36"/>
    <mergeCell ref="BZ35:CB36"/>
    <mergeCell ref="CC35:CE36"/>
    <mergeCell ref="A36:B37"/>
    <mergeCell ref="F36:F37"/>
    <mergeCell ref="G36:J36"/>
    <mergeCell ref="K36:N36"/>
    <mergeCell ref="O36:R36"/>
    <mergeCell ref="W36:Z36"/>
    <mergeCell ref="AA36:AD36"/>
    <mergeCell ref="BK5:BN5"/>
    <mergeCell ref="A7:A18"/>
    <mergeCell ref="A19:A25"/>
    <mergeCell ref="A26:A30"/>
    <mergeCell ref="A31:B31"/>
    <mergeCell ref="BT35:BV36"/>
    <mergeCell ref="AE36:AH36"/>
    <mergeCell ref="AM36:AP36"/>
    <mergeCell ref="AQ36:AT36"/>
    <mergeCell ref="AU36:AX36"/>
    <mergeCell ref="K5:N5"/>
    <mergeCell ref="O5:R5"/>
    <mergeCell ref="W5:Z5"/>
    <mergeCell ref="AA5:AD5"/>
    <mergeCell ref="AE5:AH5"/>
    <mergeCell ref="AM5:AP5"/>
    <mergeCell ref="BC5:BF5"/>
    <mergeCell ref="BG5:BJ5"/>
    <mergeCell ref="BC36:BF36"/>
    <mergeCell ref="BG36:BJ36"/>
    <mergeCell ref="BK36:BN36"/>
    <mergeCell ref="CX4:DA5"/>
    <mergeCell ref="DB4:DE5"/>
    <mergeCell ref="DF4:DI5"/>
    <mergeCell ref="DJ4:DM5"/>
    <mergeCell ref="A5:B6"/>
    <mergeCell ref="C5:C6"/>
    <mergeCell ref="D5:D6"/>
    <mergeCell ref="E5:E6"/>
    <mergeCell ref="F5:F6"/>
    <mergeCell ref="G5:J5"/>
    <mergeCell ref="BZ4:CB5"/>
    <mergeCell ref="CC4:CE5"/>
    <mergeCell ref="CG4:CJ5"/>
    <mergeCell ref="CK4:CN5"/>
    <mergeCell ref="CO4:CR5"/>
    <mergeCell ref="CS4:CV5"/>
    <mergeCell ref="S4:V5"/>
    <mergeCell ref="AI4:AL5"/>
    <mergeCell ref="AY4:BB5"/>
    <mergeCell ref="BO4:BR5"/>
    <mergeCell ref="BT4:BV5"/>
    <mergeCell ref="BW4:BY5"/>
    <mergeCell ref="AQ5:AT5"/>
    <mergeCell ref="AU5:AX5"/>
  </mergeCells>
  <pageMargins left="0.25" right="0.25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4.4 Harvesting Round Record</vt:lpstr>
      <vt:lpstr>version 1</vt:lpstr>
      <vt:lpstr>version 2</vt:lpstr>
      <vt:lpstr>YEAR 2024 VS 2025 FFB</vt:lpstr>
      <vt:lpstr>year2022to23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Dept</dc:creator>
  <cp:lastModifiedBy>Acc Dept</cp:lastModifiedBy>
  <cp:lastPrinted>2025-11-26T07:15:22Z</cp:lastPrinted>
  <dcterms:created xsi:type="dcterms:W3CDTF">2025-09-18T06:00:11Z</dcterms:created>
  <dcterms:modified xsi:type="dcterms:W3CDTF">2026-01-21T06:04:56Z</dcterms:modified>
</cp:coreProperties>
</file>